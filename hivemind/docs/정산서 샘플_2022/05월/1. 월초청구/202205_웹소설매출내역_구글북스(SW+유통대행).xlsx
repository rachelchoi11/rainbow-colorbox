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300" tabRatio="776"/>
  </bookViews>
  <sheets>
    <sheet name="합계(5)" sheetId="56" r:id="rId1"/>
    <sheet name="김광수" sheetId="57" r:id="rId2"/>
    <sheet name="밀리의 서재" sheetId="58" r:id="rId3"/>
    <sheet name="권용찬" sheetId="59" r:id="rId4"/>
    <sheet name="예로나" sheetId="60" r:id="rId5"/>
    <sheet name="독고진" sheetId="61" r:id="rId6"/>
    <sheet name="전혁" sheetId="62" r:id="rId7"/>
    <sheet name="더컴퍼니" sheetId="63" r:id="rId8"/>
    <sheet name="셔틀" sheetId="64" r:id="rId9"/>
    <sheet name="이동열" sheetId="65" r:id="rId10"/>
    <sheet name="온서" sheetId="66" r:id="rId11"/>
    <sheet name="스내치" sheetId="67" r:id="rId12"/>
    <sheet name="라비니안느" sheetId="68" r:id="rId13"/>
    <sheet name="모리미" sheetId="69" r:id="rId14"/>
    <sheet name="진문" sheetId="70" r:id="rId15"/>
    <sheet name="차홍주" sheetId="71" r:id="rId16"/>
    <sheet name="청빙" sheetId="72" r:id="rId17"/>
    <sheet name="블랙커피" sheetId="73" r:id="rId18"/>
    <sheet name="윤비밀" sheetId="74" r:id="rId19"/>
    <sheet name="밈스" sheetId="75" r:id="rId20"/>
    <sheet name="무장" sheetId="76" r:id="rId21"/>
    <sheet name="발상" sheetId="77" r:id="rId22"/>
    <sheet name="루이세" sheetId="78" r:id="rId23"/>
    <sheet name="윈델" sheetId="79" r:id="rId24"/>
    <sheet name="세어" sheetId="80" r:id="rId25"/>
    <sheet name="아이리스" sheetId="81" r:id="rId26"/>
    <sheet name="블 루 스 카 이" sheetId="82" r:id="rId27"/>
  </sheets>
  <externalReferences>
    <externalReference r:id="rId28"/>
  </externalReferences>
  <definedNames>
    <definedName name="_xlnm._FilterDatabase" localSheetId="0" hidden="1">'합계(5)'!$A$1:$W$2182</definedName>
    <definedName name="_xlnm.Extract" localSheetId="3">권용찬!$A$1:$W$1</definedName>
    <definedName name="_xlnm.Extract" localSheetId="1">김광수!$A$1:$W$1</definedName>
    <definedName name="_xlnm.Extract" localSheetId="7">더컴퍼니!$A$1:$W$1</definedName>
    <definedName name="_xlnm.Extract" localSheetId="5">독고진!$A$1:$W$1</definedName>
    <definedName name="_xlnm.Extract" localSheetId="12">라비니안느!$A$1:$W$1</definedName>
    <definedName name="_xlnm.Extract" localSheetId="22">루이세!$A$1:$W$1</definedName>
    <definedName name="_xlnm.Extract" localSheetId="13">모리미!$A$1:$W$1</definedName>
    <definedName name="_xlnm.Extract" localSheetId="20">무장!$A$1:$W$1</definedName>
    <definedName name="_xlnm.Extract" localSheetId="2">'밀리의 서재'!$A$1:$W$1</definedName>
    <definedName name="_xlnm.Extract" localSheetId="19">밈스!$A$1:$W$1</definedName>
    <definedName name="_xlnm.Extract" localSheetId="21">발상!$A$1:$W$1</definedName>
    <definedName name="_xlnm.Extract" localSheetId="26">'블 루 스 카 이'!$A$1:$W$1</definedName>
    <definedName name="_xlnm.Extract" localSheetId="17">블랙커피!$A$1:$W$1</definedName>
    <definedName name="_xlnm.Extract" localSheetId="24">세어!$A$1:$W$1</definedName>
    <definedName name="_xlnm.Extract" localSheetId="8">셔틀!$A$1:$W$1</definedName>
    <definedName name="_xlnm.Extract" localSheetId="11">스내치!$A$1:$W$1</definedName>
    <definedName name="_xlnm.Extract" localSheetId="25">아이리스!$A$1:$W$1</definedName>
    <definedName name="_xlnm.Extract" localSheetId="4">예로나!$A$1:$W$1</definedName>
    <definedName name="_xlnm.Extract" localSheetId="10">온서!$A$1:$W$1</definedName>
    <definedName name="_xlnm.Extract" localSheetId="23">윈델!$A$1:$W$1</definedName>
    <definedName name="_xlnm.Extract" localSheetId="18">윤비밀!$A$1:$W$1</definedName>
    <definedName name="_xlnm.Extract" localSheetId="9">이동열!$A$1:$W$1</definedName>
    <definedName name="_xlnm.Extract" localSheetId="6">전혁!$A$1:$W$1</definedName>
    <definedName name="_xlnm.Extract" localSheetId="14">진문!$A$1:$W$1</definedName>
    <definedName name="_xlnm.Extract" localSheetId="15">차홍주!$A$1:$W$1</definedName>
    <definedName name="_xlnm.Extract" localSheetId="16">청빙!$A$1:$W$1</definedName>
    <definedName name="_xlnm.Extract" localSheetId="0">'합계(5)'!#REF!</definedName>
  </definedNames>
  <calcPr calcId="152511" calcMode="manual"/>
</workbook>
</file>

<file path=xl/calcChain.xml><?xml version="1.0" encoding="utf-8"?>
<calcChain xmlns="http://schemas.openxmlformats.org/spreadsheetml/2006/main">
  <c r="V3" i="56" l="1"/>
  <c r="V4" i="56"/>
  <c r="V5" i="56"/>
  <c r="V6" i="56"/>
  <c r="V7" i="56"/>
  <c r="V8" i="56"/>
  <c r="W8" i="56" s="1"/>
  <c r="V9" i="56"/>
  <c r="V10" i="56"/>
  <c r="V11" i="56"/>
  <c r="V12" i="56"/>
  <c r="W12" i="56" s="1"/>
  <c r="V13" i="56"/>
  <c r="V14" i="56"/>
  <c r="W14" i="56" s="1"/>
  <c r="V15" i="56"/>
  <c r="V16" i="56"/>
  <c r="V17" i="56"/>
  <c r="V18" i="56"/>
  <c r="V19" i="56"/>
  <c r="V20" i="56"/>
  <c r="V21" i="56"/>
  <c r="V22" i="56"/>
  <c r="V23" i="56"/>
  <c r="V24" i="56"/>
  <c r="V25" i="56"/>
  <c r="V26" i="56"/>
  <c r="V27" i="56"/>
  <c r="V28" i="56"/>
  <c r="V29" i="56"/>
  <c r="V30" i="56"/>
  <c r="V31" i="56"/>
  <c r="V32" i="56"/>
  <c r="V33" i="56"/>
  <c r="W33" i="56" s="1"/>
  <c r="V34" i="56"/>
  <c r="V35" i="56"/>
  <c r="W35" i="56" s="1"/>
  <c r="V36" i="56"/>
  <c r="V37" i="56"/>
  <c r="V38" i="56"/>
  <c r="V39" i="56"/>
  <c r="V40" i="56"/>
  <c r="V41" i="56"/>
  <c r="V42" i="56"/>
  <c r="V43" i="56"/>
  <c r="V44" i="56"/>
  <c r="W44" i="56" s="1"/>
  <c r="V45" i="56"/>
  <c r="V46" i="56"/>
  <c r="V47" i="56"/>
  <c r="V48" i="56"/>
  <c r="W48" i="56" s="1"/>
  <c r="V49" i="56"/>
  <c r="V50" i="56"/>
  <c r="V51" i="56"/>
  <c r="V52" i="56"/>
  <c r="V53" i="56"/>
  <c r="V54" i="56"/>
  <c r="V55" i="56"/>
  <c r="V56" i="56"/>
  <c r="W56" i="56" s="1"/>
  <c r="V57" i="56"/>
  <c r="V58" i="56"/>
  <c r="W58" i="56" s="1"/>
  <c r="V59" i="56"/>
  <c r="V60" i="56"/>
  <c r="V61" i="56"/>
  <c r="V62" i="56"/>
  <c r="V63" i="56"/>
  <c r="V64" i="56"/>
  <c r="V65" i="56"/>
  <c r="V66" i="56"/>
  <c r="V67" i="56"/>
  <c r="V68" i="56"/>
  <c r="V69" i="56"/>
  <c r="V70" i="56"/>
  <c r="V71" i="56"/>
  <c r="V72" i="56"/>
  <c r="V73" i="56"/>
  <c r="V74" i="56"/>
  <c r="V75" i="56"/>
  <c r="V76" i="56"/>
  <c r="W76" i="56" s="1"/>
  <c r="V77" i="56"/>
  <c r="V78" i="56"/>
  <c r="V79" i="56"/>
  <c r="V80" i="56"/>
  <c r="V81" i="56"/>
  <c r="V82" i="56"/>
  <c r="V83" i="56"/>
  <c r="V84" i="56"/>
  <c r="V85" i="56"/>
  <c r="V86" i="56"/>
  <c r="W86" i="56" s="1"/>
  <c r="V87" i="56"/>
  <c r="V88" i="56"/>
  <c r="V89" i="56"/>
  <c r="V90" i="56"/>
  <c r="V91" i="56"/>
  <c r="V92" i="56"/>
  <c r="V93" i="56"/>
  <c r="V94" i="56"/>
  <c r="V95" i="56"/>
  <c r="V96" i="56"/>
  <c r="V97" i="56"/>
  <c r="V98" i="56"/>
  <c r="W98" i="56" s="1"/>
  <c r="V99" i="56"/>
  <c r="W99" i="56" s="1"/>
  <c r="V100" i="56"/>
  <c r="V101" i="56"/>
  <c r="V102" i="56"/>
  <c r="V103" i="56"/>
  <c r="W103" i="56" s="1"/>
  <c r="V104" i="56"/>
  <c r="V105" i="56"/>
  <c r="V106" i="56"/>
  <c r="W106" i="56" s="1"/>
  <c r="V107" i="56"/>
  <c r="V108" i="56"/>
  <c r="V109" i="56"/>
  <c r="V110" i="56"/>
  <c r="V111" i="56"/>
  <c r="V112" i="56"/>
  <c r="V113" i="56"/>
  <c r="V114" i="56"/>
  <c r="V115" i="56"/>
  <c r="V116" i="56"/>
  <c r="V117" i="56"/>
  <c r="V118" i="56"/>
  <c r="V119" i="56"/>
  <c r="V120" i="56"/>
  <c r="V121" i="56"/>
  <c r="V122" i="56"/>
  <c r="V123" i="56"/>
  <c r="V124" i="56"/>
  <c r="W124" i="56" s="1"/>
  <c r="V125" i="56"/>
  <c r="V126" i="56"/>
  <c r="V127" i="56"/>
  <c r="V128" i="56"/>
  <c r="V129" i="56"/>
  <c r="V130" i="56"/>
  <c r="V131" i="56"/>
  <c r="W131" i="56" s="1"/>
  <c r="V132" i="56"/>
  <c r="V133" i="56"/>
  <c r="V134" i="56"/>
  <c r="V135" i="56"/>
  <c r="V136" i="56"/>
  <c r="V137" i="56"/>
  <c r="V138" i="56"/>
  <c r="V139" i="56"/>
  <c r="V140" i="56"/>
  <c r="V141" i="56"/>
  <c r="W141" i="56" s="1"/>
  <c r="V142" i="56"/>
  <c r="W142" i="56" s="1"/>
  <c r="V143" i="56"/>
  <c r="W143" i="56" s="1"/>
  <c r="V144" i="56"/>
  <c r="W144" i="56" s="1"/>
  <c r="V145" i="56"/>
  <c r="V146" i="56"/>
  <c r="V147" i="56"/>
  <c r="W147" i="56" s="1"/>
  <c r="V148" i="56"/>
  <c r="V149" i="56"/>
  <c r="V150" i="56"/>
  <c r="V151" i="56"/>
  <c r="V152" i="56"/>
  <c r="V153" i="56"/>
  <c r="W153" i="56" s="1"/>
  <c r="V154" i="56"/>
  <c r="W154" i="56" s="1"/>
  <c r="V155" i="56"/>
  <c r="V156" i="56"/>
  <c r="V157" i="56"/>
  <c r="W157" i="56" s="1"/>
  <c r="V158" i="56"/>
  <c r="V159" i="56"/>
  <c r="V160" i="56"/>
  <c r="V161" i="56"/>
  <c r="V162" i="56"/>
  <c r="V163" i="56"/>
  <c r="V164" i="56"/>
  <c r="V165" i="56"/>
  <c r="V166" i="56"/>
  <c r="V167" i="56"/>
  <c r="W167" i="56" s="1"/>
  <c r="V168" i="56"/>
  <c r="V169" i="56"/>
  <c r="W169" i="56" s="1"/>
  <c r="V170" i="56"/>
  <c r="V171" i="56"/>
  <c r="V172" i="56"/>
  <c r="V173" i="56"/>
  <c r="W173" i="56" s="1"/>
  <c r="V174" i="56"/>
  <c r="V175" i="56"/>
  <c r="V176" i="56"/>
  <c r="V177" i="56"/>
  <c r="V178" i="56"/>
  <c r="W178" i="56" s="1"/>
  <c r="V179" i="56"/>
  <c r="W179" i="56" s="1"/>
  <c r="V180" i="56"/>
  <c r="W180" i="56" s="1"/>
  <c r="V181" i="56"/>
  <c r="V182" i="56"/>
  <c r="V183" i="56"/>
  <c r="V184" i="56"/>
  <c r="V185" i="56"/>
  <c r="V186" i="56"/>
  <c r="V187" i="56"/>
  <c r="V188" i="56"/>
  <c r="W188" i="56" s="1"/>
  <c r="V189" i="56"/>
  <c r="V190" i="56"/>
  <c r="V191" i="56"/>
  <c r="V192" i="56"/>
  <c r="V193" i="56"/>
  <c r="V194" i="56"/>
  <c r="V195" i="56"/>
  <c r="V196" i="56"/>
  <c r="V197" i="56"/>
  <c r="V198" i="56"/>
  <c r="V199" i="56"/>
  <c r="V200" i="56"/>
  <c r="V201" i="56"/>
  <c r="W201" i="56" s="1"/>
  <c r="V202" i="56"/>
  <c r="V203" i="56"/>
  <c r="V204" i="56"/>
  <c r="V205" i="56"/>
  <c r="V206" i="56"/>
  <c r="W206" i="56" s="1"/>
  <c r="V207" i="56"/>
  <c r="V208" i="56"/>
  <c r="W208" i="56" s="1"/>
  <c r="V209" i="56"/>
  <c r="V210" i="56"/>
  <c r="V211" i="56"/>
  <c r="V212" i="56"/>
  <c r="V213" i="56"/>
  <c r="V214" i="56"/>
  <c r="V215" i="56"/>
  <c r="V216" i="56"/>
  <c r="V217" i="56"/>
  <c r="V218" i="56"/>
  <c r="W218" i="56" s="1"/>
  <c r="V219" i="56"/>
  <c r="V220" i="56"/>
  <c r="V221" i="56"/>
  <c r="V222" i="56"/>
  <c r="V223" i="56"/>
  <c r="W223" i="56" s="1"/>
  <c r="V224" i="56"/>
  <c r="V225" i="56"/>
  <c r="V226" i="56"/>
  <c r="V227" i="56"/>
  <c r="V228" i="56"/>
  <c r="V229" i="56"/>
  <c r="V230" i="56"/>
  <c r="V231" i="56"/>
  <c r="W231" i="56" s="1"/>
  <c r="V232" i="56"/>
  <c r="V233" i="56"/>
  <c r="V234" i="56"/>
  <c r="W234" i="56" s="1"/>
  <c r="V235" i="56"/>
  <c r="W235" i="56" s="1"/>
  <c r="V236" i="56"/>
  <c r="V237" i="56"/>
  <c r="V238" i="56"/>
  <c r="V239" i="56"/>
  <c r="V240" i="56"/>
  <c r="V241" i="56"/>
  <c r="W241" i="56" s="1"/>
  <c r="V242" i="56"/>
  <c r="V243" i="56"/>
  <c r="V244" i="56"/>
  <c r="V245" i="56"/>
  <c r="W245" i="56" s="1"/>
  <c r="V246" i="56"/>
  <c r="V247" i="56"/>
  <c r="V248" i="56"/>
  <c r="V249" i="56"/>
  <c r="V250" i="56"/>
  <c r="V251" i="56"/>
  <c r="W251" i="56" s="1"/>
  <c r="V252" i="56"/>
  <c r="V253" i="56"/>
  <c r="W253" i="56" s="1"/>
  <c r="V254" i="56"/>
  <c r="W254" i="56" s="1"/>
  <c r="V255" i="56"/>
  <c r="W255" i="56" s="1"/>
  <c r="V256" i="56"/>
  <c r="V257" i="56"/>
  <c r="V258" i="56"/>
  <c r="V259" i="56"/>
  <c r="V260" i="56"/>
  <c r="V261" i="56"/>
  <c r="V262" i="56"/>
  <c r="V263" i="56"/>
  <c r="V264" i="56"/>
  <c r="V265" i="56"/>
  <c r="V266" i="56"/>
  <c r="V267" i="56"/>
  <c r="V268" i="56"/>
  <c r="V269" i="56"/>
  <c r="V270" i="56"/>
  <c r="V271" i="56"/>
  <c r="V272" i="56"/>
  <c r="V273" i="56"/>
  <c r="V274" i="56"/>
  <c r="V275" i="56"/>
  <c r="W275" i="56" s="1"/>
  <c r="V276" i="56"/>
  <c r="V277" i="56"/>
  <c r="V278" i="56"/>
  <c r="V279" i="56"/>
  <c r="V280" i="56"/>
  <c r="V281" i="56"/>
  <c r="V282" i="56"/>
  <c r="V283" i="56"/>
  <c r="V284" i="56"/>
  <c r="V285" i="56"/>
  <c r="V286" i="56"/>
  <c r="V287" i="56"/>
  <c r="V288" i="56"/>
  <c r="V289" i="56"/>
  <c r="V290" i="56"/>
  <c r="V291" i="56"/>
  <c r="V292" i="56"/>
  <c r="W292" i="56" s="1"/>
  <c r="V293" i="56"/>
  <c r="V294" i="56"/>
  <c r="V295" i="56"/>
  <c r="V296" i="56"/>
  <c r="V297" i="56"/>
  <c r="V298" i="56"/>
  <c r="V299" i="56"/>
  <c r="V300" i="56"/>
  <c r="V301" i="56"/>
  <c r="V302" i="56"/>
  <c r="V303" i="56"/>
  <c r="V304" i="56"/>
  <c r="V305" i="56"/>
  <c r="W305" i="56" s="1"/>
  <c r="V306" i="56"/>
  <c r="V307" i="56"/>
  <c r="V308" i="56"/>
  <c r="W308" i="56" s="1"/>
  <c r="V309" i="56"/>
  <c r="W309" i="56" s="1"/>
  <c r="V310" i="56"/>
  <c r="V311" i="56"/>
  <c r="V312" i="56"/>
  <c r="V313" i="56"/>
  <c r="V314" i="56"/>
  <c r="W314" i="56" s="1"/>
  <c r="V315" i="56"/>
  <c r="W315" i="56" s="1"/>
  <c r="V316" i="56"/>
  <c r="V317" i="56"/>
  <c r="V318" i="56"/>
  <c r="V319" i="56"/>
  <c r="V320" i="56"/>
  <c r="V321" i="56"/>
  <c r="V322" i="56"/>
  <c r="V323" i="56"/>
  <c r="W323" i="56" s="1"/>
  <c r="V324" i="56"/>
  <c r="W324" i="56" s="1"/>
  <c r="V325" i="56"/>
  <c r="V326" i="56"/>
  <c r="W326" i="56" s="1"/>
  <c r="V327" i="56"/>
  <c r="V328" i="56"/>
  <c r="V329" i="56"/>
  <c r="V330" i="56"/>
  <c r="W330" i="56" s="1"/>
  <c r="V331" i="56"/>
  <c r="V332" i="56"/>
  <c r="W332" i="56" s="1"/>
  <c r="V333" i="56"/>
  <c r="V334" i="56"/>
  <c r="V335" i="56"/>
  <c r="V336" i="56"/>
  <c r="W336" i="56" s="1"/>
  <c r="V337" i="56"/>
  <c r="V338" i="56"/>
  <c r="V339" i="56"/>
  <c r="V340" i="56"/>
  <c r="V341" i="56"/>
  <c r="V342" i="56"/>
  <c r="V343" i="56"/>
  <c r="V344" i="56"/>
  <c r="V345" i="56"/>
  <c r="V346" i="56"/>
  <c r="W346" i="56" s="1"/>
  <c r="V347" i="56"/>
  <c r="V348" i="56"/>
  <c r="V349" i="56"/>
  <c r="V350" i="56"/>
  <c r="V351" i="56"/>
  <c r="W351" i="56" s="1"/>
  <c r="V352" i="56"/>
  <c r="V353" i="56"/>
  <c r="V354" i="56"/>
  <c r="V355" i="56"/>
  <c r="V356" i="56"/>
  <c r="V357" i="56"/>
  <c r="V358" i="56"/>
  <c r="V359" i="56"/>
  <c r="V360" i="56"/>
  <c r="V361" i="56"/>
  <c r="V362" i="56"/>
  <c r="V363" i="56"/>
  <c r="V364" i="56"/>
  <c r="V365" i="56"/>
  <c r="V366" i="56"/>
  <c r="V367" i="56"/>
  <c r="V368" i="56"/>
  <c r="V369" i="56"/>
  <c r="V370" i="56"/>
  <c r="V371" i="56"/>
  <c r="V372" i="56"/>
  <c r="V373" i="56"/>
  <c r="V374" i="56"/>
  <c r="V375" i="56"/>
  <c r="V376" i="56"/>
  <c r="V377" i="56"/>
  <c r="V378" i="56"/>
  <c r="W378" i="56" s="1"/>
  <c r="V379" i="56"/>
  <c r="V380" i="56"/>
  <c r="V381" i="56"/>
  <c r="V382" i="56"/>
  <c r="V383" i="56"/>
  <c r="V384" i="56"/>
  <c r="V385" i="56"/>
  <c r="V386" i="56"/>
  <c r="V387" i="56"/>
  <c r="V388" i="56"/>
  <c r="W388" i="56" s="1"/>
  <c r="V389" i="56"/>
  <c r="W389" i="56" s="1"/>
  <c r="V390" i="56"/>
  <c r="W390" i="56" s="1"/>
  <c r="V391" i="56"/>
  <c r="W391" i="56" s="1"/>
  <c r="V392" i="56"/>
  <c r="V393" i="56"/>
  <c r="V394" i="56"/>
  <c r="V395" i="56"/>
  <c r="V396" i="56"/>
  <c r="V397" i="56"/>
  <c r="V398" i="56"/>
  <c r="V399" i="56"/>
  <c r="V400" i="56"/>
  <c r="V401" i="56"/>
  <c r="W401" i="56" s="1"/>
  <c r="V402" i="56"/>
  <c r="V403" i="56"/>
  <c r="V404" i="56"/>
  <c r="V405" i="56"/>
  <c r="V406" i="56"/>
  <c r="V407" i="56"/>
  <c r="V408" i="56"/>
  <c r="V409" i="56"/>
  <c r="W409" i="56" s="1"/>
  <c r="V410" i="56"/>
  <c r="V411" i="56"/>
  <c r="V412" i="56"/>
  <c r="V413" i="56"/>
  <c r="V414" i="56"/>
  <c r="V415" i="56"/>
  <c r="V416" i="56"/>
  <c r="V417" i="56"/>
  <c r="V418" i="56"/>
  <c r="W418" i="56" s="1"/>
  <c r="V419" i="56"/>
  <c r="W419" i="56" s="1"/>
  <c r="V420" i="56"/>
  <c r="V421" i="56"/>
  <c r="V422" i="56"/>
  <c r="V423" i="56"/>
  <c r="V424" i="56"/>
  <c r="W424" i="56" s="1"/>
  <c r="V425" i="56"/>
  <c r="V426" i="56"/>
  <c r="W426" i="56" s="1"/>
  <c r="V427" i="56"/>
  <c r="V428" i="56"/>
  <c r="V429" i="56"/>
  <c r="V430" i="56"/>
  <c r="W430" i="56" s="1"/>
  <c r="V431" i="56"/>
  <c r="V432" i="56"/>
  <c r="V433" i="56"/>
  <c r="V434" i="56"/>
  <c r="V435" i="56"/>
  <c r="V436" i="56"/>
  <c r="V437" i="56"/>
  <c r="V438" i="56"/>
  <c r="V439" i="56"/>
  <c r="W439" i="56" s="1"/>
  <c r="V440" i="56"/>
  <c r="W440" i="56" s="1"/>
  <c r="V441" i="56"/>
  <c r="V442" i="56"/>
  <c r="V443" i="56"/>
  <c r="V444" i="56"/>
  <c r="V445" i="56"/>
  <c r="V446" i="56"/>
  <c r="W446" i="56" s="1"/>
  <c r="V447" i="56"/>
  <c r="V448" i="56"/>
  <c r="V449" i="56"/>
  <c r="V450" i="56"/>
  <c r="V451" i="56"/>
  <c r="V452" i="56"/>
  <c r="W452" i="56" s="1"/>
  <c r="V453" i="56"/>
  <c r="V454" i="56"/>
  <c r="V455" i="56"/>
  <c r="V456" i="56"/>
  <c r="V457" i="56"/>
  <c r="V458" i="56"/>
  <c r="V459" i="56"/>
  <c r="V460" i="56"/>
  <c r="V461" i="56"/>
  <c r="V462" i="56"/>
  <c r="V463" i="56"/>
  <c r="V464" i="56"/>
  <c r="V465" i="56"/>
  <c r="V466" i="56"/>
  <c r="V467" i="56"/>
  <c r="W467" i="56" s="1"/>
  <c r="V468" i="56"/>
  <c r="V469" i="56"/>
  <c r="W469" i="56" s="1"/>
  <c r="V470" i="56"/>
  <c r="W470" i="56" s="1"/>
  <c r="V471" i="56"/>
  <c r="V472" i="56"/>
  <c r="V473" i="56"/>
  <c r="W473" i="56" s="1"/>
  <c r="V474" i="56"/>
  <c r="V475" i="56"/>
  <c r="V476" i="56"/>
  <c r="V477" i="56"/>
  <c r="V478" i="56"/>
  <c r="V479" i="56"/>
  <c r="V480" i="56"/>
  <c r="V481" i="56"/>
  <c r="V482" i="56"/>
  <c r="V483" i="56"/>
  <c r="V484" i="56"/>
  <c r="V485" i="56"/>
  <c r="V486" i="56"/>
  <c r="V487" i="56"/>
  <c r="V488" i="56"/>
  <c r="V489" i="56"/>
  <c r="V490" i="56"/>
  <c r="V491" i="56"/>
  <c r="V492" i="56"/>
  <c r="V493" i="56"/>
  <c r="V494" i="56"/>
  <c r="V495" i="56"/>
  <c r="V496" i="56"/>
  <c r="W496" i="56" s="1"/>
  <c r="V497" i="56"/>
  <c r="V498" i="56"/>
  <c r="V499" i="56"/>
  <c r="W499" i="56" s="1"/>
  <c r="V500" i="56"/>
  <c r="V501" i="56"/>
  <c r="V502" i="56"/>
  <c r="V503" i="56"/>
  <c r="V504" i="56"/>
  <c r="V505" i="56"/>
  <c r="V506" i="56"/>
  <c r="V507" i="56"/>
  <c r="V508" i="56"/>
  <c r="V509" i="56"/>
  <c r="V510" i="56"/>
  <c r="W510" i="56" s="1"/>
  <c r="V511" i="56"/>
  <c r="V512" i="56"/>
  <c r="V513" i="56"/>
  <c r="V514" i="56"/>
  <c r="V515" i="56"/>
  <c r="V516" i="56"/>
  <c r="V517" i="56"/>
  <c r="V518" i="56"/>
  <c r="W518" i="56" s="1"/>
  <c r="V519" i="56"/>
  <c r="V520" i="56"/>
  <c r="V521" i="56"/>
  <c r="V522" i="56"/>
  <c r="V523" i="56"/>
  <c r="V524" i="56"/>
  <c r="V525" i="56"/>
  <c r="V526" i="56"/>
  <c r="W526" i="56" s="1"/>
  <c r="V527" i="56"/>
  <c r="V528" i="56"/>
  <c r="W528" i="56" s="1"/>
  <c r="V529" i="56"/>
  <c r="V530" i="56"/>
  <c r="V531" i="56"/>
  <c r="V532" i="56"/>
  <c r="V533" i="56"/>
  <c r="V534" i="56"/>
  <c r="V535" i="56"/>
  <c r="V536" i="56"/>
  <c r="W536" i="56" s="1"/>
  <c r="V537" i="56"/>
  <c r="V538" i="56"/>
  <c r="W538" i="56" s="1"/>
  <c r="V539" i="56"/>
  <c r="V540" i="56"/>
  <c r="V541" i="56"/>
  <c r="V542" i="56"/>
  <c r="V543" i="56"/>
  <c r="V544" i="56"/>
  <c r="V545" i="56"/>
  <c r="V546" i="56"/>
  <c r="V547" i="56"/>
  <c r="V548" i="56"/>
  <c r="V549" i="56"/>
  <c r="V550" i="56"/>
  <c r="V551" i="56"/>
  <c r="V552" i="56"/>
  <c r="V553" i="56"/>
  <c r="V554" i="56"/>
  <c r="V555" i="56"/>
  <c r="V556" i="56"/>
  <c r="V557" i="56"/>
  <c r="V558" i="56"/>
  <c r="V559" i="56"/>
  <c r="V560" i="56"/>
  <c r="V561" i="56"/>
  <c r="V562" i="56"/>
  <c r="V563" i="56"/>
  <c r="V564" i="56"/>
  <c r="V565" i="56"/>
  <c r="W565" i="56" s="1"/>
  <c r="V566" i="56"/>
  <c r="V567" i="56"/>
  <c r="V568" i="56"/>
  <c r="W568" i="56" s="1"/>
  <c r="V569" i="56"/>
  <c r="V570" i="56"/>
  <c r="V571" i="56"/>
  <c r="V572" i="56"/>
  <c r="V573" i="56"/>
  <c r="W573" i="56" s="1"/>
  <c r="V574" i="56"/>
  <c r="W574" i="56" s="1"/>
  <c r="V575" i="56"/>
  <c r="W575" i="56" s="1"/>
  <c r="V576" i="56"/>
  <c r="W576" i="56" s="1"/>
  <c r="V577" i="56"/>
  <c r="W577" i="56" s="1"/>
  <c r="V578" i="56"/>
  <c r="V579" i="56"/>
  <c r="V580" i="56"/>
  <c r="V581" i="56"/>
  <c r="V582" i="56"/>
  <c r="V583" i="56"/>
  <c r="V584" i="56"/>
  <c r="V585" i="56"/>
  <c r="V586" i="56"/>
  <c r="V587" i="56"/>
  <c r="V588" i="56"/>
  <c r="V589" i="56"/>
  <c r="W589" i="56" s="1"/>
  <c r="V590" i="56"/>
  <c r="V591" i="56"/>
  <c r="V592" i="56"/>
  <c r="V593" i="56"/>
  <c r="V594" i="56"/>
  <c r="V595" i="56"/>
  <c r="W595" i="56" s="1"/>
  <c r="V596" i="56"/>
  <c r="V597" i="56"/>
  <c r="V598" i="56"/>
  <c r="V599" i="56"/>
  <c r="V600" i="56"/>
  <c r="V601" i="56"/>
  <c r="V602" i="56"/>
  <c r="W602" i="56" s="1"/>
  <c r="V603" i="56"/>
  <c r="W603" i="56" s="1"/>
  <c r="V604" i="56"/>
  <c r="V605" i="56"/>
  <c r="V606" i="56"/>
  <c r="V607" i="56"/>
  <c r="V608" i="56"/>
  <c r="V609" i="56"/>
  <c r="W609" i="56" s="1"/>
  <c r="V610" i="56"/>
  <c r="V611" i="56"/>
  <c r="V612" i="56"/>
  <c r="V613" i="56"/>
  <c r="V614" i="56"/>
  <c r="V615" i="56"/>
  <c r="V616" i="56"/>
  <c r="W616" i="56" s="1"/>
  <c r="V617" i="56"/>
  <c r="V618" i="56"/>
  <c r="V619" i="56"/>
  <c r="V620" i="56"/>
  <c r="V621" i="56"/>
  <c r="V622" i="56"/>
  <c r="V623" i="56"/>
  <c r="V624" i="56"/>
  <c r="V625" i="56"/>
  <c r="V626" i="56"/>
  <c r="V627" i="56"/>
  <c r="V628" i="56"/>
  <c r="V629" i="56"/>
  <c r="V630" i="56"/>
  <c r="V631" i="56"/>
  <c r="V632" i="56"/>
  <c r="V633" i="56"/>
  <c r="V634" i="56"/>
  <c r="V635" i="56"/>
  <c r="V636" i="56"/>
  <c r="V637" i="56"/>
  <c r="V638" i="56"/>
  <c r="V639" i="56"/>
  <c r="V640" i="56"/>
  <c r="V641" i="56"/>
  <c r="W641" i="56" s="1"/>
  <c r="V642" i="56"/>
  <c r="V643" i="56"/>
  <c r="V644" i="56"/>
  <c r="V645" i="56"/>
  <c r="V646" i="56"/>
  <c r="V647" i="56"/>
  <c r="V648" i="56"/>
  <c r="V649" i="56"/>
  <c r="V650" i="56"/>
  <c r="V651" i="56"/>
  <c r="V652" i="56"/>
  <c r="V653" i="56"/>
  <c r="V654" i="56"/>
  <c r="V655" i="56"/>
  <c r="V656" i="56"/>
  <c r="V657" i="56"/>
  <c r="V658" i="56"/>
  <c r="V659" i="56"/>
  <c r="V660" i="56"/>
  <c r="W660" i="56" s="1"/>
  <c r="V661" i="56"/>
  <c r="V662" i="56"/>
  <c r="V663" i="56"/>
  <c r="V664" i="56"/>
  <c r="V665" i="56"/>
  <c r="V666" i="56"/>
  <c r="V667" i="56"/>
  <c r="W667" i="56" s="1"/>
  <c r="V668" i="56"/>
  <c r="V669" i="56"/>
  <c r="V670" i="56"/>
  <c r="V671" i="56"/>
  <c r="W671" i="56" s="1"/>
  <c r="V672" i="56"/>
  <c r="V673" i="56"/>
  <c r="W673" i="56" s="1"/>
  <c r="V674" i="56"/>
  <c r="V675" i="56"/>
  <c r="V676" i="56"/>
  <c r="V677" i="56"/>
  <c r="V678" i="56"/>
  <c r="V679" i="56"/>
  <c r="V680" i="56"/>
  <c r="V681" i="56"/>
  <c r="V682" i="56"/>
  <c r="V683" i="56"/>
  <c r="V684" i="56"/>
  <c r="V685" i="56"/>
  <c r="V686" i="56"/>
  <c r="W686" i="56" s="1"/>
  <c r="V687" i="56"/>
  <c r="V688" i="56"/>
  <c r="V689" i="56"/>
  <c r="V690" i="56"/>
  <c r="V691" i="56"/>
  <c r="W691" i="56" s="1"/>
  <c r="V692" i="56"/>
  <c r="V693" i="56"/>
  <c r="V694" i="56"/>
  <c r="W694" i="56" s="1"/>
  <c r="V695" i="56"/>
  <c r="V696" i="56"/>
  <c r="V697" i="56"/>
  <c r="V698" i="56"/>
  <c r="V699" i="56"/>
  <c r="V700" i="56"/>
  <c r="W700" i="56" s="1"/>
  <c r="V701" i="56"/>
  <c r="W701" i="56" s="1"/>
  <c r="V702" i="56"/>
  <c r="V703" i="56"/>
  <c r="V704" i="56"/>
  <c r="W704" i="56" s="1"/>
  <c r="V705" i="56"/>
  <c r="V706" i="56"/>
  <c r="V707" i="56"/>
  <c r="V708" i="56"/>
  <c r="V709" i="56"/>
  <c r="V710" i="56"/>
  <c r="V711" i="56"/>
  <c r="V712" i="56"/>
  <c r="V713" i="56"/>
  <c r="V714" i="56"/>
  <c r="V715" i="56"/>
  <c r="V716" i="56"/>
  <c r="V717" i="56"/>
  <c r="V718" i="56"/>
  <c r="V719" i="56"/>
  <c r="V720" i="56"/>
  <c r="V721" i="56"/>
  <c r="V722" i="56"/>
  <c r="V723" i="56"/>
  <c r="V724" i="56"/>
  <c r="V725" i="56"/>
  <c r="V726" i="56"/>
  <c r="V727" i="56"/>
  <c r="V728" i="56"/>
  <c r="V729" i="56"/>
  <c r="V730" i="56"/>
  <c r="V731" i="56"/>
  <c r="V732" i="56"/>
  <c r="V733" i="56"/>
  <c r="V734" i="56"/>
  <c r="V735" i="56"/>
  <c r="W735" i="56" s="1"/>
  <c r="V736" i="56"/>
  <c r="V737" i="56"/>
  <c r="V738" i="56"/>
  <c r="V739" i="56"/>
  <c r="V740" i="56"/>
  <c r="V741" i="56"/>
  <c r="W741" i="56" s="1"/>
  <c r="V742" i="56"/>
  <c r="V743" i="56"/>
  <c r="V744" i="56"/>
  <c r="V745" i="56"/>
  <c r="V746" i="56"/>
  <c r="V747" i="56"/>
  <c r="V748" i="56"/>
  <c r="V749" i="56"/>
  <c r="W749" i="56" s="1"/>
  <c r="V750" i="56"/>
  <c r="V751" i="56"/>
  <c r="V752" i="56"/>
  <c r="W752" i="56" s="1"/>
  <c r="V753" i="56"/>
  <c r="V754" i="56"/>
  <c r="V755" i="56"/>
  <c r="V756" i="56"/>
  <c r="V757" i="56"/>
  <c r="V758" i="56"/>
  <c r="V759" i="56"/>
  <c r="V760" i="56"/>
  <c r="V761" i="56"/>
  <c r="W761" i="56" s="1"/>
  <c r="V762" i="56"/>
  <c r="V763" i="56"/>
  <c r="V764" i="56"/>
  <c r="V765" i="56"/>
  <c r="W765" i="56" s="1"/>
  <c r="V766" i="56"/>
  <c r="V767" i="56"/>
  <c r="V768" i="56"/>
  <c r="V769" i="56"/>
  <c r="V770" i="56"/>
  <c r="V771" i="56"/>
  <c r="W771" i="56" s="1"/>
  <c r="V772" i="56"/>
  <c r="V773" i="56"/>
  <c r="V774" i="56"/>
  <c r="V775" i="56"/>
  <c r="V776" i="56"/>
  <c r="V777" i="56"/>
  <c r="V778" i="56"/>
  <c r="V779" i="56"/>
  <c r="V780" i="56"/>
  <c r="V781" i="56"/>
  <c r="V782" i="56"/>
  <c r="V783" i="56"/>
  <c r="V784" i="56"/>
  <c r="W784" i="56" s="1"/>
  <c r="V785" i="56"/>
  <c r="W785" i="56" s="1"/>
  <c r="V786" i="56"/>
  <c r="W786" i="56" s="1"/>
  <c r="V787" i="56"/>
  <c r="W787" i="56" s="1"/>
  <c r="V788" i="56"/>
  <c r="V789" i="56"/>
  <c r="V790" i="56"/>
  <c r="V791" i="56"/>
  <c r="V792" i="56"/>
  <c r="V793" i="56"/>
  <c r="V794" i="56"/>
  <c r="V795" i="56"/>
  <c r="V796" i="56"/>
  <c r="V797" i="56"/>
  <c r="V798" i="56"/>
  <c r="V799" i="56"/>
  <c r="V800" i="56"/>
  <c r="V801" i="56"/>
  <c r="V802" i="56"/>
  <c r="W802" i="56" s="1"/>
  <c r="V803" i="56"/>
  <c r="V804" i="56"/>
  <c r="V805" i="56"/>
  <c r="V806" i="56"/>
  <c r="W806" i="56" s="1"/>
  <c r="V807" i="56"/>
  <c r="V808" i="56"/>
  <c r="V809" i="56"/>
  <c r="V810" i="56"/>
  <c r="W810" i="56" s="1"/>
  <c r="V811" i="56"/>
  <c r="V812" i="56"/>
  <c r="W812" i="56" s="1"/>
  <c r="V813" i="56"/>
  <c r="V814" i="56"/>
  <c r="V815" i="56"/>
  <c r="V816" i="56"/>
  <c r="V817" i="56"/>
  <c r="V818" i="56"/>
  <c r="V819" i="56"/>
  <c r="W819" i="56" s="1"/>
  <c r="V820" i="56"/>
  <c r="W820" i="56" s="1"/>
  <c r="V821" i="56"/>
  <c r="V822" i="56"/>
  <c r="W822" i="56" s="1"/>
  <c r="V823" i="56"/>
  <c r="V824" i="56"/>
  <c r="V825" i="56"/>
  <c r="V826" i="56"/>
  <c r="V827" i="56"/>
  <c r="V828" i="56"/>
  <c r="V829" i="56"/>
  <c r="V830" i="56"/>
  <c r="V831" i="56"/>
  <c r="W831" i="56" s="1"/>
  <c r="V832" i="56"/>
  <c r="V833" i="56"/>
  <c r="V834" i="56"/>
  <c r="V835" i="56"/>
  <c r="V836" i="56"/>
  <c r="W836" i="56" s="1"/>
  <c r="V837" i="56"/>
  <c r="V838" i="56"/>
  <c r="V839" i="56"/>
  <c r="V840" i="56"/>
  <c r="V841" i="56"/>
  <c r="V842" i="56"/>
  <c r="V843" i="56"/>
  <c r="V844" i="56"/>
  <c r="V845" i="56"/>
  <c r="W845" i="56" s="1"/>
  <c r="V846" i="56"/>
  <c r="V847" i="56"/>
  <c r="V848" i="56"/>
  <c r="V849" i="56"/>
  <c r="V850" i="56"/>
  <c r="V851" i="56"/>
  <c r="V852" i="56"/>
  <c r="V853" i="56"/>
  <c r="V854" i="56"/>
  <c r="V855" i="56"/>
  <c r="V856" i="56"/>
  <c r="V857" i="56"/>
  <c r="W857" i="56" s="1"/>
  <c r="V858" i="56"/>
  <c r="V859" i="56"/>
  <c r="V860" i="56"/>
  <c r="V861" i="56"/>
  <c r="V862" i="56"/>
  <c r="V863" i="56"/>
  <c r="V864" i="56"/>
  <c r="V865" i="56"/>
  <c r="V866" i="56"/>
  <c r="V867" i="56"/>
  <c r="V868" i="56"/>
  <c r="V869" i="56"/>
  <c r="V870" i="56"/>
  <c r="V871" i="56"/>
  <c r="V872" i="56"/>
  <c r="W872" i="56" s="1"/>
  <c r="V873" i="56"/>
  <c r="V874" i="56"/>
  <c r="W874" i="56" s="1"/>
  <c r="V875" i="56"/>
  <c r="V876" i="56"/>
  <c r="W876" i="56" s="1"/>
  <c r="V877" i="56"/>
  <c r="V878" i="56"/>
  <c r="V879" i="56"/>
  <c r="V880" i="56"/>
  <c r="V881" i="56"/>
  <c r="V882" i="56"/>
  <c r="V883" i="56"/>
  <c r="V884" i="56"/>
  <c r="V885" i="56"/>
  <c r="V886" i="56"/>
  <c r="V887" i="56"/>
  <c r="V888" i="56"/>
  <c r="V889" i="56"/>
  <c r="V890" i="56"/>
  <c r="V891" i="56"/>
  <c r="V892" i="56"/>
  <c r="V893" i="56"/>
  <c r="V894" i="56"/>
  <c r="V895" i="56"/>
  <c r="W895" i="56" s="1"/>
  <c r="V896" i="56"/>
  <c r="W896" i="56" s="1"/>
  <c r="V897" i="56"/>
  <c r="V898" i="56"/>
  <c r="V899" i="56"/>
  <c r="V900" i="56"/>
  <c r="V901" i="56"/>
  <c r="W901" i="56" s="1"/>
  <c r="V902" i="56"/>
  <c r="V903" i="56"/>
  <c r="V904" i="56"/>
  <c r="V905" i="56"/>
  <c r="V906" i="56"/>
  <c r="V907" i="56"/>
  <c r="V908" i="56"/>
  <c r="V909" i="56"/>
  <c r="V910" i="56"/>
  <c r="V911" i="56"/>
  <c r="V912" i="56"/>
  <c r="V913" i="56"/>
  <c r="V914" i="56"/>
  <c r="V915" i="56"/>
  <c r="V916" i="56"/>
  <c r="V917" i="56"/>
  <c r="V918" i="56"/>
  <c r="V919" i="56"/>
  <c r="V920" i="56"/>
  <c r="V921" i="56"/>
  <c r="V922" i="56"/>
  <c r="W922" i="56" s="1"/>
  <c r="V923" i="56"/>
  <c r="V924" i="56"/>
  <c r="W924" i="56" s="1"/>
  <c r="V925" i="56"/>
  <c r="V926" i="56"/>
  <c r="V927" i="56"/>
  <c r="V928" i="56"/>
  <c r="W928" i="56" s="1"/>
  <c r="V929" i="56"/>
  <c r="V930" i="56"/>
  <c r="V931" i="56"/>
  <c r="W931" i="56" s="1"/>
  <c r="V932" i="56"/>
  <c r="V933" i="56"/>
  <c r="V934" i="56"/>
  <c r="V935" i="56"/>
  <c r="V936" i="56"/>
  <c r="V937" i="56"/>
  <c r="V938" i="56"/>
  <c r="V939" i="56"/>
  <c r="V940" i="56"/>
  <c r="V941" i="56"/>
  <c r="W941" i="56" s="1"/>
  <c r="V942" i="56"/>
  <c r="V943" i="56"/>
  <c r="V944" i="56"/>
  <c r="V945" i="56"/>
  <c r="V946" i="56"/>
  <c r="W946" i="56" s="1"/>
  <c r="V947" i="56"/>
  <c r="V948" i="56"/>
  <c r="W948" i="56" s="1"/>
  <c r="V949" i="56"/>
  <c r="W949" i="56" s="1"/>
  <c r="V950" i="56"/>
  <c r="V951" i="56"/>
  <c r="V952" i="56"/>
  <c r="V953" i="56"/>
  <c r="V954" i="56"/>
  <c r="V955" i="56"/>
  <c r="W955" i="56" s="1"/>
  <c r="V956" i="56"/>
  <c r="W956" i="56" s="1"/>
  <c r="V957" i="56"/>
  <c r="V958" i="56"/>
  <c r="V959" i="56"/>
  <c r="W959" i="56" s="1"/>
  <c r="V960" i="56"/>
  <c r="V961" i="56"/>
  <c r="V962" i="56"/>
  <c r="V963" i="56"/>
  <c r="V964" i="56"/>
  <c r="W964" i="56" s="1"/>
  <c r="V965" i="56"/>
  <c r="V966" i="56"/>
  <c r="V967" i="56"/>
  <c r="V968" i="56"/>
  <c r="W968" i="56"/>
  <c r="V969" i="56"/>
  <c r="V970" i="56"/>
  <c r="V971" i="56"/>
  <c r="W971" i="56" s="1"/>
  <c r="V972" i="56"/>
  <c r="V973" i="56"/>
  <c r="V974" i="56"/>
  <c r="V975" i="56"/>
  <c r="W975" i="56" s="1"/>
  <c r="V976" i="56"/>
  <c r="V977" i="56"/>
  <c r="V978" i="56"/>
  <c r="W978" i="56" s="1"/>
  <c r="V979" i="56"/>
  <c r="V980" i="56"/>
  <c r="V981" i="56"/>
  <c r="V982" i="56"/>
  <c r="V983" i="56"/>
  <c r="W983" i="56" s="1"/>
  <c r="V984" i="56"/>
  <c r="V985" i="56"/>
  <c r="V986" i="56"/>
  <c r="V987" i="56"/>
  <c r="V988" i="56"/>
  <c r="V989" i="56"/>
  <c r="V990" i="56"/>
  <c r="V991" i="56"/>
  <c r="V992" i="56"/>
  <c r="V993" i="56"/>
  <c r="W993" i="56" s="1"/>
  <c r="V994" i="56"/>
  <c r="W994" i="56" s="1"/>
  <c r="V995" i="56"/>
  <c r="W995" i="56" s="1"/>
  <c r="V996" i="56"/>
  <c r="V997" i="56"/>
  <c r="V998" i="56"/>
  <c r="V999" i="56"/>
  <c r="V1000" i="56"/>
  <c r="V1001" i="56"/>
  <c r="V1002" i="56"/>
  <c r="V1003" i="56"/>
  <c r="V1004" i="56"/>
  <c r="V1005" i="56"/>
  <c r="V1006" i="56"/>
  <c r="V1007" i="56"/>
  <c r="V1008" i="56"/>
  <c r="V1009" i="56"/>
  <c r="V1010" i="56"/>
  <c r="V1011" i="56"/>
  <c r="V1012" i="56"/>
  <c r="V1013" i="56"/>
  <c r="V1014" i="56"/>
  <c r="V1015" i="56"/>
  <c r="W1015" i="56" s="1"/>
  <c r="V1016" i="56"/>
  <c r="V1017" i="56"/>
  <c r="V1018" i="56"/>
  <c r="V1019" i="56"/>
  <c r="V1020" i="56"/>
  <c r="V1021" i="56"/>
  <c r="V1022" i="56"/>
  <c r="V1023" i="56"/>
  <c r="V1024" i="56"/>
  <c r="V1025" i="56"/>
  <c r="V1026" i="56"/>
  <c r="V1027" i="56"/>
  <c r="V1028" i="56"/>
  <c r="V1029" i="56"/>
  <c r="V1030" i="56"/>
  <c r="V1031" i="56"/>
  <c r="V1032" i="56"/>
  <c r="V1033" i="56"/>
  <c r="W1033" i="56" s="1"/>
  <c r="V1034" i="56"/>
  <c r="V1035" i="56"/>
  <c r="W1035" i="56" s="1"/>
  <c r="V1036" i="56"/>
  <c r="V1037" i="56"/>
  <c r="V1038" i="56"/>
  <c r="V1039" i="56"/>
  <c r="V1040" i="56"/>
  <c r="V1041" i="56"/>
  <c r="V1042" i="56"/>
  <c r="V1043" i="56"/>
  <c r="V1044" i="56"/>
  <c r="V1045" i="56"/>
  <c r="V1046" i="56"/>
  <c r="V1047" i="56"/>
  <c r="V1048" i="56"/>
  <c r="V1049" i="56"/>
  <c r="V1050" i="56"/>
  <c r="V1051" i="56"/>
  <c r="V1052" i="56"/>
  <c r="V1053" i="56"/>
  <c r="W1053" i="56" s="1"/>
  <c r="V1054" i="56"/>
  <c r="W1054" i="56" s="1"/>
  <c r="V1055" i="56"/>
  <c r="W1055" i="56" s="1"/>
  <c r="V1056" i="56"/>
  <c r="V1057" i="56"/>
  <c r="V1058" i="56"/>
  <c r="V1059" i="56"/>
  <c r="V1060" i="56"/>
  <c r="V1061" i="56"/>
  <c r="V1062" i="56"/>
  <c r="V1063" i="56"/>
  <c r="V1064" i="56"/>
  <c r="V1065" i="56"/>
  <c r="V1066" i="56"/>
  <c r="V1067" i="56"/>
  <c r="V1068" i="56"/>
  <c r="V1069" i="56"/>
  <c r="V1070" i="56"/>
  <c r="V1071" i="56"/>
  <c r="V1072" i="56"/>
  <c r="V1073" i="56"/>
  <c r="V1074" i="56"/>
  <c r="V1075" i="56"/>
  <c r="V1076" i="56"/>
  <c r="V1077" i="56"/>
  <c r="V1078" i="56"/>
  <c r="V1079" i="56"/>
  <c r="V1080" i="56"/>
  <c r="V1081" i="56"/>
  <c r="V1082" i="56"/>
  <c r="W1082" i="56" s="1"/>
  <c r="V1083" i="56"/>
  <c r="V1084" i="56"/>
  <c r="V1085" i="56"/>
  <c r="V1086" i="56"/>
  <c r="W1086" i="56" s="1"/>
  <c r="V1087" i="56"/>
  <c r="V1088" i="56"/>
  <c r="V1089" i="56"/>
  <c r="V1090" i="56"/>
  <c r="V1091" i="56"/>
  <c r="V1092" i="56"/>
  <c r="V1093" i="56"/>
  <c r="W1093" i="56" s="1"/>
  <c r="V1094" i="56"/>
  <c r="V1095" i="56"/>
  <c r="V1096" i="56"/>
  <c r="V1097" i="56"/>
  <c r="V1098" i="56"/>
  <c r="V1099" i="56"/>
  <c r="V1100" i="56"/>
  <c r="V1101" i="56"/>
  <c r="V1102" i="56"/>
  <c r="V1103" i="56"/>
  <c r="V1104" i="56"/>
  <c r="V1105" i="56"/>
  <c r="V1106" i="56"/>
  <c r="V1107" i="56"/>
  <c r="W1107" i="56" s="1"/>
  <c r="V1108" i="56"/>
  <c r="W1108" i="56" s="1"/>
  <c r="V1109" i="56"/>
  <c r="V1110" i="56"/>
  <c r="V1111" i="56"/>
  <c r="V1112" i="56"/>
  <c r="V1113" i="56"/>
  <c r="V1114" i="56"/>
  <c r="V1115" i="56"/>
  <c r="V1116" i="56"/>
  <c r="V1117" i="56"/>
  <c r="V1118" i="56"/>
  <c r="V1119" i="56"/>
  <c r="V1120" i="56"/>
  <c r="V1121" i="56"/>
  <c r="W1121" i="56" s="1"/>
  <c r="V1122" i="56"/>
  <c r="V1123" i="56"/>
  <c r="V1124" i="56"/>
  <c r="V1125" i="56"/>
  <c r="W1125" i="56" s="1"/>
  <c r="V1126" i="56"/>
  <c r="V1127" i="56"/>
  <c r="V1128" i="56"/>
  <c r="V1129" i="56"/>
  <c r="V1130" i="56"/>
  <c r="V1131" i="56"/>
  <c r="V1132" i="56"/>
  <c r="V1133" i="56"/>
  <c r="V1134" i="56"/>
  <c r="V1135" i="56"/>
  <c r="V1136" i="56"/>
  <c r="V1137" i="56"/>
  <c r="V1138" i="56"/>
  <c r="V1139" i="56"/>
  <c r="V1140" i="56"/>
  <c r="W1140" i="56" s="1"/>
  <c r="V1141" i="56"/>
  <c r="V1142" i="56"/>
  <c r="W1142" i="56" s="1"/>
  <c r="V1143" i="56"/>
  <c r="V1144" i="56"/>
  <c r="V1145" i="56"/>
  <c r="W1145" i="56" s="1"/>
  <c r="V1146" i="56"/>
  <c r="V1147" i="56"/>
  <c r="V1148" i="56"/>
  <c r="V1149" i="56"/>
  <c r="V1150" i="56"/>
  <c r="V1151" i="56"/>
  <c r="V1152" i="56"/>
  <c r="V1153" i="56"/>
  <c r="V1154" i="56"/>
  <c r="W1154" i="56" s="1"/>
  <c r="V1155" i="56"/>
  <c r="V1156" i="56"/>
  <c r="W1156" i="56" s="1"/>
  <c r="V1157" i="56"/>
  <c r="V1158" i="56"/>
  <c r="V1159" i="56"/>
  <c r="V1160" i="56"/>
  <c r="V1161" i="56"/>
  <c r="V1162" i="56"/>
  <c r="V1163" i="56"/>
  <c r="W1163" i="56" s="1"/>
  <c r="V1164" i="56"/>
  <c r="V1165" i="56"/>
  <c r="V1166" i="56"/>
  <c r="V1167" i="56"/>
  <c r="V1168" i="56"/>
  <c r="V1169" i="56"/>
  <c r="W1169" i="56" s="1"/>
  <c r="V1170" i="56"/>
  <c r="V1171" i="56"/>
  <c r="V1172" i="56"/>
  <c r="W1172" i="56" s="1"/>
  <c r="V1173" i="56"/>
  <c r="V1174" i="56"/>
  <c r="V1175" i="56"/>
  <c r="V1176" i="56"/>
  <c r="V1177" i="56"/>
  <c r="V1178" i="56"/>
  <c r="V1179" i="56"/>
  <c r="V1180" i="56"/>
  <c r="V1181" i="56"/>
  <c r="V1182" i="56"/>
  <c r="V1183" i="56"/>
  <c r="V1184" i="56"/>
  <c r="V1185" i="56"/>
  <c r="V1186" i="56"/>
  <c r="V1187" i="56"/>
  <c r="V1188" i="56"/>
  <c r="V1189" i="56"/>
  <c r="W1189" i="56" s="1"/>
  <c r="V1190" i="56"/>
  <c r="W1190" i="56" s="1"/>
  <c r="V1191" i="56"/>
  <c r="V1192" i="56"/>
  <c r="V1193" i="56"/>
  <c r="V1194" i="56"/>
  <c r="V1195" i="56"/>
  <c r="V1196" i="56"/>
  <c r="V1197" i="56"/>
  <c r="V1198" i="56"/>
  <c r="W1198" i="56" s="1"/>
  <c r="V1199" i="56"/>
  <c r="V1200" i="56"/>
  <c r="V1201" i="56"/>
  <c r="V1202" i="56"/>
  <c r="V1203" i="56"/>
  <c r="V1204" i="56"/>
  <c r="V1205" i="56"/>
  <c r="W1205" i="56" s="1"/>
  <c r="V1206" i="56"/>
  <c r="V1207" i="56"/>
  <c r="V1208" i="56"/>
  <c r="V1209" i="56"/>
  <c r="V1210" i="56"/>
  <c r="V1211" i="56"/>
  <c r="V1212" i="56"/>
  <c r="V1213" i="56"/>
  <c r="W1213" i="56" s="1"/>
  <c r="V1214" i="56"/>
  <c r="V1215" i="56"/>
  <c r="V1216" i="56"/>
  <c r="V1217" i="56"/>
  <c r="W1217" i="56" s="1"/>
  <c r="V1218" i="56"/>
  <c r="V1219" i="56"/>
  <c r="W1219" i="56" s="1"/>
  <c r="V1220" i="56"/>
  <c r="V1221" i="56"/>
  <c r="V1222" i="56"/>
  <c r="V1223" i="56"/>
  <c r="V1224" i="56"/>
  <c r="V1225" i="56"/>
  <c r="V1226" i="56"/>
  <c r="V1227" i="56"/>
  <c r="V1228" i="56"/>
  <c r="V1229" i="56"/>
  <c r="V1230" i="56"/>
  <c r="V1231" i="56"/>
  <c r="W1231" i="56" s="1"/>
  <c r="V1232" i="56"/>
  <c r="V1233" i="56"/>
  <c r="V1234" i="56"/>
  <c r="V1235" i="56"/>
  <c r="V1236" i="56"/>
  <c r="V1237" i="56"/>
  <c r="V1238" i="56"/>
  <c r="V1239" i="56"/>
  <c r="V1240" i="56"/>
  <c r="V1241" i="56"/>
  <c r="V1242" i="56"/>
  <c r="V1243" i="56"/>
  <c r="V1244" i="56"/>
  <c r="V1245" i="56"/>
  <c r="V1246" i="56"/>
  <c r="V1247" i="56"/>
  <c r="V1248" i="56"/>
  <c r="V1249" i="56"/>
  <c r="V1250" i="56"/>
  <c r="V1251" i="56"/>
  <c r="V1252" i="56"/>
  <c r="V1253" i="56"/>
  <c r="V1254" i="56"/>
  <c r="V1255" i="56"/>
  <c r="V1256" i="56"/>
  <c r="V1257" i="56"/>
  <c r="V1258" i="56"/>
  <c r="V1259" i="56"/>
  <c r="V1260" i="56"/>
  <c r="V1261" i="56"/>
  <c r="V1262" i="56"/>
  <c r="V1263" i="56"/>
  <c r="V1264" i="56"/>
  <c r="V1265" i="56"/>
  <c r="V1266" i="56"/>
  <c r="V1267" i="56"/>
  <c r="W1267" i="56" s="1"/>
  <c r="V1268" i="56"/>
  <c r="V1269" i="56"/>
  <c r="V1270" i="56"/>
  <c r="V1271" i="56"/>
  <c r="W1271" i="56" s="1"/>
  <c r="V1272" i="56"/>
  <c r="V1273" i="56"/>
  <c r="V1274" i="56"/>
  <c r="V1275" i="56"/>
  <c r="V1276" i="56"/>
  <c r="V1277" i="56"/>
  <c r="W1277" i="56" s="1"/>
  <c r="V1278" i="56"/>
  <c r="V1279" i="56"/>
  <c r="V1280" i="56"/>
  <c r="V1281" i="56"/>
  <c r="V1282" i="56"/>
  <c r="V1283" i="56"/>
  <c r="V1284" i="56"/>
  <c r="V1285" i="56"/>
  <c r="V1286" i="56"/>
  <c r="V1287" i="56"/>
  <c r="V1288" i="56"/>
  <c r="V1289" i="56"/>
  <c r="V1290" i="56"/>
  <c r="V1291" i="56"/>
  <c r="V1292" i="56"/>
  <c r="W1292" i="56" s="1"/>
  <c r="V1293" i="56"/>
  <c r="V1294" i="56"/>
  <c r="V1295" i="56"/>
  <c r="V1296" i="56"/>
  <c r="W1296" i="56" s="1"/>
  <c r="V1297" i="56"/>
  <c r="V1298" i="56"/>
  <c r="V1299" i="56"/>
  <c r="V1300" i="56"/>
  <c r="V1301" i="56"/>
  <c r="V1302" i="56"/>
  <c r="V1303" i="56"/>
  <c r="V1304" i="56"/>
  <c r="W1304" i="56" s="1"/>
  <c r="V1305" i="56"/>
  <c r="W1305" i="56" s="1"/>
  <c r="V1306" i="56"/>
  <c r="V1307" i="56"/>
  <c r="V1308" i="56"/>
  <c r="V1309" i="56"/>
  <c r="V1310" i="56"/>
  <c r="V1311" i="56"/>
  <c r="V1312" i="56"/>
  <c r="V1313" i="56"/>
  <c r="V1314" i="56"/>
  <c r="W1314" i="56" s="1"/>
  <c r="V1315" i="56"/>
  <c r="V1316" i="56"/>
  <c r="V1317" i="56"/>
  <c r="V1318" i="56"/>
  <c r="W1318" i="56" s="1"/>
  <c r="V1319" i="56"/>
  <c r="V1320" i="56"/>
  <c r="V1321" i="56"/>
  <c r="V1322" i="56"/>
  <c r="V1323" i="56"/>
  <c r="V1324" i="56"/>
  <c r="V1325" i="56"/>
  <c r="V1326" i="56"/>
  <c r="V1327" i="56"/>
  <c r="V1328" i="56"/>
  <c r="W1328" i="56" s="1"/>
  <c r="V1329" i="56"/>
  <c r="W1329" i="56" s="1"/>
  <c r="V1330" i="56"/>
  <c r="V1331" i="56"/>
  <c r="V1332" i="56"/>
  <c r="V1333" i="56"/>
  <c r="W1333" i="56" s="1"/>
  <c r="V1334" i="56"/>
  <c r="V1335" i="56"/>
  <c r="V1336" i="56"/>
  <c r="W1336" i="56" s="1"/>
  <c r="V1337" i="56"/>
  <c r="V1338" i="56"/>
  <c r="W1338" i="56" s="1"/>
  <c r="V1339" i="56"/>
  <c r="V1340" i="56"/>
  <c r="V1341" i="56"/>
  <c r="V1342" i="56"/>
  <c r="V1343" i="56"/>
  <c r="W1343" i="56" s="1"/>
  <c r="V1344" i="56"/>
  <c r="V1345" i="56"/>
  <c r="V1346" i="56"/>
  <c r="W1346" i="56" s="1"/>
  <c r="V1347" i="56"/>
  <c r="V1348" i="56"/>
  <c r="V1349" i="56"/>
  <c r="W1349" i="56" s="1"/>
  <c r="V1350" i="56"/>
  <c r="V1351" i="56"/>
  <c r="W1351" i="56" s="1"/>
  <c r="V1352" i="56"/>
  <c r="V1353" i="56"/>
  <c r="V1354" i="56"/>
  <c r="V1355" i="56"/>
  <c r="V1356" i="56"/>
  <c r="V1357" i="56"/>
  <c r="V1358" i="56"/>
  <c r="V1359" i="56"/>
  <c r="V1360" i="56"/>
  <c r="V1361" i="56"/>
  <c r="V1362" i="56"/>
  <c r="V1363" i="56"/>
  <c r="V1364" i="56"/>
  <c r="V1365" i="56"/>
  <c r="V1366" i="56"/>
  <c r="V1367" i="56"/>
  <c r="V1368" i="56"/>
  <c r="V1369" i="56"/>
  <c r="W1369" i="56" s="1"/>
  <c r="V1370" i="56"/>
  <c r="V1371" i="56"/>
  <c r="V1372" i="56"/>
  <c r="W1372" i="56" s="1"/>
  <c r="V1373" i="56"/>
  <c r="V1374" i="56"/>
  <c r="V1375" i="56"/>
  <c r="V1376" i="56"/>
  <c r="V1377" i="56"/>
  <c r="V1378" i="56"/>
  <c r="V1379" i="56"/>
  <c r="V1380" i="56"/>
  <c r="V1381" i="56"/>
  <c r="V1382" i="56"/>
  <c r="V1383" i="56"/>
  <c r="V1384" i="56"/>
  <c r="V1385" i="56"/>
  <c r="V1386" i="56"/>
  <c r="V1387" i="56"/>
  <c r="V1388" i="56"/>
  <c r="V1389" i="56"/>
  <c r="V1390" i="56"/>
  <c r="V1391" i="56"/>
  <c r="V1392" i="56"/>
  <c r="V1393" i="56"/>
  <c r="V1394" i="56"/>
  <c r="V1395" i="56"/>
  <c r="V1396" i="56"/>
  <c r="V1397" i="56"/>
  <c r="W1397" i="56" s="1"/>
  <c r="V1398" i="56"/>
  <c r="V1399" i="56"/>
  <c r="V1400" i="56"/>
  <c r="V1401" i="56"/>
  <c r="V1402" i="56"/>
  <c r="V1403" i="56"/>
  <c r="V1404" i="56"/>
  <c r="V1405" i="56"/>
  <c r="V1406" i="56"/>
  <c r="V1407" i="56"/>
  <c r="V1408" i="56"/>
  <c r="V1409" i="56"/>
  <c r="V1410" i="56"/>
  <c r="V1411" i="56"/>
  <c r="V1412" i="56"/>
  <c r="V1413" i="56"/>
  <c r="W1413" i="56" s="1"/>
  <c r="V1414" i="56"/>
  <c r="V1415" i="56"/>
  <c r="V1416" i="56"/>
  <c r="V1417" i="56"/>
  <c r="W1417" i="56" s="1"/>
  <c r="V1418" i="56"/>
  <c r="W1418" i="56" s="1"/>
  <c r="V1419" i="56"/>
  <c r="W1419" i="56" s="1"/>
  <c r="V1420" i="56"/>
  <c r="W1420" i="56" s="1"/>
  <c r="V1421" i="56"/>
  <c r="V1422" i="56"/>
  <c r="V1423" i="56"/>
  <c r="W1423" i="56" s="1"/>
  <c r="V1424" i="56"/>
  <c r="V1425" i="56"/>
  <c r="W1425" i="56" s="1"/>
  <c r="V1426" i="56"/>
  <c r="V1427" i="56"/>
  <c r="W1427" i="56" s="1"/>
  <c r="V1428" i="56"/>
  <c r="V1429" i="56"/>
  <c r="V1430" i="56"/>
  <c r="W1430" i="56" s="1"/>
  <c r="V1431" i="56"/>
  <c r="V1432" i="56"/>
  <c r="V1433" i="56"/>
  <c r="V1434" i="56"/>
  <c r="V1435" i="56"/>
  <c r="W1435" i="56" s="1"/>
  <c r="V1436" i="56"/>
  <c r="V1437" i="56"/>
  <c r="V1438" i="56"/>
  <c r="V1439" i="56"/>
  <c r="W1439" i="56" s="1"/>
  <c r="V1440" i="56"/>
  <c r="V1441" i="56"/>
  <c r="V1442" i="56"/>
  <c r="W1442" i="56" s="1"/>
  <c r="V1443" i="56"/>
  <c r="V1444" i="56"/>
  <c r="V1445" i="56"/>
  <c r="V1446" i="56"/>
  <c r="V1447" i="56"/>
  <c r="V1448" i="56"/>
  <c r="V1449" i="56"/>
  <c r="V1450" i="56"/>
  <c r="V1451" i="56"/>
  <c r="V1452" i="56"/>
  <c r="W1452" i="56" s="1"/>
  <c r="V1453" i="56"/>
  <c r="V1454" i="56"/>
  <c r="V1455" i="56"/>
  <c r="V1456" i="56"/>
  <c r="V1457" i="56"/>
  <c r="V1458" i="56"/>
  <c r="V1459" i="56"/>
  <c r="V1460" i="56"/>
  <c r="V1461" i="56"/>
  <c r="V1462" i="56"/>
  <c r="V1463" i="56"/>
  <c r="V1464" i="56"/>
  <c r="V1465" i="56"/>
  <c r="V1466" i="56"/>
  <c r="V1467" i="56"/>
  <c r="V1468" i="56"/>
  <c r="V1469" i="56"/>
  <c r="V1470" i="56"/>
  <c r="V1471" i="56"/>
  <c r="V1472" i="56"/>
  <c r="V1473" i="56"/>
  <c r="V1474" i="56"/>
  <c r="V1475" i="56"/>
  <c r="W1475" i="56" s="1"/>
  <c r="V1476" i="56"/>
  <c r="W1476" i="56" s="1"/>
  <c r="V1477" i="56"/>
  <c r="V1478" i="56"/>
  <c r="V1479" i="56"/>
  <c r="V1480" i="56"/>
  <c r="V1481" i="56"/>
  <c r="V1482" i="56"/>
  <c r="W1482" i="56" s="1"/>
  <c r="V1483" i="56"/>
  <c r="V1484" i="56"/>
  <c r="W1484" i="56" s="1"/>
  <c r="V1485" i="56"/>
  <c r="V1486" i="56"/>
  <c r="V1487" i="56"/>
  <c r="V1488" i="56"/>
  <c r="W1488" i="56" s="1"/>
  <c r="V1489" i="56"/>
  <c r="V1490" i="56"/>
  <c r="V1491" i="56"/>
  <c r="V1492" i="56"/>
  <c r="V1493" i="56"/>
  <c r="V1494" i="56"/>
  <c r="V1495" i="56"/>
  <c r="V1496" i="56"/>
  <c r="W1496" i="56" s="1"/>
  <c r="V1497" i="56"/>
  <c r="V1498" i="56"/>
  <c r="W1498" i="56" s="1"/>
  <c r="V1499" i="56"/>
  <c r="V1500" i="56"/>
  <c r="W1500" i="56" s="1"/>
  <c r="V1501" i="56"/>
  <c r="V1502" i="56"/>
  <c r="V1503" i="56"/>
  <c r="V1504" i="56"/>
  <c r="V1505" i="56"/>
  <c r="V1506" i="56"/>
  <c r="V1507" i="56"/>
  <c r="W1507" i="56" s="1"/>
  <c r="V1508" i="56"/>
  <c r="V1509" i="56"/>
  <c r="V1510" i="56"/>
  <c r="W1510" i="56" s="1"/>
  <c r="V1511" i="56"/>
  <c r="V1512" i="56"/>
  <c r="V1513" i="56"/>
  <c r="V1514" i="56"/>
  <c r="W1514" i="56" s="1"/>
  <c r="V1515" i="56"/>
  <c r="V1516" i="56"/>
  <c r="V1517" i="56"/>
  <c r="W1517" i="56" s="1"/>
  <c r="V1518" i="56"/>
  <c r="W1518" i="56" s="1"/>
  <c r="V1519" i="56"/>
  <c r="W1519" i="56" s="1"/>
  <c r="V1520" i="56"/>
  <c r="V1521" i="56"/>
  <c r="V1522" i="56"/>
  <c r="V1523" i="56"/>
  <c r="V1524" i="56"/>
  <c r="V1525" i="56"/>
  <c r="W1525" i="56" s="1"/>
  <c r="V1526" i="56"/>
  <c r="V1527" i="56"/>
  <c r="V1528" i="56"/>
  <c r="V1529" i="56"/>
  <c r="W1529" i="56" s="1"/>
  <c r="V1530" i="56"/>
  <c r="W1530" i="56" s="1"/>
  <c r="V1531" i="56"/>
  <c r="V1532" i="56"/>
  <c r="W1532" i="56" s="1"/>
  <c r="V1533" i="56"/>
  <c r="V1534" i="56"/>
  <c r="V1535" i="56"/>
  <c r="V1536" i="56"/>
  <c r="V1537" i="56"/>
  <c r="V1538" i="56"/>
  <c r="V1539" i="56"/>
  <c r="W1539" i="56" s="1"/>
  <c r="V1540" i="56"/>
  <c r="V1541" i="56"/>
  <c r="V1542" i="56"/>
  <c r="V1543" i="56"/>
  <c r="V1544" i="56"/>
  <c r="V1545" i="56"/>
  <c r="V1546" i="56"/>
  <c r="V1547" i="56"/>
  <c r="V1548" i="56"/>
  <c r="V1549" i="56"/>
  <c r="V1550" i="56"/>
  <c r="V1551" i="56"/>
  <c r="V1552" i="56"/>
  <c r="V1553" i="56"/>
  <c r="V1554" i="56"/>
  <c r="V1555" i="56"/>
  <c r="V1556" i="56"/>
  <c r="V1557" i="56"/>
  <c r="V1558" i="56"/>
  <c r="V1559" i="56"/>
  <c r="W1559" i="56" s="1"/>
  <c r="V1560" i="56"/>
  <c r="W1560" i="56" s="1"/>
  <c r="V1561" i="56"/>
  <c r="V1562" i="56"/>
  <c r="V1563" i="56"/>
  <c r="W1563" i="56" s="1"/>
  <c r="V1564" i="56"/>
  <c r="V1565" i="56"/>
  <c r="V1566" i="56"/>
  <c r="V1567" i="56"/>
  <c r="V1568" i="56"/>
  <c r="V1569" i="56"/>
  <c r="V1570" i="56"/>
  <c r="V1571" i="56"/>
  <c r="V1572" i="56"/>
  <c r="V1573" i="56"/>
  <c r="V1574" i="56"/>
  <c r="V1575" i="56"/>
  <c r="V1576" i="56"/>
  <c r="V1577" i="56"/>
  <c r="W1577" i="56"/>
  <c r="V1578" i="56"/>
  <c r="W1578" i="56" s="1"/>
  <c r="V1579" i="56"/>
  <c r="V1580" i="56"/>
  <c r="W1580" i="56" s="1"/>
  <c r="V1581" i="56"/>
  <c r="V1582" i="56"/>
  <c r="V1583" i="56"/>
  <c r="V1584" i="56"/>
  <c r="V1585" i="56"/>
  <c r="V1586" i="56"/>
  <c r="V1587" i="56"/>
  <c r="V1588" i="56"/>
  <c r="V1589" i="56"/>
  <c r="V1590" i="56"/>
  <c r="V1591" i="56"/>
  <c r="V1592" i="56"/>
  <c r="V1593" i="56"/>
  <c r="V1594" i="56"/>
  <c r="V1595" i="56"/>
  <c r="V1596" i="56"/>
  <c r="V1597" i="56"/>
  <c r="V1598" i="56"/>
  <c r="W1598" i="56" s="1"/>
  <c r="V1599" i="56"/>
  <c r="V1600" i="56"/>
  <c r="V1601" i="56"/>
  <c r="V1602" i="56"/>
  <c r="V1603" i="56"/>
  <c r="W1603" i="56" s="1"/>
  <c r="V1604" i="56"/>
  <c r="V1605" i="56"/>
  <c r="V1606" i="56"/>
  <c r="V1607" i="56"/>
  <c r="W1607" i="56" s="1"/>
  <c r="V1608" i="56"/>
  <c r="V1609" i="56"/>
  <c r="V1610" i="56"/>
  <c r="W1610" i="56" s="1"/>
  <c r="V1611" i="56"/>
  <c r="V1612" i="56"/>
  <c r="W1612" i="56" s="1"/>
  <c r="V1613" i="56"/>
  <c r="V1614" i="56"/>
  <c r="V1615" i="56"/>
  <c r="V1616" i="56"/>
  <c r="V1617" i="56"/>
  <c r="V1618" i="56"/>
  <c r="V1619" i="56"/>
  <c r="V1620" i="56"/>
  <c r="V1621" i="56"/>
  <c r="V1622" i="56"/>
  <c r="V1623" i="56"/>
  <c r="V1624" i="56"/>
  <c r="V1625" i="56"/>
  <c r="V1626" i="56"/>
  <c r="V1627" i="56"/>
  <c r="W1627" i="56" s="1"/>
  <c r="V1628" i="56"/>
  <c r="V1629" i="56"/>
  <c r="V1630" i="56"/>
  <c r="V1631" i="56"/>
  <c r="V1632" i="56"/>
  <c r="V1633" i="56"/>
  <c r="W1633" i="56" s="1"/>
  <c r="V1634" i="56"/>
  <c r="V1635" i="56"/>
  <c r="V1636" i="56"/>
  <c r="V1637" i="56"/>
  <c r="V1638" i="56"/>
  <c r="V1639" i="56"/>
  <c r="V1640" i="56"/>
  <c r="V1641" i="56"/>
  <c r="V1642" i="56"/>
  <c r="V1643" i="56"/>
  <c r="V1644" i="56"/>
  <c r="V1645" i="56"/>
  <c r="V1646" i="56"/>
  <c r="V1647" i="56"/>
  <c r="V1648" i="56"/>
  <c r="V1649" i="56"/>
  <c r="V1650" i="56"/>
  <c r="V1651" i="56"/>
  <c r="W1651" i="56" s="1"/>
  <c r="V1652" i="56"/>
  <c r="V1653" i="56"/>
  <c r="V1654" i="56"/>
  <c r="W1654" i="56" s="1"/>
  <c r="V1655" i="56"/>
  <c r="V1656" i="56"/>
  <c r="V1657" i="56"/>
  <c r="V1658" i="56"/>
  <c r="V1659" i="56"/>
  <c r="V1660" i="56"/>
  <c r="V1661" i="56"/>
  <c r="V1662" i="56"/>
  <c r="V1663" i="56"/>
  <c r="V1664" i="56"/>
  <c r="V1665" i="56"/>
  <c r="V1666" i="56"/>
  <c r="V1667" i="56"/>
  <c r="V1668" i="56"/>
  <c r="V1669" i="56"/>
  <c r="W1669" i="56" s="1"/>
  <c r="V1670" i="56"/>
  <c r="V1671" i="56"/>
  <c r="V1672" i="56"/>
  <c r="V1673" i="56"/>
  <c r="V1674" i="56"/>
  <c r="V1675" i="56"/>
  <c r="V1676" i="56"/>
  <c r="V1677" i="56"/>
  <c r="V1678" i="56"/>
  <c r="V1679" i="56"/>
  <c r="W1679" i="56" s="1"/>
  <c r="V1680" i="56"/>
  <c r="W1680" i="56" s="1"/>
  <c r="V1681" i="56"/>
  <c r="V1682" i="56"/>
  <c r="V1683" i="56"/>
  <c r="V1684" i="56"/>
  <c r="V1685" i="56"/>
  <c r="V1686" i="56"/>
  <c r="W1686" i="56" s="1"/>
  <c r="V1687" i="56"/>
  <c r="V1688" i="56"/>
  <c r="V1689" i="56"/>
  <c r="W1689" i="56" s="1"/>
  <c r="V1690" i="56"/>
  <c r="V1691" i="56"/>
  <c r="V1692" i="56"/>
  <c r="V1693" i="56"/>
  <c r="V1694" i="56"/>
  <c r="V1695" i="56"/>
  <c r="V1696" i="56"/>
  <c r="V1697" i="56"/>
  <c r="V1698" i="56"/>
  <c r="W1698" i="56" s="1"/>
  <c r="V1699" i="56"/>
  <c r="W1699" i="56" s="1"/>
  <c r="V1700" i="56"/>
  <c r="V1701" i="56"/>
  <c r="V1702" i="56"/>
  <c r="V1703" i="56"/>
  <c r="V1704" i="56"/>
  <c r="V1705" i="56"/>
  <c r="V1706" i="56"/>
  <c r="W1706" i="56" s="1"/>
  <c r="V1707" i="56"/>
  <c r="V1708" i="56"/>
  <c r="W1708" i="56" s="1"/>
  <c r="V1709" i="56"/>
  <c r="W1709" i="56" s="1"/>
  <c r="V1710" i="56"/>
  <c r="V1711" i="56"/>
  <c r="V1712" i="56"/>
  <c r="W1712" i="56" s="1"/>
  <c r="V1713" i="56"/>
  <c r="V1714" i="56"/>
  <c r="V1715" i="56"/>
  <c r="W1715" i="56" s="1"/>
  <c r="V1716" i="56"/>
  <c r="V1717" i="56"/>
  <c r="V1718" i="56"/>
  <c r="W1718" i="56" s="1"/>
  <c r="V1719" i="56"/>
  <c r="V1720" i="56"/>
  <c r="V1721" i="56"/>
  <c r="V1722" i="56"/>
  <c r="V1723" i="56"/>
  <c r="V1724" i="56"/>
  <c r="V1725" i="56"/>
  <c r="V1726" i="56"/>
  <c r="V1727" i="56"/>
  <c r="V1728" i="56"/>
  <c r="V1729" i="56"/>
  <c r="V1730" i="56"/>
  <c r="V1731" i="56"/>
  <c r="V1732" i="56"/>
  <c r="W1732" i="56" s="1"/>
  <c r="V1733" i="56"/>
  <c r="V1734" i="56"/>
  <c r="V1735" i="56"/>
  <c r="V1736" i="56"/>
  <c r="V1737" i="56"/>
  <c r="V1738" i="56"/>
  <c r="V1739" i="56"/>
  <c r="V1740" i="56"/>
  <c r="V1741" i="56"/>
  <c r="V1742" i="56"/>
  <c r="V1743" i="56"/>
  <c r="W1743" i="56" s="1"/>
  <c r="V1744" i="56"/>
  <c r="V1745" i="56"/>
  <c r="V1746" i="56"/>
  <c r="V1747" i="56"/>
  <c r="V1748" i="56"/>
  <c r="V1749" i="56"/>
  <c r="V1750" i="56"/>
  <c r="V1751" i="56"/>
  <c r="V1752" i="56"/>
  <c r="V1753" i="56"/>
  <c r="W1753" i="56" s="1"/>
  <c r="V1754" i="56"/>
  <c r="V1755" i="56"/>
  <c r="V1756" i="56"/>
  <c r="V1757" i="56"/>
  <c r="V1758" i="56"/>
  <c r="V1759" i="56"/>
  <c r="V1760" i="56"/>
  <c r="V1761" i="56"/>
  <c r="V1762" i="56"/>
  <c r="V1763" i="56"/>
  <c r="V1764" i="56"/>
  <c r="V1765" i="56"/>
  <c r="V1766" i="56"/>
  <c r="W1766" i="56" s="1"/>
  <c r="V1767" i="56"/>
  <c r="W1767" i="56" s="1"/>
  <c r="V1768" i="56"/>
  <c r="V1769" i="56"/>
  <c r="W1769" i="56" s="1"/>
  <c r="V1770" i="56"/>
  <c r="V1771" i="56"/>
  <c r="V1772" i="56"/>
  <c r="V1773" i="56"/>
  <c r="V1774" i="56"/>
  <c r="V1775" i="56"/>
  <c r="V1776" i="56"/>
  <c r="V1777" i="56"/>
  <c r="V1778" i="56"/>
  <c r="V1779" i="56"/>
  <c r="W1779" i="56" s="1"/>
  <c r="V1780" i="56"/>
  <c r="V1781" i="56"/>
  <c r="V1782" i="56"/>
  <c r="W1782" i="56" s="1"/>
  <c r="V1783" i="56"/>
  <c r="V1784" i="56"/>
  <c r="V1785" i="56"/>
  <c r="V1786" i="56"/>
  <c r="V1787" i="56"/>
  <c r="W1787" i="56" s="1"/>
  <c r="V1788" i="56"/>
  <c r="V1789" i="56"/>
  <c r="V1790" i="56"/>
  <c r="V1791" i="56"/>
  <c r="V1792" i="56"/>
  <c r="V1793" i="56"/>
  <c r="W1793" i="56" s="1"/>
  <c r="V1794" i="56"/>
  <c r="V1795" i="56"/>
  <c r="V1796" i="56"/>
  <c r="V1797" i="56"/>
  <c r="V1798" i="56"/>
  <c r="V1799" i="56"/>
  <c r="V1800" i="56"/>
  <c r="V1801" i="56"/>
  <c r="V1802" i="56"/>
  <c r="V1803" i="56"/>
  <c r="V1804" i="56"/>
  <c r="V1805" i="56"/>
  <c r="V1806" i="56"/>
  <c r="V1807" i="56"/>
  <c r="V1808" i="56"/>
  <c r="V1809" i="56"/>
  <c r="V1810" i="56"/>
  <c r="V1811" i="56"/>
  <c r="W1811" i="56" s="1"/>
  <c r="V1812" i="56"/>
  <c r="V1813" i="56"/>
  <c r="V1814" i="56"/>
  <c r="V1815" i="56"/>
  <c r="V1816" i="56"/>
  <c r="V1817" i="56"/>
  <c r="V1818" i="56"/>
  <c r="V1819" i="56"/>
  <c r="V1820" i="56"/>
  <c r="W1820" i="56" s="1"/>
  <c r="V1821" i="56"/>
  <c r="V1822" i="56"/>
  <c r="V1823" i="56"/>
  <c r="V1824" i="56"/>
  <c r="V1825" i="56"/>
  <c r="W1825" i="56" s="1"/>
  <c r="V1826" i="56"/>
  <c r="V1827" i="56"/>
  <c r="V1828" i="56"/>
  <c r="V1829" i="56"/>
  <c r="V1830" i="56"/>
  <c r="V1831" i="56"/>
  <c r="V1832" i="56"/>
  <c r="V1833" i="56"/>
  <c r="V1834" i="56"/>
  <c r="W1834" i="56" s="1"/>
  <c r="V1835" i="56"/>
  <c r="V1836" i="56"/>
  <c r="V1837" i="56"/>
  <c r="V1838" i="56"/>
  <c r="V1839" i="56"/>
  <c r="V1840" i="56"/>
  <c r="W1840" i="56" s="1"/>
  <c r="V1841" i="56"/>
  <c r="V1842" i="56"/>
  <c r="V1843" i="56"/>
  <c r="W1843" i="56" s="1"/>
  <c r="V1844" i="56"/>
  <c r="V1845" i="56"/>
  <c r="V1846" i="56"/>
  <c r="V1847" i="56"/>
  <c r="V1848" i="56"/>
  <c r="W1848" i="56" s="1"/>
  <c r="V1849" i="56"/>
  <c r="V1850" i="56"/>
  <c r="V1851" i="56"/>
  <c r="V1852" i="56"/>
  <c r="V1853" i="56"/>
  <c r="V1854" i="56"/>
  <c r="V1855" i="56"/>
  <c r="V1856" i="56"/>
  <c r="W1856" i="56" s="1"/>
  <c r="V1857" i="56"/>
  <c r="V1858" i="56"/>
  <c r="W1858" i="56" s="1"/>
  <c r="V1859" i="56"/>
  <c r="W1859" i="56" s="1"/>
  <c r="V1860" i="56"/>
  <c r="V1861" i="56"/>
  <c r="V1862" i="56"/>
  <c r="V1863" i="56"/>
  <c r="V1864" i="56"/>
  <c r="V1865" i="56"/>
  <c r="V1866" i="56"/>
  <c r="W1866" i="56" s="1"/>
  <c r="V1867" i="56"/>
  <c r="V1868" i="56"/>
  <c r="V1869" i="56"/>
  <c r="V1870" i="56"/>
  <c r="V1871" i="56"/>
  <c r="V1872" i="56"/>
  <c r="V1873" i="56"/>
  <c r="V1874" i="56"/>
  <c r="V1875" i="56"/>
  <c r="V1876" i="56"/>
  <c r="V1877" i="56"/>
  <c r="V1878" i="56"/>
  <c r="V1879" i="56"/>
  <c r="V1880" i="56"/>
  <c r="V1881" i="56"/>
  <c r="V1882" i="56"/>
  <c r="V1883" i="56"/>
  <c r="V1884" i="56"/>
  <c r="W1884" i="56" s="1"/>
  <c r="V1885" i="56"/>
  <c r="V1886" i="56"/>
  <c r="V1887" i="56"/>
  <c r="W1887" i="56" s="1"/>
  <c r="V1888" i="56"/>
  <c r="V1889" i="56"/>
  <c r="V1890" i="56"/>
  <c r="V1891" i="56"/>
  <c r="V1892" i="56"/>
  <c r="W1892" i="56" s="1"/>
  <c r="V1893" i="56"/>
  <c r="V1894" i="56"/>
  <c r="V1895" i="56"/>
  <c r="V1896" i="56"/>
  <c r="V1897" i="56"/>
  <c r="V1898" i="56"/>
  <c r="V1899" i="56"/>
  <c r="V1900" i="56"/>
  <c r="W1900" i="56" s="1"/>
  <c r="V1901" i="56"/>
  <c r="V1902" i="56"/>
  <c r="V1903" i="56"/>
  <c r="V1904" i="56"/>
  <c r="V1905" i="56"/>
  <c r="V1906" i="56"/>
  <c r="V1907" i="56"/>
  <c r="V1908" i="56"/>
  <c r="V1909" i="56"/>
  <c r="V1910" i="56"/>
  <c r="V1911" i="56"/>
  <c r="V1912" i="56"/>
  <c r="V1913" i="56"/>
  <c r="V1914" i="56"/>
  <c r="V1915" i="56"/>
  <c r="V1916" i="56"/>
  <c r="V1917" i="56"/>
  <c r="V1918" i="56"/>
  <c r="V1919" i="56"/>
  <c r="V1920" i="56"/>
  <c r="W1920" i="56" s="1"/>
  <c r="V1921" i="56"/>
  <c r="V1922" i="56"/>
  <c r="V1923" i="56"/>
  <c r="V1924" i="56"/>
  <c r="V1925" i="56"/>
  <c r="V1926" i="56"/>
  <c r="V1927" i="56"/>
  <c r="W1927" i="56" s="1"/>
  <c r="V1928" i="56"/>
  <c r="V1929" i="56"/>
  <c r="V1930" i="56"/>
  <c r="V1931" i="56"/>
  <c r="V1932" i="56"/>
  <c r="V1933" i="56"/>
  <c r="V1934" i="56"/>
  <c r="V1935" i="56"/>
  <c r="V1936" i="56"/>
  <c r="V1937" i="56"/>
  <c r="V1938" i="56"/>
  <c r="V1939" i="56"/>
  <c r="W1939" i="56" s="1"/>
  <c r="V1940" i="56"/>
  <c r="V1941" i="56"/>
  <c r="V1942" i="56"/>
  <c r="V1943" i="56"/>
  <c r="W1943" i="56" s="1"/>
  <c r="V1944" i="56"/>
  <c r="V1945" i="56"/>
  <c r="V1946" i="56"/>
  <c r="V1947" i="56"/>
  <c r="V1948" i="56"/>
  <c r="V1949" i="56"/>
  <c r="V1950" i="56"/>
  <c r="V1951" i="56"/>
  <c r="V1952" i="56"/>
  <c r="W1952" i="56" s="1"/>
  <c r="V1953" i="56"/>
  <c r="V1954" i="56"/>
  <c r="V1955" i="56"/>
  <c r="V1956" i="56"/>
  <c r="V1957" i="56"/>
  <c r="V1958" i="56"/>
  <c r="V1959" i="56"/>
  <c r="V1960" i="56"/>
  <c r="V1961" i="56"/>
  <c r="V1962" i="56"/>
  <c r="W1962" i="56" s="1"/>
  <c r="V1963" i="56"/>
  <c r="V1964" i="56"/>
  <c r="V1965" i="56"/>
  <c r="V1966" i="56"/>
  <c r="V1967" i="56"/>
  <c r="W1967" i="56" s="1"/>
  <c r="V1968" i="56"/>
  <c r="V1969" i="56"/>
  <c r="W1969" i="56" s="1"/>
  <c r="V1970" i="56"/>
  <c r="V1971" i="56"/>
  <c r="V1972" i="56"/>
  <c r="V1973" i="56"/>
  <c r="V1974" i="56"/>
  <c r="W1974" i="56" s="1"/>
  <c r="V1975" i="56"/>
  <c r="V1976" i="56"/>
  <c r="V1977" i="56"/>
  <c r="W1977" i="56" s="1"/>
  <c r="V1978" i="56"/>
  <c r="W1978" i="56" s="1"/>
  <c r="V1979" i="56"/>
  <c r="V1980" i="56"/>
  <c r="V1981" i="56"/>
  <c r="W1981" i="56" s="1"/>
  <c r="V1982" i="56"/>
  <c r="V1983" i="56"/>
  <c r="V1984" i="56"/>
  <c r="V1985" i="56"/>
  <c r="V1986" i="56"/>
  <c r="W1986" i="56" s="1"/>
  <c r="V1987" i="56"/>
  <c r="V1988" i="56"/>
  <c r="V1989" i="56"/>
  <c r="W1989" i="56" s="1"/>
  <c r="V1990" i="56"/>
  <c r="W1990" i="56" s="1"/>
  <c r="V1991" i="56"/>
  <c r="V1992" i="56"/>
  <c r="V1993" i="56"/>
  <c r="V1994" i="56"/>
  <c r="W1994" i="56" s="1"/>
  <c r="V1995" i="56"/>
  <c r="V1996" i="56"/>
  <c r="V1997" i="56"/>
  <c r="V1998" i="56"/>
  <c r="V1999" i="56"/>
  <c r="V2000" i="56"/>
  <c r="V2001" i="56"/>
  <c r="V2002" i="56"/>
  <c r="W2002" i="56" s="1"/>
  <c r="V2003" i="56"/>
  <c r="V2004" i="56"/>
  <c r="V2005" i="56"/>
  <c r="V2006" i="56"/>
  <c r="V2007" i="56"/>
  <c r="V2008" i="56"/>
  <c r="V2009" i="56"/>
  <c r="V2010" i="56"/>
  <c r="V2011" i="56"/>
  <c r="V2012" i="56"/>
  <c r="V2013" i="56"/>
  <c r="V2014" i="56"/>
  <c r="V2015" i="56"/>
  <c r="V2016" i="56"/>
  <c r="V2017" i="56"/>
  <c r="V2018" i="56"/>
  <c r="V2019" i="56"/>
  <c r="V2020" i="56"/>
  <c r="V2021" i="56"/>
  <c r="V2022" i="56"/>
  <c r="V2023" i="56"/>
  <c r="V2024" i="56"/>
  <c r="W2024" i="56" s="1"/>
  <c r="V2025" i="56"/>
  <c r="W2025" i="56" s="1"/>
  <c r="V2026" i="56"/>
  <c r="V2027" i="56"/>
  <c r="V2028" i="56"/>
  <c r="V2029" i="56"/>
  <c r="V2030" i="56"/>
  <c r="V2031" i="56"/>
  <c r="V2032" i="56"/>
  <c r="W2032" i="56" s="1"/>
  <c r="V2033" i="56"/>
  <c r="V2034" i="56"/>
  <c r="W2034" i="56" s="1"/>
  <c r="V2035" i="56"/>
  <c r="V2036" i="56"/>
  <c r="V2037" i="56"/>
  <c r="V2038" i="56"/>
  <c r="V2039" i="56"/>
  <c r="W2039" i="56" s="1"/>
  <c r="V2040" i="56"/>
  <c r="V2041" i="56"/>
  <c r="V2042" i="56"/>
  <c r="V2043" i="56"/>
  <c r="V2044" i="56"/>
  <c r="V2045" i="56"/>
  <c r="V2046" i="56"/>
  <c r="V2047" i="56"/>
  <c r="V2048" i="56"/>
  <c r="W2048" i="56" s="1"/>
  <c r="V2049" i="56"/>
  <c r="W2049" i="56" s="1"/>
  <c r="V2050" i="56"/>
  <c r="W2050" i="56" s="1"/>
  <c r="V2051" i="56"/>
  <c r="V2052" i="56"/>
  <c r="V2053" i="56"/>
  <c r="V2054" i="56"/>
  <c r="W2054" i="56" s="1"/>
  <c r="V2055" i="56"/>
  <c r="W2055" i="56" s="1"/>
  <c r="V2056" i="56"/>
  <c r="V2057" i="56"/>
  <c r="W2057" i="56" s="1"/>
  <c r="V2058" i="56"/>
  <c r="W2058" i="56" s="1"/>
  <c r="V2059" i="56"/>
  <c r="V2060" i="56"/>
  <c r="V2061" i="56"/>
  <c r="V2062" i="56"/>
  <c r="V2063" i="56"/>
  <c r="V2064" i="56"/>
  <c r="V2065" i="56"/>
  <c r="V2066" i="56"/>
  <c r="W2066" i="56" s="1"/>
  <c r="V2067" i="56"/>
  <c r="V2068" i="56"/>
  <c r="V2069" i="56"/>
  <c r="V2070" i="56"/>
  <c r="V2071" i="56"/>
  <c r="V2072" i="56"/>
  <c r="V2073" i="56"/>
  <c r="V2074" i="56"/>
  <c r="V2075" i="56"/>
  <c r="V2076" i="56"/>
  <c r="W2076" i="56" s="1"/>
  <c r="V2077" i="56"/>
  <c r="W2077" i="56" s="1"/>
  <c r="V2078" i="56"/>
  <c r="V2079" i="56"/>
  <c r="V2080" i="56"/>
  <c r="V2081" i="56"/>
  <c r="V2082" i="56"/>
  <c r="V2083" i="56"/>
  <c r="V2084" i="56"/>
  <c r="V2085" i="56"/>
  <c r="V2086" i="56"/>
  <c r="V2087" i="56"/>
  <c r="V2088" i="56"/>
  <c r="V2089" i="56"/>
  <c r="V2090" i="56"/>
  <c r="V2091" i="56"/>
  <c r="V2092" i="56"/>
  <c r="V2093" i="56"/>
  <c r="V2094" i="56"/>
  <c r="V2095" i="56"/>
  <c r="V2096" i="56"/>
  <c r="V2097" i="56"/>
  <c r="V2098" i="56"/>
  <c r="V2099" i="56"/>
  <c r="V2100" i="56"/>
  <c r="W2100" i="56"/>
  <c r="V2101" i="56"/>
  <c r="V2102" i="56"/>
  <c r="V2103" i="56"/>
  <c r="V2104" i="56"/>
  <c r="V2105" i="56"/>
  <c r="V2106" i="56"/>
  <c r="V2107" i="56"/>
  <c r="V2108" i="56"/>
  <c r="V2109" i="56"/>
  <c r="V2110" i="56"/>
  <c r="V2111" i="56"/>
  <c r="V2112" i="56"/>
  <c r="V2113" i="56"/>
  <c r="V2114" i="56"/>
  <c r="V2115" i="56"/>
  <c r="W2115" i="56" s="1"/>
  <c r="V2116" i="56"/>
  <c r="W2116" i="56" s="1"/>
  <c r="V2117" i="56"/>
  <c r="V2118" i="56"/>
  <c r="V2119" i="56"/>
  <c r="V2120" i="56"/>
  <c r="V2121" i="56"/>
  <c r="V2122" i="56"/>
  <c r="V2123" i="56"/>
  <c r="V2124" i="56"/>
  <c r="V2125" i="56"/>
  <c r="W2125" i="56" s="1"/>
  <c r="V2126" i="56"/>
  <c r="V2127" i="56"/>
  <c r="V2128" i="56"/>
  <c r="W2128" i="56" s="1"/>
  <c r="V2129" i="56"/>
  <c r="V2130" i="56"/>
  <c r="V2131" i="56"/>
  <c r="V2132" i="56"/>
  <c r="V2133" i="56"/>
  <c r="V2134" i="56"/>
  <c r="V2135" i="56"/>
  <c r="V2136" i="56"/>
  <c r="V2137" i="56"/>
  <c r="W2137" i="56" s="1"/>
  <c r="V2138" i="56"/>
  <c r="W2138" i="56" s="1"/>
  <c r="V2139" i="56"/>
  <c r="V2140" i="56"/>
  <c r="V2141" i="56"/>
  <c r="V2142" i="56"/>
  <c r="V2143" i="56"/>
  <c r="V2144" i="56"/>
  <c r="V2145" i="56"/>
  <c r="W2145" i="56" s="1"/>
  <c r="V2146" i="56"/>
  <c r="V2147" i="56"/>
  <c r="W2147" i="56" s="1"/>
  <c r="V2148" i="56"/>
  <c r="W2148" i="56" s="1"/>
  <c r="V2149" i="56"/>
  <c r="V2150" i="56"/>
  <c r="V2151" i="56"/>
  <c r="V2152" i="56"/>
  <c r="W2152" i="56" s="1"/>
  <c r="V2153" i="56"/>
  <c r="V2154" i="56"/>
  <c r="V2155" i="56"/>
  <c r="V2156" i="56"/>
  <c r="W2156" i="56" s="1"/>
  <c r="V2157" i="56"/>
  <c r="V2158" i="56"/>
  <c r="W2158" i="56" s="1"/>
  <c r="V2159" i="56"/>
  <c r="V2160" i="56"/>
  <c r="V2161" i="56"/>
  <c r="V2162" i="56"/>
  <c r="V2163" i="56"/>
  <c r="V2164" i="56"/>
  <c r="V2165" i="56"/>
  <c r="V2166" i="56"/>
  <c r="V2167" i="56"/>
  <c r="V2168" i="56"/>
  <c r="V2169" i="56"/>
  <c r="V2170" i="56"/>
  <c r="V2171" i="56"/>
  <c r="V2172" i="56"/>
  <c r="V2173" i="56"/>
  <c r="W2173" i="56" s="1"/>
  <c r="V2174" i="56"/>
  <c r="V2175" i="56"/>
  <c r="V2176" i="56"/>
  <c r="V2177" i="56"/>
  <c r="V2178" i="56"/>
  <c r="W2178" i="56" s="1"/>
  <c r="V2179" i="56"/>
  <c r="V2180" i="56"/>
  <c r="W2180" i="56" s="1"/>
  <c r="V2181" i="56"/>
  <c r="V2" i="56"/>
  <c r="U2182" i="56" l="1"/>
  <c r="W870" i="56" l="1"/>
  <c r="W974" i="56" l="1"/>
  <c r="W1440" i="56"/>
  <c r="W1492" i="56"/>
  <c r="W1394" i="56"/>
  <c r="W1416" i="56"/>
  <c r="W1608" i="56"/>
  <c r="W1547" i="56"/>
  <c r="W1506" i="56"/>
  <c r="W1503" i="56"/>
  <c r="W1485" i="56"/>
  <c r="W1925" i="56"/>
  <c r="W1383" i="56"/>
  <c r="W1550" i="56"/>
  <c r="W1334" i="56"/>
  <c r="W1936" i="56"/>
  <c r="W1572" i="56"/>
  <c r="W1933" i="56"/>
  <c r="W1402" i="56"/>
  <c r="W899" i="56"/>
  <c r="W1456" i="56"/>
  <c r="W1360" i="56"/>
  <c r="W1433" i="56"/>
  <c r="W1634" i="56"/>
  <c r="W1347" i="56"/>
  <c r="W1396" i="56"/>
  <c r="W1446" i="56"/>
  <c r="W1300" i="56"/>
  <c r="W1101" i="56"/>
  <c r="W937" i="56"/>
  <c r="W548" i="56"/>
  <c r="W1168" i="56"/>
  <c r="W1521" i="56"/>
  <c r="W715" i="56"/>
  <c r="W1570" i="56"/>
  <c r="W1279" i="56"/>
  <c r="W1077" i="56"/>
  <c r="W698" i="56"/>
  <c r="W1063" i="56"/>
  <c r="W930" i="56"/>
  <c r="W1288" i="56"/>
  <c r="W738" i="56"/>
  <c r="W683" i="56"/>
  <c r="W1301" i="56"/>
  <c r="W883" i="56"/>
  <c r="W743" i="56"/>
  <c r="W1148" i="56"/>
  <c r="W537" i="56"/>
  <c r="W300" i="56"/>
  <c r="W117" i="56"/>
  <c r="W586" i="56"/>
  <c r="W138" i="56"/>
  <c r="W561" i="56"/>
  <c r="W171" i="56"/>
  <c r="W101" i="56"/>
  <c r="W343" i="56"/>
  <c r="W266" i="56"/>
  <c r="W750" i="56"/>
  <c r="W200" i="56"/>
  <c r="W590" i="56"/>
  <c r="W587" i="56"/>
  <c r="W585" i="56"/>
  <c r="W410" i="56"/>
  <c r="W591" i="56"/>
  <c r="W588" i="56"/>
  <c r="W584" i="56"/>
  <c r="W1797" i="56"/>
  <c r="W1781" i="56"/>
  <c r="W1348" i="56"/>
  <c r="W1786" i="56"/>
  <c r="W903" i="56"/>
  <c r="W907" i="56"/>
  <c r="W769" i="56"/>
  <c r="W938" i="56"/>
  <c r="W1913" i="56"/>
  <c r="W905" i="56"/>
  <c r="W888" i="56"/>
  <c r="W629" i="56"/>
  <c r="W198" i="56"/>
  <c r="W1076" i="56"/>
  <c r="W1038" i="56"/>
  <c r="W1106" i="56"/>
  <c r="W721" i="56"/>
  <c r="W1094" i="56"/>
  <c r="W887" i="56"/>
  <c r="W1851" i="56"/>
  <c r="W1907" i="56"/>
  <c r="W1682" i="56"/>
  <c r="W1839" i="56"/>
  <c r="W1845" i="56"/>
  <c r="W1872" i="56"/>
  <c r="W1733" i="56"/>
  <c r="W1693" i="56"/>
  <c r="W1734" i="56"/>
  <c r="W1790" i="56"/>
  <c r="W2028" i="56"/>
  <c r="W2144" i="56"/>
  <c r="W2164" i="56"/>
  <c r="W2171" i="56"/>
  <c r="W2106" i="56"/>
  <c r="W2111" i="56"/>
  <c r="W2110" i="56"/>
  <c r="W1940" i="56"/>
  <c r="W2123" i="56"/>
  <c r="W2030" i="56"/>
  <c r="W1898" i="56"/>
  <c r="W1761" i="56"/>
  <c r="W1666" i="56"/>
  <c r="W1951" i="56"/>
  <c r="W1881" i="56"/>
  <c r="W1801" i="56"/>
  <c r="W1355" i="56"/>
  <c r="W1835" i="56"/>
  <c r="W1370" i="56"/>
  <c r="W1895" i="56"/>
  <c r="W1326" i="56"/>
  <c r="W1894" i="56"/>
  <c r="W2090" i="56"/>
  <c r="W1813" i="56"/>
  <c r="W2093" i="56"/>
  <c r="W1685" i="56"/>
  <c r="W1891" i="56"/>
  <c r="W1643" i="56"/>
  <c r="W1944" i="56"/>
  <c r="W1796" i="56"/>
  <c r="W1495" i="56"/>
  <c r="W1691" i="56"/>
  <c r="W1616" i="56"/>
  <c r="W1696" i="56"/>
  <c r="W1886" i="56"/>
  <c r="W1676" i="56"/>
  <c r="W2020" i="56"/>
  <c r="W1988" i="56"/>
  <c r="W1758" i="56"/>
  <c r="W1629" i="56"/>
  <c r="W2092" i="56"/>
  <c r="W1438" i="56"/>
  <c r="W2001" i="56"/>
  <c r="W1748" i="56"/>
  <c r="W1320" i="56"/>
  <c r="W1684" i="56"/>
  <c r="W1873" i="56"/>
  <c r="W1956" i="56"/>
  <c r="W1878" i="56"/>
  <c r="W1877" i="56"/>
  <c r="W1556" i="56"/>
  <c r="W2041" i="56"/>
  <c r="W2089" i="56"/>
  <c r="W1353" i="56"/>
  <c r="W1980" i="56"/>
  <c r="W2117" i="56"/>
  <c r="W1875" i="56"/>
  <c r="W1431" i="56"/>
  <c r="W1822" i="56"/>
  <c r="W1950" i="56"/>
  <c r="W939" i="56"/>
  <c r="W1942" i="56"/>
  <c r="W1865" i="56"/>
  <c r="W1626" i="56"/>
  <c r="W2060" i="56"/>
  <c r="W2150" i="56"/>
  <c r="W2042" i="56"/>
  <c r="W2109" i="56"/>
  <c r="W1670" i="56"/>
  <c r="W2078" i="56"/>
  <c r="W1953" i="56"/>
  <c r="W1756" i="56"/>
  <c r="W1424" i="56"/>
  <c r="W1330" i="56"/>
  <c r="W1727" i="56"/>
  <c r="W661" i="56"/>
  <c r="W1677" i="56"/>
  <c r="W1941" i="56"/>
  <c r="W1852" i="56"/>
  <c r="W1736" i="56"/>
  <c r="W1947" i="56"/>
  <c r="W2130" i="56"/>
  <c r="W2174" i="56"/>
  <c r="W2075" i="56"/>
  <c r="W2133" i="56"/>
  <c r="W2061" i="56"/>
  <c r="W2101" i="56"/>
  <c r="W1908" i="56"/>
  <c r="W2072" i="56"/>
  <c r="W1919" i="56"/>
  <c r="W1410" i="56"/>
  <c r="W1890" i="56"/>
  <c r="W1809" i="56"/>
  <c r="W1721" i="56"/>
  <c r="W1588" i="56"/>
  <c r="W2000" i="56"/>
  <c r="W1854" i="56"/>
  <c r="W1567" i="56"/>
  <c r="W1487" i="56"/>
  <c r="W1923" i="56"/>
  <c r="W1935" i="56"/>
  <c r="W1368" i="56"/>
  <c r="W1934" i="56"/>
  <c r="W1367" i="56"/>
  <c r="W2069" i="56"/>
  <c r="W2126" i="56"/>
  <c r="W1876" i="56"/>
  <c r="W1960" i="56"/>
  <c r="W1802" i="56"/>
  <c r="W1714" i="56"/>
  <c r="W1965" i="56"/>
  <c r="W1814" i="56"/>
  <c r="W2006" i="56"/>
  <c r="W1544" i="56"/>
  <c r="W1812" i="56"/>
  <c r="W1928" i="56"/>
  <c r="W1729" i="56"/>
  <c r="W1992" i="56"/>
  <c r="W1991" i="56"/>
  <c r="W2104" i="56"/>
  <c r="W2119" i="56"/>
  <c r="W1799" i="56"/>
  <c r="W2118" i="56"/>
  <c r="W2033" i="56"/>
  <c r="W1757" i="56"/>
  <c r="W1945" i="56"/>
  <c r="W1959" i="56"/>
  <c r="W1901" i="56"/>
  <c r="W1543" i="56"/>
  <c r="W2018" i="56"/>
  <c r="W1817" i="56"/>
  <c r="W1619" i="56"/>
  <c r="W1272" i="56"/>
  <c r="W1110" i="56"/>
  <c r="W882" i="56"/>
  <c r="W777" i="56"/>
  <c r="W693" i="56"/>
  <c r="W1212" i="56"/>
  <c r="W262" i="56"/>
  <c r="W1112" i="56"/>
  <c r="W1315" i="56"/>
  <c r="W1027" i="56"/>
  <c r="W944" i="56"/>
  <c r="W729" i="56"/>
  <c r="W1239" i="56"/>
  <c r="W942" i="56"/>
  <c r="W863" i="56"/>
  <c r="W429" i="56"/>
  <c r="W909" i="56"/>
  <c r="W638" i="56"/>
  <c r="W1259" i="56"/>
  <c r="W890" i="56"/>
  <c r="W720" i="56"/>
  <c r="W608" i="56"/>
  <c r="W476" i="56"/>
  <c r="W367" i="56"/>
  <c r="W1982" i="56"/>
  <c r="W1590" i="56"/>
  <c r="W1251" i="56"/>
  <c r="W1007" i="56"/>
  <c r="W852" i="56"/>
  <c r="W1307" i="56"/>
  <c r="W1096" i="56"/>
  <c r="W1191" i="56"/>
  <c r="W951" i="56"/>
  <c r="W855" i="56"/>
  <c r="W714" i="56"/>
  <c r="W1100" i="56"/>
  <c r="W630" i="56"/>
  <c r="W447" i="56"/>
  <c r="W2003" i="56"/>
  <c r="W1576" i="56"/>
  <c r="W1091" i="56"/>
  <c r="W290" i="56"/>
  <c r="W1111" i="56"/>
  <c r="W1171" i="56"/>
  <c r="W1013" i="56"/>
  <c r="W1248" i="56"/>
  <c r="W864" i="56"/>
  <c r="W713" i="56"/>
  <c r="W500" i="56"/>
  <c r="W1155" i="56"/>
  <c r="W979" i="56"/>
  <c r="W797" i="56"/>
  <c r="W1885" i="56"/>
  <c r="W1046" i="56"/>
  <c r="W1081" i="56"/>
  <c r="W999" i="56"/>
  <c r="W925" i="56"/>
  <c r="W400" i="56"/>
  <c r="W936" i="56"/>
  <c r="W856" i="56"/>
  <c r="W1303" i="56"/>
  <c r="W910" i="56"/>
  <c r="W699" i="56"/>
  <c r="W1237" i="56"/>
  <c r="W1864" i="56"/>
  <c r="W1167" i="56"/>
  <c r="W920" i="56"/>
  <c r="W352" i="56"/>
  <c r="W1144" i="56"/>
  <c r="W809" i="56"/>
  <c r="W692" i="56"/>
  <c r="W501" i="56"/>
  <c r="W1070" i="56"/>
  <c r="W987" i="56"/>
  <c r="W774" i="56"/>
  <c r="W468" i="56"/>
  <c r="W1229" i="56"/>
  <c r="W1050" i="56"/>
  <c r="W674" i="56"/>
  <c r="W271" i="56"/>
  <c r="W1764" i="56"/>
  <c r="W1742" i="56"/>
  <c r="W796" i="56"/>
  <c r="W1250" i="56"/>
  <c r="W894" i="56"/>
  <c r="W1066" i="56"/>
  <c r="W1080" i="56"/>
  <c r="W970" i="56"/>
  <c r="W716" i="56"/>
  <c r="W685" i="56"/>
  <c r="W382" i="56"/>
  <c r="W963" i="56"/>
  <c r="W751" i="56"/>
  <c r="W493" i="56"/>
  <c r="W1162" i="56"/>
  <c r="W1119" i="56"/>
  <c r="W1293" i="56"/>
  <c r="W788" i="56"/>
  <c r="W1153" i="56"/>
  <c r="W677" i="56"/>
  <c r="W1025" i="56"/>
  <c r="W879" i="56"/>
  <c r="W654" i="56"/>
  <c r="W838" i="56"/>
  <c r="W675" i="56"/>
  <c r="W428" i="56"/>
  <c r="W757" i="56"/>
  <c r="W395" i="56"/>
  <c r="W256" i="56"/>
  <c r="W172" i="56"/>
  <c r="W202" i="56"/>
  <c r="W563" i="56"/>
  <c r="W393" i="56"/>
  <c r="W331" i="56"/>
  <c r="W519" i="56"/>
  <c r="W146" i="56"/>
  <c r="W724" i="56"/>
  <c r="W362" i="56"/>
  <c r="W128" i="56"/>
  <c r="W402" i="56"/>
  <c r="W228" i="56"/>
  <c r="W166" i="56"/>
  <c r="W545" i="56"/>
  <c r="W119" i="56"/>
  <c r="W957" i="56"/>
  <c r="W522" i="56"/>
  <c r="W333" i="56"/>
  <c r="W109" i="56"/>
  <c r="W386" i="56"/>
  <c r="W307" i="56"/>
  <c r="W512" i="56"/>
  <c r="W412" i="56"/>
  <c r="W322" i="56"/>
  <c r="W238" i="56"/>
  <c r="W74" i="56"/>
  <c r="W625" i="56"/>
  <c r="W121" i="56"/>
  <c r="W559" i="56"/>
  <c r="W604" i="56"/>
  <c r="W448" i="56"/>
  <c r="W490" i="56"/>
  <c r="W535" i="56"/>
  <c r="W380" i="56"/>
  <c r="W299" i="56"/>
  <c r="W108" i="56"/>
  <c r="W306" i="56"/>
  <c r="W631" i="56"/>
  <c r="W369" i="56"/>
  <c r="W523" i="56"/>
  <c r="W334" i="56"/>
  <c r="W441" i="56"/>
  <c r="W41" i="56"/>
  <c r="W373" i="56"/>
  <c r="W163" i="56"/>
  <c r="W17" i="56"/>
  <c r="W460" i="56"/>
  <c r="W372" i="56"/>
  <c r="W24" i="56"/>
  <c r="W711" i="56"/>
  <c r="W46" i="56"/>
  <c r="W204" i="56"/>
  <c r="W649" i="56"/>
  <c r="W318" i="56"/>
  <c r="W422" i="56"/>
  <c r="W156" i="56"/>
  <c r="W85" i="56"/>
  <c r="W365" i="56"/>
  <c r="W385" i="56"/>
  <c r="W533" i="56"/>
  <c r="W451" i="56"/>
  <c r="W137" i="56"/>
  <c r="W97" i="56"/>
  <c r="W335" i="56"/>
  <c r="W273" i="56"/>
  <c r="W583" i="56"/>
  <c r="W416" i="56"/>
  <c r="W242" i="56"/>
  <c r="W445" i="56"/>
  <c r="W358" i="56"/>
  <c r="W601" i="56"/>
  <c r="W277" i="56"/>
  <c r="W403" i="56"/>
  <c r="W160" i="56"/>
  <c r="W265" i="56"/>
  <c r="W408" i="56"/>
  <c r="W302" i="56"/>
  <c r="W1273" i="56"/>
  <c r="W249" i="56"/>
  <c r="W569" i="56"/>
  <c r="W435" i="56"/>
  <c r="W140" i="56"/>
  <c r="W69" i="56"/>
  <c r="W413" i="56"/>
  <c r="W459" i="56"/>
  <c r="W15" i="56"/>
  <c r="W511" i="56"/>
  <c r="W304" i="56"/>
  <c r="W517" i="56"/>
  <c r="W623" i="56"/>
  <c r="W558" i="56"/>
  <c r="W477" i="56"/>
  <c r="W353" i="56"/>
  <c r="W210" i="56"/>
  <c r="W550" i="56"/>
  <c r="W421" i="56"/>
  <c r="W316" i="56"/>
  <c r="W494" i="56"/>
  <c r="W247" i="56"/>
  <c r="W433" i="56"/>
  <c r="W364" i="56"/>
  <c r="W261" i="56"/>
  <c r="W593" i="56"/>
  <c r="W457" i="56"/>
  <c r="W287" i="56"/>
  <c r="W1255" i="56"/>
  <c r="W1256" i="56"/>
  <c r="W745" i="56"/>
  <c r="W740" i="56"/>
  <c r="W1932" i="56"/>
  <c r="W2169" i="56"/>
  <c r="W1003" i="56"/>
  <c r="W1005" i="56"/>
  <c r="W1004" i="56"/>
  <c r="W1671" i="56"/>
  <c r="W2166" i="56"/>
  <c r="W2056" i="56"/>
  <c r="W1720" i="56"/>
  <c r="W1661" i="56"/>
  <c r="W2016" i="56"/>
  <c r="W1713" i="56"/>
  <c r="W2096" i="56"/>
  <c r="W1775" i="56"/>
  <c r="W1662" i="56"/>
  <c r="W2064" i="56"/>
  <c r="W1678" i="56"/>
  <c r="W1508" i="56"/>
  <c r="W1867" i="56"/>
  <c r="W1585" i="56"/>
  <c r="W1997" i="56"/>
  <c r="W2073" i="56"/>
  <c r="W1760" i="56"/>
  <c r="W1774" i="56"/>
  <c r="W1664" i="56"/>
  <c r="W1861" i="56"/>
  <c r="W1995" i="56"/>
  <c r="W2177" i="56"/>
  <c r="W1853" i="56"/>
  <c r="W1663" i="56"/>
  <c r="W1640" i="56"/>
  <c r="W2122" i="56"/>
  <c r="W2029" i="56"/>
  <c r="W1538" i="56"/>
  <c r="W1915" i="56"/>
  <c r="W1710" i="56"/>
  <c r="W1551" i="56"/>
  <c r="W2139" i="56"/>
  <c r="W1641" i="56"/>
  <c r="W2124" i="56"/>
  <c r="W1776" i="56"/>
  <c r="W1509" i="56"/>
  <c r="W1648" i="56"/>
  <c r="W1701" i="56"/>
  <c r="W1276" i="56"/>
  <c r="W1674" i="56"/>
  <c r="W775" i="56"/>
  <c r="W1218" i="56"/>
  <c r="W748" i="56"/>
  <c r="W486" i="56"/>
  <c r="W961" i="56"/>
  <c r="W1862" i="56"/>
  <c r="W1771" i="56"/>
  <c r="W1584" i="56"/>
  <c r="W1645" i="56"/>
  <c r="W1842" i="56"/>
  <c r="W2102" i="56"/>
  <c r="W1707" i="56"/>
  <c r="W1869" i="56"/>
  <c r="W1985" i="56"/>
  <c r="W1788" i="56"/>
  <c r="W1615" i="56"/>
  <c r="W1020" i="56"/>
  <c r="W1958" i="56"/>
  <c r="W1762" i="56"/>
  <c r="W1597" i="56"/>
  <c r="W1489" i="56"/>
  <c r="W1968" i="56"/>
  <c r="W2135" i="56"/>
  <c r="W2141" i="56"/>
  <c r="W2162" i="56"/>
  <c r="W1481" i="56"/>
  <c r="W1647" i="56"/>
  <c r="W1871" i="56"/>
  <c r="W2167" i="56"/>
  <c r="W1350" i="56"/>
  <c r="W1702" i="56"/>
  <c r="W1613" i="56"/>
  <c r="W1535" i="56"/>
  <c r="W1904" i="56"/>
  <c r="W1649" i="56"/>
  <c r="W666" i="56"/>
  <c r="W1660" i="56"/>
  <c r="W2168" i="56"/>
  <c r="W1902" i="56"/>
  <c r="W1614" i="56"/>
  <c r="W1646" i="56"/>
  <c r="W1138" i="56"/>
  <c r="W1527" i="56"/>
  <c r="W1012" i="56"/>
  <c r="W1512" i="56"/>
  <c r="W850" i="56"/>
  <c r="W1491" i="56"/>
  <c r="W1395" i="56"/>
  <c r="W940" i="56"/>
  <c r="W1564" i="56"/>
  <c r="W854" i="56"/>
  <c r="W1308" i="56"/>
  <c r="W1206" i="56"/>
  <c r="W1675" i="56"/>
  <c r="W1454" i="56"/>
  <c r="W297" i="56"/>
  <c r="W617" i="56"/>
  <c r="W1056" i="56"/>
  <c r="W1242" i="56"/>
  <c r="W1414" i="56"/>
  <c r="W1126" i="56"/>
  <c r="W2084" i="56"/>
  <c r="W2095" i="56"/>
  <c r="W2017" i="56"/>
  <c r="W2142" i="56"/>
  <c r="W2088" i="56"/>
  <c r="W2067" i="56"/>
  <c r="W977" i="56"/>
  <c r="W1047" i="56"/>
  <c r="W952" i="56"/>
  <c r="W634" i="56"/>
  <c r="W791" i="56"/>
  <c r="W1009" i="56"/>
  <c r="W790" i="56"/>
  <c r="W1236" i="56"/>
  <c r="W792" i="56"/>
  <c r="W655" i="56"/>
  <c r="W1260" i="56"/>
  <c r="W1132" i="56"/>
  <c r="W781" i="56"/>
  <c r="W873" i="56"/>
  <c r="W635" i="56"/>
  <c r="W793" i="56"/>
  <c r="W607" i="56"/>
  <c r="W272" i="56"/>
  <c r="W719" i="56"/>
  <c r="W624" i="56"/>
  <c r="W175" i="56"/>
  <c r="W84" i="56"/>
  <c r="W192" i="56"/>
  <c r="W636" i="56"/>
  <c r="W544" i="56"/>
  <c r="W1161" i="56"/>
  <c r="W1160" i="56"/>
  <c r="W1159" i="56"/>
  <c r="W1158" i="56"/>
  <c r="W1157" i="56"/>
  <c r="W982" i="56"/>
  <c r="W976" i="56"/>
  <c r="W471" i="56"/>
  <c r="W484" i="56"/>
  <c r="W1524" i="56"/>
  <c r="W1548" i="56"/>
  <c r="W2105" i="56"/>
  <c r="W1445" i="56"/>
  <c r="W1373" i="56"/>
  <c r="W1170" i="56"/>
  <c r="W1879" i="56"/>
  <c r="W1883" i="56"/>
  <c r="W1480" i="56"/>
  <c r="W1477" i="56"/>
  <c r="W1376" i="56"/>
  <c r="W1375" i="56"/>
  <c r="W1379" i="56"/>
  <c r="W1377" i="56"/>
  <c r="W1553" i="56"/>
  <c r="W1889" i="56"/>
  <c r="W1909" i="56"/>
  <c r="W1378" i="56"/>
  <c r="W849" i="56"/>
  <c r="W1380" i="56"/>
  <c r="W953" i="56"/>
  <c r="W1520" i="56"/>
  <c r="W833" i="56"/>
  <c r="W880" i="56"/>
  <c r="W877" i="56"/>
  <c r="W913" i="56"/>
  <c r="W823" i="56"/>
  <c r="W648" i="56"/>
  <c r="W1374" i="56"/>
  <c r="W935" i="56"/>
  <c r="W478" i="56"/>
  <c r="W449" i="56"/>
  <c r="W687" i="56"/>
  <c r="W1344" i="56"/>
  <c r="W1409" i="56"/>
  <c r="W1385" i="56"/>
  <c r="W1847" i="56"/>
  <c r="W805" i="56"/>
  <c r="W1331" i="56"/>
  <c r="W1089" i="56"/>
  <c r="W50" i="56"/>
  <c r="W349" i="56"/>
  <c r="W437" i="56"/>
  <c r="W282" i="56"/>
  <c r="W370" i="56"/>
  <c r="W397" i="56"/>
  <c r="W566" i="56"/>
  <c r="W162" i="56"/>
  <c r="W405" i="56"/>
  <c r="W420" i="56"/>
  <c r="W542" i="56"/>
  <c r="W556" i="56"/>
  <c r="W726" i="56"/>
  <c r="W927" i="56"/>
  <c r="W986" i="56"/>
  <c r="W1001" i="56"/>
  <c r="W1202" i="56"/>
  <c r="W1280" i="56"/>
  <c r="W1286" i="56"/>
  <c r="W705" i="56"/>
  <c r="W885" i="56"/>
  <c r="W973" i="56"/>
  <c r="W1210" i="56"/>
  <c r="W1216" i="56"/>
  <c r="W1266" i="56"/>
  <c r="W646" i="56"/>
  <c r="W891" i="56"/>
  <c r="W969" i="56"/>
  <c r="W737" i="56"/>
  <c r="W919" i="56"/>
  <c r="W960" i="56"/>
  <c r="W1006" i="56"/>
  <c r="W1117" i="56"/>
  <c r="W1201" i="56"/>
  <c r="W614" i="56"/>
  <c r="W621" i="56"/>
  <c r="W688" i="56"/>
  <c r="W1254" i="56"/>
  <c r="W1332" i="56"/>
  <c r="W1565" i="56"/>
  <c r="W1632" i="56"/>
  <c r="W1751" i="56"/>
  <c r="W1833" i="56"/>
  <c r="W1914" i="56"/>
  <c r="W1963" i="56"/>
  <c r="W1428" i="56"/>
  <c r="W1341" i="56"/>
  <c r="W1705" i="56"/>
  <c r="W1726" i="56"/>
  <c r="W1789" i="56"/>
  <c r="W1896" i="56"/>
  <c r="W1931" i="56"/>
  <c r="W1460" i="56"/>
  <c r="W1533" i="56"/>
  <c r="W1618" i="56"/>
  <c r="W1863" i="56"/>
  <c r="W2036" i="56"/>
  <c r="W2059" i="56"/>
  <c r="W2068" i="56"/>
  <c r="W2035" i="56"/>
  <c r="W2172" i="56"/>
  <c r="W2091" i="56"/>
  <c r="W1930" i="56"/>
  <c r="W2113" i="56"/>
  <c r="W1983" i="56"/>
  <c r="W1783" i="56"/>
  <c r="W2019" i="56"/>
  <c r="W2161" i="56"/>
  <c r="W2080" i="56"/>
  <c r="W2108" i="56"/>
  <c r="W2037" i="56"/>
  <c r="W1725" i="56"/>
  <c r="W1469" i="56"/>
  <c r="W1803" i="56"/>
  <c r="W1722" i="56"/>
  <c r="W1630" i="56"/>
  <c r="W1453" i="56"/>
  <c r="W1381" i="56"/>
  <c r="W2015" i="56"/>
  <c r="W1926" i="56"/>
  <c r="W1849" i="56"/>
  <c r="W1555" i="56"/>
  <c r="W1282" i="56"/>
  <c r="W1617" i="56"/>
  <c r="W1422" i="56"/>
  <c r="W1903" i="56"/>
  <c r="W1537" i="56"/>
  <c r="W1458" i="56"/>
  <c r="W1225" i="56"/>
  <c r="W1984" i="56"/>
  <c r="W1794" i="56"/>
  <c r="W1704" i="56"/>
  <c r="W1041" i="56"/>
  <c r="W1780" i="56"/>
  <c r="W1695" i="56"/>
  <c r="W1522" i="56"/>
  <c r="W1310" i="56"/>
  <c r="W1996" i="56"/>
  <c r="W1513" i="56"/>
  <c r="W1412" i="56"/>
  <c r="W1899" i="56"/>
  <c r="W1785" i="56"/>
  <c r="W1716" i="56"/>
  <c r="W2" i="56"/>
  <c r="W2099" i="56"/>
  <c r="W1609" i="56"/>
  <c r="W2103" i="56"/>
  <c r="W1624" i="56"/>
  <c r="W1536" i="56"/>
  <c r="W2153" i="56"/>
  <c r="W2046" i="56"/>
  <c r="W2031" i="56"/>
  <c r="W1437" i="56"/>
  <c r="W1784" i="56"/>
  <c r="W1540" i="56"/>
  <c r="W1918" i="56"/>
  <c r="W1052" i="56"/>
  <c r="W1595" i="56"/>
  <c r="W1415" i="56"/>
  <c r="W1335" i="56"/>
  <c r="W1888" i="56"/>
  <c r="W1828" i="56"/>
  <c r="W1531" i="56"/>
  <c r="W1450" i="56"/>
  <c r="W1957" i="56"/>
  <c r="W1493" i="56"/>
  <c r="W1406" i="56"/>
  <c r="W1970" i="56"/>
  <c r="W1772" i="56"/>
  <c r="W2070" i="56"/>
  <c r="W1810" i="56"/>
  <c r="W2157" i="56"/>
  <c r="W1586" i="56"/>
  <c r="W2063" i="56"/>
  <c r="W2163" i="56"/>
  <c r="W1504" i="56"/>
  <c r="W2038" i="56"/>
  <c r="W2086" i="56"/>
  <c r="W1946" i="56"/>
  <c r="W1973" i="56"/>
  <c r="W1777" i="56"/>
  <c r="W1700" i="56"/>
  <c r="W1605" i="56"/>
  <c r="W1526" i="56"/>
  <c r="W1365" i="56"/>
  <c r="W1911" i="56"/>
  <c r="W1830" i="56"/>
  <c r="W1636" i="56"/>
  <c r="W1401" i="56"/>
  <c r="W1938" i="56"/>
  <c r="W1855" i="56"/>
  <c r="W1692" i="56"/>
  <c r="W1587" i="56"/>
  <c r="W1146" i="56"/>
  <c r="W1880" i="56"/>
  <c r="W1516" i="56"/>
  <c r="W1436" i="56"/>
  <c r="W1042" i="56"/>
  <c r="W1949" i="56"/>
  <c r="W1486" i="56"/>
  <c r="W1398" i="56"/>
  <c r="W1592" i="56"/>
  <c r="W1390" i="56"/>
  <c r="W1262" i="56"/>
  <c r="W1975" i="56"/>
  <c r="W1730" i="56"/>
  <c r="W1639" i="56"/>
  <c r="W2071" i="56"/>
  <c r="W1472" i="56"/>
  <c r="W2026" i="56"/>
  <c r="W1694" i="56"/>
  <c r="W2079" i="56"/>
  <c r="W1574" i="56"/>
  <c r="W2085" i="56"/>
  <c r="W1961" i="56"/>
  <c r="W1857" i="56"/>
  <c r="W1673" i="56"/>
  <c r="W1511" i="56"/>
  <c r="W1337" i="56"/>
  <c r="W1987" i="56"/>
  <c r="W1740" i="56"/>
  <c r="W1604" i="56"/>
  <c r="W1364" i="56"/>
  <c r="W972" i="56"/>
  <c r="W1768" i="56"/>
  <c r="W1665" i="56"/>
  <c r="W1561" i="56"/>
  <c r="W1466" i="56"/>
  <c r="W1400" i="56"/>
  <c r="W1313" i="56"/>
  <c r="W893" i="56"/>
  <c r="W1874" i="56"/>
  <c r="W1795" i="56"/>
  <c r="W1594" i="56"/>
  <c r="W1773" i="56"/>
  <c r="W1683" i="56"/>
  <c r="W1593" i="56"/>
  <c r="W1478" i="56"/>
  <c r="W1240" i="56"/>
  <c r="W1948" i="56"/>
  <c r="W1860" i="56"/>
  <c r="W1744" i="56"/>
  <c r="W1655" i="56"/>
  <c r="W1247" i="56"/>
  <c r="W1724" i="56"/>
  <c r="W1462" i="56"/>
  <c r="W1832" i="56"/>
  <c r="W2065" i="56"/>
  <c r="W1340" i="56"/>
  <c r="W2021" i="56"/>
  <c r="W2082" i="56"/>
  <c r="W2081" i="56"/>
  <c r="W2170" i="56"/>
  <c r="W1971" i="56"/>
  <c r="W1382" i="56"/>
  <c r="W1819" i="56"/>
  <c r="W1589" i="56"/>
  <c r="W1979" i="56"/>
  <c r="W1897" i="56"/>
  <c r="W1356" i="56"/>
  <c r="W1917" i="56"/>
  <c r="W1829" i="56"/>
  <c r="W1658" i="56"/>
  <c r="W1554" i="56"/>
  <c r="W1459" i="56"/>
  <c r="W1297" i="56"/>
  <c r="W1937" i="56"/>
  <c r="W1868" i="56"/>
  <c r="W1579" i="56"/>
  <c r="W1494" i="56"/>
  <c r="W1407" i="56"/>
  <c r="W923" i="56"/>
  <c r="W1752" i="56"/>
  <c r="W1566" i="56"/>
  <c r="W1471" i="56"/>
  <c r="W1384" i="56"/>
  <c r="W1470" i="56"/>
  <c r="W1120" i="56"/>
  <c r="W1818" i="56"/>
  <c r="W1620" i="56"/>
  <c r="W1542" i="56"/>
  <c r="W1455" i="56"/>
  <c r="W1954" i="56"/>
  <c r="W2027" i="56"/>
  <c r="W2051" i="56"/>
  <c r="W2136" i="56"/>
  <c r="W2120" i="56"/>
  <c r="W2134" i="56"/>
  <c r="W1798" i="56"/>
  <c r="W2154" i="56"/>
  <c r="W1628" i="56"/>
  <c r="W1831" i="56"/>
  <c r="W1749" i="56"/>
  <c r="W1490" i="56"/>
  <c r="W1037" i="56"/>
  <c r="W1966" i="56"/>
  <c r="W1473" i="56"/>
  <c r="W1910" i="56"/>
  <c r="W1821" i="56"/>
  <c r="W1754" i="56"/>
  <c r="W1546" i="56"/>
  <c r="W1451" i="56"/>
  <c r="W1924" i="56"/>
  <c r="W1759" i="56"/>
  <c r="W1657" i="56"/>
  <c r="W1745" i="56"/>
  <c r="W1552" i="56"/>
  <c r="W1464" i="56"/>
  <c r="W1224" i="56"/>
  <c r="W1826" i="56"/>
  <c r="W1731" i="56"/>
  <c r="W1558" i="56"/>
  <c r="W1463" i="56"/>
  <c r="W1805" i="56"/>
  <c r="W1447" i="56"/>
  <c r="W2083" i="56"/>
  <c r="W2043" i="56"/>
  <c r="W2129" i="56"/>
  <c r="W1998" i="56"/>
  <c r="W2127" i="56"/>
  <c r="W1807" i="56"/>
  <c r="W2047" i="56"/>
  <c r="W1735" i="56"/>
  <c r="W2094" i="56"/>
  <c r="W1972" i="56"/>
  <c r="W2181" i="56"/>
  <c r="W2053" i="56"/>
  <c r="W2159" i="56"/>
  <c r="W2052" i="56"/>
  <c r="W1573" i="56"/>
  <c r="W1912" i="56"/>
  <c r="W1823" i="56"/>
  <c r="W1741" i="56"/>
  <c r="W1644" i="56"/>
  <c r="W1882" i="56"/>
  <c r="W1581" i="56"/>
  <c r="W1467" i="56"/>
  <c r="W1747" i="56"/>
  <c r="W1642" i="56"/>
  <c r="W1443" i="56"/>
  <c r="W1281" i="56"/>
  <c r="W1916" i="56"/>
  <c r="W1479" i="56"/>
  <c r="W1392" i="56"/>
  <c r="W1319" i="56"/>
  <c r="W1737" i="56"/>
  <c r="W1656" i="56"/>
  <c r="W1457" i="56"/>
  <c r="W1361" i="56"/>
  <c r="W1105" i="56"/>
  <c r="W1922" i="56"/>
  <c r="W1621" i="56"/>
  <c r="W1929" i="56"/>
  <c r="W1792" i="56"/>
  <c r="W1688" i="56"/>
  <c r="W1528" i="56"/>
  <c r="W1359" i="56"/>
  <c r="W1804" i="56"/>
  <c r="W1583" i="56"/>
  <c r="W2114" i="56"/>
  <c r="W2121" i="56"/>
  <c r="W2062" i="56"/>
  <c r="W1719" i="56"/>
  <c r="W2087" i="56"/>
  <c r="W1964" i="56"/>
  <c r="W2045" i="56"/>
  <c r="W2044" i="56"/>
  <c r="W1501" i="56"/>
  <c r="W1906" i="56"/>
  <c r="W1728" i="56"/>
  <c r="W1637" i="56"/>
  <c r="W1468" i="56"/>
  <c r="W1387" i="56"/>
  <c r="W2023" i="56"/>
  <c r="W1870" i="56"/>
  <c r="W1672" i="56"/>
  <c r="W1444" i="56"/>
  <c r="W1290" i="56"/>
  <c r="W1808" i="56"/>
  <c r="W1739" i="56"/>
  <c r="W1635" i="56"/>
  <c r="W1429" i="56"/>
  <c r="W1265" i="56"/>
  <c r="W1841" i="56"/>
  <c r="W1738" i="56"/>
  <c r="W1545" i="56"/>
  <c r="W1465" i="56"/>
  <c r="W1312" i="56"/>
  <c r="W628" i="56"/>
  <c r="W1827" i="56"/>
  <c r="W1523" i="56"/>
  <c r="W1449" i="56"/>
  <c r="W1065" i="56"/>
  <c r="W1703" i="56"/>
  <c r="W1448" i="56"/>
  <c r="W1325" i="56"/>
  <c r="W1405" i="56"/>
  <c r="W1358" i="56"/>
  <c r="W1386" i="56"/>
  <c r="W1209" i="56"/>
  <c r="W1118" i="56"/>
  <c r="W1030" i="56"/>
  <c r="W868" i="56"/>
  <c r="W780" i="56"/>
  <c r="W1322" i="56"/>
  <c r="W1227" i="56"/>
  <c r="W1061" i="56"/>
  <c r="W875" i="56"/>
  <c r="W803" i="56"/>
  <c r="W725" i="56"/>
  <c r="W598" i="56"/>
  <c r="W1278" i="56"/>
  <c r="W1207" i="56"/>
  <c r="W966" i="56"/>
  <c r="W794" i="56"/>
  <c r="W664" i="56"/>
  <c r="W1269" i="56"/>
  <c r="W1192" i="56"/>
  <c r="W1059" i="56"/>
  <c r="W1058" i="56"/>
  <c r="W989" i="56"/>
  <c r="W898" i="56"/>
  <c r="W744" i="56"/>
  <c r="W647" i="56"/>
  <c r="W1246" i="56"/>
  <c r="W1134" i="56"/>
  <c r="W1018" i="56"/>
  <c r="W1302" i="56"/>
  <c r="W1345" i="56"/>
  <c r="W1687" i="56"/>
  <c r="W1606" i="56"/>
  <c r="W1432" i="56"/>
  <c r="W1258" i="56"/>
  <c r="W1195" i="56"/>
  <c r="W1022" i="56"/>
  <c r="W860" i="56"/>
  <c r="W772" i="56"/>
  <c r="W1221" i="56"/>
  <c r="W1130" i="56"/>
  <c r="W1048" i="56"/>
  <c r="W954" i="56"/>
  <c r="W867" i="56"/>
  <c r="W795" i="56"/>
  <c r="W718" i="56"/>
  <c r="W582" i="56"/>
  <c r="W1270" i="56"/>
  <c r="W1193" i="56"/>
  <c r="W1104" i="56"/>
  <c r="W1036" i="56"/>
  <c r="W866" i="56"/>
  <c r="W778" i="56"/>
  <c r="W1263" i="56"/>
  <c r="W1116" i="56"/>
  <c r="W678" i="56"/>
  <c r="W1199" i="56"/>
  <c r="W1135" i="56"/>
  <c r="W1040" i="56"/>
  <c r="W892" i="56"/>
  <c r="W816" i="56"/>
  <c r="W640" i="56"/>
  <c r="W230" i="56"/>
  <c r="W1010" i="56"/>
  <c r="W728" i="56"/>
  <c r="W564" i="56"/>
  <c r="W1230" i="56"/>
  <c r="W1133" i="56"/>
  <c r="W1024" i="56"/>
  <c r="W814" i="56"/>
  <c r="W742" i="56"/>
  <c r="W356" i="56"/>
  <c r="W1174" i="56"/>
  <c r="W1092" i="56"/>
  <c r="W1016" i="56"/>
  <c r="W813" i="56"/>
  <c r="W570" i="56"/>
  <c r="W301" i="56"/>
  <c r="W233" i="56"/>
  <c r="W149" i="56"/>
  <c r="W1571" i="56"/>
  <c r="W889" i="56"/>
  <c r="W1778" i="56"/>
  <c r="W1681" i="56"/>
  <c r="W1411" i="56"/>
  <c r="W1357" i="56"/>
  <c r="W1188" i="56"/>
  <c r="W1098" i="56"/>
  <c r="W354" i="56"/>
  <c r="W1214" i="56"/>
  <c r="W1124" i="56"/>
  <c r="W1029" i="56"/>
  <c r="W932" i="56"/>
  <c r="W859" i="56"/>
  <c r="W779" i="56"/>
  <c r="W710" i="56"/>
  <c r="W1342" i="56"/>
  <c r="W1186" i="56"/>
  <c r="W1028" i="56"/>
  <c r="W945" i="56"/>
  <c r="W858" i="56"/>
  <c r="W770" i="56"/>
  <c r="W620" i="56"/>
  <c r="W1165" i="56"/>
  <c r="W1109" i="56"/>
  <c r="W753" i="56"/>
  <c r="W670" i="56"/>
  <c r="W1127" i="56"/>
  <c r="W1034" i="56"/>
  <c r="W808" i="56"/>
  <c r="W722" i="56"/>
  <c r="W557" i="56"/>
  <c r="W62" i="56"/>
  <c r="W1211" i="56"/>
  <c r="W1078" i="56"/>
  <c r="W929" i="56"/>
  <c r="W783" i="56"/>
  <c r="W381" i="56"/>
  <c r="W1017" i="56"/>
  <c r="W878" i="56"/>
  <c r="W798" i="56"/>
  <c r="W727" i="56"/>
  <c r="W1339" i="56"/>
  <c r="W1252" i="56"/>
  <c r="W1084" i="56"/>
  <c r="W1008" i="56"/>
  <c r="W712" i="56"/>
  <c r="W679" i="56"/>
  <c r="W551" i="56"/>
  <c r="W359" i="56"/>
  <c r="W293" i="56"/>
  <c r="W226" i="56"/>
  <c r="W133" i="56"/>
  <c r="W63" i="56"/>
  <c r="W543" i="56"/>
  <c r="W1921" i="56"/>
  <c r="W1770" i="56"/>
  <c r="W1403" i="56"/>
  <c r="W1268" i="56"/>
  <c r="W1243" i="56"/>
  <c r="W947" i="56"/>
  <c r="W844" i="56"/>
  <c r="W1285" i="56"/>
  <c r="W1021" i="56"/>
  <c r="W926" i="56"/>
  <c r="W851" i="56"/>
  <c r="W763" i="56"/>
  <c r="W703" i="56"/>
  <c r="W1321" i="56"/>
  <c r="W762" i="56"/>
  <c r="W605" i="56"/>
  <c r="W1103" i="56"/>
  <c r="W918" i="56"/>
  <c r="W825" i="56"/>
  <c r="W633" i="56"/>
  <c r="W1115" i="56"/>
  <c r="W1026" i="56"/>
  <c r="W943" i="56"/>
  <c r="W800" i="56"/>
  <c r="W502" i="56"/>
  <c r="W30" i="56"/>
  <c r="W1204" i="56"/>
  <c r="W1071" i="56"/>
  <c r="W996" i="56"/>
  <c r="W706" i="56"/>
  <c r="W524" i="56"/>
  <c r="W1287" i="56"/>
  <c r="W1197" i="56"/>
  <c r="W1085" i="56"/>
  <c r="W1324" i="56"/>
  <c r="W1244" i="56"/>
  <c r="W1069" i="56"/>
  <c r="W869" i="56"/>
  <c r="W697" i="56"/>
  <c r="W662" i="56"/>
  <c r="W1505" i="56"/>
  <c r="W1763" i="56"/>
  <c r="W1668" i="56"/>
  <c r="W1323" i="56"/>
  <c r="W1173" i="56"/>
  <c r="W1083" i="56"/>
  <c r="W933" i="56"/>
  <c r="W828" i="56"/>
  <c r="W250" i="56"/>
  <c r="W1194" i="56"/>
  <c r="W1097" i="56"/>
  <c r="W1014" i="56"/>
  <c r="W843" i="56"/>
  <c r="W755" i="56"/>
  <c r="W695" i="56"/>
  <c r="W1306" i="56"/>
  <c r="W1152" i="56"/>
  <c r="W754" i="56"/>
  <c r="W1241" i="56"/>
  <c r="W1151" i="56"/>
  <c r="W1095" i="56"/>
  <c r="W998" i="56"/>
  <c r="W817" i="56"/>
  <c r="W730" i="56"/>
  <c r="W612" i="56"/>
  <c r="W1102" i="56"/>
  <c r="W1019" i="56"/>
  <c r="W707" i="56"/>
  <c r="W454" i="56"/>
  <c r="W1057" i="56"/>
  <c r="W988" i="56"/>
  <c r="W767" i="56"/>
  <c r="W509" i="56"/>
  <c r="W1274" i="56"/>
  <c r="W1002" i="56"/>
  <c r="W862" i="56"/>
  <c r="W782" i="56"/>
  <c r="W492" i="56"/>
  <c r="W1317" i="56"/>
  <c r="W861" i="56"/>
  <c r="W789" i="56"/>
  <c r="W682" i="56"/>
  <c r="W1499" i="56"/>
  <c r="W1750" i="56"/>
  <c r="W1653" i="56"/>
  <c r="W1483" i="56"/>
  <c r="W1388" i="56"/>
  <c r="W967" i="56"/>
  <c r="W1228" i="56"/>
  <c r="W1068" i="56"/>
  <c r="W804" i="56"/>
  <c r="W186" i="56"/>
  <c r="W1257" i="56"/>
  <c r="W1090" i="56"/>
  <c r="W1000" i="56"/>
  <c r="W900" i="56"/>
  <c r="W835" i="56"/>
  <c r="W747" i="56"/>
  <c r="W680" i="56"/>
  <c r="W1299" i="56"/>
  <c r="W1137" i="56"/>
  <c r="W1074" i="56"/>
  <c r="W991" i="56"/>
  <c r="W912" i="56"/>
  <c r="W834" i="56"/>
  <c r="W746" i="56"/>
  <c r="W1088" i="56"/>
  <c r="W990" i="56"/>
  <c r="W881" i="56"/>
  <c r="W723" i="56"/>
  <c r="W596" i="56"/>
  <c r="W1164" i="56"/>
  <c r="W1087" i="56"/>
  <c r="W1011" i="56"/>
  <c r="W776" i="56"/>
  <c r="W438" i="56"/>
  <c r="W1045" i="56"/>
  <c r="W981" i="56"/>
  <c r="W897" i="56"/>
  <c r="W759" i="56"/>
  <c r="W684" i="56"/>
  <c r="W690" i="56"/>
  <c r="W1309" i="56"/>
  <c r="W934" i="56"/>
  <c r="W853" i="56"/>
  <c r="W529" i="56"/>
  <c r="W415" i="56"/>
  <c r="W341" i="56"/>
  <c r="W1426" i="56"/>
  <c r="W1844" i="56"/>
  <c r="W1638" i="56"/>
  <c r="W1461" i="56"/>
  <c r="W1222" i="56"/>
  <c r="W1062" i="56"/>
  <c r="W122" i="56"/>
  <c r="W1075" i="56"/>
  <c r="W992" i="56"/>
  <c r="W827" i="56"/>
  <c r="W739" i="56"/>
  <c r="W672" i="56"/>
  <c r="W1291" i="56"/>
  <c r="W1226" i="56"/>
  <c r="W1129" i="56"/>
  <c r="W984" i="56"/>
  <c r="W906" i="56"/>
  <c r="W826" i="56"/>
  <c r="W344" i="56"/>
  <c r="W801" i="56"/>
  <c r="W580" i="56"/>
  <c r="W1079" i="56"/>
  <c r="W768" i="56"/>
  <c r="W1275" i="56"/>
  <c r="W1039" i="56"/>
  <c r="W886" i="56"/>
  <c r="W815" i="56"/>
  <c r="W668" i="56"/>
  <c r="W1253" i="56"/>
  <c r="W1051" i="56"/>
  <c r="W980" i="56"/>
  <c r="W846" i="56"/>
  <c r="W766" i="56"/>
  <c r="W436" i="56"/>
  <c r="W1223" i="56"/>
  <c r="W1043" i="56"/>
  <c r="W921" i="56"/>
  <c r="W773" i="56"/>
  <c r="W652" i="56"/>
  <c r="W1404" i="56"/>
  <c r="W1723" i="56"/>
  <c r="W1541" i="56"/>
  <c r="W1366" i="56"/>
  <c r="W911" i="56"/>
  <c r="W1215" i="56"/>
  <c r="W1131" i="56"/>
  <c r="W1049" i="56"/>
  <c r="W884" i="56"/>
  <c r="W66" i="56"/>
  <c r="W1235" i="56"/>
  <c r="W1067" i="56"/>
  <c r="W985" i="56"/>
  <c r="W811" i="56"/>
  <c r="W732" i="56"/>
  <c r="W665" i="56"/>
  <c r="W1284" i="56"/>
  <c r="W1220" i="56"/>
  <c r="W1123" i="56"/>
  <c r="W1060" i="56"/>
  <c r="W818" i="56"/>
  <c r="W731" i="56"/>
  <c r="W1283" i="56"/>
  <c r="W1200" i="56"/>
  <c r="W1073" i="56"/>
  <c r="W965" i="56"/>
  <c r="W865" i="56"/>
  <c r="W708" i="56"/>
  <c r="W1150" i="56"/>
  <c r="W1072" i="56"/>
  <c r="W997" i="56"/>
  <c r="W904" i="56"/>
  <c r="W832" i="56"/>
  <c r="W760" i="56"/>
  <c r="W342" i="56"/>
  <c r="W1261" i="56"/>
  <c r="W1149" i="56"/>
  <c r="W958" i="56"/>
  <c r="W807" i="56"/>
  <c r="W461" i="56"/>
  <c r="W1044" i="56"/>
  <c r="W962" i="56"/>
  <c r="W758" i="56"/>
  <c r="W1294" i="56"/>
  <c r="W1196" i="56"/>
  <c r="W1113" i="56"/>
  <c r="W1031" i="56"/>
  <c r="W908" i="56"/>
  <c r="W829" i="56"/>
  <c r="W637" i="56"/>
  <c r="W622" i="56"/>
  <c r="W515" i="56"/>
  <c r="W325" i="56"/>
  <c r="W94" i="56"/>
  <c r="W10" i="56"/>
  <c r="W489" i="56"/>
  <c r="W387" i="56"/>
  <c r="W278" i="56"/>
  <c r="W950" i="56"/>
  <c r="W1032" i="56"/>
  <c r="W1099" i="56"/>
  <c r="W347" i="56"/>
  <c r="W78" i="56"/>
  <c r="W521" i="56"/>
  <c r="W414" i="56"/>
  <c r="W209" i="56"/>
  <c r="W40" i="56"/>
  <c r="W488" i="56"/>
  <c r="W239" i="56"/>
  <c r="W123" i="56"/>
  <c r="W47" i="56"/>
  <c r="W627" i="56"/>
  <c r="W427" i="56"/>
  <c r="W338" i="56"/>
  <c r="W246" i="56"/>
  <c r="W67" i="56"/>
  <c r="W659" i="56"/>
  <c r="W480" i="56"/>
  <c r="W384" i="56"/>
  <c r="W267" i="56"/>
  <c r="W176" i="56"/>
  <c r="W82" i="56"/>
  <c r="W644" i="56"/>
  <c r="W547" i="56"/>
  <c r="W450" i="56"/>
  <c r="W289" i="56"/>
  <c r="W213" i="56"/>
  <c r="W59" i="56"/>
  <c r="W657" i="56"/>
  <c r="W572" i="56"/>
  <c r="W498" i="56"/>
  <c r="W303" i="56"/>
  <c r="W96" i="56"/>
  <c r="W4" i="56"/>
  <c r="W611" i="56"/>
  <c r="W455" i="56"/>
  <c r="W360" i="56"/>
  <c r="W280" i="56"/>
  <c r="W203" i="56"/>
  <c r="W42" i="56"/>
  <c r="W871" i="56"/>
  <c r="W1023" i="56"/>
  <c r="W195" i="56"/>
  <c r="W70" i="56"/>
  <c r="W514" i="56"/>
  <c r="W406" i="56"/>
  <c r="W285" i="56"/>
  <c r="W194" i="56"/>
  <c r="W32" i="56"/>
  <c r="W549" i="56"/>
  <c r="W482" i="56"/>
  <c r="W224" i="56"/>
  <c r="W116" i="56"/>
  <c r="W39" i="56"/>
  <c r="W733" i="56"/>
  <c r="W61" i="56"/>
  <c r="W645" i="56"/>
  <c r="W472" i="56"/>
  <c r="W363" i="56"/>
  <c r="W260" i="56"/>
  <c r="W168" i="56"/>
  <c r="W717" i="56"/>
  <c r="W540" i="56"/>
  <c r="W444" i="56"/>
  <c r="W355" i="56"/>
  <c r="W274" i="56"/>
  <c r="W205" i="56"/>
  <c r="W51" i="56"/>
  <c r="W650" i="56"/>
  <c r="W485" i="56"/>
  <c r="W376" i="56"/>
  <c r="W295" i="56"/>
  <c r="W220" i="56"/>
  <c r="W159" i="56"/>
  <c r="W88" i="56"/>
  <c r="W663" i="56"/>
  <c r="W530" i="56"/>
  <c r="W348" i="56"/>
  <c r="W196" i="56"/>
  <c r="W111" i="56"/>
  <c r="W34" i="56"/>
  <c r="W799" i="56"/>
  <c r="W830" i="56"/>
  <c r="W902" i="56"/>
  <c r="W317" i="56"/>
  <c r="W187" i="56"/>
  <c r="W49" i="56"/>
  <c r="W508" i="56"/>
  <c r="W394" i="56"/>
  <c r="W270" i="56"/>
  <c r="W25" i="56"/>
  <c r="W474" i="56"/>
  <c r="W216" i="56"/>
  <c r="W31" i="56"/>
  <c r="W600" i="56"/>
  <c r="W506" i="56"/>
  <c r="W398" i="56"/>
  <c r="W215" i="56"/>
  <c r="W130" i="56"/>
  <c r="W53" i="56"/>
  <c r="W555" i="56"/>
  <c r="W465" i="56"/>
  <c r="W350" i="56"/>
  <c r="W252" i="56"/>
  <c r="W161" i="56"/>
  <c r="W60" i="56"/>
  <c r="W709" i="56"/>
  <c r="W619" i="56"/>
  <c r="W532" i="56"/>
  <c r="W431" i="56"/>
  <c r="W190" i="56"/>
  <c r="W113" i="56"/>
  <c r="W36" i="56"/>
  <c r="W643" i="56"/>
  <c r="W553" i="56"/>
  <c r="W288" i="56"/>
  <c r="W212" i="56"/>
  <c r="W151" i="56"/>
  <c r="W80" i="56"/>
  <c r="W656" i="56"/>
  <c r="W597" i="56"/>
  <c r="W442" i="56"/>
  <c r="W264" i="56"/>
  <c r="W181" i="56"/>
  <c r="W95" i="56"/>
  <c r="W27" i="56"/>
  <c r="W736" i="56"/>
  <c r="W821" i="56"/>
  <c r="W286" i="56"/>
  <c r="W164" i="56"/>
  <c r="W495" i="56"/>
  <c r="W248" i="56"/>
  <c r="W93" i="56"/>
  <c r="W527" i="56"/>
  <c r="W291" i="56"/>
  <c r="W100" i="56"/>
  <c r="W594" i="56"/>
  <c r="W487" i="56"/>
  <c r="W392" i="56"/>
  <c r="W298" i="56"/>
  <c r="W207" i="56"/>
  <c r="W115" i="56"/>
  <c r="W626" i="56"/>
  <c r="W541" i="56"/>
  <c r="W458" i="56"/>
  <c r="W337" i="56"/>
  <c r="W237" i="56"/>
  <c r="W145" i="56"/>
  <c r="W52" i="56"/>
  <c r="W592" i="56"/>
  <c r="W504" i="56"/>
  <c r="W425" i="56"/>
  <c r="W328" i="56"/>
  <c r="W259" i="56"/>
  <c r="W183" i="56"/>
  <c r="W105" i="56"/>
  <c r="W29" i="56"/>
  <c r="W546" i="56"/>
  <c r="W463" i="56"/>
  <c r="W361" i="56"/>
  <c r="W281" i="56"/>
  <c r="W135" i="56"/>
  <c r="W72" i="56"/>
  <c r="W516" i="56"/>
  <c r="W423" i="56"/>
  <c r="W257" i="56"/>
  <c r="W165" i="56"/>
  <c r="W87" i="56"/>
  <c r="W19" i="56"/>
  <c r="W639" i="56"/>
  <c r="W653" i="56"/>
  <c r="W734" i="56"/>
  <c r="W279" i="56"/>
  <c r="W125" i="56"/>
  <c r="W26" i="56"/>
  <c r="W483" i="56"/>
  <c r="W366" i="56"/>
  <c r="W240" i="56"/>
  <c r="W9" i="56"/>
  <c r="W520" i="56"/>
  <c r="W453" i="56"/>
  <c r="W284" i="56"/>
  <c r="W193" i="56"/>
  <c r="W92" i="56"/>
  <c r="W16" i="56"/>
  <c r="W696" i="56"/>
  <c r="W481" i="56"/>
  <c r="W283" i="56"/>
  <c r="W199" i="56"/>
  <c r="W107" i="56"/>
  <c r="W38" i="56"/>
  <c r="W613" i="56"/>
  <c r="W329" i="56"/>
  <c r="W222" i="56"/>
  <c r="W45" i="56"/>
  <c r="W681" i="56"/>
  <c r="W479" i="56"/>
  <c r="W320" i="56"/>
  <c r="W244" i="56"/>
  <c r="W21" i="56"/>
  <c r="W618" i="56"/>
  <c r="W539" i="56"/>
  <c r="W456" i="56"/>
  <c r="W197" i="56"/>
  <c r="W127" i="56"/>
  <c r="W65" i="56"/>
  <c r="W642" i="56"/>
  <c r="W497" i="56"/>
  <c r="W310" i="56"/>
  <c r="W158" i="56"/>
  <c r="W79" i="56"/>
  <c r="W11" i="56"/>
  <c r="W396" i="56"/>
  <c r="W615" i="56"/>
  <c r="W407" i="56"/>
  <c r="W263" i="56"/>
  <c r="W118" i="56"/>
  <c r="W18" i="56"/>
  <c r="W475" i="56"/>
  <c r="W232" i="56"/>
  <c r="W148" i="56"/>
  <c r="W77" i="56"/>
  <c r="W513" i="56"/>
  <c r="W434" i="56"/>
  <c r="W357" i="56"/>
  <c r="W170" i="56"/>
  <c r="W764" i="56"/>
  <c r="W689" i="56"/>
  <c r="W567" i="56"/>
  <c r="W466" i="56"/>
  <c r="W379" i="56"/>
  <c r="W276" i="56"/>
  <c r="W91" i="56"/>
  <c r="W23" i="56"/>
  <c r="W606" i="56"/>
  <c r="W525" i="56"/>
  <c r="W432" i="56"/>
  <c r="W321" i="56"/>
  <c r="W214" i="56"/>
  <c r="W129" i="56"/>
  <c r="W37" i="56"/>
  <c r="W669" i="56"/>
  <c r="W579" i="56"/>
  <c r="W312" i="56"/>
  <c r="W236" i="56"/>
  <c r="W89" i="56"/>
  <c r="W13" i="56"/>
  <c r="W531" i="56"/>
  <c r="W327" i="56"/>
  <c r="W120" i="56"/>
  <c r="W43" i="56"/>
  <c r="W571" i="56"/>
  <c r="W491" i="56"/>
  <c r="W227" i="56"/>
  <c r="W150" i="56"/>
  <c r="W71" i="56"/>
  <c r="W3" i="56"/>
  <c r="W1238" i="56"/>
  <c r="W610" i="56"/>
  <c r="W374" i="56"/>
  <c r="W110" i="56"/>
  <c r="W340" i="56"/>
  <c r="W225" i="56"/>
  <c r="W507" i="56"/>
  <c r="W345" i="56"/>
  <c r="W269" i="56"/>
  <c r="W155" i="56"/>
  <c r="W68" i="56"/>
  <c r="W756" i="56"/>
  <c r="W676" i="56"/>
  <c r="W562" i="56"/>
  <c r="W371" i="56"/>
  <c r="W268" i="56"/>
  <c r="W185" i="56"/>
  <c r="W83" i="56"/>
  <c r="W599" i="56"/>
  <c r="W411" i="56"/>
  <c r="W313" i="56"/>
  <c r="W191" i="56"/>
  <c r="W114" i="56"/>
  <c r="W22" i="56"/>
  <c r="W658" i="56"/>
  <c r="W560" i="56"/>
  <c r="W464" i="56"/>
  <c r="W383" i="56"/>
  <c r="W152" i="56"/>
  <c r="W81" i="56"/>
  <c r="W5" i="56"/>
  <c r="W443" i="56"/>
  <c r="W319" i="56"/>
  <c r="W258" i="56"/>
  <c r="W182" i="56"/>
  <c r="W112" i="56"/>
  <c r="W28" i="56"/>
  <c r="W375" i="56"/>
  <c r="W294" i="56"/>
  <c r="W219" i="56"/>
  <c r="W134" i="56"/>
  <c r="W64" i="56"/>
  <c r="W1141" i="56"/>
  <c r="W102" i="56"/>
  <c r="W217" i="56"/>
  <c r="W132" i="56"/>
  <c r="W55" i="56"/>
  <c r="W581" i="56"/>
  <c r="W399" i="56"/>
  <c r="W339" i="56"/>
  <c r="W139" i="56"/>
  <c r="W54" i="56"/>
  <c r="W632" i="56"/>
  <c r="W534" i="56"/>
  <c r="W177" i="56"/>
  <c r="W75" i="56"/>
  <c r="W7" i="56"/>
  <c r="W505" i="56"/>
  <c r="W404" i="56"/>
  <c r="W184" i="56"/>
  <c r="W90" i="56"/>
  <c r="W6" i="56"/>
  <c r="W651" i="56"/>
  <c r="W554" i="56"/>
  <c r="W377" i="56"/>
  <c r="W296" i="56"/>
  <c r="W221" i="56"/>
  <c r="W136" i="56"/>
  <c r="W73" i="56"/>
  <c r="W578" i="56"/>
  <c r="W503" i="56"/>
  <c r="W417" i="56"/>
  <c r="W311" i="56"/>
  <c r="W243" i="56"/>
  <c r="W174" i="56"/>
  <c r="W104" i="56"/>
  <c r="W20" i="56"/>
  <c r="W552" i="56"/>
  <c r="W462" i="56"/>
  <c r="W368" i="56"/>
  <c r="W211" i="56"/>
  <c r="W126" i="56"/>
  <c r="W57" i="56"/>
  <c r="W1352" i="56"/>
  <c r="W1625" i="56"/>
  <c r="W1178" i="56"/>
  <c r="W1697" i="56"/>
  <c r="W1515" i="56"/>
  <c r="W1441" i="56"/>
  <c r="W1434" i="56"/>
  <c r="W1611" i="56"/>
  <c r="W1114" i="56"/>
  <c r="W1311" i="56"/>
  <c r="W1557" i="56"/>
  <c r="W1905" i="56"/>
  <c r="W1836" i="56"/>
  <c r="W1421" i="56"/>
  <c r="W1391" i="56"/>
  <c r="W1389" i="56"/>
  <c r="W1232" i="56"/>
  <c r="W1717" i="56"/>
  <c r="W1399" i="56"/>
  <c r="W1327" i="56"/>
  <c r="W1575" i="56"/>
  <c r="W1474" i="56"/>
  <c r="W1298" i="56"/>
  <c r="W1746" i="56"/>
  <c r="W1569" i="56"/>
  <c r="W1534" i="56"/>
  <c r="W1122" i="56"/>
  <c r="W1591" i="56"/>
  <c r="W1185" i="56"/>
  <c r="W1264" i="56"/>
  <c r="W1180" i="56"/>
  <c r="W1208" i="56"/>
  <c r="W1184" i="56"/>
  <c r="W1249" i="56"/>
  <c r="W1177" i="56"/>
  <c r="W1183" i="56"/>
  <c r="W1182" i="56"/>
  <c r="W1176" i="56"/>
  <c r="W1175" i="56"/>
  <c r="W1549" i="56"/>
  <c r="W1139" i="56"/>
  <c r="W1179" i="56"/>
  <c r="W1181" i="56"/>
  <c r="W1166" i="56"/>
  <c r="W1659" i="56"/>
  <c r="W2074" i="56"/>
  <c r="W2140" i="56"/>
  <c r="W2004" i="56"/>
  <c r="W1993" i="56"/>
  <c r="W1893" i="56"/>
  <c r="W2179" i="56"/>
  <c r="W2040" i="56"/>
  <c r="W2107" i="56"/>
  <c r="W1755" i="56"/>
  <c r="W2151" i="56"/>
  <c r="W1800" i="56"/>
  <c r="W1690" i="56"/>
  <c r="W1295" i="56"/>
  <c r="W1765" i="56"/>
  <c r="W2155" i="56"/>
  <c r="W1955" i="56"/>
  <c r="W2143" i="56"/>
  <c r="W1850" i="56"/>
  <c r="W1815" i="56"/>
  <c r="W2022" i="56"/>
  <c r="W1582" i="56"/>
  <c r="W1289" i="56"/>
  <c r="W2112" i="56"/>
  <c r="W1599" i="56"/>
  <c r="W1816" i="56"/>
  <c r="W1562" i="56"/>
  <c r="W1711" i="56"/>
  <c r="W1143" i="56"/>
  <c r="W1791" i="56"/>
  <c r="W1203" i="56"/>
  <c r="W1136" i="56"/>
  <c r="W1631" i="56"/>
  <c r="W1245" i="56"/>
  <c r="W189" i="56"/>
  <c r="W229" i="56"/>
  <c r="W2097" i="56"/>
  <c r="W1568" i="56"/>
  <c r="W1502" i="56"/>
  <c r="W1623" i="56"/>
  <c r="W1622" i="56"/>
  <c r="W1976" i="56"/>
  <c r="W2011" i="56"/>
  <c r="W2008" i="56"/>
  <c r="W1837" i="56"/>
  <c r="W1362" i="56"/>
  <c r="W2098" i="56"/>
  <c r="W2146" i="56"/>
  <c r="W1408" i="56"/>
  <c r="W1354" i="56"/>
  <c r="W2132" i="56"/>
  <c r="W2165" i="56"/>
  <c r="W2149" i="56"/>
  <c r="W2012" i="56"/>
  <c r="W2009" i="56"/>
  <c r="W2010" i="56"/>
  <c r="W1497" i="56"/>
  <c r="W1596" i="56"/>
  <c r="W2007" i="56"/>
  <c r="W1393" i="56"/>
  <c r="W2005" i="56"/>
  <c r="W1652" i="56"/>
  <c r="W1650" i="56"/>
  <c r="W2013" i="56"/>
  <c r="W1064" i="56"/>
  <c r="W2160" i="56"/>
  <c r="W2014" i="56"/>
  <c r="W1371" i="56"/>
  <c r="W1846" i="56"/>
  <c r="W2131" i="56"/>
  <c r="W1999" i="56"/>
  <c r="W1806" i="56"/>
  <c r="W1316" i="56"/>
  <c r="W1824" i="56"/>
  <c r="W1128" i="56"/>
  <c r="W1838" i="56"/>
  <c r="W2175" i="56"/>
  <c r="W2176" i="56"/>
  <c r="W915" i="56"/>
  <c r="W1600" i="56"/>
  <c r="W1602" i="56"/>
  <c r="W1601" i="56"/>
  <c r="W1667" i="56"/>
  <c r="W824" i="56"/>
  <c r="W841" i="56"/>
  <c r="W916" i="56"/>
  <c r="W842" i="56"/>
  <c r="W839" i="56"/>
  <c r="W1147" i="56"/>
  <c r="W1187" i="56"/>
  <c r="W1234" i="56"/>
  <c r="W1233" i="56"/>
  <c r="W914" i="56"/>
  <c r="W917" i="56"/>
  <c r="W840" i="56"/>
  <c r="W1363" i="56"/>
  <c r="W847" i="56"/>
  <c r="W848" i="56"/>
  <c r="W837" i="56"/>
  <c r="W702" i="56"/>
</calcChain>
</file>

<file path=xl/sharedStrings.xml><?xml version="1.0" encoding="utf-8"?>
<sst xmlns="http://schemas.openxmlformats.org/spreadsheetml/2006/main" count="61661" uniqueCount="2559">
  <si>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</si>
  <si>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</si>
  <si>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</si>
  <si>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</si>
  <si>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</si>
  <si>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</si>
  <si>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</si>
  <si>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</si>
  <si>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</si>
  <si>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</si>
  <si>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</si>
  <si>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</si>
  <si>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</si>
  <si>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</si>
  <si>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</si>
  <si>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</si>
  <si>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</si>
  <si>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</si>
  <si>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</si>
  <si>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</si>
  <si>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</si>
  <si>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</si>
  <si>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</si>
  <si>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</si>
  <si>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</si>
  <si>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</si>
  <si>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</si>
  <si>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</si>
  <si>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</si>
  <si>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</si>
  <si>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</si>
  <si>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</si>
  <si>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</si>
  <si>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</si>
  <si>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</si>
  <si>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</si>
  <si>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</si>
  <si>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</si>
  <si>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</si>
  <si>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</si>
  <si>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</si>
  <si>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</si>
  <si>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</si>
  <si>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</si>
  <si>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</si>
  <si>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</si>
  <si>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</si>
  <si>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</si>
  <si>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</si>
  <si>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</si>
  <si>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</si>
  <si>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</si>
  <si>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</si>
  <si>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</si>
  <si>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</si>
  <si>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</si>
  <si>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</si>
  <si>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</si>
  <si>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</si>
  <si>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</si>
  <si>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</si>
  <si>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</si>
  <si>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</si>
  <si>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</si>
  <si>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</si>
  <si>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</si>
  <si>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</si>
  <si>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</si>
  <si>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</si>
  <si>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</si>
  <si>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</si>
  <si>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</si>
  <si>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</si>
  <si>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</si>
  <si>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</si>
  <si>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</si>
  <si>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</si>
  <si>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</si>
  <si>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</si>
  <si>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</si>
  <si>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</si>
  <si>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</si>
  <si>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</si>
  <si>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</si>
  <si>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</si>
  <si>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</si>
  <si>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</si>
  <si>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</si>
  <si>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</si>
  <si>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</si>
  <si>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</si>
  <si>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</si>
  <si>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</si>
  <si>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</si>
  <si>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</si>
  <si>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</si>
  <si>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</si>
  <si>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</si>
  <si>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</si>
  <si>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</si>
  <si>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</si>
  <si>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</si>
  <si>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</si>
  <si>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</si>
  <si>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</si>
  <si>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</si>
  <si>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</si>
  <si>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</si>
  <si>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</si>
  <si>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</si>
  <si>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</si>
  <si>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</si>
  <si>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</si>
  <si>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</si>
  <si>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</si>
  <si>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</si>
  <si>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</si>
  <si>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</si>
  <si>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</si>
  <si>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</si>
  <si>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</si>
  <si>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</si>
  <si>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</si>
  <si>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</si>
  <si>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</si>
  <si>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</si>
  <si>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</si>
  <si>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</si>
  <si>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</si>
  <si>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</si>
  <si>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</si>
  <si>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</si>
  <si>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</si>
  <si>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</si>
  <si>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</si>
  <si>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</si>
  <si>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</si>
  <si>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</si>
  <si>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</si>
  <si>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</si>
  <si>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</si>
  <si>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</si>
  <si>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</si>
  <si>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</si>
  <si>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</si>
  <si>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</si>
  <si>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</si>
  <si>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</si>
  <si>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</si>
  <si>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</si>
  <si>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</si>
  <si>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</si>
  <si>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</si>
  <si>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</si>
  <si>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</si>
  <si>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</si>
  <si>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</si>
  <si>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</si>
  <si>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</si>
  <si>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</si>
  <si>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</si>
  <si>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</si>
  <si>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</si>
  <si>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</si>
  <si>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</si>
  <si>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</si>
  <si>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</si>
  <si>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</si>
  <si>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</si>
  <si>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</si>
  <si>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</si>
  <si>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나 혼자만 일일 보상 4권</t>
  </si>
  <si>
    <t>나 혼자만 일일 보상 6권</t>
  </si>
  <si>
    <t>나 혼자만 일일 보상 5권</t>
  </si>
  <si>
    <t>영웅(개정판) 6권</t>
  </si>
  <si>
    <t>영웅(개정판) 7권</t>
  </si>
  <si>
    <t>JPY</t>
  </si>
  <si>
    <t>JP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</si>
  <si>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</si>
  <si>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</si>
  <si>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</si>
  <si>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</si>
  <si>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</si>
  <si>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[완전판] 스트라이커 15권 (완결)</t>
  </si>
  <si>
    <t>영웅(개정판) 9권(완결)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</si>
  <si>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</si>
  <si>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</si>
  <si>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</si>
  <si>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</si>
  <si>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</si>
  <si>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</si>
  <si>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</si>
  <si>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</si>
  <si>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</si>
  <si>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</si>
  <si>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로드 오브 머니 15권 (완결)</t>
  </si>
  <si>
    <t>연애의 시작</t>
  </si>
  <si>
    <t>로드 오브 머니 13권</t>
  </si>
  <si>
    <t>로드 오브 머니 14권</t>
  </si>
  <si>
    <t>블러쉬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</si>
  <si>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</si>
  <si>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</si>
  <si>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</si>
  <si>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</si>
  <si>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</si>
  <si>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</si>
  <si>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</si>
  <si>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</si>
  <si>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</si>
  <si>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</si>
  <si>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Refund</t>
  </si>
  <si>
    <t>용중신권 7권 (완결)</t>
  </si>
  <si>
    <t>계약 비서</t>
  </si>
  <si>
    <t>김원경</t>
  </si>
  <si>
    <t>이차적 일탈</t>
  </si>
  <si>
    <t>서혜은</t>
  </si>
  <si>
    <t>Fulfilled</t>
  </si>
  <si>
    <t>바스락</t>
  </si>
  <si>
    <t>달로</t>
  </si>
  <si>
    <t>NZD</t>
  </si>
  <si>
    <t>NZ</t>
  </si>
  <si>
    <t>너와 나의 절정</t>
  </si>
  <si>
    <t>공호</t>
  </si>
  <si>
    <t>ARS</t>
  </si>
  <si>
    <t>AR</t>
  </si>
  <si>
    <t>일교차</t>
  </si>
  <si>
    <t>해화</t>
  </si>
  <si>
    <t>라스트 서바이버 : 진화로 살아남아라! 2권</t>
  </si>
  <si>
    <t>청빙</t>
  </si>
  <si>
    <t>슈크림</t>
  </si>
  <si>
    <t>송민선</t>
  </si>
  <si>
    <t>엑스 비서</t>
  </si>
  <si>
    <t>비향</t>
  </si>
  <si>
    <t>검산도해 2권</t>
  </si>
  <si>
    <t>꽃처럼 너를 안는다</t>
  </si>
  <si>
    <t>반지영</t>
  </si>
  <si>
    <t>검산도해 3권</t>
  </si>
  <si>
    <t>던전 공략 LIVE 2권</t>
  </si>
  <si>
    <t>집착 상사</t>
  </si>
  <si>
    <t>장현미</t>
  </si>
  <si>
    <t>간신이 나라를 살림 2권</t>
  </si>
  <si>
    <t>루이세</t>
  </si>
  <si>
    <t>간신이 나라를 살림 3권</t>
  </si>
  <si>
    <t>GBP</t>
  </si>
  <si>
    <t>GB</t>
  </si>
  <si>
    <t>삼국지 호접몽전 1부 13권</t>
  </si>
  <si>
    <t>삼국지 호접몽전 1부 14권</t>
  </si>
  <si>
    <t>삼국지 호접몽전 2부 1권</t>
  </si>
  <si>
    <t>삼국지 호접몽전 2부 2권</t>
  </si>
  <si>
    <t>삼국지 호접몽전 2부 3권</t>
  </si>
  <si>
    <t>미쳐 버린 밤</t>
  </si>
  <si>
    <t>백화(百花)</t>
  </si>
  <si>
    <t>드래곤은 나 혼자 잡는다 2권</t>
  </si>
  <si>
    <t>드래곤은 나 혼자 잡는다 3권</t>
  </si>
  <si>
    <t>드래곤은 나 혼자 잡는다 4권</t>
  </si>
  <si>
    <t>나 혼자만 일일 보상 7권</t>
  </si>
  <si>
    <t>나 혼자만 일일 보상 8권</t>
  </si>
  <si>
    <t>나 혼자만 일일 보상 9권 (완결)</t>
  </si>
  <si>
    <t>검산도해 4권</t>
  </si>
  <si>
    <t>검산도해 5권</t>
  </si>
  <si>
    <t>검산도해 6권</t>
  </si>
  <si>
    <t>검산도해 7권 (완결)</t>
  </si>
  <si>
    <t>22. 5. 31.</t>
  </si>
  <si>
    <t>22. 5. 1.</t>
  </si>
  <si>
    <t>ID:3108-1093-6844-10720</t>
  </si>
  <si>
    <t>ID:3158-0757-5717-35824</t>
  </si>
  <si>
    <t>ID:3102-2585-8968-82625</t>
  </si>
  <si>
    <t>ID:3121-2286-4383-79263</t>
  </si>
  <si>
    <t>ID:3171-0891-8179-17547</t>
  </si>
  <si>
    <t>ID:3160-6049-4440-27619</t>
  </si>
  <si>
    <t>ID:3169-9987-1767-37955</t>
  </si>
  <si>
    <t>ID:3171-6661-7766-39546</t>
  </si>
  <si>
    <t>ID:3198-8734-9492-13488</t>
  </si>
  <si>
    <t>ID:3198-1160-5829-08936</t>
  </si>
  <si>
    <t>ID:3193-0308-3877-21470</t>
  </si>
  <si>
    <t>ID:3169-4652-0137-87686</t>
  </si>
  <si>
    <t>ID:3169-1551-7686-98511</t>
  </si>
  <si>
    <t>ID:3178-8258-6537-03263</t>
  </si>
  <si>
    <t>ID:3170-5913-7960-38798</t>
  </si>
  <si>
    <t>ID:3186-3129-6637-61166</t>
  </si>
  <si>
    <t>ID:3131-1826-3654-73380</t>
  </si>
  <si>
    <t>ID:3187-9644-7965-88392</t>
  </si>
  <si>
    <t>ID:3159-0303-4092-73578</t>
  </si>
  <si>
    <t>ID:3135-3172-6287-43029</t>
  </si>
  <si>
    <t>ID:3126-2997-7122-81827</t>
  </si>
  <si>
    <t>ID:3145-7919-7686-84827</t>
  </si>
  <si>
    <t>ID:3175-1589-1193-30039</t>
  </si>
  <si>
    <t>ID:3133-8369-0764-97498</t>
  </si>
  <si>
    <t>ID:3129-0271-5878-15939</t>
  </si>
  <si>
    <t>ID:3132-2191-9094-96015</t>
  </si>
  <si>
    <t>ID:3189-6411-4778-80078</t>
  </si>
  <si>
    <t>ID:3172-5326-7250-34225</t>
  </si>
  <si>
    <t>ID:3140-8526-8848-79048</t>
  </si>
  <si>
    <t>ID:3107-0905-2036-63344</t>
  </si>
  <si>
    <t>ID:3125-3080-4952-05570</t>
  </si>
  <si>
    <t>ID:3191-7362-1297-81265</t>
  </si>
  <si>
    <t>ID:3120-7541-7344-76658</t>
  </si>
  <si>
    <t>ID:3132-7975-3312-88990</t>
  </si>
  <si>
    <t>ID:3193-1292-0601-39137</t>
  </si>
  <si>
    <t>ID:3179-4887-4225-38645</t>
  </si>
  <si>
    <t>ID:3178-8954-9582-05278</t>
  </si>
  <si>
    <t>ID:3174-4193-1490-71614</t>
  </si>
  <si>
    <t>ID:3116-8160-1536-38832</t>
  </si>
  <si>
    <t>ID:3121-1493-6325-30390</t>
  </si>
  <si>
    <t>ID:3125-7770-2081-88267</t>
  </si>
  <si>
    <t>ID:3116-0865-7599-63344</t>
  </si>
  <si>
    <t>ID:3178-4115-9728-56550</t>
  </si>
  <si>
    <t>인턴사원</t>
  </si>
  <si>
    <t>트리플베리</t>
  </si>
  <si>
    <t>ID:3172-6250-2809-06840</t>
  </si>
  <si>
    <t>ID:3179-6125-1460-41368</t>
  </si>
  <si>
    <t>ID:3126-8110-5334-66740</t>
  </si>
  <si>
    <t>ID:3145-6133-0870-34027</t>
  </si>
  <si>
    <t>ID:3118-7267-3144-84380</t>
  </si>
  <si>
    <t>ID:3107-1041-6967-37594</t>
  </si>
  <si>
    <t>ID:3104-8185-1082-45715</t>
  </si>
  <si>
    <t>ID:3141-9170-9771-08623</t>
  </si>
  <si>
    <t>ID:3177-7591-1720-74852</t>
  </si>
  <si>
    <t>ID:3185-1147-8851-38447</t>
  </si>
  <si>
    <t>ID:3183-6727-6927-21243</t>
  </si>
  <si>
    <t>ID:3126-1020-8143-84523</t>
  </si>
  <si>
    <t>ID:3160-3045-0407-57858</t>
  </si>
  <si>
    <t>ID:3182-0570-4390-77912</t>
  </si>
  <si>
    <t>ID:3198-7299-5982-73685</t>
  </si>
  <si>
    <t>ID:3106-2193-6730-01255</t>
  </si>
  <si>
    <t>ID:3135-5633-7561-47140</t>
  </si>
  <si>
    <t>22. 5. 2.</t>
  </si>
  <si>
    <t>ID:3103-8122-5051-29542</t>
  </si>
  <si>
    <t>ID:3103-5354-9587-43565</t>
  </si>
  <si>
    <t>ID:3176-5829-7321-58308</t>
  </si>
  <si>
    <t>ID:3186-6408-6992-02559</t>
  </si>
  <si>
    <t>ID:3142-2149-4990-15054</t>
  </si>
  <si>
    <t>ID:3178-8553-1824-98214</t>
  </si>
  <si>
    <t>ID:3131-2576-9694-13541</t>
  </si>
  <si>
    <t>ID:3179-4178-2722-09165</t>
  </si>
  <si>
    <t>ID:3149-4365-9142-34962</t>
  </si>
  <si>
    <t>ID:3186-9793-4321-85769</t>
  </si>
  <si>
    <t>ID:3170-5040-5426-47740</t>
  </si>
  <si>
    <t>ID:3140-1454-0121-56797</t>
  </si>
  <si>
    <t>ID:3141-4497-6570-26315</t>
  </si>
  <si>
    <t>ID:3156-7127-5726-47890</t>
  </si>
  <si>
    <t>ID:3128-1481-1161-49277</t>
  </si>
  <si>
    <t>ID:3125-5704-8349-95740</t>
  </si>
  <si>
    <t>ID:3161-0912-4809-68492</t>
  </si>
  <si>
    <t>ID:3174-5545-3451-99541</t>
  </si>
  <si>
    <t>ID:3108-3129-6131-13708</t>
  </si>
  <si>
    <t>ID:3103-5079-9675-40791</t>
  </si>
  <si>
    <t>ID:3142-7364-7216-85919</t>
  </si>
  <si>
    <t>ID:3144-2740-2038-94198</t>
  </si>
  <si>
    <t>ID:3106-2155-4461-41088</t>
  </si>
  <si>
    <t>ID:3124-2014-8208-89659</t>
  </si>
  <si>
    <t>ID:3147-7400-9916-40441</t>
  </si>
  <si>
    <t>ID:3109-8794-5948-73222</t>
  </si>
  <si>
    <t>ID:3184-0378-9882-36992</t>
  </si>
  <si>
    <t>ID:3104-9521-3367-21203</t>
  </si>
  <si>
    <t>ID:3111-0372-0075-82583</t>
  </si>
  <si>
    <t>ID:3146-1532-8124-81023</t>
  </si>
  <si>
    <t>ID:3105-5735-9700-80549</t>
  </si>
  <si>
    <t>ID:3128-5495-9554-65048</t>
  </si>
  <si>
    <t>ID:3184-2714-7107-00291</t>
  </si>
  <si>
    <t>ID:3129-2853-9085-79160</t>
  </si>
  <si>
    <t>ID:3149-2093-5917-28122</t>
  </si>
  <si>
    <t>ID:3153-9908-8105-08635</t>
  </si>
  <si>
    <t>ID:3123-2825-4439-66271</t>
  </si>
  <si>
    <t>ID:3165-0078-8916-98211</t>
  </si>
  <si>
    <t>ID:3108-7520-9398-17715</t>
  </si>
  <si>
    <t>ID:3159-3996-9903-20316</t>
  </si>
  <si>
    <t>ID:3128-5090-2715-65427</t>
  </si>
  <si>
    <t>ID:3193-5595-7108-70717</t>
  </si>
  <si>
    <t>ID:3109-5542-5679-26024</t>
  </si>
  <si>
    <t>ID:3108-4154-1609-36144</t>
  </si>
  <si>
    <t>ID:3104-2487-0448-27885</t>
  </si>
  <si>
    <t>ID:3174-2646-2297-12611</t>
  </si>
  <si>
    <t>ID:3106-3973-6182-66800</t>
  </si>
  <si>
    <t>ID:3170-9456-3077-64010</t>
  </si>
  <si>
    <t>ID:3149-3266-3627-85887</t>
  </si>
  <si>
    <t>ID:3168-3041-1427-68238</t>
  </si>
  <si>
    <t>ID:3141-2667-5805-75683</t>
  </si>
  <si>
    <t>ID:3155-9447-9689-19679</t>
  </si>
  <si>
    <t>ID:3192-3639-6940-28830</t>
  </si>
  <si>
    <t>ID:3188-4023-3101-44637</t>
  </si>
  <si>
    <t>ID:3129-4430-6763-16990</t>
  </si>
  <si>
    <t>ID:3186-8807-1762-89029</t>
  </si>
  <si>
    <t>ID:3176-6569-9024-82339</t>
  </si>
  <si>
    <t>ID:3174-9349-6635-97404</t>
  </si>
  <si>
    <t>ID:3163-8197-7475-43115</t>
  </si>
  <si>
    <t>ID:3137-1356-0112-32258</t>
  </si>
  <si>
    <t>ID:3178-6247-3945-35773</t>
  </si>
  <si>
    <t>ID:3176-2390-6196-92033</t>
  </si>
  <si>
    <t>ID:3124-6324-0010-68101</t>
  </si>
  <si>
    <t>ID:3193-4497-4197-16751</t>
  </si>
  <si>
    <t>ID:3111-7897-1389-31332</t>
  </si>
  <si>
    <t>ID:3165-8894-0310-61104</t>
  </si>
  <si>
    <t>ID:3122-6615-1788-88661</t>
  </si>
  <si>
    <t>ID:3119-0715-3653-39273</t>
  </si>
  <si>
    <t>ID:3150-9593-0220-93345</t>
  </si>
  <si>
    <t>ID:3105-8518-6305-02061</t>
  </si>
  <si>
    <t>ID:3121-7338-0701-98624</t>
  </si>
  <si>
    <t>ID:3141-6778-6585-49416</t>
  </si>
  <si>
    <t>ID:3115-3159-4785-91488</t>
  </si>
  <si>
    <t>ID:3137-2549-8977-30956</t>
  </si>
  <si>
    <t>22. 5. 3.</t>
  </si>
  <si>
    <t>ID:3159-5487-9235-17439</t>
  </si>
  <si>
    <t>ID:3187-6703-7586-98132</t>
  </si>
  <si>
    <t>ID:3106-7887-1953-36327</t>
  </si>
  <si>
    <t>ID:3127-9223-0755-48490</t>
  </si>
  <si>
    <t>ID:3180-8671-4347-13891</t>
  </si>
  <si>
    <t>ID:3142-3777-7991-28416</t>
  </si>
  <si>
    <t>ID:3164-4286-7834-66983</t>
  </si>
  <si>
    <t>ID:3126-1267-2791-38478</t>
  </si>
  <si>
    <t>ID:3173-7910-9078-99141</t>
  </si>
  <si>
    <t>ID:3117-8844-1653-21296</t>
  </si>
  <si>
    <t>ID:3159-9718-6943-61840</t>
  </si>
  <si>
    <t>ID:3136-9835-7525-37667</t>
  </si>
  <si>
    <t>ID:3123-4143-4329-22099</t>
  </si>
  <si>
    <t>ID:3182-5946-3844-63198</t>
  </si>
  <si>
    <t>ID:3123-6179-6969-74151</t>
  </si>
  <si>
    <t>ID:3149-4827-8071-75373</t>
  </si>
  <si>
    <t>ID:3101-2720-2064-90148</t>
  </si>
  <si>
    <t>ID:3119-1084-3496-75588</t>
  </si>
  <si>
    <t>ID:3140-3113-0117-82546</t>
  </si>
  <si>
    <t>ID:3152-3891-3599-42417</t>
  </si>
  <si>
    <t>ID:3129-2160-9631-61009</t>
  </si>
  <si>
    <t>ID:3172-4625-9838-52245</t>
  </si>
  <si>
    <t>ID:3198-0907-8514-11701</t>
  </si>
  <si>
    <t>ID:3158-2386-3852-09912</t>
  </si>
  <si>
    <t>ID:3173-1533-9505-28392</t>
  </si>
  <si>
    <t>ID:3143-1034-1988-97697</t>
  </si>
  <si>
    <t>ID:3174-4643-0087-93627</t>
  </si>
  <si>
    <t>ID:3176-3717-9872-35814</t>
  </si>
  <si>
    <t>ID:3179-0367-6854-96367</t>
  </si>
  <si>
    <t>ID:3122-7439-1099-78758</t>
  </si>
  <si>
    <t>ID:3189-3858-0164-17283</t>
  </si>
  <si>
    <t>ID:3140-3909-2069-34307</t>
  </si>
  <si>
    <t>ID:3136-8843-0707-88490</t>
  </si>
  <si>
    <t>ID:3140-1441-8735-20264</t>
  </si>
  <si>
    <t>ID:3133-7589-8405-93858</t>
  </si>
  <si>
    <t>ID:3122-5580-5471-88255</t>
  </si>
  <si>
    <t>ID:3184-2767-1695-37979</t>
  </si>
  <si>
    <t>ID:3130-2305-5702-48847</t>
  </si>
  <si>
    <t>ID:3117-3097-0201-49268</t>
  </si>
  <si>
    <t>ID:3191-0801-5561-04005</t>
  </si>
  <si>
    <t>ID:3174-5481-4415-55364</t>
  </si>
  <si>
    <t>ID:3182-5658-8998-94835</t>
  </si>
  <si>
    <t>ID:3136-7079-1138-85336</t>
  </si>
  <si>
    <t>ID:3134-6866-7259-76208</t>
  </si>
  <si>
    <t>ID:3120-8703-3283-50204</t>
  </si>
  <si>
    <t>ID:3148-3487-6775-83752</t>
  </si>
  <si>
    <t>ID:3118-2663-1996-48265</t>
  </si>
  <si>
    <t>ID:3197-6524-6764-11097</t>
  </si>
  <si>
    <t>ID:3103-1986-3614-24770</t>
  </si>
  <si>
    <t>ID:3158-5244-0347-00703</t>
  </si>
  <si>
    <t>ID:3142-0350-8114-51681</t>
  </si>
  <si>
    <t>ID:3173-7578-3511-36038</t>
  </si>
  <si>
    <t>ID:3140-8952-7065-53930</t>
  </si>
  <si>
    <t>ID:3124-5560-9117-64243</t>
  </si>
  <si>
    <t>ID:3118-4108-1535-13669</t>
  </si>
  <si>
    <t>ID:3175-2501-7228-11247</t>
  </si>
  <si>
    <t>ID:3136-7702-3807-84845</t>
  </si>
  <si>
    <t>ID:3160-1202-5071-71038</t>
  </si>
  <si>
    <t>ID:3128-5290-7412-89468</t>
  </si>
  <si>
    <t>ID:3191-3460-5574-75686</t>
  </si>
  <si>
    <t>ID:3186-2126-0693-78558</t>
  </si>
  <si>
    <t>ID:3104-2689-0903-88482</t>
  </si>
  <si>
    <t>ID:3118-3124-8719-53803</t>
  </si>
  <si>
    <t>ID:3157-3530-5238-80409</t>
  </si>
  <si>
    <t>ID:3111-6286-0947-68096</t>
  </si>
  <si>
    <t>ID:3128-7834-3448-17495</t>
  </si>
  <si>
    <t>ID:3146-4119-5703-93465</t>
  </si>
  <si>
    <t>ID:3104-0625-3171-61804</t>
  </si>
  <si>
    <t>ID:3192-6186-6162-82134</t>
  </si>
  <si>
    <t>ID:3132-9854-2192-81104</t>
  </si>
  <si>
    <t>ID:3128-2589-2672-71939</t>
  </si>
  <si>
    <t>ID:3142-1765-7226-65146</t>
  </si>
  <si>
    <t>ID:3131-1838-9421-96239</t>
  </si>
  <si>
    <t>ID:3108-8452-6885-57445</t>
  </si>
  <si>
    <t>ID:3180-0004-7036-16633</t>
  </si>
  <si>
    <t>ID:3143-5146-6330-67488</t>
  </si>
  <si>
    <t>ID:3150-0025-8999-21350</t>
  </si>
  <si>
    <t>ID:3199-6620-2500-70256</t>
  </si>
  <si>
    <t>ID:3185-5946-0225-71940</t>
  </si>
  <si>
    <t>22. 5. 4.</t>
  </si>
  <si>
    <t>ID:3132-4871-3456-28368</t>
  </si>
  <si>
    <t>ID:3166-0685-6030-75816</t>
  </si>
  <si>
    <t>ID:3157-7505-7625-87759</t>
  </si>
  <si>
    <t>ID:3122-1063-6407-81504</t>
  </si>
  <si>
    <t>ID:3131-8786-6745-42808</t>
  </si>
  <si>
    <t>ID:3171-8928-7720-63066</t>
  </si>
  <si>
    <t>ID:3184-1559-5818-27731</t>
  </si>
  <si>
    <t>ID:3136-1103-5953-58794</t>
  </si>
  <si>
    <t>ID:3172-2077-2749-05287</t>
  </si>
  <si>
    <t>ID:3120-2878-5521-63083</t>
  </si>
  <si>
    <t>ID:3159-9810-5363-86232</t>
  </si>
  <si>
    <t>ID:3198-7962-3668-77761</t>
  </si>
  <si>
    <t>ID:3187-8389-1312-01102</t>
  </si>
  <si>
    <t>ID:3134-3273-8333-97515</t>
  </si>
  <si>
    <t>ID:3177-7272-6445-59423</t>
  </si>
  <si>
    <t>ID:3149-8845-5311-84925</t>
  </si>
  <si>
    <t>ID:3151-6986-1367-25633</t>
  </si>
  <si>
    <t>ID:3148-7810-5933-86857</t>
  </si>
  <si>
    <t>ID:3161-9661-3056-51184</t>
  </si>
  <si>
    <t>ID:3157-3165-5324-72734</t>
  </si>
  <si>
    <t>ID:3156-7467-1153-74204</t>
  </si>
  <si>
    <t>ID:3105-5114-2596-68252</t>
  </si>
  <si>
    <t>ID:3153-4578-3578-09070</t>
  </si>
  <si>
    <t>ID:3153-9219-9270-35697</t>
  </si>
  <si>
    <t>ID:3193-6269-6224-78564</t>
  </si>
  <si>
    <t>ID:3142-6143-2125-15745</t>
  </si>
  <si>
    <t>ID:3186-4393-7328-55916</t>
  </si>
  <si>
    <t>ID:3126-2291-5628-88404</t>
  </si>
  <si>
    <t>ID:3197-7902-1483-32555</t>
  </si>
  <si>
    <t>ID:3105-3703-3543-20652</t>
  </si>
  <si>
    <t>ID:3119-9789-3411-11890</t>
  </si>
  <si>
    <t>ID:3109-9069-5487-40854</t>
  </si>
  <si>
    <t>ID:3144-1583-6466-34086</t>
  </si>
  <si>
    <t>집착의 맛 1권</t>
  </si>
  <si>
    <t>sJessi</t>
  </si>
  <si>
    <t>ID:3189-4375-5705-59781</t>
  </si>
  <si>
    <t>집착의 맛 2권</t>
  </si>
  <si>
    <t>ID:3154-7941-0452-42687</t>
  </si>
  <si>
    <t>집착의 맛 외전 (완결)</t>
  </si>
  <si>
    <t>ID:3121-1636-9460-08526</t>
  </si>
  <si>
    <t>ID:3103-6069-4994-55213</t>
  </si>
  <si>
    <t>ID:3102-1304-4817-71180</t>
  </si>
  <si>
    <t>ID:3161-5286-1754-13631</t>
  </si>
  <si>
    <t>ID:3102-0892-5679-01166</t>
  </si>
  <si>
    <t>ID:3174-2970-6139-87425</t>
  </si>
  <si>
    <t>ID:3144-4208-4216-08675</t>
  </si>
  <si>
    <t>ID:3162-6045-7344-69721</t>
  </si>
  <si>
    <t>ID:3140-6828-4313-61160</t>
  </si>
  <si>
    <t>ID:3142-9329-1371-50918</t>
  </si>
  <si>
    <t>ID:3161-6469-2072-62608</t>
  </si>
  <si>
    <t>ID:3140-2483-4507-54300</t>
  </si>
  <si>
    <t>ID:3156-7652-3538-87181</t>
  </si>
  <si>
    <t>ID:3162-0476-4066-53592</t>
  </si>
  <si>
    <t>ID:3128-4130-5396-26428</t>
  </si>
  <si>
    <t>ID:3116-3409-4393-20800</t>
  </si>
  <si>
    <t>ID:3105-6603-1046-80088</t>
  </si>
  <si>
    <t>ID:3176-5816-0406-49220</t>
  </si>
  <si>
    <t>ID:3104-1130-4412-75714</t>
  </si>
  <si>
    <t>ID:3169-2199-1952-34686</t>
  </si>
  <si>
    <t>ID:3188-2654-7380-56231</t>
  </si>
  <si>
    <t>ID:3150-8898-5418-01300</t>
  </si>
  <si>
    <t>ID:3161-3725-8387-84029</t>
  </si>
  <si>
    <t>ID:3108-8636-5673-52601</t>
  </si>
  <si>
    <t>ID:3194-0880-3089-15758</t>
  </si>
  <si>
    <t>ID:3153-4481-4183-20788</t>
  </si>
  <si>
    <t>ID:3198-2437-7531-22265</t>
  </si>
  <si>
    <t>ID:3119-3627-2204-81902</t>
  </si>
  <si>
    <t>ID:3121-9734-9485-68628</t>
  </si>
  <si>
    <t>ID:3134-3692-2350-94589</t>
  </si>
  <si>
    <t>ID:3141-1917-1097-89216</t>
  </si>
  <si>
    <t>ID:3140-2371-8081-01455</t>
  </si>
  <si>
    <t>ID:3107-8223-1108-82571</t>
  </si>
  <si>
    <t>ID:3174-0628-2678-33238</t>
  </si>
  <si>
    <t>ID:3149-3890-7188-15638</t>
  </si>
  <si>
    <t>ID:3112-3020-3382-85709</t>
  </si>
  <si>
    <t>ID:3116-2505-5431-55636</t>
  </si>
  <si>
    <t>ID:3189-7759-0253-88151</t>
  </si>
  <si>
    <t>ID:3107-1915-5526-46730</t>
  </si>
  <si>
    <t>ID:3188-6421-5740-11185</t>
  </si>
  <si>
    <t>ID:3179-6582-3288-93672</t>
  </si>
  <si>
    <t>ID:3179-7694-7236-04380</t>
  </si>
  <si>
    <t>그땐 미처(외전증보판)</t>
  </si>
  <si>
    <t>셔틀</t>
  </si>
  <si>
    <t>ID:3146-1993-0578-53898</t>
  </si>
  <si>
    <t>22. 5. 5.</t>
  </si>
  <si>
    <t>ID:3197-9328-2625-90836</t>
  </si>
  <si>
    <t>ID:3104-8834-0799-68575</t>
  </si>
  <si>
    <t>ID:3133-1370-2444-73276</t>
  </si>
  <si>
    <t>ID:3191-4071-8326-82444</t>
  </si>
  <si>
    <t>ID:3134-2664-5038-92651</t>
  </si>
  <si>
    <t>ID:3174-3251-6041-73681</t>
  </si>
  <si>
    <t>ID:3181-6701-8077-09799</t>
  </si>
  <si>
    <t>ID:3186-8650-2281-19032</t>
  </si>
  <si>
    <t>ID:3131-3086-7962-51141</t>
  </si>
  <si>
    <t>ID:3184-6322-7041-65214</t>
  </si>
  <si>
    <t>ID:3176-2093-6757-88746</t>
  </si>
  <si>
    <t>ID:3114-3370-3966-96493</t>
  </si>
  <si>
    <t>ID:3137-6031-9911-07228</t>
  </si>
  <si>
    <t>ID:3103-2254-3959-49412</t>
  </si>
  <si>
    <t>ID:3163-0867-4829-92174</t>
  </si>
  <si>
    <t>ID:3115-2790-7820-59395</t>
  </si>
  <si>
    <t>ID:3197-7170-5261-88404</t>
  </si>
  <si>
    <t>ID:3126-4895-7510-23882</t>
  </si>
  <si>
    <t>ID:3182-6557-0589-88070</t>
  </si>
  <si>
    <t>ID:3163-6058-2903-46475</t>
  </si>
  <si>
    <t>ID:3189-5989-7672-19473</t>
  </si>
  <si>
    <t>ID:3102-5952-0273-92674</t>
  </si>
  <si>
    <t>ID:3108-5331-7362-43523</t>
  </si>
  <si>
    <t>ID:3121-3416-2068-88893</t>
  </si>
  <si>
    <t>ID:3109-2551-2666-75972</t>
  </si>
  <si>
    <t>ID:3173-3638-9464-75711</t>
  </si>
  <si>
    <t>ID:3115-6726-0070-14382</t>
  </si>
  <si>
    <t>ID:3187-3667-3113-27767</t>
  </si>
  <si>
    <t>ID:3127-8728-0693-89585</t>
  </si>
  <si>
    <t>ID:3128-8145-7581-99425</t>
  </si>
  <si>
    <t>ID:3130-7959-0968-19319</t>
  </si>
  <si>
    <t>ID:3147-7075-5014-29797</t>
  </si>
  <si>
    <t>ID:3198-5121-5479-79725</t>
  </si>
  <si>
    <t>ID:3124-9877-0767-01699</t>
  </si>
  <si>
    <t>ID:3164-7352-3767-99707</t>
  </si>
  <si>
    <t>ID:3143-0946-2157-59143</t>
  </si>
  <si>
    <t>ID:3188-3880-9923-96267</t>
  </si>
  <si>
    <t>ID:3112-3794-0552-08414</t>
  </si>
  <si>
    <t>ID:3158-2628-4769-83822</t>
  </si>
  <si>
    <t>ID:3198-5276-2373-44603</t>
  </si>
  <si>
    <t>ID:3184-7291-1542-63528</t>
  </si>
  <si>
    <t>ID:3167-6273-9191-64404</t>
  </si>
  <si>
    <t>ID:3192-0307-8697-17799</t>
  </si>
  <si>
    <t>ID:3135-7580-9327-97215</t>
  </si>
  <si>
    <t>ID:3127-7347-8207-57329</t>
  </si>
  <si>
    <t>ID:3144-4682-8874-43165</t>
  </si>
  <si>
    <t>ID:3166-7065-9667-53223</t>
  </si>
  <si>
    <t>ID:3181-0337-2528-48975</t>
  </si>
  <si>
    <t>ID:3107-6458-4151-27321</t>
  </si>
  <si>
    <t>ID:3121-3771-6822-62610</t>
  </si>
  <si>
    <t>ID:3103-9052-8259-35259</t>
  </si>
  <si>
    <t>ID:3147-1036-5590-85928</t>
  </si>
  <si>
    <t>ID:3114-8703-4762-80812</t>
  </si>
  <si>
    <t>ID:3163-1413-9319-22019</t>
  </si>
  <si>
    <t>ID:3173-0621-0515-14228</t>
  </si>
  <si>
    <t>ID:3167-9867-6393-47847</t>
  </si>
  <si>
    <t>ID:3187-5131-3192-42970</t>
  </si>
  <si>
    <t>ID:3116-4641-8369-54838</t>
  </si>
  <si>
    <t>ID:3178-4348-4687-47787</t>
  </si>
  <si>
    <t>ID:3145-5355-1628-91325</t>
  </si>
  <si>
    <t>ID:3116-0281-2968-26269</t>
  </si>
  <si>
    <t>ID:3108-4824-5513-25112</t>
  </si>
  <si>
    <t>ID:3197-4783-5544-25055</t>
  </si>
  <si>
    <t>ID:3116-0292-2921-44272</t>
  </si>
  <si>
    <t>ID:3186-1295-6488-30761</t>
  </si>
  <si>
    <t>ID:3136-8059-9430-12354</t>
  </si>
  <si>
    <t>ID:3104-7538-5136-56585</t>
  </si>
  <si>
    <t>ID:3144-6993-6277-69350</t>
  </si>
  <si>
    <t>ID:3185-5218-7296-09210</t>
  </si>
  <si>
    <t>ID:3178-4021-8948-59522</t>
  </si>
  <si>
    <t>ID:3195-2353-3151-34808</t>
  </si>
  <si>
    <t>ID:3170-1150-3554-46081</t>
  </si>
  <si>
    <t>ID:3140-7322-0929-62894</t>
  </si>
  <si>
    <t>ID:3156-5453-0571-73154</t>
  </si>
  <si>
    <t>ID:3152-6761-6771-92399</t>
  </si>
  <si>
    <t>ID:3162-4318-2427-26467</t>
  </si>
  <si>
    <t>ID:3176-2763-0590-58048</t>
  </si>
  <si>
    <t>ID:3116-9088-4681-46014</t>
  </si>
  <si>
    <t>ID:3187-1552-2672-13641</t>
  </si>
  <si>
    <t>ID:3171-5101-9853-14931</t>
  </si>
  <si>
    <t>22. 5. 6.</t>
  </si>
  <si>
    <t>ID:3114-5820-7304-52418</t>
  </si>
  <si>
    <t>ID:3144-0870-4081-91160</t>
  </si>
  <si>
    <t>ID:3137-6901-1781-08859</t>
  </si>
  <si>
    <t>ID:3118-6726-9790-80048</t>
  </si>
  <si>
    <t>ID:3160-1125-7161-75584</t>
  </si>
  <si>
    <t>ID:3136-4813-9145-73297</t>
  </si>
  <si>
    <t>ID:3189-8264-4992-65465</t>
  </si>
  <si>
    <t>ID:3193-9844-7028-06823</t>
  </si>
  <si>
    <t>ID:3166-4063-0258-61819</t>
  </si>
  <si>
    <t>ID:3163-1574-4497-87346</t>
  </si>
  <si>
    <t>ID:3114-6103-6628-18958</t>
  </si>
  <si>
    <t>ID:3113-0804-8086-55847</t>
  </si>
  <si>
    <t>넘어와</t>
  </si>
  <si>
    <t>송여희</t>
  </si>
  <si>
    <t>ID:3126-9706-9886-31933</t>
  </si>
  <si>
    <t>ID:3144-1084-8810-15811</t>
  </si>
  <si>
    <t>ID:3103-3900-0010-97270</t>
  </si>
  <si>
    <t>ID:3115-0211-5741-64255</t>
  </si>
  <si>
    <t>ID:3173-5349-2496-51712</t>
  </si>
  <si>
    <t>ID:3170-5496-0070-07559</t>
  </si>
  <si>
    <t>ID:3166-0251-9223-11274</t>
  </si>
  <si>
    <t>ID:3137-2968-8541-07967</t>
  </si>
  <si>
    <t>ID:3134-9305-3185-58279</t>
  </si>
  <si>
    <t>ID:3163-5106-8185-31866</t>
  </si>
  <si>
    <t>ID:3108-8454-5854-36933</t>
  </si>
  <si>
    <t>ID:3110-1196-8242-56107</t>
  </si>
  <si>
    <t>ID:3181-0462-4934-16855</t>
  </si>
  <si>
    <t>ID:3179-0631-1966-36949</t>
  </si>
  <si>
    <t>ID:3171-8015-1592-70595</t>
  </si>
  <si>
    <t>ID:3146-5474-0772-58877</t>
  </si>
  <si>
    <t>ID:3114-0283-2243-14269</t>
  </si>
  <si>
    <t>ID:3132-3708-7903-50236</t>
  </si>
  <si>
    <t>ID:3199-3001-8357-21882</t>
  </si>
  <si>
    <t>ID:3187-8636-5405-69564</t>
  </si>
  <si>
    <t>ID:3147-3346-5111-08017</t>
  </si>
  <si>
    <t>ID:3156-3936-3107-39112</t>
  </si>
  <si>
    <t>ID:3159-3056-7701-12489</t>
  </si>
  <si>
    <t>ID:3170-4197-2859-74034</t>
  </si>
  <si>
    <t>ID:3191-3610-3450-05511</t>
  </si>
  <si>
    <t>ID:3180-1900-1113-04197</t>
  </si>
  <si>
    <t>ID:3124-9023-4880-01793</t>
  </si>
  <si>
    <t>ID:3103-9910-6228-07817</t>
  </si>
  <si>
    <t>ID:3104-7047-7396-89039</t>
  </si>
  <si>
    <t>ID:3146-4292-5434-24872</t>
  </si>
  <si>
    <t>ID:3135-3515-2169-85990</t>
  </si>
  <si>
    <t>ID:3172-7555-2938-66888</t>
  </si>
  <si>
    <t>ID:3121-9428-4716-56102</t>
  </si>
  <si>
    <t>ID:3157-8794-8857-71005</t>
  </si>
  <si>
    <t>ID:3127-6249-2414-74817</t>
  </si>
  <si>
    <t>ID:3108-6689-3139-87264</t>
  </si>
  <si>
    <t>유일한 취미</t>
  </si>
  <si>
    <t>ID:3135-6469-3502-19716</t>
  </si>
  <si>
    <t>ID:3158-2678-7639-36178</t>
  </si>
  <si>
    <t>ID:3129-7570-6676-05149</t>
  </si>
  <si>
    <t>ID:3139-7776-9238-69988</t>
  </si>
  <si>
    <t>ID:3112-7904-3269-63763</t>
  </si>
  <si>
    <t>ID:3129-6486-7926-29935</t>
  </si>
  <si>
    <t>ID:3117-2671-5096-24408</t>
  </si>
  <si>
    <t>ID:3144-7670-4666-70665</t>
  </si>
  <si>
    <t>ID:3100-6249-1178-19492</t>
  </si>
  <si>
    <t>ID:3170-2688-2437-78879</t>
  </si>
  <si>
    <t>ID:3131-6741-2516-27826</t>
  </si>
  <si>
    <t>ID:3120-3275-9446-23709</t>
  </si>
  <si>
    <t>ID:3106-7700-4859-22609</t>
  </si>
  <si>
    <t>ID:3101-8821-5379-62925</t>
  </si>
  <si>
    <t>ID:3123-9489-8356-63300</t>
  </si>
  <si>
    <t>ID:3170-9183-1520-66226</t>
  </si>
  <si>
    <t>ID:3162-1454-3938-21922</t>
  </si>
  <si>
    <t>ID:3195-6815-0802-91051</t>
  </si>
  <si>
    <t>ID:3139-2441-3584-14197</t>
  </si>
  <si>
    <t>ID:3127-5298-6256-03453</t>
  </si>
  <si>
    <t>ID:3123-5306-5299-75341</t>
  </si>
  <si>
    <t>ID:3152-1071-9720-54377</t>
  </si>
  <si>
    <t>ID:3108-8755-1430-40870</t>
  </si>
  <si>
    <t>22. 5. 7.</t>
  </si>
  <si>
    <t>ID:3101-7085-7621-64943</t>
  </si>
  <si>
    <t>ID:3154-2150-4964-24411</t>
  </si>
  <si>
    <t>ID:3172-4221-9764-45305</t>
  </si>
  <si>
    <t>ID:3121-9506-2795-75295</t>
  </si>
  <si>
    <t>ID:3115-9620-5399-37987</t>
  </si>
  <si>
    <t>ID:3177-2392-1513-84853</t>
  </si>
  <si>
    <t>ID:3111-2050-9028-20396</t>
  </si>
  <si>
    <t>ID:3121-3037-1220-06965</t>
  </si>
  <si>
    <t>ID:3148-0021-4872-83886</t>
  </si>
  <si>
    <t>ID:3137-8119-1826-13633</t>
  </si>
  <si>
    <t>ID:3174-4525-0217-88818</t>
  </si>
  <si>
    <t>ID:3155-5699-1250-81536</t>
  </si>
  <si>
    <t>ID:3114-8745-1969-47499</t>
  </si>
  <si>
    <t>ID:3144-3425-0176-45642</t>
  </si>
  <si>
    <t>ID:3118-2463-2497-36892</t>
  </si>
  <si>
    <t>ID:3177-1929-7767-81610</t>
  </si>
  <si>
    <t>ID:3126-1636-9315-97421</t>
  </si>
  <si>
    <t>ID:3184-4442-8955-20412</t>
  </si>
  <si>
    <t>ID:3124-4837-3134-16633</t>
  </si>
  <si>
    <t>ID:3147-7949-5410-43750</t>
  </si>
  <si>
    <t>ID:3155-3533-7100-30108</t>
  </si>
  <si>
    <t>ID:3190-9709-2676-73129</t>
  </si>
  <si>
    <t>임신부터 할까요 2권(완결)</t>
  </si>
  <si>
    <t>온서</t>
  </si>
  <si>
    <t>ID:3134-1384-2686-45944</t>
  </si>
  <si>
    <t>ID:3151-6126-1315-98059</t>
  </si>
  <si>
    <t>ID:3198-7038-3368-60237</t>
  </si>
  <si>
    <t>ID:3103-1482-4444-78052</t>
  </si>
  <si>
    <t>ID:3155-3402-4620-50391</t>
  </si>
  <si>
    <t>ID:3133-7236-0858-29355</t>
  </si>
  <si>
    <t>ID:3113-9240-4074-24596</t>
  </si>
  <si>
    <t>ID:3140-4569-7391-37025</t>
  </si>
  <si>
    <t>ID:3125-9491-4390-66200</t>
  </si>
  <si>
    <t>ID:3133-4883-1449-13398</t>
  </si>
  <si>
    <t>ID:3194-7323-8161-67098</t>
  </si>
  <si>
    <t>ID:3171-7034-0380-40124</t>
  </si>
  <si>
    <t>ID:3160-2762-8461-66452</t>
  </si>
  <si>
    <t>ID:3161-3611-3517-20948</t>
  </si>
  <si>
    <t>ID:3161-3147-1127-15621</t>
  </si>
  <si>
    <t>ID:3147-7209-2250-58141</t>
  </si>
  <si>
    <t>ID:3182-8893-6811-02464</t>
  </si>
  <si>
    <t>ID:3199-7282-6818-24208</t>
  </si>
  <si>
    <t>ID:3155-5359-1689-02147</t>
  </si>
  <si>
    <t>ID:3187-5736-7686-42771</t>
  </si>
  <si>
    <t>ID:3134-2266-4630-69543</t>
  </si>
  <si>
    <t>ID:3137-6575-7426-22687</t>
  </si>
  <si>
    <t>ID:3148-0966-9262-99734</t>
  </si>
  <si>
    <t>ID:3199-5610-3515-12089</t>
  </si>
  <si>
    <t>ID:3104-0698-7472-16054</t>
  </si>
  <si>
    <t>ID:3190-5057-9921-27769</t>
  </si>
  <si>
    <t>ID:3172-0911-5038-33543</t>
  </si>
  <si>
    <t>ID:3111-7566-1444-01960</t>
  </si>
  <si>
    <t>ID:3189-3638-2154-41000</t>
  </si>
  <si>
    <t>ID:3188-8744-4593-05614</t>
  </si>
  <si>
    <t>ID:3165-1575-1261-28134</t>
  </si>
  <si>
    <t>ID:3186-0744-4924-94889</t>
  </si>
  <si>
    <t>ID:3182-2142-1771-03998</t>
  </si>
  <si>
    <t>ID:3168-2393-6451-32942</t>
  </si>
  <si>
    <t>ID:3173-3110-8270-14811</t>
  </si>
  <si>
    <t>ID:3105-1789-8573-06377</t>
  </si>
  <si>
    <t>ID:3142-7107-6010-55697</t>
  </si>
  <si>
    <t>ID:3140-3007-6858-81641</t>
  </si>
  <si>
    <t>ID:3171-5709-0354-86061</t>
  </si>
  <si>
    <t>ID:3144-7060-0830-34007</t>
  </si>
  <si>
    <t>ID:3150-3465-5742-14132</t>
  </si>
  <si>
    <t>ID:3185-7300-2946-21229</t>
  </si>
  <si>
    <t>ID:3175-3075-6817-51856</t>
  </si>
  <si>
    <t>ID:3173-3747-8006-89231</t>
  </si>
  <si>
    <t>ID:3105-0433-8705-37197</t>
  </si>
  <si>
    <t>ID:3165-7711-8828-68386</t>
  </si>
  <si>
    <t>ID:3131-2532-8775-97071</t>
  </si>
  <si>
    <t>ID:3143-1106-6767-82588</t>
  </si>
  <si>
    <t>ID:3148-8941-1644-53202</t>
  </si>
  <si>
    <t>ID:3140-3954-9796-76875</t>
  </si>
  <si>
    <t>ID:3175-0751-9695-99339</t>
  </si>
  <si>
    <t>ID:3177-5320-6394-95781</t>
  </si>
  <si>
    <t>ID:3130-5652-2128-66112</t>
  </si>
  <si>
    <t>ID:3171-7113-0240-48029</t>
  </si>
  <si>
    <t>ID:3155-2232-1191-80645</t>
  </si>
  <si>
    <t>ID:3139-9161-1951-52917</t>
  </si>
  <si>
    <t>ID:3191-1806-4543-99557</t>
  </si>
  <si>
    <t>ID:3127-6573-7015-30511</t>
  </si>
  <si>
    <t>ID:3129-8708-0347-35703</t>
  </si>
  <si>
    <t>ID:3100-2550-7784-80470</t>
  </si>
  <si>
    <t>ID:3179-3758-1888-85878</t>
  </si>
  <si>
    <t>ID:3182-4789-6096-73092</t>
  </si>
  <si>
    <t>ID:3132-6920-8747-79007</t>
  </si>
  <si>
    <t>22. 5. 8.</t>
  </si>
  <si>
    <t>ID:3128-8323-3298-52305</t>
  </si>
  <si>
    <t>ID:3151-0675-7486-07030</t>
  </si>
  <si>
    <t>ID:3124-0370-6972-46108</t>
  </si>
  <si>
    <t>ID:3179-2368-0387-34759</t>
  </si>
  <si>
    <t>ID:3178-2115-4515-16807</t>
  </si>
  <si>
    <t>ID:3197-9303-7083-02540</t>
  </si>
  <si>
    <t>ID:3160-8327-3191-84767</t>
  </si>
  <si>
    <t>ID:3195-4821-5400-65726</t>
  </si>
  <si>
    <t>ID:3120-9377-8610-16713</t>
  </si>
  <si>
    <t>ID:3182-9328-5987-41358</t>
  </si>
  <si>
    <t>ID:3136-6028-4144-13424</t>
  </si>
  <si>
    <t>ID:3118-7866-2108-08775</t>
  </si>
  <si>
    <t>ID:3180-6602-5906-54709</t>
  </si>
  <si>
    <t>ID:3199-9359-3763-77805</t>
  </si>
  <si>
    <t>ID:3111-4795-5568-90892</t>
  </si>
  <si>
    <t>ID:3101-8383-1145-30733</t>
  </si>
  <si>
    <t>ID:3174-5752-7675-65671</t>
  </si>
  <si>
    <t>ID:3166-6148-2253-05390</t>
  </si>
  <si>
    <t>ID:3194-0049-2718-19142</t>
  </si>
  <si>
    <t>ID:3143-5865-8718-72089</t>
  </si>
  <si>
    <t>ID:3114-5836-7732-87872</t>
  </si>
  <si>
    <t>ID:3105-8299-3502-72220</t>
  </si>
  <si>
    <t>ID:3142-9435-5842-90858</t>
  </si>
  <si>
    <t>ID:3196-6754-5333-96358</t>
  </si>
  <si>
    <t>ID:3157-6708-1488-69609</t>
  </si>
  <si>
    <t>ID:3144-5541-9146-15435</t>
  </si>
  <si>
    <t>ID:3139-0450-4190-88260</t>
  </si>
  <si>
    <t>ID:3137-2859-1253-69511</t>
  </si>
  <si>
    <t>ID:3109-6915-8117-95898</t>
  </si>
  <si>
    <t>ID:3183-1686-3181-41400</t>
  </si>
  <si>
    <t>ID:3166-1955-8636-38034</t>
  </si>
  <si>
    <t>ID:3104-1166-7686-48698</t>
  </si>
  <si>
    <t>ID:3143-9909-1203-22237</t>
  </si>
  <si>
    <t>ID:3138-4093-7831-97474</t>
  </si>
  <si>
    <t>ID:3160-2196-4682-14185</t>
  </si>
  <si>
    <t>ID:3198-5102-5453-29232</t>
  </si>
  <si>
    <t>ID:3151-8391-0730-73840</t>
  </si>
  <si>
    <t>ID:3148-9449-0933-72339</t>
  </si>
  <si>
    <t>ID:3182-0048-7012-34004</t>
  </si>
  <si>
    <t>ID:3143-3654-3317-11218</t>
  </si>
  <si>
    <t>ID:3175-5556-1396-79114</t>
  </si>
  <si>
    <t>ID:3144-6306-3511-70010</t>
  </si>
  <si>
    <t>ID:3199-9565-1499-67546</t>
  </si>
  <si>
    <t>ID:3166-4791-8571-19322</t>
  </si>
  <si>
    <t>ID:3183-7475-9920-66960</t>
  </si>
  <si>
    <t>ID:3173-8013-9864-46259</t>
  </si>
  <si>
    <t>ID:3148-7165-5327-84464</t>
  </si>
  <si>
    <t>ID:3153-4948-4713-78290</t>
  </si>
  <si>
    <t>ID:3159-8005-3303-97983</t>
  </si>
  <si>
    <t>ID:3140-0103-4701-63453</t>
  </si>
  <si>
    <t>ID:3160-4048-2068-06154</t>
  </si>
  <si>
    <t>ID:3196-6967-8302-60499</t>
  </si>
  <si>
    <t>ID:3185-7886-0605-41094</t>
  </si>
  <si>
    <t>오후 4시의 남자</t>
  </si>
  <si>
    <t>ID:3161-1017-4074-21319</t>
  </si>
  <si>
    <t>ID:3140-4814-1222-11774</t>
  </si>
  <si>
    <t>ID:3126-5470-1310-48482</t>
  </si>
  <si>
    <t>ID:3132-4039-3470-89781</t>
  </si>
  <si>
    <t>ID:3158-3504-6426-98767</t>
  </si>
  <si>
    <t>ID:3165-9852-6298-98021</t>
  </si>
  <si>
    <t>ID:3131-5392-4218-60236</t>
  </si>
  <si>
    <t>ID:3149-4595-7462-53248</t>
  </si>
  <si>
    <t>ID:3196-2047-2984-45858</t>
  </si>
  <si>
    <t>ID:3123-0148-3888-75463</t>
  </si>
  <si>
    <t>ID:3153-3701-9155-64332</t>
  </si>
  <si>
    <t>ID:3130-8783-3314-40537</t>
  </si>
  <si>
    <t>ID:3159-3653-5310-82583</t>
  </si>
  <si>
    <t>ID:3133-0996-4622-39641</t>
  </si>
  <si>
    <t>ID:3159-8550-5426-30418</t>
  </si>
  <si>
    <t>ID:3156-3310-7265-59375</t>
  </si>
  <si>
    <t>ID:3185-4048-0864-16810</t>
  </si>
  <si>
    <t>ID:3102-3707-7859-95960</t>
  </si>
  <si>
    <t>ID:3164-3399-5506-23664</t>
  </si>
  <si>
    <t>ID:3158-4091-6260-29669</t>
  </si>
  <si>
    <t>ID:3130-4479-4461-89409</t>
  </si>
  <si>
    <t>ID:3110-6464-9445-87051</t>
  </si>
  <si>
    <t>ID:3122-7012-4393-98690</t>
  </si>
  <si>
    <t>ID:3105-0637-6905-06204</t>
  </si>
  <si>
    <t>ID:3180-7699-3228-09849</t>
  </si>
  <si>
    <t>ID:3175-9845-0209-06595</t>
  </si>
  <si>
    <t>ID:3124-6348-0077-38018</t>
  </si>
  <si>
    <t>ID:3154-6605-3034-66443</t>
  </si>
  <si>
    <t>ID:3103-9607-0097-37279</t>
  </si>
  <si>
    <t>ID:3132-2430-7776-04163</t>
  </si>
  <si>
    <t>ID:3146-5613-9977-58920</t>
  </si>
  <si>
    <t>ID:3122-6383-5340-66814</t>
  </si>
  <si>
    <t>ID:3129-9328-0050-25197</t>
  </si>
  <si>
    <t>ID:3172-8346-4703-89978</t>
  </si>
  <si>
    <t>22. 5. 9.</t>
  </si>
  <si>
    <t>ID:3135-9661-3886-36632</t>
  </si>
  <si>
    <t>ID:3139-4489-8832-34334</t>
  </si>
  <si>
    <t>ID:3102-9488-4895-96145</t>
  </si>
  <si>
    <t>ID:3125-5060-0750-16231</t>
  </si>
  <si>
    <t>ID:3197-9916-0934-69507</t>
  </si>
  <si>
    <t>ID:3120-2465-0910-71277</t>
  </si>
  <si>
    <t>ID:3146-1088-3512-82053</t>
  </si>
  <si>
    <t>ID:3165-8288-2085-05127</t>
  </si>
  <si>
    <t>ID:3109-3361-4168-52269</t>
  </si>
  <si>
    <t>ID:3116-2074-8958-38242</t>
  </si>
  <si>
    <t>ID:3163-9997-3403-10340</t>
  </si>
  <si>
    <t>ID:3121-4358-2070-26892</t>
  </si>
  <si>
    <t>ID:3103-1513-3399-29319</t>
  </si>
  <si>
    <t>ID:3116-1519-2134-01973</t>
  </si>
  <si>
    <t>ID:3151-5592-6267-20515</t>
  </si>
  <si>
    <t>ID:3127-9110-1045-83013</t>
  </si>
  <si>
    <t>여름, 밤의 사정</t>
  </si>
  <si>
    <t>ID:3160-3808-6830-46991</t>
  </si>
  <si>
    <t>ID:3168-0584-8394-47191</t>
  </si>
  <si>
    <t>ID:3148-1163-7580-50661</t>
  </si>
  <si>
    <t>ID:3156-9440-9208-34621</t>
  </si>
  <si>
    <t>ID:3133-1211-3956-32642</t>
  </si>
  <si>
    <t>ID:3174-0455-1322-94576</t>
  </si>
  <si>
    <t>ID:3129-0914-0122-05869</t>
  </si>
  <si>
    <t>ID:3168-4611-9992-71415</t>
  </si>
  <si>
    <t>ID:3139-5476-6925-03491</t>
  </si>
  <si>
    <t>ID:3182-0045-5914-00119</t>
  </si>
  <si>
    <t>ID:3158-8909-2503-65363</t>
  </si>
  <si>
    <t>ID:3180-7243-2055-04494</t>
  </si>
  <si>
    <t>ID:3134-5066-3727-39448</t>
  </si>
  <si>
    <t>ID:3187-2251-7449-85213</t>
  </si>
  <si>
    <t>ID:3130-4177-6588-04713</t>
  </si>
  <si>
    <t>ID:3192-6256-1292-57068</t>
  </si>
  <si>
    <t>ID:3105-5889-6781-51476</t>
  </si>
  <si>
    <t>ID:3171-0490-2096-32531</t>
  </si>
  <si>
    <t>ID:3104-1839-2531-15705</t>
  </si>
  <si>
    <t>첫사랑을 종료하시겠습니까</t>
  </si>
  <si>
    <t>이파람</t>
  </si>
  <si>
    <t>ID:3121-4820-3347-07065</t>
  </si>
  <si>
    <t>ID:3129-6685-2883-13247</t>
  </si>
  <si>
    <t>ID:3186-5033-1183-99421</t>
  </si>
  <si>
    <t>ID:3112-6436-1926-34211</t>
  </si>
  <si>
    <t>ID:3149-0065-0651-79259</t>
  </si>
  <si>
    <t>ID:3149-9510-1412-55672</t>
  </si>
  <si>
    <t>ID:3145-0827-2936-53249</t>
  </si>
  <si>
    <t>ID:3196-4144-9874-80219</t>
  </si>
  <si>
    <t>ID:3185-8014-9227-37532</t>
  </si>
  <si>
    <t>ID:3151-5353-0904-60211</t>
  </si>
  <si>
    <t>ID:3162-0857-6680-24345</t>
  </si>
  <si>
    <t>ID:3199-8628-1937-66832</t>
  </si>
  <si>
    <t>ID:3187-5205-9167-37070</t>
  </si>
  <si>
    <t>ID:3128-1059-6216-85882</t>
  </si>
  <si>
    <t>ID:3177-9126-4104-39806</t>
  </si>
  <si>
    <t>ID:3137-8654-5627-78635</t>
  </si>
  <si>
    <t>ID:3138-5231-3892-75611</t>
  </si>
  <si>
    <t>ID:3117-4960-0344-73755</t>
  </si>
  <si>
    <t>ID:3121-9975-8479-48837</t>
  </si>
  <si>
    <t>ID:3187-1631-2336-68334</t>
  </si>
  <si>
    <t>ID:3173-4002-1996-63463</t>
  </si>
  <si>
    <t>ID:3189-9596-5502-42668</t>
  </si>
  <si>
    <t>ID:3138-1907-2075-11329</t>
  </si>
  <si>
    <t>ID:3168-2575-7939-53377</t>
  </si>
  <si>
    <t>ID:3132-4864-6229-49619</t>
  </si>
  <si>
    <t>ID:3150-5085-3371-40151</t>
  </si>
  <si>
    <t>ID:3182-3284-5879-59382</t>
  </si>
  <si>
    <t>ID:3108-2039-3320-94011</t>
  </si>
  <si>
    <t>ID:3147-6414-2077-45661</t>
  </si>
  <si>
    <t>ID:3171-1199-4437-41304</t>
  </si>
  <si>
    <t>ID:3166-3421-2361-58049</t>
  </si>
  <si>
    <t>ID:3195-5786-7071-20154</t>
  </si>
  <si>
    <t>ID:3120-3131-9682-91433</t>
  </si>
  <si>
    <t>ID:3157-8171-2071-08800</t>
  </si>
  <si>
    <t>ID:3105-1476-4134-62198</t>
  </si>
  <si>
    <t>ID:3170-7666-3205-41094</t>
  </si>
  <si>
    <t>ID:3159-1901-7796-28859</t>
  </si>
  <si>
    <t>ID:3161-1225-8349-59065</t>
  </si>
  <si>
    <t>ID:3126-0264-3205-07346</t>
  </si>
  <si>
    <t>ID:3189-9000-2662-09178</t>
  </si>
  <si>
    <t>[BL] 택스 프리(TAX FREE) 1권</t>
  </si>
  <si>
    <t>SISSI</t>
  </si>
  <si>
    <t>[BL] 택스 프리(TAX FREE) 2권 (완결)</t>
  </si>
  <si>
    <t>ID:3124-0569-0894-21851</t>
  </si>
  <si>
    <t>나만의 스타(외전증보판)</t>
  </si>
  <si>
    <t>스내치</t>
  </si>
  <si>
    <t>22. 5. 10.</t>
  </si>
  <si>
    <t>ID:3137-3055-8916-25756</t>
  </si>
  <si>
    <t>ID:3103-3798-5840-67608</t>
  </si>
  <si>
    <t>ID:3113-5361-5340-86101</t>
  </si>
  <si>
    <t>ID:3112-1719-8500-77446</t>
  </si>
  <si>
    <t>ID:3117-1123-9049-28464</t>
  </si>
  <si>
    <t>ID:3122-7050-3519-28742</t>
  </si>
  <si>
    <t>ID:3177-1835-4008-66798</t>
  </si>
  <si>
    <t>ID:3140-8139-2034-40994</t>
  </si>
  <si>
    <t>ID:3105-0250-2335-99680</t>
  </si>
  <si>
    <t>ID:3166-4164-0759-76082</t>
  </si>
  <si>
    <t>ID:3113-1124-0117-29505</t>
  </si>
  <si>
    <t>ID:3109-3555-7511-70730</t>
  </si>
  <si>
    <t>ID:3179-6079-7959-52641</t>
  </si>
  <si>
    <t>ID:3181-0024-9934-51604</t>
  </si>
  <si>
    <t>ID:3103-6374-3872-85844</t>
  </si>
  <si>
    <t>ID:3130-2685-2439-44350</t>
  </si>
  <si>
    <t>ID:3185-6937-3197-57208</t>
  </si>
  <si>
    <t>ID:3113-8877-4323-51004</t>
  </si>
  <si>
    <t>ID:3118-4668-6316-59216</t>
  </si>
  <si>
    <t>ID:3119-4856-0159-70083</t>
  </si>
  <si>
    <t>ID:3124-0848-7416-55340</t>
  </si>
  <si>
    <t>ID:3190-5223-5791-88991</t>
  </si>
  <si>
    <t>ID:3138-5246-4525-41221</t>
  </si>
  <si>
    <t>ID:3144-3435-7306-15275</t>
  </si>
  <si>
    <t>ID:3134-9238-9556-86890</t>
  </si>
  <si>
    <t>ID:3168-4724-1572-45143</t>
  </si>
  <si>
    <t>ID:3147-8743-2968-51929</t>
  </si>
  <si>
    <t>ID:3185-2131-1498-67047</t>
  </si>
  <si>
    <t>ID:3186-2492-5249-94026</t>
  </si>
  <si>
    <t>ID:3158-9924-2623-46238</t>
  </si>
  <si>
    <t>ID:3144-7411-6984-29502</t>
  </si>
  <si>
    <t>ID:3118-1969-0117-04767</t>
  </si>
  <si>
    <t>ID:3160-7124-9719-70706</t>
  </si>
  <si>
    <t>ID:3151-7367-6945-17666</t>
  </si>
  <si>
    <t>ID:3150-6566-3320-14734</t>
  </si>
  <si>
    <t>ID:3186-5133-9403-48053</t>
  </si>
  <si>
    <t>ID:3182-4949-1496-81681</t>
  </si>
  <si>
    <t>ID:3166-5057-2518-82395</t>
  </si>
  <si>
    <t>[BL] 욕망하다 1권</t>
  </si>
  <si>
    <t>라비니안느</t>
  </si>
  <si>
    <t>ID:3137-9127-8958-30771</t>
  </si>
  <si>
    <t>ID:3152-9656-6672-52383</t>
  </si>
  <si>
    <t>ID:3137-9766-8912-23666</t>
  </si>
  <si>
    <t>ID:3165-7783-6843-99035</t>
  </si>
  <si>
    <t>ID:3148-0360-0616-86604</t>
  </si>
  <si>
    <t>[BL] 욕망하다 2권</t>
  </si>
  <si>
    <t>ID:3130-1544-6449-44643</t>
  </si>
  <si>
    <t>ID:3116-8588-4845-60649</t>
  </si>
  <si>
    <t>ID:3135-6931-8160-30746</t>
  </si>
  <si>
    <t>[BL] 이 비서 다리 좀 치워 1권</t>
  </si>
  <si>
    <t>모리미</t>
  </si>
  <si>
    <t>ID:3177-8931-6606-03904</t>
  </si>
  <si>
    <t>ID:3189-4675-0640-55678</t>
  </si>
  <si>
    <t>ID:3166-6264-3994-62339</t>
  </si>
  <si>
    <t>ID:3185-5231-9795-79598</t>
  </si>
  <si>
    <t>ID:3129-9554-0145-54626</t>
  </si>
  <si>
    <t>ID:3128-6690-2371-33684</t>
  </si>
  <si>
    <t>ID:3171-0585-4545-24769</t>
  </si>
  <si>
    <t>ID:3165-4371-2116-00394</t>
  </si>
  <si>
    <t>ID:3194-4061-1737-20748</t>
  </si>
  <si>
    <t>ID:3165-5998-8140-19160</t>
  </si>
  <si>
    <t>ID:3145-8133-3766-18949</t>
  </si>
  <si>
    <t>ID:3132-6520-8834-23877</t>
  </si>
  <si>
    <t>ID:3182-0172-2374-78551</t>
  </si>
  <si>
    <t>ID:3191-2947-6613-42047</t>
  </si>
  <si>
    <t>ID:3166-9769-8271-38211</t>
  </si>
  <si>
    <t>ID:3173-5010-9157-08802</t>
  </si>
  <si>
    <t>ID:3150-0500-8816-28937</t>
  </si>
  <si>
    <t>어게인(Again)</t>
  </si>
  <si>
    <t>최준서</t>
  </si>
  <si>
    <t>ID:3136-3898-7856-25902</t>
  </si>
  <si>
    <t>ID:3150-1822-5504-84588</t>
  </si>
  <si>
    <t>ID:3167-6462-5039-24249</t>
  </si>
  <si>
    <t>22. 5. 11.</t>
  </si>
  <si>
    <t>ID:3126-2282-7325-97337</t>
  </si>
  <si>
    <t>ID:3190-6130-0620-30904</t>
  </si>
  <si>
    <t>ID:3164-0661-6552-28574</t>
  </si>
  <si>
    <t>ID:3110-7656-2124-06355</t>
  </si>
  <si>
    <t>ID:3126-8415-8956-08162</t>
  </si>
  <si>
    <t>ID:3128-9952-6311-30242</t>
  </si>
  <si>
    <t>ID:3129-5009-6738-58790</t>
  </si>
  <si>
    <t>[BL] 이 비서 다리 좀 치워 2권</t>
  </si>
  <si>
    <t>ID:3185-4551-2305-02119</t>
  </si>
  <si>
    <t>ID:3125-9860-7104-01594</t>
  </si>
  <si>
    <t>ID:3179-2456-2152-12268</t>
  </si>
  <si>
    <t>ID:3183-6996-9237-32374</t>
  </si>
  <si>
    <t>ID:3145-1241-9999-05110</t>
  </si>
  <si>
    <t>ID:3163-1719-9226-75506</t>
  </si>
  <si>
    <t>ID:3127-2109-3332-28995</t>
  </si>
  <si>
    <t>ID:3101-5143-5394-46772</t>
  </si>
  <si>
    <t>ID:3107-2772-1812-07046</t>
  </si>
  <si>
    <t>ID:3110-5315-8516-92938</t>
  </si>
  <si>
    <t>이별 그리고 그 후</t>
  </si>
  <si>
    <t>최현자</t>
  </si>
  <si>
    <t>ID:3190-2238-1911-48731</t>
  </si>
  <si>
    <t>ID:3121-7561-8034-98852</t>
  </si>
  <si>
    <t>사랑 그리고 그 후</t>
  </si>
  <si>
    <t>ID:3172-8048-1488-24844</t>
  </si>
  <si>
    <t>ID:3137-9592-6608-54357</t>
  </si>
  <si>
    <t>ID:3171-8426-0896-83961</t>
  </si>
  <si>
    <t>ID:3119-0209-0249-61334</t>
  </si>
  <si>
    <t>ID:3192-4146-3845-67232</t>
  </si>
  <si>
    <t>ID:3170-9803-0641-95561</t>
  </si>
  <si>
    <t>ID:3182-9102-7675-73694</t>
  </si>
  <si>
    <t>ID:3184-8005-9416-09559</t>
  </si>
  <si>
    <t>ID:3183-6308-8873-21175</t>
  </si>
  <si>
    <t>ID:3192-4947-0578-95454</t>
  </si>
  <si>
    <t>ID:3162-6403-7925-59683</t>
  </si>
  <si>
    <t>ID:3130-9474-8087-48820</t>
  </si>
  <si>
    <t>ID:3155-6110-9327-92348</t>
  </si>
  <si>
    <t>ID:3188-3209-3348-57361</t>
  </si>
  <si>
    <t>ID:3119-8224-3167-53691</t>
  </si>
  <si>
    <t>사랑을 놓치고 2권</t>
  </si>
  <si>
    <t>차홍주</t>
  </si>
  <si>
    <t>ID:3101-2041-8872-27206</t>
  </si>
  <si>
    <t>ID:3135-1235-6130-54191</t>
  </si>
  <si>
    <t>ID:3172-3079-7375-62460</t>
  </si>
  <si>
    <t>ID:3108-3326-2035-64057</t>
  </si>
  <si>
    <t>ID:3178-2560-0591-20526</t>
  </si>
  <si>
    <t>ID:3150-0676-2795-00036</t>
  </si>
  <si>
    <t>ID:3148-0432-0377-73887</t>
  </si>
  <si>
    <t>ID:3192-5595-0813-84756</t>
  </si>
  <si>
    <t>ID:3177-5379-0736-33732</t>
  </si>
  <si>
    <t>ID:3158-0801-1628-24260</t>
  </si>
  <si>
    <t>ID:3168-4840-2094-59962</t>
  </si>
  <si>
    <t>ID:3178-4538-4119-04000</t>
  </si>
  <si>
    <t>ID:3116-0768-4038-17051</t>
  </si>
  <si>
    <t>ID:3129-2105-7936-13087</t>
  </si>
  <si>
    <t>ID:3121-7921-4146-80117</t>
  </si>
  <si>
    <t>ID:3175-3585-0204-42517</t>
  </si>
  <si>
    <t>ID:3178-8042-0203-42991</t>
  </si>
  <si>
    <t>ID:3101-5442-8315-46623</t>
  </si>
  <si>
    <t>ID:3181-3981-5039-96912</t>
  </si>
  <si>
    <t>삼국지 호접몽전 1부 2권</t>
  </si>
  <si>
    <t>ID:3124-9080-8027-28376</t>
  </si>
  <si>
    <t>ID:3100-9771-3495-77124</t>
  </si>
  <si>
    <t>22. 5. 12.</t>
  </si>
  <si>
    <t>ID:3185-3970-6042-31245</t>
  </si>
  <si>
    <t>ID:3100-8496-8102-42319</t>
  </si>
  <si>
    <t>ID:3131-2660-3773-62615</t>
  </si>
  <si>
    <t>ID:3188-1570-4133-25241</t>
  </si>
  <si>
    <t>ID:3186-8959-5262-87401</t>
  </si>
  <si>
    <t>ID:3197-7560-9583-43078</t>
  </si>
  <si>
    <t>ID:3140-3036-6164-25914</t>
  </si>
  <si>
    <t>ID:3106-6441-4606-88537</t>
  </si>
  <si>
    <t>ID:3118-5365-8623-65803</t>
  </si>
  <si>
    <t>ID:3127-8984-2071-84059</t>
  </si>
  <si>
    <t>ID:3199-0113-8057-89601</t>
  </si>
  <si>
    <t>ID:3185-0430-5345-66544</t>
  </si>
  <si>
    <t>ID:3172-9593-5138-43455</t>
  </si>
  <si>
    <t>삼국지 호접몽전 1부 3권</t>
  </si>
  <si>
    <t>삼국지 호접몽전 1부 4권</t>
  </si>
  <si>
    <t>삼국지 호접몽전 1부 5권</t>
  </si>
  <si>
    <t>삼국지 호접몽전 1부 6권</t>
  </si>
  <si>
    <t>ID:3145-9002-0587-92875</t>
  </si>
  <si>
    <t>ID:3183-6757-3110-81327</t>
  </si>
  <si>
    <t>ID:3134-0901-3684-65530</t>
  </si>
  <si>
    <t>ID:3176-7497-2018-09388</t>
  </si>
  <si>
    <t>ID:3183-0541-2568-81109</t>
  </si>
  <si>
    <t>주님 (외전증보판)</t>
  </si>
  <si>
    <t>ID:3129-2264-1499-62278</t>
  </si>
  <si>
    <t>황설 (외전증보판)</t>
  </si>
  <si>
    <t>ID:3174-4995-9092-53593</t>
  </si>
  <si>
    <t>ID:3124-9181-7498-41229</t>
  </si>
  <si>
    <t>ID:3107-8256-0581-50744</t>
  </si>
  <si>
    <t>ID:3109-3422-3539-90319</t>
  </si>
  <si>
    <t>ID:3110-3577-5093-08205</t>
  </si>
  <si>
    <t>ID:3193-9938-5069-80911</t>
  </si>
  <si>
    <t>ID:3164-3108-7786-24049</t>
  </si>
  <si>
    <t>ID:3180-4391-0915-85597</t>
  </si>
  <si>
    <t>ID:3169-6183-8256-67443</t>
  </si>
  <si>
    <t>ID:3153-9680-0007-49155</t>
  </si>
  <si>
    <t>ID:3183-6985-3950-65877</t>
  </si>
  <si>
    <t>ID:3123-3317-5745-13980</t>
  </si>
  <si>
    <t>ID:3149-3669-9675-46790</t>
  </si>
  <si>
    <t>ID:3172-6680-9277-15491</t>
  </si>
  <si>
    <t>ID:3198-9257-0261-68842</t>
  </si>
  <si>
    <t>ID:3103-6692-5356-49377</t>
  </si>
  <si>
    <t>ID:3141-2197-7134-97758</t>
  </si>
  <si>
    <t>ID:3103-9619-9045-40336</t>
  </si>
  <si>
    <t>ID:3174-7638-1307-40040</t>
  </si>
  <si>
    <t>ID:3110-6885-8416-49374</t>
  </si>
  <si>
    <t>ID:3147-7976-8770-67857</t>
  </si>
  <si>
    <t>ID:3187-4859-1225-35141</t>
  </si>
  <si>
    <t>[BL] 사랑, 흘러간다 외전</t>
  </si>
  <si>
    <t>블랙커피</t>
  </si>
  <si>
    <t>ID:3106-4996-3892-75432</t>
  </si>
  <si>
    <t>ID:3102-7934-9167-45652</t>
  </si>
  <si>
    <t>ID:3183-7910-4439-56228</t>
  </si>
  <si>
    <t>ID:3155-2202-9767-08517</t>
  </si>
  <si>
    <t>ID:3180-6452-0600-24419</t>
  </si>
  <si>
    <t>ID:3183-1161-1847-51519</t>
  </si>
  <si>
    <t>ID:3129-7360-4931-35544</t>
  </si>
  <si>
    <t>ID:3169-3545-2544-86887</t>
  </si>
  <si>
    <t>ID:3152-3880-1036-53275</t>
  </si>
  <si>
    <t>ID:3130-0518-4709-73729</t>
  </si>
  <si>
    <t>ID:3113-8863-3736-02216</t>
  </si>
  <si>
    <t>ID:3174-6065-9012-00986</t>
  </si>
  <si>
    <t>ID:3144-0630-6388-94776</t>
  </si>
  <si>
    <t>ID:3123-3572-8693-14635</t>
  </si>
  <si>
    <t>ID:3196-5519-3038-24762</t>
  </si>
  <si>
    <t>ID:3111-5870-4261-71114</t>
  </si>
  <si>
    <t>ID:3124-9934-4994-74661</t>
  </si>
  <si>
    <t>ID:3114-2293-9874-75530</t>
  </si>
  <si>
    <t>ID:3197-5224-7860-42526</t>
  </si>
  <si>
    <t>ID:3131-3494-8405-25682</t>
  </si>
  <si>
    <t>ID:3146-9685-9871-63358</t>
  </si>
  <si>
    <t>ID:3159-8334-0605-05274</t>
  </si>
  <si>
    <t>ID:3142-5410-3318-98706</t>
  </si>
  <si>
    <t>ID:3168-8262-6681-62631</t>
  </si>
  <si>
    <t>ID:3102-0430-8574-81548</t>
  </si>
  <si>
    <t>ID:3183-3687-3366-94368</t>
  </si>
  <si>
    <t>ID:3112-0323-8131-47383</t>
  </si>
  <si>
    <t>22. 5. 13.</t>
  </si>
  <si>
    <t>ID:3183-8803-7576-41888</t>
  </si>
  <si>
    <t>ID:3149-1862-4537-62955</t>
  </si>
  <si>
    <t>ID:3179-9884-3381-86696</t>
  </si>
  <si>
    <t>ID:3170-3530-0542-07287</t>
  </si>
  <si>
    <t>ID:3187-2756-1279-42626</t>
  </si>
  <si>
    <t>ID:3193-7572-8518-10469</t>
  </si>
  <si>
    <t>리얼 머니 2권</t>
  </si>
  <si>
    <t>ID:3130-0156-2200-20379</t>
  </si>
  <si>
    <t>ID:3128-8809-9649-85964</t>
  </si>
  <si>
    <t>리얼 머니 3권</t>
  </si>
  <si>
    <t>ID:3155-2899-8424-18352</t>
  </si>
  <si>
    <t>ID:3119-7952-4579-91542</t>
  </si>
  <si>
    <t>ID:3166-7206-9959-27704</t>
  </si>
  <si>
    <t>ID:3154-6808-4044-41419</t>
  </si>
  <si>
    <t>ID:3131-9422-2935-55537</t>
  </si>
  <si>
    <t>ID:3152-6408-5338-89956</t>
  </si>
  <si>
    <t>ID:3166-5056-8921-58007</t>
  </si>
  <si>
    <t>ID:3191-7350-2685-80731</t>
  </si>
  <si>
    <t>ID:3133-0227-4723-69963</t>
  </si>
  <si>
    <t>삼국지 호접몽전 1부 7권</t>
  </si>
  <si>
    <t>삼국지 호접몽전 1부 8권</t>
  </si>
  <si>
    <t>삼국지 호접몽전 1부 9권</t>
  </si>
  <si>
    <t>삼국지 호접몽전 1부 10권</t>
  </si>
  <si>
    <t>ID:3142-1817-7865-12919</t>
  </si>
  <si>
    <t>ID:3153-5660-9248-02692</t>
  </si>
  <si>
    <t>ID:3158-0455-9717-50486</t>
  </si>
  <si>
    <t>ID:3145-9148-7250-06544</t>
  </si>
  <si>
    <t>ID:3111-9795-2026-04671</t>
  </si>
  <si>
    <t>ID:3128-7654-4896-64552</t>
  </si>
  <si>
    <t>ID:3182-7158-2166-59152</t>
  </si>
  <si>
    <t>ID:3175-1463-1600-06439</t>
  </si>
  <si>
    <t>ID:3115-9225-9711-38785</t>
  </si>
  <si>
    <t>ID:3128-1590-5680-37871</t>
  </si>
  <si>
    <t>ID:3107-1893-2194-59518</t>
  </si>
  <si>
    <t>ID:3112-8059-2010-72263</t>
  </si>
  <si>
    <t>ID:3127-0917-7578-88894</t>
  </si>
  <si>
    <t>ID:3177-7529-0024-72315</t>
  </si>
  <si>
    <t>ID:3138-7976-7629-83485</t>
  </si>
  <si>
    <t>ID:3182-4058-8753-68813</t>
  </si>
  <si>
    <t>ID:3191-7798-6076-08825</t>
  </si>
  <si>
    <t>ID:3139-1239-8554-22537</t>
  </si>
  <si>
    <t>ID:3177-5505-5731-87313</t>
  </si>
  <si>
    <t>ID:3181-7584-8414-75615</t>
  </si>
  <si>
    <t>ID:3124-8297-4568-64426</t>
  </si>
  <si>
    <t>ID:3120-6085-5099-61178</t>
  </si>
  <si>
    <t>ID:3100-4328-5688-29392</t>
  </si>
  <si>
    <t>ID:3118-2090-5197-78277</t>
  </si>
  <si>
    <t>ID:3149-8787-3180-05813</t>
  </si>
  <si>
    <t>ID:3108-5654-5130-37533</t>
  </si>
  <si>
    <t>ID:3151-5973-8234-94374</t>
  </si>
  <si>
    <t>ID:3172-7249-1039-01744</t>
  </si>
  <si>
    <t>ID:3126-2133-8626-29060</t>
  </si>
  <si>
    <t>ID:3129-5880-4042-76135</t>
  </si>
  <si>
    <t>ID:3131-3796-3223-73884</t>
  </si>
  <si>
    <t>ID:3157-8895-2588-96117</t>
  </si>
  <si>
    <t>ID:3190-7021-4646-59305</t>
  </si>
  <si>
    <t>ID:3126-1335-3765-23280</t>
  </si>
  <si>
    <t>ID:3194-9977-5990-49947</t>
  </si>
  <si>
    <t>ID:3190-7228-5180-80999</t>
  </si>
  <si>
    <t>ID:3104-0179-6745-60652</t>
  </si>
  <si>
    <t>ID:3100-6915-6596-97561</t>
  </si>
  <si>
    <t>ID:3162-9586-1260-22145</t>
  </si>
  <si>
    <t>ID:3157-8363-5749-85548</t>
  </si>
  <si>
    <t>ID:3199-9684-6508-13030</t>
  </si>
  <si>
    <t>ID:3189-6336-5307-61382</t>
  </si>
  <si>
    <t>ID:3163-9078-0519-67221</t>
  </si>
  <si>
    <t>ID:3143-8381-9795-23875</t>
  </si>
  <si>
    <t>ID:3152-1322-7677-95169</t>
  </si>
  <si>
    <t>ID:3193-3184-4541-58755</t>
  </si>
  <si>
    <t>ID:3167-0906-8350-21055</t>
  </si>
  <si>
    <t>ID:3180-7699-5468-80676</t>
  </si>
  <si>
    <t>22. 5. 14.</t>
  </si>
  <si>
    <t>ID:3128-2240-8396-64716</t>
  </si>
  <si>
    <t>ID:3148-2317-2535-18265</t>
  </si>
  <si>
    <t>ID:3135-2610-0854-88494</t>
  </si>
  <si>
    <t>ID:3151-5711-7783-88349</t>
  </si>
  <si>
    <t>ID:3124-3471-7983-54745</t>
  </si>
  <si>
    <t>ID:3192-9336-5030-07768</t>
  </si>
  <si>
    <t>ID:3140-1459-9409-95891</t>
  </si>
  <si>
    <t>ID:3132-6822-4051-72068</t>
  </si>
  <si>
    <t>ID:3119-2679-4970-44750</t>
  </si>
  <si>
    <t>ID:3126-4184-1742-84072</t>
  </si>
  <si>
    <t>고은 나의 고은</t>
  </si>
  <si>
    <t>서풍</t>
  </si>
  <si>
    <t>ID:3148-9855-4363-50992</t>
  </si>
  <si>
    <t>임신부터 할까요? 1권</t>
  </si>
  <si>
    <t>ID:3186-1769-9431-80604</t>
  </si>
  <si>
    <t>ID:3104-9963-7584-46227</t>
  </si>
  <si>
    <t>이번 생은 망한 줄 알았는데</t>
  </si>
  <si>
    <t>이윤미</t>
  </si>
  <si>
    <t>ID:3189-7467-1704-02772</t>
  </si>
  <si>
    <t>ID:3139-5498-4028-03487</t>
  </si>
  <si>
    <t>ID:3127-9075-7834-74581</t>
  </si>
  <si>
    <t>ID:3127-0110-3983-65067</t>
  </si>
  <si>
    <t>ID:3160-8196-4322-61976</t>
  </si>
  <si>
    <t>ID:3133-1220-8524-23512</t>
  </si>
  <si>
    <t>ID:3134-6185-0176-80413</t>
  </si>
  <si>
    <t>ID:3181-4208-7828-59991</t>
  </si>
  <si>
    <t>ID:3169-5713-0389-47082</t>
  </si>
  <si>
    <t>ID:3112-0287-4285-70433</t>
  </si>
  <si>
    <t>ID:3100-1330-0291-99799</t>
  </si>
  <si>
    <t>ID:3136-5707-0668-52306</t>
  </si>
  <si>
    <t>ID:3158-4814-6969-78172</t>
  </si>
  <si>
    <t>ID:3166-2556-7397-80803</t>
  </si>
  <si>
    <t>ID:3180-1319-4292-62458</t>
  </si>
  <si>
    <t>ID:3177-0170-6609-45913</t>
  </si>
  <si>
    <t>ID:3169-7265-0380-33032</t>
  </si>
  <si>
    <t>ID:3176-4320-1543-96367</t>
  </si>
  <si>
    <t>ID:3182-2296-6135-24140</t>
  </si>
  <si>
    <t>ID:3161-2060-4754-44029</t>
  </si>
  <si>
    <t>ID:3161-8220-8590-98178</t>
  </si>
  <si>
    <t>ID:3180-0574-8504-74070</t>
  </si>
  <si>
    <t>ID:3107-5781-7806-59563</t>
  </si>
  <si>
    <t>내일은 이혼해요 1권</t>
  </si>
  <si>
    <t>ID:3183-9967-5632-94094</t>
  </si>
  <si>
    <t>내일은 이혼해요 2권</t>
  </si>
  <si>
    <t>윤비밀</t>
  </si>
  <si>
    <t>내일은 이혼해요 3권 (완결)</t>
  </si>
  <si>
    <t>ID:3121-1907-9419-69842</t>
  </si>
  <si>
    <t>ID:3138-2881-5642-51629</t>
  </si>
  <si>
    <t>ID:3199-2513-5777-58600</t>
  </si>
  <si>
    <t>ID:3151-3175-0533-67707</t>
  </si>
  <si>
    <t>ID:3112-9165-8684-48423</t>
  </si>
  <si>
    <t>ID:3123-4042-4393-82988</t>
  </si>
  <si>
    <t>ID:3123-6058-4222-62185</t>
  </si>
  <si>
    <t>ID:3140-9844-1630-44085</t>
  </si>
  <si>
    <t>ID:3145-1906-9979-96548</t>
  </si>
  <si>
    <t>ID:3163-0005-3230-82331</t>
  </si>
  <si>
    <t>ID:3171-5822-5721-33889</t>
  </si>
  <si>
    <t>ID:3122-3199-6195-15589</t>
  </si>
  <si>
    <t>ID:3168-8253-7811-94983</t>
  </si>
  <si>
    <t>ID:3178-2222-1765-41125</t>
  </si>
  <si>
    <t>ID:3163-0147-5977-15571</t>
  </si>
  <si>
    <t>ID:3146-9168-5255-80801</t>
  </si>
  <si>
    <t>ID:3161-4111-8899-24723</t>
  </si>
  <si>
    <t>ID:3124-1087-1713-51518</t>
  </si>
  <si>
    <t>ID:3145-9744-2472-14670</t>
  </si>
  <si>
    <t>ID:3185-9144-1817-23734</t>
  </si>
  <si>
    <t>ID:3178-9953-8966-43356</t>
  </si>
  <si>
    <t>ID:3115-7790-3857-15788</t>
  </si>
  <si>
    <t>ID:3187-4702-1643-95958</t>
  </si>
  <si>
    <t>22. 5. 15.</t>
  </si>
  <si>
    <t>ID:3180-3496-1381-42082</t>
  </si>
  <si>
    <t>ID:3166-2293-2130-19875</t>
  </si>
  <si>
    <t>ID:3131-4298-5839-85848</t>
  </si>
  <si>
    <t>ID:3100-9671-5962-61439</t>
  </si>
  <si>
    <t>ID:3175-1448-2199-00134</t>
  </si>
  <si>
    <t>ID:3114-3771-0330-27714</t>
  </si>
  <si>
    <t>ID:3136-5116-4833-25797</t>
  </si>
  <si>
    <t>ID:3122-8503-1750-62123</t>
  </si>
  <si>
    <t>ID:3197-5116-3269-63844</t>
  </si>
  <si>
    <t>ID:3106-9530-8559-06628</t>
  </si>
  <si>
    <t>ID:3183-8122-9872-95357</t>
  </si>
  <si>
    <t>ID:3145-7789-8552-27754</t>
  </si>
  <si>
    <t>ID:3121-4801-8388-98713</t>
  </si>
  <si>
    <t>ID:3126-9526-4284-14252</t>
  </si>
  <si>
    <t>ID:3164-1928-6758-05954</t>
  </si>
  <si>
    <t>ID:3158-5366-5341-46918</t>
  </si>
  <si>
    <t>ID:3177-7175-5503-92389</t>
  </si>
  <si>
    <t>ID:3176-7682-1277-20912</t>
  </si>
  <si>
    <t>ID:3178-4099-9743-49005</t>
  </si>
  <si>
    <t>ID:3117-5898-6479-95286</t>
  </si>
  <si>
    <t>ID:3122-5137-2130-36674</t>
  </si>
  <si>
    <t>ID:3169-0465-8651-20708</t>
  </si>
  <si>
    <t>ID:3195-9451-6039-25652</t>
  </si>
  <si>
    <t>ID:3124-1397-3351-55732</t>
  </si>
  <si>
    <t>ID:3126-8266-0825-31772</t>
  </si>
  <si>
    <t>ID:3174-5400-2610-88562</t>
  </si>
  <si>
    <t>ID:3171-1865-4258-27859</t>
  </si>
  <si>
    <t>ID:3148-0532-9582-31152</t>
  </si>
  <si>
    <t>ID:3168-5112-7444-12392</t>
  </si>
  <si>
    <t>ID:3125-1627-6133-20867</t>
  </si>
  <si>
    <t>ID:3131-7183-9835-17601</t>
  </si>
  <si>
    <t>ID:3182-0613-0491-20683</t>
  </si>
  <si>
    <t>ID:3152-9907-8675-62578</t>
  </si>
  <si>
    <t>ID:3177-7065-8161-95695</t>
  </si>
  <si>
    <t>ID:3170-0819-5799-34013</t>
  </si>
  <si>
    <t>ID:3123-4460-9386-99129</t>
  </si>
  <si>
    <t>비서의 유혹 1권</t>
  </si>
  <si>
    <t>밈스</t>
  </si>
  <si>
    <t>ID:3152-8853-6890-08654</t>
  </si>
  <si>
    <t>ID:3127-7542-4308-01723</t>
  </si>
  <si>
    <t>ID:3130-6706-3426-45913</t>
  </si>
  <si>
    <t>ID:3188-1786-6885-50529</t>
  </si>
  <si>
    <t>ID:3174-1283-4742-73719</t>
  </si>
  <si>
    <t>ID:3144-5069-8816-83026</t>
  </si>
  <si>
    <t>ID:3161-8555-7142-49242</t>
  </si>
  <si>
    <t>ID:3187-1843-6249-85174</t>
  </si>
  <si>
    <t>ID:3165-1608-9241-01381</t>
  </si>
  <si>
    <t>ID:3158-7811-7629-07728</t>
  </si>
  <si>
    <t>ID:3153-0225-4047-78381</t>
  </si>
  <si>
    <t>ID:3130-2917-0397-16686</t>
  </si>
  <si>
    <t>ID:3180-8324-3887-06838</t>
  </si>
  <si>
    <t>ID:3129-5645-6459-74063</t>
  </si>
  <si>
    <t>ID:3116-0328-5552-75461</t>
  </si>
  <si>
    <t>ID:3106-5317-4055-74728</t>
  </si>
  <si>
    <t>ID:3107-9218-3690-99136</t>
  </si>
  <si>
    <t>ID:3170-7415-9239-04494</t>
  </si>
  <si>
    <t>ID:3198-0456-9612-67676</t>
  </si>
  <si>
    <t>ID:3145-0879-1547-12948</t>
  </si>
  <si>
    <t>ID:3100-7407-5171-22945</t>
  </si>
  <si>
    <t>ID:3163-9856-1236-21868</t>
  </si>
  <si>
    <t>ID:3166-3723-7414-05018</t>
  </si>
  <si>
    <t>ID:3170-6010-5633-25280</t>
  </si>
  <si>
    <t>ID:3143-0185-9756-58935</t>
  </si>
  <si>
    <t>ID:3149-1193-3405-72711</t>
  </si>
  <si>
    <t>ID:3196-7632-8796-85592</t>
  </si>
  <si>
    <t>ID:3117-5088-6922-54459</t>
  </si>
  <si>
    <t>ID:3122-3216-5111-65003</t>
  </si>
  <si>
    <t>ID:3143-5791-3696-03879</t>
  </si>
  <si>
    <t>ID:3159-1281-4457-94178</t>
  </si>
  <si>
    <t>ID:3173-7141-3333-22318</t>
  </si>
  <si>
    <t>22. 5. 16.</t>
  </si>
  <si>
    <t>ID:3183-6130-2535-94357</t>
  </si>
  <si>
    <t>ID:3128-6306-6474-94274</t>
  </si>
  <si>
    <t>ID:3133-0164-5083-69696</t>
  </si>
  <si>
    <t>ID:3163-7786-3783-08885</t>
  </si>
  <si>
    <t>ID:3172-6381-6571-98633</t>
  </si>
  <si>
    <t>ID:3133-6547-9920-25513</t>
  </si>
  <si>
    <t>ID:3106-5217-7718-45939</t>
  </si>
  <si>
    <t>ID:3140-8477-1879-16693</t>
  </si>
  <si>
    <t>ID:3189-7152-9187-34672</t>
  </si>
  <si>
    <t>ID:3137-8630-8896-56014</t>
  </si>
  <si>
    <t>ID:3102-8192-9896-52116</t>
  </si>
  <si>
    <t>ID:3109-5729-0656-73534</t>
  </si>
  <si>
    <t>ID:3100-5108-7104-93834</t>
  </si>
  <si>
    <t>ID:3111-7432-7947-55428</t>
  </si>
  <si>
    <t>ID:3153-3592-8042-14204</t>
  </si>
  <si>
    <t>ID:3175-8392-2046-84819</t>
  </si>
  <si>
    <t>ID:3193-8059-5536-34741</t>
  </si>
  <si>
    <t>ID:3105-5155-0923-68756</t>
  </si>
  <si>
    <t>ID:3194-7495-2318-10743</t>
  </si>
  <si>
    <t>ID:3189-9313-4350-03524</t>
  </si>
  <si>
    <t>ID:3188-9405-9141-82234</t>
  </si>
  <si>
    <t>ID:3179-9152-6729-91917</t>
  </si>
  <si>
    <t>ID:3101-2016-0008-30264</t>
  </si>
  <si>
    <t>ID:3169-4822-4209-72860</t>
  </si>
  <si>
    <t>ID:3169-0559-7961-27446</t>
  </si>
  <si>
    <t>ID:3111-0528-0153-95169</t>
  </si>
  <si>
    <t>ID:3147-2562-6024-02439</t>
  </si>
  <si>
    <t>ID:3102-4171-3991-34846</t>
  </si>
  <si>
    <t>ID:3146-6206-3346-67684</t>
  </si>
  <si>
    <t>절대자의 귀환 2권</t>
  </si>
  <si>
    <t>장유진</t>
  </si>
  <si>
    <t>ID:3183-7056-6725-45849</t>
  </si>
  <si>
    <t>ID:3137-9500-5388-39870</t>
  </si>
  <si>
    <t>ID:3168-3855-7182-94340</t>
  </si>
  <si>
    <t>비서의 유혹 2권</t>
  </si>
  <si>
    <t>ID:3178-7581-0687-13965</t>
  </si>
  <si>
    <t>ID:3115-7254-6947-46484</t>
  </si>
  <si>
    <t>ID:3193-2134-0657-54322</t>
  </si>
  <si>
    <t>ID:3147-9891-0456-68358</t>
  </si>
  <si>
    <t>ID:3180-4782-6267-73378</t>
  </si>
  <si>
    <t>ID:3187-7407-3014-01564</t>
  </si>
  <si>
    <t>ID:3144-9873-6771-74672</t>
  </si>
  <si>
    <t>ID:3145-3407-2573-19432</t>
  </si>
  <si>
    <t>ID:3136-5967-4644-43940</t>
  </si>
  <si>
    <t>ID:3173-8629-2667-59138</t>
  </si>
  <si>
    <t>ID:3191-7574-0558-52576</t>
  </si>
  <si>
    <t>ID:3139-9319-9374-44588</t>
  </si>
  <si>
    <t>ID:3101-2592-0045-71770</t>
  </si>
  <si>
    <t>ID:3127-6361-6656-39181</t>
  </si>
  <si>
    <t>ID:3186-5157-6129-97851</t>
  </si>
  <si>
    <t>ID:3164-4349-2059-31457</t>
  </si>
  <si>
    <t>ID:3127-8294-4995-77974</t>
  </si>
  <si>
    <t>ID:3113-8894-1883-87472</t>
  </si>
  <si>
    <t>ID:3129-0781-9323-48346</t>
  </si>
  <si>
    <t>ID:3145-4558-7952-97611</t>
  </si>
  <si>
    <t>ID:3198-7696-9576-58225</t>
  </si>
  <si>
    <t>ID:3135-9592-5770-12399</t>
  </si>
  <si>
    <t>ID:3117-6793-0699-09442</t>
  </si>
  <si>
    <t>ID:3150-4536-0539-56965</t>
  </si>
  <si>
    <t>ID:3175-9739-2811-20563</t>
  </si>
  <si>
    <t>ID:3156-5813-3015-35576</t>
  </si>
  <si>
    <t>ID:3142-8536-1846-58693</t>
  </si>
  <si>
    <t>ID:3136-3163-9150-15794</t>
  </si>
  <si>
    <t>ID:3190-0776-4512-64767</t>
  </si>
  <si>
    <t>[BL] 봄나물(Rookie) 1권</t>
  </si>
  <si>
    <t>발상</t>
  </si>
  <si>
    <t>ID:3114-7324-7449-60258</t>
  </si>
  <si>
    <t>[BL] 봄나물(Rookie) 2권</t>
  </si>
  <si>
    <t>ID:3125-4794-2497-22804</t>
  </si>
  <si>
    <t>[BL] 봄나물(Rookie) 3권</t>
  </si>
  <si>
    <t>ID:3182-8990-3306-30781</t>
  </si>
  <si>
    <t>[BL] 봄나물(Rookie) 4권</t>
  </si>
  <si>
    <t>ID:3135-9815-5959-37829</t>
  </si>
  <si>
    <t>[BL] 봄나물(Rookie) 외전</t>
  </si>
  <si>
    <t>ID:3183-5780-8289-33723</t>
  </si>
  <si>
    <t>ID:3170-3189-0500-46521</t>
  </si>
  <si>
    <t>ID:3117-7413-3717-34064</t>
  </si>
  <si>
    <t>ID:3149-1112-5222-52988</t>
  </si>
  <si>
    <t>ID:3155-1878-0053-55215</t>
  </si>
  <si>
    <t>ID:3164-2048-8225-40738</t>
  </si>
  <si>
    <t>ID:3166-2550-5510-15998</t>
  </si>
  <si>
    <t>ID:3137-7125-7843-66234</t>
  </si>
  <si>
    <t>ID:3100-7145-9069-88465</t>
  </si>
  <si>
    <t>ID:3101-2199-9350-32254</t>
  </si>
  <si>
    <t>ID:3170-8032-2004-75405</t>
  </si>
  <si>
    <t>ID:3165-7571-7599-89321</t>
  </si>
  <si>
    <t>ID:3195-0881-2827-11565</t>
  </si>
  <si>
    <t>ID:3189-9466-5316-97140</t>
  </si>
  <si>
    <t>형사의 게임 2권</t>
  </si>
  <si>
    <t>형사의 게임 11권</t>
  </si>
  <si>
    <t>형사의 게임 12권 (완결)</t>
  </si>
  <si>
    <t>형사의 게임 3권</t>
  </si>
  <si>
    <t>형사의 게임 4권</t>
  </si>
  <si>
    <t>형사의 게임 5권</t>
  </si>
  <si>
    <t>형사의 게임 6권</t>
  </si>
  <si>
    <t>형사의 게임 7권</t>
  </si>
  <si>
    <t>형사의 게임 8권</t>
  </si>
  <si>
    <t>형사의 게임 9권</t>
  </si>
  <si>
    <t>형사의 게임 10권</t>
  </si>
  <si>
    <t>ID:3132-4244-4226-24392</t>
  </si>
  <si>
    <t>ID:3196-4081-0220-53599</t>
  </si>
  <si>
    <t>삼국지 호접몽전 1부 11권</t>
  </si>
  <si>
    <t>22. 5. 17.</t>
  </si>
  <si>
    <t>ID:3130-4806-3006-41465</t>
  </si>
  <si>
    <t>ID:3177-0100-1930-36764</t>
  </si>
  <si>
    <t>ID:3152-9980-3965-26394</t>
  </si>
  <si>
    <t>ID:3125-9926-2582-12320</t>
  </si>
  <si>
    <t>ID:3190-2587-8339-40307</t>
  </si>
  <si>
    <t>ID:3180-2895-8206-83081</t>
  </si>
  <si>
    <t>ID:3144-0738-4604-99799</t>
  </si>
  <si>
    <t>ID:3136-7739-3135-28763</t>
  </si>
  <si>
    <t>ID:3108-3732-0636-79995</t>
  </si>
  <si>
    <t>ID:3141-8864-1279-93726</t>
  </si>
  <si>
    <t>ID:3105-6797-8666-96834</t>
  </si>
  <si>
    <t>ID:3159-9900-9445-01772</t>
  </si>
  <si>
    <t>ID:3105-5945-3488-27771</t>
  </si>
  <si>
    <t>ID:3150-0214-9286-44076</t>
  </si>
  <si>
    <t>ID:3166-1011-4661-29703</t>
  </si>
  <si>
    <t>ID:3144-0785-3599-30120</t>
  </si>
  <si>
    <t>ID:3143-4466-7771-16531</t>
  </si>
  <si>
    <t>ID:3163-5450-4580-33996</t>
  </si>
  <si>
    <t>ID:3127-0397-2854-01888</t>
  </si>
  <si>
    <t>ID:3168-0728-1590-13656</t>
  </si>
  <si>
    <t>ID:3130-0772-2511-24617</t>
  </si>
  <si>
    <t>ID:3196-3048-8355-74158</t>
  </si>
  <si>
    <t>ID:3138-6634-5163-63264</t>
  </si>
  <si>
    <t>ID:3152-0641-2199-60946</t>
  </si>
  <si>
    <t>ID:3119-8313-6688-17668</t>
  </si>
  <si>
    <t>ID:3104-0730-5448-54895</t>
  </si>
  <si>
    <t>ID:3137-8348-4089-55613</t>
  </si>
  <si>
    <t>ID:3160-0060-4545-43763</t>
  </si>
  <si>
    <t>ID:3177-6479-4938-32895</t>
  </si>
  <si>
    <t>ID:3151-4511-8930-04654</t>
  </si>
  <si>
    <t>ID:3166-2034-3988-37704</t>
  </si>
  <si>
    <t>[BL] 야쿠자가 사랑을 한다면 (개정판) 2권</t>
  </si>
  <si>
    <t>ID:3132-0196-3236-78157</t>
  </si>
  <si>
    <t>ID:3160-5765-7601-53100</t>
  </si>
  <si>
    <t>ID:3105-0585-6668-17024</t>
  </si>
  <si>
    <t>ID:3118-3485-4854-53170</t>
  </si>
  <si>
    <t>ID:3143-1014-0570-99572</t>
  </si>
  <si>
    <t>ID:3112-8487-0410-05795</t>
  </si>
  <si>
    <t>ID:3147-6426-4408-59574</t>
  </si>
  <si>
    <t>ID:3124-9882-9688-44604</t>
  </si>
  <si>
    <t>ID:3167-4329-2224-20964</t>
  </si>
  <si>
    <t>ID:3190-0969-7990-43941</t>
  </si>
  <si>
    <t>ID:3189-5901-3138-47976</t>
  </si>
  <si>
    <t>ID:3104-8845-7854-63750</t>
  </si>
  <si>
    <t>ID:3172-2458-1737-87143</t>
  </si>
  <si>
    <t>ID:3142-5749-1240-87220</t>
  </si>
  <si>
    <t>ID:3188-5163-5805-39232</t>
  </si>
  <si>
    <t>삼국지 호접몽전 1부 12권</t>
  </si>
  <si>
    <t>ID:3135-1182-3009-48097</t>
  </si>
  <si>
    <t>ID:3144-8715-3718-94600</t>
  </si>
  <si>
    <t>ID:3112-8527-2160-50496</t>
  </si>
  <si>
    <t>ID:3181-3955-8461-30291</t>
  </si>
  <si>
    <t>ID:3128-5577-0292-83720</t>
  </si>
  <si>
    <t>ID:3151-3979-0109-65020</t>
  </si>
  <si>
    <t>ID:3135-5629-9108-78838</t>
  </si>
  <si>
    <t>ID:3187-5213-5005-05419</t>
  </si>
  <si>
    <t>ID:3148-8816-4367-35165</t>
  </si>
  <si>
    <t>ID:3138-1639-8058-78579</t>
  </si>
  <si>
    <t>ID:3169-9963-9822-36661</t>
  </si>
  <si>
    <t>ID:3106-1076-6673-31990</t>
  </si>
  <si>
    <t>ID:3192-9756-9808-79254</t>
  </si>
  <si>
    <t>ID:3182-6417-5906-41297</t>
  </si>
  <si>
    <t>ID:3167-9194-1213-23591</t>
  </si>
  <si>
    <t>ID:3148-0023-6617-13505</t>
  </si>
  <si>
    <t>22. 5. 18.</t>
  </si>
  <si>
    <t>ID:3184-7859-4691-03542</t>
  </si>
  <si>
    <t>ID:3164-6308-7494-91799</t>
  </si>
  <si>
    <t>ID:3132-7982-2037-38374</t>
  </si>
  <si>
    <t>ID:3111-8858-9848-57588</t>
  </si>
  <si>
    <t>ID:3109-9764-4318-25557</t>
  </si>
  <si>
    <t>ID:3177-3395-6326-46958</t>
  </si>
  <si>
    <t>ID:3148-9121-9115-44854</t>
  </si>
  <si>
    <t>ID:3148-6590-5344-79553</t>
  </si>
  <si>
    <t>ID:3143-6195-8249-66125</t>
  </si>
  <si>
    <t>ID:3115-2682-5738-87698</t>
  </si>
  <si>
    <t>ID:3105-5412-4254-15217</t>
  </si>
  <si>
    <t>ID:3112-1814-5158-87347</t>
  </si>
  <si>
    <t>ID:3107-2799-9514-55722</t>
  </si>
  <si>
    <t>ID:3146-2238-0787-70340</t>
  </si>
  <si>
    <t>ID:3171-1645-6860-39781</t>
  </si>
  <si>
    <t>ID:3183-7455-9579-84387</t>
  </si>
  <si>
    <t>ID:3195-4174-3554-46463</t>
  </si>
  <si>
    <t>ID:3148-0732-1761-99289</t>
  </si>
  <si>
    <t>ID:3144-5934-6062-44151</t>
  </si>
  <si>
    <t>ID:3134-3761-4558-88841</t>
  </si>
  <si>
    <t>ID:3133-4090-6445-08643</t>
  </si>
  <si>
    <t>ID:3116-9205-3850-26521</t>
  </si>
  <si>
    <t>ID:3125-4348-2594-24430</t>
  </si>
  <si>
    <t>ID:3184-4608-8073-27616</t>
  </si>
  <si>
    <t>ID:3108-1451-6819-34254</t>
  </si>
  <si>
    <t>ID:3100-5947-4482-81529</t>
  </si>
  <si>
    <t>[BL] 야쿠자가 사랑을 한다면 (개정판) 외전</t>
  </si>
  <si>
    <t>ID:3141-4800-1352-53868</t>
  </si>
  <si>
    <t>ID:3119-8403-5877-45152</t>
  </si>
  <si>
    <t>ID:3149-1752-5713-74734</t>
  </si>
  <si>
    <t>ID:3123-6144-7574-38426</t>
  </si>
  <si>
    <t>ID:3171-1956-1724-99302</t>
  </si>
  <si>
    <t>ID:3161-2138-0833-29389</t>
  </si>
  <si>
    <t>ID:3102-9750-2810-16151</t>
  </si>
  <si>
    <t>ID:3102-1156-3924-21682</t>
  </si>
  <si>
    <t>ID:3175-7280-3498-97075</t>
  </si>
  <si>
    <t>ID:3144-5941-6308-41843</t>
  </si>
  <si>
    <t>ID:3198-7721-3192-59549</t>
  </si>
  <si>
    <t>ID:3117-7442-6859-39010</t>
  </si>
  <si>
    <t>ID:3150-5880-2992-78875</t>
  </si>
  <si>
    <t>ID:3167-4375-7105-12330</t>
  </si>
  <si>
    <t>ID:3159-6435-9774-42301</t>
  </si>
  <si>
    <t>ID:3139-4846-7122-67828</t>
  </si>
  <si>
    <t>ID:3141-6636-6933-11871</t>
  </si>
  <si>
    <t>ID:3145-6010-5197-40476</t>
  </si>
  <si>
    <t>ID:3115-7455-2043-61743</t>
  </si>
  <si>
    <t>ID:3114-6744-7087-02929</t>
  </si>
  <si>
    <t>ID:3165-6438-5529-66598</t>
  </si>
  <si>
    <t>ID:3153-4748-5750-17477</t>
  </si>
  <si>
    <t>ID:3196-5101-6980-55981</t>
  </si>
  <si>
    <t>ID:3187-1137-2326-42321</t>
  </si>
  <si>
    <t>ID:3131-2722-4103-14713</t>
  </si>
  <si>
    <t>ID:3137-1768-4933-53852</t>
  </si>
  <si>
    <t>ID:3157-5032-2218-61148</t>
  </si>
  <si>
    <t>ID:3104-4157-3717-13333</t>
  </si>
  <si>
    <t>ID:3162-6893-5479-29099</t>
  </si>
  <si>
    <t>ID:3162-0163-4209-52973</t>
  </si>
  <si>
    <t>ID:3107-0786-0095-33992</t>
  </si>
  <si>
    <t>ID:3163-4812-8208-58996</t>
  </si>
  <si>
    <t>22. 5. 19.</t>
  </si>
  <si>
    <t>ID:3133-3549-9689-58976</t>
  </si>
  <si>
    <t>ID:3136-4188-3854-44717</t>
  </si>
  <si>
    <t>ID:3189-7977-2191-98098</t>
  </si>
  <si>
    <t>ID:3166-5435-3019-28987</t>
  </si>
  <si>
    <t>ID:3141-8238-3311-15469</t>
  </si>
  <si>
    <t>ID:3152-9037-9467-57079</t>
  </si>
  <si>
    <t>ID:3122-3188-4399-37436</t>
  </si>
  <si>
    <t>ID:3160-0946-9202-21718</t>
  </si>
  <si>
    <t>비서의 유혹 3권</t>
  </si>
  <si>
    <t>ID:3115-7980-0257-24678</t>
  </si>
  <si>
    <t>ID:3197-9471-4418-89295</t>
  </si>
  <si>
    <t>ID:3105-6679-6268-83703</t>
  </si>
  <si>
    <t>ID:3164-5203-5109-65709</t>
  </si>
  <si>
    <t>ID:3104-8247-7127-98174</t>
  </si>
  <si>
    <t>ID:3183-8657-3132-63776</t>
  </si>
  <si>
    <t>ID:3120-4777-9042-72313</t>
  </si>
  <si>
    <t>ID:3134-1722-2285-24798</t>
  </si>
  <si>
    <t>ID:3186-1804-3925-97190</t>
  </si>
  <si>
    <t>ID:3190-1985-8433-33955</t>
  </si>
  <si>
    <t>ID:3153-1500-5294-78812</t>
  </si>
  <si>
    <t>ID:3125-4975-1328-75107</t>
  </si>
  <si>
    <t>사내 연애의 끝</t>
  </si>
  <si>
    <t>ID:3122-4443-4295-19467</t>
  </si>
  <si>
    <t>ID:3107-7776-9443-16151</t>
  </si>
  <si>
    <t>ID:3109-8821-3242-48249</t>
  </si>
  <si>
    <t>사랑을 놓치고 외전</t>
  </si>
  <si>
    <t>ID:3150-1238-5518-18490</t>
  </si>
  <si>
    <t>ID:3133-7843-9110-28916</t>
  </si>
  <si>
    <t>ID:3160-3905-9153-30779</t>
  </si>
  <si>
    <t>ID:3147-5051-4252-65403</t>
  </si>
  <si>
    <t>ID:3105-4906-2144-09156</t>
  </si>
  <si>
    <t>ID:3137-4656-5646-48054</t>
  </si>
  <si>
    <t>ID:3140-9597-9142-90472</t>
  </si>
  <si>
    <t>ID:3165-0183-2445-08344</t>
  </si>
  <si>
    <t>ID:3100-0684-2058-82447</t>
  </si>
  <si>
    <t>ID:3142-3859-6337-69553</t>
  </si>
  <si>
    <t>ID:3119-7661-0659-28692</t>
  </si>
  <si>
    <t>ID:3104-8806-7178-07662</t>
  </si>
  <si>
    <t>ID:3179-4293-7698-37143</t>
  </si>
  <si>
    <t>사랑을 놓치고 1권</t>
  </si>
  <si>
    <t>ID:3173-0738-1809-02719</t>
  </si>
  <si>
    <t>ID:3149-8888-9723-36029</t>
  </si>
  <si>
    <t>ID:3128-4538-3616-58538</t>
  </si>
  <si>
    <t>ID:3112-6679-5304-49180</t>
  </si>
  <si>
    <t>돌아온 막내 영애님을 조심하세요 1권</t>
  </si>
  <si>
    <t>윈델</t>
  </si>
  <si>
    <t>ID:3158-6248-4209-78020</t>
  </si>
  <si>
    <t>ID:3109-5257-6791-27701</t>
  </si>
  <si>
    <t>ID:3191-8488-7414-29263</t>
  </si>
  <si>
    <t>ID:3140-6430-1836-44807</t>
  </si>
  <si>
    <t>ID:3197-1214-9047-00737</t>
  </si>
  <si>
    <t>ID:3175-7006-1674-68800</t>
  </si>
  <si>
    <t>ID:3159-4030-2702-70334</t>
  </si>
  <si>
    <t>ID:3141-4711-8242-68779</t>
  </si>
  <si>
    <t>ID:3126-1958-8740-24419</t>
  </si>
  <si>
    <t>ID:3142-1046-8435-85363</t>
  </si>
  <si>
    <t>ID:3133-9797-2159-34523</t>
  </si>
  <si>
    <t>ID:3164-0490-8220-31648</t>
  </si>
  <si>
    <t>ID:3136-3294-2935-19238</t>
  </si>
  <si>
    <t>ID:3117-1604-7040-23888</t>
  </si>
  <si>
    <t>ID:3187-3876-7176-39281</t>
  </si>
  <si>
    <t>ID:3144-6924-0201-82804</t>
  </si>
  <si>
    <t>ID:3143-8979-6066-97037</t>
  </si>
  <si>
    <t>ID:3141-4684-0941-13741</t>
  </si>
  <si>
    <t>22. 5. 20.</t>
  </si>
  <si>
    <t>ID:3132-0347-4468-53927</t>
  </si>
  <si>
    <t>ID:3168-0543-0624-29296</t>
  </si>
  <si>
    <t>ID:3111-8747-2220-65594</t>
  </si>
  <si>
    <t>ID:3171-3927-4023-70141</t>
  </si>
  <si>
    <t>ID:3153-7179-5931-94562</t>
  </si>
  <si>
    <t>ID:3179-5907-7963-46228</t>
  </si>
  <si>
    <t>ID:3132-3415-7933-98759</t>
  </si>
  <si>
    <t>ID:3109-3811-4763-34728</t>
  </si>
  <si>
    <t>ID:3173-0106-7604-22430</t>
  </si>
  <si>
    <t>ID:3182-7940-9272-71744</t>
  </si>
  <si>
    <t>ID:3123-7593-1331-98302</t>
  </si>
  <si>
    <t>ID:3191-5155-5427-87651</t>
  </si>
  <si>
    <t>ID:3150-2603-2467-50369</t>
  </si>
  <si>
    <t>ID:3192-3935-4174-70714</t>
  </si>
  <si>
    <t>ID:3193-7583-1667-17123</t>
  </si>
  <si>
    <t>ID:3159-6789-8280-41159</t>
  </si>
  <si>
    <t>ID:3137-7326-1647-87421</t>
  </si>
  <si>
    <t>ID:3122-9652-5673-33487</t>
  </si>
  <si>
    <t>ID:3135-9946-1787-80480</t>
  </si>
  <si>
    <t>ID:3179-0268-6885-07078</t>
  </si>
  <si>
    <t>ID:3145-0613-9006-88555</t>
  </si>
  <si>
    <t>ID:3198-4201-2252-94438</t>
  </si>
  <si>
    <t>ID:3146-5010-4774-04395</t>
  </si>
  <si>
    <t>ID:3132-9457-0718-76009</t>
  </si>
  <si>
    <t>ID:3157-7383-0466-38690</t>
  </si>
  <si>
    <t>ID:3199-3610-1232-45629</t>
  </si>
  <si>
    <t>ID:3115-5767-0319-48111</t>
  </si>
  <si>
    <t>ID:3109-2318-6005-24229</t>
  </si>
  <si>
    <t>ID:3178-6004-5861-21866</t>
  </si>
  <si>
    <t>ID:3128-5642-7254-07726</t>
  </si>
  <si>
    <t>ID:3151-4324-3305-57531</t>
  </si>
  <si>
    <t>ID:3117-7102-5716-25786</t>
  </si>
  <si>
    <t>ID:3163-3292-1286-55073</t>
  </si>
  <si>
    <t>ID:3133-3258-4528-76188</t>
  </si>
  <si>
    <t>ID:3106-8986-3598-69167</t>
  </si>
  <si>
    <t>ID:3163-2214-4214-22751</t>
  </si>
  <si>
    <t>ID:3181-4918-3081-71070</t>
  </si>
  <si>
    <t>ID:3179-0403-2824-53217</t>
  </si>
  <si>
    <t>ID:3181-6370-0120-82101</t>
  </si>
  <si>
    <t>ID:3114-7540-1883-78416</t>
  </si>
  <si>
    <t>ID:3197-9748-2716-81125</t>
  </si>
  <si>
    <t>ID:3106-8408-7693-36436</t>
  </si>
  <si>
    <t>ID:3178-3431-5435-37976</t>
  </si>
  <si>
    <t>ID:3183-6598-6344-15304</t>
  </si>
  <si>
    <t>ID:3122-3870-6724-08558</t>
  </si>
  <si>
    <t>ID:3168-5165-6611-17795</t>
  </si>
  <si>
    <t>ID:3194-8511-4708-66860</t>
  </si>
  <si>
    <t>ID:3118-6408-7408-07124</t>
  </si>
  <si>
    <t>ID:3139-6417-3438-40387</t>
  </si>
  <si>
    <t>ID:3172-9643-3322-01652</t>
  </si>
  <si>
    <t>ID:3166-4844-8948-90423</t>
  </si>
  <si>
    <t>ID:3100-9894-8911-81960</t>
  </si>
  <si>
    <t>ID:3104-6414-9957-71495</t>
  </si>
  <si>
    <t>ID:3147-8079-5190-99242</t>
  </si>
  <si>
    <t>ID:3172-1170-0751-21467</t>
  </si>
  <si>
    <t>ID:3125-4983-8637-37227</t>
  </si>
  <si>
    <t>ID:3151-0493-6173-10670</t>
  </si>
  <si>
    <t>ID:3130-9705-4882-15928</t>
  </si>
  <si>
    <t>ID:3140-7760-2093-04292</t>
  </si>
  <si>
    <t>ID:3111-4667-4928-26298</t>
  </si>
  <si>
    <t>ID:3188-6132-2495-74496</t>
  </si>
  <si>
    <t>22. 5. 21.</t>
  </si>
  <si>
    <t>ID:3176-5225-6736-14802</t>
  </si>
  <si>
    <t>ID:3163-9626-6618-35166</t>
  </si>
  <si>
    <t>ID:3180-1470-0303-16674</t>
  </si>
  <si>
    <t>ID:3124-0584-5517-10988</t>
  </si>
  <si>
    <t>ID:3193-0624-0717-45185</t>
  </si>
  <si>
    <t>[BL] 상호보완적 삼각관계(외전증보판)</t>
  </si>
  <si>
    <t>세어</t>
  </si>
  <si>
    <t>ID:3123-0187-5015-95823</t>
  </si>
  <si>
    <t>ID:3150-1583-9054-11374</t>
  </si>
  <si>
    <t>ID:3193-9747-2399-35855</t>
  </si>
  <si>
    <t>ID:3115-5217-0999-09159</t>
  </si>
  <si>
    <t>ID:3119-2425-2810-64171</t>
  </si>
  <si>
    <t>ID:3117-4294-7926-00977</t>
  </si>
  <si>
    <t>ID:3147-1343-5270-64149</t>
  </si>
  <si>
    <t>ID:3122-5684-7527-78584</t>
  </si>
  <si>
    <t>ID:3188-7349-4500-81961</t>
  </si>
  <si>
    <t>ID:3148-2797-0628-11704</t>
  </si>
  <si>
    <t>ID:3171-6692-8854-84601</t>
  </si>
  <si>
    <t>ID:3111-2295-0386-51334</t>
  </si>
  <si>
    <t>ID:3125-0976-3027-41908</t>
  </si>
  <si>
    <t>ID:3159-0261-8265-76939</t>
  </si>
  <si>
    <t>ID:3107-2487-6296-78438</t>
  </si>
  <si>
    <t>ID:3165-3992-2782-77357</t>
  </si>
  <si>
    <t>ID:3193-8654-0441-30315</t>
  </si>
  <si>
    <t>ID:3190-8776-9001-97808</t>
  </si>
  <si>
    <t>ID:3190-8742-5874-68595</t>
  </si>
  <si>
    <t>ID:3186-4146-7310-39119</t>
  </si>
  <si>
    <t>ID:3171-7698-5030-32860</t>
  </si>
  <si>
    <t>ID:3179-3197-8265-65619</t>
  </si>
  <si>
    <t>ID:3181-4026-4040-42614</t>
  </si>
  <si>
    <t>ID:3190-7463-1225-75437</t>
  </si>
  <si>
    <t>ID:3109-4242-8515-46161</t>
  </si>
  <si>
    <t>ID:3106-9296-9623-32998</t>
  </si>
  <si>
    <t>ID:3150-6214-5310-48708</t>
  </si>
  <si>
    <t>ID:3125-2570-9417-52854</t>
  </si>
  <si>
    <t>ID:3182-4653-9769-29477</t>
  </si>
  <si>
    <t>ID:3146-0927-2889-59476</t>
  </si>
  <si>
    <t>ID:3125-2461-0010-48299</t>
  </si>
  <si>
    <t>ID:3163-6960-8045-81779</t>
  </si>
  <si>
    <t>ID:3198-9164-3770-28028</t>
  </si>
  <si>
    <t>ID:3185-6567-9466-68989</t>
  </si>
  <si>
    <t>ID:3106-2292-3175-75900</t>
  </si>
  <si>
    <t>ID:3175-6652-6311-34866</t>
  </si>
  <si>
    <t>ID:3174-2556-2389-19786</t>
  </si>
  <si>
    <t>ID:3183-0264-8980-94704</t>
  </si>
  <si>
    <t>ID:3123-1629-9972-92290</t>
  </si>
  <si>
    <t>ID:3188-7350-0604-98112</t>
  </si>
  <si>
    <t>ID:3189-4934-2566-40136</t>
  </si>
  <si>
    <t>ID:3153-0477-6285-30377</t>
  </si>
  <si>
    <t>ID:3176-7334-6520-56283</t>
  </si>
  <si>
    <t>ID:3112-9121-7321-44936</t>
  </si>
  <si>
    <t>ID:3104-4634-2376-44406</t>
  </si>
  <si>
    <t>ID:3150-0206-6861-30981</t>
  </si>
  <si>
    <t>ID:3115-0627-4152-24166</t>
  </si>
  <si>
    <t>ID:3127-6106-0390-32877</t>
  </si>
  <si>
    <t>ID:3183-0753-5365-62836</t>
  </si>
  <si>
    <t>ID:3170-5855-9249-62265</t>
  </si>
  <si>
    <t>ID:3103-1954-7253-12785</t>
  </si>
  <si>
    <t>[BL] 정혼자 1권</t>
  </si>
  <si>
    <t>ID:3102-9047-7529-24432</t>
  </si>
  <si>
    <t>ID:3126-6932-2928-52012</t>
  </si>
  <si>
    <t>ID:3198-7365-0869-86410</t>
  </si>
  <si>
    <t>ID:3129-9053-3088-55210</t>
  </si>
  <si>
    <t>ID:3120-7261-8075-34250</t>
  </si>
  <si>
    <t>ID:3143-3895-2327-67653</t>
  </si>
  <si>
    <t>ID:3121-5848-7958-57601</t>
  </si>
  <si>
    <t>ID:3143-2555-6705-78728</t>
  </si>
  <si>
    <t>ID:3129-4380-0066-49583</t>
  </si>
  <si>
    <t>ID:3177-3941-7464-73114</t>
  </si>
  <si>
    <t>ID:3180-9499-1156-53704</t>
  </si>
  <si>
    <t>던전 공략 LIVE 3권</t>
  </si>
  <si>
    <t>ID:3118-5625-0340-58536</t>
  </si>
  <si>
    <t>ID:3128-7056-6044-40889</t>
  </si>
  <si>
    <t>22. 5. 22.</t>
  </si>
  <si>
    <t>ID:3196-2298-1650-72942</t>
  </si>
  <si>
    <t>ID:3114-1532-2542-85982</t>
  </si>
  <si>
    <t>던전 공략 LIVE 4권</t>
  </si>
  <si>
    <t>ID:3190-6658-7368-61111</t>
  </si>
  <si>
    <t>ID:3129-1649-9565-69251</t>
  </si>
  <si>
    <t>ID:3160-7283-5714-44880</t>
  </si>
  <si>
    <t>ID:3147-5033-4400-94197</t>
  </si>
  <si>
    <t>ID:3133-2680-8435-14909</t>
  </si>
  <si>
    <t>ID:3182-6105-5357-40074</t>
  </si>
  <si>
    <t>ID:3177-8521-1763-45651</t>
  </si>
  <si>
    <t>ID:3181-5788-4151-12397</t>
  </si>
  <si>
    <t>ID:3126-9425-9660-37259</t>
  </si>
  <si>
    <t>ID:3192-5076-2939-68345</t>
  </si>
  <si>
    <t>ID:3105-3112-1680-63457</t>
  </si>
  <si>
    <t>ID:3167-9983-7943-01930</t>
  </si>
  <si>
    <t>ID:3197-3678-0107-23538</t>
  </si>
  <si>
    <t>ID:3177-0075-5065-70072</t>
  </si>
  <si>
    <t>ID:3128-9005-2039-20685</t>
  </si>
  <si>
    <t>ID:3167-7271-9072-68507</t>
  </si>
  <si>
    <t>ID:3130-5327-3845-14540</t>
  </si>
  <si>
    <t>ID:3166-2690-2121-14036</t>
  </si>
  <si>
    <t>ID:3134-3378-8816-44294</t>
  </si>
  <si>
    <t>ID:3148-5910-4776-63101</t>
  </si>
  <si>
    <t>ID:3155-8026-9479-06353</t>
  </si>
  <si>
    <t>ID:3170-4292-7512-65817</t>
  </si>
  <si>
    <t>ID:3128-6217-0155-91343</t>
  </si>
  <si>
    <t>ID:3120-4574-8323-66915</t>
  </si>
  <si>
    <t>던전 공략 LIVE 5권</t>
  </si>
  <si>
    <t>ID:3172-4299-7267-32069</t>
  </si>
  <si>
    <t>ID:3160-0466-0682-82087</t>
  </si>
  <si>
    <t>ID:3169-8773-8356-94821</t>
  </si>
  <si>
    <t>ID:3190-4553-1339-61618</t>
  </si>
  <si>
    <t>ID:3191-0972-5785-05857</t>
  </si>
  <si>
    <t>던전 공략 LIVE 6권</t>
  </si>
  <si>
    <t>ID:3100-8270-2514-83735</t>
  </si>
  <si>
    <t>ID:3188-8961-8250-94198</t>
  </si>
  <si>
    <t>ID:3124-1154-2165-39625</t>
  </si>
  <si>
    <t>ID:3160-7684-6925-92235</t>
  </si>
  <si>
    <t>ID:3160-5747-3932-01018</t>
  </si>
  <si>
    <t>ID:3164-9982-9551-25204</t>
  </si>
  <si>
    <t>ID:3195-5038-0878-47332</t>
  </si>
  <si>
    <t>ID:3107-5664-4490-93065</t>
  </si>
  <si>
    <t>ID:3112-1448-4061-48317</t>
  </si>
  <si>
    <t>ID:3140-2522-3428-98569</t>
  </si>
  <si>
    <t>ID:3123-9097-5169-88497</t>
  </si>
  <si>
    <t>ID:3173-5012-7203-07690</t>
  </si>
  <si>
    <t>ID:3165-2402-7398-80931</t>
  </si>
  <si>
    <t>ID:3136-8538-5184-32738</t>
  </si>
  <si>
    <t>ID:3178-5445-2345-54939</t>
  </si>
  <si>
    <t>ID:3105-1282-4797-54545</t>
  </si>
  <si>
    <t>ID:3131-0653-8506-73217</t>
  </si>
  <si>
    <t>ID:3185-8620-0127-83068</t>
  </si>
  <si>
    <t>ID:3155-4431-3017-39215</t>
  </si>
  <si>
    <t>ID:3134-6802-1102-99775</t>
  </si>
  <si>
    <t>ID:3110-0193-9557-93414</t>
  </si>
  <si>
    <t>ID:3158-4471-3859-78580</t>
  </si>
  <si>
    <t>ID:3129-2488-1352-56471</t>
  </si>
  <si>
    <t>22. 5. 23.</t>
  </si>
  <si>
    <t>ID:3167-2878-3166-12131</t>
  </si>
  <si>
    <t>브레이크 어웨이(Break Away)</t>
  </si>
  <si>
    <t>서정윤</t>
  </si>
  <si>
    <t>ID:3116-0325-2083-74621</t>
  </si>
  <si>
    <t>ID:3184-7437-0372-24668</t>
  </si>
  <si>
    <t>ID:3129-9616-6372-90827</t>
  </si>
  <si>
    <t>ID:3102-4150-4204-29967</t>
  </si>
  <si>
    <t>ID:3101-7344-4371-86540</t>
  </si>
  <si>
    <t>ID:3122-2926-6295-83039</t>
  </si>
  <si>
    <t>ID:3171-5876-4095-15621</t>
  </si>
  <si>
    <t>[BL] 정혼자 2권</t>
  </si>
  <si>
    <t>ID:3152-5406-2213-80000</t>
  </si>
  <si>
    <t>ID:3157-8778-1739-74043</t>
  </si>
  <si>
    <t>ID:3149-7669-5404-49038</t>
  </si>
  <si>
    <t>ID:3108-3319-0410-93314</t>
  </si>
  <si>
    <t>ID:3157-3202-9136-20784</t>
  </si>
  <si>
    <t>ID:3143-1602-6797-90088</t>
  </si>
  <si>
    <t>ID:3106-0552-8727-53919</t>
  </si>
  <si>
    <t>ID:3153-8682-0718-47816</t>
  </si>
  <si>
    <t>ID:3138-2449-9775-48353</t>
  </si>
  <si>
    <t>ID:3187-0737-5991-37228</t>
  </si>
  <si>
    <t>ID:3123-1143-6329-08926</t>
  </si>
  <si>
    <t>비서의 유혹 외전</t>
  </si>
  <si>
    <t>ID:3128-7229-9150-36159</t>
  </si>
  <si>
    <t>ID:3168-4713-9409-96202</t>
  </si>
  <si>
    <t>ID:3179-7441-9877-97964</t>
  </si>
  <si>
    <t>ID:3141-8599-1308-65202</t>
  </si>
  <si>
    <t>ID:3136-1266-2862-92263</t>
  </si>
  <si>
    <t>ID:3113-2437-8164-45539</t>
  </si>
  <si>
    <t>ID:3151-3417-7933-90495</t>
  </si>
  <si>
    <t>ID:3198-6660-9347-58852</t>
  </si>
  <si>
    <t>ID:3128-1474-4984-19369</t>
  </si>
  <si>
    <t>ID:3131-9483-5784-45996</t>
  </si>
  <si>
    <t>ID:3126-2110-8596-88417</t>
  </si>
  <si>
    <t>ID:3107-6406-0141-20167</t>
  </si>
  <si>
    <t>ID:3169-9407-4642-47355</t>
  </si>
  <si>
    <t>ID:3106-7247-2461-73177</t>
  </si>
  <si>
    <t>ID:3146-1083-4202-31898</t>
  </si>
  <si>
    <t>구애 1권</t>
  </si>
  <si>
    <t>ID:3123-6740-1773-02365</t>
  </si>
  <si>
    <t>구애 2권</t>
  </si>
  <si>
    <t>ID:3178-5430-0128-95740</t>
  </si>
  <si>
    <t>구애 외전</t>
  </si>
  <si>
    <t>ID:3169-3391-8656-49812</t>
  </si>
  <si>
    <t>ID:3184-6485-9303-17073</t>
  </si>
  <si>
    <t>ID:3191-1207-5902-41079</t>
  </si>
  <si>
    <t>ID:3143-3017-0068-92397</t>
  </si>
  <si>
    <t>ID:3153-3936-1654-44748</t>
  </si>
  <si>
    <t>ID:3151-7234-4750-23623</t>
  </si>
  <si>
    <t>ID:3152-4069-4578-46961</t>
  </si>
  <si>
    <t>ID:3114-4606-1353-80334</t>
  </si>
  <si>
    <t>ID:3105-3048-2441-85074</t>
  </si>
  <si>
    <t>ID:3178-6965-0088-60461</t>
  </si>
  <si>
    <t>ID:3148-9078-7004-89673</t>
  </si>
  <si>
    <t>22. 5. 24.</t>
  </si>
  <si>
    <t>ID:3126-9550-5641-13655</t>
  </si>
  <si>
    <t>ID:3100-3458-2669-06187</t>
  </si>
  <si>
    <t>ID:3195-5449-9314-30962</t>
  </si>
  <si>
    <t>ID:3161-0928-1057-03606</t>
  </si>
  <si>
    <t>ID:3110-5517-3831-18700</t>
  </si>
  <si>
    <t>ID:3171-1818-9520-91971</t>
  </si>
  <si>
    <t>ID:3108-9778-8845-04806</t>
  </si>
  <si>
    <t>ID:3101-9571-7645-07103</t>
  </si>
  <si>
    <t>ID:3132-5567-5221-29427</t>
  </si>
  <si>
    <t>ID:3168-0264-8082-22991</t>
  </si>
  <si>
    <t>ID:3172-6160-6386-49054</t>
  </si>
  <si>
    <t>ID:3108-7796-2268-43231</t>
  </si>
  <si>
    <t>ID:3156-8842-4693-45471</t>
  </si>
  <si>
    <t>ID:3168-9354-2824-49415</t>
  </si>
  <si>
    <t>[BL] 이 비서 다리 좀 치워 외전</t>
  </si>
  <si>
    <t>PA</t>
  </si>
  <si>
    <t>ID:3156-4302-2498-90551</t>
  </si>
  <si>
    <t>[BL] Only you 외전</t>
  </si>
  <si>
    <t>ID:3159-5461-6259-78875</t>
  </si>
  <si>
    <t>ID:3110-5652-5839-08658</t>
  </si>
  <si>
    <t>ID:3182-8683-1499-28241</t>
  </si>
  <si>
    <t>ID:3158-8179-5518-06485</t>
  </si>
  <si>
    <t>ID:3124-2441-7214-17970</t>
  </si>
  <si>
    <t>ID:3125-3302-1071-64132</t>
  </si>
  <si>
    <t>ID:3133-4477-8282-33097</t>
  </si>
  <si>
    <t>[BL] Only you 1권</t>
  </si>
  <si>
    <t>ID:3176-1759-6423-13047</t>
  </si>
  <si>
    <t>ID:3109-1414-1567-98717</t>
  </si>
  <si>
    <t>ID:3194-0502-6809-76341</t>
  </si>
  <si>
    <t>ID:3104-1213-8761-87939</t>
  </si>
  <si>
    <t>ID:3122-9515-1005-51071</t>
  </si>
  <si>
    <t>ID:3119-7675-9400-67796</t>
  </si>
  <si>
    <t>ID:3199-6339-2617-61207</t>
  </si>
  <si>
    <t>ID:3164-2538-7788-35783</t>
  </si>
  <si>
    <t>ID:3112-5367-9873-61276</t>
  </si>
  <si>
    <t>ID:3104-0245-1396-13829</t>
  </si>
  <si>
    <t>ID:3152-7174-1228-70089</t>
  </si>
  <si>
    <t>ID:3177-7914-0429-66940</t>
  </si>
  <si>
    <t>ID:3180-0981-6819-40169</t>
  </si>
  <si>
    <t>ID:3143-7385-1075-59085</t>
  </si>
  <si>
    <t>ID:3106-5157-9955-48746</t>
  </si>
  <si>
    <t>ID:3103-0697-6181-36149</t>
  </si>
  <si>
    <t>[BL] Only you 2권</t>
  </si>
  <si>
    <t>ID:3135-2628-7652-31108</t>
  </si>
  <si>
    <t>ID:3106-3935-5996-32933</t>
  </si>
  <si>
    <t>ID:3177-4350-6088-07368</t>
  </si>
  <si>
    <t>ID:3147-7113-6777-77441</t>
  </si>
  <si>
    <t>ID:3107-4452-1913-68428</t>
  </si>
  <si>
    <t>ID:3188-9897-3928-61308</t>
  </si>
  <si>
    <t>ID:3186-9236-3165-48901</t>
  </si>
  <si>
    <t>ID:3181-9098-0246-98199</t>
  </si>
  <si>
    <t>ID:3122-8525-4543-82234</t>
  </si>
  <si>
    <t>ID:3160-2835-5736-83178</t>
  </si>
  <si>
    <t>ID:3197-5632-0201-09486</t>
  </si>
  <si>
    <t>ID:3191-6196-6699-04304</t>
  </si>
  <si>
    <t>ID:3118-6867-6899-83356</t>
  </si>
  <si>
    <t>ID:3108-3054-2002-59996</t>
  </si>
  <si>
    <t>ID:3196-6200-8611-68433</t>
  </si>
  <si>
    <t>ID:3177-9562-3957-58333</t>
  </si>
  <si>
    <t>ID:3192-4093-1543-71273</t>
  </si>
  <si>
    <t>ID:3142-3009-1649-99692</t>
  </si>
  <si>
    <t>ID:3117-6557-3175-67814</t>
  </si>
  <si>
    <t>ID:3117-6478-2647-70058</t>
  </si>
  <si>
    <t>22. 5. 25.</t>
  </si>
  <si>
    <t>ID:3170-2660-5563-58143</t>
  </si>
  <si>
    <t>ID:3151-4325-6051-25268</t>
  </si>
  <si>
    <t>ID:3171-1988-1116-06097</t>
  </si>
  <si>
    <t>ID:3102-2595-7190-62625</t>
  </si>
  <si>
    <t>ID:3139-7480-6596-55333</t>
  </si>
  <si>
    <t>ID:3146-6443-5092-85810</t>
  </si>
  <si>
    <t>ID:3150-6810-6316-58427</t>
  </si>
  <si>
    <t>ID:3152-4244-1395-04437</t>
  </si>
  <si>
    <t>ID:3132-1260-1836-75271</t>
  </si>
  <si>
    <t>ID:3184-7091-2528-97103</t>
  </si>
  <si>
    <t>ID:3135-9075-9234-53961</t>
  </si>
  <si>
    <t>ID:3174-1428-7812-10785</t>
  </si>
  <si>
    <t>ID:3188-8882-8447-38332</t>
  </si>
  <si>
    <t>ID:3177-3901-0899-88607</t>
  </si>
  <si>
    <t>ID:3125-0833-1171-08728</t>
  </si>
  <si>
    <t>ID:3158-7446-5736-16919</t>
  </si>
  <si>
    <t>ID:3151-6849-8383-13123</t>
  </si>
  <si>
    <t>ID:3158-3490-6479-08579</t>
  </si>
  <si>
    <t>ID:3142-6720-7852-53068</t>
  </si>
  <si>
    <t>ID:3165-8132-1349-36900</t>
  </si>
  <si>
    <t>ID:3131-2832-9302-85460</t>
  </si>
  <si>
    <t>ID:3148-3215-7136-75390</t>
  </si>
  <si>
    <t>삶의 끝에서</t>
  </si>
  <si>
    <t>이승희</t>
  </si>
  <si>
    <t>ID:3133-8953-2225-51078</t>
  </si>
  <si>
    <t>ID:3144-9723-8519-20921</t>
  </si>
  <si>
    <t>ID:3156-2211-9567-61829</t>
  </si>
  <si>
    <t>ID:3162-2600-4815-87200</t>
  </si>
  <si>
    <t>ID:3100-0738-5207-66176</t>
  </si>
  <si>
    <t>ID:3141-5256-6088-25342</t>
  </si>
  <si>
    <t>ID:3110-7055-6198-32334</t>
  </si>
  <si>
    <t>ID:3156-5357-6206-02332</t>
  </si>
  <si>
    <t>ID:3171-4536-6294-93047</t>
  </si>
  <si>
    <t>ID:3137-3182-6166-65174</t>
  </si>
  <si>
    <t>ID:3118-1548-9248-59993</t>
  </si>
  <si>
    <t>ID:3102-6673-3425-02868</t>
  </si>
  <si>
    <t>ID:3135-6103-8145-65219</t>
  </si>
  <si>
    <t>ID:3141-0285-7305-94694</t>
  </si>
  <si>
    <t>ID:3146-7048-2232-30192</t>
  </si>
  <si>
    <t>ID:3140-2566-8903-13568</t>
  </si>
  <si>
    <t>ID:3124-9075-0592-73289</t>
  </si>
  <si>
    <t>ID:3160-1109-8445-37141</t>
  </si>
  <si>
    <t>ID:3180-1227-5028-86392</t>
  </si>
  <si>
    <t>ID:3196-3915-4863-94432</t>
  </si>
  <si>
    <t>ID:3189-4410-7405-37583</t>
  </si>
  <si>
    <t>ID:3188-6121-9717-13018</t>
  </si>
  <si>
    <t>ID:3195-2569-3541-23028</t>
  </si>
  <si>
    <t>ID:3141-0129-6384-41480</t>
  </si>
  <si>
    <t>ID:3191-2082-3204-15670</t>
  </si>
  <si>
    <t>ID:3125-6772-5041-65926</t>
  </si>
  <si>
    <t>ID:3172-2394-1007-99426</t>
  </si>
  <si>
    <t>ID:3158-6041-6757-41656</t>
  </si>
  <si>
    <t>ID:3147-0057-6226-16245</t>
  </si>
  <si>
    <t>ID:3104-0356-6280-48076</t>
  </si>
  <si>
    <t>ID:3142-9377-4905-44851</t>
  </si>
  <si>
    <t>ID:3109-5076-8221-25340</t>
  </si>
  <si>
    <t>ID:3100-2532-6414-77614</t>
  </si>
  <si>
    <t>22. 5. 26.</t>
  </si>
  <si>
    <t>ID:3159-5623-0069-44601</t>
  </si>
  <si>
    <t>ID:3199-1016-9542-95351</t>
  </si>
  <si>
    <t>ID:3144-2729-2668-75988</t>
  </si>
  <si>
    <t>ID:3179-6690-9989-80908</t>
  </si>
  <si>
    <t>ID:3141-9431-9723-74826</t>
  </si>
  <si>
    <t>ID:3171-5940-1627-67142</t>
  </si>
  <si>
    <t>ID:3112-7825-7474-61431</t>
  </si>
  <si>
    <t>ID:3164-3753-1826-76566</t>
  </si>
  <si>
    <t>ID:3178-4468-2853-72059</t>
  </si>
  <si>
    <t>ID:3124-6119-5719-68401</t>
  </si>
  <si>
    <t>ID:3125-4852-9149-42862</t>
  </si>
  <si>
    <t>ID:3105-2426-3025-01727</t>
  </si>
  <si>
    <t>ID:3167-1792-7870-78036</t>
  </si>
  <si>
    <t>ID:3166-0047-5917-34384</t>
  </si>
  <si>
    <t>ID:3178-1960-9604-17156</t>
  </si>
  <si>
    <t>ID:3106-6227-9560-04653</t>
  </si>
  <si>
    <t>ID:3184-1452-2284-73244</t>
  </si>
  <si>
    <t>ID:3135-8898-2480-01165</t>
  </si>
  <si>
    <t>ID:3187-4819-0670-29838</t>
  </si>
  <si>
    <t>[BL] 정혼자 외전</t>
  </si>
  <si>
    <t>ID:3126-2184-8355-57632</t>
  </si>
  <si>
    <t>ID:3175-8903-6270-60809</t>
  </si>
  <si>
    <t>ID:3116-5259-7196-82254</t>
  </si>
  <si>
    <t>포르트무스 2권</t>
  </si>
  <si>
    <t>ID:3138-0844-8719-97830</t>
  </si>
  <si>
    <t>ID:3102-6608-8540-50215</t>
  </si>
  <si>
    <t>ID:3149-6486-8151-57585</t>
  </si>
  <si>
    <t>ID:3105-8407-0802-06212</t>
  </si>
  <si>
    <t>ID:3118-1658-4902-28688</t>
  </si>
  <si>
    <t>ID:3198-0535-7248-93230</t>
  </si>
  <si>
    <t>ID:3166-8729-7421-76516</t>
  </si>
  <si>
    <t>ID:3182-8222-8080-14574</t>
  </si>
  <si>
    <t>ID:3183-1711-5368-20081</t>
  </si>
  <si>
    <t>ID:3147-2478-3671-47397</t>
  </si>
  <si>
    <t>ID:3148-7828-0745-53289</t>
  </si>
  <si>
    <t>MXN</t>
  </si>
  <si>
    <t>MX</t>
  </si>
  <si>
    <t>ID:3161-7307-8958-55980</t>
  </si>
  <si>
    <t>ID:3198-9762-5847-63028</t>
  </si>
  <si>
    <t>ID:3178-1163-0077-64534</t>
  </si>
  <si>
    <t>ID:3124-0637-0679-15004</t>
  </si>
  <si>
    <t>ID:3165-4721-9069-07971</t>
  </si>
  <si>
    <t>ID:3179-6634-9935-03516</t>
  </si>
  <si>
    <t>ID:3164-9862-4629-31663</t>
  </si>
  <si>
    <t>ID:3159-2356-6997-50371</t>
  </si>
  <si>
    <t>ID:3147-5784-5571-33780</t>
  </si>
  <si>
    <t>ID:3114-8029-2390-21504</t>
  </si>
  <si>
    <t>ID:3143-4453-4928-10834</t>
  </si>
  <si>
    <t>ID:3149-6448-6492-42008</t>
  </si>
  <si>
    <t>돌아온 막내 영애님을 조심하세요 2권</t>
  </si>
  <si>
    <t>ID:3172-7435-0875-43508</t>
  </si>
  <si>
    <t>CHF</t>
  </si>
  <si>
    <t>CH</t>
  </si>
  <si>
    <t>ID:3191-3871-7088-60305</t>
  </si>
  <si>
    <t>ID:3155-1539-1999-74409</t>
  </si>
  <si>
    <t>ID:3187-0050-1695-63277</t>
  </si>
  <si>
    <t>ID:3195-4119-4218-05768</t>
  </si>
  <si>
    <t>ID:3111-8826-3865-02335</t>
  </si>
  <si>
    <t>ID:3178-9885-0199-19417</t>
  </si>
  <si>
    <t>ID:3113-2397-3368-44258</t>
  </si>
  <si>
    <t>ID:3184-9808-5287-95535</t>
  </si>
  <si>
    <t>ID:3192-3078-6424-61841</t>
  </si>
  <si>
    <t>ID:3185-2243-3495-92716</t>
  </si>
  <si>
    <t>돌아온 막내 영애님을 조심하세요 3권</t>
  </si>
  <si>
    <t>ID:3129-8375-1208-55193</t>
  </si>
  <si>
    <t>ID:3122-1771-3748-09015</t>
  </si>
  <si>
    <t>ID:3132-6768-4930-09441</t>
  </si>
  <si>
    <t>ID:3144-2474-1610-82457</t>
  </si>
  <si>
    <t>ID:3168-6357-2636-46746</t>
  </si>
  <si>
    <t>ID:3170-1849-8754-55906</t>
  </si>
  <si>
    <t>ID:3153-5479-1330-23092</t>
  </si>
  <si>
    <t>ID:3152-8264-4985-86893</t>
  </si>
  <si>
    <t>ID:3114-5553-3571-19579</t>
  </si>
  <si>
    <t>ID:3194-3097-4924-52724</t>
  </si>
  <si>
    <t>ID:3139-1882-1220-92159</t>
  </si>
  <si>
    <t>포르트무스 3권</t>
  </si>
  <si>
    <t>ID:3114-4659-2478-53574</t>
  </si>
  <si>
    <t>ID:3121-7027-6898-94460</t>
  </si>
  <si>
    <t>ID:3195-2566-4837-76141</t>
  </si>
  <si>
    <t>ID:3115-7528-5783-16926</t>
  </si>
  <si>
    <t>ID:3151-5271-8965-19361</t>
  </si>
  <si>
    <t>ID:3198-9509-4364-46816</t>
  </si>
  <si>
    <t>ID:3165-1895-9961-49707</t>
  </si>
  <si>
    <t>22. 5. 27.</t>
  </si>
  <si>
    <t>ID:3180-1588-1989-43861</t>
  </si>
  <si>
    <t>ID:3184-7642-6745-42604</t>
  </si>
  <si>
    <t>ID:3187-2023-2038-38638</t>
  </si>
  <si>
    <t>ID:3178-6324-9534-77751</t>
  </si>
  <si>
    <t>ID:3192-0861-7671-04002</t>
  </si>
  <si>
    <t>ID:3129-7789-1231-94579</t>
  </si>
  <si>
    <t>ID:3192-8638-0557-15778</t>
  </si>
  <si>
    <t>ID:3139-4291-3251-30790</t>
  </si>
  <si>
    <t>ID:3120-8442-5722-04959</t>
  </si>
  <si>
    <t>ID:3138-4104-7377-51793</t>
  </si>
  <si>
    <t>ID:3169-6248-8826-51224</t>
  </si>
  <si>
    <t>ID:3128-4820-5963-41186</t>
  </si>
  <si>
    <t>ID:3165-6083-0515-09208</t>
  </si>
  <si>
    <t>ID:3127-8086-8890-64694</t>
  </si>
  <si>
    <t>ID:3128-9879-8179-43331</t>
  </si>
  <si>
    <t>ID:3127-8369-9218-10522</t>
  </si>
  <si>
    <t>ID:3101-8023-5942-74785</t>
  </si>
  <si>
    <t>ID:3188-8826-1837-74730</t>
  </si>
  <si>
    <t>포르트무스 4권</t>
  </si>
  <si>
    <t>ID:3190-6634-0234-37852</t>
  </si>
  <si>
    <t>ID:3187-1117-9840-27079</t>
  </si>
  <si>
    <t>ID:3145-2999-5860-40119</t>
  </si>
  <si>
    <t>ID:3135-8278-5484-56809</t>
  </si>
  <si>
    <t>ID:3197-8013-1831-58824</t>
  </si>
  <si>
    <t>내 남편의 열렬한 구애 외전</t>
  </si>
  <si>
    <t>아이리스</t>
  </si>
  <si>
    <t>ID:3154-0215-8304-78744</t>
  </si>
  <si>
    <t>ID:3156-2649-3106-32076</t>
  </si>
  <si>
    <t>ID:3183-0696-0526-85426</t>
  </si>
  <si>
    <t>ID:3158-7510-1832-91779</t>
  </si>
  <si>
    <t>ID:3141-4938-8965-24447</t>
  </si>
  <si>
    <t>ID:3194-5889-3624-05513</t>
  </si>
  <si>
    <t>ID:3132-5274-8049-33966</t>
  </si>
  <si>
    <t>ID:3155-5782-7757-78069</t>
  </si>
  <si>
    <t>ID:3118-7190-8697-56567</t>
  </si>
  <si>
    <t>ID:3120-4195-4568-31402</t>
  </si>
  <si>
    <t>ID:3146-3528-8244-29531</t>
  </si>
  <si>
    <t>ID:3126-9842-6060-86056</t>
  </si>
  <si>
    <t>ID:3150-3314-5380-03304</t>
  </si>
  <si>
    <t>ID:3131-6487-5078-18361</t>
  </si>
  <si>
    <t>ID:3124-0748-4681-35992</t>
  </si>
  <si>
    <t>ID:3194-1547-5012-93940</t>
  </si>
  <si>
    <t>ID:3114-6543-5053-99940</t>
  </si>
  <si>
    <t>ID:3173-0829-1701-28881</t>
  </si>
  <si>
    <t>ID:3151-4886-7808-45302</t>
  </si>
  <si>
    <t>ID:3189-7252-5090-02937</t>
  </si>
  <si>
    <t>ID:3101-3987-1400-88439</t>
  </si>
  <si>
    <t>ID:3184-8967-7334-33838</t>
  </si>
  <si>
    <t>ID:3158-1939-8660-24299</t>
  </si>
  <si>
    <t>[BL] 야쿠자가 사랑을 한다면 (개정판) 1권</t>
  </si>
  <si>
    <t>ID:3145-4665-5937-16897</t>
  </si>
  <si>
    <t>ID:3113-8920-9244-51887</t>
  </si>
  <si>
    <t>ID:3113-5158-5932-17010</t>
  </si>
  <si>
    <t>ID:3196-0863-5868-26161</t>
  </si>
  <si>
    <t>ID:3158-4930-8002-80369</t>
  </si>
  <si>
    <t>ID:3162-1166-1171-48744</t>
  </si>
  <si>
    <t>ID:3142-1889-1758-46410</t>
  </si>
  <si>
    <t>ID:3168-3429-5502-21700</t>
  </si>
  <si>
    <t>ID:3139-2313-5670-10408</t>
  </si>
  <si>
    <t>ID:3153-4529-9431-84902</t>
  </si>
  <si>
    <t>ID:3141-4260-0531-97213</t>
  </si>
  <si>
    <t>ID:3140-3891-3516-59009</t>
  </si>
  <si>
    <t>ID:3135-5240-1287-27331</t>
  </si>
  <si>
    <t>ID:3142-5536-8627-03905</t>
  </si>
  <si>
    <t>ID:3143-2636-6558-33793</t>
  </si>
  <si>
    <t>ID:3102-5673-1579-03674</t>
  </si>
  <si>
    <t>ID:3191-9846-2549-52611</t>
  </si>
  <si>
    <t>ID:3166-3738-1504-01646</t>
  </si>
  <si>
    <t>ID:3129-3620-6111-63932</t>
  </si>
  <si>
    <t>ID:3172-6987-9309-14209</t>
  </si>
  <si>
    <t>ID:3147-5182-8845-58195</t>
  </si>
  <si>
    <t>ID:3151-7276-7025-15805</t>
  </si>
  <si>
    <t>ID:3126-9653-1361-66994</t>
  </si>
  <si>
    <t>ID:3193-6028-9326-37874</t>
  </si>
  <si>
    <t>ID:3190-1918-2658-56113</t>
  </si>
  <si>
    <t>ID:3114-5854-2256-93907</t>
  </si>
  <si>
    <t>22. 5. 28.</t>
  </si>
  <si>
    <t>ID:3127-7240-4849-34526</t>
  </si>
  <si>
    <t>ID:3152-9778-4454-45235</t>
  </si>
  <si>
    <t>ID:3115-0229-0003-49433</t>
  </si>
  <si>
    <t>ID:3155-6608-9272-93832</t>
  </si>
  <si>
    <t>ID:3133-2144-6434-46563</t>
  </si>
  <si>
    <t>ID:3187-5669-8840-11504</t>
  </si>
  <si>
    <t>ID:3133-9409-3513-36300</t>
  </si>
  <si>
    <t>ID:3154-9050-5116-08086</t>
  </si>
  <si>
    <t>ID:3160-0502-8434-48628</t>
  </si>
  <si>
    <t>ID:3144-7609-5777-57058</t>
  </si>
  <si>
    <t>ID:3133-5812-1850-21765</t>
  </si>
  <si>
    <t>ID:3152-7980-6183-84847</t>
  </si>
  <si>
    <t>ID:3163-3553-2491-44736</t>
  </si>
  <si>
    <t>ID:3197-2052-6354-53245</t>
  </si>
  <si>
    <t>ID:3169-2990-0395-14038</t>
  </si>
  <si>
    <t>ID:3171-3938-2455-19562</t>
  </si>
  <si>
    <t>ID:3179-0317-6585-94837</t>
  </si>
  <si>
    <t>ID:3164-1239-5964-70952</t>
  </si>
  <si>
    <t>ID:3147-2233-9952-26270</t>
  </si>
  <si>
    <t>ID:3145-4997-0210-45619</t>
  </si>
  <si>
    <t>ID:3149-5867-0659-40788</t>
  </si>
  <si>
    <t>ID:3127-2555-6214-57835</t>
  </si>
  <si>
    <t>ID:3196-0597-4541-51871</t>
  </si>
  <si>
    <t>ID:3158-4651-7040-25731</t>
  </si>
  <si>
    <t>ID:3125-1886-5622-23706</t>
  </si>
  <si>
    <t>ID:3130-1988-2933-07265</t>
  </si>
  <si>
    <t>ID:3179-5949-6632-55279</t>
  </si>
  <si>
    <t>ID:3162-8588-5809-91003</t>
  </si>
  <si>
    <t>ID:3167-0469-6519-63887</t>
  </si>
  <si>
    <t>ID:3195-2865-1130-48044</t>
  </si>
  <si>
    <t>ID:3110-5676-8613-30373</t>
  </si>
  <si>
    <t>ID:3182-3292-0216-67340</t>
  </si>
  <si>
    <t>ID:3139-8918-1626-59118</t>
  </si>
  <si>
    <t>ID:3103-8096-0486-24503</t>
  </si>
  <si>
    <t>ID:3170-2480-5579-20748</t>
  </si>
  <si>
    <t>ID:3144-2591-1468-27445</t>
  </si>
  <si>
    <t>ID:3162-8593-7935-62566</t>
  </si>
  <si>
    <t>ID:3172-9176-0170-86001</t>
  </si>
  <si>
    <t>ID:3159-4125-4909-21775</t>
  </si>
  <si>
    <t>ID:3101-8920-2209-98474</t>
  </si>
  <si>
    <t>ID:3142-1867-2375-34730</t>
  </si>
  <si>
    <t>ID:3183-8330-9710-06039</t>
  </si>
  <si>
    <t>ID:3190-2555-5309-25295</t>
  </si>
  <si>
    <t>ID:3135-1389-0300-95700</t>
  </si>
  <si>
    <t>ID:3137-1077-7220-25369</t>
  </si>
  <si>
    <t>어처구니없는 결혼 약속 외전</t>
  </si>
  <si>
    <t>블 루 스 카 이</t>
  </si>
  <si>
    <t>ID:3159-5986-0686-23894</t>
  </si>
  <si>
    <t>ID:3135-4771-1578-17639</t>
  </si>
  <si>
    <t>ID:3129-2843-6822-13739</t>
  </si>
  <si>
    <t>ID:3124-9408-8689-04837</t>
  </si>
  <si>
    <t>ID:3132-3761-2469-78620</t>
  </si>
  <si>
    <t>ID:3195-3162-8768-29581</t>
  </si>
  <si>
    <t>ID:3159-9224-7372-87671</t>
  </si>
  <si>
    <t>ID:3190-8878-1129-29236</t>
  </si>
  <si>
    <t>ID:3177-6665-7198-42767</t>
  </si>
  <si>
    <t>ID:3195-4519-9097-24070</t>
  </si>
  <si>
    <t>ID:3115-1122-1916-34811</t>
  </si>
  <si>
    <t>ID:3194-1625-0060-74929</t>
  </si>
  <si>
    <t>ID:3196-3370-5718-42363</t>
  </si>
  <si>
    <t>ID:3129-6026-8626-61866</t>
  </si>
  <si>
    <t>ID:3122-5118-4726-75590</t>
  </si>
  <si>
    <t>ID:3163-8101-4308-27739</t>
  </si>
  <si>
    <t>ID:3160-5010-0900-72355</t>
  </si>
  <si>
    <t>ID:3169-1464-3606-68320</t>
  </si>
  <si>
    <t>ID:3122-9678-6490-19522</t>
  </si>
  <si>
    <t>ID:3197-1406-1268-64720</t>
  </si>
  <si>
    <t>ID:3131-3165-9736-77780</t>
  </si>
  <si>
    <t>ID:3107-7984-6507-93031</t>
  </si>
  <si>
    <t>ID:3164-0488-2678-30925</t>
  </si>
  <si>
    <t>ID:3183-9763-6777-79144</t>
  </si>
  <si>
    <t>22. 5. 29.</t>
  </si>
  <si>
    <t>ID:3178-1905-7925-44899</t>
  </si>
  <si>
    <t>ID:3126-6857-0429-81900</t>
  </si>
  <si>
    <t>ID:3168-2965-0634-02979</t>
  </si>
  <si>
    <t>ID:3114-8256-8415-18425</t>
  </si>
  <si>
    <t>ID:3164-8215-7749-77452</t>
  </si>
  <si>
    <t>ID:3194-2087-6801-53046</t>
  </si>
  <si>
    <t>ID:3116-0705-3067-07055</t>
  </si>
  <si>
    <t>ID:3100-7274-0737-05214</t>
  </si>
  <si>
    <t>ID:3165-8260-4954-07314</t>
  </si>
  <si>
    <t>ID:3160-8951-5525-15064</t>
  </si>
  <si>
    <t>ID:3195-6226-5354-23103</t>
  </si>
  <si>
    <t>ID:3187-1339-5400-27361</t>
  </si>
  <si>
    <t>ID:3184-7857-0611-17184</t>
  </si>
  <si>
    <t>ID:3178-3542-0189-41711</t>
  </si>
  <si>
    <t>ID:3178-2547-1331-05343</t>
  </si>
  <si>
    <t>ID:3115-6427-4495-83591</t>
  </si>
  <si>
    <t>ID:3123-8307-4313-24233</t>
  </si>
  <si>
    <t>ID:3132-1430-6399-40839</t>
  </si>
  <si>
    <t>ID:3119-1917-1997-19744</t>
  </si>
  <si>
    <t>ID:3191-3587-4908-80704</t>
  </si>
  <si>
    <t>ID:3175-7878-1187-24541</t>
  </si>
  <si>
    <t>ID:3139-7425-4553-03385</t>
  </si>
  <si>
    <t>비공개 열애</t>
  </si>
  <si>
    <t>박지영</t>
  </si>
  <si>
    <t>ID:3150-6903-0570-19916</t>
  </si>
  <si>
    <t>ID:3134-2968-2965-31845</t>
  </si>
  <si>
    <t>ID:3148-8165-9511-27927</t>
  </si>
  <si>
    <t>ID:3151-9372-1882-39736</t>
  </si>
  <si>
    <t>ID:3112-4315-9303-49395</t>
  </si>
  <si>
    <t>ID:3143-8211-7167-16711</t>
  </si>
  <si>
    <t>ID:3138-8573-2177-23430</t>
  </si>
  <si>
    <t>ID:3162-1326-7125-36362</t>
  </si>
  <si>
    <t>ID:3138-8985-9526-93123</t>
  </si>
  <si>
    <t>ID:3145-1624-7688-61734</t>
  </si>
  <si>
    <t>ID:3127-9752-2557-63245</t>
  </si>
  <si>
    <t>ID:3136-2730-8031-85002</t>
  </si>
  <si>
    <t>ID:3134-6917-3046-32857</t>
  </si>
  <si>
    <t>ID:3103-0155-1689-94537</t>
  </si>
  <si>
    <t>ID:3161-3309-4178-64204</t>
  </si>
  <si>
    <t>ID:3195-7180-8537-39058</t>
  </si>
  <si>
    <t>ID:3154-5075-3882-72157</t>
  </si>
  <si>
    <t>[BL] 골 때리는 사랑 외전</t>
  </si>
  <si>
    <t>BRL</t>
  </si>
  <si>
    <t>BR</t>
  </si>
  <si>
    <t>ID:3189-9092-9516-31953</t>
  </si>
  <si>
    <t>ID:3161-3379-5303-93746</t>
  </si>
  <si>
    <t>ID:3171-9858-4951-67665</t>
  </si>
  <si>
    <t>ID:3188-2176-8129-80514</t>
  </si>
  <si>
    <t>ID:3130-2847-3238-36514</t>
  </si>
  <si>
    <t>ID:3194-6957-7671-57366</t>
  </si>
  <si>
    <t>ID:3197-7328-3564-19516</t>
  </si>
  <si>
    <t>ID:3195-4715-8440-46612</t>
  </si>
  <si>
    <t>ID:3158-3426-5326-20123</t>
  </si>
  <si>
    <t>ID:3149-9481-1082-33548</t>
  </si>
  <si>
    <t>ID:3127-4937-0404-52571</t>
  </si>
  <si>
    <t>ID:3133-1553-8509-92898</t>
  </si>
  <si>
    <t>ID:3188-2149-2870-36906</t>
  </si>
  <si>
    <t>ID:3133-4817-2561-27567</t>
  </si>
  <si>
    <t>ID:3187-2750-9441-41578</t>
  </si>
  <si>
    <t>ID:3122-0899-7127-80858</t>
  </si>
  <si>
    <t>바랑둥이 내 남자 1권</t>
  </si>
  <si>
    <t>ID:3130-5046-2803-79898</t>
  </si>
  <si>
    <t>바랑둥이 내 남자 2권</t>
  </si>
  <si>
    <t>ID:3185-5642-6880-41198</t>
  </si>
  <si>
    <t>바랑둥이 내 남자 3권</t>
  </si>
  <si>
    <t>ID:3167-2588-1877-67829</t>
  </si>
  <si>
    <t>바랑둥이 내 남자 외전</t>
  </si>
  <si>
    <t>ID:3115-4629-5469-66249</t>
  </si>
  <si>
    <t>ID:3161-6586-8575-42875</t>
  </si>
  <si>
    <t>ID:3163-5137-0171-52324</t>
  </si>
  <si>
    <t>ID:3173-5613-2112-55858</t>
  </si>
  <si>
    <t>ID:3144-9813-5374-61332</t>
  </si>
  <si>
    <t>ID:3143-1121-4662-37058</t>
  </si>
  <si>
    <t>ID:3165-9689-6231-98832</t>
  </si>
  <si>
    <t>ID:3183-5851-9858-54348</t>
  </si>
  <si>
    <t>ID:3177-0945-4581-93832</t>
  </si>
  <si>
    <t>ID:3128-8949-9276-55803</t>
  </si>
  <si>
    <t>ID:3115-3158-1193-26285</t>
  </si>
  <si>
    <t>ID:3138-6957-3484-80940</t>
  </si>
  <si>
    <t>ID:3120-8917-3854-37214</t>
  </si>
  <si>
    <t>ID:3122-3426-0057-87040</t>
  </si>
  <si>
    <t>ID:3168-1830-5948-51743</t>
  </si>
  <si>
    <t>ID:3196-1305-1444-82682</t>
  </si>
  <si>
    <t>ID:3128-2649-7407-23789</t>
  </si>
  <si>
    <t>ID:3171-8055-3285-63715</t>
  </si>
  <si>
    <t>22. 5. 30.</t>
  </si>
  <si>
    <t>ID:3161-9632-7677-08092</t>
  </si>
  <si>
    <t>ID:3191-4804-9411-94612</t>
  </si>
  <si>
    <t>ID:3153-0888-5102-53490</t>
  </si>
  <si>
    <t>ID:3150-0101-3330-62443</t>
  </si>
  <si>
    <t>ID:3101-4693-8894-14719</t>
  </si>
  <si>
    <t>ID:3189-7247-4991-47745</t>
  </si>
  <si>
    <t>ID:3147-6889-8909-08529</t>
  </si>
  <si>
    <t>ID:3199-5535-3709-93015</t>
  </si>
  <si>
    <t>ID:3182-7492-9894-91048</t>
  </si>
  <si>
    <t>ID:3109-9575-9913-17856</t>
  </si>
  <si>
    <t>ID:3158-3196-1915-99524</t>
  </si>
  <si>
    <t>ID:3196-2752-5498-16257</t>
  </si>
  <si>
    <t>ID:3114-2478-5141-62305</t>
  </si>
  <si>
    <t>ID:3172-2266-7990-37391</t>
  </si>
  <si>
    <t>ID:3116-6419-6725-67664</t>
  </si>
  <si>
    <t>ID:3102-6947-4304-19879</t>
  </si>
  <si>
    <t>ID:3125-8060-5846-30214</t>
  </si>
  <si>
    <t>ID:3106-5231-0142-15557</t>
  </si>
  <si>
    <t>ID:3144-4965-6704-84234</t>
  </si>
  <si>
    <t>ID:3149-2660-0652-36734</t>
  </si>
  <si>
    <t>ID:3177-9172-3889-06180</t>
  </si>
  <si>
    <t>ID:3119-3393-7585-00306</t>
  </si>
  <si>
    <t>ID:3185-7520-0215-79694</t>
  </si>
  <si>
    <t>ID:3178-9438-0450-46776</t>
  </si>
  <si>
    <t>ID:3171-0096-1977-41514</t>
  </si>
  <si>
    <t>ID:3155-4226-5405-69789</t>
  </si>
  <si>
    <t>ID:3159-0753-2793-28183</t>
  </si>
  <si>
    <t>ID:3193-4519-5981-03900</t>
  </si>
  <si>
    <t>ID:3181-3959-4641-34669</t>
  </si>
  <si>
    <t>ID:3140-6343-3842-68096</t>
  </si>
  <si>
    <t>ID:3132-4178-3817-41812</t>
  </si>
  <si>
    <t>ID:3123-5551-3338-84714</t>
  </si>
  <si>
    <t>ID:3132-5521-2372-21087</t>
  </si>
  <si>
    <t>ID:3195-3944-1225-62116</t>
  </si>
  <si>
    <t>ID:3150-7906-0969-21522</t>
  </si>
  <si>
    <t>ID:3136-5932-1541-19095</t>
  </si>
  <si>
    <t>ID:3176-5932-9538-34745</t>
  </si>
  <si>
    <t>ID:3181-9949-0703-30063</t>
  </si>
  <si>
    <t>ID:3159-2472-2203-23345</t>
  </si>
  <si>
    <t>ID:3185-7357-0595-85214</t>
  </si>
  <si>
    <t>ID:3190-9654-1397-16663</t>
  </si>
  <si>
    <t>ID:3156-5064-5940-55981</t>
  </si>
  <si>
    <t>ID:3131-2085-5782-69680</t>
  </si>
  <si>
    <t>ID:3129-3795-3290-42935</t>
  </si>
  <si>
    <t>ID:3146-3051-2469-19265</t>
  </si>
  <si>
    <t>ID:3129-4161-7754-07685</t>
  </si>
  <si>
    <t>ID:3181-8059-2214-58616</t>
  </si>
  <si>
    <t>ID:3179-3533-7289-56628</t>
  </si>
  <si>
    <t>ID:3192-3128-3794-72549</t>
  </si>
  <si>
    <t>ID:3158-1578-7701-11365</t>
  </si>
  <si>
    <t>ID:3122-0188-6951-94211</t>
  </si>
  <si>
    <t>ID:3118-6087-4729-70311</t>
  </si>
  <si>
    <t>ID:3170-0105-0321-86051</t>
  </si>
  <si>
    <t>ID:3161-3840-5604-15295</t>
  </si>
  <si>
    <t>ID:3194-3809-0180-50263</t>
  </si>
  <si>
    <t>ID:3108-2747-7131-08968</t>
  </si>
  <si>
    <t>ID:3145-1926-5917-00152</t>
  </si>
  <si>
    <t>ID:3194-3891-7342-47187</t>
  </si>
  <si>
    <t>ID:3175-9704-1377-03944</t>
  </si>
  <si>
    <t>ID:3114-2304-6005-56869</t>
  </si>
  <si>
    <t>ID:3169-9668-9209-31680</t>
  </si>
  <si>
    <t>ID:3135-9243-9441-93333</t>
  </si>
  <si>
    <t>ID:3153-2524-3946-44272</t>
  </si>
  <si>
    <t>ID:3114-4539-3668-90416</t>
  </si>
  <si>
    <t>ID:3187-7448-8534-69284</t>
  </si>
  <si>
    <t>ID:3146-8685-1511-36777</t>
  </si>
  <si>
    <t>ID:3149-1781-2592-45551</t>
  </si>
  <si>
    <t>ID:3197-3000-1201-20005</t>
  </si>
  <si>
    <t>ID:3189-1328-4026-95248</t>
  </si>
  <si>
    <t>ID:3198-4135-9666-29651</t>
  </si>
  <si>
    <t>ID:3134-0715-3530-27419</t>
  </si>
  <si>
    <t>ID:3108-4443-9264-46743</t>
  </si>
  <si>
    <t>ID:3148-9058-3837-05358</t>
  </si>
  <si>
    <t>ID:3146-8225-1941-77021</t>
  </si>
  <si>
    <t>ID:3147-9250-7252-37296</t>
  </si>
  <si>
    <t>ID:3162-4926-8222-57804</t>
  </si>
  <si>
    <t>ID:3159-3553-3716-63182</t>
  </si>
  <si>
    <t>ID:3118-8923-8380-85740</t>
  </si>
  <si>
    <t>ID:3195-7301-0739-80876</t>
  </si>
  <si>
    <t>ID:3134-5276-0739-18750</t>
  </si>
  <si>
    <t>ID:3149-6684-8919-02110</t>
  </si>
  <si>
    <t>ID:3142-9495-5579-57095</t>
  </si>
  <si>
    <t>ID:3134-6030-4728-80658</t>
  </si>
  <si>
    <t>ID:3177-8342-3858-27942</t>
  </si>
  <si>
    <t>ID:3141-8372-7694-64532</t>
  </si>
  <si>
    <t>ID:3175-9285-1619-26496</t>
  </si>
  <si>
    <t>ID:3138-8454-2762-21424</t>
  </si>
  <si>
    <t>ID:3197-2390-3774-65256</t>
  </si>
  <si>
    <t>ID:3194-5570-3807-17947</t>
  </si>
  <si>
    <t>ID:3154-1954-7834-90017</t>
  </si>
  <si>
    <t>IT</t>
  </si>
  <si>
    <t>ID:3153-6897-1154-45171</t>
  </si>
  <si>
    <t>ID:3167-6251-4897-82865</t>
  </si>
  <si>
    <t>ID:3113-8166-5213-82924</t>
  </si>
  <si>
    <t>ID:3107-0283-7034-91373</t>
  </si>
  <si>
    <t>ID:3117-4463-7174-60676</t>
  </si>
  <si>
    <t>ID:3137-1876-3259-22009</t>
  </si>
  <si>
    <t>ID:3122-8564-9214-98984</t>
  </si>
  <si>
    <t>ID:3135-4389-3149-53561</t>
  </si>
  <si>
    <t>ID:3180-6565-6678-36821</t>
  </si>
  <si>
    <t>ID:3163-8351-0575-60350</t>
  </si>
  <si>
    <t>ID:3132-6764-7131-17209</t>
  </si>
  <si>
    <t>ID:3138-1133-2710-48546</t>
  </si>
  <si>
    <t>ID:3157-6627-5907-43662</t>
  </si>
  <si>
    <t>ID:3198-0577-3176-49662</t>
  </si>
  <si>
    <t>ID:3188-8337-7616-08378</t>
  </si>
  <si>
    <t>ID:3135-1342-4336-81457</t>
  </si>
  <si>
    <t>ID:3188-8791-4382-32521</t>
  </si>
  <si>
    <t>ID:3194-0035-4534-28425</t>
  </si>
  <si>
    <t>ID:3143-9189-8072-68353</t>
  </si>
  <si>
    <t>ID:3176-7877-1640-82589</t>
  </si>
  <si>
    <t>ID:3120-5703-3267-47583</t>
  </si>
  <si>
    <t>ID:3150-6116-6940-88007</t>
  </si>
  <si>
    <t>ID:3179-3716-8809-83798</t>
  </si>
  <si>
    <t>ID:3111-5264-5701-88548</t>
  </si>
  <si>
    <t>ID:3119-2985-4124-27165</t>
  </si>
  <si>
    <t>ID:3183-6889-6498-10615</t>
  </si>
  <si>
    <t>ID:3135-9575-0095-25005</t>
  </si>
  <si>
    <t>ID:3136-0403-8834-50644</t>
  </si>
  <si>
    <t>ID:3105-3419-6025-28031</t>
  </si>
  <si>
    <t>ID:3137-6690-0192-22865</t>
  </si>
  <si>
    <t>ID:3168-7970-0569-86279</t>
  </si>
  <si>
    <t>ID:3141-0944-3012-41066</t>
  </si>
  <si>
    <t>ID:3133-9906-7564-67460</t>
  </si>
  <si>
    <t>ID:3159-7385-9915-51517</t>
  </si>
  <si>
    <t>ID:3188-5934-9124-02949</t>
  </si>
  <si>
    <t>ID:3121-3440-1564-16936</t>
  </si>
  <si>
    <t>ID:3124-2823-9876-29338</t>
  </si>
  <si>
    <t>ID:3151-6474-7162-38146</t>
  </si>
  <si>
    <t>ID:3160-8242-1243-59135</t>
  </si>
  <si>
    <t>ID:3193-4225-2339-21415</t>
  </si>
  <si>
    <t>ID:3159-5844-5985-52577</t>
  </si>
  <si>
    <t>ID:3191-3648-8989-49819</t>
  </si>
  <si>
    <t>ID:3103-7985-3174-00254</t>
  </si>
  <si>
    <t>ID:3111-1936-7997-86789</t>
  </si>
  <si>
    <t>ID:3104-9912-2468-82626</t>
  </si>
  <si>
    <t>ID:3149-0557-1350-08700</t>
  </si>
  <si>
    <t>욕망에 눈뜨다 외전</t>
  </si>
  <si>
    <t>ID:3144-8402-4339-57939</t>
  </si>
  <si>
    <t>ID:3116-7353-7232-96039</t>
  </si>
  <si>
    <t>ID:3168-5024-0411-75156</t>
  </si>
  <si>
    <t>ID:3122-6606-1212-49529</t>
  </si>
  <si>
    <t>ID:3109-7695-2623-29937</t>
  </si>
  <si>
    <t>ID:3111-8975-1881-56724</t>
  </si>
  <si>
    <t>ID:3196-8534-1530-37766</t>
  </si>
  <si>
    <t>내 남편의 열렬한 구애 2권</t>
  </si>
  <si>
    <t>ID:3186-3643-9096-74691</t>
  </si>
  <si>
    <t>내 남편의 열렬한 구애 1권</t>
  </si>
  <si>
    <t>ID:3162-7236-1519-99535</t>
  </si>
  <si>
    <t>[BL] 골 때리는 사랑 2권</t>
  </si>
  <si>
    <t>ID:3184-4114-7183-47131</t>
  </si>
  <si>
    <t>ID:3177-0448-6351-22984</t>
  </si>
  <si>
    <t>ID:3121-5113-5924-16328</t>
  </si>
  <si>
    <t>수면제</t>
  </si>
  <si>
    <t>명우</t>
  </si>
  <si>
    <t>ID:3136-5034-9038-40659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</si>
  <si>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</si>
  <si>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</si>
  <si>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윤비밀</t>
    <phoneticPr fontId="18" type="noConversion"/>
  </si>
  <si>
    <t>트리플베리</t>
    <phoneticPr fontId="18" type="noConversion"/>
  </si>
  <si>
    <t>차연유</t>
    <phoneticPr fontId="18" type="noConversion"/>
  </si>
  <si>
    <t>서정윤</t>
    <phoneticPr fontId="18" type="noConversion"/>
  </si>
  <si>
    <t>밀리의 서재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</si>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</sst>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33" borderId="0" xfId="42" applyFont="1" applyFill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0" fontId="0" fillId="0" borderId="0" xfId="0" applyAlignmen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vvk</v>
          </cell>
          <cell r="B39" t="str">
            <v>vvk</v>
          </cell>
          <cell r="R39" t="str">
            <v>SISSI</v>
          </cell>
          <cell r="S39" t="str">
            <v>더컴퍼니</v>
          </cell>
        </row>
        <row r="40">
          <cell r="A40" t="str">
            <v>Yangxuetu, Zhupi</v>
          </cell>
          <cell r="B40" t="str">
            <v>제외</v>
          </cell>
          <cell r="R40" t="str">
            <v>SISSI</v>
          </cell>
          <cell r="S40" t="str">
            <v>더컴퍼니</v>
          </cell>
        </row>
        <row r="41">
          <cell r="A41" t="str">
            <v>Yulia</v>
          </cell>
          <cell r="B41" t="str">
            <v>Yulia</v>
          </cell>
          <cell r="R41" t="str">
            <v>SISSI</v>
          </cell>
          <cell r="S41" t="str">
            <v>더컴퍼니</v>
          </cell>
        </row>
        <row r="42">
          <cell r="A42" t="str">
            <v>ZHUPI&amp;YANGXUETU</v>
          </cell>
          <cell r="B42" t="str">
            <v>제외</v>
          </cell>
          <cell r="R42" t="str">
            <v>SISSI</v>
          </cell>
          <cell r="S42" t="str">
            <v>더컴퍼니</v>
          </cell>
        </row>
        <row r="43">
          <cell r="A43" t="str">
            <v>ZHUPI,YANGXUETU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ZHUPI.YANGXUETU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Zhupi, 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가람검</v>
          </cell>
          <cell r="B46" t="str">
            <v>독고진</v>
          </cell>
          <cell r="R46" t="str">
            <v>SISSI</v>
          </cell>
          <cell r="S46" t="str">
            <v>더컴퍼니</v>
          </cell>
        </row>
        <row r="47">
          <cell r="A47" t="str">
            <v>갓띵작</v>
          </cell>
          <cell r="B47" t="str">
            <v>갓띵작</v>
          </cell>
          <cell r="R47" t="str">
            <v>SISSI</v>
          </cell>
          <cell r="S47" t="str">
            <v>더컴퍼니</v>
          </cell>
        </row>
        <row r="48">
          <cell r="A48" t="str">
            <v>강준현</v>
          </cell>
          <cell r="B48" t="str">
            <v>제외</v>
          </cell>
          <cell r="R48" t="str">
            <v>SISSI</v>
          </cell>
          <cell r="S48" t="str">
            <v>더컴퍼니</v>
          </cell>
        </row>
        <row r="49">
          <cell r="A49" t="str">
            <v>건일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공든탑</v>
          </cell>
          <cell r="B50" t="str">
            <v>공든탑</v>
          </cell>
          <cell r="R50" t="str">
            <v>SISSI</v>
          </cell>
          <cell r="S50" t="str">
            <v>더컴퍼니</v>
          </cell>
        </row>
        <row r="51">
          <cell r="A51" t="str">
            <v>곽도우</v>
          </cell>
          <cell r="B51" t="str">
            <v>스토리아크</v>
          </cell>
          <cell r="R51" t="str">
            <v>SISSI</v>
          </cell>
          <cell r="S51" t="str">
            <v>더컴퍼니</v>
          </cell>
        </row>
        <row r="52">
          <cell r="A52" t="str">
            <v>구공</v>
          </cell>
          <cell r="B52" t="str">
            <v>구공</v>
          </cell>
          <cell r="R52" t="str">
            <v>SISSI</v>
          </cell>
          <cell r="S52" t="str">
            <v>더컴퍼니</v>
          </cell>
        </row>
        <row r="53">
          <cell r="A53" t="str">
            <v>구디스튜디오</v>
          </cell>
          <cell r="B53" t="str">
            <v>구디</v>
          </cell>
          <cell r="R53" t="str">
            <v>SISSI</v>
          </cell>
          <cell r="S53" t="str">
            <v>더컴퍼니</v>
          </cell>
        </row>
        <row r="54">
          <cell r="A54" t="str">
            <v>구땡</v>
          </cell>
          <cell r="B54" t="str">
            <v>구땡</v>
          </cell>
          <cell r="R54" t="str">
            <v>SISSI</v>
          </cell>
          <cell r="S54" t="str">
            <v>더컴퍼니</v>
          </cell>
        </row>
        <row r="55">
          <cell r="A55" t="str">
            <v>구유</v>
          </cell>
          <cell r="B55" t="str">
            <v>구유</v>
          </cell>
          <cell r="R55" t="str">
            <v>SISSI</v>
          </cell>
          <cell r="S55" t="str">
            <v>더컴퍼니</v>
          </cell>
        </row>
        <row r="56">
          <cell r="A56" t="str">
            <v>구이</v>
          </cell>
          <cell r="B56" t="str">
            <v>구이</v>
          </cell>
          <cell r="R56" t="str">
            <v>SISSI</v>
          </cell>
          <cell r="S56" t="str">
            <v>더컴퍼니</v>
          </cell>
        </row>
        <row r="57">
          <cell r="A57" t="str">
            <v>군주</v>
          </cell>
          <cell r="B57" t="str">
            <v>군주</v>
          </cell>
          <cell r="R57" t="str">
            <v>SISSI</v>
          </cell>
          <cell r="S57" t="str">
            <v>더컴퍼니</v>
          </cell>
        </row>
        <row r="58">
          <cell r="A58" t="str">
            <v>권용찬</v>
          </cell>
          <cell r="B58" t="str">
            <v>권용찬</v>
          </cell>
          <cell r="R58" t="str">
            <v>SISSI</v>
          </cell>
          <cell r="S58" t="str">
            <v>더컴퍼니</v>
          </cell>
        </row>
        <row r="59">
          <cell r="A59" t="str">
            <v>권용찬 (2)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글면증</v>
          </cell>
          <cell r="B60" t="str">
            <v>글면증</v>
          </cell>
          <cell r="R60" t="str">
            <v>SISSI</v>
          </cell>
          <cell r="S60" t="str">
            <v>더컴퍼니</v>
          </cell>
        </row>
        <row r="61">
          <cell r="A61" t="str">
            <v>금시조</v>
          </cell>
          <cell r="B61" t="str">
            <v>금시조</v>
          </cell>
          <cell r="R61" t="str">
            <v>SISSI</v>
          </cell>
          <cell r="S61" t="str">
            <v>더컴퍼니</v>
          </cell>
        </row>
        <row r="62">
          <cell r="A62" t="str">
            <v>김광수</v>
          </cell>
          <cell r="B62" t="str">
            <v>김광수</v>
          </cell>
          <cell r="R62" t="str">
            <v>SISSI</v>
          </cell>
          <cell r="S62" t="str">
            <v>더컴퍼니</v>
          </cell>
        </row>
        <row r="63">
          <cell r="A63" t="str">
            <v>김광수 (2)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김너울</v>
          </cell>
          <cell r="B64" t="str">
            <v>김너울</v>
          </cell>
          <cell r="R64" t="str">
            <v>SISSI</v>
          </cell>
          <cell r="S64" t="str">
            <v>더컴퍼니</v>
          </cell>
        </row>
        <row r="65">
          <cell r="A65" t="str">
            <v>김사라</v>
          </cell>
          <cell r="B65" t="str">
            <v>김사라</v>
          </cell>
          <cell r="R65" t="str">
            <v>SISSI</v>
          </cell>
          <cell r="S65" t="str">
            <v>더컴퍼니</v>
          </cell>
        </row>
        <row r="66">
          <cell r="A66" t="str">
            <v>김수연</v>
          </cell>
          <cell r="B66" t="str">
            <v>김수연</v>
          </cell>
          <cell r="R66" t="str">
            <v>SISSI</v>
          </cell>
          <cell r="S66" t="str">
            <v>더컴퍼니</v>
          </cell>
        </row>
        <row r="67">
          <cell r="A67" t="str">
            <v>김온별</v>
          </cell>
          <cell r="B67" t="str">
            <v>김온별</v>
          </cell>
          <cell r="R67" t="str">
            <v>SISSI</v>
          </cell>
          <cell r="S67" t="str">
            <v>더컴퍼니</v>
          </cell>
        </row>
        <row r="68">
          <cell r="A68" t="str">
            <v>김온별(러브 마인)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김온별러브마인</v>
          </cell>
          <cell r="B70" t="str">
            <v>김온별러브마인</v>
          </cell>
          <cell r="R70" t="str">
            <v>SISSI</v>
          </cell>
          <cell r="S70" t="str">
            <v>더컴퍼니</v>
          </cell>
        </row>
        <row r="71">
          <cell r="A71" t="str">
            <v>김운담</v>
          </cell>
          <cell r="B71" t="str">
            <v>김운담</v>
          </cell>
          <cell r="R71" t="str">
            <v>SISSI</v>
          </cell>
          <cell r="S71" t="str">
            <v>더컴퍼니</v>
          </cell>
        </row>
        <row r="72">
          <cell r="A72" t="str">
            <v>김정률</v>
          </cell>
          <cell r="B72" t="str">
            <v>김정률</v>
          </cell>
          <cell r="R72" t="str">
            <v>SISSI</v>
          </cell>
          <cell r="S72" t="str">
            <v>더컴퍼니</v>
          </cell>
        </row>
        <row r="73">
          <cell r="A73" t="str">
            <v>김정연</v>
          </cell>
          <cell r="B73" t="str">
            <v>김정연</v>
          </cell>
          <cell r="R73" t="str">
            <v>SISSI</v>
          </cell>
          <cell r="S73" t="str">
            <v>더컴퍼니</v>
          </cell>
        </row>
        <row r="74">
          <cell r="A74" t="str">
            <v>깡펀치</v>
          </cell>
          <cell r="B74" t="str">
            <v>깡펀치</v>
          </cell>
          <cell r="R74" t="str">
            <v>SISSI</v>
          </cell>
          <cell r="S74" t="str">
            <v>더컴퍼니</v>
          </cell>
        </row>
        <row r="75">
          <cell r="A75" t="str">
            <v>꽃잠</v>
          </cell>
          <cell r="B75" t="str">
            <v>꽃잠</v>
          </cell>
          <cell r="R75" t="str">
            <v>SISSI</v>
          </cell>
          <cell r="S75" t="str">
            <v>더컴퍼니</v>
          </cell>
        </row>
        <row r="76">
          <cell r="A76" t="str">
            <v>남정훈</v>
          </cell>
          <cell r="B76" t="str">
            <v>컨텐츠헤라</v>
          </cell>
          <cell r="R76" t="str">
            <v>SISSI</v>
          </cell>
          <cell r="S76" t="str">
            <v>더컴퍼니</v>
          </cell>
        </row>
        <row r="77">
          <cell r="A77" t="str">
            <v>녹야천학&amp;유지교자</v>
          </cell>
          <cell r="B77" t="str">
            <v>제외</v>
          </cell>
          <cell r="R77" t="str">
            <v>SISSI</v>
          </cell>
          <cell r="S77" t="str">
            <v>더컴퍼니</v>
          </cell>
        </row>
        <row r="78">
          <cell r="A78" t="str">
            <v>다물</v>
          </cell>
          <cell r="B78" t="str">
            <v>컨텐츠헤라</v>
          </cell>
          <cell r="R78" t="str">
            <v>SISSI</v>
          </cell>
          <cell r="S78" t="str">
            <v>더컴퍼니</v>
          </cell>
        </row>
        <row r="79">
          <cell r="A79" t="str">
            <v>단연필</v>
          </cell>
          <cell r="B79" t="str">
            <v>단연필</v>
          </cell>
          <cell r="R79" t="str">
            <v>SISSI</v>
          </cell>
          <cell r="S79" t="str">
            <v>더컴퍼니</v>
          </cell>
        </row>
        <row r="80">
          <cell r="A80" t="str">
            <v>단팥크림빵</v>
          </cell>
          <cell r="B80" t="str">
            <v>단팥크림빵7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단팥크림빵7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담화공</v>
          </cell>
          <cell r="B82" t="str">
            <v>담화공</v>
          </cell>
          <cell r="R82" t="str">
            <v>SISSI</v>
          </cell>
          <cell r="S82" t="str">
            <v>더컴퍼니</v>
          </cell>
        </row>
        <row r="83">
          <cell r="A83" t="str">
            <v>담화공.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닽팥크림빵7</v>
          </cell>
          <cell r="B84" t="str">
            <v>단팥크림빵7</v>
          </cell>
          <cell r="R84" t="str">
            <v>SISSI</v>
          </cell>
          <cell r="S84" t="str">
            <v>더컴퍼니</v>
          </cell>
        </row>
        <row r="85">
          <cell r="A85" t="str">
            <v>더컴퍼니</v>
          </cell>
          <cell r="B85" t="str">
            <v>더컴퍼니</v>
          </cell>
          <cell r="R85" t="str">
            <v>SISSI</v>
          </cell>
          <cell r="S85" t="str">
            <v>더컴퍼니</v>
          </cell>
        </row>
        <row r="86">
          <cell r="A86" t="str">
            <v>덕킹</v>
          </cell>
          <cell r="B86" t="str">
            <v>덕킹</v>
          </cell>
          <cell r="R86" t="str">
            <v>SISSI</v>
          </cell>
          <cell r="S86" t="str">
            <v>더컴퍼니</v>
          </cell>
        </row>
        <row r="87">
          <cell r="A87" t="str">
            <v>도얀</v>
          </cell>
          <cell r="B87" t="str">
            <v>도얀</v>
          </cell>
          <cell r="R87" t="str">
            <v>SISSI</v>
          </cell>
          <cell r="S87" t="str">
            <v>더컴퍼니</v>
          </cell>
        </row>
        <row r="88">
          <cell r="A88" t="str">
            <v>독고진</v>
          </cell>
          <cell r="B88" t="str">
            <v>독고진</v>
          </cell>
          <cell r="R88" t="str">
            <v>SISSI</v>
          </cell>
          <cell r="S88" t="str">
            <v>더컴퍼니</v>
          </cell>
        </row>
        <row r="89">
          <cell r="A89" t="str">
            <v>돈문어</v>
          </cell>
          <cell r="B89" t="str">
            <v>돈문어</v>
          </cell>
          <cell r="R89" t="str">
            <v>SISSI</v>
          </cell>
          <cell r="S89" t="str">
            <v>더컴퍼니</v>
          </cell>
        </row>
        <row r="90">
          <cell r="A90" t="str">
            <v>두경</v>
          </cell>
          <cell r="B90" t="str">
            <v>컨텐츠헤라</v>
          </cell>
          <cell r="R90" t="str">
            <v>SISSI</v>
          </cell>
          <cell r="S90" t="str">
            <v>더컴퍼니</v>
          </cell>
        </row>
        <row r="91">
          <cell r="A91" t="str">
            <v>두나래</v>
          </cell>
          <cell r="B91" t="str">
            <v>두나래</v>
          </cell>
          <cell r="R91" t="str">
            <v>SISSI</v>
          </cell>
          <cell r="S91" t="str">
            <v>더컴퍼니</v>
          </cell>
        </row>
        <row r="92">
          <cell r="A92" t="str">
            <v>두럭</v>
          </cell>
          <cell r="B92" t="str">
            <v>더컴퍼니</v>
          </cell>
          <cell r="R92" t="str">
            <v>SISSI</v>
          </cell>
          <cell r="S92" t="str">
            <v>더컴퍼니</v>
          </cell>
        </row>
        <row r="93">
          <cell r="A93" t="str">
            <v>디버스 대도서관</v>
          </cell>
          <cell r="B93" t="str">
            <v>디버스 대도서관</v>
          </cell>
          <cell r="R93" t="str">
            <v>SISSI</v>
          </cell>
          <cell r="S93" t="str">
            <v>더컴퍼니</v>
          </cell>
        </row>
        <row r="94">
          <cell r="A94" t="str">
            <v>라비니안느</v>
          </cell>
          <cell r="B94" t="str">
            <v>라비니안느</v>
          </cell>
          <cell r="R94" t="str">
            <v>SISSI</v>
          </cell>
          <cell r="S94" t="str">
            <v>더컴퍼니</v>
          </cell>
        </row>
        <row r="95">
          <cell r="A95" t="str">
            <v>란토파즈</v>
          </cell>
          <cell r="B95" t="str">
            <v>란토파즈</v>
          </cell>
          <cell r="R95" t="str">
            <v>SISSI</v>
          </cell>
          <cell r="S95" t="str">
            <v>더컴퍼니</v>
          </cell>
        </row>
        <row r="96">
          <cell r="A96" t="str">
            <v>랑새</v>
          </cell>
          <cell r="B96" t="str">
            <v>랑새</v>
          </cell>
          <cell r="R96" t="str">
            <v>SISSI</v>
          </cell>
          <cell r="S96" t="str">
            <v>더컴퍼니</v>
          </cell>
        </row>
        <row r="97">
          <cell r="A97" t="str">
            <v>레드트러블</v>
          </cell>
          <cell r="B97" t="str">
            <v>레드트러블</v>
          </cell>
          <cell r="R97" t="str">
            <v>sJessi</v>
          </cell>
          <cell r="S97" t="str">
            <v>더컴퍼니</v>
          </cell>
        </row>
        <row r="98">
          <cell r="A98" t="str">
            <v>레미세라</v>
          </cell>
          <cell r="B98" t="str">
            <v>리세마라</v>
          </cell>
          <cell r="R98" t="str">
            <v>sJessi</v>
          </cell>
          <cell r="S98" t="str">
            <v>더컴퍼니</v>
          </cell>
        </row>
        <row r="99">
          <cell r="A99" t="str">
            <v>루이세</v>
          </cell>
          <cell r="B99" t="str">
            <v>루이세</v>
          </cell>
          <cell r="R99" t="str">
            <v>sJessi</v>
          </cell>
          <cell r="S99" t="str">
            <v>더컴퍼니</v>
          </cell>
        </row>
        <row r="100">
          <cell r="A100" t="str">
            <v>리세마라</v>
          </cell>
          <cell r="B100" t="str">
            <v>리세마라</v>
          </cell>
          <cell r="R100" t="str">
            <v>sJessi</v>
          </cell>
          <cell r="S100" t="str">
            <v>더컴퍼니</v>
          </cell>
        </row>
        <row r="101">
          <cell r="A101" t="str">
            <v>마뇽</v>
          </cell>
          <cell r="B101" t="str">
            <v>마뇽</v>
          </cell>
          <cell r="R101" t="str">
            <v>sJessi</v>
          </cell>
          <cell r="S101" t="str">
            <v>더컴퍼니</v>
          </cell>
        </row>
        <row r="102">
          <cell r="A102" t="str">
            <v>마북명</v>
          </cell>
          <cell r="B102" t="str">
            <v>제외</v>
          </cell>
          <cell r="R102" t="str">
            <v>sJessi</v>
          </cell>
          <cell r="S102" t="str">
            <v>더컴퍼니</v>
          </cell>
        </row>
        <row r="103">
          <cell r="A103" t="str">
            <v>마용출</v>
          </cell>
          <cell r="B103" t="str">
            <v>마용출</v>
          </cell>
          <cell r="R103" t="str">
            <v>sJessi</v>
          </cell>
          <cell r="S103" t="str">
            <v>더컴퍼니</v>
          </cell>
        </row>
        <row r="104">
          <cell r="A104" t="str">
            <v>마지막 도전</v>
          </cell>
          <cell r="B104" t="str">
            <v>프레인</v>
          </cell>
          <cell r="R104" t="str">
            <v>sJessi</v>
          </cell>
          <cell r="S104" t="str">
            <v>더컴퍼니</v>
          </cell>
        </row>
        <row r="105">
          <cell r="A105" t="str">
            <v>만렙도끼</v>
          </cell>
          <cell r="B105" t="str">
            <v>만렙도끼</v>
          </cell>
          <cell r="R105" t="str">
            <v>sJessi</v>
          </cell>
          <cell r="S105" t="str">
            <v>더컴퍼니</v>
          </cell>
        </row>
        <row r="106">
          <cell r="A106" t="str">
            <v>맑은물</v>
          </cell>
          <cell r="B106" t="str">
            <v>맑은물로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맑은물로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망나니개</v>
          </cell>
          <cell r="B108" t="str">
            <v>망나니개</v>
          </cell>
          <cell r="R108" t="str">
            <v>sJessi</v>
          </cell>
          <cell r="S108" t="str">
            <v>더컴퍼니</v>
          </cell>
        </row>
        <row r="109">
          <cell r="A109" t="str">
            <v>망북</v>
          </cell>
          <cell r="B109" t="str">
            <v>제외</v>
          </cell>
          <cell r="R109" t="str">
            <v>sJessi</v>
          </cell>
          <cell r="S109" t="str">
            <v>더컴퍼니</v>
          </cell>
        </row>
        <row r="110">
          <cell r="A110" t="str">
            <v>먼나무</v>
          </cell>
          <cell r="B110" t="str">
            <v>먼나무</v>
          </cell>
          <cell r="R110" t="str">
            <v>sJessi</v>
          </cell>
          <cell r="S110" t="str">
            <v>더컴퍼니</v>
          </cell>
        </row>
        <row r="111">
          <cell r="A111" t="str">
            <v>모리미</v>
          </cell>
          <cell r="B111" t="str">
            <v>모리미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모리미J</v>
          </cell>
          <cell r="B112" t="str">
            <v>모리미J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모험왕선우</v>
          </cell>
          <cell r="B113" t="str">
            <v>모험왕선우</v>
          </cell>
          <cell r="R113" t="str">
            <v>강산</v>
          </cell>
          <cell r="S113" t="str">
            <v>에필로그</v>
          </cell>
        </row>
        <row r="114">
          <cell r="A114" t="str">
            <v>목화커피</v>
          </cell>
          <cell r="B114" t="str">
            <v>목화커피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몸서리</v>
          </cell>
          <cell r="B116" t="str">
            <v>몸서리</v>
          </cell>
          <cell r="R116" t="str">
            <v>강산</v>
          </cell>
          <cell r="S116" t="str">
            <v>에필로그</v>
          </cell>
        </row>
        <row r="117">
          <cell r="A117" t="str">
            <v>무성매직</v>
          </cell>
          <cell r="B117" t="str">
            <v>무성매직</v>
          </cell>
          <cell r="R117" t="str">
            <v>강산</v>
          </cell>
          <cell r="S117" t="str">
            <v>에필로그</v>
          </cell>
        </row>
        <row r="118">
          <cell r="A118" t="str">
            <v>무장</v>
          </cell>
          <cell r="B118" t="str">
            <v>무장</v>
          </cell>
          <cell r="R118" t="str">
            <v>강산</v>
          </cell>
          <cell r="S118" t="str">
            <v>에필로그</v>
          </cell>
        </row>
        <row r="119">
          <cell r="A119" t="str">
            <v>무장 (2)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문스톤</v>
          </cell>
          <cell r="B120" t="str">
            <v>문스톤</v>
          </cell>
          <cell r="R120" t="str">
            <v>강산</v>
          </cell>
          <cell r="S120" t="str">
            <v>에필로그</v>
          </cell>
        </row>
        <row r="121">
          <cell r="A121" t="str">
            <v>미나세 치호</v>
          </cell>
          <cell r="B121" t="str">
            <v>제외</v>
          </cell>
          <cell r="R121" t="str">
            <v>강산</v>
          </cell>
          <cell r="S121" t="str">
            <v>에필로그</v>
          </cell>
        </row>
        <row r="122">
          <cell r="A122" t="str">
            <v>밀리오리지널</v>
          </cell>
          <cell r="B122" t="str">
            <v>밀리</v>
          </cell>
          <cell r="R122" t="str">
            <v>강산</v>
          </cell>
          <cell r="S122" t="str">
            <v>에필로그</v>
          </cell>
        </row>
        <row r="123">
          <cell r="A123" t="str">
            <v>밀리의 서재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밈스</v>
          </cell>
          <cell r="B125" t="str">
            <v>밈스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바나바다</v>
          </cell>
          <cell r="B126" t="str">
            <v>바나바다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박도아</v>
          </cell>
          <cell r="B127" t="str">
            <v>박도아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발상</v>
          </cell>
          <cell r="B129" t="str">
            <v>발상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방울마마</v>
          </cell>
          <cell r="B130" t="str">
            <v>방울마마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배운만덕</v>
          </cell>
          <cell r="B131" t="str">
            <v>배운만덕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백열음</v>
          </cell>
          <cell r="B132" t="str">
            <v>백열음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백일하</v>
          </cell>
          <cell r="B133" t="str">
            <v>백일하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벗우</v>
          </cell>
          <cell r="B134" t="str">
            <v>벗우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봄별해</v>
          </cell>
          <cell r="B135" t="str">
            <v>봄별해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부엉이콩</v>
          </cell>
          <cell r="B136" t="str">
            <v>부엉이콩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불고기자리</v>
          </cell>
          <cell r="B137" t="str">
            <v>불고기자리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붕어빵</v>
          </cell>
          <cell r="B138" t="str">
            <v>붕어빵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블 루 스 카 이</v>
          </cell>
          <cell r="B139" t="str">
            <v>블 루 스 카 이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블라이스</v>
          </cell>
          <cell r="B140" t="str">
            <v>블라이스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블랙커피</v>
          </cell>
          <cell r="B141" t="str">
            <v>블랙커피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블루스카이</v>
          </cell>
          <cell r="B142" t="str">
            <v>블 루 스 카 이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비고</v>
          </cell>
          <cell r="B143" t="str">
            <v>비고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빡선생</v>
          </cell>
          <cell r="B144" t="str">
            <v>빡선생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빨강뽀뽀</v>
          </cell>
          <cell r="B145" t="str">
            <v>빨강뽀뽀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빵양이</v>
          </cell>
          <cell r="B146" t="str">
            <v>빵양이</v>
          </cell>
          <cell r="R146" t="str">
            <v>강산(江山)</v>
          </cell>
          <cell r="S146" t="str">
            <v>에필로그</v>
          </cell>
        </row>
        <row r="147">
          <cell r="A147" t="str">
            <v>사지현</v>
          </cell>
          <cell r="B147" t="str">
            <v>사지현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사틴</v>
          </cell>
          <cell r="B148" t="str">
            <v>더컴퍼니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새우깡조아</v>
          </cell>
          <cell r="B149" t="str">
            <v>새우깡조아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서강후</v>
          </cell>
          <cell r="B150" t="str">
            <v>서강후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서도연</v>
          </cell>
          <cell r="B151" t="str">
            <v>서도연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설화객잔 무장</v>
          </cell>
          <cell r="B152" t="str">
            <v>무장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설화객잔-무장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세상</v>
          </cell>
          <cell r="B154" t="str">
            <v>세상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세상1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세어</v>
          </cell>
          <cell r="B156" t="str">
            <v>세어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세움</v>
          </cell>
          <cell r="B157" t="str">
            <v>세움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세히</v>
          </cell>
          <cell r="B158" t="str">
            <v>세히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셔틀</v>
          </cell>
          <cell r="B159" t="str">
            <v>셔틀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손영목</v>
          </cell>
          <cell r="B160" t="str">
            <v>손영목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솜목화</v>
          </cell>
          <cell r="B161" t="str">
            <v>솜목화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쇠렌센</v>
          </cell>
          <cell r="B162" t="str">
            <v>쇠렌센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수레국화꽃말</v>
          </cell>
          <cell r="B163" t="str">
            <v>수레국화꽃말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수정과</v>
          </cell>
          <cell r="B164" t="str">
            <v>컨텐츠헤라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쉬즈노블</v>
          </cell>
          <cell r="B165" t="str">
            <v>더컴퍼니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스내치</v>
          </cell>
          <cell r="B166" t="str">
            <v>스내치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스토리숲</v>
          </cell>
          <cell r="B167" t="str">
            <v>스토리숲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스토리아크</v>
          </cell>
          <cell r="B168" t="str">
            <v>스토리아크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스토리위드</v>
          </cell>
          <cell r="B169" t="str">
            <v>스토리위드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스토리위즈</v>
          </cell>
          <cell r="B170" t="str">
            <v>스토리위즈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시계태엽오란씨</v>
          </cell>
          <cell r="B171" t="str">
            <v>시계태엽오란씨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시무</v>
          </cell>
          <cell r="B172" t="str">
            <v>제외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시무(蒔舞)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쏘삭쏘삭</v>
          </cell>
          <cell r="B174" t="str">
            <v>쏘삭쏘삭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아라시야마</v>
          </cell>
          <cell r="B175" t="str">
            <v>제외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아슈크림</v>
          </cell>
          <cell r="B176" t="str">
            <v>아슈크림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아이리스</v>
          </cell>
          <cell r="B177" t="str">
            <v>아이리스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아크스튜디오</v>
          </cell>
          <cell r="B178" t="str">
            <v>스토리아크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아타락시아</v>
          </cell>
          <cell r="B179" t="str">
            <v>아타락시아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알랙스</v>
          </cell>
          <cell r="B180" t="str">
            <v>알랙스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양이율</v>
          </cell>
          <cell r="B181" t="str">
            <v>양이율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에피</v>
          </cell>
          <cell r="B182" t="str">
            <v>에피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에필로그</v>
          </cell>
          <cell r="B183" t="str">
            <v>에필로그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엘리신</v>
          </cell>
          <cell r="B184" t="str">
            <v>엘리신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예로나</v>
          </cell>
          <cell r="B185" t="str">
            <v>예로나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온서</v>
          </cell>
          <cell r="B186" t="str">
            <v>온서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온서1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왕십리글쟁이</v>
          </cell>
          <cell r="B188" t="str">
            <v>왕십리글쟁이</v>
          </cell>
          <cell r="R188" t="str">
            <v>강산(江山)</v>
          </cell>
          <cell r="S188" t="str">
            <v>에필로그</v>
          </cell>
        </row>
        <row r="189">
          <cell r="A189" t="str">
            <v>羽宸寰(Uchenhu),林珮瑜(Lin Peiyu)</v>
          </cell>
          <cell r="B189" t="str">
            <v>제외</v>
          </cell>
          <cell r="R189" t="str">
            <v>강산(江山)</v>
          </cell>
          <cell r="S189" t="str">
            <v>에필로그</v>
          </cell>
        </row>
        <row r="190">
          <cell r="A190" t="str">
            <v>울트라미디어</v>
          </cell>
          <cell r="B190" t="str">
            <v>울트라미디어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원기공장</v>
          </cell>
          <cell r="B191" t="str">
            <v>제외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윈델</v>
          </cell>
          <cell r="B192" t="str">
            <v>윈델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유하영</v>
          </cell>
          <cell r="B193" t="str">
            <v>유하영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윤비밀</v>
          </cell>
          <cell r="B194" t="str">
            <v>윤비밀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은목서</v>
          </cell>
          <cell r="B195" t="str">
            <v>꽃잠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은지유</v>
          </cell>
          <cell r="B196" t="str">
            <v>은지유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이다겸</v>
          </cell>
          <cell r="B197" t="str">
            <v>더컴퍼니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이동열</v>
          </cell>
          <cell r="B198" t="str">
            <v>이동열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이로세</v>
          </cell>
          <cell r="B199" t="str">
            <v>이로세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이리안</v>
          </cell>
          <cell r="B200" t="str">
            <v>이리안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이린비</v>
          </cell>
          <cell r="B201" t="str">
            <v>이린비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이삼세&amp;자견</v>
          </cell>
          <cell r="B202" t="str">
            <v>제외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이상윤</v>
          </cell>
          <cell r="B203" t="str">
            <v>이상윤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이준영</v>
          </cell>
          <cell r="B204" t="str">
            <v>이준영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이한애비</v>
          </cell>
          <cell r="B205" t="str">
            <v>이한애비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일본IB</v>
          </cell>
          <cell r="B206" t="str">
            <v>제외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임영기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자이오</v>
          </cell>
          <cell r="B208" t="str">
            <v>스토리아크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장유진</v>
          </cell>
          <cell r="B209" t="str">
            <v>청빙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전여린</v>
          </cell>
          <cell r="B210" t="str">
            <v>전여린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전혁</v>
          </cell>
          <cell r="B211" t="str">
            <v>전혁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전혁1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주이서</v>
          </cell>
          <cell r="B213" t="str">
            <v>주이서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중국IB</v>
          </cell>
          <cell r="B214" t="str">
            <v>제외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지미신</v>
          </cell>
          <cell r="B215" t="str">
            <v>지미신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지아진</v>
          </cell>
          <cell r="B216" t="str">
            <v>지아진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진문</v>
          </cell>
          <cell r="B217" t="str">
            <v>진문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진새벽</v>
          </cell>
          <cell r="B218" t="str">
            <v>진새벽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진숙</v>
          </cell>
          <cell r="B219" t="str">
            <v>진숙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진엔터</v>
          </cell>
          <cell r="B220" t="str">
            <v>진엔터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징구빙구</v>
          </cell>
          <cell r="B221" t="str">
            <v>징구빙구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차홍주</v>
          </cell>
          <cell r="B222" t="str">
            <v>차홍주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찬동</v>
          </cell>
          <cell r="B223" t="str">
            <v>찬동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채주아</v>
          </cell>
          <cell r="B224" t="str">
            <v>채주아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청빙</v>
          </cell>
          <cell r="B225" t="str">
            <v>청빙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최도비</v>
          </cell>
          <cell r="B226" t="str">
            <v>컨텐츠헤라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 수정과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최도비,수정과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최영진(청빙)</v>
          </cell>
          <cell r="B229" t="str">
            <v>청빙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칸테츠,미나세 치호</v>
          </cell>
          <cell r="B230" t="str">
            <v>제외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캐로티</v>
          </cell>
          <cell r="B231" t="str">
            <v>캐로티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컨헤라</v>
          </cell>
          <cell r="B232" t="str">
            <v>컨텐츠헤라</v>
          </cell>
          <cell r="R232" t="str">
            <v>강산(江山)</v>
          </cell>
          <cell r="S232" t="str">
            <v>에필로그</v>
          </cell>
        </row>
        <row r="233">
          <cell r="A233" t="str">
            <v>키시모토 카즈하,아라시야마,시마하라</v>
          </cell>
          <cell r="B233" t="str">
            <v>제외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탁윤</v>
          </cell>
          <cell r="B234" t="str">
            <v>탁윤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태랑</v>
          </cell>
          <cell r="B235" t="str">
            <v>태랑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태룡(泰龍)</v>
          </cell>
          <cell r="B236" t="str">
            <v>더컴퍼니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테레자</v>
          </cell>
          <cell r="B237" t="str">
            <v>테레자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투니드엔터테인먼트</v>
          </cell>
          <cell r="B238" t="str">
            <v>투니드엔터테인먼트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틴타</v>
          </cell>
          <cell r="B239" t="str">
            <v>틴타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파란영</v>
          </cell>
          <cell r="B240" t="str">
            <v>파란영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파란코끼리</v>
          </cell>
          <cell r="B241" t="str">
            <v>파란코끼리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파인트리</v>
          </cell>
          <cell r="B244" t="str">
            <v>파인트리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 &amp; 페일핑크 &amp; 랑새 &amp; 지미신 &amp; 채주아</v>
          </cell>
          <cell r="B245" t="str">
            <v>파인트리 &amp; 페일핑크 &amp; 랑새 &amp; 지미신 &amp; 채주아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판무림3(로드오브머니)</v>
          </cell>
          <cell r="B246" t="str">
            <v>무장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퍼리딩딩</v>
          </cell>
          <cell r="B247" t="str">
            <v>퍼리딩딩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퍼플캐롯</v>
          </cell>
          <cell r="B248" t="str">
            <v>퍼플캐롯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펌킨몬</v>
          </cell>
          <cell r="B249" t="str">
            <v>펌킨몬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페일핑크</v>
          </cell>
          <cell r="B250" t="str">
            <v>페일핑크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폴딩</v>
          </cell>
          <cell r="B251" t="str">
            <v>폴딩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프레인</v>
          </cell>
          <cell r="B252" t="str">
            <v>프레인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피모</v>
          </cell>
          <cell r="B253" t="str">
            <v>더컴퍼니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하이후</v>
          </cell>
          <cell r="B254" t="str">
            <v>하이후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한례</v>
          </cell>
          <cell r="B255" t="str">
            <v>한례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한보연</v>
          </cell>
          <cell r="B256" t="str">
            <v>한보연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한서나</v>
          </cell>
          <cell r="B257" t="str">
            <v>한서나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한서아</v>
          </cell>
          <cell r="B258" t="str">
            <v>한서아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해달화영</v>
          </cell>
          <cell r="B259" t="str">
            <v>해달화영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해은빛</v>
          </cell>
          <cell r="B260" t="str">
            <v>해은빛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허니레몬</v>
          </cell>
          <cell r="B261" t="str">
            <v>아이리스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헬로미니</v>
          </cell>
          <cell r="B262" t="str">
            <v>헬로미니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혜원</v>
          </cell>
          <cell r="B263" t="str">
            <v>컨텐츠헤라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홍연유</v>
          </cell>
          <cell r="B264" t="str">
            <v>홍연유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화방,망북</v>
          </cell>
          <cell r="B265" t="str">
            <v>제외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히즈노블</v>
          </cell>
          <cell r="B266" t="str">
            <v>더컴퍼니</v>
          </cell>
          <cell r="R266" t="str">
            <v>강산(江山)</v>
          </cell>
          <cell r="S266" t="str">
            <v>에필로그</v>
          </cell>
        </row>
        <row r="267">
          <cell r="A267" t="str">
            <v>웹티, 올코</v>
          </cell>
          <cell r="B267" t="str">
            <v>올콘텐츠앤브이알</v>
          </cell>
          <cell r="R267" t="str">
            <v>강산(江山)</v>
          </cell>
          <cell r="S267" t="str">
            <v>에필로그</v>
          </cell>
        </row>
        <row r="268"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182"/>
  <sheetViews>
    <sheetView tabSelected="1" zoomScale="70" zoomScaleNormal="70" workbookViewId="0">
      <selection activeCell="P17" sqref="P17"/>
    </sheetView>
  </sheetViews>
  <sheetFormatPr defaultRowHeight="17.399999999999999" x14ac:dyDescent="0.4"/>
  <cols>
    <col min="10" max="10" width="15.3984375" customWidth="1"/>
    <col min="21" max="21" width="16.09765625" customWidth="1"/>
    <col min="22" max="22" width="11.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263</v>
      </c>
      <c r="C2" t="s">
        <v>264</v>
      </c>
      <c r="D2" t="s">
        <v>64</v>
      </c>
      <c r="E2" t="s">
        <v>22</v>
      </c>
      <c r="F2" t="s">
        <v>23</v>
      </c>
      <c r="G2">
        <v>1</v>
      </c>
      <c r="H2">
        <v>9791166300691</v>
      </c>
      <c r="I2" t="s">
        <v>24</v>
      </c>
      <c r="J2" t="s">
        <v>152</v>
      </c>
      <c r="K2" t="s">
        <v>119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tr">
        <f>IF(ISERROR(VLOOKUP(K2,[1]작가별정산률!$R:$S,2,0)),"스토리위즈",VLOOKUP(K2,[1]작가별정산률!$R:$S,2,0))</f>
        <v>스토리위즈</v>
      </c>
      <c r="W2" s="7" t="str">
        <f>IF(V2="스토리위즈",VLOOKUP(K2,[1]작가별정산률!$A:$B,2,0),V2)</f>
        <v>김광수</v>
      </c>
    </row>
    <row r="3" spans="1:23" x14ac:dyDescent="0.4">
      <c r="A3" t="s">
        <v>262</v>
      </c>
      <c r="B3" t="s">
        <v>263</v>
      </c>
      <c r="C3" t="s">
        <v>265</v>
      </c>
      <c r="D3" t="s">
        <v>21</v>
      </c>
      <c r="E3" t="s">
        <v>22</v>
      </c>
      <c r="F3" t="s">
        <v>23</v>
      </c>
      <c r="G3">
        <v>1</v>
      </c>
      <c r="H3">
        <v>9791166300103</v>
      </c>
      <c r="I3" t="s">
        <v>24</v>
      </c>
      <c r="J3" t="s">
        <v>120</v>
      </c>
      <c r="K3" t="s">
        <v>119</v>
      </c>
      <c r="L3" t="s">
        <v>27</v>
      </c>
      <c r="M3" s="3">
        <v>3200</v>
      </c>
      <c r="N3" t="s">
        <v>27</v>
      </c>
      <c r="O3" s="3">
        <v>3200</v>
      </c>
      <c r="P3" s="3">
        <v>3200</v>
      </c>
      <c r="Q3" t="s">
        <v>30</v>
      </c>
      <c r="R3" s="2">
        <v>0.7</v>
      </c>
      <c r="S3" s="3">
        <v>2240</v>
      </c>
      <c r="T3" t="s">
        <v>27</v>
      </c>
      <c r="U3" s="3">
        <v>2240</v>
      </c>
      <c r="V3" s="7" t="str">
        <f>IF(ISERROR(VLOOKUP(K3,[1]작가별정산률!$R:$S,2,0)),"스토리위즈",VLOOKUP(K3,[1]작가별정산률!$R:$S,2,0))</f>
        <v>스토리위즈</v>
      </c>
      <c r="W3" s="7" t="str">
        <f>IF(V3="스토리위즈",VLOOKUP(K3,[1]작가별정산률!$A:$B,2,0),V3)</f>
        <v>김광수</v>
      </c>
    </row>
    <row r="4" spans="1:23" x14ac:dyDescent="0.4">
      <c r="A4" t="s">
        <v>262</v>
      </c>
      <c r="B4" t="s">
        <v>263</v>
      </c>
      <c r="C4" t="s">
        <v>266</v>
      </c>
      <c r="D4" t="s">
        <v>64</v>
      </c>
      <c r="E4" t="s">
        <v>22</v>
      </c>
      <c r="F4" t="s">
        <v>23</v>
      </c>
      <c r="G4">
        <v>1</v>
      </c>
      <c r="H4">
        <v>9791166300196</v>
      </c>
      <c r="I4" t="s">
        <v>24</v>
      </c>
      <c r="J4" t="s">
        <v>128</v>
      </c>
      <c r="K4" t="s">
        <v>119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  <c r="V4" s="7" t="str">
        <f>IF(ISERROR(VLOOKUP(K4,[1]작가별정산률!$R:$S,2,0)),"스토리위즈",VLOOKUP(K4,[1]작가별정산률!$R:$S,2,0))</f>
        <v>스토리위즈</v>
      </c>
      <c r="W4" s="7" t="str">
        <f>IF(V4="스토리위즈",VLOOKUP(K4,[1]작가별정산률!$A:$B,2,0),V4)</f>
        <v>김광수</v>
      </c>
    </row>
    <row r="5" spans="1:23" x14ac:dyDescent="0.4">
      <c r="A5" t="s">
        <v>262</v>
      </c>
      <c r="B5" t="s">
        <v>263</v>
      </c>
      <c r="C5" t="s">
        <v>267</v>
      </c>
      <c r="D5" t="s">
        <v>64</v>
      </c>
      <c r="E5" t="s">
        <v>22</v>
      </c>
      <c r="F5" t="s">
        <v>23</v>
      </c>
      <c r="G5">
        <v>1</v>
      </c>
      <c r="H5">
        <v>9791166300462</v>
      </c>
      <c r="I5" t="s">
        <v>24</v>
      </c>
      <c r="J5" t="s">
        <v>144</v>
      </c>
      <c r="K5" t="s">
        <v>119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  <c r="V5" s="7" t="str">
        <f>IF(ISERROR(VLOOKUP(K5,[1]작가별정산률!$R:$S,2,0)),"스토리위즈",VLOOKUP(K5,[1]작가별정산률!$R:$S,2,0))</f>
        <v>스토리위즈</v>
      </c>
      <c r="W5" s="7" t="str">
        <f>IF(V5="스토리위즈",VLOOKUP(K5,[1]작가별정산률!$A:$B,2,0),V5)</f>
        <v>김광수</v>
      </c>
    </row>
    <row r="6" spans="1:23" x14ac:dyDescent="0.4">
      <c r="A6" t="s">
        <v>262</v>
      </c>
      <c r="B6" t="s">
        <v>263</v>
      </c>
      <c r="C6" t="s">
        <v>268</v>
      </c>
      <c r="D6" t="s">
        <v>64</v>
      </c>
      <c r="E6" t="s">
        <v>22</v>
      </c>
      <c r="F6" t="s">
        <v>23</v>
      </c>
      <c r="G6">
        <v>1</v>
      </c>
      <c r="H6">
        <v>9791166300103</v>
      </c>
      <c r="I6" t="s">
        <v>24</v>
      </c>
      <c r="J6" t="s">
        <v>120</v>
      </c>
      <c r="K6" t="s">
        <v>119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tr">
        <f>IF(ISERROR(VLOOKUP(K6,[1]작가별정산률!$R:$S,2,0)),"스토리위즈",VLOOKUP(K6,[1]작가별정산률!$R:$S,2,0))</f>
        <v>스토리위즈</v>
      </c>
      <c r="W6" s="7" t="str">
        <f>IF(V6="스토리위즈",VLOOKUP(K6,[1]작가별정산률!$A:$B,2,0),V6)</f>
        <v>김광수</v>
      </c>
    </row>
    <row r="7" spans="1:23" x14ac:dyDescent="0.4">
      <c r="A7" t="s">
        <v>262</v>
      </c>
      <c r="B7" t="s">
        <v>263</v>
      </c>
      <c r="C7" t="s">
        <v>269</v>
      </c>
      <c r="D7" t="s">
        <v>64</v>
      </c>
      <c r="E7" t="s">
        <v>22</v>
      </c>
      <c r="F7" t="s">
        <v>23</v>
      </c>
      <c r="G7">
        <v>1</v>
      </c>
      <c r="H7">
        <v>9791166300271</v>
      </c>
      <c r="I7" t="s">
        <v>24</v>
      </c>
      <c r="J7" t="s">
        <v>136</v>
      </c>
      <c r="K7" t="s">
        <v>119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  <c r="V7" s="7" t="str">
        <f>IF(ISERROR(VLOOKUP(K7,[1]작가별정산률!$R:$S,2,0)),"스토리위즈",VLOOKUP(K7,[1]작가별정산률!$R:$S,2,0))</f>
        <v>스토리위즈</v>
      </c>
      <c r="W7" s="7" t="str">
        <f>IF(V7="스토리위즈",VLOOKUP(K7,[1]작가별정산률!$A:$B,2,0),V7)</f>
        <v>김광수</v>
      </c>
    </row>
    <row r="8" spans="1:23" x14ac:dyDescent="0.4">
      <c r="A8" t="s">
        <v>262</v>
      </c>
      <c r="B8" t="s">
        <v>263</v>
      </c>
      <c r="C8" t="s">
        <v>270</v>
      </c>
      <c r="D8" t="s">
        <v>21</v>
      </c>
      <c r="E8" t="s">
        <v>22</v>
      </c>
      <c r="F8" t="s">
        <v>23</v>
      </c>
      <c r="G8">
        <v>1</v>
      </c>
      <c r="H8">
        <v>9791191562286</v>
      </c>
      <c r="I8" t="s">
        <v>143</v>
      </c>
      <c r="J8" t="s">
        <v>238</v>
      </c>
      <c r="K8" t="s">
        <v>239</v>
      </c>
      <c r="L8" t="s">
        <v>27</v>
      </c>
      <c r="M8" s="3">
        <v>2000</v>
      </c>
      <c r="N8" t="s">
        <v>27</v>
      </c>
      <c r="O8" s="3">
        <v>2000</v>
      </c>
      <c r="P8" s="3">
        <v>2000</v>
      </c>
      <c r="Q8" t="s">
        <v>30</v>
      </c>
      <c r="R8" s="2">
        <v>0.7</v>
      </c>
      <c r="S8" s="3">
        <v>1400</v>
      </c>
      <c r="T8" t="s">
        <v>27</v>
      </c>
      <c r="U8" s="3">
        <v>1400</v>
      </c>
      <c r="V8" s="7" t="str">
        <f>IF(ISERROR(VLOOKUP(K8,[1]작가별정산률!$R:$S,2,0)),"스토리위즈",VLOOKUP(K8,[1]작가별정산률!$R:$S,2,0))</f>
        <v>밀리의 서재</v>
      </c>
      <c r="W8" s="7" t="str">
        <f>IF(V8="스토리위즈",VLOOKUP(K8,[1]작가별정산률!$A:$B,2,0),V8)</f>
        <v>밀리의 서재</v>
      </c>
    </row>
    <row r="9" spans="1:23" x14ac:dyDescent="0.4">
      <c r="A9" t="s">
        <v>262</v>
      </c>
      <c r="B9" t="s">
        <v>263</v>
      </c>
      <c r="C9" t="s">
        <v>271</v>
      </c>
      <c r="D9" t="s">
        <v>64</v>
      </c>
      <c r="E9" t="s">
        <v>22</v>
      </c>
      <c r="F9" t="s">
        <v>23</v>
      </c>
      <c r="G9">
        <v>1</v>
      </c>
      <c r="H9">
        <v>9791166300264</v>
      </c>
      <c r="I9" t="s">
        <v>24</v>
      </c>
      <c r="J9" t="s">
        <v>135</v>
      </c>
      <c r="K9" t="s">
        <v>119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  <c r="V9" s="7" t="str">
        <f>IF(ISERROR(VLOOKUP(K9,[1]작가별정산률!$R:$S,2,0)),"스토리위즈",VLOOKUP(K9,[1]작가별정산률!$R:$S,2,0))</f>
        <v>스토리위즈</v>
      </c>
      <c r="W9" s="7" t="str">
        <f>IF(V9="스토리위즈",VLOOKUP(K9,[1]작가별정산률!$A:$B,2,0),V9)</f>
        <v>김광수</v>
      </c>
    </row>
    <row r="10" spans="1:23" x14ac:dyDescent="0.4">
      <c r="A10" t="s">
        <v>262</v>
      </c>
      <c r="B10" t="s">
        <v>263</v>
      </c>
      <c r="C10" t="s">
        <v>272</v>
      </c>
      <c r="D10" t="s">
        <v>64</v>
      </c>
      <c r="E10" t="s">
        <v>22</v>
      </c>
      <c r="F10" t="s">
        <v>23</v>
      </c>
      <c r="G10">
        <v>1</v>
      </c>
      <c r="H10">
        <v>9791166300592</v>
      </c>
      <c r="I10" t="s">
        <v>24</v>
      </c>
      <c r="J10" t="s">
        <v>161</v>
      </c>
      <c r="K10" t="s">
        <v>119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  <c r="V10" s="7" t="str">
        <f>IF(ISERROR(VLOOKUP(K10,[1]작가별정산률!$R:$S,2,0)),"스토리위즈",VLOOKUP(K10,[1]작가별정산률!$R:$S,2,0))</f>
        <v>스토리위즈</v>
      </c>
      <c r="W10" s="7" t="str">
        <f>IF(V10="스토리위즈",VLOOKUP(K10,[1]작가별정산률!$A:$B,2,0),V10)</f>
        <v>김광수</v>
      </c>
    </row>
    <row r="11" spans="1:23" x14ac:dyDescent="0.4">
      <c r="A11" t="s">
        <v>262</v>
      </c>
      <c r="B11" t="s">
        <v>263</v>
      </c>
      <c r="C11" t="s">
        <v>273</v>
      </c>
      <c r="D11" t="s">
        <v>64</v>
      </c>
      <c r="E11" t="s">
        <v>22</v>
      </c>
      <c r="F11" t="s">
        <v>23</v>
      </c>
      <c r="G11">
        <v>1</v>
      </c>
      <c r="H11">
        <v>9791166300509</v>
      </c>
      <c r="I11" t="s">
        <v>24</v>
      </c>
      <c r="J11" t="s">
        <v>148</v>
      </c>
      <c r="K11" t="s">
        <v>119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7" t="str">
        <f>IF(ISERROR(VLOOKUP(K11,[1]작가별정산률!$R:$S,2,0)),"스토리위즈",VLOOKUP(K11,[1]작가별정산률!$R:$S,2,0))</f>
        <v>스토리위즈</v>
      </c>
      <c r="W11" s="7" t="str">
        <f>IF(V11="스토리위즈",VLOOKUP(K11,[1]작가별정산률!$A:$B,2,0),V11)</f>
        <v>김광수</v>
      </c>
    </row>
    <row r="12" spans="1:23" x14ac:dyDescent="0.4">
      <c r="A12" t="s">
        <v>262</v>
      </c>
      <c r="B12" t="s">
        <v>263</v>
      </c>
      <c r="C12" t="s">
        <v>274</v>
      </c>
      <c r="D12" t="s">
        <v>21</v>
      </c>
      <c r="E12" t="s">
        <v>22</v>
      </c>
      <c r="F12" t="s">
        <v>23</v>
      </c>
      <c r="G12">
        <v>1</v>
      </c>
      <c r="H12">
        <v>9791191562125</v>
      </c>
      <c r="I12" t="s">
        <v>143</v>
      </c>
      <c r="J12" t="s">
        <v>212</v>
      </c>
      <c r="K12" t="s">
        <v>213</v>
      </c>
      <c r="L12" t="s">
        <v>27</v>
      </c>
      <c r="M12" s="3">
        <v>2500</v>
      </c>
      <c r="N12" t="s">
        <v>27</v>
      </c>
      <c r="O12" s="3">
        <v>2500</v>
      </c>
      <c r="P12" s="3">
        <v>2500</v>
      </c>
      <c r="Q12" t="s">
        <v>30</v>
      </c>
      <c r="R12" s="2">
        <v>0.7</v>
      </c>
      <c r="S12" s="3">
        <v>1750</v>
      </c>
      <c r="T12" t="s">
        <v>27</v>
      </c>
      <c r="U12" s="3">
        <v>1750</v>
      </c>
      <c r="V12" s="7" t="str">
        <f>IF(ISERROR(VLOOKUP(K12,[1]작가별정산률!$R:$S,2,0)),"스토리위즈",VLOOKUP(K12,[1]작가별정산률!$R:$S,2,0))</f>
        <v>밀리의 서재</v>
      </c>
      <c r="W12" s="7" t="str">
        <f>IF(V12="스토리위즈",VLOOKUP(K12,[1]작가별정산률!$A:$B,2,0),V12)</f>
        <v>밀리의 서재</v>
      </c>
    </row>
    <row r="13" spans="1:23" x14ac:dyDescent="0.4">
      <c r="A13" t="s">
        <v>262</v>
      </c>
      <c r="B13" t="s">
        <v>263</v>
      </c>
      <c r="C13" t="s">
        <v>275</v>
      </c>
      <c r="D13" t="s">
        <v>64</v>
      </c>
      <c r="E13" t="s">
        <v>22</v>
      </c>
      <c r="F13" t="s">
        <v>23</v>
      </c>
      <c r="G13">
        <v>1</v>
      </c>
      <c r="H13">
        <v>9791166300615</v>
      </c>
      <c r="I13" t="s">
        <v>24</v>
      </c>
      <c r="J13" t="s">
        <v>163</v>
      </c>
      <c r="K13" t="s">
        <v>119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  <c r="V13" s="7" t="str">
        <f>IF(ISERROR(VLOOKUP(K13,[1]작가별정산률!$R:$S,2,0)),"스토리위즈",VLOOKUP(K13,[1]작가별정산률!$R:$S,2,0))</f>
        <v>스토리위즈</v>
      </c>
      <c r="W13" s="7" t="str">
        <f>IF(V13="스토리위즈",VLOOKUP(K13,[1]작가별정산률!$A:$B,2,0),V13)</f>
        <v>김광수</v>
      </c>
    </row>
    <row r="14" spans="1:23" x14ac:dyDescent="0.4">
      <c r="A14" t="s">
        <v>262</v>
      </c>
      <c r="B14" t="s">
        <v>263</v>
      </c>
      <c r="C14" t="s">
        <v>276</v>
      </c>
      <c r="D14" t="s">
        <v>21</v>
      </c>
      <c r="E14" t="s">
        <v>22</v>
      </c>
      <c r="F14" t="s">
        <v>23</v>
      </c>
      <c r="G14">
        <v>1</v>
      </c>
      <c r="H14">
        <v>9791191562125</v>
      </c>
      <c r="I14" t="s">
        <v>143</v>
      </c>
      <c r="J14" t="s">
        <v>212</v>
      </c>
      <c r="K14" t="s">
        <v>213</v>
      </c>
      <c r="L14" t="s">
        <v>27</v>
      </c>
      <c r="M14" s="3">
        <v>2500</v>
      </c>
      <c r="N14" t="s">
        <v>27</v>
      </c>
      <c r="O14" s="3">
        <v>2500</v>
      </c>
      <c r="P14" s="3">
        <v>2500</v>
      </c>
      <c r="Q14" t="s">
        <v>30</v>
      </c>
      <c r="R14" s="2">
        <v>0.7</v>
      </c>
      <c r="S14" s="3">
        <v>1750</v>
      </c>
      <c r="T14" t="s">
        <v>27</v>
      </c>
      <c r="U14" s="3">
        <v>1750</v>
      </c>
      <c r="V14" s="7" t="str">
        <f>IF(ISERROR(VLOOKUP(K14,[1]작가별정산률!$R:$S,2,0)),"스토리위즈",VLOOKUP(K14,[1]작가별정산률!$R:$S,2,0))</f>
        <v>밀리의 서재</v>
      </c>
      <c r="W14" s="7" t="str">
        <f>IF(V14="스토리위즈",VLOOKUP(K14,[1]작가별정산률!$A:$B,2,0),V14)</f>
        <v>밀리의 서재</v>
      </c>
    </row>
    <row r="15" spans="1:23" x14ac:dyDescent="0.4">
      <c r="A15" t="s">
        <v>262</v>
      </c>
      <c r="B15" t="s">
        <v>263</v>
      </c>
      <c r="C15" t="s">
        <v>277</v>
      </c>
      <c r="D15" t="s">
        <v>64</v>
      </c>
      <c r="E15" t="s">
        <v>22</v>
      </c>
      <c r="F15" t="s">
        <v>23</v>
      </c>
      <c r="G15">
        <v>1</v>
      </c>
      <c r="H15">
        <v>9791166061103</v>
      </c>
      <c r="I15" t="s">
        <v>24</v>
      </c>
      <c r="J15" t="s">
        <v>96</v>
      </c>
      <c r="K15" t="s">
        <v>37</v>
      </c>
      <c r="L15" t="s">
        <v>27</v>
      </c>
      <c r="M15">
        <v>900</v>
      </c>
      <c r="N15" t="s">
        <v>27</v>
      </c>
      <c r="O15">
        <v>900</v>
      </c>
      <c r="P15">
        <v>900</v>
      </c>
      <c r="Q15" t="s">
        <v>30</v>
      </c>
      <c r="R15" s="2">
        <v>0.7</v>
      </c>
      <c r="S15">
        <v>630</v>
      </c>
      <c r="T15" t="s">
        <v>27</v>
      </c>
      <c r="U15">
        <v>630</v>
      </c>
      <c r="V15" s="7" t="str">
        <f>IF(ISERROR(VLOOKUP(K15,[1]작가별정산률!$R:$S,2,0)),"스토리위즈",VLOOKUP(K15,[1]작가별정산률!$R:$S,2,0))</f>
        <v>스토리위즈</v>
      </c>
      <c r="W15" s="7" t="str">
        <f>IF(V15="스토리위즈",VLOOKUP(K15,[1]작가별정산률!$A:$B,2,0),V15)</f>
        <v>권용찬</v>
      </c>
    </row>
    <row r="16" spans="1:23" x14ac:dyDescent="0.4">
      <c r="A16" t="s">
        <v>262</v>
      </c>
      <c r="B16" t="s">
        <v>263</v>
      </c>
      <c r="C16" t="s">
        <v>278</v>
      </c>
      <c r="D16" t="s">
        <v>64</v>
      </c>
      <c r="E16" t="s">
        <v>22</v>
      </c>
      <c r="F16" t="s">
        <v>23</v>
      </c>
      <c r="G16">
        <v>1</v>
      </c>
      <c r="H16">
        <v>9791166300202</v>
      </c>
      <c r="I16" t="s">
        <v>24</v>
      </c>
      <c r="J16" t="s">
        <v>129</v>
      </c>
      <c r="K16" t="s">
        <v>119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7" t="str">
        <f>IF(ISERROR(VLOOKUP(K16,[1]작가별정산률!$R:$S,2,0)),"스토리위즈",VLOOKUP(K16,[1]작가별정산률!$R:$S,2,0))</f>
        <v>스토리위즈</v>
      </c>
      <c r="W16" s="7" t="str">
        <f>IF(V16="스토리위즈",VLOOKUP(K16,[1]작가별정산률!$A:$B,2,0),V16)</f>
        <v>김광수</v>
      </c>
    </row>
    <row r="17" spans="1:23" x14ac:dyDescent="0.4">
      <c r="A17" t="s">
        <v>262</v>
      </c>
      <c r="B17" t="s">
        <v>263</v>
      </c>
      <c r="C17" t="s">
        <v>279</v>
      </c>
      <c r="D17" t="s">
        <v>64</v>
      </c>
      <c r="E17" t="s">
        <v>22</v>
      </c>
      <c r="F17" t="s">
        <v>23</v>
      </c>
      <c r="G17">
        <v>1</v>
      </c>
      <c r="H17">
        <v>9791159283086</v>
      </c>
      <c r="I17" t="s">
        <v>24</v>
      </c>
      <c r="J17" t="s">
        <v>72</v>
      </c>
      <c r="K17" t="s">
        <v>37</v>
      </c>
      <c r="L17" t="s">
        <v>27</v>
      </c>
      <c r="M17">
        <v>900</v>
      </c>
      <c r="N17" t="s">
        <v>27</v>
      </c>
      <c r="O17">
        <v>900</v>
      </c>
      <c r="P17">
        <v>900</v>
      </c>
      <c r="Q17" t="s">
        <v>30</v>
      </c>
      <c r="R17" s="2">
        <v>0.7</v>
      </c>
      <c r="S17">
        <v>630</v>
      </c>
      <c r="T17" t="s">
        <v>27</v>
      </c>
      <c r="U17">
        <v>630</v>
      </c>
      <c r="V17" s="7" t="str">
        <f>IF(ISERROR(VLOOKUP(K17,[1]작가별정산률!$R:$S,2,0)),"스토리위즈",VLOOKUP(K17,[1]작가별정산률!$R:$S,2,0))</f>
        <v>스토리위즈</v>
      </c>
      <c r="W17" s="7" t="str">
        <f>IF(V17="스토리위즈",VLOOKUP(K17,[1]작가별정산률!$A:$B,2,0),V17)</f>
        <v>권용찬</v>
      </c>
    </row>
    <row r="18" spans="1:23" x14ac:dyDescent="0.4">
      <c r="A18" t="s">
        <v>262</v>
      </c>
      <c r="B18" t="s">
        <v>263</v>
      </c>
      <c r="C18" t="s">
        <v>280</v>
      </c>
      <c r="D18" t="s">
        <v>64</v>
      </c>
      <c r="E18" t="s">
        <v>22</v>
      </c>
      <c r="F18" t="s">
        <v>23</v>
      </c>
      <c r="G18">
        <v>1</v>
      </c>
      <c r="H18">
        <v>9791166300523</v>
      </c>
      <c r="I18" t="s">
        <v>24</v>
      </c>
      <c r="J18" t="s">
        <v>150</v>
      </c>
      <c r="K18" t="s">
        <v>119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  <c r="V18" s="7" t="str">
        <f>IF(ISERROR(VLOOKUP(K18,[1]작가별정산률!$R:$S,2,0)),"스토리위즈",VLOOKUP(K18,[1]작가별정산률!$R:$S,2,0))</f>
        <v>스토리위즈</v>
      </c>
      <c r="W18" s="7" t="str">
        <f>IF(V18="스토리위즈",VLOOKUP(K18,[1]작가별정산률!$A:$B,2,0),V18)</f>
        <v>김광수</v>
      </c>
    </row>
    <row r="19" spans="1:23" x14ac:dyDescent="0.4">
      <c r="A19" t="s">
        <v>262</v>
      </c>
      <c r="B19" t="s">
        <v>263</v>
      </c>
      <c r="C19" t="s">
        <v>281</v>
      </c>
      <c r="D19" t="s">
        <v>64</v>
      </c>
      <c r="E19" t="s">
        <v>22</v>
      </c>
      <c r="F19" t="s">
        <v>23</v>
      </c>
      <c r="G19">
        <v>1</v>
      </c>
      <c r="H19">
        <v>9791166300271</v>
      </c>
      <c r="I19" t="s">
        <v>24</v>
      </c>
      <c r="J19" t="s">
        <v>136</v>
      </c>
      <c r="K19" t="s">
        <v>119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7" t="str">
        <f>IF(ISERROR(VLOOKUP(K19,[1]작가별정산률!$R:$S,2,0)),"스토리위즈",VLOOKUP(K19,[1]작가별정산률!$R:$S,2,0))</f>
        <v>스토리위즈</v>
      </c>
      <c r="W19" s="7" t="str">
        <f>IF(V19="스토리위즈",VLOOKUP(K19,[1]작가별정산률!$A:$B,2,0),V19)</f>
        <v>김광수</v>
      </c>
    </row>
    <row r="20" spans="1:23" x14ac:dyDescent="0.4">
      <c r="A20" t="s">
        <v>262</v>
      </c>
      <c r="B20" t="s">
        <v>263</v>
      </c>
      <c r="C20" t="s">
        <v>282</v>
      </c>
      <c r="D20" t="s">
        <v>64</v>
      </c>
      <c r="E20" t="s">
        <v>22</v>
      </c>
      <c r="F20" t="s">
        <v>23</v>
      </c>
      <c r="G20">
        <v>1</v>
      </c>
      <c r="H20">
        <v>9791166300622</v>
      </c>
      <c r="I20" t="s">
        <v>24</v>
      </c>
      <c r="J20" t="s">
        <v>164</v>
      </c>
      <c r="K20" t="s">
        <v>119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  <c r="V20" s="7" t="str">
        <f>IF(ISERROR(VLOOKUP(K20,[1]작가별정산률!$R:$S,2,0)),"스토리위즈",VLOOKUP(K20,[1]작가별정산률!$R:$S,2,0))</f>
        <v>스토리위즈</v>
      </c>
      <c r="W20" s="7" t="str">
        <f>IF(V20="스토리위즈",VLOOKUP(K20,[1]작가별정산률!$A:$B,2,0),V20)</f>
        <v>김광수</v>
      </c>
    </row>
    <row r="21" spans="1:23" x14ac:dyDescent="0.4">
      <c r="A21" t="s">
        <v>262</v>
      </c>
      <c r="B21" t="s">
        <v>263</v>
      </c>
      <c r="C21" t="s">
        <v>283</v>
      </c>
      <c r="D21" t="s">
        <v>21</v>
      </c>
      <c r="E21" t="s">
        <v>22</v>
      </c>
      <c r="F21" t="s">
        <v>23</v>
      </c>
      <c r="G21">
        <v>1</v>
      </c>
      <c r="H21">
        <v>9791166300110</v>
      </c>
      <c r="I21" t="s">
        <v>24</v>
      </c>
      <c r="J21" t="s">
        <v>121</v>
      </c>
      <c r="K21" t="s">
        <v>119</v>
      </c>
      <c r="L21" t="s">
        <v>27</v>
      </c>
      <c r="M21" s="3">
        <v>3200</v>
      </c>
      <c r="N21" t="s">
        <v>27</v>
      </c>
      <c r="O21" s="3">
        <v>3200</v>
      </c>
      <c r="P21" s="3">
        <v>3200</v>
      </c>
      <c r="Q21" t="s">
        <v>30</v>
      </c>
      <c r="R21" s="2">
        <v>0.7</v>
      </c>
      <c r="S21" s="3">
        <v>2240</v>
      </c>
      <c r="T21" t="s">
        <v>27</v>
      </c>
      <c r="U21" s="3">
        <v>2240</v>
      </c>
      <c r="V21" s="7" t="str">
        <f>IF(ISERROR(VLOOKUP(K21,[1]작가별정산률!$R:$S,2,0)),"스토리위즈",VLOOKUP(K21,[1]작가별정산률!$R:$S,2,0))</f>
        <v>스토리위즈</v>
      </c>
      <c r="W21" s="7" t="str">
        <f>IF(V21="스토리위즈",VLOOKUP(K21,[1]작가별정산률!$A:$B,2,0),V21)</f>
        <v>김광수</v>
      </c>
    </row>
    <row r="22" spans="1:23" x14ac:dyDescent="0.4">
      <c r="A22" t="s">
        <v>262</v>
      </c>
      <c r="B22" t="s">
        <v>263</v>
      </c>
      <c r="C22" t="s">
        <v>284</v>
      </c>
      <c r="D22" t="s">
        <v>64</v>
      </c>
      <c r="E22" t="s">
        <v>22</v>
      </c>
      <c r="F22" t="s">
        <v>23</v>
      </c>
      <c r="G22">
        <v>1</v>
      </c>
      <c r="H22">
        <v>9791166300561</v>
      </c>
      <c r="I22" t="s">
        <v>24</v>
      </c>
      <c r="J22" t="s">
        <v>158</v>
      </c>
      <c r="K22" t="s">
        <v>119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  <c r="V22" s="7" t="str">
        <f>IF(ISERROR(VLOOKUP(K22,[1]작가별정산률!$R:$S,2,0)),"스토리위즈",VLOOKUP(K22,[1]작가별정산률!$R:$S,2,0))</f>
        <v>스토리위즈</v>
      </c>
      <c r="W22" s="7" t="str">
        <f>IF(V22="스토리위즈",VLOOKUP(K22,[1]작가별정산률!$A:$B,2,0),V22)</f>
        <v>김광수</v>
      </c>
    </row>
    <row r="23" spans="1:23" x14ac:dyDescent="0.4">
      <c r="A23" t="s">
        <v>262</v>
      </c>
      <c r="B23" t="s">
        <v>263</v>
      </c>
      <c r="C23" t="s">
        <v>285</v>
      </c>
      <c r="D23" t="s">
        <v>64</v>
      </c>
      <c r="E23" t="s">
        <v>22</v>
      </c>
      <c r="F23" t="s">
        <v>23</v>
      </c>
      <c r="G23">
        <v>1</v>
      </c>
      <c r="H23">
        <v>9791166300257</v>
      </c>
      <c r="I23" t="s">
        <v>24</v>
      </c>
      <c r="J23" t="s">
        <v>134</v>
      </c>
      <c r="K23" t="s">
        <v>119</v>
      </c>
      <c r="L23" t="s">
        <v>27</v>
      </c>
      <c r="M23">
        <v>630</v>
      </c>
      <c r="N23" t="s">
        <v>27</v>
      </c>
      <c r="O23">
        <v>630</v>
      </c>
      <c r="P23">
        <v>630</v>
      </c>
      <c r="Q23" t="s">
        <v>30</v>
      </c>
      <c r="R23" s="2">
        <v>0.7</v>
      </c>
      <c r="S23">
        <v>441</v>
      </c>
      <c r="T23" t="s">
        <v>27</v>
      </c>
      <c r="U23">
        <v>441</v>
      </c>
      <c r="V23" s="7" t="str">
        <f>IF(ISERROR(VLOOKUP(K23,[1]작가별정산률!$R:$S,2,0)),"스토리위즈",VLOOKUP(K23,[1]작가별정산률!$R:$S,2,0))</f>
        <v>스토리위즈</v>
      </c>
      <c r="W23" s="7" t="str">
        <f>IF(V23="스토리위즈",VLOOKUP(K23,[1]작가별정산률!$A:$B,2,0),V23)</f>
        <v>김광수</v>
      </c>
    </row>
    <row r="24" spans="1:23" x14ac:dyDescent="0.4">
      <c r="A24" t="s">
        <v>262</v>
      </c>
      <c r="B24" t="s">
        <v>263</v>
      </c>
      <c r="C24" t="s">
        <v>286</v>
      </c>
      <c r="D24" t="s">
        <v>21</v>
      </c>
      <c r="E24" t="s">
        <v>22</v>
      </c>
      <c r="F24" t="s">
        <v>23</v>
      </c>
      <c r="G24">
        <v>1</v>
      </c>
      <c r="H24">
        <v>9791197098444</v>
      </c>
      <c r="I24" t="s">
        <v>24</v>
      </c>
      <c r="J24" t="s">
        <v>259</v>
      </c>
      <c r="K24" t="s">
        <v>37</v>
      </c>
      <c r="L24" t="s">
        <v>27</v>
      </c>
      <c r="M24" s="3">
        <v>3200</v>
      </c>
      <c r="N24" t="s">
        <v>27</v>
      </c>
      <c r="O24" s="3">
        <v>3200</v>
      </c>
      <c r="P24" s="3">
        <v>3200</v>
      </c>
      <c r="Q24" t="s">
        <v>30</v>
      </c>
      <c r="R24" s="2">
        <v>0.7</v>
      </c>
      <c r="S24" s="3">
        <v>2240</v>
      </c>
      <c r="T24" t="s">
        <v>27</v>
      </c>
      <c r="U24" s="3">
        <v>2240</v>
      </c>
      <c r="V24" s="7" t="str">
        <f>IF(ISERROR(VLOOKUP(K24,[1]작가별정산률!$R:$S,2,0)),"스토리위즈",VLOOKUP(K24,[1]작가별정산률!$R:$S,2,0))</f>
        <v>스토리위즈</v>
      </c>
      <c r="W24" s="7" t="str">
        <f>IF(V24="스토리위즈",VLOOKUP(K24,[1]작가별정산률!$A:$B,2,0),V24)</f>
        <v>권용찬</v>
      </c>
    </row>
    <row r="25" spans="1:23" x14ac:dyDescent="0.4">
      <c r="A25" t="s">
        <v>262</v>
      </c>
      <c r="B25" t="s">
        <v>263</v>
      </c>
      <c r="C25" t="s">
        <v>287</v>
      </c>
      <c r="D25" t="s">
        <v>64</v>
      </c>
      <c r="E25" t="s">
        <v>22</v>
      </c>
      <c r="F25" t="s">
        <v>23</v>
      </c>
      <c r="G25">
        <v>1</v>
      </c>
      <c r="H25">
        <v>9791166300660</v>
      </c>
      <c r="I25" t="s">
        <v>24</v>
      </c>
      <c r="J25" t="s">
        <v>156</v>
      </c>
      <c r="K25" t="s">
        <v>119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  <c r="V25" s="7" t="str">
        <f>IF(ISERROR(VLOOKUP(K25,[1]작가별정산률!$R:$S,2,0)),"스토리위즈",VLOOKUP(K25,[1]작가별정산률!$R:$S,2,0))</f>
        <v>스토리위즈</v>
      </c>
      <c r="W25" s="7" t="str">
        <f>IF(V25="스토리위즈",VLOOKUP(K25,[1]작가별정산률!$A:$B,2,0),V25)</f>
        <v>김광수</v>
      </c>
    </row>
    <row r="26" spans="1:23" x14ac:dyDescent="0.4">
      <c r="A26" t="s">
        <v>262</v>
      </c>
      <c r="B26" t="s">
        <v>263</v>
      </c>
      <c r="C26" t="s">
        <v>288</v>
      </c>
      <c r="D26" t="s">
        <v>64</v>
      </c>
      <c r="E26" t="s">
        <v>22</v>
      </c>
      <c r="F26" t="s">
        <v>23</v>
      </c>
      <c r="G26">
        <v>1</v>
      </c>
      <c r="H26">
        <v>9791166300516</v>
      </c>
      <c r="I26" t="s">
        <v>24</v>
      </c>
      <c r="J26" t="s">
        <v>149</v>
      </c>
      <c r="K26" t="s">
        <v>119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  <c r="V26" s="7" t="str">
        <f>IF(ISERROR(VLOOKUP(K26,[1]작가별정산률!$R:$S,2,0)),"스토리위즈",VLOOKUP(K26,[1]작가별정산률!$R:$S,2,0))</f>
        <v>스토리위즈</v>
      </c>
      <c r="W26" s="7" t="str">
        <f>IF(V26="스토리위즈",VLOOKUP(K26,[1]작가별정산률!$A:$B,2,0),V26)</f>
        <v>김광수</v>
      </c>
    </row>
    <row r="27" spans="1:23" x14ac:dyDescent="0.4">
      <c r="A27" t="s">
        <v>262</v>
      </c>
      <c r="B27" t="s">
        <v>263</v>
      </c>
      <c r="C27" t="s">
        <v>289</v>
      </c>
      <c r="D27" t="s">
        <v>64</v>
      </c>
      <c r="E27" t="s">
        <v>22</v>
      </c>
      <c r="F27" t="s">
        <v>23</v>
      </c>
      <c r="G27">
        <v>1</v>
      </c>
      <c r="H27">
        <v>9791166300288</v>
      </c>
      <c r="I27" t="s">
        <v>24</v>
      </c>
      <c r="J27" t="s">
        <v>137</v>
      </c>
      <c r="K27" t="s">
        <v>119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  <c r="V27" s="7" t="str">
        <f>IF(ISERROR(VLOOKUP(K27,[1]작가별정산률!$R:$S,2,0)),"스토리위즈",VLOOKUP(K27,[1]작가별정산률!$R:$S,2,0))</f>
        <v>스토리위즈</v>
      </c>
      <c r="W27" s="7" t="str">
        <f>IF(V27="스토리위즈",VLOOKUP(K27,[1]작가별정산률!$A:$B,2,0),V27)</f>
        <v>김광수</v>
      </c>
    </row>
    <row r="28" spans="1:23" x14ac:dyDescent="0.4">
      <c r="A28" t="s">
        <v>262</v>
      </c>
      <c r="B28" t="s">
        <v>263</v>
      </c>
      <c r="C28" t="s">
        <v>290</v>
      </c>
      <c r="D28" t="s">
        <v>21</v>
      </c>
      <c r="E28" t="s">
        <v>22</v>
      </c>
      <c r="F28" t="s">
        <v>23</v>
      </c>
      <c r="G28">
        <v>1</v>
      </c>
      <c r="H28">
        <v>9791166300585</v>
      </c>
      <c r="I28" t="s">
        <v>24</v>
      </c>
      <c r="J28" t="s">
        <v>160</v>
      </c>
      <c r="K28" t="s">
        <v>119</v>
      </c>
      <c r="L28" t="s">
        <v>27</v>
      </c>
      <c r="M28" s="3">
        <v>3200</v>
      </c>
      <c r="N28" t="s">
        <v>27</v>
      </c>
      <c r="O28" s="3">
        <v>3200</v>
      </c>
      <c r="P28" s="3">
        <v>3200</v>
      </c>
      <c r="Q28" t="s">
        <v>30</v>
      </c>
      <c r="R28" s="2">
        <v>0.7</v>
      </c>
      <c r="S28" s="3">
        <v>2240</v>
      </c>
      <c r="T28" t="s">
        <v>27</v>
      </c>
      <c r="U28" s="3">
        <v>2240</v>
      </c>
      <c r="V28" s="7" t="str">
        <f>IF(ISERROR(VLOOKUP(K28,[1]작가별정산률!$R:$S,2,0)),"스토리위즈",VLOOKUP(K28,[1]작가별정산률!$R:$S,2,0))</f>
        <v>스토리위즈</v>
      </c>
      <c r="W28" s="7" t="str">
        <f>IF(V28="스토리위즈",VLOOKUP(K28,[1]작가별정산률!$A:$B,2,0),V28)</f>
        <v>김광수</v>
      </c>
    </row>
    <row r="29" spans="1:23" x14ac:dyDescent="0.4">
      <c r="A29" t="s">
        <v>262</v>
      </c>
      <c r="B29" t="s">
        <v>263</v>
      </c>
      <c r="C29" t="s">
        <v>290</v>
      </c>
      <c r="D29" t="s">
        <v>21</v>
      </c>
      <c r="E29" t="s">
        <v>22</v>
      </c>
      <c r="F29" t="s">
        <v>23</v>
      </c>
      <c r="G29">
        <v>1</v>
      </c>
      <c r="H29">
        <v>9791166300592</v>
      </c>
      <c r="I29" t="s">
        <v>24</v>
      </c>
      <c r="J29" t="s">
        <v>161</v>
      </c>
      <c r="K29" t="s">
        <v>119</v>
      </c>
      <c r="L29" t="s">
        <v>27</v>
      </c>
      <c r="M29" s="3">
        <v>3200</v>
      </c>
      <c r="N29" t="s">
        <v>27</v>
      </c>
      <c r="O29" s="3">
        <v>3200</v>
      </c>
      <c r="P29" s="3">
        <v>3200</v>
      </c>
      <c r="Q29" t="s">
        <v>30</v>
      </c>
      <c r="R29" s="2">
        <v>0.7</v>
      </c>
      <c r="S29" s="3">
        <v>2240</v>
      </c>
      <c r="T29" t="s">
        <v>27</v>
      </c>
      <c r="U29" s="3">
        <v>2240</v>
      </c>
      <c r="V29" s="7" t="str">
        <f>IF(ISERROR(VLOOKUP(K29,[1]작가별정산률!$R:$S,2,0)),"스토리위즈",VLOOKUP(K29,[1]작가별정산률!$R:$S,2,0))</f>
        <v>스토리위즈</v>
      </c>
      <c r="W29" s="7" t="str">
        <f>IF(V29="스토리위즈",VLOOKUP(K29,[1]작가별정산률!$A:$B,2,0),V29)</f>
        <v>김광수</v>
      </c>
    </row>
    <row r="30" spans="1:23" x14ac:dyDescent="0.4">
      <c r="A30" t="s">
        <v>262</v>
      </c>
      <c r="B30" t="s">
        <v>263</v>
      </c>
      <c r="C30" t="s">
        <v>290</v>
      </c>
      <c r="D30" t="s">
        <v>21</v>
      </c>
      <c r="E30" t="s">
        <v>22</v>
      </c>
      <c r="F30" t="s">
        <v>23</v>
      </c>
      <c r="G30">
        <v>1</v>
      </c>
      <c r="H30">
        <v>9791166300608</v>
      </c>
      <c r="I30" t="s">
        <v>24</v>
      </c>
      <c r="J30" t="s">
        <v>162</v>
      </c>
      <c r="K30" t="s">
        <v>119</v>
      </c>
      <c r="L30" t="s">
        <v>27</v>
      </c>
      <c r="M30" s="3">
        <v>3200</v>
      </c>
      <c r="N30" t="s">
        <v>27</v>
      </c>
      <c r="O30" s="3">
        <v>3200</v>
      </c>
      <c r="P30" s="3">
        <v>3200</v>
      </c>
      <c r="Q30" t="s">
        <v>30</v>
      </c>
      <c r="R30" s="2">
        <v>0.7</v>
      </c>
      <c r="S30" s="3">
        <v>2240</v>
      </c>
      <c r="T30" t="s">
        <v>27</v>
      </c>
      <c r="U30" s="3">
        <v>2240</v>
      </c>
      <c r="V30" s="7" t="str">
        <f>IF(ISERROR(VLOOKUP(K30,[1]작가별정산률!$R:$S,2,0)),"스토리위즈",VLOOKUP(K30,[1]작가별정산률!$R:$S,2,0))</f>
        <v>스토리위즈</v>
      </c>
      <c r="W30" s="7" t="str">
        <f>IF(V30="스토리위즈",VLOOKUP(K30,[1]작가별정산률!$A:$B,2,0),V30)</f>
        <v>김광수</v>
      </c>
    </row>
    <row r="31" spans="1:23" x14ac:dyDescent="0.4">
      <c r="A31" t="s">
        <v>262</v>
      </c>
      <c r="B31" t="s">
        <v>263</v>
      </c>
      <c r="C31" t="s">
        <v>290</v>
      </c>
      <c r="D31" t="s">
        <v>21</v>
      </c>
      <c r="E31" t="s">
        <v>22</v>
      </c>
      <c r="F31" t="s">
        <v>23</v>
      </c>
      <c r="G31">
        <v>1</v>
      </c>
      <c r="H31">
        <v>9791166300615</v>
      </c>
      <c r="I31" t="s">
        <v>24</v>
      </c>
      <c r="J31" t="s">
        <v>163</v>
      </c>
      <c r="K31" t="s">
        <v>119</v>
      </c>
      <c r="L31" t="s">
        <v>27</v>
      </c>
      <c r="M31" s="3">
        <v>3200</v>
      </c>
      <c r="N31" t="s">
        <v>27</v>
      </c>
      <c r="O31" s="3">
        <v>3200</v>
      </c>
      <c r="P31" s="3">
        <v>3200</v>
      </c>
      <c r="Q31" t="s">
        <v>30</v>
      </c>
      <c r="R31" s="2">
        <v>0.7</v>
      </c>
      <c r="S31" s="3">
        <v>2240</v>
      </c>
      <c r="T31" t="s">
        <v>27</v>
      </c>
      <c r="U31" s="3">
        <v>2240</v>
      </c>
      <c r="V31" s="7" t="str">
        <f>IF(ISERROR(VLOOKUP(K31,[1]작가별정산률!$R:$S,2,0)),"스토리위즈",VLOOKUP(K31,[1]작가별정산률!$R:$S,2,0))</f>
        <v>스토리위즈</v>
      </c>
      <c r="W31" s="7" t="str">
        <f>IF(V31="스토리위즈",VLOOKUP(K31,[1]작가별정산률!$A:$B,2,0),V31)</f>
        <v>김광수</v>
      </c>
    </row>
    <row r="32" spans="1:23" x14ac:dyDescent="0.4">
      <c r="A32" t="s">
        <v>262</v>
      </c>
      <c r="B32" t="s">
        <v>263</v>
      </c>
      <c r="C32" t="s">
        <v>290</v>
      </c>
      <c r="D32" t="s">
        <v>21</v>
      </c>
      <c r="E32" t="s">
        <v>22</v>
      </c>
      <c r="F32" t="s">
        <v>23</v>
      </c>
      <c r="G32">
        <v>1</v>
      </c>
      <c r="H32">
        <v>9791166300622</v>
      </c>
      <c r="I32" t="s">
        <v>24</v>
      </c>
      <c r="J32" t="s">
        <v>164</v>
      </c>
      <c r="K32" t="s">
        <v>119</v>
      </c>
      <c r="L32" t="s">
        <v>27</v>
      </c>
      <c r="M32" s="3">
        <v>3200</v>
      </c>
      <c r="N32" t="s">
        <v>27</v>
      </c>
      <c r="O32" s="3">
        <v>3200</v>
      </c>
      <c r="P32" s="3">
        <v>3200</v>
      </c>
      <c r="Q32" t="s">
        <v>30</v>
      </c>
      <c r="R32" s="2">
        <v>0.7</v>
      </c>
      <c r="S32" s="3">
        <v>2240</v>
      </c>
      <c r="T32" t="s">
        <v>27</v>
      </c>
      <c r="U32" s="3">
        <v>2240</v>
      </c>
      <c r="V32" s="7" t="str">
        <f>IF(ISERROR(VLOOKUP(K32,[1]작가별정산률!$R:$S,2,0)),"스토리위즈",VLOOKUP(K32,[1]작가별정산률!$R:$S,2,0))</f>
        <v>스토리위즈</v>
      </c>
      <c r="W32" s="7" t="str">
        <f>IF(V32="스토리위즈",VLOOKUP(K32,[1]작가별정산률!$A:$B,2,0),V32)</f>
        <v>김광수</v>
      </c>
    </row>
    <row r="33" spans="1:23" x14ac:dyDescent="0.4">
      <c r="A33" t="s">
        <v>262</v>
      </c>
      <c r="B33" t="s">
        <v>263</v>
      </c>
      <c r="C33" t="s">
        <v>291</v>
      </c>
      <c r="D33" t="s">
        <v>21</v>
      </c>
      <c r="E33" t="s">
        <v>22</v>
      </c>
      <c r="F33" t="s">
        <v>23</v>
      </c>
      <c r="G33">
        <v>1</v>
      </c>
      <c r="H33">
        <v>9791191562101</v>
      </c>
      <c r="I33" t="s">
        <v>143</v>
      </c>
      <c r="J33" t="s">
        <v>196</v>
      </c>
      <c r="K33" t="s">
        <v>201</v>
      </c>
      <c r="L33" t="s">
        <v>27</v>
      </c>
      <c r="M33" s="3">
        <v>3000</v>
      </c>
      <c r="N33" t="s">
        <v>28</v>
      </c>
      <c r="O33">
        <v>2.4700000000000002</v>
      </c>
      <c r="P33">
        <v>2.4700000000000002</v>
      </c>
      <c r="Q33" t="s">
        <v>29</v>
      </c>
      <c r="R33" s="2">
        <v>0.7</v>
      </c>
      <c r="S33">
        <v>1.73</v>
      </c>
      <c r="T33" t="s">
        <v>27</v>
      </c>
      <c r="U33" s="3">
        <v>2173</v>
      </c>
      <c r="V33" s="7" t="str">
        <f>IF(ISERROR(VLOOKUP(K33,[1]작가별정산률!$R:$S,2,0)),"스토리위즈",VLOOKUP(K33,[1]작가별정산률!$R:$S,2,0))</f>
        <v>밀리의 서재</v>
      </c>
      <c r="W33" s="7" t="str">
        <f>IF(V33="스토리위즈",VLOOKUP(K33,[1]작가별정산률!$A:$B,2,0),V33)</f>
        <v>밀리의 서재</v>
      </c>
    </row>
    <row r="34" spans="1:23" x14ac:dyDescent="0.4">
      <c r="A34" t="s">
        <v>262</v>
      </c>
      <c r="B34" t="s">
        <v>263</v>
      </c>
      <c r="C34" t="s">
        <v>292</v>
      </c>
      <c r="D34" t="s">
        <v>64</v>
      </c>
      <c r="E34" t="s">
        <v>22</v>
      </c>
      <c r="F34" t="s">
        <v>23</v>
      </c>
      <c r="G34">
        <v>1</v>
      </c>
      <c r="H34">
        <v>9791166300110</v>
      </c>
      <c r="I34" t="s">
        <v>24</v>
      </c>
      <c r="J34" t="s">
        <v>121</v>
      </c>
      <c r="K34" t="s">
        <v>119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  <c r="V34" s="7" t="str">
        <f>IF(ISERROR(VLOOKUP(K34,[1]작가별정산률!$R:$S,2,0)),"스토리위즈",VLOOKUP(K34,[1]작가별정산률!$R:$S,2,0))</f>
        <v>스토리위즈</v>
      </c>
      <c r="W34" s="7" t="str">
        <f>IF(V34="스토리위즈",VLOOKUP(K34,[1]작가별정산률!$A:$B,2,0),V34)</f>
        <v>김광수</v>
      </c>
    </row>
    <row r="35" spans="1:23" x14ac:dyDescent="0.4">
      <c r="A35" t="s">
        <v>262</v>
      </c>
      <c r="B35" t="s">
        <v>263</v>
      </c>
      <c r="C35" t="s">
        <v>293</v>
      </c>
      <c r="D35" t="s">
        <v>21</v>
      </c>
      <c r="E35" t="s">
        <v>22</v>
      </c>
      <c r="F35" t="s">
        <v>23</v>
      </c>
      <c r="G35">
        <v>1</v>
      </c>
      <c r="H35">
        <v>9791191562125</v>
      </c>
      <c r="I35" t="s">
        <v>143</v>
      </c>
      <c r="J35" t="s">
        <v>212</v>
      </c>
      <c r="K35" t="s">
        <v>213</v>
      </c>
      <c r="L35" t="s">
        <v>27</v>
      </c>
      <c r="M35" s="3">
        <v>2500</v>
      </c>
      <c r="N35" t="s">
        <v>27</v>
      </c>
      <c r="O35" s="3">
        <v>2500</v>
      </c>
      <c r="P35" s="3">
        <v>2500</v>
      </c>
      <c r="Q35" t="s">
        <v>30</v>
      </c>
      <c r="R35" s="2">
        <v>0.7</v>
      </c>
      <c r="S35" s="3">
        <v>1750</v>
      </c>
      <c r="T35" t="s">
        <v>27</v>
      </c>
      <c r="U35" s="3">
        <v>1750</v>
      </c>
      <c r="V35" s="7" t="str">
        <f>IF(ISERROR(VLOOKUP(K35,[1]작가별정산률!$R:$S,2,0)),"스토리위즈",VLOOKUP(K35,[1]작가별정산률!$R:$S,2,0))</f>
        <v>밀리의 서재</v>
      </c>
      <c r="W35" s="7" t="str">
        <f>IF(V35="스토리위즈",VLOOKUP(K35,[1]작가별정산률!$A:$B,2,0),V35)</f>
        <v>밀리의 서재</v>
      </c>
    </row>
    <row r="36" spans="1:23" x14ac:dyDescent="0.4">
      <c r="A36" t="s">
        <v>262</v>
      </c>
      <c r="B36" t="s">
        <v>263</v>
      </c>
      <c r="C36" t="s">
        <v>294</v>
      </c>
      <c r="D36" t="s">
        <v>64</v>
      </c>
      <c r="E36" t="s">
        <v>22</v>
      </c>
      <c r="F36" t="s">
        <v>23</v>
      </c>
      <c r="G36">
        <v>1</v>
      </c>
      <c r="H36">
        <v>9791166300264</v>
      </c>
      <c r="I36" t="s">
        <v>24</v>
      </c>
      <c r="J36" t="s">
        <v>135</v>
      </c>
      <c r="K36" t="s">
        <v>119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  <c r="V36" s="7" t="str">
        <f>IF(ISERROR(VLOOKUP(K36,[1]작가별정산률!$R:$S,2,0)),"스토리위즈",VLOOKUP(K36,[1]작가별정산률!$R:$S,2,0))</f>
        <v>스토리위즈</v>
      </c>
      <c r="W36" s="7" t="str">
        <f>IF(V36="스토리위즈",VLOOKUP(K36,[1]작가별정산률!$A:$B,2,0),V36)</f>
        <v>김광수</v>
      </c>
    </row>
    <row r="37" spans="1:23" x14ac:dyDescent="0.4">
      <c r="A37" t="s">
        <v>262</v>
      </c>
      <c r="B37" t="s">
        <v>263</v>
      </c>
      <c r="C37" t="s">
        <v>295</v>
      </c>
      <c r="D37" t="s">
        <v>64</v>
      </c>
      <c r="E37" t="s">
        <v>22</v>
      </c>
      <c r="F37" t="s">
        <v>23</v>
      </c>
      <c r="G37">
        <v>1</v>
      </c>
      <c r="H37">
        <v>9791166300127</v>
      </c>
      <c r="I37" t="s">
        <v>24</v>
      </c>
      <c r="J37" t="s">
        <v>122</v>
      </c>
      <c r="K37" t="s">
        <v>119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  <c r="V37" s="7" t="str">
        <f>IF(ISERROR(VLOOKUP(K37,[1]작가별정산률!$R:$S,2,0)),"스토리위즈",VLOOKUP(K37,[1]작가별정산률!$R:$S,2,0))</f>
        <v>스토리위즈</v>
      </c>
      <c r="W37" s="7" t="str">
        <f>IF(V37="스토리위즈",VLOOKUP(K37,[1]작가별정산률!$A:$B,2,0),V37)</f>
        <v>김광수</v>
      </c>
    </row>
    <row r="38" spans="1:23" x14ac:dyDescent="0.4">
      <c r="A38" t="s">
        <v>262</v>
      </c>
      <c r="B38" t="s">
        <v>263</v>
      </c>
      <c r="C38" t="s">
        <v>296</v>
      </c>
      <c r="D38" t="s">
        <v>64</v>
      </c>
      <c r="E38" t="s">
        <v>22</v>
      </c>
      <c r="F38" t="s">
        <v>23</v>
      </c>
      <c r="G38">
        <v>1</v>
      </c>
      <c r="H38">
        <v>9791166300523</v>
      </c>
      <c r="I38" t="s">
        <v>24</v>
      </c>
      <c r="J38" t="s">
        <v>150</v>
      </c>
      <c r="K38" t="s">
        <v>119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  <c r="V38" s="7" t="str">
        <f>IF(ISERROR(VLOOKUP(K38,[1]작가별정산률!$R:$S,2,0)),"스토리위즈",VLOOKUP(K38,[1]작가별정산률!$R:$S,2,0))</f>
        <v>스토리위즈</v>
      </c>
      <c r="W38" s="7" t="str">
        <f>IF(V38="스토리위즈",VLOOKUP(K38,[1]작가별정산률!$A:$B,2,0),V38)</f>
        <v>김광수</v>
      </c>
    </row>
    <row r="39" spans="1:23" x14ac:dyDescent="0.4">
      <c r="A39" t="s">
        <v>262</v>
      </c>
      <c r="B39" t="s">
        <v>263</v>
      </c>
      <c r="C39" t="s">
        <v>297</v>
      </c>
      <c r="D39" t="s">
        <v>64</v>
      </c>
      <c r="E39" t="s">
        <v>22</v>
      </c>
      <c r="F39" t="s">
        <v>23</v>
      </c>
      <c r="G39">
        <v>1</v>
      </c>
      <c r="H39">
        <v>9791166300554</v>
      </c>
      <c r="I39" t="s">
        <v>24</v>
      </c>
      <c r="J39" t="s">
        <v>154</v>
      </c>
      <c r="K39" t="s">
        <v>119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440</v>
      </c>
      <c r="V39" s="7" t="str">
        <f>IF(ISERROR(VLOOKUP(K39,[1]작가별정산률!$R:$S,2,0)),"스토리위즈",VLOOKUP(K39,[1]작가별정산률!$R:$S,2,0))</f>
        <v>스토리위즈</v>
      </c>
      <c r="W39" s="7" t="str">
        <f>IF(V39="스토리위즈",VLOOKUP(K39,[1]작가별정산률!$A:$B,2,0),V39)</f>
        <v>김광수</v>
      </c>
    </row>
    <row r="40" spans="1:23" x14ac:dyDescent="0.4">
      <c r="A40" t="s">
        <v>262</v>
      </c>
      <c r="B40" t="s">
        <v>263</v>
      </c>
      <c r="C40" t="s">
        <v>298</v>
      </c>
      <c r="D40" t="s">
        <v>64</v>
      </c>
      <c r="E40" t="s">
        <v>22</v>
      </c>
      <c r="F40" t="s">
        <v>23</v>
      </c>
      <c r="G40">
        <v>1</v>
      </c>
      <c r="H40">
        <v>9791166300608</v>
      </c>
      <c r="I40" t="s">
        <v>24</v>
      </c>
      <c r="J40" t="s">
        <v>162</v>
      </c>
      <c r="K40" t="s">
        <v>119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  <c r="V40" s="7" t="str">
        <f>IF(ISERROR(VLOOKUP(K40,[1]작가별정산률!$R:$S,2,0)),"스토리위즈",VLOOKUP(K40,[1]작가별정산률!$R:$S,2,0))</f>
        <v>스토리위즈</v>
      </c>
      <c r="W40" s="7" t="str">
        <f>IF(V40="스토리위즈",VLOOKUP(K40,[1]작가별정산률!$A:$B,2,0),V40)</f>
        <v>김광수</v>
      </c>
    </row>
    <row r="41" spans="1:23" x14ac:dyDescent="0.4">
      <c r="A41" t="s">
        <v>262</v>
      </c>
      <c r="B41" t="s">
        <v>263</v>
      </c>
      <c r="C41" t="s">
        <v>299</v>
      </c>
      <c r="D41" t="s">
        <v>21</v>
      </c>
      <c r="E41" t="s">
        <v>22</v>
      </c>
      <c r="F41" t="s">
        <v>23</v>
      </c>
      <c r="G41">
        <v>1</v>
      </c>
      <c r="H41">
        <v>9791197098451</v>
      </c>
      <c r="I41" t="s">
        <v>24</v>
      </c>
      <c r="J41" t="s">
        <v>260</v>
      </c>
      <c r="K41" t="s">
        <v>37</v>
      </c>
      <c r="L41" t="s">
        <v>27</v>
      </c>
      <c r="M41" s="3">
        <v>3200</v>
      </c>
      <c r="N41" t="s">
        <v>27</v>
      </c>
      <c r="O41" s="3">
        <v>3200</v>
      </c>
      <c r="P41" s="3">
        <v>3200</v>
      </c>
      <c r="Q41" t="s">
        <v>30</v>
      </c>
      <c r="R41" s="2">
        <v>0.7</v>
      </c>
      <c r="S41" s="3">
        <v>2240</v>
      </c>
      <c r="T41" t="s">
        <v>27</v>
      </c>
      <c r="U41" s="3">
        <v>2240</v>
      </c>
      <c r="V41" s="7" t="str">
        <f>IF(ISERROR(VLOOKUP(K41,[1]작가별정산률!$R:$S,2,0)),"스토리위즈",VLOOKUP(K41,[1]작가별정산률!$R:$S,2,0))</f>
        <v>스토리위즈</v>
      </c>
      <c r="W41" s="7" t="str">
        <f>IF(V41="스토리위즈",VLOOKUP(K41,[1]작가별정산률!$A:$B,2,0),V41)</f>
        <v>권용찬</v>
      </c>
    </row>
    <row r="42" spans="1:23" x14ac:dyDescent="0.4">
      <c r="A42" t="s">
        <v>262</v>
      </c>
      <c r="B42" t="s">
        <v>263</v>
      </c>
      <c r="C42" t="s">
        <v>300</v>
      </c>
      <c r="D42" t="s">
        <v>64</v>
      </c>
      <c r="E42" t="s">
        <v>22</v>
      </c>
      <c r="F42" t="s">
        <v>23</v>
      </c>
      <c r="G42">
        <v>1</v>
      </c>
      <c r="H42">
        <v>9791166300516</v>
      </c>
      <c r="I42" t="s">
        <v>24</v>
      </c>
      <c r="J42" t="s">
        <v>149</v>
      </c>
      <c r="K42" t="s">
        <v>119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  <c r="V42" s="7" t="str">
        <f>IF(ISERROR(VLOOKUP(K42,[1]작가별정산률!$R:$S,2,0)),"스토리위즈",VLOOKUP(K42,[1]작가별정산률!$R:$S,2,0))</f>
        <v>스토리위즈</v>
      </c>
      <c r="W42" s="7" t="str">
        <f>IF(V42="스토리위즈",VLOOKUP(K42,[1]작가별정산률!$A:$B,2,0),V42)</f>
        <v>김광수</v>
      </c>
    </row>
    <row r="43" spans="1:23" x14ac:dyDescent="0.4">
      <c r="A43" t="s">
        <v>262</v>
      </c>
      <c r="B43" t="s">
        <v>263</v>
      </c>
      <c r="C43" t="s">
        <v>301</v>
      </c>
      <c r="D43" t="s">
        <v>64</v>
      </c>
      <c r="E43" t="s">
        <v>22</v>
      </c>
      <c r="F43" t="s">
        <v>23</v>
      </c>
      <c r="G43">
        <v>1</v>
      </c>
      <c r="H43">
        <v>9791166300295</v>
      </c>
      <c r="I43" t="s">
        <v>24</v>
      </c>
      <c r="J43" t="s">
        <v>138</v>
      </c>
      <c r="K43" t="s">
        <v>119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  <c r="V43" s="7" t="str">
        <f>IF(ISERROR(VLOOKUP(K43,[1]작가별정산률!$R:$S,2,0)),"스토리위즈",VLOOKUP(K43,[1]작가별정산률!$R:$S,2,0))</f>
        <v>스토리위즈</v>
      </c>
      <c r="W43" s="7" t="str">
        <f>IF(V43="스토리위즈",VLOOKUP(K43,[1]작가별정산률!$A:$B,2,0),V43)</f>
        <v>김광수</v>
      </c>
    </row>
    <row r="44" spans="1:23" x14ac:dyDescent="0.4">
      <c r="A44" t="s">
        <v>262</v>
      </c>
      <c r="B44" t="s">
        <v>263</v>
      </c>
      <c r="C44" t="s">
        <v>302</v>
      </c>
      <c r="D44" t="s">
        <v>21</v>
      </c>
      <c r="E44" t="s">
        <v>22</v>
      </c>
      <c r="F44" t="s">
        <v>23</v>
      </c>
      <c r="G44">
        <v>1</v>
      </c>
      <c r="H44">
        <v>9791191562125</v>
      </c>
      <c r="I44" t="s">
        <v>143</v>
      </c>
      <c r="J44" t="s">
        <v>212</v>
      </c>
      <c r="K44" t="s">
        <v>213</v>
      </c>
      <c r="L44" t="s">
        <v>27</v>
      </c>
      <c r="M44" s="3">
        <v>2500</v>
      </c>
      <c r="N44" t="s">
        <v>27</v>
      </c>
      <c r="O44" s="3">
        <v>2500</v>
      </c>
      <c r="P44" s="3">
        <v>2500</v>
      </c>
      <c r="Q44" t="s">
        <v>30</v>
      </c>
      <c r="R44" s="2">
        <v>0.7</v>
      </c>
      <c r="S44" s="3">
        <v>1750</v>
      </c>
      <c r="T44" t="s">
        <v>27</v>
      </c>
      <c r="U44" s="3">
        <v>1750</v>
      </c>
      <c r="V44" s="7" t="str">
        <f>IF(ISERROR(VLOOKUP(K44,[1]작가별정산률!$R:$S,2,0)),"스토리위즈",VLOOKUP(K44,[1]작가별정산률!$R:$S,2,0))</f>
        <v>밀리의 서재</v>
      </c>
      <c r="W44" s="7" t="str">
        <f>IF(V44="스토리위즈",VLOOKUP(K44,[1]작가별정산률!$A:$B,2,0),V44)</f>
        <v>밀리의 서재</v>
      </c>
    </row>
    <row r="45" spans="1:23" x14ac:dyDescent="0.4">
      <c r="A45" t="s">
        <v>262</v>
      </c>
      <c r="B45" t="s">
        <v>263</v>
      </c>
      <c r="C45" t="s">
        <v>303</v>
      </c>
      <c r="D45" t="s">
        <v>64</v>
      </c>
      <c r="E45" t="s">
        <v>22</v>
      </c>
      <c r="F45" t="s">
        <v>23</v>
      </c>
      <c r="G45">
        <v>1</v>
      </c>
      <c r="H45">
        <v>9791166300103</v>
      </c>
      <c r="I45" t="s">
        <v>24</v>
      </c>
      <c r="J45" t="s">
        <v>120</v>
      </c>
      <c r="K45" t="s">
        <v>119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2">
        <v>0.7</v>
      </c>
      <c r="S45">
        <v>441</v>
      </c>
      <c r="T45" t="s">
        <v>27</v>
      </c>
      <c r="U45">
        <v>441</v>
      </c>
      <c r="V45" s="7" t="str">
        <f>IF(ISERROR(VLOOKUP(K45,[1]작가별정산률!$R:$S,2,0)),"스토리위즈",VLOOKUP(K45,[1]작가별정산률!$R:$S,2,0))</f>
        <v>스토리위즈</v>
      </c>
      <c r="W45" s="7" t="str">
        <f>IF(V45="스토리위즈",VLOOKUP(K45,[1]작가별정산률!$A:$B,2,0),V45)</f>
        <v>김광수</v>
      </c>
    </row>
    <row r="46" spans="1:23" x14ac:dyDescent="0.4">
      <c r="A46" t="s">
        <v>262</v>
      </c>
      <c r="B46" t="s">
        <v>263</v>
      </c>
      <c r="C46" t="s">
        <v>304</v>
      </c>
      <c r="D46" t="s">
        <v>64</v>
      </c>
      <c r="E46" t="s">
        <v>22</v>
      </c>
      <c r="F46" t="s">
        <v>23</v>
      </c>
      <c r="G46">
        <v>1</v>
      </c>
      <c r="H46">
        <v>9791159285912</v>
      </c>
      <c r="I46" t="s">
        <v>24</v>
      </c>
      <c r="J46" t="s">
        <v>63</v>
      </c>
      <c r="K46" t="s">
        <v>37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  <c r="V46" s="7" t="str">
        <f>IF(ISERROR(VLOOKUP(K46,[1]작가별정산률!$R:$S,2,0)),"스토리위즈",VLOOKUP(K46,[1]작가별정산률!$R:$S,2,0))</f>
        <v>스토리위즈</v>
      </c>
      <c r="W46" s="7" t="str">
        <f>IF(V46="스토리위즈",VLOOKUP(K46,[1]작가별정산률!$A:$B,2,0),V46)</f>
        <v>권용찬</v>
      </c>
    </row>
    <row r="47" spans="1:23" x14ac:dyDescent="0.4">
      <c r="A47" t="s">
        <v>262</v>
      </c>
      <c r="B47" t="s">
        <v>263</v>
      </c>
      <c r="C47" t="s">
        <v>305</v>
      </c>
      <c r="D47" t="s">
        <v>64</v>
      </c>
      <c r="E47" t="s">
        <v>22</v>
      </c>
      <c r="F47" t="s">
        <v>23</v>
      </c>
      <c r="G47">
        <v>1</v>
      </c>
      <c r="H47">
        <v>9791166300486</v>
      </c>
      <c r="I47" t="s">
        <v>24</v>
      </c>
      <c r="J47" t="s">
        <v>146</v>
      </c>
      <c r="K47" t="s">
        <v>119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  <c r="V47" s="7" t="str">
        <f>IF(ISERROR(VLOOKUP(K47,[1]작가별정산률!$R:$S,2,0)),"스토리위즈",VLOOKUP(K47,[1]작가별정산률!$R:$S,2,0))</f>
        <v>스토리위즈</v>
      </c>
      <c r="W47" s="7" t="str">
        <f>IF(V47="스토리위즈",VLOOKUP(K47,[1]작가별정산률!$A:$B,2,0),V47)</f>
        <v>김광수</v>
      </c>
    </row>
    <row r="48" spans="1:23" x14ac:dyDescent="0.4">
      <c r="A48" t="s">
        <v>262</v>
      </c>
      <c r="B48" t="s">
        <v>263</v>
      </c>
      <c r="C48" t="s">
        <v>306</v>
      </c>
      <c r="D48" t="s">
        <v>21</v>
      </c>
      <c r="E48" t="s">
        <v>22</v>
      </c>
      <c r="F48" t="s">
        <v>23</v>
      </c>
      <c r="G48">
        <v>1</v>
      </c>
      <c r="H48">
        <v>9791191562347</v>
      </c>
      <c r="I48" t="s">
        <v>143</v>
      </c>
      <c r="J48" t="s">
        <v>307</v>
      </c>
      <c r="K48" t="s">
        <v>2554</v>
      </c>
      <c r="L48" t="s">
        <v>27</v>
      </c>
      <c r="M48" s="3">
        <v>3200</v>
      </c>
      <c r="N48" t="s">
        <v>27</v>
      </c>
      <c r="O48" s="3">
        <v>3200</v>
      </c>
      <c r="P48" s="3">
        <v>3200</v>
      </c>
      <c r="Q48" t="s">
        <v>30</v>
      </c>
      <c r="R48" s="2">
        <v>0.7</v>
      </c>
      <c r="S48" s="3">
        <v>2240</v>
      </c>
      <c r="T48" t="s">
        <v>27</v>
      </c>
      <c r="U48" s="3">
        <v>2240</v>
      </c>
      <c r="V48" s="7" t="str">
        <f>IF(ISERROR(VLOOKUP(K48,[1]작가별정산률!$R:$S,2,0)),"스토리위즈",VLOOKUP(K48,[1]작가별정산률!$R:$S,2,0))</f>
        <v>밀리의 서재</v>
      </c>
      <c r="W48" s="7" t="str">
        <f>IF(V48="스토리위즈",VLOOKUP(K48,[1]작가별정산률!$A:$B,2,0),V48)</f>
        <v>밀리의 서재</v>
      </c>
    </row>
    <row r="49" spans="1:23" x14ac:dyDescent="0.4">
      <c r="A49" t="s">
        <v>262</v>
      </c>
      <c r="B49" t="s">
        <v>263</v>
      </c>
      <c r="C49" t="s">
        <v>309</v>
      </c>
      <c r="D49" t="s">
        <v>64</v>
      </c>
      <c r="E49" t="s">
        <v>22</v>
      </c>
      <c r="F49" t="s">
        <v>23</v>
      </c>
      <c r="G49">
        <v>1</v>
      </c>
      <c r="H49">
        <v>9791166300110</v>
      </c>
      <c r="I49" t="s">
        <v>24</v>
      </c>
      <c r="J49" t="s">
        <v>121</v>
      </c>
      <c r="K49" t="s">
        <v>119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  <c r="V49" s="7" t="str">
        <f>IF(ISERROR(VLOOKUP(K49,[1]작가별정산률!$R:$S,2,0)),"스토리위즈",VLOOKUP(K49,[1]작가별정산률!$R:$S,2,0))</f>
        <v>스토리위즈</v>
      </c>
      <c r="W49" s="7" t="str">
        <f>IF(V49="스토리위즈",VLOOKUP(K49,[1]작가별정산률!$A:$B,2,0),V49)</f>
        <v>김광수</v>
      </c>
    </row>
    <row r="50" spans="1:23" x14ac:dyDescent="0.4">
      <c r="A50" t="s">
        <v>262</v>
      </c>
      <c r="B50" t="s">
        <v>263</v>
      </c>
      <c r="C50" t="s">
        <v>310</v>
      </c>
      <c r="D50" t="s">
        <v>64</v>
      </c>
      <c r="E50" t="s">
        <v>22</v>
      </c>
      <c r="F50" t="s">
        <v>23</v>
      </c>
      <c r="G50">
        <v>1</v>
      </c>
      <c r="H50">
        <v>9791166300578</v>
      </c>
      <c r="I50" t="s">
        <v>24</v>
      </c>
      <c r="J50" t="s">
        <v>159</v>
      </c>
      <c r="K50" t="s">
        <v>119</v>
      </c>
      <c r="L50" t="s">
        <v>27</v>
      </c>
      <c r="M50">
        <v>630</v>
      </c>
      <c r="N50" t="s">
        <v>27</v>
      </c>
      <c r="O50">
        <v>630</v>
      </c>
      <c r="P50">
        <v>630</v>
      </c>
      <c r="Q50" t="s">
        <v>30</v>
      </c>
      <c r="R50" s="2">
        <v>0.7</v>
      </c>
      <c r="S50">
        <v>441</v>
      </c>
      <c r="T50" t="s">
        <v>27</v>
      </c>
      <c r="U50">
        <v>441</v>
      </c>
      <c r="V50" s="7" t="str">
        <f>IF(ISERROR(VLOOKUP(K50,[1]작가별정산률!$R:$S,2,0)),"스토리위즈",VLOOKUP(K50,[1]작가별정산률!$R:$S,2,0))</f>
        <v>스토리위즈</v>
      </c>
      <c r="W50" s="7" t="str">
        <f>IF(V50="스토리위즈",VLOOKUP(K50,[1]작가별정산률!$A:$B,2,0),V50)</f>
        <v>김광수</v>
      </c>
    </row>
    <row r="51" spans="1:23" x14ac:dyDescent="0.4">
      <c r="A51" t="s">
        <v>262</v>
      </c>
      <c r="B51" t="s">
        <v>263</v>
      </c>
      <c r="C51" t="s">
        <v>311</v>
      </c>
      <c r="D51" t="s">
        <v>64</v>
      </c>
      <c r="E51" t="s">
        <v>22</v>
      </c>
      <c r="F51" t="s">
        <v>23</v>
      </c>
      <c r="G51">
        <v>1</v>
      </c>
      <c r="H51">
        <v>9791166300127</v>
      </c>
      <c r="I51" t="s">
        <v>24</v>
      </c>
      <c r="J51" t="s">
        <v>122</v>
      </c>
      <c r="K51" t="s">
        <v>119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  <c r="V51" s="7" t="str">
        <f>IF(ISERROR(VLOOKUP(K51,[1]작가별정산률!$R:$S,2,0)),"스토리위즈",VLOOKUP(K51,[1]작가별정산률!$R:$S,2,0))</f>
        <v>스토리위즈</v>
      </c>
      <c r="W51" s="7" t="str">
        <f>IF(V51="스토리위즈",VLOOKUP(K51,[1]작가별정산률!$A:$B,2,0),V51)</f>
        <v>김광수</v>
      </c>
    </row>
    <row r="52" spans="1:23" x14ac:dyDescent="0.4">
      <c r="A52" t="s">
        <v>262</v>
      </c>
      <c r="B52" t="s">
        <v>263</v>
      </c>
      <c r="C52" t="s">
        <v>312</v>
      </c>
      <c r="D52" t="s">
        <v>21</v>
      </c>
      <c r="E52" t="s">
        <v>22</v>
      </c>
      <c r="F52" t="s">
        <v>23</v>
      </c>
      <c r="G52">
        <v>1</v>
      </c>
      <c r="H52">
        <v>9791166300127</v>
      </c>
      <c r="I52" t="s">
        <v>24</v>
      </c>
      <c r="J52" t="s">
        <v>122</v>
      </c>
      <c r="K52" t="s">
        <v>119</v>
      </c>
      <c r="L52" t="s">
        <v>27</v>
      </c>
      <c r="M52" s="3">
        <v>3200</v>
      </c>
      <c r="N52" t="s">
        <v>27</v>
      </c>
      <c r="O52" s="3">
        <v>3200</v>
      </c>
      <c r="P52" s="3">
        <v>3200</v>
      </c>
      <c r="Q52" t="s">
        <v>30</v>
      </c>
      <c r="R52" s="2">
        <v>0.7</v>
      </c>
      <c r="S52" s="3">
        <v>2240</v>
      </c>
      <c r="T52" t="s">
        <v>27</v>
      </c>
      <c r="U52" s="3">
        <v>2240</v>
      </c>
      <c r="V52" s="7" t="str">
        <f>IF(ISERROR(VLOOKUP(K52,[1]작가별정산률!$R:$S,2,0)),"스토리위즈",VLOOKUP(K52,[1]작가별정산률!$R:$S,2,0))</f>
        <v>스토리위즈</v>
      </c>
      <c r="W52" s="7" t="str">
        <f>IF(V52="스토리위즈",VLOOKUP(K52,[1]작가별정산률!$A:$B,2,0),V52)</f>
        <v>김광수</v>
      </c>
    </row>
    <row r="53" spans="1:23" x14ac:dyDescent="0.4">
      <c r="A53" t="s">
        <v>262</v>
      </c>
      <c r="B53" t="s">
        <v>263</v>
      </c>
      <c r="C53" t="s">
        <v>313</v>
      </c>
      <c r="D53" t="s">
        <v>64</v>
      </c>
      <c r="E53" t="s">
        <v>22</v>
      </c>
      <c r="F53" t="s">
        <v>23</v>
      </c>
      <c r="G53">
        <v>1</v>
      </c>
      <c r="H53">
        <v>9791166300219</v>
      </c>
      <c r="I53" t="s">
        <v>24</v>
      </c>
      <c r="J53" t="s">
        <v>130</v>
      </c>
      <c r="K53" t="s">
        <v>119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  <c r="V53" s="7" t="str">
        <f>IF(ISERROR(VLOOKUP(K53,[1]작가별정산률!$R:$S,2,0)),"스토리위즈",VLOOKUP(K53,[1]작가별정산률!$R:$S,2,0))</f>
        <v>스토리위즈</v>
      </c>
      <c r="W53" s="7" t="str">
        <f>IF(V53="스토리위즈",VLOOKUP(K53,[1]작가별정산률!$A:$B,2,0),V53)</f>
        <v>김광수</v>
      </c>
    </row>
    <row r="54" spans="1:23" x14ac:dyDescent="0.4">
      <c r="A54" t="s">
        <v>262</v>
      </c>
      <c r="B54" t="s">
        <v>263</v>
      </c>
      <c r="C54" t="s">
        <v>314</v>
      </c>
      <c r="D54" t="s">
        <v>64</v>
      </c>
      <c r="E54" t="s">
        <v>22</v>
      </c>
      <c r="F54" t="s">
        <v>23</v>
      </c>
      <c r="G54">
        <v>1</v>
      </c>
      <c r="H54">
        <v>9791166300134</v>
      </c>
      <c r="I54" t="s">
        <v>24</v>
      </c>
      <c r="J54" t="s">
        <v>123</v>
      </c>
      <c r="K54" t="s">
        <v>119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  <c r="V54" s="7" t="str">
        <f>IF(ISERROR(VLOOKUP(K54,[1]작가별정산률!$R:$S,2,0)),"스토리위즈",VLOOKUP(K54,[1]작가별정산률!$R:$S,2,0))</f>
        <v>스토리위즈</v>
      </c>
      <c r="W54" s="7" t="str">
        <f>IF(V54="스토리위즈",VLOOKUP(K54,[1]작가별정산률!$A:$B,2,0),V54)</f>
        <v>김광수</v>
      </c>
    </row>
    <row r="55" spans="1:23" x14ac:dyDescent="0.4">
      <c r="A55" t="s">
        <v>262</v>
      </c>
      <c r="B55" t="s">
        <v>263</v>
      </c>
      <c r="C55" t="s">
        <v>315</v>
      </c>
      <c r="D55" t="s">
        <v>64</v>
      </c>
      <c r="E55" t="s">
        <v>22</v>
      </c>
      <c r="F55" t="s">
        <v>23</v>
      </c>
      <c r="G55">
        <v>1</v>
      </c>
      <c r="H55">
        <v>9791166300288</v>
      </c>
      <c r="I55" t="s">
        <v>24</v>
      </c>
      <c r="J55" t="s">
        <v>137</v>
      </c>
      <c r="K55" t="s">
        <v>119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  <c r="V55" s="7" t="str">
        <f>IF(ISERROR(VLOOKUP(K55,[1]작가별정산률!$R:$S,2,0)),"스토리위즈",VLOOKUP(K55,[1]작가별정산률!$R:$S,2,0))</f>
        <v>스토리위즈</v>
      </c>
      <c r="W55" s="7" t="str">
        <f>IF(V55="스토리위즈",VLOOKUP(K55,[1]작가별정산률!$A:$B,2,0),V55)</f>
        <v>김광수</v>
      </c>
    </row>
    <row r="56" spans="1:23" x14ac:dyDescent="0.4">
      <c r="A56" t="s">
        <v>262</v>
      </c>
      <c r="B56" t="s">
        <v>263</v>
      </c>
      <c r="C56" t="s">
        <v>316</v>
      </c>
      <c r="D56" t="s">
        <v>21</v>
      </c>
      <c r="E56" t="s">
        <v>22</v>
      </c>
      <c r="F56" t="s">
        <v>23</v>
      </c>
      <c r="G56">
        <v>1</v>
      </c>
      <c r="H56">
        <v>9791191562248</v>
      </c>
      <c r="I56" t="s">
        <v>143</v>
      </c>
      <c r="J56" t="s">
        <v>231</v>
      </c>
      <c r="K56" t="s">
        <v>232</v>
      </c>
      <c r="L56" t="s">
        <v>27</v>
      </c>
      <c r="M56" s="3">
        <v>2000</v>
      </c>
      <c r="N56" t="s">
        <v>27</v>
      </c>
      <c r="O56" s="3">
        <v>2000</v>
      </c>
      <c r="P56" s="3">
        <v>2000</v>
      </c>
      <c r="Q56" t="s">
        <v>30</v>
      </c>
      <c r="R56" s="2">
        <v>0.7</v>
      </c>
      <c r="S56" s="3">
        <v>1400</v>
      </c>
      <c r="T56" t="s">
        <v>27</v>
      </c>
      <c r="U56" s="3">
        <v>1400</v>
      </c>
      <c r="V56" s="7" t="str">
        <f>IF(ISERROR(VLOOKUP(K56,[1]작가별정산률!$R:$S,2,0)),"스토리위즈",VLOOKUP(K56,[1]작가별정산률!$R:$S,2,0))</f>
        <v>밀리의 서재</v>
      </c>
      <c r="W56" s="7" t="str">
        <f>IF(V56="스토리위즈",VLOOKUP(K56,[1]작가별정산률!$A:$B,2,0),V56)</f>
        <v>밀리의 서재</v>
      </c>
    </row>
    <row r="57" spans="1:23" x14ac:dyDescent="0.4">
      <c r="A57" t="s">
        <v>262</v>
      </c>
      <c r="B57" t="s">
        <v>263</v>
      </c>
      <c r="C57" t="s">
        <v>317</v>
      </c>
      <c r="D57" t="s">
        <v>64</v>
      </c>
      <c r="E57" t="s">
        <v>22</v>
      </c>
      <c r="F57" t="s">
        <v>23</v>
      </c>
      <c r="G57">
        <v>1</v>
      </c>
      <c r="H57">
        <v>9791166300530</v>
      </c>
      <c r="I57" t="s">
        <v>24</v>
      </c>
      <c r="J57" t="s">
        <v>151</v>
      </c>
      <c r="K57" t="s">
        <v>119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  <c r="V57" s="7" t="str">
        <f>IF(ISERROR(VLOOKUP(K57,[1]작가별정산률!$R:$S,2,0)),"스토리위즈",VLOOKUP(K57,[1]작가별정산률!$R:$S,2,0))</f>
        <v>스토리위즈</v>
      </c>
      <c r="W57" s="7" t="str">
        <f>IF(V57="스토리위즈",VLOOKUP(K57,[1]작가별정산률!$A:$B,2,0),V57)</f>
        <v>김광수</v>
      </c>
    </row>
    <row r="58" spans="1:23" x14ac:dyDescent="0.4">
      <c r="A58" t="s">
        <v>262</v>
      </c>
      <c r="B58" t="s">
        <v>263</v>
      </c>
      <c r="C58" t="s">
        <v>318</v>
      </c>
      <c r="D58" t="s">
        <v>21</v>
      </c>
      <c r="E58" t="s">
        <v>22</v>
      </c>
      <c r="F58" t="s">
        <v>23</v>
      </c>
      <c r="G58">
        <v>1</v>
      </c>
      <c r="H58">
        <v>9791191562309</v>
      </c>
      <c r="I58" t="s">
        <v>143</v>
      </c>
      <c r="J58" t="s">
        <v>225</v>
      </c>
      <c r="K58" t="s">
        <v>226</v>
      </c>
      <c r="L58" t="s">
        <v>27</v>
      </c>
      <c r="M58" s="3">
        <v>2500</v>
      </c>
      <c r="N58" t="s">
        <v>28</v>
      </c>
      <c r="O58">
        <v>2.06</v>
      </c>
      <c r="P58">
        <v>2.06</v>
      </c>
      <c r="Q58" t="s">
        <v>29</v>
      </c>
      <c r="R58" s="2">
        <v>0.7</v>
      </c>
      <c r="S58">
        <v>1.44</v>
      </c>
      <c r="T58" t="s">
        <v>27</v>
      </c>
      <c r="U58" s="3">
        <v>1822</v>
      </c>
      <c r="V58" s="7" t="str">
        <f>IF(ISERROR(VLOOKUP(K58,[1]작가별정산률!$R:$S,2,0)),"스토리위즈",VLOOKUP(K58,[1]작가별정산률!$R:$S,2,0))</f>
        <v>밀리의 서재</v>
      </c>
      <c r="W58" s="7" t="str">
        <f>IF(V58="스토리위즈",VLOOKUP(K58,[1]작가별정산률!$A:$B,2,0),V58)</f>
        <v>밀리의 서재</v>
      </c>
    </row>
    <row r="59" spans="1:23" x14ac:dyDescent="0.4">
      <c r="A59" t="s">
        <v>262</v>
      </c>
      <c r="B59" t="s">
        <v>263</v>
      </c>
      <c r="C59" t="s">
        <v>319</v>
      </c>
      <c r="D59" t="s">
        <v>64</v>
      </c>
      <c r="E59" t="s">
        <v>22</v>
      </c>
      <c r="F59" t="s">
        <v>23</v>
      </c>
      <c r="G59">
        <v>1</v>
      </c>
      <c r="H59">
        <v>9791166300523</v>
      </c>
      <c r="I59" t="s">
        <v>24</v>
      </c>
      <c r="J59" t="s">
        <v>150</v>
      </c>
      <c r="K59" t="s">
        <v>119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  <c r="V59" s="7" t="str">
        <f>IF(ISERROR(VLOOKUP(K59,[1]작가별정산률!$R:$S,2,0)),"스토리위즈",VLOOKUP(K59,[1]작가별정산률!$R:$S,2,0))</f>
        <v>스토리위즈</v>
      </c>
      <c r="W59" s="7" t="str">
        <f>IF(V59="스토리위즈",VLOOKUP(K59,[1]작가별정산률!$A:$B,2,0),V59)</f>
        <v>김광수</v>
      </c>
    </row>
    <row r="60" spans="1:23" x14ac:dyDescent="0.4">
      <c r="A60" t="s">
        <v>262</v>
      </c>
      <c r="B60" t="s">
        <v>263</v>
      </c>
      <c r="C60" t="s">
        <v>320</v>
      </c>
      <c r="D60" t="s">
        <v>64</v>
      </c>
      <c r="E60" t="s">
        <v>22</v>
      </c>
      <c r="F60" t="s">
        <v>23</v>
      </c>
      <c r="G60">
        <v>1</v>
      </c>
      <c r="H60">
        <v>9791166300301</v>
      </c>
      <c r="I60" t="s">
        <v>24</v>
      </c>
      <c r="J60" t="s">
        <v>139</v>
      </c>
      <c r="K60" t="s">
        <v>119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  <c r="V60" s="7" t="str">
        <f>IF(ISERROR(VLOOKUP(K60,[1]작가별정산률!$R:$S,2,0)),"스토리위즈",VLOOKUP(K60,[1]작가별정산률!$R:$S,2,0))</f>
        <v>스토리위즈</v>
      </c>
      <c r="W60" s="7" t="str">
        <f>IF(V60="스토리위즈",VLOOKUP(K60,[1]작가별정산률!$A:$B,2,0),V60)</f>
        <v>김광수</v>
      </c>
    </row>
    <row r="61" spans="1:23" x14ac:dyDescent="0.4">
      <c r="A61" t="s">
        <v>262</v>
      </c>
      <c r="B61" t="s">
        <v>263</v>
      </c>
      <c r="C61" t="s">
        <v>321</v>
      </c>
      <c r="D61" t="s">
        <v>64</v>
      </c>
      <c r="E61" t="s">
        <v>22</v>
      </c>
      <c r="F61" t="s">
        <v>23</v>
      </c>
      <c r="G61">
        <v>1</v>
      </c>
      <c r="H61">
        <v>9791166300653</v>
      </c>
      <c r="I61" t="s">
        <v>24</v>
      </c>
      <c r="J61" t="s">
        <v>157</v>
      </c>
      <c r="K61" t="s">
        <v>119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  <c r="V61" s="7" t="str">
        <f>IF(ISERROR(VLOOKUP(K61,[1]작가별정산률!$R:$S,2,0)),"스토리위즈",VLOOKUP(K61,[1]작가별정산률!$R:$S,2,0))</f>
        <v>스토리위즈</v>
      </c>
      <c r="W61" s="7" t="str">
        <f>IF(V61="스토리위즈",VLOOKUP(K61,[1]작가별정산률!$A:$B,2,0),V61)</f>
        <v>김광수</v>
      </c>
    </row>
    <row r="62" spans="1:23" x14ac:dyDescent="0.4">
      <c r="A62" t="s">
        <v>262</v>
      </c>
      <c r="B62" t="s">
        <v>263</v>
      </c>
      <c r="C62" t="s">
        <v>322</v>
      </c>
      <c r="D62" t="s">
        <v>64</v>
      </c>
      <c r="E62" t="s">
        <v>22</v>
      </c>
      <c r="F62" t="s">
        <v>23</v>
      </c>
      <c r="G62">
        <v>1</v>
      </c>
      <c r="H62">
        <v>9791166300530</v>
      </c>
      <c r="I62" t="s">
        <v>24</v>
      </c>
      <c r="J62" t="s">
        <v>151</v>
      </c>
      <c r="K62" t="s">
        <v>119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  <c r="V62" s="7" t="str">
        <f>IF(ISERROR(VLOOKUP(K62,[1]작가별정산률!$R:$S,2,0)),"스토리위즈",VLOOKUP(K62,[1]작가별정산률!$R:$S,2,0))</f>
        <v>스토리위즈</v>
      </c>
      <c r="W62" s="7" t="str">
        <f>IF(V62="스토리위즈",VLOOKUP(K62,[1]작가별정산률!$A:$B,2,0),V62)</f>
        <v>김광수</v>
      </c>
    </row>
    <row r="63" spans="1:23" x14ac:dyDescent="0.4">
      <c r="A63" t="s">
        <v>262</v>
      </c>
      <c r="B63" t="s">
        <v>263</v>
      </c>
      <c r="C63" t="s">
        <v>323</v>
      </c>
      <c r="D63" t="s">
        <v>64</v>
      </c>
      <c r="E63" t="s">
        <v>22</v>
      </c>
      <c r="F63" t="s">
        <v>23</v>
      </c>
      <c r="G63">
        <v>1</v>
      </c>
      <c r="H63">
        <v>9791166300127</v>
      </c>
      <c r="I63" t="s">
        <v>24</v>
      </c>
      <c r="J63" t="s">
        <v>122</v>
      </c>
      <c r="K63" t="s">
        <v>119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2">
        <v>0.7</v>
      </c>
      <c r="S63">
        <v>441</v>
      </c>
      <c r="T63" t="s">
        <v>27</v>
      </c>
      <c r="U63">
        <v>441</v>
      </c>
      <c r="V63" s="7" t="str">
        <f>IF(ISERROR(VLOOKUP(K63,[1]작가별정산률!$R:$S,2,0)),"스토리위즈",VLOOKUP(K63,[1]작가별정산률!$R:$S,2,0))</f>
        <v>스토리위즈</v>
      </c>
      <c r="W63" s="7" t="str">
        <f>IF(V63="스토리위즈",VLOOKUP(K63,[1]작가별정산률!$A:$B,2,0),V63)</f>
        <v>김광수</v>
      </c>
    </row>
    <row r="64" spans="1:23" x14ac:dyDescent="0.4">
      <c r="A64" t="s">
        <v>262</v>
      </c>
      <c r="B64" t="s">
        <v>263</v>
      </c>
      <c r="C64" t="s">
        <v>324</v>
      </c>
      <c r="D64" t="s">
        <v>21</v>
      </c>
      <c r="E64" t="s">
        <v>22</v>
      </c>
      <c r="F64" t="s">
        <v>23</v>
      </c>
      <c r="G64">
        <v>1</v>
      </c>
      <c r="H64">
        <v>9791166300134</v>
      </c>
      <c r="I64" t="s">
        <v>24</v>
      </c>
      <c r="J64" t="s">
        <v>123</v>
      </c>
      <c r="K64" t="s">
        <v>119</v>
      </c>
      <c r="L64" t="s">
        <v>27</v>
      </c>
      <c r="M64" s="3">
        <v>3200</v>
      </c>
      <c r="N64" t="s">
        <v>27</v>
      </c>
      <c r="O64" s="3">
        <v>3200</v>
      </c>
      <c r="P64" s="3">
        <v>3200</v>
      </c>
      <c r="Q64" t="s">
        <v>30</v>
      </c>
      <c r="R64" s="2">
        <v>0.7</v>
      </c>
      <c r="S64" s="3">
        <v>2240</v>
      </c>
      <c r="T64" t="s">
        <v>27</v>
      </c>
      <c r="U64" s="3">
        <v>2240</v>
      </c>
      <c r="V64" s="7" t="str">
        <f>IF(ISERROR(VLOOKUP(K64,[1]작가별정산률!$R:$S,2,0)),"스토리위즈",VLOOKUP(K64,[1]작가별정산률!$R:$S,2,0))</f>
        <v>스토리위즈</v>
      </c>
      <c r="W64" s="7" t="str">
        <f>IF(V64="스토리위즈",VLOOKUP(K64,[1]작가별정산률!$A:$B,2,0),V64)</f>
        <v>김광수</v>
      </c>
    </row>
    <row r="65" spans="1:23" x14ac:dyDescent="0.4">
      <c r="A65" t="s">
        <v>262</v>
      </c>
      <c r="B65" t="s">
        <v>263</v>
      </c>
      <c r="C65" t="s">
        <v>325</v>
      </c>
      <c r="D65" t="s">
        <v>64</v>
      </c>
      <c r="E65" t="s">
        <v>22</v>
      </c>
      <c r="F65" t="s">
        <v>23</v>
      </c>
      <c r="G65">
        <v>1</v>
      </c>
      <c r="H65">
        <v>9791166300103</v>
      </c>
      <c r="I65" t="s">
        <v>24</v>
      </c>
      <c r="J65" t="s">
        <v>120</v>
      </c>
      <c r="K65" t="s">
        <v>119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  <c r="V65" s="7" t="str">
        <f>IF(ISERROR(VLOOKUP(K65,[1]작가별정산률!$R:$S,2,0)),"스토리위즈",VLOOKUP(K65,[1]작가별정산률!$R:$S,2,0))</f>
        <v>스토리위즈</v>
      </c>
      <c r="W65" s="7" t="str">
        <f>IF(V65="스토리위즈",VLOOKUP(K65,[1]작가별정산률!$A:$B,2,0),V65)</f>
        <v>김광수</v>
      </c>
    </row>
    <row r="66" spans="1:23" x14ac:dyDescent="0.4">
      <c r="A66" t="s">
        <v>262</v>
      </c>
      <c r="B66" t="s">
        <v>326</v>
      </c>
      <c r="C66" t="s">
        <v>327</v>
      </c>
      <c r="D66" t="s">
        <v>64</v>
      </c>
      <c r="E66" t="s">
        <v>22</v>
      </c>
      <c r="F66" t="s">
        <v>23</v>
      </c>
      <c r="G66">
        <v>1</v>
      </c>
      <c r="H66">
        <v>9791166300530</v>
      </c>
      <c r="I66" t="s">
        <v>24</v>
      </c>
      <c r="J66" t="s">
        <v>151</v>
      </c>
      <c r="K66" t="s">
        <v>119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2">
        <v>0.7</v>
      </c>
      <c r="S66">
        <v>441</v>
      </c>
      <c r="T66" t="s">
        <v>27</v>
      </c>
      <c r="U66">
        <v>441</v>
      </c>
      <c r="V66" s="7" t="str">
        <f>IF(ISERROR(VLOOKUP(K66,[1]작가별정산률!$R:$S,2,0)),"스토리위즈",VLOOKUP(K66,[1]작가별정산률!$R:$S,2,0))</f>
        <v>스토리위즈</v>
      </c>
      <c r="W66" s="7" t="str">
        <f>IF(V66="스토리위즈",VLOOKUP(K66,[1]작가별정산률!$A:$B,2,0),V66)</f>
        <v>김광수</v>
      </c>
    </row>
    <row r="67" spans="1:23" x14ac:dyDescent="0.4">
      <c r="A67" t="s">
        <v>262</v>
      </c>
      <c r="B67" t="s">
        <v>326</v>
      </c>
      <c r="C67" t="s">
        <v>328</v>
      </c>
      <c r="D67" t="s">
        <v>64</v>
      </c>
      <c r="E67" t="s">
        <v>22</v>
      </c>
      <c r="F67" t="s">
        <v>23</v>
      </c>
      <c r="G67">
        <v>1</v>
      </c>
      <c r="H67">
        <v>9791166300103</v>
      </c>
      <c r="I67" t="s">
        <v>24</v>
      </c>
      <c r="J67" t="s">
        <v>120</v>
      </c>
      <c r="K67" t="s">
        <v>119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2">
        <v>0.7</v>
      </c>
      <c r="S67">
        <v>441</v>
      </c>
      <c r="T67" t="s">
        <v>27</v>
      </c>
      <c r="U67">
        <v>441</v>
      </c>
      <c r="V67" s="7" t="str">
        <f>IF(ISERROR(VLOOKUP(K67,[1]작가별정산률!$R:$S,2,0)),"스토리위즈",VLOOKUP(K67,[1]작가별정산률!$R:$S,2,0))</f>
        <v>스토리위즈</v>
      </c>
      <c r="W67" s="7" t="str">
        <f>IF(V67="스토리위즈",VLOOKUP(K67,[1]작가별정산률!$A:$B,2,0),V67)</f>
        <v>김광수</v>
      </c>
    </row>
    <row r="68" spans="1:23" x14ac:dyDescent="0.4">
      <c r="A68" t="s">
        <v>262</v>
      </c>
      <c r="B68" t="s">
        <v>326</v>
      </c>
      <c r="C68" t="s">
        <v>329</v>
      </c>
      <c r="D68" t="s">
        <v>64</v>
      </c>
      <c r="E68" t="s">
        <v>22</v>
      </c>
      <c r="F68" t="s">
        <v>23</v>
      </c>
      <c r="G68">
        <v>1</v>
      </c>
      <c r="H68">
        <v>9791166300271</v>
      </c>
      <c r="I68" t="s">
        <v>24</v>
      </c>
      <c r="J68" t="s">
        <v>136</v>
      </c>
      <c r="K68" t="s">
        <v>119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  <c r="V68" s="7" t="str">
        <f>IF(ISERROR(VLOOKUP(K68,[1]작가별정산률!$R:$S,2,0)),"스토리위즈",VLOOKUP(K68,[1]작가별정산률!$R:$S,2,0))</f>
        <v>스토리위즈</v>
      </c>
      <c r="W68" s="7" t="str">
        <f>IF(V68="스토리위즈",VLOOKUP(K68,[1]작가별정산률!$A:$B,2,0),V68)</f>
        <v>김광수</v>
      </c>
    </row>
    <row r="69" spans="1:23" x14ac:dyDescent="0.4">
      <c r="A69" t="s">
        <v>262</v>
      </c>
      <c r="B69" t="s">
        <v>326</v>
      </c>
      <c r="C69" t="s">
        <v>330</v>
      </c>
      <c r="D69" t="s">
        <v>21</v>
      </c>
      <c r="E69" t="s">
        <v>22</v>
      </c>
      <c r="F69" t="s">
        <v>23</v>
      </c>
      <c r="G69">
        <v>1</v>
      </c>
      <c r="H69">
        <v>9791166064111</v>
      </c>
      <c r="I69" t="s">
        <v>24</v>
      </c>
      <c r="J69" t="s">
        <v>94</v>
      </c>
      <c r="K69" t="s">
        <v>37</v>
      </c>
      <c r="L69" t="s">
        <v>27</v>
      </c>
      <c r="M69" s="3">
        <v>3200</v>
      </c>
      <c r="N69" t="s">
        <v>219</v>
      </c>
      <c r="O69">
        <v>3.8</v>
      </c>
      <c r="P69">
        <v>3.3</v>
      </c>
      <c r="Q69" t="s">
        <v>220</v>
      </c>
      <c r="R69" s="2">
        <v>0.7</v>
      </c>
      <c r="S69">
        <v>2.31</v>
      </c>
      <c r="T69" t="s">
        <v>27</v>
      </c>
      <c r="U69" s="3">
        <v>1882</v>
      </c>
      <c r="V69" s="7" t="str">
        <f>IF(ISERROR(VLOOKUP(K69,[1]작가별정산률!$R:$S,2,0)),"스토리위즈",VLOOKUP(K69,[1]작가별정산률!$R:$S,2,0))</f>
        <v>스토리위즈</v>
      </c>
      <c r="W69" s="7" t="str">
        <f>IF(V69="스토리위즈",VLOOKUP(K69,[1]작가별정산률!$A:$B,2,0),V69)</f>
        <v>권용찬</v>
      </c>
    </row>
    <row r="70" spans="1:23" x14ac:dyDescent="0.4">
      <c r="A70" t="s">
        <v>262</v>
      </c>
      <c r="B70" t="s">
        <v>326</v>
      </c>
      <c r="C70" t="s">
        <v>331</v>
      </c>
      <c r="D70" t="s">
        <v>21</v>
      </c>
      <c r="E70" t="s">
        <v>22</v>
      </c>
      <c r="F70" t="s">
        <v>23</v>
      </c>
      <c r="G70">
        <v>1</v>
      </c>
      <c r="H70">
        <v>9791166300141</v>
      </c>
      <c r="I70" t="s">
        <v>24</v>
      </c>
      <c r="J70" t="s">
        <v>124</v>
      </c>
      <c r="K70" t="s">
        <v>119</v>
      </c>
      <c r="L70" t="s">
        <v>27</v>
      </c>
      <c r="M70" s="3">
        <v>3200</v>
      </c>
      <c r="N70" t="s">
        <v>27</v>
      </c>
      <c r="O70" s="3">
        <v>3200</v>
      </c>
      <c r="P70" s="3">
        <v>3200</v>
      </c>
      <c r="Q70" t="s">
        <v>30</v>
      </c>
      <c r="R70" s="2">
        <v>0.7</v>
      </c>
      <c r="S70" s="3">
        <v>2240</v>
      </c>
      <c r="T70" t="s">
        <v>27</v>
      </c>
      <c r="U70" s="3">
        <v>2240</v>
      </c>
      <c r="V70" s="7" t="str">
        <f>IF(ISERROR(VLOOKUP(K70,[1]작가별정산률!$R:$S,2,0)),"스토리위즈",VLOOKUP(K70,[1]작가별정산률!$R:$S,2,0))</f>
        <v>스토리위즈</v>
      </c>
      <c r="W70" s="7" t="str">
        <f>IF(V70="스토리위즈",VLOOKUP(K70,[1]작가별정산률!$A:$B,2,0),V70)</f>
        <v>김광수</v>
      </c>
    </row>
    <row r="71" spans="1:23" x14ac:dyDescent="0.4">
      <c r="A71" t="s">
        <v>262</v>
      </c>
      <c r="B71" t="s">
        <v>326</v>
      </c>
      <c r="C71" t="s">
        <v>332</v>
      </c>
      <c r="D71" t="s">
        <v>64</v>
      </c>
      <c r="E71" t="s">
        <v>22</v>
      </c>
      <c r="F71" t="s">
        <v>23</v>
      </c>
      <c r="G71">
        <v>1</v>
      </c>
      <c r="H71">
        <v>9791166300110</v>
      </c>
      <c r="I71" t="s">
        <v>24</v>
      </c>
      <c r="J71" t="s">
        <v>121</v>
      </c>
      <c r="K71" t="s">
        <v>119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  <c r="V71" s="7" t="str">
        <f>IF(ISERROR(VLOOKUP(K71,[1]작가별정산률!$R:$S,2,0)),"스토리위즈",VLOOKUP(K71,[1]작가별정산률!$R:$S,2,0))</f>
        <v>스토리위즈</v>
      </c>
      <c r="W71" s="7" t="str">
        <f>IF(V71="스토리위즈",VLOOKUP(K71,[1]작가별정산률!$A:$B,2,0),V71)</f>
        <v>김광수</v>
      </c>
    </row>
    <row r="72" spans="1:23" x14ac:dyDescent="0.4">
      <c r="A72" t="s">
        <v>262</v>
      </c>
      <c r="B72" t="s">
        <v>326</v>
      </c>
      <c r="C72" t="s">
        <v>333</v>
      </c>
      <c r="D72" t="s">
        <v>64</v>
      </c>
      <c r="E72" t="s">
        <v>22</v>
      </c>
      <c r="F72" t="s">
        <v>23</v>
      </c>
      <c r="G72">
        <v>1</v>
      </c>
      <c r="H72">
        <v>9791166300561</v>
      </c>
      <c r="I72" t="s">
        <v>24</v>
      </c>
      <c r="J72" t="s">
        <v>158</v>
      </c>
      <c r="K72" t="s">
        <v>119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444</v>
      </c>
      <c r="V72" s="7" t="str">
        <f>IF(ISERROR(VLOOKUP(K72,[1]작가별정산률!$R:$S,2,0)),"스토리위즈",VLOOKUP(K72,[1]작가별정산률!$R:$S,2,0))</f>
        <v>스토리위즈</v>
      </c>
      <c r="W72" s="7" t="str">
        <f>IF(V72="스토리위즈",VLOOKUP(K72,[1]작가별정산률!$A:$B,2,0),V72)</f>
        <v>김광수</v>
      </c>
    </row>
    <row r="73" spans="1:23" x14ac:dyDescent="0.4">
      <c r="A73" t="s">
        <v>262</v>
      </c>
      <c r="B73" t="s">
        <v>326</v>
      </c>
      <c r="C73" t="s">
        <v>334</v>
      </c>
      <c r="D73" t="s">
        <v>64</v>
      </c>
      <c r="E73" t="s">
        <v>22</v>
      </c>
      <c r="F73" t="s">
        <v>23</v>
      </c>
      <c r="G73">
        <v>1</v>
      </c>
      <c r="H73">
        <v>9791166300585</v>
      </c>
      <c r="I73" t="s">
        <v>24</v>
      </c>
      <c r="J73" t="s">
        <v>160</v>
      </c>
      <c r="K73" t="s">
        <v>119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2">
        <v>0.7</v>
      </c>
      <c r="S73">
        <v>441</v>
      </c>
      <c r="T73" t="s">
        <v>27</v>
      </c>
      <c r="U73">
        <v>441</v>
      </c>
      <c r="V73" s="7" t="str">
        <f>IF(ISERROR(VLOOKUP(K73,[1]작가별정산률!$R:$S,2,0)),"스토리위즈",VLOOKUP(K73,[1]작가별정산률!$R:$S,2,0))</f>
        <v>스토리위즈</v>
      </c>
      <c r="W73" s="7" t="str">
        <f>IF(V73="스토리위즈",VLOOKUP(K73,[1]작가별정산률!$A:$B,2,0),V73)</f>
        <v>김광수</v>
      </c>
    </row>
    <row r="74" spans="1:23" x14ac:dyDescent="0.4">
      <c r="A74" t="s">
        <v>262</v>
      </c>
      <c r="B74" t="s">
        <v>326</v>
      </c>
      <c r="C74" t="s">
        <v>335</v>
      </c>
      <c r="D74" t="s">
        <v>64</v>
      </c>
      <c r="E74" t="s">
        <v>22</v>
      </c>
      <c r="F74" t="s">
        <v>23</v>
      </c>
      <c r="G74">
        <v>1</v>
      </c>
      <c r="H74">
        <v>9791166061080</v>
      </c>
      <c r="I74" t="s">
        <v>24</v>
      </c>
      <c r="J74" t="s">
        <v>74</v>
      </c>
      <c r="K74" t="s">
        <v>37</v>
      </c>
      <c r="L74" t="s">
        <v>27</v>
      </c>
      <c r="M74">
        <v>900</v>
      </c>
      <c r="N74" t="s">
        <v>27</v>
      </c>
      <c r="O74">
        <v>900</v>
      </c>
      <c r="P74">
        <v>900</v>
      </c>
      <c r="Q74" t="s">
        <v>30</v>
      </c>
      <c r="R74" s="2">
        <v>0.7</v>
      </c>
      <c r="S74">
        <v>630</v>
      </c>
      <c r="T74" t="s">
        <v>27</v>
      </c>
      <c r="U74">
        <v>630</v>
      </c>
      <c r="V74" s="7" t="str">
        <f>IF(ISERROR(VLOOKUP(K74,[1]작가별정산률!$R:$S,2,0)),"스토리위즈",VLOOKUP(K74,[1]작가별정산률!$R:$S,2,0))</f>
        <v>스토리위즈</v>
      </c>
      <c r="W74" s="7" t="str">
        <f>IF(V74="스토리위즈",VLOOKUP(K74,[1]작가별정산률!$A:$B,2,0),V74)</f>
        <v>권용찬</v>
      </c>
    </row>
    <row r="75" spans="1:23" x14ac:dyDescent="0.4">
      <c r="A75" t="s">
        <v>262</v>
      </c>
      <c r="B75" t="s">
        <v>326</v>
      </c>
      <c r="C75" t="s">
        <v>336</v>
      </c>
      <c r="D75" t="s">
        <v>64</v>
      </c>
      <c r="E75" t="s">
        <v>22</v>
      </c>
      <c r="F75" t="s">
        <v>23</v>
      </c>
      <c r="G75">
        <v>1</v>
      </c>
      <c r="H75">
        <v>9791166300134</v>
      </c>
      <c r="I75" t="s">
        <v>24</v>
      </c>
      <c r="J75" t="s">
        <v>123</v>
      </c>
      <c r="K75" t="s">
        <v>119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  <c r="V75" s="7" t="str">
        <f>IF(ISERROR(VLOOKUP(K75,[1]작가별정산률!$R:$S,2,0)),"스토리위즈",VLOOKUP(K75,[1]작가별정산률!$R:$S,2,0))</f>
        <v>스토리위즈</v>
      </c>
      <c r="W75" s="7" t="str">
        <f>IF(V75="스토리위즈",VLOOKUP(K75,[1]작가별정산률!$A:$B,2,0),V75)</f>
        <v>김광수</v>
      </c>
    </row>
    <row r="76" spans="1:23" x14ac:dyDescent="0.4">
      <c r="A76" t="s">
        <v>262</v>
      </c>
      <c r="B76" t="s">
        <v>326</v>
      </c>
      <c r="C76" t="s">
        <v>337</v>
      </c>
      <c r="D76" t="s">
        <v>21</v>
      </c>
      <c r="E76" t="s">
        <v>22</v>
      </c>
      <c r="F76" t="s">
        <v>23</v>
      </c>
      <c r="G76">
        <v>1</v>
      </c>
      <c r="H76">
        <v>9791191562125</v>
      </c>
      <c r="I76" t="s">
        <v>143</v>
      </c>
      <c r="J76" t="s">
        <v>212</v>
      </c>
      <c r="K76" t="s">
        <v>213</v>
      </c>
      <c r="L76" t="s">
        <v>27</v>
      </c>
      <c r="M76" s="3">
        <v>2500</v>
      </c>
      <c r="N76" t="s">
        <v>27</v>
      </c>
      <c r="O76" s="3">
        <v>2500</v>
      </c>
      <c r="P76" s="3">
        <v>2500</v>
      </c>
      <c r="Q76" t="s">
        <v>30</v>
      </c>
      <c r="R76" s="2">
        <v>0.7</v>
      </c>
      <c r="S76" s="3">
        <v>1750</v>
      </c>
      <c r="T76" t="s">
        <v>27</v>
      </c>
      <c r="U76" s="3">
        <v>1750</v>
      </c>
      <c r="V76" s="7" t="str">
        <f>IF(ISERROR(VLOOKUP(K76,[1]작가별정산률!$R:$S,2,0)),"스토리위즈",VLOOKUP(K76,[1]작가별정산률!$R:$S,2,0))</f>
        <v>밀리의 서재</v>
      </c>
      <c r="W76" s="7" t="str">
        <f>IF(V76="스토리위즈",VLOOKUP(K76,[1]작가별정산률!$A:$B,2,0),V76)</f>
        <v>밀리의 서재</v>
      </c>
    </row>
    <row r="77" spans="1:23" x14ac:dyDescent="0.4">
      <c r="A77" t="s">
        <v>262</v>
      </c>
      <c r="B77" t="s">
        <v>326</v>
      </c>
      <c r="C77" t="s">
        <v>338</v>
      </c>
      <c r="D77" t="s">
        <v>64</v>
      </c>
      <c r="E77" t="s">
        <v>22</v>
      </c>
      <c r="F77" t="s">
        <v>23</v>
      </c>
      <c r="G77">
        <v>1</v>
      </c>
      <c r="H77">
        <v>9791166300547</v>
      </c>
      <c r="I77" t="s">
        <v>24</v>
      </c>
      <c r="J77" t="s">
        <v>153</v>
      </c>
      <c r="K77" t="s">
        <v>119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  <c r="V77" s="7" t="str">
        <f>IF(ISERROR(VLOOKUP(K77,[1]작가별정산률!$R:$S,2,0)),"스토리위즈",VLOOKUP(K77,[1]작가별정산률!$R:$S,2,0))</f>
        <v>스토리위즈</v>
      </c>
      <c r="W77" s="7" t="str">
        <f>IF(V77="스토리위즈",VLOOKUP(K77,[1]작가별정산률!$A:$B,2,0),V77)</f>
        <v>김광수</v>
      </c>
    </row>
    <row r="78" spans="1:23" x14ac:dyDescent="0.4">
      <c r="A78" t="s">
        <v>262</v>
      </c>
      <c r="B78" t="s">
        <v>326</v>
      </c>
      <c r="C78" t="s">
        <v>339</v>
      </c>
      <c r="D78" t="s">
        <v>64</v>
      </c>
      <c r="E78" t="s">
        <v>22</v>
      </c>
      <c r="F78" t="s">
        <v>23</v>
      </c>
      <c r="G78">
        <v>1</v>
      </c>
      <c r="H78">
        <v>9791166300127</v>
      </c>
      <c r="I78" t="s">
        <v>24</v>
      </c>
      <c r="J78" t="s">
        <v>122</v>
      </c>
      <c r="K78" t="s">
        <v>119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  <c r="V78" s="7" t="str">
        <f>IF(ISERROR(VLOOKUP(K78,[1]작가별정산률!$R:$S,2,0)),"스토리위즈",VLOOKUP(K78,[1]작가별정산률!$R:$S,2,0))</f>
        <v>스토리위즈</v>
      </c>
      <c r="W78" s="7" t="str">
        <f>IF(V78="스토리위즈",VLOOKUP(K78,[1]작가별정산률!$A:$B,2,0),V78)</f>
        <v>김광수</v>
      </c>
    </row>
    <row r="79" spans="1:23" x14ac:dyDescent="0.4">
      <c r="A79" t="s">
        <v>262</v>
      </c>
      <c r="B79" t="s">
        <v>326</v>
      </c>
      <c r="C79" t="s">
        <v>340</v>
      </c>
      <c r="D79" t="s">
        <v>64</v>
      </c>
      <c r="E79" t="s">
        <v>22</v>
      </c>
      <c r="F79" t="s">
        <v>23</v>
      </c>
      <c r="G79">
        <v>1</v>
      </c>
      <c r="H79">
        <v>9791166300110</v>
      </c>
      <c r="I79" t="s">
        <v>24</v>
      </c>
      <c r="J79" t="s">
        <v>121</v>
      </c>
      <c r="K79" t="s">
        <v>119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2">
        <v>0.7</v>
      </c>
      <c r="S79">
        <v>441</v>
      </c>
      <c r="T79" t="s">
        <v>27</v>
      </c>
      <c r="U79">
        <v>441</v>
      </c>
      <c r="V79" s="7" t="str">
        <f>IF(ISERROR(VLOOKUP(K79,[1]작가별정산률!$R:$S,2,0)),"스토리위즈",VLOOKUP(K79,[1]작가별정산률!$R:$S,2,0))</f>
        <v>스토리위즈</v>
      </c>
      <c r="W79" s="7" t="str">
        <f>IF(V79="스토리위즈",VLOOKUP(K79,[1]작가별정산률!$A:$B,2,0),V79)</f>
        <v>김광수</v>
      </c>
    </row>
    <row r="80" spans="1:23" x14ac:dyDescent="0.4">
      <c r="A80" t="s">
        <v>262</v>
      </c>
      <c r="B80" t="s">
        <v>326</v>
      </c>
      <c r="C80" t="s">
        <v>341</v>
      </c>
      <c r="D80" t="s">
        <v>64</v>
      </c>
      <c r="E80" t="s">
        <v>22</v>
      </c>
      <c r="F80" t="s">
        <v>23</v>
      </c>
      <c r="G80">
        <v>1</v>
      </c>
      <c r="H80">
        <v>9791166300547</v>
      </c>
      <c r="I80" t="s">
        <v>24</v>
      </c>
      <c r="J80" t="s">
        <v>153</v>
      </c>
      <c r="K80" t="s">
        <v>119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2">
        <v>0.7</v>
      </c>
      <c r="S80">
        <v>441</v>
      </c>
      <c r="T80" t="s">
        <v>27</v>
      </c>
      <c r="U80">
        <v>441</v>
      </c>
      <c r="V80" s="7" t="str">
        <f>IF(ISERROR(VLOOKUP(K80,[1]작가별정산률!$R:$S,2,0)),"스토리위즈",VLOOKUP(K80,[1]작가별정산률!$R:$S,2,0))</f>
        <v>스토리위즈</v>
      </c>
      <c r="W80" s="7" t="str">
        <f>IF(V80="스토리위즈",VLOOKUP(K80,[1]작가별정산률!$A:$B,2,0),V80)</f>
        <v>김광수</v>
      </c>
    </row>
    <row r="81" spans="1:23" x14ac:dyDescent="0.4">
      <c r="A81" t="s">
        <v>262</v>
      </c>
      <c r="B81" t="s">
        <v>326</v>
      </c>
      <c r="C81" t="s">
        <v>342</v>
      </c>
      <c r="D81" t="s">
        <v>64</v>
      </c>
      <c r="E81" t="s">
        <v>22</v>
      </c>
      <c r="F81" t="s">
        <v>23</v>
      </c>
      <c r="G81">
        <v>1</v>
      </c>
      <c r="H81">
        <v>9791166300103</v>
      </c>
      <c r="I81" t="s">
        <v>24</v>
      </c>
      <c r="J81" t="s">
        <v>120</v>
      </c>
      <c r="K81" t="s">
        <v>119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2">
        <v>0.7</v>
      </c>
      <c r="S81">
        <v>441</v>
      </c>
      <c r="T81" t="s">
        <v>27</v>
      </c>
      <c r="U81">
        <v>441</v>
      </c>
      <c r="V81" s="7" t="str">
        <f>IF(ISERROR(VLOOKUP(K81,[1]작가별정산률!$R:$S,2,0)),"스토리위즈",VLOOKUP(K81,[1]작가별정산률!$R:$S,2,0))</f>
        <v>스토리위즈</v>
      </c>
      <c r="W81" s="7" t="str">
        <f>IF(V81="스토리위즈",VLOOKUP(K81,[1]작가별정산률!$A:$B,2,0),V81)</f>
        <v>김광수</v>
      </c>
    </row>
    <row r="82" spans="1:23" x14ac:dyDescent="0.4">
      <c r="A82" t="s">
        <v>262</v>
      </c>
      <c r="B82" t="s">
        <v>326</v>
      </c>
      <c r="C82" t="s">
        <v>343</v>
      </c>
      <c r="D82" t="s">
        <v>64</v>
      </c>
      <c r="E82" t="s">
        <v>22</v>
      </c>
      <c r="F82" t="s">
        <v>23</v>
      </c>
      <c r="G82">
        <v>1</v>
      </c>
      <c r="H82">
        <v>9791166300608</v>
      </c>
      <c r="I82" t="s">
        <v>24</v>
      </c>
      <c r="J82" t="s">
        <v>162</v>
      </c>
      <c r="K82" t="s">
        <v>119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  <c r="V82" s="7" t="str">
        <f>IF(ISERROR(VLOOKUP(K82,[1]작가별정산률!$R:$S,2,0)),"스토리위즈",VLOOKUP(K82,[1]작가별정산률!$R:$S,2,0))</f>
        <v>스토리위즈</v>
      </c>
      <c r="W82" s="7" t="str">
        <f>IF(V82="스토리위즈",VLOOKUP(K82,[1]작가별정산률!$A:$B,2,0),V82)</f>
        <v>김광수</v>
      </c>
    </row>
    <row r="83" spans="1:23" x14ac:dyDescent="0.4">
      <c r="A83" t="s">
        <v>262</v>
      </c>
      <c r="B83" t="s">
        <v>326</v>
      </c>
      <c r="C83" t="s">
        <v>344</v>
      </c>
      <c r="D83" t="s">
        <v>64</v>
      </c>
      <c r="E83" t="s">
        <v>22</v>
      </c>
      <c r="F83" t="s">
        <v>23</v>
      </c>
      <c r="G83">
        <v>1</v>
      </c>
      <c r="H83">
        <v>9791166300639</v>
      </c>
      <c r="I83" t="s">
        <v>24</v>
      </c>
      <c r="J83" t="s">
        <v>165</v>
      </c>
      <c r="K83" t="s">
        <v>119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2">
        <v>0.7</v>
      </c>
      <c r="S83">
        <v>441</v>
      </c>
      <c r="T83" t="s">
        <v>27</v>
      </c>
      <c r="U83">
        <v>441</v>
      </c>
      <c r="V83" s="7" t="str">
        <f>IF(ISERROR(VLOOKUP(K83,[1]작가별정산률!$R:$S,2,0)),"스토리위즈",VLOOKUP(K83,[1]작가별정산률!$R:$S,2,0))</f>
        <v>스토리위즈</v>
      </c>
      <c r="W83" s="7" t="str">
        <f>IF(V83="스토리위즈",VLOOKUP(K83,[1]작가별정산률!$A:$B,2,0),V83)</f>
        <v>김광수</v>
      </c>
    </row>
    <row r="84" spans="1:23" x14ac:dyDescent="0.4">
      <c r="A84" t="s">
        <v>262</v>
      </c>
      <c r="B84" t="s">
        <v>326</v>
      </c>
      <c r="C84" t="s">
        <v>345</v>
      </c>
      <c r="D84" t="s">
        <v>64</v>
      </c>
      <c r="E84" t="s">
        <v>22</v>
      </c>
      <c r="F84" t="s">
        <v>23</v>
      </c>
      <c r="G84">
        <v>1</v>
      </c>
      <c r="H84">
        <v>9791166064395</v>
      </c>
      <c r="I84" t="s">
        <v>24</v>
      </c>
      <c r="J84" t="s">
        <v>104</v>
      </c>
      <c r="K84" t="s">
        <v>102</v>
      </c>
      <c r="L84" t="s">
        <v>27</v>
      </c>
      <c r="M84">
        <v>720</v>
      </c>
      <c r="N84" t="s">
        <v>27</v>
      </c>
      <c r="O84">
        <v>720</v>
      </c>
      <c r="P84">
        <v>720</v>
      </c>
      <c r="Q84" t="s">
        <v>30</v>
      </c>
      <c r="R84" s="2">
        <v>0.7</v>
      </c>
      <c r="S84">
        <v>504</v>
      </c>
      <c r="T84" t="s">
        <v>27</v>
      </c>
      <c r="U84">
        <v>504</v>
      </c>
      <c r="V84" s="7" t="str">
        <f>IF(ISERROR(VLOOKUP(K84,[1]작가별정산률!$R:$S,2,0)),"스토리위즈",VLOOKUP(K84,[1]작가별정산률!$R:$S,2,0))</f>
        <v>스토리위즈</v>
      </c>
      <c r="W84" s="7" t="str">
        <f>IF(V84="스토리위즈",VLOOKUP(K84,[1]작가별정산률!$A:$B,2,0),V84)</f>
        <v>예로나</v>
      </c>
    </row>
    <row r="85" spans="1:23" x14ac:dyDescent="0.4">
      <c r="A85" t="s">
        <v>262</v>
      </c>
      <c r="B85" t="s">
        <v>326</v>
      </c>
      <c r="C85" t="s">
        <v>346</v>
      </c>
      <c r="D85" t="s">
        <v>21</v>
      </c>
      <c r="E85" t="s">
        <v>22</v>
      </c>
      <c r="F85" t="s">
        <v>23</v>
      </c>
      <c r="G85">
        <v>1</v>
      </c>
      <c r="H85">
        <v>9791197098468</v>
      </c>
      <c r="I85" t="s">
        <v>24</v>
      </c>
      <c r="J85" t="s">
        <v>261</v>
      </c>
      <c r="K85" t="s">
        <v>37</v>
      </c>
      <c r="L85" t="s">
        <v>27</v>
      </c>
      <c r="M85" s="3">
        <v>3200</v>
      </c>
      <c r="N85" t="s">
        <v>27</v>
      </c>
      <c r="O85" s="3">
        <v>3200</v>
      </c>
      <c r="P85" s="3">
        <v>3200</v>
      </c>
      <c r="Q85" t="s">
        <v>30</v>
      </c>
      <c r="R85" s="2">
        <v>0.7</v>
      </c>
      <c r="S85" s="3">
        <v>2240</v>
      </c>
      <c r="T85" t="s">
        <v>27</v>
      </c>
      <c r="U85" s="3">
        <v>2240</v>
      </c>
      <c r="V85" s="7" t="str">
        <f>IF(ISERROR(VLOOKUP(K85,[1]작가별정산률!$R:$S,2,0)),"스토리위즈",VLOOKUP(K85,[1]작가별정산률!$R:$S,2,0))</f>
        <v>스토리위즈</v>
      </c>
      <c r="W85" s="7" t="str">
        <f>IF(V85="스토리위즈",VLOOKUP(K85,[1]작가별정산률!$A:$B,2,0),V85)</f>
        <v>권용찬</v>
      </c>
    </row>
    <row r="86" spans="1:23" x14ac:dyDescent="0.4">
      <c r="A86" t="s">
        <v>262</v>
      </c>
      <c r="B86" t="s">
        <v>326</v>
      </c>
      <c r="C86" t="s">
        <v>347</v>
      </c>
      <c r="D86" t="s">
        <v>21</v>
      </c>
      <c r="E86" t="s">
        <v>22</v>
      </c>
      <c r="F86" t="s">
        <v>23</v>
      </c>
      <c r="G86">
        <v>1</v>
      </c>
      <c r="H86">
        <v>9791191562125</v>
      </c>
      <c r="I86" t="s">
        <v>143</v>
      </c>
      <c r="J86" t="s">
        <v>212</v>
      </c>
      <c r="K86" t="s">
        <v>213</v>
      </c>
      <c r="L86" t="s">
        <v>27</v>
      </c>
      <c r="M86" s="3">
        <v>2500</v>
      </c>
      <c r="N86" t="s">
        <v>27</v>
      </c>
      <c r="O86" s="3">
        <v>2500</v>
      </c>
      <c r="P86" s="3">
        <v>2500</v>
      </c>
      <c r="Q86" t="s">
        <v>30</v>
      </c>
      <c r="R86" s="2">
        <v>0.7</v>
      </c>
      <c r="S86" s="3">
        <v>1750</v>
      </c>
      <c r="T86" t="s">
        <v>27</v>
      </c>
      <c r="U86" s="3">
        <v>1750</v>
      </c>
      <c r="V86" s="7" t="str">
        <f>IF(ISERROR(VLOOKUP(K86,[1]작가별정산률!$R:$S,2,0)),"스토리위즈",VLOOKUP(K86,[1]작가별정산률!$R:$S,2,0))</f>
        <v>밀리의 서재</v>
      </c>
      <c r="W86" s="7" t="str">
        <f>IF(V86="스토리위즈",VLOOKUP(K86,[1]작가별정산률!$A:$B,2,0),V86)</f>
        <v>밀리의 서재</v>
      </c>
    </row>
    <row r="87" spans="1:23" x14ac:dyDescent="0.4">
      <c r="A87" t="s">
        <v>262</v>
      </c>
      <c r="B87" t="s">
        <v>326</v>
      </c>
      <c r="C87" t="s">
        <v>348</v>
      </c>
      <c r="D87" t="s">
        <v>64</v>
      </c>
      <c r="E87" t="s">
        <v>22</v>
      </c>
      <c r="F87" t="s">
        <v>23</v>
      </c>
      <c r="G87">
        <v>1</v>
      </c>
      <c r="H87">
        <v>9791166300226</v>
      </c>
      <c r="I87" t="s">
        <v>24</v>
      </c>
      <c r="J87" t="s">
        <v>131</v>
      </c>
      <c r="K87" t="s">
        <v>119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  <c r="V87" s="7" t="str">
        <f>IF(ISERROR(VLOOKUP(K87,[1]작가별정산률!$R:$S,2,0)),"스토리위즈",VLOOKUP(K87,[1]작가별정산률!$R:$S,2,0))</f>
        <v>스토리위즈</v>
      </c>
      <c r="W87" s="7" t="str">
        <f>IF(V87="스토리위즈",VLOOKUP(K87,[1]작가별정산률!$A:$B,2,0),V87)</f>
        <v>김광수</v>
      </c>
    </row>
    <row r="88" spans="1:23" x14ac:dyDescent="0.4">
      <c r="A88" t="s">
        <v>262</v>
      </c>
      <c r="B88" t="s">
        <v>326</v>
      </c>
      <c r="C88" t="s">
        <v>349</v>
      </c>
      <c r="D88" t="s">
        <v>64</v>
      </c>
      <c r="E88" t="s">
        <v>22</v>
      </c>
      <c r="F88" t="s">
        <v>23</v>
      </c>
      <c r="G88">
        <v>1</v>
      </c>
      <c r="H88">
        <v>9791166300479</v>
      </c>
      <c r="I88" t="s">
        <v>24</v>
      </c>
      <c r="J88" t="s">
        <v>145</v>
      </c>
      <c r="K88" t="s">
        <v>119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  <c r="V88" s="7" t="str">
        <f>IF(ISERROR(VLOOKUP(K88,[1]작가별정산률!$R:$S,2,0)),"스토리위즈",VLOOKUP(K88,[1]작가별정산률!$R:$S,2,0))</f>
        <v>스토리위즈</v>
      </c>
      <c r="W88" s="7" t="str">
        <f>IF(V88="스토리위즈",VLOOKUP(K88,[1]작가별정산률!$A:$B,2,0),V88)</f>
        <v>김광수</v>
      </c>
    </row>
    <row r="89" spans="1:23" x14ac:dyDescent="0.4">
      <c r="A89" t="s">
        <v>262</v>
      </c>
      <c r="B89" t="s">
        <v>326</v>
      </c>
      <c r="C89" t="s">
        <v>350</v>
      </c>
      <c r="D89" t="s">
        <v>64</v>
      </c>
      <c r="E89" t="s">
        <v>22</v>
      </c>
      <c r="F89" t="s">
        <v>23</v>
      </c>
      <c r="G89">
        <v>1</v>
      </c>
      <c r="H89">
        <v>9791166300134</v>
      </c>
      <c r="I89" t="s">
        <v>24</v>
      </c>
      <c r="J89" t="s">
        <v>123</v>
      </c>
      <c r="K89" t="s">
        <v>119</v>
      </c>
      <c r="L89" t="s">
        <v>27</v>
      </c>
      <c r="M89">
        <v>630</v>
      </c>
      <c r="N89" t="s">
        <v>27</v>
      </c>
      <c r="O89">
        <v>630</v>
      </c>
      <c r="P89">
        <v>630</v>
      </c>
      <c r="Q89" t="s">
        <v>30</v>
      </c>
      <c r="R89" s="2">
        <v>0.7</v>
      </c>
      <c r="S89">
        <v>441</v>
      </c>
      <c r="T89" t="s">
        <v>27</v>
      </c>
      <c r="U89">
        <v>441</v>
      </c>
      <c r="V89" s="7" t="str">
        <f>IF(ISERROR(VLOOKUP(K89,[1]작가별정산률!$R:$S,2,0)),"스토리위즈",VLOOKUP(K89,[1]작가별정산률!$R:$S,2,0))</f>
        <v>스토리위즈</v>
      </c>
      <c r="W89" s="7" t="str">
        <f>IF(V89="스토리위즈",VLOOKUP(K89,[1]작가별정산률!$A:$B,2,0),V89)</f>
        <v>김광수</v>
      </c>
    </row>
    <row r="90" spans="1:23" x14ac:dyDescent="0.4">
      <c r="A90" t="s">
        <v>262</v>
      </c>
      <c r="B90" t="s">
        <v>326</v>
      </c>
      <c r="C90" t="s">
        <v>351</v>
      </c>
      <c r="D90" t="s">
        <v>64</v>
      </c>
      <c r="E90" t="s">
        <v>22</v>
      </c>
      <c r="F90" t="s">
        <v>23</v>
      </c>
      <c r="G90">
        <v>1</v>
      </c>
      <c r="H90">
        <v>9791166300547</v>
      </c>
      <c r="I90" t="s">
        <v>24</v>
      </c>
      <c r="J90" t="s">
        <v>153</v>
      </c>
      <c r="K90" t="s">
        <v>119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2">
        <v>0.7</v>
      </c>
      <c r="S90">
        <v>441</v>
      </c>
      <c r="T90" t="s">
        <v>27</v>
      </c>
      <c r="U90">
        <v>441</v>
      </c>
      <c r="V90" s="7" t="str">
        <f>IF(ISERROR(VLOOKUP(K90,[1]작가별정산률!$R:$S,2,0)),"스토리위즈",VLOOKUP(K90,[1]작가별정산률!$R:$S,2,0))</f>
        <v>스토리위즈</v>
      </c>
      <c r="W90" s="7" t="str">
        <f>IF(V90="스토리위즈",VLOOKUP(K90,[1]작가별정산률!$A:$B,2,0),V90)</f>
        <v>김광수</v>
      </c>
    </row>
    <row r="91" spans="1:23" x14ac:dyDescent="0.4">
      <c r="A91" t="s">
        <v>262</v>
      </c>
      <c r="B91" t="s">
        <v>326</v>
      </c>
      <c r="C91" t="s">
        <v>352</v>
      </c>
      <c r="D91" t="s">
        <v>64</v>
      </c>
      <c r="E91" t="s">
        <v>22</v>
      </c>
      <c r="F91" t="s">
        <v>23</v>
      </c>
      <c r="G91">
        <v>1</v>
      </c>
      <c r="H91">
        <v>9791166300462</v>
      </c>
      <c r="I91" t="s">
        <v>24</v>
      </c>
      <c r="J91" t="s">
        <v>144</v>
      </c>
      <c r="K91" t="s">
        <v>119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2">
        <v>0.7</v>
      </c>
      <c r="S91">
        <v>441</v>
      </c>
      <c r="T91" t="s">
        <v>27</v>
      </c>
      <c r="U91">
        <v>441</v>
      </c>
      <c r="V91" s="7" t="str">
        <f>IF(ISERROR(VLOOKUP(K91,[1]작가별정산률!$R:$S,2,0)),"스토리위즈",VLOOKUP(K91,[1]작가별정산률!$R:$S,2,0))</f>
        <v>스토리위즈</v>
      </c>
      <c r="W91" s="7" t="str">
        <f>IF(V91="스토리위즈",VLOOKUP(K91,[1]작가별정산률!$A:$B,2,0),V91)</f>
        <v>김광수</v>
      </c>
    </row>
    <row r="92" spans="1:23" x14ac:dyDescent="0.4">
      <c r="A92" t="s">
        <v>262</v>
      </c>
      <c r="B92" t="s">
        <v>326</v>
      </c>
      <c r="C92" t="s">
        <v>353</v>
      </c>
      <c r="D92" t="s">
        <v>64</v>
      </c>
      <c r="E92" t="s">
        <v>22</v>
      </c>
      <c r="F92" t="s">
        <v>23</v>
      </c>
      <c r="G92">
        <v>1</v>
      </c>
      <c r="H92">
        <v>9791166300547</v>
      </c>
      <c r="I92" t="s">
        <v>24</v>
      </c>
      <c r="J92" t="s">
        <v>153</v>
      </c>
      <c r="K92" t="s">
        <v>119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  <c r="V92" s="7" t="str">
        <f>IF(ISERROR(VLOOKUP(K92,[1]작가별정산률!$R:$S,2,0)),"스토리위즈",VLOOKUP(K92,[1]작가별정산률!$R:$S,2,0))</f>
        <v>스토리위즈</v>
      </c>
      <c r="W92" s="7" t="str">
        <f>IF(V92="스토리위즈",VLOOKUP(K92,[1]작가별정산률!$A:$B,2,0),V92)</f>
        <v>김광수</v>
      </c>
    </row>
    <row r="93" spans="1:23" x14ac:dyDescent="0.4">
      <c r="A93" t="s">
        <v>262</v>
      </c>
      <c r="B93" t="s">
        <v>326</v>
      </c>
      <c r="C93" t="s">
        <v>354</v>
      </c>
      <c r="D93" t="s">
        <v>64</v>
      </c>
      <c r="E93" t="s">
        <v>22</v>
      </c>
      <c r="F93" t="s">
        <v>23</v>
      </c>
      <c r="G93">
        <v>1</v>
      </c>
      <c r="H93">
        <v>9791166300141</v>
      </c>
      <c r="I93" t="s">
        <v>24</v>
      </c>
      <c r="J93" t="s">
        <v>124</v>
      </c>
      <c r="K93" t="s">
        <v>119</v>
      </c>
      <c r="L93" t="s">
        <v>27</v>
      </c>
      <c r="M93">
        <v>630</v>
      </c>
      <c r="N93" t="s">
        <v>27</v>
      </c>
      <c r="O93">
        <v>630</v>
      </c>
      <c r="P93">
        <v>630</v>
      </c>
      <c r="Q93" t="s">
        <v>30</v>
      </c>
      <c r="R93" s="2">
        <v>0.7</v>
      </c>
      <c r="S93">
        <v>441</v>
      </c>
      <c r="T93" t="s">
        <v>27</v>
      </c>
      <c r="U93">
        <v>441</v>
      </c>
      <c r="V93" s="7" t="str">
        <f>IF(ISERROR(VLOOKUP(K93,[1]작가별정산률!$R:$S,2,0)),"스토리위즈",VLOOKUP(K93,[1]작가별정산률!$R:$S,2,0))</f>
        <v>스토리위즈</v>
      </c>
      <c r="W93" s="7" t="str">
        <f>IF(V93="스토리위즈",VLOOKUP(K93,[1]작가별정산률!$A:$B,2,0),V93)</f>
        <v>김광수</v>
      </c>
    </row>
    <row r="94" spans="1:23" x14ac:dyDescent="0.4">
      <c r="A94" t="s">
        <v>262</v>
      </c>
      <c r="B94" t="s">
        <v>326</v>
      </c>
      <c r="C94" t="s">
        <v>355</v>
      </c>
      <c r="D94" t="s">
        <v>64</v>
      </c>
      <c r="E94" t="s">
        <v>22</v>
      </c>
      <c r="F94" t="s">
        <v>23</v>
      </c>
      <c r="G94">
        <v>1</v>
      </c>
      <c r="H94">
        <v>9791166300141</v>
      </c>
      <c r="I94" t="s">
        <v>24</v>
      </c>
      <c r="J94" t="s">
        <v>124</v>
      </c>
      <c r="K94" t="s">
        <v>119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441</v>
      </c>
      <c r="V94" s="7" t="str">
        <f>IF(ISERROR(VLOOKUP(K94,[1]작가별정산률!$R:$S,2,0)),"스토리위즈",VLOOKUP(K94,[1]작가별정산률!$R:$S,2,0))</f>
        <v>스토리위즈</v>
      </c>
      <c r="W94" s="7" t="str">
        <f>IF(V94="스토리위즈",VLOOKUP(K94,[1]작가별정산률!$A:$B,2,0),V94)</f>
        <v>김광수</v>
      </c>
    </row>
    <row r="95" spans="1:23" x14ac:dyDescent="0.4">
      <c r="A95" t="s">
        <v>262</v>
      </c>
      <c r="B95" t="s">
        <v>326</v>
      </c>
      <c r="C95" t="s">
        <v>356</v>
      </c>
      <c r="D95" t="s">
        <v>64</v>
      </c>
      <c r="E95" t="s">
        <v>22</v>
      </c>
      <c r="F95" t="s">
        <v>23</v>
      </c>
      <c r="G95">
        <v>1</v>
      </c>
      <c r="H95">
        <v>9791166300554</v>
      </c>
      <c r="I95" t="s">
        <v>24</v>
      </c>
      <c r="J95" t="s">
        <v>154</v>
      </c>
      <c r="K95" t="s">
        <v>119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  <c r="V95" s="7" t="str">
        <f>IF(ISERROR(VLOOKUP(K95,[1]작가별정산률!$R:$S,2,0)),"스토리위즈",VLOOKUP(K95,[1]작가별정산률!$R:$S,2,0))</f>
        <v>스토리위즈</v>
      </c>
      <c r="W95" s="7" t="str">
        <f>IF(V95="스토리위즈",VLOOKUP(K95,[1]작가별정산률!$A:$B,2,0),V95)</f>
        <v>김광수</v>
      </c>
    </row>
    <row r="96" spans="1:23" x14ac:dyDescent="0.4">
      <c r="A96" t="s">
        <v>262</v>
      </c>
      <c r="B96" t="s">
        <v>326</v>
      </c>
      <c r="C96" t="s">
        <v>357</v>
      </c>
      <c r="D96" t="s">
        <v>64</v>
      </c>
      <c r="E96" t="s">
        <v>22</v>
      </c>
      <c r="F96" t="s">
        <v>23</v>
      </c>
      <c r="G96">
        <v>1</v>
      </c>
      <c r="H96">
        <v>9791166300158</v>
      </c>
      <c r="I96" t="s">
        <v>24</v>
      </c>
      <c r="J96" t="s">
        <v>125</v>
      </c>
      <c r="K96" t="s">
        <v>119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2">
        <v>0.7</v>
      </c>
      <c r="S96">
        <v>441</v>
      </c>
      <c r="T96" t="s">
        <v>27</v>
      </c>
      <c r="U96">
        <v>441</v>
      </c>
      <c r="V96" s="7" t="str">
        <f>IF(ISERROR(VLOOKUP(K96,[1]작가별정산률!$R:$S,2,0)),"스토리위즈",VLOOKUP(K96,[1]작가별정산률!$R:$S,2,0))</f>
        <v>스토리위즈</v>
      </c>
      <c r="W96" s="7" t="str">
        <f>IF(V96="스토리위즈",VLOOKUP(K96,[1]작가별정산률!$A:$B,2,0),V96)</f>
        <v>김광수</v>
      </c>
    </row>
    <row r="97" spans="1:23" x14ac:dyDescent="0.4">
      <c r="A97" t="s">
        <v>262</v>
      </c>
      <c r="B97" t="s">
        <v>326</v>
      </c>
      <c r="C97" t="s">
        <v>358</v>
      </c>
      <c r="D97" t="s">
        <v>64</v>
      </c>
      <c r="E97" t="s">
        <v>22</v>
      </c>
      <c r="F97" t="s">
        <v>23</v>
      </c>
      <c r="G97">
        <v>1</v>
      </c>
      <c r="H97">
        <v>9791166061097</v>
      </c>
      <c r="I97" t="s">
        <v>24</v>
      </c>
      <c r="J97" t="s">
        <v>95</v>
      </c>
      <c r="K97" t="s">
        <v>37</v>
      </c>
      <c r="L97" t="s">
        <v>27</v>
      </c>
      <c r="M97">
        <v>900</v>
      </c>
      <c r="N97" t="s">
        <v>27</v>
      </c>
      <c r="O97">
        <v>900</v>
      </c>
      <c r="P97">
        <v>900</v>
      </c>
      <c r="Q97" t="s">
        <v>30</v>
      </c>
      <c r="R97" s="2">
        <v>0.7</v>
      </c>
      <c r="S97">
        <v>630</v>
      </c>
      <c r="T97" t="s">
        <v>27</v>
      </c>
      <c r="U97">
        <v>630</v>
      </c>
      <c r="V97" s="7" t="str">
        <f>IF(ISERROR(VLOOKUP(K97,[1]작가별정산률!$R:$S,2,0)),"스토리위즈",VLOOKUP(K97,[1]작가별정산률!$R:$S,2,0))</f>
        <v>스토리위즈</v>
      </c>
      <c r="W97" s="7" t="str">
        <f>IF(V97="스토리위즈",VLOOKUP(K97,[1]작가별정산률!$A:$B,2,0),V97)</f>
        <v>권용찬</v>
      </c>
    </row>
    <row r="98" spans="1:23" x14ac:dyDescent="0.4">
      <c r="A98" t="s">
        <v>262</v>
      </c>
      <c r="B98" t="s">
        <v>326</v>
      </c>
      <c r="C98" t="s">
        <v>359</v>
      </c>
      <c r="D98" t="s">
        <v>21</v>
      </c>
      <c r="E98" t="s">
        <v>22</v>
      </c>
      <c r="F98" t="s">
        <v>23</v>
      </c>
      <c r="G98">
        <v>1</v>
      </c>
      <c r="H98">
        <v>9791191562262</v>
      </c>
      <c r="I98" t="s">
        <v>143</v>
      </c>
      <c r="J98" t="s">
        <v>250</v>
      </c>
      <c r="K98" t="s">
        <v>251</v>
      </c>
      <c r="L98" t="s">
        <v>27</v>
      </c>
      <c r="M98" s="3">
        <v>2000</v>
      </c>
      <c r="N98" t="s">
        <v>27</v>
      </c>
      <c r="O98" s="3">
        <v>2000</v>
      </c>
      <c r="P98" s="3">
        <v>2000</v>
      </c>
      <c r="Q98" t="s">
        <v>30</v>
      </c>
      <c r="R98" s="2">
        <v>0.7</v>
      </c>
      <c r="S98" s="3">
        <v>1400</v>
      </c>
      <c r="T98" t="s">
        <v>27</v>
      </c>
      <c r="U98" s="3">
        <v>1400</v>
      </c>
      <c r="V98" s="7" t="str">
        <f>IF(ISERROR(VLOOKUP(K98,[1]작가별정산률!$R:$S,2,0)),"스토리위즈",VLOOKUP(K98,[1]작가별정산률!$R:$S,2,0))</f>
        <v>밀리의 서재</v>
      </c>
      <c r="W98" s="7" t="str">
        <f>IF(V98="스토리위즈",VLOOKUP(K98,[1]작가별정산률!$A:$B,2,0),V98)</f>
        <v>밀리의 서재</v>
      </c>
    </row>
    <row r="99" spans="1:23" x14ac:dyDescent="0.4">
      <c r="A99" t="s">
        <v>262</v>
      </c>
      <c r="B99" t="s">
        <v>326</v>
      </c>
      <c r="C99" t="s">
        <v>360</v>
      </c>
      <c r="D99" t="s">
        <v>21</v>
      </c>
      <c r="E99" t="s">
        <v>22</v>
      </c>
      <c r="F99" t="s">
        <v>23</v>
      </c>
      <c r="G99">
        <v>1</v>
      </c>
      <c r="H99">
        <v>9791191562347</v>
      </c>
      <c r="I99" t="s">
        <v>143</v>
      </c>
      <c r="J99" t="s">
        <v>307</v>
      </c>
      <c r="K99" t="s">
        <v>308</v>
      </c>
      <c r="L99" t="s">
        <v>27</v>
      </c>
      <c r="M99" s="3">
        <v>3200</v>
      </c>
      <c r="N99" t="s">
        <v>27</v>
      </c>
      <c r="O99" s="3">
        <v>3200</v>
      </c>
      <c r="P99" s="3">
        <v>3200</v>
      </c>
      <c r="Q99" t="s">
        <v>30</v>
      </c>
      <c r="R99" s="2">
        <v>0.7</v>
      </c>
      <c r="S99" s="3">
        <v>2240</v>
      </c>
      <c r="T99" t="s">
        <v>27</v>
      </c>
      <c r="U99" s="3">
        <v>2240</v>
      </c>
      <c r="V99" s="7" t="str">
        <f>IF(ISERROR(VLOOKUP(K99,[1]작가별정산률!$R:$S,2,0)),"스토리위즈",VLOOKUP(K99,[1]작가별정산률!$R:$S,2,0))</f>
        <v>밀리의 서재</v>
      </c>
      <c r="W99" s="7" t="str">
        <f>IF(V99="스토리위즈",VLOOKUP(K99,[1]작가별정산률!$A:$B,2,0),V99)</f>
        <v>밀리의 서재</v>
      </c>
    </row>
    <row r="100" spans="1:23" x14ac:dyDescent="0.4">
      <c r="A100" t="s">
        <v>262</v>
      </c>
      <c r="B100" t="s">
        <v>326</v>
      </c>
      <c r="C100" t="s">
        <v>361</v>
      </c>
      <c r="D100" t="s">
        <v>64</v>
      </c>
      <c r="E100" t="s">
        <v>22</v>
      </c>
      <c r="F100" t="s">
        <v>23</v>
      </c>
      <c r="G100">
        <v>1</v>
      </c>
      <c r="H100">
        <v>9791166300479</v>
      </c>
      <c r="I100" t="s">
        <v>24</v>
      </c>
      <c r="J100" t="s">
        <v>145</v>
      </c>
      <c r="K100" t="s">
        <v>119</v>
      </c>
      <c r="L100" t="s">
        <v>27</v>
      </c>
      <c r="M100">
        <v>630</v>
      </c>
      <c r="N100" t="s">
        <v>27</v>
      </c>
      <c r="O100">
        <v>630</v>
      </c>
      <c r="P100">
        <v>630</v>
      </c>
      <c r="Q100" t="s">
        <v>30</v>
      </c>
      <c r="R100" s="2">
        <v>0.7</v>
      </c>
      <c r="S100">
        <v>441</v>
      </c>
      <c r="T100" t="s">
        <v>27</v>
      </c>
      <c r="U100">
        <v>441</v>
      </c>
      <c r="V100" s="7" t="str">
        <f>IF(ISERROR(VLOOKUP(K100,[1]작가별정산률!$R:$S,2,0)),"스토리위즈",VLOOKUP(K100,[1]작가별정산률!$R:$S,2,0))</f>
        <v>스토리위즈</v>
      </c>
      <c r="W100" s="7" t="str">
        <f>IF(V100="스토리위즈",VLOOKUP(K100,[1]작가별정산률!$A:$B,2,0),V100)</f>
        <v>김광수</v>
      </c>
    </row>
    <row r="101" spans="1:23" x14ac:dyDescent="0.4">
      <c r="A101" t="s">
        <v>262</v>
      </c>
      <c r="B101" t="s">
        <v>326</v>
      </c>
      <c r="C101" t="s">
        <v>362</v>
      </c>
      <c r="D101" t="s">
        <v>64</v>
      </c>
      <c r="E101" t="s">
        <v>22</v>
      </c>
      <c r="F101" t="s">
        <v>23</v>
      </c>
      <c r="G101">
        <v>1</v>
      </c>
      <c r="H101">
        <v>9791159282843</v>
      </c>
      <c r="I101" t="s">
        <v>24</v>
      </c>
      <c r="J101" t="s">
        <v>25</v>
      </c>
      <c r="K101" t="s">
        <v>26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  <c r="V101" s="7" t="str">
        <f>IF(ISERROR(VLOOKUP(K101,[1]작가별정산률!$R:$S,2,0)),"스토리위즈",VLOOKUP(K101,[1]작가별정산률!$R:$S,2,0))</f>
        <v>스토리위즈</v>
      </c>
      <c r="W101" s="7" t="str">
        <f>IF(V101="스토리위즈",VLOOKUP(K101,[1]작가별정산률!$A:$B,2,0),V101)</f>
        <v>독고진</v>
      </c>
    </row>
    <row r="102" spans="1:23" x14ac:dyDescent="0.4">
      <c r="A102" t="s">
        <v>262</v>
      </c>
      <c r="B102" t="s">
        <v>326</v>
      </c>
      <c r="C102" t="s">
        <v>363</v>
      </c>
      <c r="D102" t="s">
        <v>64</v>
      </c>
      <c r="E102" t="s">
        <v>22</v>
      </c>
      <c r="F102" t="s">
        <v>23</v>
      </c>
      <c r="G102">
        <v>1</v>
      </c>
      <c r="H102">
        <v>9791166300288</v>
      </c>
      <c r="I102" t="s">
        <v>24</v>
      </c>
      <c r="J102" t="s">
        <v>137</v>
      </c>
      <c r="K102" t="s">
        <v>119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  <c r="V102" s="7" t="str">
        <f>IF(ISERROR(VLOOKUP(K102,[1]작가별정산률!$R:$S,2,0)),"스토리위즈",VLOOKUP(K102,[1]작가별정산률!$R:$S,2,0))</f>
        <v>스토리위즈</v>
      </c>
      <c r="W102" s="7" t="str">
        <f>IF(V102="스토리위즈",VLOOKUP(K102,[1]작가별정산률!$A:$B,2,0),V102)</f>
        <v>김광수</v>
      </c>
    </row>
    <row r="103" spans="1:23" x14ac:dyDescent="0.4">
      <c r="A103" t="s">
        <v>262</v>
      </c>
      <c r="B103" t="s">
        <v>326</v>
      </c>
      <c r="C103" t="s">
        <v>364</v>
      </c>
      <c r="D103" t="s">
        <v>21</v>
      </c>
      <c r="E103" t="s">
        <v>22</v>
      </c>
      <c r="F103" t="s">
        <v>23</v>
      </c>
      <c r="G103">
        <v>1</v>
      </c>
      <c r="H103">
        <v>9791191562286</v>
      </c>
      <c r="I103" t="s">
        <v>143</v>
      </c>
      <c r="J103" t="s">
        <v>238</v>
      </c>
      <c r="K103" t="s">
        <v>239</v>
      </c>
      <c r="L103" t="s">
        <v>27</v>
      </c>
      <c r="M103" s="3">
        <v>2000</v>
      </c>
      <c r="N103" t="s">
        <v>176</v>
      </c>
      <c r="O103">
        <v>222</v>
      </c>
      <c r="P103">
        <v>202</v>
      </c>
      <c r="Q103" t="s">
        <v>177</v>
      </c>
      <c r="R103" s="2">
        <v>0.7</v>
      </c>
      <c r="S103">
        <v>141</v>
      </c>
      <c r="T103" t="s">
        <v>27</v>
      </c>
      <c r="U103" s="3">
        <v>1370</v>
      </c>
      <c r="V103" s="7" t="str">
        <f>IF(ISERROR(VLOOKUP(K103,[1]작가별정산률!$R:$S,2,0)),"스토리위즈",VLOOKUP(K103,[1]작가별정산률!$R:$S,2,0))</f>
        <v>밀리의 서재</v>
      </c>
      <c r="W103" s="7" t="str">
        <f>IF(V103="스토리위즈",VLOOKUP(K103,[1]작가별정산률!$A:$B,2,0),V103)</f>
        <v>밀리의 서재</v>
      </c>
    </row>
    <row r="104" spans="1:23" x14ac:dyDescent="0.4">
      <c r="A104" t="s">
        <v>262</v>
      </c>
      <c r="B104" t="s">
        <v>326</v>
      </c>
      <c r="C104" t="s">
        <v>365</v>
      </c>
      <c r="D104" t="s">
        <v>64</v>
      </c>
      <c r="E104" t="s">
        <v>22</v>
      </c>
      <c r="F104" t="s">
        <v>23</v>
      </c>
      <c r="G104">
        <v>1</v>
      </c>
      <c r="H104">
        <v>9791166300561</v>
      </c>
      <c r="I104" t="s">
        <v>24</v>
      </c>
      <c r="J104" t="s">
        <v>158</v>
      </c>
      <c r="K104" t="s">
        <v>119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2">
        <v>0.7</v>
      </c>
      <c r="S104">
        <v>441</v>
      </c>
      <c r="T104" t="s">
        <v>27</v>
      </c>
      <c r="U104">
        <v>441</v>
      </c>
      <c r="V104" s="7" t="str">
        <f>IF(ISERROR(VLOOKUP(K104,[1]작가별정산률!$R:$S,2,0)),"스토리위즈",VLOOKUP(K104,[1]작가별정산률!$R:$S,2,0))</f>
        <v>스토리위즈</v>
      </c>
      <c r="W104" s="7" t="str">
        <f>IF(V104="스토리위즈",VLOOKUP(K104,[1]작가별정산률!$A:$B,2,0),V104)</f>
        <v>김광수</v>
      </c>
    </row>
    <row r="105" spans="1:23" x14ac:dyDescent="0.4">
      <c r="A105" t="s">
        <v>262</v>
      </c>
      <c r="B105" t="s">
        <v>326</v>
      </c>
      <c r="C105" t="s">
        <v>366</v>
      </c>
      <c r="D105" t="s">
        <v>64</v>
      </c>
      <c r="E105" t="s">
        <v>22</v>
      </c>
      <c r="F105" t="s">
        <v>23</v>
      </c>
      <c r="G105">
        <v>1</v>
      </c>
      <c r="H105">
        <v>9791166300158</v>
      </c>
      <c r="I105" t="s">
        <v>24</v>
      </c>
      <c r="J105" t="s">
        <v>125</v>
      </c>
      <c r="K105" t="s">
        <v>119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2">
        <v>0.7</v>
      </c>
      <c r="S105">
        <v>441</v>
      </c>
      <c r="T105" t="s">
        <v>27</v>
      </c>
      <c r="U105">
        <v>441</v>
      </c>
      <c r="V105" s="7" t="str">
        <f>IF(ISERROR(VLOOKUP(K105,[1]작가별정산률!$R:$S,2,0)),"스토리위즈",VLOOKUP(K105,[1]작가별정산률!$R:$S,2,0))</f>
        <v>스토리위즈</v>
      </c>
      <c r="W105" s="7" t="str">
        <f>IF(V105="스토리위즈",VLOOKUP(K105,[1]작가별정산률!$A:$B,2,0),V105)</f>
        <v>김광수</v>
      </c>
    </row>
    <row r="106" spans="1:23" x14ac:dyDescent="0.4">
      <c r="A106" t="s">
        <v>262</v>
      </c>
      <c r="B106" t="s">
        <v>326</v>
      </c>
      <c r="C106" t="s">
        <v>367</v>
      </c>
      <c r="D106" t="s">
        <v>21</v>
      </c>
      <c r="E106" t="s">
        <v>22</v>
      </c>
      <c r="F106" t="s">
        <v>23</v>
      </c>
      <c r="G106">
        <v>1</v>
      </c>
      <c r="H106">
        <v>9791191562125</v>
      </c>
      <c r="I106" t="s">
        <v>143</v>
      </c>
      <c r="J106" t="s">
        <v>212</v>
      </c>
      <c r="K106" t="s">
        <v>213</v>
      </c>
      <c r="L106" t="s">
        <v>27</v>
      </c>
      <c r="M106" s="3">
        <v>2500</v>
      </c>
      <c r="N106" t="s">
        <v>27</v>
      </c>
      <c r="O106" s="3">
        <v>2500</v>
      </c>
      <c r="P106" s="3">
        <v>2500</v>
      </c>
      <c r="Q106" t="s">
        <v>30</v>
      </c>
      <c r="R106" s="2">
        <v>0.7</v>
      </c>
      <c r="S106" s="3">
        <v>1750</v>
      </c>
      <c r="T106" t="s">
        <v>27</v>
      </c>
      <c r="U106" s="3">
        <v>1750</v>
      </c>
      <c r="V106" s="7" t="str">
        <f>IF(ISERROR(VLOOKUP(K106,[1]작가별정산률!$R:$S,2,0)),"스토리위즈",VLOOKUP(K106,[1]작가별정산률!$R:$S,2,0))</f>
        <v>밀리의 서재</v>
      </c>
      <c r="W106" s="7" t="str">
        <f>IF(V106="스토리위즈",VLOOKUP(K106,[1]작가별정산률!$A:$B,2,0),V106)</f>
        <v>밀리의 서재</v>
      </c>
    </row>
    <row r="107" spans="1:23" x14ac:dyDescent="0.4">
      <c r="A107" t="s">
        <v>262</v>
      </c>
      <c r="B107" t="s">
        <v>326</v>
      </c>
      <c r="C107" t="s">
        <v>368</v>
      </c>
      <c r="D107" t="s">
        <v>64</v>
      </c>
      <c r="E107" t="s">
        <v>22</v>
      </c>
      <c r="F107" t="s">
        <v>23</v>
      </c>
      <c r="G107">
        <v>1</v>
      </c>
      <c r="H107">
        <v>9791166300295</v>
      </c>
      <c r="I107" t="s">
        <v>24</v>
      </c>
      <c r="J107" t="s">
        <v>138</v>
      </c>
      <c r="K107" t="s">
        <v>119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  <c r="V107" s="7" t="str">
        <f>IF(ISERROR(VLOOKUP(K107,[1]작가별정산률!$R:$S,2,0)),"스토리위즈",VLOOKUP(K107,[1]작가별정산률!$R:$S,2,0))</f>
        <v>스토리위즈</v>
      </c>
      <c r="W107" s="7" t="str">
        <f>IF(V107="스토리위즈",VLOOKUP(K107,[1]작가별정산률!$A:$B,2,0),V107)</f>
        <v>김광수</v>
      </c>
    </row>
    <row r="108" spans="1:23" x14ac:dyDescent="0.4">
      <c r="A108" t="s">
        <v>262</v>
      </c>
      <c r="B108" t="s">
        <v>326</v>
      </c>
      <c r="C108" t="s">
        <v>369</v>
      </c>
      <c r="D108" t="s">
        <v>64</v>
      </c>
      <c r="E108" t="s">
        <v>22</v>
      </c>
      <c r="F108" t="s">
        <v>23</v>
      </c>
      <c r="G108">
        <v>1</v>
      </c>
      <c r="H108">
        <v>9791166064135</v>
      </c>
      <c r="I108" t="s">
        <v>24</v>
      </c>
      <c r="J108" t="s">
        <v>77</v>
      </c>
      <c r="K108" t="s">
        <v>37</v>
      </c>
      <c r="L108" t="s">
        <v>27</v>
      </c>
      <c r="M108">
        <v>900</v>
      </c>
      <c r="N108" t="s">
        <v>27</v>
      </c>
      <c r="O108">
        <v>900</v>
      </c>
      <c r="P108">
        <v>900</v>
      </c>
      <c r="Q108" t="s">
        <v>30</v>
      </c>
      <c r="R108" s="2">
        <v>0.7</v>
      </c>
      <c r="S108">
        <v>630</v>
      </c>
      <c r="T108" t="s">
        <v>27</v>
      </c>
      <c r="U108">
        <v>630</v>
      </c>
      <c r="V108" s="7" t="str">
        <f>IF(ISERROR(VLOOKUP(K108,[1]작가별정산률!$R:$S,2,0)),"스토리위즈",VLOOKUP(K108,[1]작가별정산률!$R:$S,2,0))</f>
        <v>스토리위즈</v>
      </c>
      <c r="W108" s="7" t="str">
        <f>IF(V108="스토리위즈",VLOOKUP(K108,[1]작가별정산률!$A:$B,2,0),V108)</f>
        <v>권용찬</v>
      </c>
    </row>
    <row r="109" spans="1:23" x14ac:dyDescent="0.4">
      <c r="A109" t="s">
        <v>262</v>
      </c>
      <c r="B109" t="s">
        <v>326</v>
      </c>
      <c r="C109" t="s">
        <v>370</v>
      </c>
      <c r="D109" t="s">
        <v>64</v>
      </c>
      <c r="E109" t="s">
        <v>22</v>
      </c>
      <c r="F109" t="s">
        <v>23</v>
      </c>
      <c r="G109">
        <v>1</v>
      </c>
      <c r="H109">
        <v>9791166064135</v>
      </c>
      <c r="I109" t="s">
        <v>24</v>
      </c>
      <c r="J109" t="s">
        <v>77</v>
      </c>
      <c r="K109" t="s">
        <v>37</v>
      </c>
      <c r="L109" t="s">
        <v>27</v>
      </c>
      <c r="M109">
        <v>900</v>
      </c>
      <c r="N109" t="s">
        <v>27</v>
      </c>
      <c r="O109">
        <v>900</v>
      </c>
      <c r="P109">
        <v>900</v>
      </c>
      <c r="Q109" t="s">
        <v>30</v>
      </c>
      <c r="R109" s="2">
        <v>0.7</v>
      </c>
      <c r="S109">
        <v>630</v>
      </c>
      <c r="T109" t="s">
        <v>27</v>
      </c>
      <c r="U109">
        <v>630</v>
      </c>
      <c r="V109" s="7" t="str">
        <f>IF(ISERROR(VLOOKUP(K109,[1]작가별정산률!$R:$S,2,0)),"스토리위즈",VLOOKUP(K109,[1]작가별정산률!$R:$S,2,0))</f>
        <v>스토리위즈</v>
      </c>
      <c r="W109" s="7" t="str">
        <f>IF(V109="스토리위즈",VLOOKUP(K109,[1]작가별정산률!$A:$B,2,0),V109)</f>
        <v>권용찬</v>
      </c>
    </row>
    <row r="110" spans="1:23" x14ac:dyDescent="0.4">
      <c r="A110" t="s">
        <v>262</v>
      </c>
      <c r="B110" t="s">
        <v>326</v>
      </c>
      <c r="C110" t="s">
        <v>371</v>
      </c>
      <c r="D110" t="s">
        <v>21</v>
      </c>
      <c r="E110" t="s">
        <v>22</v>
      </c>
      <c r="F110" t="s">
        <v>23</v>
      </c>
      <c r="G110">
        <v>1</v>
      </c>
      <c r="H110">
        <v>9791166300158</v>
      </c>
      <c r="I110" t="s">
        <v>24</v>
      </c>
      <c r="J110" t="s">
        <v>125</v>
      </c>
      <c r="K110" t="s">
        <v>119</v>
      </c>
      <c r="L110" t="s">
        <v>27</v>
      </c>
      <c r="M110" s="3">
        <v>3200</v>
      </c>
      <c r="N110" t="s">
        <v>27</v>
      </c>
      <c r="O110" s="3">
        <v>3200</v>
      </c>
      <c r="P110" s="3">
        <v>3200</v>
      </c>
      <c r="Q110" t="s">
        <v>30</v>
      </c>
      <c r="R110" s="2">
        <v>0.7</v>
      </c>
      <c r="S110" s="3">
        <v>2240</v>
      </c>
      <c r="T110" t="s">
        <v>27</v>
      </c>
      <c r="U110" s="3">
        <v>2240</v>
      </c>
      <c r="V110" s="7" t="str">
        <f>IF(ISERROR(VLOOKUP(K110,[1]작가별정산률!$R:$S,2,0)),"스토리위즈",VLOOKUP(K110,[1]작가별정산률!$R:$S,2,0))</f>
        <v>스토리위즈</v>
      </c>
      <c r="W110" s="7" t="str">
        <f>IF(V110="스토리위즈",VLOOKUP(K110,[1]작가별정산률!$A:$B,2,0),V110)</f>
        <v>김광수</v>
      </c>
    </row>
    <row r="111" spans="1:23" x14ac:dyDescent="0.4">
      <c r="A111" t="s">
        <v>262</v>
      </c>
      <c r="B111" t="s">
        <v>326</v>
      </c>
      <c r="C111" t="s">
        <v>372</v>
      </c>
      <c r="D111" t="s">
        <v>64</v>
      </c>
      <c r="E111" t="s">
        <v>22</v>
      </c>
      <c r="F111" t="s">
        <v>23</v>
      </c>
      <c r="G111">
        <v>1</v>
      </c>
      <c r="H111">
        <v>9791166300592</v>
      </c>
      <c r="I111" t="s">
        <v>24</v>
      </c>
      <c r="J111" t="s">
        <v>161</v>
      </c>
      <c r="K111" t="s">
        <v>119</v>
      </c>
      <c r="L111" t="s">
        <v>27</v>
      </c>
      <c r="M111">
        <v>630</v>
      </c>
      <c r="N111" t="s">
        <v>27</v>
      </c>
      <c r="O111">
        <v>630</v>
      </c>
      <c r="P111">
        <v>630</v>
      </c>
      <c r="Q111" t="s">
        <v>30</v>
      </c>
      <c r="R111" s="2">
        <v>0.7</v>
      </c>
      <c r="S111">
        <v>441</v>
      </c>
      <c r="T111" t="s">
        <v>27</v>
      </c>
      <c r="U111">
        <v>441</v>
      </c>
      <c r="V111" s="7" t="str">
        <f>IF(ISERROR(VLOOKUP(K111,[1]작가별정산률!$R:$S,2,0)),"스토리위즈",VLOOKUP(K111,[1]작가별정산률!$R:$S,2,0))</f>
        <v>스토리위즈</v>
      </c>
      <c r="W111" s="7" t="str">
        <f>IF(V111="스토리위즈",VLOOKUP(K111,[1]작가별정산률!$A:$B,2,0),V111)</f>
        <v>김광수</v>
      </c>
    </row>
    <row r="112" spans="1:23" x14ac:dyDescent="0.4">
      <c r="A112" t="s">
        <v>262</v>
      </c>
      <c r="B112" t="s">
        <v>326</v>
      </c>
      <c r="C112" t="s">
        <v>373</v>
      </c>
      <c r="D112" t="s">
        <v>64</v>
      </c>
      <c r="E112" t="s">
        <v>22</v>
      </c>
      <c r="F112" t="s">
        <v>23</v>
      </c>
      <c r="G112">
        <v>1</v>
      </c>
      <c r="H112">
        <v>9791166300493</v>
      </c>
      <c r="I112" t="s">
        <v>24</v>
      </c>
      <c r="J112" t="s">
        <v>147</v>
      </c>
      <c r="K112" t="s">
        <v>119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  <c r="V112" s="7" t="str">
        <f>IF(ISERROR(VLOOKUP(K112,[1]작가별정산률!$R:$S,2,0)),"스토리위즈",VLOOKUP(K112,[1]작가별정산률!$R:$S,2,0))</f>
        <v>스토리위즈</v>
      </c>
      <c r="W112" s="7" t="str">
        <f>IF(V112="스토리위즈",VLOOKUP(K112,[1]작가별정산률!$A:$B,2,0),V112)</f>
        <v>김광수</v>
      </c>
    </row>
    <row r="113" spans="1:23" x14ac:dyDescent="0.4">
      <c r="A113" t="s">
        <v>262</v>
      </c>
      <c r="B113" t="s">
        <v>326</v>
      </c>
      <c r="C113" t="s">
        <v>374</v>
      </c>
      <c r="D113" t="s">
        <v>64</v>
      </c>
      <c r="E113" t="s">
        <v>22</v>
      </c>
      <c r="F113" t="s">
        <v>23</v>
      </c>
      <c r="G113">
        <v>1</v>
      </c>
      <c r="H113">
        <v>9791166300127</v>
      </c>
      <c r="I113" t="s">
        <v>24</v>
      </c>
      <c r="J113" t="s">
        <v>122</v>
      </c>
      <c r="K113" t="s">
        <v>119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  <c r="V113" s="7" t="str">
        <f>IF(ISERROR(VLOOKUP(K113,[1]작가별정산률!$R:$S,2,0)),"스토리위즈",VLOOKUP(K113,[1]작가별정산률!$R:$S,2,0))</f>
        <v>스토리위즈</v>
      </c>
      <c r="W113" s="7" t="str">
        <f>IF(V113="스토리위즈",VLOOKUP(K113,[1]작가별정산률!$A:$B,2,0),V113)</f>
        <v>김광수</v>
      </c>
    </row>
    <row r="114" spans="1:23" x14ac:dyDescent="0.4">
      <c r="A114" t="s">
        <v>262</v>
      </c>
      <c r="B114" t="s">
        <v>326</v>
      </c>
      <c r="C114" t="s">
        <v>375</v>
      </c>
      <c r="D114" t="s">
        <v>64</v>
      </c>
      <c r="E114" t="s">
        <v>22</v>
      </c>
      <c r="F114" t="s">
        <v>23</v>
      </c>
      <c r="G114">
        <v>1</v>
      </c>
      <c r="H114">
        <v>9791166300691</v>
      </c>
      <c r="I114" t="s">
        <v>24</v>
      </c>
      <c r="J114" t="s">
        <v>152</v>
      </c>
      <c r="K114" t="s">
        <v>119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  <c r="V114" s="7" t="str">
        <f>IF(ISERROR(VLOOKUP(K114,[1]작가별정산률!$R:$S,2,0)),"스토리위즈",VLOOKUP(K114,[1]작가별정산률!$R:$S,2,0))</f>
        <v>스토리위즈</v>
      </c>
      <c r="W114" s="7" t="str">
        <f>IF(V114="스토리위즈",VLOOKUP(K114,[1]작가별정산률!$A:$B,2,0),V114)</f>
        <v>김광수</v>
      </c>
    </row>
    <row r="115" spans="1:23" x14ac:dyDescent="0.4">
      <c r="A115" t="s">
        <v>262</v>
      </c>
      <c r="B115" t="s">
        <v>326</v>
      </c>
      <c r="C115" t="s">
        <v>376</v>
      </c>
      <c r="D115" t="s">
        <v>64</v>
      </c>
      <c r="E115" t="s">
        <v>22</v>
      </c>
      <c r="F115" t="s">
        <v>23</v>
      </c>
      <c r="G115">
        <v>1</v>
      </c>
      <c r="H115">
        <v>9791166300615</v>
      </c>
      <c r="I115" t="s">
        <v>24</v>
      </c>
      <c r="J115" t="s">
        <v>163</v>
      </c>
      <c r="K115" t="s">
        <v>119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  <c r="V115" s="7" t="str">
        <f>IF(ISERROR(VLOOKUP(K115,[1]작가별정산률!$R:$S,2,0)),"스토리위즈",VLOOKUP(K115,[1]작가별정산률!$R:$S,2,0))</f>
        <v>스토리위즈</v>
      </c>
      <c r="W115" s="7" t="str">
        <f>IF(V115="스토리위즈",VLOOKUP(K115,[1]작가별정산률!$A:$B,2,0),V115)</f>
        <v>김광수</v>
      </c>
    </row>
    <row r="116" spans="1:23" x14ac:dyDescent="0.4">
      <c r="A116" t="s">
        <v>262</v>
      </c>
      <c r="B116" t="s">
        <v>326</v>
      </c>
      <c r="C116" t="s">
        <v>377</v>
      </c>
      <c r="D116" t="s">
        <v>64</v>
      </c>
      <c r="E116" t="s">
        <v>22</v>
      </c>
      <c r="F116" t="s">
        <v>23</v>
      </c>
      <c r="G116">
        <v>1</v>
      </c>
      <c r="H116">
        <v>9791166300165</v>
      </c>
      <c r="I116" t="s">
        <v>24</v>
      </c>
      <c r="J116" t="s">
        <v>126</v>
      </c>
      <c r="K116" t="s">
        <v>119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  <c r="V116" s="7" t="str">
        <f>IF(ISERROR(VLOOKUP(K116,[1]작가별정산률!$R:$S,2,0)),"스토리위즈",VLOOKUP(K116,[1]작가별정산률!$R:$S,2,0))</f>
        <v>스토리위즈</v>
      </c>
      <c r="W116" s="7" t="str">
        <f>IF(V116="스토리위즈",VLOOKUP(K116,[1]작가별정산률!$A:$B,2,0),V116)</f>
        <v>김광수</v>
      </c>
    </row>
    <row r="117" spans="1:23" x14ac:dyDescent="0.4">
      <c r="A117" t="s">
        <v>262</v>
      </c>
      <c r="B117" t="s">
        <v>326</v>
      </c>
      <c r="C117" t="s">
        <v>378</v>
      </c>
      <c r="D117" t="s">
        <v>64</v>
      </c>
      <c r="E117" t="s">
        <v>22</v>
      </c>
      <c r="F117" t="s">
        <v>23</v>
      </c>
      <c r="G117">
        <v>1</v>
      </c>
      <c r="H117">
        <v>9791159282850</v>
      </c>
      <c r="I117" t="s">
        <v>24</v>
      </c>
      <c r="J117" t="s">
        <v>31</v>
      </c>
      <c r="K117" t="s">
        <v>26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2">
        <v>0.7</v>
      </c>
      <c r="S117">
        <v>441</v>
      </c>
      <c r="T117" t="s">
        <v>27</v>
      </c>
      <c r="U117">
        <v>441</v>
      </c>
      <c r="V117" s="7" t="str">
        <f>IF(ISERROR(VLOOKUP(K117,[1]작가별정산률!$R:$S,2,0)),"스토리위즈",VLOOKUP(K117,[1]작가별정산률!$R:$S,2,0))</f>
        <v>스토리위즈</v>
      </c>
      <c r="W117" s="7" t="str">
        <f>IF(V117="스토리위즈",VLOOKUP(K117,[1]작가별정산률!$A:$B,2,0),V117)</f>
        <v>독고진</v>
      </c>
    </row>
    <row r="118" spans="1:23" x14ac:dyDescent="0.4">
      <c r="A118" t="s">
        <v>262</v>
      </c>
      <c r="B118" t="s">
        <v>326</v>
      </c>
      <c r="C118" t="s">
        <v>379</v>
      </c>
      <c r="D118" t="s">
        <v>64</v>
      </c>
      <c r="E118" t="s">
        <v>22</v>
      </c>
      <c r="F118" t="s">
        <v>23</v>
      </c>
      <c r="G118">
        <v>1</v>
      </c>
      <c r="H118">
        <v>9791166300134</v>
      </c>
      <c r="I118" t="s">
        <v>24</v>
      </c>
      <c r="J118" t="s">
        <v>123</v>
      </c>
      <c r="K118" t="s">
        <v>119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  <c r="V118" s="7" t="str">
        <f>IF(ISERROR(VLOOKUP(K118,[1]작가별정산률!$R:$S,2,0)),"스토리위즈",VLOOKUP(K118,[1]작가별정산률!$R:$S,2,0))</f>
        <v>스토리위즈</v>
      </c>
      <c r="W118" s="7" t="str">
        <f>IF(V118="스토리위즈",VLOOKUP(K118,[1]작가별정산률!$A:$B,2,0),V118)</f>
        <v>김광수</v>
      </c>
    </row>
    <row r="119" spans="1:23" x14ac:dyDescent="0.4">
      <c r="A119" t="s">
        <v>262</v>
      </c>
      <c r="B119" t="s">
        <v>326</v>
      </c>
      <c r="C119" t="s">
        <v>380</v>
      </c>
      <c r="D119" t="s">
        <v>64</v>
      </c>
      <c r="E119" t="s">
        <v>22</v>
      </c>
      <c r="F119" t="s">
        <v>23</v>
      </c>
      <c r="G119">
        <v>1</v>
      </c>
      <c r="H119">
        <v>9791159283086</v>
      </c>
      <c r="I119" t="s">
        <v>24</v>
      </c>
      <c r="J119" t="s">
        <v>72</v>
      </c>
      <c r="K119" t="s">
        <v>37</v>
      </c>
      <c r="L119" t="s">
        <v>27</v>
      </c>
      <c r="M119">
        <v>900</v>
      </c>
      <c r="N119" t="s">
        <v>27</v>
      </c>
      <c r="O119">
        <v>900</v>
      </c>
      <c r="P119">
        <v>900</v>
      </c>
      <c r="Q119" t="s">
        <v>30</v>
      </c>
      <c r="R119" s="2">
        <v>0.7</v>
      </c>
      <c r="S119">
        <v>630</v>
      </c>
      <c r="T119" t="s">
        <v>27</v>
      </c>
      <c r="U119">
        <v>630</v>
      </c>
      <c r="V119" s="7" t="str">
        <f>IF(ISERROR(VLOOKUP(K119,[1]작가별정산률!$R:$S,2,0)),"스토리위즈",VLOOKUP(K119,[1]작가별정산률!$R:$S,2,0))</f>
        <v>스토리위즈</v>
      </c>
      <c r="W119" s="7" t="str">
        <f>IF(V119="스토리위즈",VLOOKUP(K119,[1]작가별정산률!$A:$B,2,0),V119)</f>
        <v>권용찬</v>
      </c>
    </row>
    <row r="120" spans="1:23" x14ac:dyDescent="0.4">
      <c r="A120" t="s">
        <v>262</v>
      </c>
      <c r="B120" t="s">
        <v>326</v>
      </c>
      <c r="C120" t="s">
        <v>381</v>
      </c>
      <c r="D120" t="s">
        <v>64</v>
      </c>
      <c r="E120" t="s">
        <v>22</v>
      </c>
      <c r="F120" t="s">
        <v>23</v>
      </c>
      <c r="G120">
        <v>1</v>
      </c>
      <c r="H120">
        <v>9791166300486</v>
      </c>
      <c r="I120" t="s">
        <v>24</v>
      </c>
      <c r="J120" t="s">
        <v>146</v>
      </c>
      <c r="K120" t="s">
        <v>119</v>
      </c>
      <c r="L120" t="s">
        <v>27</v>
      </c>
      <c r="M120">
        <v>630</v>
      </c>
      <c r="N120" t="s">
        <v>27</v>
      </c>
      <c r="O120">
        <v>630</v>
      </c>
      <c r="P120">
        <v>630</v>
      </c>
      <c r="Q120" t="s">
        <v>30</v>
      </c>
      <c r="R120" s="2">
        <v>0.7</v>
      </c>
      <c r="S120">
        <v>441</v>
      </c>
      <c r="T120" t="s">
        <v>27</v>
      </c>
      <c r="U120">
        <v>441</v>
      </c>
      <c r="V120" s="7" t="str">
        <f>IF(ISERROR(VLOOKUP(K120,[1]작가별정산률!$R:$S,2,0)),"스토리위즈",VLOOKUP(K120,[1]작가별정산률!$R:$S,2,0))</f>
        <v>스토리위즈</v>
      </c>
      <c r="W120" s="7" t="str">
        <f>IF(V120="스토리위즈",VLOOKUP(K120,[1]작가별정산률!$A:$B,2,0),V120)</f>
        <v>김광수</v>
      </c>
    </row>
    <row r="121" spans="1:23" x14ac:dyDescent="0.4">
      <c r="A121" t="s">
        <v>262</v>
      </c>
      <c r="B121" t="s">
        <v>326</v>
      </c>
      <c r="C121" t="s">
        <v>382</v>
      </c>
      <c r="D121" t="s">
        <v>64</v>
      </c>
      <c r="E121" t="s">
        <v>22</v>
      </c>
      <c r="F121" t="s">
        <v>23</v>
      </c>
      <c r="G121">
        <v>1</v>
      </c>
      <c r="H121">
        <v>9791166064142</v>
      </c>
      <c r="I121" t="s">
        <v>24</v>
      </c>
      <c r="J121" t="s">
        <v>80</v>
      </c>
      <c r="K121" t="s">
        <v>37</v>
      </c>
      <c r="L121" t="s">
        <v>27</v>
      </c>
      <c r="M121">
        <v>900</v>
      </c>
      <c r="N121" t="s">
        <v>27</v>
      </c>
      <c r="O121">
        <v>900</v>
      </c>
      <c r="P121">
        <v>900</v>
      </c>
      <c r="Q121" t="s">
        <v>30</v>
      </c>
      <c r="R121" s="2">
        <v>0.7</v>
      </c>
      <c r="S121">
        <v>630</v>
      </c>
      <c r="T121" t="s">
        <v>27</v>
      </c>
      <c r="U121">
        <v>630</v>
      </c>
      <c r="V121" s="7" t="str">
        <f>IF(ISERROR(VLOOKUP(K121,[1]작가별정산률!$R:$S,2,0)),"스토리위즈",VLOOKUP(K121,[1]작가별정산률!$R:$S,2,0))</f>
        <v>스토리위즈</v>
      </c>
      <c r="W121" s="7" t="str">
        <f>IF(V121="스토리위즈",VLOOKUP(K121,[1]작가별정산률!$A:$B,2,0),V121)</f>
        <v>권용찬</v>
      </c>
    </row>
    <row r="122" spans="1:23" x14ac:dyDescent="0.4">
      <c r="A122" t="s">
        <v>262</v>
      </c>
      <c r="B122" t="s">
        <v>326</v>
      </c>
      <c r="C122" t="s">
        <v>383</v>
      </c>
      <c r="D122" t="s">
        <v>64</v>
      </c>
      <c r="E122" t="s">
        <v>22</v>
      </c>
      <c r="F122" t="s">
        <v>23</v>
      </c>
      <c r="G122">
        <v>1</v>
      </c>
      <c r="H122">
        <v>9791166300578</v>
      </c>
      <c r="I122" t="s">
        <v>24</v>
      </c>
      <c r="J122" t="s">
        <v>159</v>
      </c>
      <c r="K122" t="s">
        <v>119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  <c r="V122" s="7" t="str">
        <f>IF(ISERROR(VLOOKUP(K122,[1]작가별정산률!$R:$S,2,0)),"스토리위즈",VLOOKUP(K122,[1]작가별정산률!$R:$S,2,0))</f>
        <v>스토리위즈</v>
      </c>
      <c r="W122" s="7" t="str">
        <f>IF(V122="스토리위즈",VLOOKUP(K122,[1]작가별정산률!$A:$B,2,0),V122)</f>
        <v>김광수</v>
      </c>
    </row>
    <row r="123" spans="1:23" x14ac:dyDescent="0.4">
      <c r="A123" t="s">
        <v>262</v>
      </c>
      <c r="B123" t="s">
        <v>326</v>
      </c>
      <c r="C123" t="s">
        <v>384</v>
      </c>
      <c r="D123" t="s">
        <v>64</v>
      </c>
      <c r="E123" t="s">
        <v>22</v>
      </c>
      <c r="F123" t="s">
        <v>23</v>
      </c>
      <c r="G123">
        <v>1</v>
      </c>
      <c r="H123">
        <v>9791166300134</v>
      </c>
      <c r="I123" t="s">
        <v>24</v>
      </c>
      <c r="J123" t="s">
        <v>123</v>
      </c>
      <c r="K123" t="s">
        <v>119</v>
      </c>
      <c r="L123" t="s">
        <v>27</v>
      </c>
      <c r="M123">
        <v>630</v>
      </c>
      <c r="N123" t="s">
        <v>27</v>
      </c>
      <c r="O123">
        <v>630</v>
      </c>
      <c r="P123">
        <v>630</v>
      </c>
      <c r="Q123" t="s">
        <v>30</v>
      </c>
      <c r="R123" s="2">
        <v>0.7</v>
      </c>
      <c r="S123">
        <v>441</v>
      </c>
      <c r="T123" t="s">
        <v>27</v>
      </c>
      <c r="U123">
        <v>441</v>
      </c>
      <c r="V123" s="7" t="str">
        <f>IF(ISERROR(VLOOKUP(K123,[1]작가별정산률!$R:$S,2,0)),"스토리위즈",VLOOKUP(K123,[1]작가별정산률!$R:$S,2,0))</f>
        <v>스토리위즈</v>
      </c>
      <c r="W123" s="7" t="str">
        <f>IF(V123="스토리위즈",VLOOKUP(K123,[1]작가별정산률!$A:$B,2,0),V123)</f>
        <v>김광수</v>
      </c>
    </row>
    <row r="124" spans="1:23" x14ac:dyDescent="0.4">
      <c r="A124" t="s">
        <v>262</v>
      </c>
      <c r="B124" t="s">
        <v>326</v>
      </c>
      <c r="C124" t="s">
        <v>385</v>
      </c>
      <c r="D124" t="s">
        <v>21</v>
      </c>
      <c r="E124" t="s">
        <v>22</v>
      </c>
      <c r="F124" t="s">
        <v>23</v>
      </c>
      <c r="G124">
        <v>1</v>
      </c>
      <c r="H124">
        <v>9791191562033</v>
      </c>
      <c r="I124" t="s">
        <v>143</v>
      </c>
      <c r="J124" t="s">
        <v>189</v>
      </c>
      <c r="K124" t="s">
        <v>187</v>
      </c>
      <c r="L124" t="s">
        <v>27</v>
      </c>
      <c r="M124" s="3">
        <v>2000</v>
      </c>
      <c r="N124" t="s">
        <v>27</v>
      </c>
      <c r="O124" s="3">
        <v>2000</v>
      </c>
      <c r="P124" s="3">
        <v>2000</v>
      </c>
      <c r="Q124" t="s">
        <v>30</v>
      </c>
      <c r="R124" s="2">
        <v>0.7</v>
      </c>
      <c r="S124" s="3">
        <v>1400</v>
      </c>
      <c r="T124" t="s">
        <v>27</v>
      </c>
      <c r="U124" s="3">
        <v>1400</v>
      </c>
      <c r="V124" s="7" t="str">
        <f>IF(ISERROR(VLOOKUP(K124,[1]작가별정산률!$R:$S,2,0)),"스토리위즈",VLOOKUP(K124,[1]작가별정산률!$R:$S,2,0))</f>
        <v>밀리의 서재</v>
      </c>
      <c r="W124" s="7" t="str">
        <f>IF(V124="스토리위즈",VLOOKUP(K124,[1]작가별정산률!$A:$B,2,0),V124)</f>
        <v>밀리의 서재</v>
      </c>
    </row>
    <row r="125" spans="1:23" x14ac:dyDescent="0.4">
      <c r="A125" t="s">
        <v>262</v>
      </c>
      <c r="B125" t="s">
        <v>326</v>
      </c>
      <c r="C125" t="s">
        <v>386</v>
      </c>
      <c r="D125" t="s">
        <v>64</v>
      </c>
      <c r="E125" t="s">
        <v>22</v>
      </c>
      <c r="F125" t="s">
        <v>23</v>
      </c>
      <c r="G125">
        <v>1</v>
      </c>
      <c r="H125">
        <v>9791166300172</v>
      </c>
      <c r="I125" t="s">
        <v>24</v>
      </c>
      <c r="J125" t="s">
        <v>127</v>
      </c>
      <c r="K125" t="s">
        <v>119</v>
      </c>
      <c r="L125" t="s">
        <v>27</v>
      </c>
      <c r="M125">
        <v>630</v>
      </c>
      <c r="N125" t="s">
        <v>27</v>
      </c>
      <c r="O125">
        <v>630</v>
      </c>
      <c r="P125">
        <v>630</v>
      </c>
      <c r="Q125" t="s">
        <v>30</v>
      </c>
      <c r="R125" s="2">
        <v>0.7</v>
      </c>
      <c r="S125">
        <v>441</v>
      </c>
      <c r="T125" t="s">
        <v>27</v>
      </c>
      <c r="U125">
        <v>441</v>
      </c>
      <c r="V125" s="7" t="str">
        <f>IF(ISERROR(VLOOKUP(K125,[1]작가별정산률!$R:$S,2,0)),"스토리위즈",VLOOKUP(K125,[1]작가별정산률!$R:$S,2,0))</f>
        <v>스토리위즈</v>
      </c>
      <c r="W125" s="7" t="str">
        <f>IF(V125="스토리위즈",VLOOKUP(K125,[1]작가별정산률!$A:$B,2,0),V125)</f>
        <v>김광수</v>
      </c>
    </row>
    <row r="126" spans="1:23" x14ac:dyDescent="0.4">
      <c r="A126" t="s">
        <v>262</v>
      </c>
      <c r="B126" t="s">
        <v>326</v>
      </c>
      <c r="C126" t="s">
        <v>387</v>
      </c>
      <c r="D126" t="s">
        <v>64</v>
      </c>
      <c r="E126" t="s">
        <v>22</v>
      </c>
      <c r="F126" t="s">
        <v>23</v>
      </c>
      <c r="G126">
        <v>1</v>
      </c>
      <c r="H126">
        <v>9791166300578</v>
      </c>
      <c r="I126" t="s">
        <v>24</v>
      </c>
      <c r="J126" t="s">
        <v>159</v>
      </c>
      <c r="K126" t="s">
        <v>119</v>
      </c>
      <c r="L126" t="s">
        <v>27</v>
      </c>
      <c r="M126">
        <v>630</v>
      </c>
      <c r="N126" t="s">
        <v>27</v>
      </c>
      <c r="O126">
        <v>630</v>
      </c>
      <c r="P126">
        <v>630</v>
      </c>
      <c r="Q126" t="s">
        <v>30</v>
      </c>
      <c r="R126" s="2">
        <v>0.7</v>
      </c>
      <c r="S126">
        <v>441</v>
      </c>
      <c r="T126" t="s">
        <v>27</v>
      </c>
      <c r="U126">
        <v>444</v>
      </c>
      <c r="V126" s="7" t="str">
        <f>IF(ISERROR(VLOOKUP(K126,[1]작가별정산률!$R:$S,2,0)),"스토리위즈",VLOOKUP(K126,[1]작가별정산률!$R:$S,2,0))</f>
        <v>스토리위즈</v>
      </c>
      <c r="W126" s="7" t="str">
        <f>IF(V126="스토리위즈",VLOOKUP(K126,[1]작가별정산률!$A:$B,2,0),V126)</f>
        <v>김광수</v>
      </c>
    </row>
    <row r="127" spans="1:23" x14ac:dyDescent="0.4">
      <c r="A127" t="s">
        <v>262</v>
      </c>
      <c r="B127" t="s">
        <v>326</v>
      </c>
      <c r="C127" t="s">
        <v>388</v>
      </c>
      <c r="D127" t="s">
        <v>64</v>
      </c>
      <c r="E127" t="s">
        <v>22</v>
      </c>
      <c r="F127" t="s">
        <v>23</v>
      </c>
      <c r="G127">
        <v>1</v>
      </c>
      <c r="H127">
        <v>9791166300196</v>
      </c>
      <c r="I127" t="s">
        <v>24</v>
      </c>
      <c r="J127" t="s">
        <v>128</v>
      </c>
      <c r="K127" t="s">
        <v>119</v>
      </c>
      <c r="L127" t="s">
        <v>27</v>
      </c>
      <c r="M127">
        <v>630</v>
      </c>
      <c r="N127" t="s">
        <v>27</v>
      </c>
      <c r="O127">
        <v>630</v>
      </c>
      <c r="P127">
        <v>630</v>
      </c>
      <c r="Q127" t="s">
        <v>30</v>
      </c>
      <c r="R127" s="2">
        <v>0.7</v>
      </c>
      <c r="S127">
        <v>441</v>
      </c>
      <c r="T127" t="s">
        <v>27</v>
      </c>
      <c r="U127">
        <v>441</v>
      </c>
      <c r="V127" s="7" t="str">
        <f>IF(ISERROR(VLOOKUP(K127,[1]작가별정산률!$R:$S,2,0)),"스토리위즈",VLOOKUP(K127,[1]작가별정산률!$R:$S,2,0))</f>
        <v>스토리위즈</v>
      </c>
      <c r="W127" s="7" t="str">
        <f>IF(V127="스토리위즈",VLOOKUP(K127,[1]작가별정산률!$A:$B,2,0),V127)</f>
        <v>김광수</v>
      </c>
    </row>
    <row r="128" spans="1:23" x14ac:dyDescent="0.4">
      <c r="A128" t="s">
        <v>262</v>
      </c>
      <c r="B128" t="s">
        <v>326</v>
      </c>
      <c r="C128" t="s">
        <v>389</v>
      </c>
      <c r="D128" t="s">
        <v>64</v>
      </c>
      <c r="E128" t="s">
        <v>22</v>
      </c>
      <c r="F128" t="s">
        <v>23</v>
      </c>
      <c r="G128">
        <v>1</v>
      </c>
      <c r="H128">
        <v>9791166064159</v>
      </c>
      <c r="I128" t="s">
        <v>24</v>
      </c>
      <c r="J128" t="s">
        <v>86</v>
      </c>
      <c r="K128" t="s">
        <v>37</v>
      </c>
      <c r="L128" t="s">
        <v>27</v>
      </c>
      <c r="M128">
        <v>900</v>
      </c>
      <c r="N128" t="s">
        <v>27</v>
      </c>
      <c r="O128">
        <v>900</v>
      </c>
      <c r="P128">
        <v>900</v>
      </c>
      <c r="Q128" t="s">
        <v>30</v>
      </c>
      <c r="R128" s="2">
        <v>0.7</v>
      </c>
      <c r="S128">
        <v>630</v>
      </c>
      <c r="T128" t="s">
        <v>27</v>
      </c>
      <c r="U128">
        <v>630</v>
      </c>
      <c r="V128" s="7" t="str">
        <f>IF(ISERROR(VLOOKUP(K128,[1]작가별정산률!$R:$S,2,0)),"스토리위즈",VLOOKUP(K128,[1]작가별정산률!$R:$S,2,0))</f>
        <v>스토리위즈</v>
      </c>
      <c r="W128" s="7" t="str">
        <f>IF(V128="스토리위즈",VLOOKUP(K128,[1]작가별정산률!$A:$B,2,0),V128)</f>
        <v>권용찬</v>
      </c>
    </row>
    <row r="129" spans="1:23" x14ac:dyDescent="0.4">
      <c r="A129" t="s">
        <v>262</v>
      </c>
      <c r="B129" t="s">
        <v>326</v>
      </c>
      <c r="C129" t="s">
        <v>390</v>
      </c>
      <c r="D129" t="s">
        <v>21</v>
      </c>
      <c r="E129" t="s">
        <v>22</v>
      </c>
      <c r="F129" t="s">
        <v>23</v>
      </c>
      <c r="G129">
        <v>1</v>
      </c>
      <c r="H129">
        <v>9791166300165</v>
      </c>
      <c r="I129" t="s">
        <v>24</v>
      </c>
      <c r="J129" t="s">
        <v>126</v>
      </c>
      <c r="K129" t="s">
        <v>119</v>
      </c>
      <c r="L129" t="s">
        <v>27</v>
      </c>
      <c r="M129" s="3">
        <v>3200</v>
      </c>
      <c r="N129" t="s">
        <v>27</v>
      </c>
      <c r="O129" s="3">
        <v>3200</v>
      </c>
      <c r="P129" s="3">
        <v>3200</v>
      </c>
      <c r="Q129" t="s">
        <v>30</v>
      </c>
      <c r="R129" s="2">
        <v>0.7</v>
      </c>
      <c r="S129" s="3">
        <v>2240</v>
      </c>
      <c r="T129" t="s">
        <v>27</v>
      </c>
      <c r="U129" s="3">
        <v>2240</v>
      </c>
      <c r="V129" s="7" t="str">
        <f>IF(ISERROR(VLOOKUP(K129,[1]작가별정산률!$R:$S,2,0)),"스토리위즈",VLOOKUP(K129,[1]작가별정산률!$R:$S,2,0))</f>
        <v>스토리위즈</v>
      </c>
      <c r="W129" s="7" t="str">
        <f>IF(V129="스토리위즈",VLOOKUP(K129,[1]작가별정산률!$A:$B,2,0),V129)</f>
        <v>김광수</v>
      </c>
    </row>
    <row r="130" spans="1:23" x14ac:dyDescent="0.4">
      <c r="A130" t="s">
        <v>262</v>
      </c>
      <c r="B130" t="s">
        <v>326</v>
      </c>
      <c r="C130" t="s">
        <v>391</v>
      </c>
      <c r="D130" t="s">
        <v>64</v>
      </c>
      <c r="E130" t="s">
        <v>22</v>
      </c>
      <c r="F130" t="s">
        <v>23</v>
      </c>
      <c r="G130">
        <v>1</v>
      </c>
      <c r="H130">
        <v>9791166300493</v>
      </c>
      <c r="I130" t="s">
        <v>24</v>
      </c>
      <c r="J130" t="s">
        <v>147</v>
      </c>
      <c r="K130" t="s">
        <v>119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  <c r="V130" s="7" t="str">
        <f>IF(ISERROR(VLOOKUP(K130,[1]작가별정산률!$R:$S,2,0)),"스토리위즈",VLOOKUP(K130,[1]작가별정산률!$R:$S,2,0))</f>
        <v>스토리위즈</v>
      </c>
      <c r="W130" s="7" t="str">
        <f>IF(V130="스토리위즈",VLOOKUP(K130,[1]작가별정산률!$A:$B,2,0),V130)</f>
        <v>김광수</v>
      </c>
    </row>
    <row r="131" spans="1:23" x14ac:dyDescent="0.4">
      <c r="A131" t="s">
        <v>262</v>
      </c>
      <c r="B131" t="s">
        <v>326</v>
      </c>
      <c r="C131" t="s">
        <v>392</v>
      </c>
      <c r="D131" t="s">
        <v>21</v>
      </c>
      <c r="E131" t="s">
        <v>22</v>
      </c>
      <c r="F131" t="s">
        <v>23</v>
      </c>
      <c r="G131">
        <v>1</v>
      </c>
      <c r="H131">
        <v>9791191562286</v>
      </c>
      <c r="I131" t="s">
        <v>143</v>
      </c>
      <c r="J131" t="s">
        <v>238</v>
      </c>
      <c r="K131" t="s">
        <v>239</v>
      </c>
      <c r="L131" t="s">
        <v>27</v>
      </c>
      <c r="M131" s="3">
        <v>2000</v>
      </c>
      <c r="N131" t="s">
        <v>27</v>
      </c>
      <c r="O131" s="3">
        <v>2000</v>
      </c>
      <c r="P131" s="3">
        <v>2000</v>
      </c>
      <c r="Q131" t="s">
        <v>30</v>
      </c>
      <c r="R131" s="2">
        <v>0.7</v>
      </c>
      <c r="S131" s="3">
        <v>1400</v>
      </c>
      <c r="T131" t="s">
        <v>27</v>
      </c>
      <c r="U131" s="3">
        <v>1400</v>
      </c>
      <c r="V131" s="7" t="str">
        <f>IF(ISERROR(VLOOKUP(K131,[1]작가별정산률!$R:$S,2,0)),"스토리위즈",VLOOKUP(K131,[1]작가별정산률!$R:$S,2,0))</f>
        <v>밀리의 서재</v>
      </c>
      <c r="W131" s="7" t="str">
        <f>IF(V131="스토리위즈",VLOOKUP(K131,[1]작가별정산률!$A:$B,2,0),V131)</f>
        <v>밀리의 서재</v>
      </c>
    </row>
    <row r="132" spans="1:23" x14ac:dyDescent="0.4">
      <c r="A132" t="s">
        <v>262</v>
      </c>
      <c r="B132" t="s">
        <v>326</v>
      </c>
      <c r="C132" t="s">
        <v>393</v>
      </c>
      <c r="D132" t="s">
        <v>64</v>
      </c>
      <c r="E132" t="s">
        <v>22</v>
      </c>
      <c r="F132" t="s">
        <v>23</v>
      </c>
      <c r="G132">
        <v>1</v>
      </c>
      <c r="H132">
        <v>9791166300608</v>
      </c>
      <c r="I132" t="s">
        <v>24</v>
      </c>
      <c r="J132" t="s">
        <v>162</v>
      </c>
      <c r="K132" t="s">
        <v>119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  <c r="V132" s="7" t="str">
        <f>IF(ISERROR(VLOOKUP(K132,[1]작가별정산률!$R:$S,2,0)),"스토리위즈",VLOOKUP(K132,[1]작가별정산률!$R:$S,2,0))</f>
        <v>스토리위즈</v>
      </c>
      <c r="W132" s="7" t="str">
        <f>IF(V132="스토리위즈",VLOOKUP(K132,[1]작가별정산률!$A:$B,2,0),V132)</f>
        <v>김광수</v>
      </c>
    </row>
    <row r="133" spans="1:23" x14ac:dyDescent="0.4">
      <c r="A133" t="s">
        <v>262</v>
      </c>
      <c r="B133" t="s">
        <v>326</v>
      </c>
      <c r="C133" t="s">
        <v>394</v>
      </c>
      <c r="D133" t="s">
        <v>64</v>
      </c>
      <c r="E133" t="s">
        <v>22</v>
      </c>
      <c r="F133" t="s">
        <v>23</v>
      </c>
      <c r="G133">
        <v>1</v>
      </c>
      <c r="H133">
        <v>9791166300554</v>
      </c>
      <c r="I133" t="s">
        <v>24</v>
      </c>
      <c r="J133" t="s">
        <v>154</v>
      </c>
      <c r="K133" t="s">
        <v>119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  <c r="V133" s="7" t="str">
        <f>IF(ISERROR(VLOOKUP(K133,[1]작가별정산률!$R:$S,2,0)),"스토리위즈",VLOOKUP(K133,[1]작가별정산률!$R:$S,2,0))</f>
        <v>스토리위즈</v>
      </c>
      <c r="W133" s="7" t="str">
        <f>IF(V133="스토리위즈",VLOOKUP(K133,[1]작가별정산률!$A:$B,2,0),V133)</f>
        <v>김광수</v>
      </c>
    </row>
    <row r="134" spans="1:23" x14ac:dyDescent="0.4">
      <c r="A134" t="s">
        <v>262</v>
      </c>
      <c r="B134" t="s">
        <v>326</v>
      </c>
      <c r="C134" t="s">
        <v>395</v>
      </c>
      <c r="D134" t="s">
        <v>64</v>
      </c>
      <c r="E134" t="s">
        <v>22</v>
      </c>
      <c r="F134" t="s">
        <v>23</v>
      </c>
      <c r="G134">
        <v>1</v>
      </c>
      <c r="H134">
        <v>9791166300158</v>
      </c>
      <c r="I134" t="s">
        <v>24</v>
      </c>
      <c r="J134" t="s">
        <v>125</v>
      </c>
      <c r="K134" t="s">
        <v>119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  <c r="V134" s="7" t="str">
        <f>IF(ISERROR(VLOOKUP(K134,[1]작가별정산률!$R:$S,2,0)),"스토리위즈",VLOOKUP(K134,[1]작가별정산률!$R:$S,2,0))</f>
        <v>스토리위즈</v>
      </c>
      <c r="W134" s="7" t="str">
        <f>IF(V134="스토리위즈",VLOOKUP(K134,[1]작가별정산률!$A:$B,2,0),V134)</f>
        <v>김광수</v>
      </c>
    </row>
    <row r="135" spans="1:23" x14ac:dyDescent="0.4">
      <c r="A135" t="s">
        <v>262</v>
      </c>
      <c r="B135" t="s">
        <v>326</v>
      </c>
      <c r="C135" t="s">
        <v>396</v>
      </c>
      <c r="D135" t="s">
        <v>64</v>
      </c>
      <c r="E135" t="s">
        <v>22</v>
      </c>
      <c r="F135" t="s">
        <v>23</v>
      </c>
      <c r="G135">
        <v>1</v>
      </c>
      <c r="H135">
        <v>9791166300509</v>
      </c>
      <c r="I135" t="s">
        <v>24</v>
      </c>
      <c r="J135" t="s">
        <v>148</v>
      </c>
      <c r="K135" t="s">
        <v>119</v>
      </c>
      <c r="L135" t="s">
        <v>27</v>
      </c>
      <c r="M135">
        <v>630</v>
      </c>
      <c r="N135" t="s">
        <v>27</v>
      </c>
      <c r="O135">
        <v>630</v>
      </c>
      <c r="P135">
        <v>630</v>
      </c>
      <c r="Q135" t="s">
        <v>30</v>
      </c>
      <c r="R135" s="2">
        <v>0.7</v>
      </c>
      <c r="S135">
        <v>441</v>
      </c>
      <c r="T135" t="s">
        <v>27</v>
      </c>
      <c r="U135">
        <v>441</v>
      </c>
      <c r="V135" s="7" t="str">
        <f>IF(ISERROR(VLOOKUP(K135,[1]작가별정산률!$R:$S,2,0)),"스토리위즈",VLOOKUP(K135,[1]작가별정산률!$R:$S,2,0))</f>
        <v>스토리위즈</v>
      </c>
      <c r="W135" s="7" t="str">
        <f>IF(V135="스토리위즈",VLOOKUP(K135,[1]작가별정산률!$A:$B,2,0),V135)</f>
        <v>김광수</v>
      </c>
    </row>
    <row r="136" spans="1:23" x14ac:dyDescent="0.4">
      <c r="A136" t="s">
        <v>262</v>
      </c>
      <c r="B136" t="s">
        <v>326</v>
      </c>
      <c r="C136" t="s">
        <v>397</v>
      </c>
      <c r="D136" t="s">
        <v>64</v>
      </c>
      <c r="E136" t="s">
        <v>22</v>
      </c>
      <c r="F136" t="s">
        <v>23</v>
      </c>
      <c r="G136">
        <v>1</v>
      </c>
      <c r="H136">
        <v>9791166300295</v>
      </c>
      <c r="I136" t="s">
        <v>24</v>
      </c>
      <c r="J136" t="s">
        <v>138</v>
      </c>
      <c r="K136" t="s">
        <v>119</v>
      </c>
      <c r="L136" t="s">
        <v>27</v>
      </c>
      <c r="M136">
        <v>630</v>
      </c>
      <c r="N136" t="s">
        <v>27</v>
      </c>
      <c r="O136">
        <v>630</v>
      </c>
      <c r="P136">
        <v>630</v>
      </c>
      <c r="Q136" t="s">
        <v>30</v>
      </c>
      <c r="R136" s="2">
        <v>0.7</v>
      </c>
      <c r="S136">
        <v>441</v>
      </c>
      <c r="T136" t="s">
        <v>27</v>
      </c>
      <c r="U136">
        <v>441</v>
      </c>
      <c r="V136" s="7" t="str">
        <f>IF(ISERROR(VLOOKUP(K136,[1]작가별정산률!$R:$S,2,0)),"스토리위즈",VLOOKUP(K136,[1]작가별정산률!$R:$S,2,0))</f>
        <v>스토리위즈</v>
      </c>
      <c r="W136" s="7" t="str">
        <f>IF(V136="스토리위즈",VLOOKUP(K136,[1]작가별정산률!$A:$B,2,0),V136)</f>
        <v>김광수</v>
      </c>
    </row>
    <row r="137" spans="1:23" x14ac:dyDescent="0.4">
      <c r="A137" t="s">
        <v>262</v>
      </c>
      <c r="B137" t="s">
        <v>326</v>
      </c>
      <c r="C137" t="s">
        <v>398</v>
      </c>
      <c r="D137" t="s">
        <v>64</v>
      </c>
      <c r="E137" t="s">
        <v>22</v>
      </c>
      <c r="F137" t="s">
        <v>23</v>
      </c>
      <c r="G137">
        <v>1</v>
      </c>
      <c r="H137">
        <v>9791166064166</v>
      </c>
      <c r="I137" t="s">
        <v>24</v>
      </c>
      <c r="J137" t="s">
        <v>87</v>
      </c>
      <c r="K137" t="s">
        <v>37</v>
      </c>
      <c r="L137" t="s">
        <v>27</v>
      </c>
      <c r="M137">
        <v>900</v>
      </c>
      <c r="N137" t="s">
        <v>27</v>
      </c>
      <c r="O137">
        <v>900</v>
      </c>
      <c r="P137">
        <v>900</v>
      </c>
      <c r="Q137" t="s">
        <v>30</v>
      </c>
      <c r="R137" s="2">
        <v>0.7</v>
      </c>
      <c r="S137">
        <v>630</v>
      </c>
      <c r="T137" t="s">
        <v>27</v>
      </c>
      <c r="U137">
        <v>630</v>
      </c>
      <c r="V137" s="7" t="str">
        <f>IF(ISERROR(VLOOKUP(K137,[1]작가별정산률!$R:$S,2,0)),"스토리위즈",VLOOKUP(K137,[1]작가별정산률!$R:$S,2,0))</f>
        <v>스토리위즈</v>
      </c>
      <c r="W137" s="7" t="str">
        <f>IF(V137="스토리위즈",VLOOKUP(K137,[1]작가별정산률!$A:$B,2,0),V137)</f>
        <v>권용찬</v>
      </c>
    </row>
    <row r="138" spans="1:23" x14ac:dyDescent="0.4">
      <c r="A138" t="s">
        <v>262</v>
      </c>
      <c r="B138" t="s">
        <v>326</v>
      </c>
      <c r="C138" t="s">
        <v>399</v>
      </c>
      <c r="D138" t="s">
        <v>64</v>
      </c>
      <c r="E138" t="s">
        <v>22</v>
      </c>
      <c r="F138" t="s">
        <v>23</v>
      </c>
      <c r="G138">
        <v>1</v>
      </c>
      <c r="H138">
        <v>9791159282867</v>
      </c>
      <c r="I138" t="s">
        <v>24</v>
      </c>
      <c r="J138" t="s">
        <v>32</v>
      </c>
      <c r="K138" t="s">
        <v>26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  <c r="V138" s="7" t="str">
        <f>IF(ISERROR(VLOOKUP(K138,[1]작가별정산률!$R:$S,2,0)),"스토리위즈",VLOOKUP(K138,[1]작가별정산률!$R:$S,2,0))</f>
        <v>스토리위즈</v>
      </c>
      <c r="W138" s="7" t="str">
        <f>IF(V138="스토리위즈",VLOOKUP(K138,[1]작가별정산률!$A:$B,2,0),V138)</f>
        <v>독고진</v>
      </c>
    </row>
    <row r="139" spans="1:23" x14ac:dyDescent="0.4">
      <c r="A139" t="s">
        <v>262</v>
      </c>
      <c r="B139" t="s">
        <v>326</v>
      </c>
      <c r="C139" t="s">
        <v>400</v>
      </c>
      <c r="D139" t="s">
        <v>64</v>
      </c>
      <c r="E139" t="s">
        <v>22</v>
      </c>
      <c r="F139" t="s">
        <v>23</v>
      </c>
      <c r="G139">
        <v>1</v>
      </c>
      <c r="H139">
        <v>9791166300165</v>
      </c>
      <c r="I139" t="s">
        <v>24</v>
      </c>
      <c r="J139" t="s">
        <v>126</v>
      </c>
      <c r="K139" t="s">
        <v>119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  <c r="V139" s="7" t="str">
        <f>IF(ISERROR(VLOOKUP(K139,[1]작가별정산률!$R:$S,2,0)),"스토리위즈",VLOOKUP(K139,[1]작가별정산률!$R:$S,2,0))</f>
        <v>스토리위즈</v>
      </c>
      <c r="W139" s="7" t="str">
        <f>IF(V139="스토리위즈",VLOOKUP(K139,[1]작가별정산률!$A:$B,2,0),V139)</f>
        <v>김광수</v>
      </c>
    </row>
    <row r="140" spans="1:23" x14ac:dyDescent="0.4">
      <c r="A140" t="s">
        <v>262</v>
      </c>
      <c r="B140" t="s">
        <v>401</v>
      </c>
      <c r="C140" t="s">
        <v>402</v>
      </c>
      <c r="D140" t="s">
        <v>21</v>
      </c>
      <c r="E140" t="s">
        <v>22</v>
      </c>
      <c r="F140" t="s">
        <v>23</v>
      </c>
      <c r="G140">
        <v>1</v>
      </c>
      <c r="H140">
        <v>9791197098413</v>
      </c>
      <c r="I140" t="s">
        <v>24</v>
      </c>
      <c r="J140" t="s">
        <v>233</v>
      </c>
      <c r="K140" t="s">
        <v>37</v>
      </c>
      <c r="L140" t="s">
        <v>27</v>
      </c>
      <c r="M140" s="3">
        <v>3200</v>
      </c>
      <c r="N140" t="s">
        <v>219</v>
      </c>
      <c r="O140">
        <v>3.8</v>
      </c>
      <c r="P140">
        <v>3.3</v>
      </c>
      <c r="Q140" t="s">
        <v>220</v>
      </c>
      <c r="R140" s="2">
        <v>0.7</v>
      </c>
      <c r="S140">
        <v>2.31</v>
      </c>
      <c r="T140" t="s">
        <v>27</v>
      </c>
      <c r="U140" s="3">
        <v>1881</v>
      </c>
      <c r="V140" s="7" t="str">
        <f>IF(ISERROR(VLOOKUP(K140,[1]작가별정산률!$R:$S,2,0)),"스토리위즈",VLOOKUP(K140,[1]작가별정산률!$R:$S,2,0))</f>
        <v>스토리위즈</v>
      </c>
      <c r="W140" s="7" t="str">
        <f>IF(V140="스토리위즈",VLOOKUP(K140,[1]작가별정산률!$A:$B,2,0),V140)</f>
        <v>권용찬</v>
      </c>
    </row>
    <row r="141" spans="1:23" x14ac:dyDescent="0.4">
      <c r="A141" t="s">
        <v>262</v>
      </c>
      <c r="B141" t="s">
        <v>401</v>
      </c>
      <c r="C141" t="s">
        <v>403</v>
      </c>
      <c r="D141" t="s">
        <v>21</v>
      </c>
      <c r="E141" t="s">
        <v>22</v>
      </c>
      <c r="F141" t="s">
        <v>23</v>
      </c>
      <c r="G141">
        <v>1</v>
      </c>
      <c r="H141">
        <v>9791191562248</v>
      </c>
      <c r="I141" t="s">
        <v>143</v>
      </c>
      <c r="J141" t="s">
        <v>231</v>
      </c>
      <c r="K141" t="s">
        <v>232</v>
      </c>
      <c r="L141" t="s">
        <v>27</v>
      </c>
      <c r="M141" s="3">
        <v>2000</v>
      </c>
      <c r="N141" t="s">
        <v>27</v>
      </c>
      <c r="O141" s="3">
        <v>2000</v>
      </c>
      <c r="P141" s="3">
        <v>2000</v>
      </c>
      <c r="Q141" t="s">
        <v>30</v>
      </c>
      <c r="R141" s="2">
        <v>0.7</v>
      </c>
      <c r="S141" s="3">
        <v>1400</v>
      </c>
      <c r="T141" t="s">
        <v>27</v>
      </c>
      <c r="U141" s="3">
        <v>1400</v>
      </c>
      <c r="V141" s="7" t="str">
        <f>IF(ISERROR(VLOOKUP(K141,[1]작가별정산률!$R:$S,2,0)),"스토리위즈",VLOOKUP(K141,[1]작가별정산률!$R:$S,2,0))</f>
        <v>밀리의 서재</v>
      </c>
      <c r="W141" s="7" t="str">
        <f>IF(V141="스토리위즈",VLOOKUP(K141,[1]작가별정산률!$A:$B,2,0),V141)</f>
        <v>밀리의 서재</v>
      </c>
    </row>
    <row r="142" spans="1:23" x14ac:dyDescent="0.4">
      <c r="A142" t="s">
        <v>262</v>
      </c>
      <c r="B142" t="s">
        <v>401</v>
      </c>
      <c r="C142" t="s">
        <v>404</v>
      </c>
      <c r="D142" t="s">
        <v>21</v>
      </c>
      <c r="E142" t="s">
        <v>22</v>
      </c>
      <c r="F142" t="s">
        <v>23</v>
      </c>
      <c r="G142">
        <v>1</v>
      </c>
      <c r="H142">
        <v>9791191562286</v>
      </c>
      <c r="I142" t="s">
        <v>143</v>
      </c>
      <c r="J142" t="s">
        <v>238</v>
      </c>
      <c r="K142" t="s">
        <v>239</v>
      </c>
      <c r="L142" t="s">
        <v>27</v>
      </c>
      <c r="M142" s="3">
        <v>2000</v>
      </c>
      <c r="N142" t="s">
        <v>27</v>
      </c>
      <c r="O142" s="3">
        <v>2000</v>
      </c>
      <c r="P142" s="3">
        <v>2000</v>
      </c>
      <c r="Q142" t="s">
        <v>30</v>
      </c>
      <c r="R142" s="2">
        <v>0.7</v>
      </c>
      <c r="S142" s="3">
        <v>1400</v>
      </c>
      <c r="T142" t="s">
        <v>27</v>
      </c>
      <c r="U142" s="3">
        <v>1400</v>
      </c>
      <c r="V142" s="7" t="str">
        <f>IF(ISERROR(VLOOKUP(K142,[1]작가별정산률!$R:$S,2,0)),"스토리위즈",VLOOKUP(K142,[1]작가별정산률!$R:$S,2,0))</f>
        <v>밀리의 서재</v>
      </c>
      <c r="W142" s="7" t="str">
        <f>IF(V142="스토리위즈",VLOOKUP(K142,[1]작가별정산률!$A:$B,2,0),V142)</f>
        <v>밀리의 서재</v>
      </c>
    </row>
    <row r="143" spans="1:23" x14ac:dyDescent="0.4">
      <c r="A143" t="s">
        <v>262</v>
      </c>
      <c r="B143" t="s">
        <v>401</v>
      </c>
      <c r="C143" t="s">
        <v>404</v>
      </c>
      <c r="D143" t="s">
        <v>21</v>
      </c>
      <c r="E143" t="s">
        <v>22</v>
      </c>
      <c r="F143" t="s">
        <v>23</v>
      </c>
      <c r="G143">
        <v>1</v>
      </c>
      <c r="H143">
        <v>9791191562248</v>
      </c>
      <c r="I143" t="s">
        <v>143</v>
      </c>
      <c r="J143" t="s">
        <v>231</v>
      </c>
      <c r="K143" t="s">
        <v>232</v>
      </c>
      <c r="L143" t="s">
        <v>27</v>
      </c>
      <c r="M143" s="3">
        <v>2000</v>
      </c>
      <c r="N143" t="s">
        <v>27</v>
      </c>
      <c r="O143" s="3">
        <v>2000</v>
      </c>
      <c r="P143" s="3">
        <v>2000</v>
      </c>
      <c r="Q143" t="s">
        <v>30</v>
      </c>
      <c r="R143" s="2">
        <v>0.7</v>
      </c>
      <c r="S143" s="3">
        <v>1400</v>
      </c>
      <c r="T143" t="s">
        <v>27</v>
      </c>
      <c r="U143" s="3">
        <v>1400</v>
      </c>
      <c r="V143" s="7" t="str">
        <f>IF(ISERROR(VLOOKUP(K143,[1]작가별정산률!$R:$S,2,0)),"스토리위즈",VLOOKUP(K143,[1]작가별정산률!$R:$S,2,0))</f>
        <v>밀리의 서재</v>
      </c>
      <c r="W143" s="7" t="str">
        <f>IF(V143="스토리위즈",VLOOKUP(K143,[1]작가별정산률!$A:$B,2,0),V143)</f>
        <v>밀리의 서재</v>
      </c>
    </row>
    <row r="144" spans="1:23" x14ac:dyDescent="0.4">
      <c r="A144" t="s">
        <v>262</v>
      </c>
      <c r="B144" t="s">
        <v>401</v>
      </c>
      <c r="C144" t="s">
        <v>404</v>
      </c>
      <c r="D144" t="s">
        <v>21</v>
      </c>
      <c r="E144" t="s">
        <v>22</v>
      </c>
      <c r="F144" t="s">
        <v>23</v>
      </c>
      <c r="G144">
        <v>1</v>
      </c>
      <c r="H144">
        <v>9791191562224</v>
      </c>
      <c r="I144" t="s">
        <v>143</v>
      </c>
      <c r="J144" t="s">
        <v>221</v>
      </c>
      <c r="K144" t="s">
        <v>222</v>
      </c>
      <c r="L144" t="s">
        <v>27</v>
      </c>
      <c r="M144" s="3">
        <v>2500</v>
      </c>
      <c r="N144" t="s">
        <v>27</v>
      </c>
      <c r="O144" s="3">
        <v>2500</v>
      </c>
      <c r="P144" s="3">
        <v>2500</v>
      </c>
      <c r="Q144" t="s">
        <v>30</v>
      </c>
      <c r="R144" s="2">
        <v>0.7</v>
      </c>
      <c r="S144" s="3">
        <v>1750</v>
      </c>
      <c r="T144" t="s">
        <v>27</v>
      </c>
      <c r="U144" s="3">
        <v>1750</v>
      </c>
      <c r="V144" s="7" t="str">
        <f>IF(ISERROR(VLOOKUP(K144,[1]작가별정산률!$R:$S,2,0)),"스토리위즈",VLOOKUP(K144,[1]작가별정산률!$R:$S,2,0))</f>
        <v>밀리의 서재</v>
      </c>
      <c r="W144" s="7" t="str">
        <f>IF(V144="스토리위즈",VLOOKUP(K144,[1]작가별정산률!$A:$B,2,0),V144)</f>
        <v>밀리의 서재</v>
      </c>
    </row>
    <row r="145" spans="1:23" x14ac:dyDescent="0.4">
      <c r="A145" t="s">
        <v>262</v>
      </c>
      <c r="B145" t="s">
        <v>401</v>
      </c>
      <c r="C145" t="s">
        <v>405</v>
      </c>
      <c r="D145" t="s">
        <v>64</v>
      </c>
      <c r="E145" t="s">
        <v>22</v>
      </c>
      <c r="F145" t="s">
        <v>23</v>
      </c>
      <c r="G145">
        <v>1</v>
      </c>
      <c r="H145">
        <v>9791166300639</v>
      </c>
      <c r="I145" t="s">
        <v>24</v>
      </c>
      <c r="J145" t="s">
        <v>165</v>
      </c>
      <c r="K145" t="s">
        <v>119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  <c r="V145" s="7" t="str">
        <f>IF(ISERROR(VLOOKUP(K145,[1]작가별정산률!$R:$S,2,0)),"스토리위즈",VLOOKUP(K145,[1]작가별정산률!$R:$S,2,0))</f>
        <v>스토리위즈</v>
      </c>
      <c r="W145" s="7" t="str">
        <f>IF(V145="스토리위즈",VLOOKUP(K145,[1]작가별정산률!$A:$B,2,0),V145)</f>
        <v>김광수</v>
      </c>
    </row>
    <row r="146" spans="1:23" x14ac:dyDescent="0.4">
      <c r="A146" t="s">
        <v>262</v>
      </c>
      <c r="B146" t="s">
        <v>401</v>
      </c>
      <c r="C146" t="s">
        <v>406</v>
      </c>
      <c r="D146" t="s">
        <v>64</v>
      </c>
      <c r="E146" t="s">
        <v>22</v>
      </c>
      <c r="F146" t="s">
        <v>23</v>
      </c>
      <c r="G146">
        <v>1</v>
      </c>
      <c r="H146">
        <v>9791166064173</v>
      </c>
      <c r="I146" t="s">
        <v>24</v>
      </c>
      <c r="J146" t="s">
        <v>209</v>
      </c>
      <c r="K146" t="s">
        <v>37</v>
      </c>
      <c r="L146" t="s">
        <v>27</v>
      </c>
      <c r="M146">
        <v>900</v>
      </c>
      <c r="N146" t="s">
        <v>27</v>
      </c>
      <c r="O146">
        <v>900</v>
      </c>
      <c r="P146">
        <v>900</v>
      </c>
      <c r="Q146" t="s">
        <v>30</v>
      </c>
      <c r="R146" s="2">
        <v>0.7</v>
      </c>
      <c r="S146">
        <v>630</v>
      </c>
      <c r="T146" t="s">
        <v>27</v>
      </c>
      <c r="U146">
        <v>630</v>
      </c>
      <c r="V146" s="7" t="str">
        <f>IF(ISERROR(VLOOKUP(K146,[1]작가별정산률!$R:$S,2,0)),"스토리위즈",VLOOKUP(K146,[1]작가별정산률!$R:$S,2,0))</f>
        <v>스토리위즈</v>
      </c>
      <c r="W146" s="7" t="str">
        <f>IF(V146="스토리위즈",VLOOKUP(K146,[1]작가별정산률!$A:$B,2,0),V146)</f>
        <v>권용찬</v>
      </c>
    </row>
    <row r="147" spans="1:23" x14ac:dyDescent="0.4">
      <c r="A147" t="s">
        <v>262</v>
      </c>
      <c r="B147" t="s">
        <v>401</v>
      </c>
      <c r="C147" t="s">
        <v>407</v>
      </c>
      <c r="D147" t="s">
        <v>21</v>
      </c>
      <c r="E147" t="s">
        <v>22</v>
      </c>
      <c r="F147" t="s">
        <v>23</v>
      </c>
      <c r="G147">
        <v>1</v>
      </c>
      <c r="H147">
        <v>9791191562125</v>
      </c>
      <c r="I147" t="s">
        <v>143</v>
      </c>
      <c r="J147" t="s">
        <v>212</v>
      </c>
      <c r="K147" t="s">
        <v>213</v>
      </c>
      <c r="L147" t="s">
        <v>27</v>
      </c>
      <c r="M147" s="3">
        <v>2500</v>
      </c>
      <c r="N147" t="s">
        <v>27</v>
      </c>
      <c r="O147" s="3">
        <v>2500</v>
      </c>
      <c r="P147" s="3">
        <v>2500</v>
      </c>
      <c r="Q147" t="s">
        <v>30</v>
      </c>
      <c r="R147" s="2">
        <v>0.7</v>
      </c>
      <c r="S147" s="3">
        <v>1750</v>
      </c>
      <c r="T147" t="s">
        <v>27</v>
      </c>
      <c r="U147" s="3">
        <v>1750</v>
      </c>
      <c r="V147" s="7" t="str">
        <f>IF(ISERROR(VLOOKUP(K147,[1]작가별정산률!$R:$S,2,0)),"스토리위즈",VLOOKUP(K147,[1]작가별정산률!$R:$S,2,0))</f>
        <v>밀리의 서재</v>
      </c>
      <c r="W147" s="7" t="str">
        <f>IF(V147="스토리위즈",VLOOKUP(K147,[1]작가별정산률!$A:$B,2,0),V147)</f>
        <v>밀리의 서재</v>
      </c>
    </row>
    <row r="148" spans="1:23" x14ac:dyDescent="0.4">
      <c r="A148" t="s">
        <v>262</v>
      </c>
      <c r="B148" t="s">
        <v>401</v>
      </c>
      <c r="C148" t="s">
        <v>408</v>
      </c>
      <c r="D148" t="s">
        <v>64</v>
      </c>
      <c r="E148" t="s">
        <v>22</v>
      </c>
      <c r="F148" t="s">
        <v>23</v>
      </c>
      <c r="G148">
        <v>1</v>
      </c>
      <c r="H148">
        <v>9791166300646</v>
      </c>
      <c r="I148" t="s">
        <v>24</v>
      </c>
      <c r="J148" t="s">
        <v>155</v>
      </c>
      <c r="K148" t="s">
        <v>119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  <c r="V148" s="7" t="str">
        <f>IF(ISERROR(VLOOKUP(K148,[1]작가별정산률!$R:$S,2,0)),"스토리위즈",VLOOKUP(K148,[1]작가별정산률!$R:$S,2,0))</f>
        <v>스토리위즈</v>
      </c>
      <c r="W148" s="7" t="str">
        <f>IF(V148="스토리위즈",VLOOKUP(K148,[1]작가별정산률!$A:$B,2,0),V148)</f>
        <v>김광수</v>
      </c>
    </row>
    <row r="149" spans="1:23" x14ac:dyDescent="0.4">
      <c r="A149" t="s">
        <v>262</v>
      </c>
      <c r="B149" t="s">
        <v>401</v>
      </c>
      <c r="C149" t="s">
        <v>409</v>
      </c>
      <c r="D149" t="s">
        <v>64</v>
      </c>
      <c r="E149" t="s">
        <v>22</v>
      </c>
      <c r="F149" t="s">
        <v>23</v>
      </c>
      <c r="G149">
        <v>1</v>
      </c>
      <c r="H149">
        <v>9791166300615</v>
      </c>
      <c r="I149" t="s">
        <v>24</v>
      </c>
      <c r="J149" t="s">
        <v>163</v>
      </c>
      <c r="K149" t="s">
        <v>119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  <c r="V149" s="7" t="str">
        <f>IF(ISERROR(VLOOKUP(K149,[1]작가별정산률!$R:$S,2,0)),"스토리위즈",VLOOKUP(K149,[1]작가별정산률!$R:$S,2,0))</f>
        <v>스토리위즈</v>
      </c>
      <c r="W149" s="7" t="str">
        <f>IF(V149="스토리위즈",VLOOKUP(K149,[1]작가별정산률!$A:$B,2,0),V149)</f>
        <v>김광수</v>
      </c>
    </row>
    <row r="150" spans="1:23" x14ac:dyDescent="0.4">
      <c r="A150" t="s">
        <v>262</v>
      </c>
      <c r="B150" t="s">
        <v>401</v>
      </c>
      <c r="C150" t="s">
        <v>410</v>
      </c>
      <c r="D150" t="s">
        <v>64</v>
      </c>
      <c r="E150" t="s">
        <v>22</v>
      </c>
      <c r="F150" t="s">
        <v>23</v>
      </c>
      <c r="G150">
        <v>1</v>
      </c>
      <c r="H150">
        <v>9791166300202</v>
      </c>
      <c r="I150" t="s">
        <v>24</v>
      </c>
      <c r="J150" t="s">
        <v>129</v>
      </c>
      <c r="K150" t="s">
        <v>119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  <c r="V150" s="7" t="str">
        <f>IF(ISERROR(VLOOKUP(K150,[1]작가별정산률!$R:$S,2,0)),"스토리위즈",VLOOKUP(K150,[1]작가별정산률!$R:$S,2,0))</f>
        <v>스토리위즈</v>
      </c>
      <c r="W150" s="7" t="str">
        <f>IF(V150="스토리위즈",VLOOKUP(K150,[1]작가별정산률!$A:$B,2,0),V150)</f>
        <v>김광수</v>
      </c>
    </row>
    <row r="151" spans="1:23" x14ac:dyDescent="0.4">
      <c r="A151" t="s">
        <v>262</v>
      </c>
      <c r="B151" t="s">
        <v>401</v>
      </c>
      <c r="C151" t="s">
        <v>411</v>
      </c>
      <c r="D151" t="s">
        <v>64</v>
      </c>
      <c r="E151" t="s">
        <v>22</v>
      </c>
      <c r="F151" t="s">
        <v>23</v>
      </c>
      <c r="G151">
        <v>1</v>
      </c>
      <c r="H151">
        <v>9791166300141</v>
      </c>
      <c r="I151" t="s">
        <v>24</v>
      </c>
      <c r="J151" t="s">
        <v>124</v>
      </c>
      <c r="K151" t="s">
        <v>119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  <c r="V151" s="7" t="str">
        <f>IF(ISERROR(VLOOKUP(K151,[1]작가별정산률!$R:$S,2,0)),"스토리위즈",VLOOKUP(K151,[1]작가별정산률!$R:$S,2,0))</f>
        <v>스토리위즈</v>
      </c>
      <c r="W151" s="7" t="str">
        <f>IF(V151="스토리위즈",VLOOKUP(K151,[1]작가별정산률!$A:$B,2,0),V151)</f>
        <v>김광수</v>
      </c>
    </row>
    <row r="152" spans="1:23" x14ac:dyDescent="0.4">
      <c r="A152" t="s">
        <v>262</v>
      </c>
      <c r="B152" t="s">
        <v>401</v>
      </c>
      <c r="C152" t="s">
        <v>412</v>
      </c>
      <c r="D152" t="s">
        <v>64</v>
      </c>
      <c r="E152" t="s">
        <v>22</v>
      </c>
      <c r="F152" t="s">
        <v>23</v>
      </c>
      <c r="G152">
        <v>1</v>
      </c>
      <c r="H152">
        <v>9791166300516</v>
      </c>
      <c r="I152" t="s">
        <v>24</v>
      </c>
      <c r="J152" t="s">
        <v>149</v>
      </c>
      <c r="K152" t="s">
        <v>119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  <c r="V152" s="7" t="str">
        <f>IF(ISERROR(VLOOKUP(K152,[1]작가별정산률!$R:$S,2,0)),"스토리위즈",VLOOKUP(K152,[1]작가별정산률!$R:$S,2,0))</f>
        <v>스토리위즈</v>
      </c>
      <c r="W152" s="7" t="str">
        <f>IF(V152="스토리위즈",VLOOKUP(K152,[1]작가별정산률!$A:$B,2,0),V152)</f>
        <v>김광수</v>
      </c>
    </row>
    <row r="153" spans="1:23" x14ac:dyDescent="0.4">
      <c r="A153" t="s">
        <v>262</v>
      </c>
      <c r="B153" t="s">
        <v>401</v>
      </c>
      <c r="C153" t="s">
        <v>413</v>
      </c>
      <c r="D153" t="s">
        <v>21</v>
      </c>
      <c r="E153" t="s">
        <v>22</v>
      </c>
      <c r="F153" t="s">
        <v>23</v>
      </c>
      <c r="G153">
        <v>1</v>
      </c>
      <c r="H153">
        <v>9791191562316</v>
      </c>
      <c r="I153" t="s">
        <v>143</v>
      </c>
      <c r="J153" t="s">
        <v>229</v>
      </c>
      <c r="K153" t="s">
        <v>230</v>
      </c>
      <c r="L153" t="s">
        <v>27</v>
      </c>
      <c r="M153" s="3">
        <v>2500</v>
      </c>
      <c r="N153" t="s">
        <v>27</v>
      </c>
      <c r="O153" s="3">
        <v>2500</v>
      </c>
      <c r="P153" s="3">
        <v>2500</v>
      </c>
      <c r="Q153" t="s">
        <v>30</v>
      </c>
      <c r="R153" s="2">
        <v>0.7</v>
      </c>
      <c r="S153" s="3">
        <v>1750</v>
      </c>
      <c r="T153" t="s">
        <v>27</v>
      </c>
      <c r="U153" s="3">
        <v>1750</v>
      </c>
      <c r="V153" s="7" t="str">
        <f>IF(ISERROR(VLOOKUP(K153,[1]작가별정산률!$R:$S,2,0)),"스토리위즈",VLOOKUP(K153,[1]작가별정산률!$R:$S,2,0))</f>
        <v>밀리의 서재</v>
      </c>
      <c r="W153" s="7" t="str">
        <f>IF(V153="스토리위즈",VLOOKUP(K153,[1]작가별정산률!$A:$B,2,0),V153)</f>
        <v>밀리의 서재</v>
      </c>
    </row>
    <row r="154" spans="1:23" x14ac:dyDescent="0.4">
      <c r="A154" t="s">
        <v>262</v>
      </c>
      <c r="B154" t="s">
        <v>401</v>
      </c>
      <c r="C154" t="s">
        <v>414</v>
      </c>
      <c r="D154" t="s">
        <v>21</v>
      </c>
      <c r="E154" t="s">
        <v>22</v>
      </c>
      <c r="F154" t="s">
        <v>23</v>
      </c>
      <c r="G154">
        <v>1</v>
      </c>
      <c r="H154">
        <v>9791191562187</v>
      </c>
      <c r="I154" t="s">
        <v>143</v>
      </c>
      <c r="J154" t="s">
        <v>217</v>
      </c>
      <c r="K154" t="s">
        <v>218</v>
      </c>
      <c r="L154" t="s">
        <v>27</v>
      </c>
      <c r="M154" s="3">
        <v>2000</v>
      </c>
      <c r="N154" t="s">
        <v>176</v>
      </c>
      <c r="O154">
        <v>222</v>
      </c>
      <c r="P154">
        <v>202</v>
      </c>
      <c r="Q154" t="s">
        <v>177</v>
      </c>
      <c r="R154" s="2">
        <v>0.7</v>
      </c>
      <c r="S154">
        <v>141</v>
      </c>
      <c r="T154" t="s">
        <v>27</v>
      </c>
      <c r="U154" s="3">
        <v>1373</v>
      </c>
      <c r="V154" s="7" t="str">
        <f>IF(ISERROR(VLOOKUP(K154,[1]작가별정산률!$R:$S,2,0)),"스토리위즈",VLOOKUP(K154,[1]작가별정산률!$R:$S,2,0))</f>
        <v>밀리의 서재</v>
      </c>
      <c r="W154" s="7" t="str">
        <f>IF(V154="스토리위즈",VLOOKUP(K154,[1]작가별정산률!$A:$B,2,0),V154)</f>
        <v>밀리의 서재</v>
      </c>
    </row>
    <row r="155" spans="1:23" x14ac:dyDescent="0.4">
      <c r="A155" t="s">
        <v>262</v>
      </c>
      <c r="B155" t="s">
        <v>401</v>
      </c>
      <c r="C155" t="s">
        <v>415</v>
      </c>
      <c r="D155" t="s">
        <v>64</v>
      </c>
      <c r="E155" t="s">
        <v>22</v>
      </c>
      <c r="F155" t="s">
        <v>23</v>
      </c>
      <c r="G155">
        <v>1</v>
      </c>
      <c r="H155">
        <v>9791166300233</v>
      </c>
      <c r="I155" t="s">
        <v>24</v>
      </c>
      <c r="J155" t="s">
        <v>132</v>
      </c>
      <c r="K155" t="s">
        <v>119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  <c r="V155" s="7" t="str">
        <f>IF(ISERROR(VLOOKUP(K155,[1]작가별정산률!$R:$S,2,0)),"스토리위즈",VLOOKUP(K155,[1]작가별정산률!$R:$S,2,0))</f>
        <v>스토리위즈</v>
      </c>
      <c r="W155" s="7" t="str">
        <f>IF(V155="스토리위즈",VLOOKUP(K155,[1]작가별정산률!$A:$B,2,0),V155)</f>
        <v>김광수</v>
      </c>
    </row>
    <row r="156" spans="1:23" x14ac:dyDescent="0.4">
      <c r="A156" t="s">
        <v>262</v>
      </c>
      <c r="B156" t="s">
        <v>401</v>
      </c>
      <c r="C156" t="s">
        <v>416</v>
      </c>
      <c r="D156" t="s">
        <v>64</v>
      </c>
      <c r="E156" t="s">
        <v>22</v>
      </c>
      <c r="F156" t="s">
        <v>23</v>
      </c>
      <c r="G156">
        <v>1</v>
      </c>
      <c r="H156">
        <v>9791159282256</v>
      </c>
      <c r="I156" t="s">
        <v>24</v>
      </c>
      <c r="J156" t="s">
        <v>117</v>
      </c>
      <c r="K156" t="s">
        <v>37</v>
      </c>
      <c r="L156" t="s">
        <v>27</v>
      </c>
      <c r="M156">
        <v>900</v>
      </c>
      <c r="N156" t="s">
        <v>27</v>
      </c>
      <c r="O156">
        <v>900</v>
      </c>
      <c r="P156">
        <v>900</v>
      </c>
      <c r="Q156" t="s">
        <v>30</v>
      </c>
      <c r="R156" s="2">
        <v>0.7</v>
      </c>
      <c r="S156">
        <v>630</v>
      </c>
      <c r="T156" t="s">
        <v>27</v>
      </c>
      <c r="U156">
        <v>630</v>
      </c>
      <c r="V156" s="7" t="str">
        <f>IF(ISERROR(VLOOKUP(K156,[1]작가별정산률!$R:$S,2,0)),"스토리위즈",VLOOKUP(K156,[1]작가별정산률!$R:$S,2,0))</f>
        <v>스토리위즈</v>
      </c>
      <c r="W156" s="7" t="str">
        <f>IF(V156="스토리위즈",VLOOKUP(K156,[1]작가별정산률!$A:$B,2,0),V156)</f>
        <v>권용찬</v>
      </c>
    </row>
    <row r="157" spans="1:23" x14ac:dyDescent="0.4">
      <c r="A157" t="s">
        <v>262</v>
      </c>
      <c r="B157" t="s">
        <v>401</v>
      </c>
      <c r="C157" t="s">
        <v>417</v>
      </c>
      <c r="D157" t="s">
        <v>21</v>
      </c>
      <c r="E157" t="s">
        <v>22</v>
      </c>
      <c r="F157" t="s">
        <v>23</v>
      </c>
      <c r="G157">
        <v>1</v>
      </c>
      <c r="H157">
        <v>9791191562248</v>
      </c>
      <c r="I157" t="s">
        <v>143</v>
      </c>
      <c r="J157" t="s">
        <v>231</v>
      </c>
      <c r="K157" t="s">
        <v>232</v>
      </c>
      <c r="L157" t="s">
        <v>27</v>
      </c>
      <c r="M157" s="3">
        <v>2000</v>
      </c>
      <c r="N157" t="s">
        <v>27</v>
      </c>
      <c r="O157" s="3">
        <v>2000</v>
      </c>
      <c r="P157" s="3">
        <v>2000</v>
      </c>
      <c r="Q157" t="s">
        <v>30</v>
      </c>
      <c r="R157" s="2">
        <v>0.7</v>
      </c>
      <c r="S157" s="3">
        <v>1400</v>
      </c>
      <c r="T157" t="s">
        <v>27</v>
      </c>
      <c r="U157" s="3">
        <v>1400</v>
      </c>
      <c r="V157" s="7" t="str">
        <f>IF(ISERROR(VLOOKUP(K157,[1]작가별정산률!$R:$S,2,0)),"스토리위즈",VLOOKUP(K157,[1]작가별정산률!$R:$S,2,0))</f>
        <v>밀리의 서재</v>
      </c>
      <c r="W157" s="7" t="str">
        <f>IF(V157="스토리위즈",VLOOKUP(K157,[1]작가별정산률!$A:$B,2,0),V157)</f>
        <v>밀리의 서재</v>
      </c>
    </row>
    <row r="158" spans="1:23" x14ac:dyDescent="0.4">
      <c r="A158" t="s">
        <v>262</v>
      </c>
      <c r="B158" t="s">
        <v>401</v>
      </c>
      <c r="C158" t="s">
        <v>418</v>
      </c>
      <c r="D158" t="s">
        <v>64</v>
      </c>
      <c r="E158" t="s">
        <v>22</v>
      </c>
      <c r="F158" t="s">
        <v>23</v>
      </c>
      <c r="G158">
        <v>1</v>
      </c>
      <c r="H158">
        <v>9791166300202</v>
      </c>
      <c r="I158" t="s">
        <v>24</v>
      </c>
      <c r="J158" t="s">
        <v>129</v>
      </c>
      <c r="K158" t="s">
        <v>119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  <c r="V158" s="7" t="str">
        <f>IF(ISERROR(VLOOKUP(K158,[1]작가별정산률!$R:$S,2,0)),"스토리위즈",VLOOKUP(K158,[1]작가별정산률!$R:$S,2,0))</f>
        <v>스토리위즈</v>
      </c>
      <c r="W158" s="7" t="str">
        <f>IF(V158="스토리위즈",VLOOKUP(K158,[1]작가별정산률!$A:$B,2,0),V158)</f>
        <v>김광수</v>
      </c>
    </row>
    <row r="159" spans="1:23" x14ac:dyDescent="0.4">
      <c r="A159" t="s">
        <v>262</v>
      </c>
      <c r="B159" t="s">
        <v>401</v>
      </c>
      <c r="C159" t="s">
        <v>419</v>
      </c>
      <c r="D159" t="s">
        <v>64</v>
      </c>
      <c r="E159" t="s">
        <v>22</v>
      </c>
      <c r="F159" t="s">
        <v>23</v>
      </c>
      <c r="G159">
        <v>1</v>
      </c>
      <c r="H159">
        <v>9791166300486</v>
      </c>
      <c r="I159" t="s">
        <v>24</v>
      </c>
      <c r="J159" t="s">
        <v>146</v>
      </c>
      <c r="K159" t="s">
        <v>119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  <c r="V159" s="7" t="str">
        <f>IF(ISERROR(VLOOKUP(K159,[1]작가별정산률!$R:$S,2,0)),"스토리위즈",VLOOKUP(K159,[1]작가별정산률!$R:$S,2,0))</f>
        <v>스토리위즈</v>
      </c>
      <c r="W159" s="7" t="str">
        <f>IF(V159="스토리위즈",VLOOKUP(K159,[1]작가별정산률!$A:$B,2,0),V159)</f>
        <v>김광수</v>
      </c>
    </row>
    <row r="160" spans="1:23" x14ac:dyDescent="0.4">
      <c r="A160" t="s">
        <v>262</v>
      </c>
      <c r="B160" t="s">
        <v>401</v>
      </c>
      <c r="C160" t="s">
        <v>420</v>
      </c>
      <c r="D160" t="s">
        <v>64</v>
      </c>
      <c r="E160" t="s">
        <v>22</v>
      </c>
      <c r="F160" t="s">
        <v>23</v>
      </c>
      <c r="G160">
        <v>1</v>
      </c>
      <c r="H160">
        <v>9791166064180</v>
      </c>
      <c r="I160" t="s">
        <v>24</v>
      </c>
      <c r="J160" t="s">
        <v>211</v>
      </c>
      <c r="K160" t="s">
        <v>37</v>
      </c>
      <c r="L160" t="s">
        <v>27</v>
      </c>
      <c r="M160">
        <v>900</v>
      </c>
      <c r="N160" t="s">
        <v>27</v>
      </c>
      <c r="O160">
        <v>900</v>
      </c>
      <c r="P160">
        <v>900</v>
      </c>
      <c r="Q160" t="s">
        <v>30</v>
      </c>
      <c r="R160" s="2">
        <v>0.7</v>
      </c>
      <c r="S160">
        <v>630</v>
      </c>
      <c r="T160" t="s">
        <v>27</v>
      </c>
      <c r="U160">
        <v>630</v>
      </c>
      <c r="V160" s="7" t="str">
        <f>IF(ISERROR(VLOOKUP(K160,[1]작가별정산률!$R:$S,2,0)),"스토리위즈",VLOOKUP(K160,[1]작가별정산률!$R:$S,2,0))</f>
        <v>스토리위즈</v>
      </c>
      <c r="W160" s="7" t="str">
        <f>IF(V160="스토리위즈",VLOOKUP(K160,[1]작가별정산률!$A:$B,2,0),V160)</f>
        <v>권용찬</v>
      </c>
    </row>
    <row r="161" spans="1:23" x14ac:dyDescent="0.4">
      <c r="A161" t="s">
        <v>262</v>
      </c>
      <c r="B161" t="s">
        <v>401</v>
      </c>
      <c r="C161" t="s">
        <v>421</v>
      </c>
      <c r="D161" t="s">
        <v>64</v>
      </c>
      <c r="E161" t="s">
        <v>22</v>
      </c>
      <c r="F161" t="s">
        <v>23</v>
      </c>
      <c r="G161">
        <v>1</v>
      </c>
      <c r="H161">
        <v>9791166300219</v>
      </c>
      <c r="I161" t="s">
        <v>24</v>
      </c>
      <c r="J161" t="s">
        <v>130</v>
      </c>
      <c r="K161" t="s">
        <v>119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  <c r="V161" s="7" t="str">
        <f>IF(ISERROR(VLOOKUP(K161,[1]작가별정산률!$R:$S,2,0)),"스토리위즈",VLOOKUP(K161,[1]작가별정산률!$R:$S,2,0))</f>
        <v>스토리위즈</v>
      </c>
      <c r="W161" s="7" t="str">
        <f>IF(V161="스토리위즈",VLOOKUP(K161,[1]작가별정산률!$A:$B,2,0),V161)</f>
        <v>김광수</v>
      </c>
    </row>
    <row r="162" spans="1:23" x14ac:dyDescent="0.4">
      <c r="A162" t="s">
        <v>262</v>
      </c>
      <c r="B162" t="s">
        <v>401</v>
      </c>
      <c r="C162" t="s">
        <v>422</v>
      </c>
      <c r="D162" t="s">
        <v>64</v>
      </c>
      <c r="E162" t="s">
        <v>22</v>
      </c>
      <c r="F162" t="s">
        <v>23</v>
      </c>
      <c r="G162">
        <v>1</v>
      </c>
      <c r="H162">
        <v>9791166300615</v>
      </c>
      <c r="I162" t="s">
        <v>24</v>
      </c>
      <c r="J162" t="s">
        <v>163</v>
      </c>
      <c r="K162" t="s">
        <v>119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2">
        <v>0.7</v>
      </c>
      <c r="S162">
        <v>441</v>
      </c>
      <c r="T162" t="s">
        <v>27</v>
      </c>
      <c r="U162">
        <v>441</v>
      </c>
      <c r="V162" s="7" t="str">
        <f>IF(ISERROR(VLOOKUP(K162,[1]작가별정산률!$R:$S,2,0)),"스토리위즈",VLOOKUP(K162,[1]작가별정산률!$R:$S,2,0))</f>
        <v>스토리위즈</v>
      </c>
      <c r="W162" s="7" t="str">
        <f>IF(V162="스토리위즈",VLOOKUP(K162,[1]작가별정산률!$A:$B,2,0),V162)</f>
        <v>김광수</v>
      </c>
    </row>
    <row r="163" spans="1:23" x14ac:dyDescent="0.4">
      <c r="A163" t="s">
        <v>262</v>
      </c>
      <c r="B163" t="s">
        <v>401</v>
      </c>
      <c r="C163" t="s">
        <v>423</v>
      </c>
      <c r="D163" t="s">
        <v>21</v>
      </c>
      <c r="E163" t="s">
        <v>22</v>
      </c>
      <c r="F163" t="s">
        <v>23</v>
      </c>
      <c r="G163">
        <v>1</v>
      </c>
      <c r="H163">
        <v>9791197098420</v>
      </c>
      <c r="I163" t="s">
        <v>24</v>
      </c>
      <c r="J163" t="s">
        <v>236</v>
      </c>
      <c r="K163" t="s">
        <v>37</v>
      </c>
      <c r="L163" t="s">
        <v>27</v>
      </c>
      <c r="M163" s="3">
        <v>3200</v>
      </c>
      <c r="N163" t="s">
        <v>219</v>
      </c>
      <c r="O163">
        <v>3.8</v>
      </c>
      <c r="P163">
        <v>3.3</v>
      </c>
      <c r="Q163" t="s">
        <v>220</v>
      </c>
      <c r="R163" s="2">
        <v>0.7</v>
      </c>
      <c r="S163">
        <v>2.31</v>
      </c>
      <c r="T163" t="s">
        <v>27</v>
      </c>
      <c r="U163" s="3">
        <v>1885</v>
      </c>
      <c r="V163" s="7" t="str">
        <f>IF(ISERROR(VLOOKUP(K163,[1]작가별정산률!$R:$S,2,0)),"스토리위즈",VLOOKUP(K163,[1]작가별정산률!$R:$S,2,0))</f>
        <v>스토리위즈</v>
      </c>
      <c r="W163" s="7" t="str">
        <f>IF(V163="스토리위즈",VLOOKUP(K163,[1]작가별정산률!$A:$B,2,0),V163)</f>
        <v>권용찬</v>
      </c>
    </row>
    <row r="164" spans="1:23" x14ac:dyDescent="0.4">
      <c r="A164" t="s">
        <v>262</v>
      </c>
      <c r="B164" t="s">
        <v>401</v>
      </c>
      <c r="C164" t="s">
        <v>424</v>
      </c>
      <c r="D164" t="s">
        <v>64</v>
      </c>
      <c r="E164" t="s">
        <v>22</v>
      </c>
      <c r="F164" t="s">
        <v>23</v>
      </c>
      <c r="G164">
        <v>1</v>
      </c>
      <c r="H164">
        <v>9791166300103</v>
      </c>
      <c r="I164" t="s">
        <v>24</v>
      </c>
      <c r="J164" t="s">
        <v>120</v>
      </c>
      <c r="K164" t="s">
        <v>119</v>
      </c>
      <c r="L164" t="s">
        <v>27</v>
      </c>
      <c r="M164">
        <v>630</v>
      </c>
      <c r="N164" t="s">
        <v>27</v>
      </c>
      <c r="O164">
        <v>630</v>
      </c>
      <c r="P164">
        <v>630</v>
      </c>
      <c r="Q164" t="s">
        <v>30</v>
      </c>
      <c r="R164" s="2">
        <v>0.7</v>
      </c>
      <c r="S164">
        <v>441</v>
      </c>
      <c r="T164" t="s">
        <v>27</v>
      </c>
      <c r="U164">
        <v>441</v>
      </c>
      <c r="V164" s="7" t="str">
        <f>IF(ISERROR(VLOOKUP(K164,[1]작가별정산률!$R:$S,2,0)),"스토리위즈",VLOOKUP(K164,[1]작가별정산률!$R:$S,2,0))</f>
        <v>스토리위즈</v>
      </c>
      <c r="W164" s="7" t="str">
        <f>IF(V164="스토리위즈",VLOOKUP(K164,[1]작가별정산률!$A:$B,2,0),V164)</f>
        <v>김광수</v>
      </c>
    </row>
    <row r="165" spans="1:23" x14ac:dyDescent="0.4">
      <c r="A165" t="s">
        <v>262</v>
      </c>
      <c r="B165" t="s">
        <v>401</v>
      </c>
      <c r="C165" t="s">
        <v>425</v>
      </c>
      <c r="D165" t="s">
        <v>64</v>
      </c>
      <c r="E165" t="s">
        <v>22</v>
      </c>
      <c r="F165" t="s">
        <v>23</v>
      </c>
      <c r="G165">
        <v>1</v>
      </c>
      <c r="H165">
        <v>9791166300301</v>
      </c>
      <c r="I165" t="s">
        <v>24</v>
      </c>
      <c r="J165" t="s">
        <v>139</v>
      </c>
      <c r="K165" t="s">
        <v>119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  <c r="V165" s="7" t="str">
        <f>IF(ISERROR(VLOOKUP(K165,[1]작가별정산률!$R:$S,2,0)),"스토리위즈",VLOOKUP(K165,[1]작가별정산률!$R:$S,2,0))</f>
        <v>스토리위즈</v>
      </c>
      <c r="W165" s="7" t="str">
        <f>IF(V165="스토리위즈",VLOOKUP(K165,[1]작가별정산률!$A:$B,2,0),V165)</f>
        <v>김광수</v>
      </c>
    </row>
    <row r="166" spans="1:23" x14ac:dyDescent="0.4">
      <c r="A166" t="s">
        <v>262</v>
      </c>
      <c r="B166" t="s">
        <v>401</v>
      </c>
      <c r="C166" t="s">
        <v>426</v>
      </c>
      <c r="D166" t="s">
        <v>64</v>
      </c>
      <c r="E166" t="s">
        <v>22</v>
      </c>
      <c r="F166" t="s">
        <v>23</v>
      </c>
      <c r="G166">
        <v>1</v>
      </c>
      <c r="H166">
        <v>9791166064142</v>
      </c>
      <c r="I166" t="s">
        <v>24</v>
      </c>
      <c r="J166" t="s">
        <v>80</v>
      </c>
      <c r="K166" t="s">
        <v>37</v>
      </c>
      <c r="L166" t="s">
        <v>27</v>
      </c>
      <c r="M166">
        <v>900</v>
      </c>
      <c r="N166" t="s">
        <v>27</v>
      </c>
      <c r="O166">
        <v>900</v>
      </c>
      <c r="P166">
        <v>900</v>
      </c>
      <c r="Q166" t="s">
        <v>30</v>
      </c>
      <c r="R166" s="2">
        <v>0.7</v>
      </c>
      <c r="S166">
        <v>630</v>
      </c>
      <c r="T166" t="s">
        <v>27</v>
      </c>
      <c r="U166">
        <v>630</v>
      </c>
      <c r="V166" s="7" t="str">
        <f>IF(ISERROR(VLOOKUP(K166,[1]작가별정산률!$R:$S,2,0)),"스토리위즈",VLOOKUP(K166,[1]작가별정산률!$R:$S,2,0))</f>
        <v>스토리위즈</v>
      </c>
      <c r="W166" s="7" t="str">
        <f>IF(V166="스토리위즈",VLOOKUP(K166,[1]작가별정산률!$A:$B,2,0),V166)</f>
        <v>권용찬</v>
      </c>
    </row>
    <row r="167" spans="1:23" x14ac:dyDescent="0.4">
      <c r="A167" t="s">
        <v>262</v>
      </c>
      <c r="B167" t="s">
        <v>401</v>
      </c>
      <c r="C167" t="s">
        <v>427</v>
      </c>
      <c r="D167" t="s">
        <v>21</v>
      </c>
      <c r="E167" t="s">
        <v>22</v>
      </c>
      <c r="F167" t="s">
        <v>23</v>
      </c>
      <c r="G167">
        <v>1</v>
      </c>
      <c r="H167">
        <v>9791191562286</v>
      </c>
      <c r="I167" t="s">
        <v>143</v>
      </c>
      <c r="J167" t="s">
        <v>238</v>
      </c>
      <c r="K167" t="s">
        <v>239</v>
      </c>
      <c r="L167" t="s">
        <v>27</v>
      </c>
      <c r="M167" s="3">
        <v>2000</v>
      </c>
      <c r="N167" t="s">
        <v>27</v>
      </c>
      <c r="O167" s="3">
        <v>2000</v>
      </c>
      <c r="P167" s="3">
        <v>2000</v>
      </c>
      <c r="Q167" t="s">
        <v>30</v>
      </c>
      <c r="R167" s="2">
        <v>0.7</v>
      </c>
      <c r="S167" s="3">
        <v>1400</v>
      </c>
      <c r="T167" t="s">
        <v>27</v>
      </c>
      <c r="U167" s="3">
        <v>1400</v>
      </c>
      <c r="V167" s="7" t="str">
        <f>IF(ISERROR(VLOOKUP(K167,[1]작가별정산률!$R:$S,2,0)),"스토리위즈",VLOOKUP(K167,[1]작가별정산률!$R:$S,2,0))</f>
        <v>밀리의 서재</v>
      </c>
      <c r="W167" s="7" t="str">
        <f>IF(V167="스토리위즈",VLOOKUP(K167,[1]작가별정산률!$A:$B,2,0),V167)</f>
        <v>밀리의 서재</v>
      </c>
    </row>
    <row r="168" spans="1:23" x14ac:dyDescent="0.4">
      <c r="A168" t="s">
        <v>262</v>
      </c>
      <c r="B168" t="s">
        <v>401</v>
      </c>
      <c r="C168" t="s">
        <v>428</v>
      </c>
      <c r="D168" t="s">
        <v>64</v>
      </c>
      <c r="E168" t="s">
        <v>22</v>
      </c>
      <c r="F168" t="s">
        <v>23</v>
      </c>
      <c r="G168">
        <v>1</v>
      </c>
      <c r="H168">
        <v>9791166300585</v>
      </c>
      <c r="I168" t="s">
        <v>24</v>
      </c>
      <c r="J168" t="s">
        <v>160</v>
      </c>
      <c r="K168" t="s">
        <v>119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  <c r="V168" s="7" t="str">
        <f>IF(ISERROR(VLOOKUP(K168,[1]작가별정산률!$R:$S,2,0)),"스토리위즈",VLOOKUP(K168,[1]작가별정산률!$R:$S,2,0))</f>
        <v>스토리위즈</v>
      </c>
      <c r="W168" s="7" t="str">
        <f>IF(V168="스토리위즈",VLOOKUP(K168,[1]작가별정산률!$A:$B,2,0),V168)</f>
        <v>김광수</v>
      </c>
    </row>
    <row r="169" spans="1:23" x14ac:dyDescent="0.4">
      <c r="A169" t="s">
        <v>262</v>
      </c>
      <c r="B169" t="s">
        <v>401</v>
      </c>
      <c r="C169" t="s">
        <v>429</v>
      </c>
      <c r="D169" t="s">
        <v>21</v>
      </c>
      <c r="E169" t="s">
        <v>22</v>
      </c>
      <c r="F169" t="s">
        <v>23</v>
      </c>
      <c r="G169">
        <v>1</v>
      </c>
      <c r="H169">
        <v>9791191562224</v>
      </c>
      <c r="I169" t="s">
        <v>143</v>
      </c>
      <c r="J169" t="s">
        <v>221</v>
      </c>
      <c r="K169" t="s">
        <v>222</v>
      </c>
      <c r="L169" t="s">
        <v>27</v>
      </c>
      <c r="M169" s="3">
        <v>2500</v>
      </c>
      <c r="N169" t="s">
        <v>27</v>
      </c>
      <c r="O169" s="3">
        <v>2500</v>
      </c>
      <c r="P169" s="3">
        <v>2500</v>
      </c>
      <c r="Q169" t="s">
        <v>30</v>
      </c>
      <c r="R169" s="2">
        <v>0.7</v>
      </c>
      <c r="S169" s="3">
        <v>1750</v>
      </c>
      <c r="T169" t="s">
        <v>27</v>
      </c>
      <c r="U169" s="3">
        <v>1750</v>
      </c>
      <c r="V169" s="7" t="str">
        <f>IF(ISERROR(VLOOKUP(K169,[1]작가별정산률!$R:$S,2,0)),"스토리위즈",VLOOKUP(K169,[1]작가별정산률!$R:$S,2,0))</f>
        <v>밀리의 서재</v>
      </c>
      <c r="W169" s="7" t="str">
        <f>IF(V169="스토리위즈",VLOOKUP(K169,[1]작가별정산률!$A:$B,2,0),V169)</f>
        <v>밀리의 서재</v>
      </c>
    </row>
    <row r="170" spans="1:23" x14ac:dyDescent="0.4">
      <c r="A170" t="s">
        <v>262</v>
      </c>
      <c r="B170" t="s">
        <v>401</v>
      </c>
      <c r="C170" t="s">
        <v>430</v>
      </c>
      <c r="D170" t="s">
        <v>64</v>
      </c>
      <c r="E170" t="s">
        <v>22</v>
      </c>
      <c r="F170" t="s">
        <v>23</v>
      </c>
      <c r="G170">
        <v>1</v>
      </c>
      <c r="H170">
        <v>9791166300561</v>
      </c>
      <c r="I170" t="s">
        <v>24</v>
      </c>
      <c r="J170" t="s">
        <v>158</v>
      </c>
      <c r="K170" t="s">
        <v>119</v>
      </c>
      <c r="L170" t="s">
        <v>27</v>
      </c>
      <c r="M170">
        <v>630</v>
      </c>
      <c r="N170" t="s">
        <v>27</v>
      </c>
      <c r="O170">
        <v>630</v>
      </c>
      <c r="P170">
        <v>630</v>
      </c>
      <c r="Q170" t="s">
        <v>30</v>
      </c>
      <c r="R170" s="2">
        <v>0.7</v>
      </c>
      <c r="S170">
        <v>441</v>
      </c>
      <c r="T170" t="s">
        <v>27</v>
      </c>
      <c r="U170">
        <v>441</v>
      </c>
      <c r="V170" s="7" t="str">
        <f>IF(ISERROR(VLOOKUP(K170,[1]작가별정산률!$R:$S,2,0)),"스토리위즈",VLOOKUP(K170,[1]작가별정산률!$R:$S,2,0))</f>
        <v>스토리위즈</v>
      </c>
      <c r="W170" s="7" t="str">
        <f>IF(V170="스토리위즈",VLOOKUP(K170,[1]작가별정산률!$A:$B,2,0),V170)</f>
        <v>김광수</v>
      </c>
    </row>
    <row r="171" spans="1:23" x14ac:dyDescent="0.4">
      <c r="A171" t="s">
        <v>262</v>
      </c>
      <c r="B171" t="s">
        <v>401</v>
      </c>
      <c r="C171" t="s">
        <v>431</v>
      </c>
      <c r="D171" t="s">
        <v>64</v>
      </c>
      <c r="E171" t="s">
        <v>22</v>
      </c>
      <c r="F171" t="s">
        <v>23</v>
      </c>
      <c r="G171">
        <v>1</v>
      </c>
      <c r="H171">
        <v>9791159282874</v>
      </c>
      <c r="I171" t="s">
        <v>24</v>
      </c>
      <c r="J171" t="s">
        <v>33</v>
      </c>
      <c r="K171" t="s">
        <v>26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2">
        <v>0.7</v>
      </c>
      <c r="S171">
        <v>441</v>
      </c>
      <c r="T171" t="s">
        <v>27</v>
      </c>
      <c r="U171">
        <v>441</v>
      </c>
      <c r="V171" s="7" t="str">
        <f>IF(ISERROR(VLOOKUP(K171,[1]작가별정산률!$R:$S,2,0)),"스토리위즈",VLOOKUP(K171,[1]작가별정산률!$R:$S,2,0))</f>
        <v>스토리위즈</v>
      </c>
      <c r="W171" s="7" t="str">
        <f>IF(V171="스토리위즈",VLOOKUP(K171,[1]작가별정산률!$A:$B,2,0),V171)</f>
        <v>독고진</v>
      </c>
    </row>
    <row r="172" spans="1:23" x14ac:dyDescent="0.4">
      <c r="A172" t="s">
        <v>262</v>
      </c>
      <c r="B172" t="s">
        <v>401</v>
      </c>
      <c r="C172" t="s">
        <v>432</v>
      </c>
      <c r="D172" t="s">
        <v>64</v>
      </c>
      <c r="E172" t="s">
        <v>22</v>
      </c>
      <c r="F172" t="s">
        <v>23</v>
      </c>
      <c r="G172">
        <v>1</v>
      </c>
      <c r="H172">
        <v>9791159282218</v>
      </c>
      <c r="I172" t="s">
        <v>24</v>
      </c>
      <c r="J172" t="s">
        <v>107</v>
      </c>
      <c r="K172" t="s">
        <v>37</v>
      </c>
      <c r="L172" t="s">
        <v>27</v>
      </c>
      <c r="M172">
        <v>900</v>
      </c>
      <c r="N172" t="s">
        <v>27</v>
      </c>
      <c r="O172">
        <v>900</v>
      </c>
      <c r="P172">
        <v>900</v>
      </c>
      <c r="Q172" t="s">
        <v>30</v>
      </c>
      <c r="R172" s="2">
        <v>0.7</v>
      </c>
      <c r="S172">
        <v>630</v>
      </c>
      <c r="T172" t="s">
        <v>27</v>
      </c>
      <c r="U172">
        <v>630</v>
      </c>
      <c r="V172" s="7" t="str">
        <f>IF(ISERROR(VLOOKUP(K172,[1]작가별정산률!$R:$S,2,0)),"스토리위즈",VLOOKUP(K172,[1]작가별정산률!$R:$S,2,0))</f>
        <v>스토리위즈</v>
      </c>
      <c r="W172" s="7" t="str">
        <f>IF(V172="스토리위즈",VLOOKUP(K172,[1]작가별정산률!$A:$B,2,0),V172)</f>
        <v>권용찬</v>
      </c>
    </row>
    <row r="173" spans="1:23" x14ac:dyDescent="0.4">
      <c r="A173" t="s">
        <v>262</v>
      </c>
      <c r="B173" t="s">
        <v>401</v>
      </c>
      <c r="C173" t="s">
        <v>433</v>
      </c>
      <c r="D173" t="s">
        <v>21</v>
      </c>
      <c r="E173" t="s">
        <v>22</v>
      </c>
      <c r="F173" t="s">
        <v>23</v>
      </c>
      <c r="G173">
        <v>1</v>
      </c>
      <c r="H173">
        <v>9791191562286</v>
      </c>
      <c r="I173" t="s">
        <v>143</v>
      </c>
      <c r="J173" t="s">
        <v>238</v>
      </c>
      <c r="K173" t="s">
        <v>239</v>
      </c>
      <c r="L173" t="s">
        <v>27</v>
      </c>
      <c r="M173" s="3">
        <v>2000</v>
      </c>
      <c r="N173" t="s">
        <v>27</v>
      </c>
      <c r="O173" s="3">
        <v>2000</v>
      </c>
      <c r="P173" s="3">
        <v>2000</v>
      </c>
      <c r="Q173" t="s">
        <v>30</v>
      </c>
      <c r="R173" s="2">
        <v>0.7</v>
      </c>
      <c r="S173" s="3">
        <v>1400</v>
      </c>
      <c r="T173" t="s">
        <v>27</v>
      </c>
      <c r="U173" s="3">
        <v>1400</v>
      </c>
      <c r="V173" s="7" t="str">
        <f>IF(ISERROR(VLOOKUP(K173,[1]작가별정산률!$R:$S,2,0)),"스토리위즈",VLOOKUP(K173,[1]작가별정산률!$R:$S,2,0))</f>
        <v>밀리의 서재</v>
      </c>
      <c r="W173" s="7" t="str">
        <f>IF(V173="스토리위즈",VLOOKUP(K173,[1]작가별정산률!$A:$B,2,0),V173)</f>
        <v>밀리의 서재</v>
      </c>
    </row>
    <row r="174" spans="1:23" x14ac:dyDescent="0.4">
      <c r="A174" t="s">
        <v>262</v>
      </c>
      <c r="B174" t="s">
        <v>401</v>
      </c>
      <c r="C174" t="s">
        <v>434</v>
      </c>
      <c r="D174" t="s">
        <v>64</v>
      </c>
      <c r="E174" t="s">
        <v>22</v>
      </c>
      <c r="F174" t="s">
        <v>23</v>
      </c>
      <c r="G174">
        <v>1</v>
      </c>
      <c r="H174">
        <v>9791166300110</v>
      </c>
      <c r="I174" t="s">
        <v>24</v>
      </c>
      <c r="J174" t="s">
        <v>121</v>
      </c>
      <c r="K174" t="s">
        <v>119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2">
        <v>0.7</v>
      </c>
      <c r="S174">
        <v>441</v>
      </c>
      <c r="T174" t="s">
        <v>27</v>
      </c>
      <c r="U174">
        <v>441</v>
      </c>
      <c r="V174" s="7" t="str">
        <f>IF(ISERROR(VLOOKUP(K174,[1]작가별정산률!$R:$S,2,0)),"스토리위즈",VLOOKUP(K174,[1]작가별정산률!$R:$S,2,0))</f>
        <v>스토리위즈</v>
      </c>
      <c r="W174" s="7" t="str">
        <f>IF(V174="스토리위즈",VLOOKUP(K174,[1]작가별정산률!$A:$B,2,0),V174)</f>
        <v>김광수</v>
      </c>
    </row>
    <row r="175" spans="1:23" x14ac:dyDescent="0.4">
      <c r="A175" t="s">
        <v>262</v>
      </c>
      <c r="B175" t="s">
        <v>401</v>
      </c>
      <c r="C175" t="s">
        <v>435</v>
      </c>
      <c r="D175" t="s">
        <v>64</v>
      </c>
      <c r="E175" t="s">
        <v>22</v>
      </c>
      <c r="F175" t="s">
        <v>23</v>
      </c>
      <c r="G175">
        <v>1</v>
      </c>
      <c r="H175">
        <v>9791166064395</v>
      </c>
      <c r="I175" t="s">
        <v>24</v>
      </c>
      <c r="J175" t="s">
        <v>104</v>
      </c>
      <c r="K175" t="s">
        <v>102</v>
      </c>
      <c r="L175" t="s">
        <v>27</v>
      </c>
      <c r="M175">
        <v>720</v>
      </c>
      <c r="N175" t="s">
        <v>27</v>
      </c>
      <c r="O175">
        <v>720</v>
      </c>
      <c r="P175">
        <v>720</v>
      </c>
      <c r="Q175" t="s">
        <v>30</v>
      </c>
      <c r="R175" s="2">
        <v>0.7</v>
      </c>
      <c r="S175">
        <v>504</v>
      </c>
      <c r="T175" t="s">
        <v>27</v>
      </c>
      <c r="U175">
        <v>504</v>
      </c>
      <c r="V175" s="7" t="str">
        <f>IF(ISERROR(VLOOKUP(K175,[1]작가별정산률!$R:$S,2,0)),"스토리위즈",VLOOKUP(K175,[1]작가별정산률!$R:$S,2,0))</f>
        <v>스토리위즈</v>
      </c>
      <c r="W175" s="7" t="str">
        <f>IF(V175="스토리위즈",VLOOKUP(K175,[1]작가별정산률!$A:$B,2,0),V175)</f>
        <v>예로나</v>
      </c>
    </row>
    <row r="176" spans="1:23" x14ac:dyDescent="0.4">
      <c r="A176" t="s">
        <v>262</v>
      </c>
      <c r="B176" t="s">
        <v>401</v>
      </c>
      <c r="C176" t="s">
        <v>436</v>
      </c>
      <c r="D176" t="s">
        <v>64</v>
      </c>
      <c r="E176" t="s">
        <v>22</v>
      </c>
      <c r="F176" t="s">
        <v>23</v>
      </c>
      <c r="G176">
        <v>1</v>
      </c>
      <c r="H176">
        <v>9791166300523</v>
      </c>
      <c r="I176" t="s">
        <v>24</v>
      </c>
      <c r="J176" t="s">
        <v>150</v>
      </c>
      <c r="K176" t="s">
        <v>119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  <c r="V176" s="7" t="str">
        <f>IF(ISERROR(VLOOKUP(K176,[1]작가별정산률!$R:$S,2,0)),"스토리위즈",VLOOKUP(K176,[1]작가별정산률!$R:$S,2,0))</f>
        <v>스토리위즈</v>
      </c>
      <c r="W176" s="7" t="str">
        <f>IF(V176="스토리위즈",VLOOKUP(K176,[1]작가별정산률!$A:$B,2,0),V176)</f>
        <v>김광수</v>
      </c>
    </row>
    <row r="177" spans="1:23" x14ac:dyDescent="0.4">
      <c r="A177" t="s">
        <v>262</v>
      </c>
      <c r="B177" t="s">
        <v>401</v>
      </c>
      <c r="C177" t="s">
        <v>437</v>
      </c>
      <c r="D177" t="s">
        <v>64</v>
      </c>
      <c r="E177" t="s">
        <v>22</v>
      </c>
      <c r="F177" t="s">
        <v>23</v>
      </c>
      <c r="G177">
        <v>1</v>
      </c>
      <c r="H177">
        <v>9791166300165</v>
      </c>
      <c r="I177" t="s">
        <v>24</v>
      </c>
      <c r="J177" t="s">
        <v>126</v>
      </c>
      <c r="K177" t="s">
        <v>119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2">
        <v>0.7</v>
      </c>
      <c r="S177">
        <v>441</v>
      </c>
      <c r="T177" t="s">
        <v>27</v>
      </c>
      <c r="U177">
        <v>441</v>
      </c>
      <c r="V177" s="7" t="str">
        <f>IF(ISERROR(VLOOKUP(K177,[1]작가별정산률!$R:$S,2,0)),"스토리위즈",VLOOKUP(K177,[1]작가별정산률!$R:$S,2,0))</f>
        <v>스토리위즈</v>
      </c>
      <c r="W177" s="7" t="str">
        <f>IF(V177="스토리위즈",VLOOKUP(K177,[1]작가별정산률!$A:$B,2,0),V177)</f>
        <v>김광수</v>
      </c>
    </row>
    <row r="178" spans="1:23" x14ac:dyDescent="0.4">
      <c r="A178" t="s">
        <v>262</v>
      </c>
      <c r="B178" t="s">
        <v>401</v>
      </c>
      <c r="C178" t="s">
        <v>438</v>
      </c>
      <c r="D178" t="s">
        <v>21</v>
      </c>
      <c r="E178" t="s">
        <v>22</v>
      </c>
      <c r="F178" t="s">
        <v>23</v>
      </c>
      <c r="G178">
        <v>1</v>
      </c>
      <c r="H178">
        <v>9791191562248</v>
      </c>
      <c r="I178" t="s">
        <v>143</v>
      </c>
      <c r="J178" t="s">
        <v>231</v>
      </c>
      <c r="K178" t="s">
        <v>232</v>
      </c>
      <c r="L178" t="s">
        <v>27</v>
      </c>
      <c r="M178" s="3">
        <v>2000</v>
      </c>
      <c r="N178" t="s">
        <v>27</v>
      </c>
      <c r="O178" s="3">
        <v>2000</v>
      </c>
      <c r="P178" s="3">
        <v>2000</v>
      </c>
      <c r="Q178" t="s">
        <v>30</v>
      </c>
      <c r="R178" s="2">
        <v>0.7</v>
      </c>
      <c r="S178" s="3">
        <v>1400</v>
      </c>
      <c r="T178" t="s">
        <v>27</v>
      </c>
      <c r="U178" s="3">
        <v>1400</v>
      </c>
      <c r="V178" s="7" t="str">
        <f>IF(ISERROR(VLOOKUP(K178,[1]작가별정산률!$R:$S,2,0)),"스토리위즈",VLOOKUP(K178,[1]작가별정산률!$R:$S,2,0))</f>
        <v>밀리의 서재</v>
      </c>
      <c r="W178" s="7" t="str">
        <f>IF(V178="스토리위즈",VLOOKUP(K178,[1]작가별정산률!$A:$B,2,0),V178)</f>
        <v>밀리의 서재</v>
      </c>
    </row>
    <row r="179" spans="1:23" x14ac:dyDescent="0.4">
      <c r="A179" t="s">
        <v>262</v>
      </c>
      <c r="B179" t="s">
        <v>401</v>
      </c>
      <c r="C179" t="s">
        <v>439</v>
      </c>
      <c r="D179" t="s">
        <v>21</v>
      </c>
      <c r="E179" t="s">
        <v>22</v>
      </c>
      <c r="F179" t="s">
        <v>23</v>
      </c>
      <c r="G179">
        <v>1</v>
      </c>
      <c r="H179">
        <v>9791191562262</v>
      </c>
      <c r="I179" t="s">
        <v>143</v>
      </c>
      <c r="J179" t="s">
        <v>250</v>
      </c>
      <c r="K179" t="s">
        <v>251</v>
      </c>
      <c r="L179" t="s">
        <v>27</v>
      </c>
      <c r="M179" s="3">
        <v>2000</v>
      </c>
      <c r="N179" t="s">
        <v>27</v>
      </c>
      <c r="O179" s="3">
        <v>2000</v>
      </c>
      <c r="P179" s="3">
        <v>2000</v>
      </c>
      <c r="Q179" t="s">
        <v>30</v>
      </c>
      <c r="R179" s="2">
        <v>0.7</v>
      </c>
      <c r="S179" s="3">
        <v>1400</v>
      </c>
      <c r="T179" t="s">
        <v>27</v>
      </c>
      <c r="U179" s="3">
        <v>1400</v>
      </c>
      <c r="V179" s="7" t="str">
        <f>IF(ISERROR(VLOOKUP(K179,[1]작가별정산률!$R:$S,2,0)),"스토리위즈",VLOOKUP(K179,[1]작가별정산률!$R:$S,2,0))</f>
        <v>밀리의 서재</v>
      </c>
      <c r="W179" s="7" t="str">
        <f>IF(V179="스토리위즈",VLOOKUP(K179,[1]작가별정산률!$A:$B,2,0),V179)</f>
        <v>밀리의 서재</v>
      </c>
    </row>
    <row r="180" spans="1:23" x14ac:dyDescent="0.4">
      <c r="A180" t="s">
        <v>262</v>
      </c>
      <c r="B180" t="s">
        <v>401</v>
      </c>
      <c r="C180" t="s">
        <v>440</v>
      </c>
      <c r="D180" t="s">
        <v>21</v>
      </c>
      <c r="E180" t="s">
        <v>22</v>
      </c>
      <c r="F180" t="s">
        <v>23</v>
      </c>
      <c r="G180">
        <v>1</v>
      </c>
      <c r="H180">
        <v>9791191562286</v>
      </c>
      <c r="I180" t="s">
        <v>143</v>
      </c>
      <c r="J180" t="s">
        <v>238</v>
      </c>
      <c r="K180" t="s">
        <v>239</v>
      </c>
      <c r="L180" t="s">
        <v>27</v>
      </c>
      <c r="M180" s="3">
        <v>2000</v>
      </c>
      <c r="N180" t="s">
        <v>27</v>
      </c>
      <c r="O180" s="3">
        <v>2000</v>
      </c>
      <c r="P180" s="3">
        <v>2000</v>
      </c>
      <c r="Q180" t="s">
        <v>30</v>
      </c>
      <c r="R180" s="2">
        <v>0.7</v>
      </c>
      <c r="S180" s="3">
        <v>1400</v>
      </c>
      <c r="T180" t="s">
        <v>27</v>
      </c>
      <c r="U180" s="3">
        <v>1400</v>
      </c>
      <c r="V180" s="7" t="str">
        <f>IF(ISERROR(VLOOKUP(K180,[1]작가별정산률!$R:$S,2,0)),"스토리위즈",VLOOKUP(K180,[1]작가별정산률!$R:$S,2,0))</f>
        <v>밀리의 서재</v>
      </c>
      <c r="W180" s="7" t="str">
        <f>IF(V180="스토리위즈",VLOOKUP(K180,[1]작가별정산률!$A:$B,2,0),V180)</f>
        <v>밀리의 서재</v>
      </c>
    </row>
    <row r="181" spans="1:23" x14ac:dyDescent="0.4">
      <c r="A181" t="s">
        <v>262</v>
      </c>
      <c r="B181" t="s">
        <v>401</v>
      </c>
      <c r="C181" t="s">
        <v>441</v>
      </c>
      <c r="D181" t="s">
        <v>64</v>
      </c>
      <c r="E181" t="s">
        <v>22</v>
      </c>
      <c r="F181" t="s">
        <v>23</v>
      </c>
      <c r="G181">
        <v>1</v>
      </c>
      <c r="H181">
        <v>9791166300578</v>
      </c>
      <c r="I181" t="s">
        <v>24</v>
      </c>
      <c r="J181" t="s">
        <v>159</v>
      </c>
      <c r="K181" t="s">
        <v>119</v>
      </c>
      <c r="L181" t="s">
        <v>27</v>
      </c>
      <c r="M181">
        <v>630</v>
      </c>
      <c r="N181" t="s">
        <v>27</v>
      </c>
      <c r="O181">
        <v>630</v>
      </c>
      <c r="P181">
        <v>630</v>
      </c>
      <c r="Q181" t="s">
        <v>30</v>
      </c>
      <c r="R181" s="2">
        <v>0.7</v>
      </c>
      <c r="S181">
        <v>441</v>
      </c>
      <c r="T181" t="s">
        <v>27</v>
      </c>
      <c r="U181">
        <v>441</v>
      </c>
      <c r="V181" s="7" t="str">
        <f>IF(ISERROR(VLOOKUP(K181,[1]작가별정산률!$R:$S,2,0)),"스토리위즈",VLOOKUP(K181,[1]작가별정산률!$R:$S,2,0))</f>
        <v>스토리위즈</v>
      </c>
      <c r="W181" s="7" t="str">
        <f>IF(V181="스토리위즈",VLOOKUP(K181,[1]작가별정산률!$A:$B,2,0),V181)</f>
        <v>김광수</v>
      </c>
    </row>
    <row r="182" spans="1:23" x14ac:dyDescent="0.4">
      <c r="A182" t="s">
        <v>262</v>
      </c>
      <c r="B182" t="s">
        <v>401</v>
      </c>
      <c r="C182" t="s">
        <v>442</v>
      </c>
      <c r="D182" t="s">
        <v>64</v>
      </c>
      <c r="E182" t="s">
        <v>22</v>
      </c>
      <c r="F182" t="s">
        <v>23</v>
      </c>
      <c r="G182">
        <v>1</v>
      </c>
      <c r="H182">
        <v>9791166300622</v>
      </c>
      <c r="I182" t="s">
        <v>24</v>
      </c>
      <c r="J182" t="s">
        <v>164</v>
      </c>
      <c r="K182" t="s">
        <v>119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  <c r="V182" s="7" t="str">
        <f>IF(ISERROR(VLOOKUP(K182,[1]작가별정산률!$R:$S,2,0)),"스토리위즈",VLOOKUP(K182,[1]작가별정산률!$R:$S,2,0))</f>
        <v>스토리위즈</v>
      </c>
      <c r="W182" s="7" t="str">
        <f>IF(V182="스토리위즈",VLOOKUP(K182,[1]작가별정산률!$A:$B,2,0),V182)</f>
        <v>김광수</v>
      </c>
    </row>
    <row r="183" spans="1:23" x14ac:dyDescent="0.4">
      <c r="A183" t="s">
        <v>262</v>
      </c>
      <c r="B183" t="s">
        <v>401</v>
      </c>
      <c r="C183" t="s">
        <v>443</v>
      </c>
      <c r="D183" t="s">
        <v>64</v>
      </c>
      <c r="E183" t="s">
        <v>22</v>
      </c>
      <c r="F183" t="s">
        <v>23</v>
      </c>
      <c r="G183">
        <v>1</v>
      </c>
      <c r="H183">
        <v>9791166300301</v>
      </c>
      <c r="I183" t="s">
        <v>24</v>
      </c>
      <c r="J183" t="s">
        <v>139</v>
      </c>
      <c r="K183" t="s">
        <v>119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  <c r="V183" s="7" t="str">
        <f>IF(ISERROR(VLOOKUP(K183,[1]작가별정산률!$R:$S,2,0)),"스토리위즈",VLOOKUP(K183,[1]작가별정산률!$R:$S,2,0))</f>
        <v>스토리위즈</v>
      </c>
      <c r="W183" s="7" t="str">
        <f>IF(V183="스토리위즈",VLOOKUP(K183,[1]작가별정산률!$A:$B,2,0),V183)</f>
        <v>김광수</v>
      </c>
    </row>
    <row r="184" spans="1:23" x14ac:dyDescent="0.4">
      <c r="A184" t="s">
        <v>262</v>
      </c>
      <c r="B184" t="s">
        <v>401</v>
      </c>
      <c r="C184" t="s">
        <v>444</v>
      </c>
      <c r="D184" t="s">
        <v>64</v>
      </c>
      <c r="E184" t="s">
        <v>22</v>
      </c>
      <c r="F184" t="s">
        <v>23</v>
      </c>
      <c r="G184">
        <v>1</v>
      </c>
      <c r="H184">
        <v>9791166300172</v>
      </c>
      <c r="I184" t="s">
        <v>24</v>
      </c>
      <c r="J184" t="s">
        <v>127</v>
      </c>
      <c r="K184" t="s">
        <v>119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  <c r="V184" s="7" t="str">
        <f>IF(ISERROR(VLOOKUP(K184,[1]작가별정산률!$R:$S,2,0)),"스토리위즈",VLOOKUP(K184,[1]작가별정산률!$R:$S,2,0))</f>
        <v>스토리위즈</v>
      </c>
      <c r="W184" s="7" t="str">
        <f>IF(V184="스토리위즈",VLOOKUP(K184,[1]작가별정산률!$A:$B,2,0),V184)</f>
        <v>김광수</v>
      </c>
    </row>
    <row r="185" spans="1:23" x14ac:dyDescent="0.4">
      <c r="A185" t="s">
        <v>262</v>
      </c>
      <c r="B185" t="s">
        <v>401</v>
      </c>
      <c r="C185" t="s">
        <v>445</v>
      </c>
      <c r="D185" t="s">
        <v>64</v>
      </c>
      <c r="E185" t="s">
        <v>22</v>
      </c>
      <c r="F185" t="s">
        <v>23</v>
      </c>
      <c r="G185">
        <v>1</v>
      </c>
      <c r="H185">
        <v>9791166300226</v>
      </c>
      <c r="I185" t="s">
        <v>24</v>
      </c>
      <c r="J185" t="s">
        <v>131</v>
      </c>
      <c r="K185" t="s">
        <v>119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  <c r="V185" s="7" t="str">
        <f>IF(ISERROR(VLOOKUP(K185,[1]작가별정산률!$R:$S,2,0)),"스토리위즈",VLOOKUP(K185,[1]작가별정산률!$R:$S,2,0))</f>
        <v>스토리위즈</v>
      </c>
      <c r="W185" s="7" t="str">
        <f>IF(V185="스토리위즈",VLOOKUP(K185,[1]작가별정산률!$A:$B,2,0),V185)</f>
        <v>김광수</v>
      </c>
    </row>
    <row r="186" spans="1:23" x14ac:dyDescent="0.4">
      <c r="A186" t="s">
        <v>262</v>
      </c>
      <c r="B186" t="s">
        <v>401</v>
      </c>
      <c r="C186" t="s">
        <v>446</v>
      </c>
      <c r="D186" t="s">
        <v>21</v>
      </c>
      <c r="E186" t="s">
        <v>22</v>
      </c>
      <c r="F186" t="s">
        <v>23</v>
      </c>
      <c r="G186">
        <v>1</v>
      </c>
      <c r="H186">
        <v>9791166300172</v>
      </c>
      <c r="I186" t="s">
        <v>24</v>
      </c>
      <c r="J186" t="s">
        <v>127</v>
      </c>
      <c r="K186" t="s">
        <v>119</v>
      </c>
      <c r="L186" t="s">
        <v>27</v>
      </c>
      <c r="M186" s="3">
        <v>3200</v>
      </c>
      <c r="N186" t="s">
        <v>27</v>
      </c>
      <c r="O186" s="3">
        <v>3200</v>
      </c>
      <c r="P186" s="3">
        <v>3200</v>
      </c>
      <c r="Q186" t="s">
        <v>30</v>
      </c>
      <c r="R186" s="2">
        <v>0.7</v>
      </c>
      <c r="S186" s="3">
        <v>2240</v>
      </c>
      <c r="T186" t="s">
        <v>27</v>
      </c>
      <c r="U186" s="3">
        <v>2240</v>
      </c>
      <c r="V186" s="7" t="str">
        <f>IF(ISERROR(VLOOKUP(K186,[1]작가별정산률!$R:$S,2,0)),"스토리위즈",VLOOKUP(K186,[1]작가별정산률!$R:$S,2,0))</f>
        <v>스토리위즈</v>
      </c>
      <c r="W186" s="7" t="str">
        <f>IF(V186="스토리위즈",VLOOKUP(K186,[1]작가별정산률!$A:$B,2,0),V186)</f>
        <v>김광수</v>
      </c>
    </row>
    <row r="187" spans="1:23" x14ac:dyDescent="0.4">
      <c r="A187" t="s">
        <v>262</v>
      </c>
      <c r="B187" t="s">
        <v>401</v>
      </c>
      <c r="C187" t="s">
        <v>447</v>
      </c>
      <c r="D187" t="s">
        <v>64</v>
      </c>
      <c r="E187" t="s">
        <v>22</v>
      </c>
      <c r="F187" t="s">
        <v>23</v>
      </c>
      <c r="G187">
        <v>1</v>
      </c>
      <c r="H187">
        <v>9791166300103</v>
      </c>
      <c r="I187" t="s">
        <v>24</v>
      </c>
      <c r="J187" t="s">
        <v>120</v>
      </c>
      <c r="K187" t="s">
        <v>119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  <c r="V187" s="7" t="str">
        <f>IF(ISERROR(VLOOKUP(K187,[1]작가별정산률!$R:$S,2,0)),"스토리위즈",VLOOKUP(K187,[1]작가별정산률!$R:$S,2,0))</f>
        <v>스토리위즈</v>
      </c>
      <c r="W187" s="7" t="str">
        <f>IF(V187="스토리위즈",VLOOKUP(K187,[1]작가별정산률!$A:$B,2,0),V187)</f>
        <v>김광수</v>
      </c>
    </row>
    <row r="188" spans="1:23" x14ac:dyDescent="0.4">
      <c r="A188" t="s">
        <v>262</v>
      </c>
      <c r="B188" t="s">
        <v>401</v>
      </c>
      <c r="C188" t="s">
        <v>448</v>
      </c>
      <c r="D188" t="s">
        <v>21</v>
      </c>
      <c r="E188" t="s">
        <v>22</v>
      </c>
      <c r="F188" t="s">
        <v>23</v>
      </c>
      <c r="G188">
        <v>1</v>
      </c>
      <c r="H188">
        <v>9791191562286</v>
      </c>
      <c r="I188" t="s">
        <v>143</v>
      </c>
      <c r="J188" t="s">
        <v>238</v>
      </c>
      <c r="K188" t="s">
        <v>239</v>
      </c>
      <c r="L188" t="s">
        <v>27</v>
      </c>
      <c r="M188" s="3">
        <v>2000</v>
      </c>
      <c r="N188" t="s">
        <v>27</v>
      </c>
      <c r="O188" s="3">
        <v>2000</v>
      </c>
      <c r="P188" s="3">
        <v>2000</v>
      </c>
      <c r="Q188" t="s">
        <v>30</v>
      </c>
      <c r="R188" s="2">
        <v>0.7</v>
      </c>
      <c r="S188" s="3">
        <v>1400</v>
      </c>
      <c r="T188" t="s">
        <v>27</v>
      </c>
      <c r="U188" s="3">
        <v>1400</v>
      </c>
      <c r="V188" s="7" t="str">
        <f>IF(ISERROR(VLOOKUP(K188,[1]작가별정산률!$R:$S,2,0)),"스토리위즈",VLOOKUP(K188,[1]작가별정산률!$R:$S,2,0))</f>
        <v>밀리의 서재</v>
      </c>
      <c r="W188" s="7" t="str">
        <f>IF(V188="스토리위즈",VLOOKUP(K188,[1]작가별정산률!$A:$B,2,0),V188)</f>
        <v>밀리의 서재</v>
      </c>
    </row>
    <row r="189" spans="1:23" x14ac:dyDescent="0.4">
      <c r="A189" t="s">
        <v>262</v>
      </c>
      <c r="B189" t="s">
        <v>401</v>
      </c>
      <c r="C189" t="s">
        <v>449</v>
      </c>
      <c r="D189" t="s">
        <v>64</v>
      </c>
      <c r="E189" t="s">
        <v>22</v>
      </c>
      <c r="F189" t="s">
        <v>23</v>
      </c>
      <c r="G189">
        <v>1</v>
      </c>
      <c r="H189">
        <v>9791159285035</v>
      </c>
      <c r="I189" t="s">
        <v>24</v>
      </c>
      <c r="J189" t="s">
        <v>59</v>
      </c>
      <c r="K189" t="s">
        <v>47</v>
      </c>
      <c r="L189" t="s">
        <v>27</v>
      </c>
      <c r="M189">
        <v>630</v>
      </c>
      <c r="N189" t="s">
        <v>27</v>
      </c>
      <c r="O189">
        <v>630</v>
      </c>
      <c r="P189">
        <v>630</v>
      </c>
      <c r="Q189" t="s">
        <v>30</v>
      </c>
      <c r="R189" s="2">
        <v>0.7</v>
      </c>
      <c r="S189">
        <v>441</v>
      </c>
      <c r="T189" t="s">
        <v>27</v>
      </c>
      <c r="U189">
        <v>441</v>
      </c>
      <c r="V189" s="7" t="str">
        <f>IF(ISERROR(VLOOKUP(K189,[1]작가별정산률!$R:$S,2,0)),"스토리위즈",VLOOKUP(K189,[1]작가별정산률!$R:$S,2,0))</f>
        <v>스토리위즈</v>
      </c>
      <c r="W189" s="7" t="str">
        <f>IF(V189="스토리위즈",VLOOKUP(K189,[1]작가별정산률!$A:$B,2,0),V189)</f>
        <v>전혁</v>
      </c>
    </row>
    <row r="190" spans="1:23" x14ac:dyDescent="0.4">
      <c r="A190" t="s">
        <v>262</v>
      </c>
      <c r="B190" t="s">
        <v>401</v>
      </c>
      <c r="C190" t="s">
        <v>450</v>
      </c>
      <c r="D190" t="s">
        <v>64</v>
      </c>
      <c r="E190" t="s">
        <v>22</v>
      </c>
      <c r="F190" t="s">
        <v>23</v>
      </c>
      <c r="G190">
        <v>1</v>
      </c>
      <c r="H190">
        <v>9791166300585</v>
      </c>
      <c r="I190" t="s">
        <v>24</v>
      </c>
      <c r="J190" t="s">
        <v>160</v>
      </c>
      <c r="K190" t="s">
        <v>119</v>
      </c>
      <c r="L190" t="s">
        <v>27</v>
      </c>
      <c r="M190">
        <v>630</v>
      </c>
      <c r="N190" t="s">
        <v>27</v>
      </c>
      <c r="O190">
        <v>630</v>
      </c>
      <c r="P190">
        <v>630</v>
      </c>
      <c r="Q190" t="s">
        <v>30</v>
      </c>
      <c r="R190" s="2">
        <v>0.7</v>
      </c>
      <c r="S190">
        <v>441</v>
      </c>
      <c r="T190" t="s">
        <v>27</v>
      </c>
      <c r="U190">
        <v>444</v>
      </c>
      <c r="V190" s="7" t="str">
        <f>IF(ISERROR(VLOOKUP(K190,[1]작가별정산률!$R:$S,2,0)),"스토리위즈",VLOOKUP(K190,[1]작가별정산률!$R:$S,2,0))</f>
        <v>스토리위즈</v>
      </c>
      <c r="W190" s="7" t="str">
        <f>IF(V190="스토리위즈",VLOOKUP(K190,[1]작가별정산률!$A:$B,2,0),V190)</f>
        <v>김광수</v>
      </c>
    </row>
    <row r="191" spans="1:23" x14ac:dyDescent="0.4">
      <c r="A191" t="s">
        <v>262</v>
      </c>
      <c r="B191" t="s">
        <v>401</v>
      </c>
      <c r="C191" t="s">
        <v>451</v>
      </c>
      <c r="D191" t="s">
        <v>64</v>
      </c>
      <c r="E191" t="s">
        <v>22</v>
      </c>
      <c r="F191" t="s">
        <v>23</v>
      </c>
      <c r="G191">
        <v>1</v>
      </c>
      <c r="H191">
        <v>9791166300493</v>
      </c>
      <c r="I191" t="s">
        <v>24</v>
      </c>
      <c r="J191" t="s">
        <v>147</v>
      </c>
      <c r="K191" t="s">
        <v>119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  <c r="V191" s="7" t="str">
        <f>IF(ISERROR(VLOOKUP(K191,[1]작가별정산률!$R:$S,2,0)),"스토리위즈",VLOOKUP(K191,[1]작가별정산률!$R:$S,2,0))</f>
        <v>스토리위즈</v>
      </c>
      <c r="W191" s="7" t="str">
        <f>IF(V191="스토리위즈",VLOOKUP(K191,[1]작가별정산률!$A:$B,2,0),V191)</f>
        <v>김광수</v>
      </c>
    </row>
    <row r="192" spans="1:23" x14ac:dyDescent="0.4">
      <c r="A192" t="s">
        <v>262</v>
      </c>
      <c r="B192" t="s">
        <v>401</v>
      </c>
      <c r="C192" t="s">
        <v>452</v>
      </c>
      <c r="D192" t="s">
        <v>64</v>
      </c>
      <c r="E192" t="s">
        <v>22</v>
      </c>
      <c r="F192" t="s">
        <v>23</v>
      </c>
      <c r="G192">
        <v>1</v>
      </c>
      <c r="H192">
        <v>9791166064401</v>
      </c>
      <c r="I192" t="s">
        <v>24</v>
      </c>
      <c r="J192" t="s">
        <v>111</v>
      </c>
      <c r="K192" t="s">
        <v>102</v>
      </c>
      <c r="L192" t="s">
        <v>27</v>
      </c>
      <c r="M192">
        <v>720</v>
      </c>
      <c r="N192" t="s">
        <v>27</v>
      </c>
      <c r="O192">
        <v>720</v>
      </c>
      <c r="P192">
        <v>720</v>
      </c>
      <c r="Q192" t="s">
        <v>30</v>
      </c>
      <c r="R192" s="2">
        <v>0.7</v>
      </c>
      <c r="S192">
        <v>504</v>
      </c>
      <c r="T192" t="s">
        <v>27</v>
      </c>
      <c r="U192">
        <v>504</v>
      </c>
      <c r="V192" s="7" t="str">
        <f>IF(ISERROR(VLOOKUP(K192,[1]작가별정산률!$R:$S,2,0)),"스토리위즈",VLOOKUP(K192,[1]작가별정산률!$R:$S,2,0))</f>
        <v>스토리위즈</v>
      </c>
      <c r="W192" s="7" t="str">
        <f>IF(V192="스토리위즈",VLOOKUP(K192,[1]작가별정산률!$A:$B,2,0),V192)</f>
        <v>예로나</v>
      </c>
    </row>
    <row r="193" spans="1:23" x14ac:dyDescent="0.4">
      <c r="A193" t="s">
        <v>262</v>
      </c>
      <c r="B193" t="s">
        <v>401</v>
      </c>
      <c r="C193" t="s">
        <v>453</v>
      </c>
      <c r="D193" t="s">
        <v>64</v>
      </c>
      <c r="E193" t="s">
        <v>22</v>
      </c>
      <c r="F193" t="s">
        <v>23</v>
      </c>
      <c r="G193">
        <v>1</v>
      </c>
      <c r="H193">
        <v>9791166300233</v>
      </c>
      <c r="I193" t="s">
        <v>24</v>
      </c>
      <c r="J193" t="s">
        <v>132</v>
      </c>
      <c r="K193" t="s">
        <v>119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  <c r="V193" s="7" t="str">
        <f>IF(ISERROR(VLOOKUP(K193,[1]작가별정산률!$R:$S,2,0)),"스토리위즈",VLOOKUP(K193,[1]작가별정산률!$R:$S,2,0))</f>
        <v>스토리위즈</v>
      </c>
      <c r="W193" s="7" t="str">
        <f>IF(V193="스토리위즈",VLOOKUP(K193,[1]작가별정산률!$A:$B,2,0),V193)</f>
        <v>김광수</v>
      </c>
    </row>
    <row r="194" spans="1:23" x14ac:dyDescent="0.4">
      <c r="A194" t="s">
        <v>262</v>
      </c>
      <c r="B194" t="s">
        <v>401</v>
      </c>
      <c r="C194" t="s">
        <v>454</v>
      </c>
      <c r="D194" t="s">
        <v>64</v>
      </c>
      <c r="E194" t="s">
        <v>22</v>
      </c>
      <c r="F194" t="s">
        <v>23</v>
      </c>
      <c r="G194">
        <v>1</v>
      </c>
      <c r="H194">
        <v>9791166300127</v>
      </c>
      <c r="I194" t="s">
        <v>24</v>
      </c>
      <c r="J194" t="s">
        <v>122</v>
      </c>
      <c r="K194" t="s">
        <v>119</v>
      </c>
      <c r="L194" t="s">
        <v>27</v>
      </c>
      <c r="M194">
        <v>630</v>
      </c>
      <c r="N194" t="s">
        <v>27</v>
      </c>
      <c r="O194">
        <v>630</v>
      </c>
      <c r="P194">
        <v>630</v>
      </c>
      <c r="Q194" t="s">
        <v>30</v>
      </c>
      <c r="R194" s="2">
        <v>0.7</v>
      </c>
      <c r="S194">
        <v>441</v>
      </c>
      <c r="T194" t="s">
        <v>27</v>
      </c>
      <c r="U194">
        <v>441</v>
      </c>
      <c r="V194" s="7" t="str">
        <f>IF(ISERROR(VLOOKUP(K194,[1]작가별정산률!$R:$S,2,0)),"스토리위즈",VLOOKUP(K194,[1]작가별정산률!$R:$S,2,0))</f>
        <v>스토리위즈</v>
      </c>
      <c r="W194" s="7" t="str">
        <f>IF(V194="스토리위즈",VLOOKUP(K194,[1]작가별정산률!$A:$B,2,0),V194)</f>
        <v>김광수</v>
      </c>
    </row>
    <row r="195" spans="1:23" x14ac:dyDescent="0.4">
      <c r="A195" t="s">
        <v>262</v>
      </c>
      <c r="B195" t="s">
        <v>401</v>
      </c>
      <c r="C195" t="s">
        <v>455</v>
      </c>
      <c r="D195" t="s">
        <v>64</v>
      </c>
      <c r="E195" t="s">
        <v>22</v>
      </c>
      <c r="F195" t="s">
        <v>23</v>
      </c>
      <c r="G195">
        <v>1</v>
      </c>
      <c r="H195">
        <v>9791166300110</v>
      </c>
      <c r="I195" t="s">
        <v>24</v>
      </c>
      <c r="J195" t="s">
        <v>121</v>
      </c>
      <c r="K195" t="s">
        <v>119</v>
      </c>
      <c r="L195" t="s">
        <v>27</v>
      </c>
      <c r="M195">
        <v>630</v>
      </c>
      <c r="N195" t="s">
        <v>27</v>
      </c>
      <c r="O195">
        <v>630</v>
      </c>
      <c r="P195">
        <v>630</v>
      </c>
      <c r="Q195" t="s">
        <v>30</v>
      </c>
      <c r="R195" s="2">
        <v>0.7</v>
      </c>
      <c r="S195">
        <v>441</v>
      </c>
      <c r="T195" t="s">
        <v>27</v>
      </c>
      <c r="U195">
        <v>441</v>
      </c>
      <c r="V195" s="7" t="str">
        <f>IF(ISERROR(VLOOKUP(K195,[1]작가별정산률!$R:$S,2,0)),"스토리위즈",VLOOKUP(K195,[1]작가별정산률!$R:$S,2,0))</f>
        <v>스토리위즈</v>
      </c>
      <c r="W195" s="7" t="str">
        <f>IF(V195="스토리위즈",VLOOKUP(K195,[1]작가별정산률!$A:$B,2,0),V195)</f>
        <v>김광수</v>
      </c>
    </row>
    <row r="196" spans="1:23" x14ac:dyDescent="0.4">
      <c r="A196" t="s">
        <v>262</v>
      </c>
      <c r="B196" t="s">
        <v>401</v>
      </c>
      <c r="C196" t="s">
        <v>456</v>
      </c>
      <c r="D196" t="s">
        <v>64</v>
      </c>
      <c r="E196" t="s">
        <v>22</v>
      </c>
      <c r="F196" t="s">
        <v>23</v>
      </c>
      <c r="G196">
        <v>1</v>
      </c>
      <c r="H196">
        <v>9791166300660</v>
      </c>
      <c r="I196" t="s">
        <v>24</v>
      </c>
      <c r="J196" t="s">
        <v>156</v>
      </c>
      <c r="K196" t="s">
        <v>119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  <c r="V196" s="7" t="str">
        <f>IF(ISERROR(VLOOKUP(K196,[1]작가별정산률!$R:$S,2,0)),"스토리위즈",VLOOKUP(K196,[1]작가별정산률!$R:$S,2,0))</f>
        <v>스토리위즈</v>
      </c>
      <c r="W196" s="7" t="str">
        <f>IF(V196="스토리위즈",VLOOKUP(K196,[1]작가별정산률!$A:$B,2,0),V196)</f>
        <v>김광수</v>
      </c>
    </row>
    <row r="197" spans="1:23" x14ac:dyDescent="0.4">
      <c r="A197" t="s">
        <v>262</v>
      </c>
      <c r="B197" t="s">
        <v>401</v>
      </c>
      <c r="C197" t="s">
        <v>457</v>
      </c>
      <c r="D197" t="s">
        <v>64</v>
      </c>
      <c r="E197" t="s">
        <v>22</v>
      </c>
      <c r="F197" t="s">
        <v>23</v>
      </c>
      <c r="G197">
        <v>1</v>
      </c>
      <c r="H197">
        <v>9791166300509</v>
      </c>
      <c r="I197" t="s">
        <v>24</v>
      </c>
      <c r="J197" t="s">
        <v>148</v>
      </c>
      <c r="K197" t="s">
        <v>119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  <c r="V197" s="7" t="str">
        <f>IF(ISERROR(VLOOKUP(K197,[1]작가별정산률!$R:$S,2,0)),"스토리위즈",VLOOKUP(K197,[1]작가별정산률!$R:$S,2,0))</f>
        <v>스토리위즈</v>
      </c>
      <c r="W197" s="7" t="str">
        <f>IF(V197="스토리위즈",VLOOKUP(K197,[1]작가별정산률!$A:$B,2,0),V197)</f>
        <v>김광수</v>
      </c>
    </row>
    <row r="198" spans="1:23" x14ac:dyDescent="0.4">
      <c r="A198" t="s">
        <v>262</v>
      </c>
      <c r="B198" t="s">
        <v>401</v>
      </c>
      <c r="C198" t="s">
        <v>458</v>
      </c>
      <c r="D198" t="s">
        <v>64</v>
      </c>
      <c r="E198" t="s">
        <v>22</v>
      </c>
      <c r="F198" t="s">
        <v>23</v>
      </c>
      <c r="G198">
        <v>1</v>
      </c>
      <c r="H198">
        <v>9791166064159</v>
      </c>
      <c r="I198" t="s">
        <v>24</v>
      </c>
      <c r="J198" t="s">
        <v>86</v>
      </c>
      <c r="K198" t="s">
        <v>37</v>
      </c>
      <c r="L198" t="s">
        <v>27</v>
      </c>
      <c r="M198">
        <v>900</v>
      </c>
      <c r="N198" t="s">
        <v>27</v>
      </c>
      <c r="O198">
        <v>900</v>
      </c>
      <c r="P198">
        <v>900</v>
      </c>
      <c r="Q198" t="s">
        <v>30</v>
      </c>
      <c r="R198" s="2">
        <v>0.7</v>
      </c>
      <c r="S198">
        <v>630</v>
      </c>
      <c r="T198" t="s">
        <v>27</v>
      </c>
      <c r="U198">
        <v>630</v>
      </c>
      <c r="V198" s="7" t="str">
        <f>IF(ISERROR(VLOOKUP(K198,[1]작가별정산률!$R:$S,2,0)),"스토리위즈",VLOOKUP(K198,[1]작가별정산률!$R:$S,2,0))</f>
        <v>스토리위즈</v>
      </c>
      <c r="W198" s="7" t="str">
        <f>IF(V198="스토리위즈",VLOOKUP(K198,[1]작가별정산률!$A:$B,2,0),V198)</f>
        <v>권용찬</v>
      </c>
    </row>
    <row r="199" spans="1:23" x14ac:dyDescent="0.4">
      <c r="A199" t="s">
        <v>262</v>
      </c>
      <c r="B199" t="s">
        <v>401</v>
      </c>
      <c r="C199" t="s">
        <v>459</v>
      </c>
      <c r="D199" t="s">
        <v>64</v>
      </c>
      <c r="E199" t="s">
        <v>22</v>
      </c>
      <c r="F199" t="s">
        <v>23</v>
      </c>
      <c r="G199">
        <v>1</v>
      </c>
      <c r="H199">
        <v>9791166300622</v>
      </c>
      <c r="I199" t="s">
        <v>24</v>
      </c>
      <c r="J199" t="s">
        <v>164</v>
      </c>
      <c r="K199" t="s">
        <v>119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441</v>
      </c>
      <c r="V199" s="7" t="str">
        <f>IF(ISERROR(VLOOKUP(K199,[1]작가별정산률!$R:$S,2,0)),"스토리위즈",VLOOKUP(K199,[1]작가별정산률!$R:$S,2,0))</f>
        <v>스토리위즈</v>
      </c>
      <c r="W199" s="7" t="str">
        <f>IF(V199="스토리위즈",VLOOKUP(K199,[1]작가별정산률!$A:$B,2,0),V199)</f>
        <v>김광수</v>
      </c>
    </row>
    <row r="200" spans="1:23" x14ac:dyDescent="0.4">
      <c r="A200" t="s">
        <v>262</v>
      </c>
      <c r="B200" t="s">
        <v>401</v>
      </c>
      <c r="C200" t="s">
        <v>460</v>
      </c>
      <c r="D200" t="s">
        <v>64</v>
      </c>
      <c r="E200" t="s">
        <v>22</v>
      </c>
      <c r="F200" t="s">
        <v>23</v>
      </c>
      <c r="G200">
        <v>1</v>
      </c>
      <c r="H200">
        <v>9791159282881</v>
      </c>
      <c r="I200" t="s">
        <v>24</v>
      </c>
      <c r="J200" t="s">
        <v>34</v>
      </c>
      <c r="K200" t="s">
        <v>26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  <c r="V200" s="7" t="str">
        <f>IF(ISERROR(VLOOKUP(K200,[1]작가별정산률!$R:$S,2,0)),"스토리위즈",VLOOKUP(K200,[1]작가별정산률!$R:$S,2,0))</f>
        <v>스토리위즈</v>
      </c>
      <c r="W200" s="7" t="str">
        <f>IF(V200="스토리위즈",VLOOKUP(K200,[1]작가별정산률!$A:$B,2,0),V200)</f>
        <v>독고진</v>
      </c>
    </row>
    <row r="201" spans="1:23" x14ac:dyDescent="0.4">
      <c r="A201" t="s">
        <v>262</v>
      </c>
      <c r="B201" t="s">
        <v>401</v>
      </c>
      <c r="C201" t="s">
        <v>461</v>
      </c>
      <c r="D201" t="s">
        <v>21</v>
      </c>
      <c r="E201" t="s">
        <v>22</v>
      </c>
      <c r="F201" t="s">
        <v>23</v>
      </c>
      <c r="G201">
        <v>1</v>
      </c>
      <c r="H201">
        <v>9791191562125</v>
      </c>
      <c r="I201" t="s">
        <v>143</v>
      </c>
      <c r="J201" t="s">
        <v>212</v>
      </c>
      <c r="K201" t="s">
        <v>213</v>
      </c>
      <c r="L201" t="s">
        <v>27</v>
      </c>
      <c r="M201" s="3">
        <v>2500</v>
      </c>
      <c r="N201" t="s">
        <v>27</v>
      </c>
      <c r="O201" s="3">
        <v>2500</v>
      </c>
      <c r="P201" s="3">
        <v>2500</v>
      </c>
      <c r="Q201" t="s">
        <v>30</v>
      </c>
      <c r="R201" s="2">
        <v>0.7</v>
      </c>
      <c r="S201" s="3">
        <v>1750</v>
      </c>
      <c r="T201" t="s">
        <v>27</v>
      </c>
      <c r="U201" s="3">
        <v>1750</v>
      </c>
      <c r="V201" s="7" t="str">
        <f>IF(ISERROR(VLOOKUP(K201,[1]작가별정산률!$R:$S,2,0)),"스토리위즈",VLOOKUP(K201,[1]작가별정산률!$R:$S,2,0))</f>
        <v>밀리의 서재</v>
      </c>
      <c r="W201" s="7" t="str">
        <f>IF(V201="스토리위즈",VLOOKUP(K201,[1]작가별정산률!$A:$B,2,0),V201)</f>
        <v>밀리의 서재</v>
      </c>
    </row>
    <row r="202" spans="1:23" x14ac:dyDescent="0.4">
      <c r="A202" t="s">
        <v>262</v>
      </c>
      <c r="B202" t="s">
        <v>401</v>
      </c>
      <c r="C202" t="s">
        <v>462</v>
      </c>
      <c r="D202" t="s">
        <v>64</v>
      </c>
      <c r="E202" t="s">
        <v>22</v>
      </c>
      <c r="F202" t="s">
        <v>23</v>
      </c>
      <c r="G202">
        <v>1</v>
      </c>
      <c r="H202">
        <v>9791166064050</v>
      </c>
      <c r="I202" t="s">
        <v>24</v>
      </c>
      <c r="J202" t="s">
        <v>79</v>
      </c>
      <c r="K202" t="s">
        <v>37</v>
      </c>
      <c r="L202" t="s">
        <v>27</v>
      </c>
      <c r="M202">
        <v>900</v>
      </c>
      <c r="N202" t="s">
        <v>27</v>
      </c>
      <c r="O202">
        <v>900</v>
      </c>
      <c r="P202">
        <v>900</v>
      </c>
      <c r="Q202" t="s">
        <v>30</v>
      </c>
      <c r="R202" s="2">
        <v>0.7</v>
      </c>
      <c r="S202">
        <v>630</v>
      </c>
      <c r="T202" t="s">
        <v>27</v>
      </c>
      <c r="U202">
        <v>630</v>
      </c>
      <c r="V202" s="7" t="str">
        <f>IF(ISERROR(VLOOKUP(K202,[1]작가별정산률!$R:$S,2,0)),"스토리위즈",VLOOKUP(K202,[1]작가별정산률!$R:$S,2,0))</f>
        <v>스토리위즈</v>
      </c>
      <c r="W202" s="7" t="str">
        <f>IF(V202="스토리위즈",VLOOKUP(K202,[1]작가별정산률!$A:$B,2,0),V202)</f>
        <v>권용찬</v>
      </c>
    </row>
    <row r="203" spans="1:23" x14ac:dyDescent="0.4">
      <c r="A203" t="s">
        <v>262</v>
      </c>
      <c r="B203" t="s">
        <v>401</v>
      </c>
      <c r="C203" t="s">
        <v>463</v>
      </c>
      <c r="D203" t="s">
        <v>64</v>
      </c>
      <c r="E203" t="s">
        <v>22</v>
      </c>
      <c r="F203" t="s">
        <v>23</v>
      </c>
      <c r="G203">
        <v>1</v>
      </c>
      <c r="H203">
        <v>9791166300592</v>
      </c>
      <c r="I203" t="s">
        <v>24</v>
      </c>
      <c r="J203" t="s">
        <v>161</v>
      </c>
      <c r="K203" t="s">
        <v>119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  <c r="V203" s="7" t="str">
        <f>IF(ISERROR(VLOOKUP(K203,[1]작가별정산률!$R:$S,2,0)),"스토리위즈",VLOOKUP(K203,[1]작가별정산률!$R:$S,2,0))</f>
        <v>스토리위즈</v>
      </c>
      <c r="W203" s="7" t="str">
        <f>IF(V203="스토리위즈",VLOOKUP(K203,[1]작가별정산률!$A:$B,2,0),V203)</f>
        <v>김광수</v>
      </c>
    </row>
    <row r="204" spans="1:23" x14ac:dyDescent="0.4">
      <c r="A204" t="s">
        <v>262</v>
      </c>
      <c r="B204" t="s">
        <v>401</v>
      </c>
      <c r="C204" t="s">
        <v>464</v>
      </c>
      <c r="D204" t="s">
        <v>64</v>
      </c>
      <c r="E204" t="s">
        <v>22</v>
      </c>
      <c r="F204" t="s">
        <v>23</v>
      </c>
      <c r="G204">
        <v>1</v>
      </c>
      <c r="H204">
        <v>9791166061103</v>
      </c>
      <c r="I204" t="s">
        <v>24</v>
      </c>
      <c r="J204" t="s">
        <v>96</v>
      </c>
      <c r="K204" t="s">
        <v>37</v>
      </c>
      <c r="L204" t="s">
        <v>27</v>
      </c>
      <c r="M204">
        <v>900</v>
      </c>
      <c r="N204" t="s">
        <v>27</v>
      </c>
      <c r="O204">
        <v>900</v>
      </c>
      <c r="P204">
        <v>900</v>
      </c>
      <c r="Q204" t="s">
        <v>30</v>
      </c>
      <c r="R204" s="2">
        <v>0.7</v>
      </c>
      <c r="S204">
        <v>630</v>
      </c>
      <c r="T204" t="s">
        <v>27</v>
      </c>
      <c r="U204">
        <v>630</v>
      </c>
      <c r="V204" s="7" t="str">
        <f>IF(ISERROR(VLOOKUP(K204,[1]작가별정산률!$R:$S,2,0)),"스토리위즈",VLOOKUP(K204,[1]작가별정산률!$R:$S,2,0))</f>
        <v>스토리위즈</v>
      </c>
      <c r="W204" s="7" t="str">
        <f>IF(V204="스토리위즈",VLOOKUP(K204,[1]작가별정산률!$A:$B,2,0),V204)</f>
        <v>권용찬</v>
      </c>
    </row>
    <row r="205" spans="1:23" x14ac:dyDescent="0.4">
      <c r="A205" t="s">
        <v>262</v>
      </c>
      <c r="B205" t="s">
        <v>401</v>
      </c>
      <c r="C205" t="s">
        <v>465</v>
      </c>
      <c r="D205" t="s">
        <v>64</v>
      </c>
      <c r="E205" t="s">
        <v>22</v>
      </c>
      <c r="F205" t="s">
        <v>23</v>
      </c>
      <c r="G205">
        <v>1</v>
      </c>
      <c r="H205">
        <v>9791166300530</v>
      </c>
      <c r="I205" t="s">
        <v>24</v>
      </c>
      <c r="J205" t="s">
        <v>151</v>
      </c>
      <c r="K205" t="s">
        <v>119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2">
        <v>0.7</v>
      </c>
      <c r="S205">
        <v>441</v>
      </c>
      <c r="T205" t="s">
        <v>27</v>
      </c>
      <c r="U205">
        <v>441</v>
      </c>
      <c r="V205" s="7" t="str">
        <f>IF(ISERROR(VLOOKUP(K205,[1]작가별정산률!$R:$S,2,0)),"스토리위즈",VLOOKUP(K205,[1]작가별정산률!$R:$S,2,0))</f>
        <v>스토리위즈</v>
      </c>
      <c r="W205" s="7" t="str">
        <f>IF(V205="스토리위즈",VLOOKUP(K205,[1]작가별정산률!$A:$B,2,0),V205)</f>
        <v>김광수</v>
      </c>
    </row>
    <row r="206" spans="1:23" x14ac:dyDescent="0.4">
      <c r="A206" t="s">
        <v>262</v>
      </c>
      <c r="B206" t="s">
        <v>401</v>
      </c>
      <c r="C206" t="s">
        <v>466</v>
      </c>
      <c r="D206" t="s">
        <v>21</v>
      </c>
      <c r="E206" t="s">
        <v>22</v>
      </c>
      <c r="F206" t="s">
        <v>23</v>
      </c>
      <c r="G206">
        <v>1</v>
      </c>
      <c r="H206">
        <v>9791191562002</v>
      </c>
      <c r="I206" t="s">
        <v>143</v>
      </c>
      <c r="J206" t="s">
        <v>193</v>
      </c>
      <c r="K206" t="s">
        <v>192</v>
      </c>
      <c r="L206" t="s">
        <v>27</v>
      </c>
      <c r="M206" s="3">
        <v>2500</v>
      </c>
      <c r="N206" t="s">
        <v>27</v>
      </c>
      <c r="O206" s="3">
        <v>2500</v>
      </c>
      <c r="P206" s="3">
        <v>2500</v>
      </c>
      <c r="Q206" t="s">
        <v>30</v>
      </c>
      <c r="R206" s="2">
        <v>0.7</v>
      </c>
      <c r="S206" s="3">
        <v>1750</v>
      </c>
      <c r="T206" t="s">
        <v>27</v>
      </c>
      <c r="U206" s="3">
        <v>1750</v>
      </c>
      <c r="V206" s="7" t="str">
        <f>IF(ISERROR(VLOOKUP(K206,[1]작가별정산률!$R:$S,2,0)),"스토리위즈",VLOOKUP(K206,[1]작가별정산률!$R:$S,2,0))</f>
        <v>밀리의 서재</v>
      </c>
      <c r="W206" s="7" t="str">
        <f>IF(V206="스토리위즈",VLOOKUP(K206,[1]작가별정산률!$A:$B,2,0),V206)</f>
        <v>밀리의 서재</v>
      </c>
    </row>
    <row r="207" spans="1:23" x14ac:dyDescent="0.4">
      <c r="A207" t="s">
        <v>262</v>
      </c>
      <c r="B207" t="s">
        <v>401</v>
      </c>
      <c r="C207" t="s">
        <v>467</v>
      </c>
      <c r="D207" t="s">
        <v>64</v>
      </c>
      <c r="E207" t="s">
        <v>22</v>
      </c>
      <c r="F207" t="s">
        <v>23</v>
      </c>
      <c r="G207">
        <v>1</v>
      </c>
      <c r="H207">
        <v>9791166300554</v>
      </c>
      <c r="I207" t="s">
        <v>24</v>
      </c>
      <c r="J207" t="s">
        <v>154</v>
      </c>
      <c r="K207" t="s">
        <v>119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  <c r="V207" s="7" t="str">
        <f>IF(ISERROR(VLOOKUP(K207,[1]작가별정산률!$R:$S,2,0)),"스토리위즈",VLOOKUP(K207,[1]작가별정산률!$R:$S,2,0))</f>
        <v>스토리위즈</v>
      </c>
      <c r="W207" s="7" t="str">
        <f>IF(V207="스토리위즈",VLOOKUP(K207,[1]작가별정산률!$A:$B,2,0),V207)</f>
        <v>김광수</v>
      </c>
    </row>
    <row r="208" spans="1:23" x14ac:dyDescent="0.4">
      <c r="A208" t="s">
        <v>262</v>
      </c>
      <c r="B208" t="s">
        <v>401</v>
      </c>
      <c r="C208" t="s">
        <v>468</v>
      </c>
      <c r="D208" t="s">
        <v>21</v>
      </c>
      <c r="E208" t="s">
        <v>22</v>
      </c>
      <c r="F208" t="s">
        <v>23</v>
      </c>
      <c r="G208">
        <v>1</v>
      </c>
      <c r="H208">
        <v>9791191562262</v>
      </c>
      <c r="I208" t="s">
        <v>143</v>
      </c>
      <c r="J208" t="s">
        <v>250</v>
      </c>
      <c r="K208" t="s">
        <v>251</v>
      </c>
      <c r="L208" t="s">
        <v>27</v>
      </c>
      <c r="M208" s="3">
        <v>2000</v>
      </c>
      <c r="N208" t="s">
        <v>27</v>
      </c>
      <c r="O208" s="3">
        <v>2000</v>
      </c>
      <c r="P208" s="3">
        <v>2000</v>
      </c>
      <c r="Q208" t="s">
        <v>30</v>
      </c>
      <c r="R208" s="2">
        <v>0.7</v>
      </c>
      <c r="S208" s="3">
        <v>1400</v>
      </c>
      <c r="T208" t="s">
        <v>27</v>
      </c>
      <c r="U208" s="3">
        <v>1400</v>
      </c>
      <c r="V208" s="7" t="str">
        <f>IF(ISERROR(VLOOKUP(K208,[1]작가별정산률!$R:$S,2,0)),"스토리위즈",VLOOKUP(K208,[1]작가별정산률!$R:$S,2,0))</f>
        <v>밀리의 서재</v>
      </c>
      <c r="W208" s="7" t="str">
        <f>IF(V208="스토리위즈",VLOOKUP(K208,[1]작가별정산률!$A:$B,2,0),V208)</f>
        <v>밀리의 서재</v>
      </c>
    </row>
    <row r="209" spans="1:23" x14ac:dyDescent="0.4">
      <c r="A209" t="s">
        <v>262</v>
      </c>
      <c r="B209" t="s">
        <v>401</v>
      </c>
      <c r="C209" t="s">
        <v>469</v>
      </c>
      <c r="D209" t="s">
        <v>64</v>
      </c>
      <c r="E209" t="s">
        <v>22</v>
      </c>
      <c r="F209" t="s">
        <v>23</v>
      </c>
      <c r="G209">
        <v>1</v>
      </c>
      <c r="H209">
        <v>9791166300288</v>
      </c>
      <c r="I209" t="s">
        <v>24</v>
      </c>
      <c r="J209" t="s">
        <v>137</v>
      </c>
      <c r="K209" t="s">
        <v>119</v>
      </c>
      <c r="L209" t="s">
        <v>27</v>
      </c>
      <c r="M209">
        <v>630</v>
      </c>
      <c r="N209" t="s">
        <v>27</v>
      </c>
      <c r="O209">
        <v>630</v>
      </c>
      <c r="P209">
        <v>630</v>
      </c>
      <c r="Q209" t="s">
        <v>30</v>
      </c>
      <c r="R209" s="2">
        <v>0.7</v>
      </c>
      <c r="S209">
        <v>441</v>
      </c>
      <c r="T209" t="s">
        <v>27</v>
      </c>
      <c r="U209">
        <v>441</v>
      </c>
      <c r="V209" s="7" t="str">
        <f>IF(ISERROR(VLOOKUP(K209,[1]작가별정산률!$R:$S,2,0)),"스토리위즈",VLOOKUP(K209,[1]작가별정산률!$R:$S,2,0))</f>
        <v>스토리위즈</v>
      </c>
      <c r="W209" s="7" t="str">
        <f>IF(V209="스토리위즈",VLOOKUP(K209,[1]작가별정산률!$A:$B,2,0),V209)</f>
        <v>김광수</v>
      </c>
    </row>
    <row r="210" spans="1:23" x14ac:dyDescent="0.4">
      <c r="A210" t="s">
        <v>262</v>
      </c>
      <c r="B210" t="s">
        <v>401</v>
      </c>
      <c r="C210" t="s">
        <v>470</v>
      </c>
      <c r="D210" t="s">
        <v>64</v>
      </c>
      <c r="E210" t="s">
        <v>22</v>
      </c>
      <c r="F210" t="s">
        <v>23</v>
      </c>
      <c r="G210">
        <v>1</v>
      </c>
      <c r="H210">
        <v>9791166064067</v>
      </c>
      <c r="I210" t="s">
        <v>24</v>
      </c>
      <c r="J210" t="s">
        <v>81</v>
      </c>
      <c r="K210" t="s">
        <v>37</v>
      </c>
      <c r="L210" t="s">
        <v>27</v>
      </c>
      <c r="M210">
        <v>900</v>
      </c>
      <c r="N210" t="s">
        <v>27</v>
      </c>
      <c r="O210">
        <v>900</v>
      </c>
      <c r="P210">
        <v>900</v>
      </c>
      <c r="Q210" t="s">
        <v>30</v>
      </c>
      <c r="R210" s="2">
        <v>0.7</v>
      </c>
      <c r="S210">
        <v>630</v>
      </c>
      <c r="T210" t="s">
        <v>27</v>
      </c>
      <c r="U210">
        <v>630</v>
      </c>
      <c r="V210" s="7" t="str">
        <f>IF(ISERROR(VLOOKUP(K210,[1]작가별정산률!$R:$S,2,0)),"스토리위즈",VLOOKUP(K210,[1]작가별정산률!$R:$S,2,0))</f>
        <v>스토리위즈</v>
      </c>
      <c r="W210" s="7" t="str">
        <f>IF(V210="스토리위즈",VLOOKUP(K210,[1]작가별정산률!$A:$B,2,0),V210)</f>
        <v>권용찬</v>
      </c>
    </row>
    <row r="211" spans="1:23" x14ac:dyDescent="0.4">
      <c r="A211" t="s">
        <v>262</v>
      </c>
      <c r="B211" t="s">
        <v>401</v>
      </c>
      <c r="C211" t="s">
        <v>471</v>
      </c>
      <c r="D211" t="s">
        <v>64</v>
      </c>
      <c r="E211" t="s">
        <v>22</v>
      </c>
      <c r="F211" t="s">
        <v>23</v>
      </c>
      <c r="G211">
        <v>1</v>
      </c>
      <c r="H211">
        <v>9791166300608</v>
      </c>
      <c r="I211" t="s">
        <v>24</v>
      </c>
      <c r="J211" t="s">
        <v>162</v>
      </c>
      <c r="K211" t="s">
        <v>119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  <c r="V211" s="7" t="str">
        <f>IF(ISERROR(VLOOKUP(K211,[1]작가별정산률!$R:$S,2,0)),"스토리위즈",VLOOKUP(K211,[1]작가별정산률!$R:$S,2,0))</f>
        <v>스토리위즈</v>
      </c>
      <c r="W211" s="7" t="str">
        <f>IF(V211="스토리위즈",VLOOKUP(K211,[1]작가별정산률!$A:$B,2,0),V211)</f>
        <v>김광수</v>
      </c>
    </row>
    <row r="212" spans="1:23" x14ac:dyDescent="0.4">
      <c r="A212" t="s">
        <v>262</v>
      </c>
      <c r="B212" t="s">
        <v>401</v>
      </c>
      <c r="C212" t="s">
        <v>472</v>
      </c>
      <c r="D212" t="s">
        <v>64</v>
      </c>
      <c r="E212" t="s">
        <v>22</v>
      </c>
      <c r="F212" t="s">
        <v>23</v>
      </c>
      <c r="G212">
        <v>1</v>
      </c>
      <c r="H212">
        <v>9791166300639</v>
      </c>
      <c r="I212" t="s">
        <v>24</v>
      </c>
      <c r="J212" t="s">
        <v>165</v>
      </c>
      <c r="K212" t="s">
        <v>119</v>
      </c>
      <c r="L212" t="s">
        <v>27</v>
      </c>
      <c r="M212">
        <v>630</v>
      </c>
      <c r="N212" t="s">
        <v>27</v>
      </c>
      <c r="O212">
        <v>630</v>
      </c>
      <c r="P212">
        <v>630</v>
      </c>
      <c r="Q212" t="s">
        <v>30</v>
      </c>
      <c r="R212" s="2">
        <v>0.7</v>
      </c>
      <c r="S212">
        <v>441</v>
      </c>
      <c r="T212" t="s">
        <v>27</v>
      </c>
      <c r="U212">
        <v>441</v>
      </c>
      <c r="V212" s="7" t="str">
        <f>IF(ISERROR(VLOOKUP(K212,[1]작가별정산률!$R:$S,2,0)),"스토리위즈",VLOOKUP(K212,[1]작가별정산률!$R:$S,2,0))</f>
        <v>스토리위즈</v>
      </c>
      <c r="W212" s="7" t="str">
        <f>IF(V212="스토리위즈",VLOOKUP(K212,[1]작가별정산률!$A:$B,2,0),V212)</f>
        <v>김광수</v>
      </c>
    </row>
    <row r="213" spans="1:23" x14ac:dyDescent="0.4">
      <c r="A213" t="s">
        <v>262</v>
      </c>
      <c r="B213" t="s">
        <v>401</v>
      </c>
      <c r="C213" t="s">
        <v>473</v>
      </c>
      <c r="D213" t="s">
        <v>64</v>
      </c>
      <c r="E213" t="s">
        <v>22</v>
      </c>
      <c r="F213" t="s">
        <v>23</v>
      </c>
      <c r="G213">
        <v>1</v>
      </c>
      <c r="H213">
        <v>9791166300196</v>
      </c>
      <c r="I213" t="s">
        <v>24</v>
      </c>
      <c r="J213" t="s">
        <v>128</v>
      </c>
      <c r="K213" t="s">
        <v>119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  <c r="V213" s="7" t="str">
        <f>IF(ISERROR(VLOOKUP(K213,[1]작가별정산률!$R:$S,2,0)),"스토리위즈",VLOOKUP(K213,[1]작가별정산률!$R:$S,2,0))</f>
        <v>스토리위즈</v>
      </c>
      <c r="W213" s="7" t="str">
        <f>IF(V213="스토리위즈",VLOOKUP(K213,[1]작가별정산률!$A:$B,2,0),V213)</f>
        <v>김광수</v>
      </c>
    </row>
    <row r="214" spans="1:23" x14ac:dyDescent="0.4">
      <c r="A214" t="s">
        <v>262</v>
      </c>
      <c r="B214" t="s">
        <v>401</v>
      </c>
      <c r="C214" t="s">
        <v>474</v>
      </c>
      <c r="D214" t="s">
        <v>64</v>
      </c>
      <c r="E214" t="s">
        <v>22</v>
      </c>
      <c r="F214" t="s">
        <v>23</v>
      </c>
      <c r="G214">
        <v>1</v>
      </c>
      <c r="H214">
        <v>9791166300547</v>
      </c>
      <c r="I214" t="s">
        <v>24</v>
      </c>
      <c r="J214" t="s">
        <v>153</v>
      </c>
      <c r="K214" t="s">
        <v>119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  <c r="V214" s="7" t="str">
        <f>IF(ISERROR(VLOOKUP(K214,[1]작가별정산률!$R:$S,2,0)),"스토리위즈",VLOOKUP(K214,[1]작가별정산률!$R:$S,2,0))</f>
        <v>스토리위즈</v>
      </c>
      <c r="W214" s="7" t="str">
        <f>IF(V214="스토리위즈",VLOOKUP(K214,[1]작가별정산률!$A:$B,2,0),V214)</f>
        <v>김광수</v>
      </c>
    </row>
    <row r="215" spans="1:23" x14ac:dyDescent="0.4">
      <c r="A215" t="s">
        <v>262</v>
      </c>
      <c r="B215" t="s">
        <v>401</v>
      </c>
      <c r="C215" t="s">
        <v>475</v>
      </c>
      <c r="D215" t="s">
        <v>64</v>
      </c>
      <c r="E215" t="s">
        <v>22</v>
      </c>
      <c r="F215" t="s">
        <v>23</v>
      </c>
      <c r="G215">
        <v>1</v>
      </c>
      <c r="H215">
        <v>9791166300653</v>
      </c>
      <c r="I215" t="s">
        <v>24</v>
      </c>
      <c r="J215" t="s">
        <v>157</v>
      </c>
      <c r="K215" t="s">
        <v>119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  <c r="V215" s="7" t="str">
        <f>IF(ISERROR(VLOOKUP(K215,[1]작가별정산률!$R:$S,2,0)),"스토리위즈",VLOOKUP(K215,[1]작가별정산률!$R:$S,2,0))</f>
        <v>스토리위즈</v>
      </c>
      <c r="W215" s="7" t="str">
        <f>IF(V215="스토리위즈",VLOOKUP(K215,[1]작가별정산률!$A:$B,2,0),V215)</f>
        <v>김광수</v>
      </c>
    </row>
    <row r="216" spans="1:23" x14ac:dyDescent="0.4">
      <c r="A216" t="s">
        <v>262</v>
      </c>
      <c r="B216" t="s">
        <v>401</v>
      </c>
      <c r="C216" t="s">
        <v>476</v>
      </c>
      <c r="D216" t="s">
        <v>64</v>
      </c>
      <c r="E216" t="s">
        <v>22</v>
      </c>
      <c r="F216" t="s">
        <v>23</v>
      </c>
      <c r="G216">
        <v>1</v>
      </c>
      <c r="H216">
        <v>9791166300158</v>
      </c>
      <c r="I216" t="s">
        <v>24</v>
      </c>
      <c r="J216" t="s">
        <v>125</v>
      </c>
      <c r="K216" t="s">
        <v>119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  <c r="V216" s="7" t="str">
        <f>IF(ISERROR(VLOOKUP(K216,[1]작가별정산률!$R:$S,2,0)),"스토리위즈",VLOOKUP(K216,[1]작가별정산률!$R:$S,2,0))</f>
        <v>스토리위즈</v>
      </c>
      <c r="W216" s="7" t="str">
        <f>IF(V216="스토리위즈",VLOOKUP(K216,[1]작가별정산률!$A:$B,2,0),V216)</f>
        <v>김광수</v>
      </c>
    </row>
    <row r="217" spans="1:23" x14ac:dyDescent="0.4">
      <c r="A217" t="s">
        <v>262</v>
      </c>
      <c r="B217" t="s">
        <v>401</v>
      </c>
      <c r="C217" t="s">
        <v>477</v>
      </c>
      <c r="D217" t="s">
        <v>64</v>
      </c>
      <c r="E217" t="s">
        <v>22</v>
      </c>
      <c r="F217" t="s">
        <v>23</v>
      </c>
      <c r="G217">
        <v>1</v>
      </c>
      <c r="H217">
        <v>9791166300295</v>
      </c>
      <c r="I217" t="s">
        <v>24</v>
      </c>
      <c r="J217" t="s">
        <v>138</v>
      </c>
      <c r="K217" t="s">
        <v>119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  <c r="V217" s="7" t="str">
        <f>IF(ISERROR(VLOOKUP(K217,[1]작가별정산률!$R:$S,2,0)),"스토리위즈",VLOOKUP(K217,[1]작가별정산률!$R:$S,2,0))</f>
        <v>스토리위즈</v>
      </c>
      <c r="W217" s="7" t="str">
        <f>IF(V217="스토리위즈",VLOOKUP(K217,[1]작가별정산률!$A:$B,2,0),V217)</f>
        <v>김광수</v>
      </c>
    </row>
    <row r="218" spans="1:23" x14ac:dyDescent="0.4">
      <c r="A218" t="s">
        <v>262</v>
      </c>
      <c r="B218" t="s">
        <v>401</v>
      </c>
      <c r="C218" t="s">
        <v>478</v>
      </c>
      <c r="D218" t="s">
        <v>21</v>
      </c>
      <c r="E218" t="s">
        <v>22</v>
      </c>
      <c r="F218" t="s">
        <v>23</v>
      </c>
      <c r="G218">
        <v>1</v>
      </c>
      <c r="H218">
        <v>9791191562224</v>
      </c>
      <c r="I218" t="s">
        <v>143</v>
      </c>
      <c r="J218" t="s">
        <v>221</v>
      </c>
      <c r="K218" t="s">
        <v>222</v>
      </c>
      <c r="L218" t="s">
        <v>27</v>
      </c>
      <c r="M218" s="3">
        <v>2500</v>
      </c>
      <c r="N218" t="s">
        <v>27</v>
      </c>
      <c r="O218" s="3">
        <v>2500</v>
      </c>
      <c r="P218" s="3">
        <v>2500</v>
      </c>
      <c r="Q218" t="s">
        <v>30</v>
      </c>
      <c r="R218" s="2">
        <v>0.7</v>
      </c>
      <c r="S218" s="3">
        <v>1750</v>
      </c>
      <c r="T218" t="s">
        <v>27</v>
      </c>
      <c r="U218" s="3">
        <v>1750</v>
      </c>
      <c r="V218" s="7" t="str">
        <f>IF(ISERROR(VLOOKUP(K218,[1]작가별정산률!$R:$S,2,0)),"스토리위즈",VLOOKUP(K218,[1]작가별정산률!$R:$S,2,0))</f>
        <v>밀리의 서재</v>
      </c>
      <c r="W218" s="7" t="str">
        <f>IF(V218="스토리위즈",VLOOKUP(K218,[1]작가별정산률!$A:$B,2,0),V218)</f>
        <v>밀리의 서재</v>
      </c>
    </row>
    <row r="219" spans="1:23" x14ac:dyDescent="0.4">
      <c r="A219" t="s">
        <v>262</v>
      </c>
      <c r="B219" t="s">
        <v>401</v>
      </c>
      <c r="C219" t="s">
        <v>479</v>
      </c>
      <c r="D219" t="s">
        <v>64</v>
      </c>
      <c r="E219" t="s">
        <v>22</v>
      </c>
      <c r="F219" t="s">
        <v>23</v>
      </c>
      <c r="G219">
        <v>1</v>
      </c>
      <c r="H219">
        <v>9791166300516</v>
      </c>
      <c r="I219" t="s">
        <v>24</v>
      </c>
      <c r="J219" t="s">
        <v>149</v>
      </c>
      <c r="K219" t="s">
        <v>119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2">
        <v>0.7</v>
      </c>
      <c r="S219">
        <v>441</v>
      </c>
      <c r="T219" t="s">
        <v>27</v>
      </c>
      <c r="U219">
        <v>441</v>
      </c>
      <c r="V219" s="7" t="str">
        <f>IF(ISERROR(VLOOKUP(K219,[1]작가별정산률!$R:$S,2,0)),"스토리위즈",VLOOKUP(K219,[1]작가별정산률!$R:$S,2,0))</f>
        <v>스토리위즈</v>
      </c>
      <c r="W219" s="7" t="str">
        <f>IF(V219="스토리위즈",VLOOKUP(K219,[1]작가별정산률!$A:$B,2,0),V219)</f>
        <v>김광수</v>
      </c>
    </row>
    <row r="220" spans="1:23" x14ac:dyDescent="0.4">
      <c r="A220" t="s">
        <v>262</v>
      </c>
      <c r="B220" t="s">
        <v>401</v>
      </c>
      <c r="C220" t="s">
        <v>480</v>
      </c>
      <c r="D220" t="s">
        <v>64</v>
      </c>
      <c r="E220" t="s">
        <v>22</v>
      </c>
      <c r="F220" t="s">
        <v>23</v>
      </c>
      <c r="G220">
        <v>1</v>
      </c>
      <c r="H220">
        <v>9791166300554</v>
      </c>
      <c r="I220" t="s">
        <v>24</v>
      </c>
      <c r="J220" t="s">
        <v>154</v>
      </c>
      <c r="K220" t="s">
        <v>119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  <c r="V220" s="7" t="str">
        <f>IF(ISERROR(VLOOKUP(K220,[1]작가별정산률!$R:$S,2,0)),"스토리위즈",VLOOKUP(K220,[1]작가별정산률!$R:$S,2,0))</f>
        <v>스토리위즈</v>
      </c>
      <c r="W220" s="7" t="str">
        <f>IF(V220="스토리위즈",VLOOKUP(K220,[1]작가별정산률!$A:$B,2,0),V220)</f>
        <v>김광수</v>
      </c>
    </row>
    <row r="221" spans="1:23" x14ac:dyDescent="0.4">
      <c r="A221" t="s">
        <v>262</v>
      </c>
      <c r="B221" t="s">
        <v>481</v>
      </c>
      <c r="C221" t="s">
        <v>482</v>
      </c>
      <c r="D221" t="s">
        <v>64</v>
      </c>
      <c r="E221" t="s">
        <v>22</v>
      </c>
      <c r="F221" t="s">
        <v>23</v>
      </c>
      <c r="G221">
        <v>1</v>
      </c>
      <c r="H221">
        <v>9791166300240</v>
      </c>
      <c r="I221" t="s">
        <v>24</v>
      </c>
      <c r="J221" t="s">
        <v>133</v>
      </c>
      <c r="K221" t="s">
        <v>119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2">
        <v>0.7</v>
      </c>
      <c r="S221">
        <v>441</v>
      </c>
      <c r="T221" t="s">
        <v>27</v>
      </c>
      <c r="U221">
        <v>441</v>
      </c>
      <c r="V221" s="7" t="str">
        <f>IF(ISERROR(VLOOKUP(K221,[1]작가별정산률!$R:$S,2,0)),"스토리위즈",VLOOKUP(K221,[1]작가별정산률!$R:$S,2,0))</f>
        <v>스토리위즈</v>
      </c>
      <c r="W221" s="7" t="str">
        <f>IF(V221="스토리위즈",VLOOKUP(K221,[1]작가별정산률!$A:$B,2,0),V221)</f>
        <v>김광수</v>
      </c>
    </row>
    <row r="222" spans="1:23" x14ac:dyDescent="0.4">
      <c r="A222" t="s">
        <v>262</v>
      </c>
      <c r="B222" t="s">
        <v>481</v>
      </c>
      <c r="C222" t="s">
        <v>483</v>
      </c>
      <c r="D222" t="s">
        <v>64</v>
      </c>
      <c r="E222" t="s">
        <v>22</v>
      </c>
      <c r="F222" t="s">
        <v>23</v>
      </c>
      <c r="G222">
        <v>1</v>
      </c>
      <c r="H222">
        <v>9791166300615</v>
      </c>
      <c r="I222" t="s">
        <v>24</v>
      </c>
      <c r="J222" t="s">
        <v>163</v>
      </c>
      <c r="K222" t="s">
        <v>119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  <c r="V222" s="7" t="str">
        <f>IF(ISERROR(VLOOKUP(K222,[1]작가별정산률!$R:$S,2,0)),"스토리위즈",VLOOKUP(K222,[1]작가별정산률!$R:$S,2,0))</f>
        <v>스토리위즈</v>
      </c>
      <c r="W222" s="7" t="str">
        <f>IF(V222="스토리위즈",VLOOKUP(K222,[1]작가별정산률!$A:$B,2,0),V222)</f>
        <v>김광수</v>
      </c>
    </row>
    <row r="223" spans="1:23" x14ac:dyDescent="0.4">
      <c r="A223" t="s">
        <v>262</v>
      </c>
      <c r="B223" t="s">
        <v>481</v>
      </c>
      <c r="C223" t="s">
        <v>484</v>
      </c>
      <c r="D223" t="s">
        <v>21</v>
      </c>
      <c r="E223" t="s">
        <v>22</v>
      </c>
      <c r="F223" t="s">
        <v>23</v>
      </c>
      <c r="G223">
        <v>1</v>
      </c>
      <c r="H223">
        <v>9791191562262</v>
      </c>
      <c r="I223" t="s">
        <v>143</v>
      </c>
      <c r="J223" t="s">
        <v>250</v>
      </c>
      <c r="K223" t="s">
        <v>251</v>
      </c>
      <c r="L223" t="s">
        <v>27</v>
      </c>
      <c r="M223" s="3">
        <v>2000</v>
      </c>
      <c r="N223" t="s">
        <v>27</v>
      </c>
      <c r="O223" s="3">
        <v>2000</v>
      </c>
      <c r="P223" s="3">
        <v>2000</v>
      </c>
      <c r="Q223" t="s">
        <v>30</v>
      </c>
      <c r="R223" s="2">
        <v>0.7</v>
      </c>
      <c r="S223" s="3">
        <v>1400</v>
      </c>
      <c r="T223" t="s">
        <v>27</v>
      </c>
      <c r="U223" s="3">
        <v>1400</v>
      </c>
      <c r="V223" s="7" t="str">
        <f>IF(ISERROR(VLOOKUP(K223,[1]작가별정산률!$R:$S,2,0)),"스토리위즈",VLOOKUP(K223,[1]작가별정산률!$R:$S,2,0))</f>
        <v>밀리의 서재</v>
      </c>
      <c r="W223" s="7" t="str">
        <f>IF(V223="스토리위즈",VLOOKUP(K223,[1]작가별정산률!$A:$B,2,0),V223)</f>
        <v>밀리의 서재</v>
      </c>
    </row>
    <row r="224" spans="1:23" x14ac:dyDescent="0.4">
      <c r="A224" t="s">
        <v>262</v>
      </c>
      <c r="B224" t="s">
        <v>481</v>
      </c>
      <c r="C224" t="s">
        <v>485</v>
      </c>
      <c r="D224" t="s">
        <v>64</v>
      </c>
      <c r="E224" t="s">
        <v>22</v>
      </c>
      <c r="F224" t="s">
        <v>23</v>
      </c>
      <c r="G224">
        <v>1</v>
      </c>
      <c r="H224">
        <v>9791166300585</v>
      </c>
      <c r="I224" t="s">
        <v>24</v>
      </c>
      <c r="J224" t="s">
        <v>160</v>
      </c>
      <c r="K224" t="s">
        <v>119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  <c r="V224" s="7" t="str">
        <f>IF(ISERROR(VLOOKUP(K224,[1]작가별정산률!$R:$S,2,0)),"스토리위즈",VLOOKUP(K224,[1]작가별정산률!$R:$S,2,0))</f>
        <v>스토리위즈</v>
      </c>
      <c r="W224" s="7" t="str">
        <f>IF(V224="스토리위즈",VLOOKUP(K224,[1]작가별정산률!$A:$B,2,0),V224)</f>
        <v>김광수</v>
      </c>
    </row>
    <row r="225" spans="1:23" x14ac:dyDescent="0.4">
      <c r="A225" t="s">
        <v>262</v>
      </c>
      <c r="B225" t="s">
        <v>481</v>
      </c>
      <c r="C225" t="s">
        <v>486</v>
      </c>
      <c r="D225" t="s">
        <v>64</v>
      </c>
      <c r="E225" t="s">
        <v>22</v>
      </c>
      <c r="F225" t="s">
        <v>23</v>
      </c>
      <c r="G225">
        <v>1</v>
      </c>
      <c r="H225">
        <v>9791166300462</v>
      </c>
      <c r="I225" t="s">
        <v>24</v>
      </c>
      <c r="J225" t="s">
        <v>144</v>
      </c>
      <c r="K225" t="s">
        <v>119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2">
        <v>0.7</v>
      </c>
      <c r="S225">
        <v>441</v>
      </c>
      <c r="T225" t="s">
        <v>27</v>
      </c>
      <c r="U225">
        <v>441</v>
      </c>
      <c r="V225" s="7" t="str">
        <f>IF(ISERROR(VLOOKUP(K225,[1]작가별정산률!$R:$S,2,0)),"스토리위즈",VLOOKUP(K225,[1]작가별정산률!$R:$S,2,0))</f>
        <v>스토리위즈</v>
      </c>
      <c r="W225" s="7" t="str">
        <f>IF(V225="스토리위즈",VLOOKUP(K225,[1]작가별정산률!$A:$B,2,0),V225)</f>
        <v>김광수</v>
      </c>
    </row>
    <row r="226" spans="1:23" x14ac:dyDescent="0.4">
      <c r="A226" t="s">
        <v>262</v>
      </c>
      <c r="B226" t="s">
        <v>481</v>
      </c>
      <c r="C226" t="s">
        <v>487</v>
      </c>
      <c r="D226" t="s">
        <v>64</v>
      </c>
      <c r="E226" t="s">
        <v>22</v>
      </c>
      <c r="F226" t="s">
        <v>23</v>
      </c>
      <c r="G226">
        <v>1</v>
      </c>
      <c r="H226">
        <v>9791166300110</v>
      </c>
      <c r="I226" t="s">
        <v>24</v>
      </c>
      <c r="J226" t="s">
        <v>121</v>
      </c>
      <c r="K226" t="s">
        <v>119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  <c r="V226" s="7" t="str">
        <f>IF(ISERROR(VLOOKUP(K226,[1]작가별정산률!$R:$S,2,0)),"스토리위즈",VLOOKUP(K226,[1]작가별정산률!$R:$S,2,0))</f>
        <v>스토리위즈</v>
      </c>
      <c r="W226" s="7" t="str">
        <f>IF(V226="스토리위즈",VLOOKUP(K226,[1]작가별정산률!$A:$B,2,0),V226)</f>
        <v>김광수</v>
      </c>
    </row>
    <row r="227" spans="1:23" x14ac:dyDescent="0.4">
      <c r="A227" t="s">
        <v>262</v>
      </c>
      <c r="B227" t="s">
        <v>481</v>
      </c>
      <c r="C227" t="s">
        <v>488</v>
      </c>
      <c r="D227" t="s">
        <v>64</v>
      </c>
      <c r="E227" t="s">
        <v>22</v>
      </c>
      <c r="F227" t="s">
        <v>23</v>
      </c>
      <c r="G227">
        <v>1</v>
      </c>
      <c r="H227">
        <v>9791166300523</v>
      </c>
      <c r="I227" t="s">
        <v>24</v>
      </c>
      <c r="J227" t="s">
        <v>150</v>
      </c>
      <c r="K227" t="s">
        <v>119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2">
        <v>0.7</v>
      </c>
      <c r="S227">
        <v>441</v>
      </c>
      <c r="T227" t="s">
        <v>27</v>
      </c>
      <c r="U227">
        <v>441</v>
      </c>
      <c r="V227" s="7" t="str">
        <f>IF(ISERROR(VLOOKUP(K227,[1]작가별정산률!$R:$S,2,0)),"스토리위즈",VLOOKUP(K227,[1]작가별정산률!$R:$S,2,0))</f>
        <v>스토리위즈</v>
      </c>
      <c r="W227" s="7" t="str">
        <f>IF(V227="스토리위즈",VLOOKUP(K227,[1]작가별정산률!$A:$B,2,0),V227)</f>
        <v>김광수</v>
      </c>
    </row>
    <row r="228" spans="1:23" x14ac:dyDescent="0.4">
      <c r="A228" t="s">
        <v>262</v>
      </c>
      <c r="B228" t="s">
        <v>481</v>
      </c>
      <c r="C228" t="s">
        <v>489</v>
      </c>
      <c r="D228" t="s">
        <v>64</v>
      </c>
      <c r="E228" t="s">
        <v>22</v>
      </c>
      <c r="F228" t="s">
        <v>23</v>
      </c>
      <c r="G228">
        <v>1</v>
      </c>
      <c r="H228">
        <v>9791166064074</v>
      </c>
      <c r="I228" t="s">
        <v>24</v>
      </c>
      <c r="J228" t="s">
        <v>90</v>
      </c>
      <c r="K228" t="s">
        <v>37</v>
      </c>
      <c r="L228" t="s">
        <v>27</v>
      </c>
      <c r="M228">
        <v>900</v>
      </c>
      <c r="N228" t="s">
        <v>27</v>
      </c>
      <c r="O228">
        <v>900</v>
      </c>
      <c r="P228">
        <v>900</v>
      </c>
      <c r="Q228" t="s">
        <v>30</v>
      </c>
      <c r="R228" s="2">
        <v>0.7</v>
      </c>
      <c r="S228">
        <v>630</v>
      </c>
      <c r="T228" t="s">
        <v>27</v>
      </c>
      <c r="U228">
        <v>630</v>
      </c>
      <c r="V228" s="7" t="str">
        <f>IF(ISERROR(VLOOKUP(K228,[1]작가별정산률!$R:$S,2,0)),"스토리위즈",VLOOKUP(K228,[1]작가별정산률!$R:$S,2,0))</f>
        <v>스토리위즈</v>
      </c>
      <c r="W228" s="7" t="str">
        <f>IF(V228="스토리위즈",VLOOKUP(K228,[1]작가별정산률!$A:$B,2,0),V228)</f>
        <v>권용찬</v>
      </c>
    </row>
    <row r="229" spans="1:23" x14ac:dyDescent="0.4">
      <c r="A229" t="s">
        <v>262</v>
      </c>
      <c r="B229" t="s">
        <v>481</v>
      </c>
      <c r="C229" t="s">
        <v>490</v>
      </c>
      <c r="D229" t="s">
        <v>64</v>
      </c>
      <c r="E229" t="s">
        <v>22</v>
      </c>
      <c r="F229" t="s">
        <v>23</v>
      </c>
      <c r="G229">
        <v>1</v>
      </c>
      <c r="H229">
        <v>9791159284953</v>
      </c>
      <c r="I229" t="s">
        <v>24</v>
      </c>
      <c r="J229" t="s">
        <v>46</v>
      </c>
      <c r="K229" t="s">
        <v>47</v>
      </c>
      <c r="L229" t="s">
        <v>27</v>
      </c>
      <c r="M229">
        <v>630</v>
      </c>
      <c r="N229" t="s">
        <v>27</v>
      </c>
      <c r="O229">
        <v>630</v>
      </c>
      <c r="P229">
        <v>630</v>
      </c>
      <c r="Q229" t="s">
        <v>30</v>
      </c>
      <c r="R229" s="2">
        <v>0.7</v>
      </c>
      <c r="S229">
        <v>441</v>
      </c>
      <c r="T229" t="s">
        <v>27</v>
      </c>
      <c r="U229">
        <v>441</v>
      </c>
      <c r="V229" s="7" t="str">
        <f>IF(ISERROR(VLOOKUP(K229,[1]작가별정산률!$R:$S,2,0)),"스토리위즈",VLOOKUP(K229,[1]작가별정산률!$R:$S,2,0))</f>
        <v>스토리위즈</v>
      </c>
      <c r="W229" s="7" t="str">
        <f>IF(V229="스토리위즈",VLOOKUP(K229,[1]작가별정산률!$A:$B,2,0),V229)</f>
        <v>전혁</v>
      </c>
    </row>
    <row r="230" spans="1:23" x14ac:dyDescent="0.4">
      <c r="A230" t="s">
        <v>262</v>
      </c>
      <c r="B230" t="s">
        <v>481</v>
      </c>
      <c r="C230" t="s">
        <v>491</v>
      </c>
      <c r="D230" t="s">
        <v>64</v>
      </c>
      <c r="E230" t="s">
        <v>22</v>
      </c>
      <c r="F230" t="s">
        <v>23</v>
      </c>
      <c r="G230">
        <v>1</v>
      </c>
      <c r="H230">
        <v>9791166300240</v>
      </c>
      <c r="I230" t="s">
        <v>24</v>
      </c>
      <c r="J230" t="s">
        <v>133</v>
      </c>
      <c r="K230" t="s">
        <v>119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  <c r="V230" s="7" t="str">
        <f>IF(ISERROR(VLOOKUP(K230,[1]작가별정산률!$R:$S,2,0)),"스토리위즈",VLOOKUP(K230,[1]작가별정산률!$R:$S,2,0))</f>
        <v>스토리위즈</v>
      </c>
      <c r="W230" s="7" t="str">
        <f>IF(V230="스토리위즈",VLOOKUP(K230,[1]작가별정산률!$A:$B,2,0),V230)</f>
        <v>김광수</v>
      </c>
    </row>
    <row r="231" spans="1:23" x14ac:dyDescent="0.4">
      <c r="A231" t="s">
        <v>262</v>
      </c>
      <c r="B231" t="s">
        <v>481</v>
      </c>
      <c r="C231" t="s">
        <v>492</v>
      </c>
      <c r="D231" t="s">
        <v>21</v>
      </c>
      <c r="E231" t="s">
        <v>22</v>
      </c>
      <c r="F231" t="s">
        <v>23</v>
      </c>
      <c r="G231">
        <v>1</v>
      </c>
      <c r="H231">
        <v>9791191562125</v>
      </c>
      <c r="I231" t="s">
        <v>143</v>
      </c>
      <c r="J231" t="s">
        <v>212</v>
      </c>
      <c r="K231" t="s">
        <v>213</v>
      </c>
      <c r="L231" t="s">
        <v>27</v>
      </c>
      <c r="M231" s="3">
        <v>2500</v>
      </c>
      <c r="N231" t="s">
        <v>27</v>
      </c>
      <c r="O231" s="3">
        <v>2500</v>
      </c>
      <c r="P231" s="3">
        <v>2500</v>
      </c>
      <c r="Q231" t="s">
        <v>30</v>
      </c>
      <c r="R231" s="2">
        <v>0.7</v>
      </c>
      <c r="S231" s="3">
        <v>1750</v>
      </c>
      <c r="T231" t="s">
        <v>27</v>
      </c>
      <c r="U231" s="3">
        <v>1750</v>
      </c>
      <c r="V231" s="7" t="str">
        <f>IF(ISERROR(VLOOKUP(K231,[1]작가별정산률!$R:$S,2,0)),"스토리위즈",VLOOKUP(K231,[1]작가별정산률!$R:$S,2,0))</f>
        <v>밀리의 서재</v>
      </c>
      <c r="W231" s="7" t="str">
        <f>IF(V231="스토리위즈",VLOOKUP(K231,[1]작가별정산률!$A:$B,2,0),V231)</f>
        <v>밀리의 서재</v>
      </c>
    </row>
    <row r="232" spans="1:23" x14ac:dyDescent="0.4">
      <c r="A232" t="s">
        <v>262</v>
      </c>
      <c r="B232" t="s">
        <v>481</v>
      </c>
      <c r="C232" t="s">
        <v>493</v>
      </c>
      <c r="D232" t="s">
        <v>64</v>
      </c>
      <c r="E232" t="s">
        <v>22</v>
      </c>
      <c r="F232" t="s">
        <v>23</v>
      </c>
      <c r="G232">
        <v>1</v>
      </c>
      <c r="H232">
        <v>9791166300257</v>
      </c>
      <c r="I232" t="s">
        <v>24</v>
      </c>
      <c r="J232" t="s">
        <v>134</v>
      </c>
      <c r="K232" t="s">
        <v>119</v>
      </c>
      <c r="L232" t="s">
        <v>27</v>
      </c>
      <c r="M232">
        <v>630</v>
      </c>
      <c r="N232" t="s">
        <v>27</v>
      </c>
      <c r="O232">
        <v>630</v>
      </c>
      <c r="P232">
        <v>630</v>
      </c>
      <c r="Q232" t="s">
        <v>30</v>
      </c>
      <c r="R232" s="2">
        <v>0.7</v>
      </c>
      <c r="S232">
        <v>441</v>
      </c>
      <c r="T232" t="s">
        <v>27</v>
      </c>
      <c r="U232">
        <v>441</v>
      </c>
      <c r="V232" s="7" t="str">
        <f>IF(ISERROR(VLOOKUP(K232,[1]작가별정산률!$R:$S,2,0)),"스토리위즈",VLOOKUP(K232,[1]작가별정산률!$R:$S,2,0))</f>
        <v>스토리위즈</v>
      </c>
      <c r="W232" s="7" t="str">
        <f>IF(V232="스토리위즈",VLOOKUP(K232,[1]작가별정산률!$A:$B,2,0),V232)</f>
        <v>김광수</v>
      </c>
    </row>
    <row r="233" spans="1:23" x14ac:dyDescent="0.4">
      <c r="A233" t="s">
        <v>262</v>
      </c>
      <c r="B233" t="s">
        <v>481</v>
      </c>
      <c r="C233" t="s">
        <v>494</v>
      </c>
      <c r="D233" t="s">
        <v>64</v>
      </c>
      <c r="E233" t="s">
        <v>22</v>
      </c>
      <c r="F233" t="s">
        <v>23</v>
      </c>
      <c r="G233">
        <v>1</v>
      </c>
      <c r="H233">
        <v>9791166300561</v>
      </c>
      <c r="I233" t="s">
        <v>24</v>
      </c>
      <c r="J233" t="s">
        <v>158</v>
      </c>
      <c r="K233" t="s">
        <v>119</v>
      </c>
      <c r="L233" t="s">
        <v>27</v>
      </c>
      <c r="M233">
        <v>630</v>
      </c>
      <c r="N233" t="s">
        <v>27</v>
      </c>
      <c r="O233">
        <v>630</v>
      </c>
      <c r="P233">
        <v>630</v>
      </c>
      <c r="Q233" t="s">
        <v>30</v>
      </c>
      <c r="R233" s="2">
        <v>0.7</v>
      </c>
      <c r="S233">
        <v>441</v>
      </c>
      <c r="T233" t="s">
        <v>27</v>
      </c>
      <c r="U233">
        <v>441</v>
      </c>
      <c r="V233" s="7" t="str">
        <f>IF(ISERROR(VLOOKUP(K233,[1]작가별정산률!$R:$S,2,0)),"스토리위즈",VLOOKUP(K233,[1]작가별정산률!$R:$S,2,0))</f>
        <v>스토리위즈</v>
      </c>
      <c r="W233" s="7" t="str">
        <f>IF(V233="스토리위즈",VLOOKUP(K233,[1]작가별정산률!$A:$B,2,0),V233)</f>
        <v>김광수</v>
      </c>
    </row>
    <row r="234" spans="1:23" x14ac:dyDescent="0.4">
      <c r="A234" t="s">
        <v>262</v>
      </c>
      <c r="B234" t="s">
        <v>481</v>
      </c>
      <c r="C234" t="s">
        <v>495</v>
      </c>
      <c r="D234" t="s">
        <v>21</v>
      </c>
      <c r="E234" t="s">
        <v>22</v>
      </c>
      <c r="F234" t="s">
        <v>23</v>
      </c>
      <c r="G234">
        <v>1</v>
      </c>
      <c r="H234">
        <v>9791191562262</v>
      </c>
      <c r="I234" t="s">
        <v>143</v>
      </c>
      <c r="J234" t="s">
        <v>250</v>
      </c>
      <c r="K234" t="s">
        <v>251</v>
      </c>
      <c r="L234" t="s">
        <v>27</v>
      </c>
      <c r="M234" s="3">
        <v>2000</v>
      </c>
      <c r="N234" t="s">
        <v>27</v>
      </c>
      <c r="O234" s="3">
        <v>2000</v>
      </c>
      <c r="P234" s="3">
        <v>2000</v>
      </c>
      <c r="Q234" t="s">
        <v>30</v>
      </c>
      <c r="R234" s="2">
        <v>0.7</v>
      </c>
      <c r="S234" s="3">
        <v>1400</v>
      </c>
      <c r="T234" t="s">
        <v>27</v>
      </c>
      <c r="U234" s="3">
        <v>1400</v>
      </c>
      <c r="V234" s="7" t="str">
        <f>IF(ISERROR(VLOOKUP(K234,[1]작가별정산률!$R:$S,2,0)),"스토리위즈",VLOOKUP(K234,[1]작가별정산률!$R:$S,2,0))</f>
        <v>밀리의 서재</v>
      </c>
      <c r="W234" s="7" t="str">
        <f>IF(V234="스토리위즈",VLOOKUP(K234,[1]작가별정산률!$A:$B,2,0),V234)</f>
        <v>밀리의 서재</v>
      </c>
    </row>
    <row r="235" spans="1:23" x14ac:dyDescent="0.4">
      <c r="A235" t="s">
        <v>262</v>
      </c>
      <c r="B235" t="s">
        <v>481</v>
      </c>
      <c r="C235" t="s">
        <v>496</v>
      </c>
      <c r="D235" t="s">
        <v>21</v>
      </c>
      <c r="E235" t="s">
        <v>22</v>
      </c>
      <c r="F235" t="s">
        <v>23</v>
      </c>
      <c r="G235">
        <v>1</v>
      </c>
      <c r="H235">
        <v>9791191562125</v>
      </c>
      <c r="I235" t="s">
        <v>143</v>
      </c>
      <c r="J235" t="s">
        <v>212</v>
      </c>
      <c r="K235" t="s">
        <v>213</v>
      </c>
      <c r="L235" t="s">
        <v>27</v>
      </c>
      <c r="M235" s="3">
        <v>2500</v>
      </c>
      <c r="N235" t="s">
        <v>27</v>
      </c>
      <c r="O235" s="3">
        <v>2500</v>
      </c>
      <c r="P235" s="3">
        <v>2500</v>
      </c>
      <c r="Q235" t="s">
        <v>30</v>
      </c>
      <c r="R235" s="2">
        <v>0.7</v>
      </c>
      <c r="S235" s="3">
        <v>1750</v>
      </c>
      <c r="T235" t="s">
        <v>27</v>
      </c>
      <c r="U235" s="3">
        <v>1750</v>
      </c>
      <c r="V235" s="7" t="str">
        <f>IF(ISERROR(VLOOKUP(K235,[1]작가별정산률!$R:$S,2,0)),"스토리위즈",VLOOKUP(K235,[1]작가별정산률!$R:$S,2,0))</f>
        <v>밀리의 서재</v>
      </c>
      <c r="W235" s="7" t="str">
        <f>IF(V235="스토리위즈",VLOOKUP(K235,[1]작가별정산률!$A:$B,2,0),V235)</f>
        <v>밀리의 서재</v>
      </c>
    </row>
    <row r="236" spans="1:23" x14ac:dyDescent="0.4">
      <c r="A236" t="s">
        <v>262</v>
      </c>
      <c r="B236" t="s">
        <v>481</v>
      </c>
      <c r="C236" t="s">
        <v>497</v>
      </c>
      <c r="D236" t="s">
        <v>64</v>
      </c>
      <c r="E236" t="s">
        <v>22</v>
      </c>
      <c r="F236" t="s">
        <v>23</v>
      </c>
      <c r="G236">
        <v>1</v>
      </c>
      <c r="H236">
        <v>9791166300462</v>
      </c>
      <c r="I236" t="s">
        <v>24</v>
      </c>
      <c r="J236" t="s">
        <v>144</v>
      </c>
      <c r="K236" t="s">
        <v>119</v>
      </c>
      <c r="L236" t="s">
        <v>27</v>
      </c>
      <c r="M236">
        <v>630</v>
      </c>
      <c r="N236" t="s">
        <v>27</v>
      </c>
      <c r="O236">
        <v>630</v>
      </c>
      <c r="P236">
        <v>630</v>
      </c>
      <c r="Q236" t="s">
        <v>30</v>
      </c>
      <c r="R236" s="2">
        <v>0.7</v>
      </c>
      <c r="S236">
        <v>441</v>
      </c>
      <c r="T236" t="s">
        <v>27</v>
      </c>
      <c r="U236">
        <v>441</v>
      </c>
      <c r="V236" s="7" t="str">
        <f>IF(ISERROR(VLOOKUP(K236,[1]작가별정산률!$R:$S,2,0)),"스토리위즈",VLOOKUP(K236,[1]작가별정산률!$R:$S,2,0))</f>
        <v>스토리위즈</v>
      </c>
      <c r="W236" s="7" t="str">
        <f>IF(V236="스토리위즈",VLOOKUP(K236,[1]작가별정산률!$A:$B,2,0),V236)</f>
        <v>김광수</v>
      </c>
    </row>
    <row r="237" spans="1:23" x14ac:dyDescent="0.4">
      <c r="A237" t="s">
        <v>262</v>
      </c>
      <c r="B237" t="s">
        <v>481</v>
      </c>
      <c r="C237" t="s">
        <v>498</v>
      </c>
      <c r="D237" t="s">
        <v>64</v>
      </c>
      <c r="E237" t="s">
        <v>22</v>
      </c>
      <c r="F237" t="s">
        <v>23</v>
      </c>
      <c r="G237">
        <v>1</v>
      </c>
      <c r="H237">
        <v>9791166300509</v>
      </c>
      <c r="I237" t="s">
        <v>24</v>
      </c>
      <c r="J237" t="s">
        <v>148</v>
      </c>
      <c r="K237" t="s">
        <v>119</v>
      </c>
      <c r="L237" t="s">
        <v>27</v>
      </c>
      <c r="M237">
        <v>630</v>
      </c>
      <c r="N237" t="s">
        <v>27</v>
      </c>
      <c r="O237">
        <v>630</v>
      </c>
      <c r="P237">
        <v>630</v>
      </c>
      <c r="Q237" t="s">
        <v>30</v>
      </c>
      <c r="R237" s="2">
        <v>0.7</v>
      </c>
      <c r="S237">
        <v>441</v>
      </c>
      <c r="T237" t="s">
        <v>27</v>
      </c>
      <c r="U237">
        <v>441</v>
      </c>
      <c r="V237" s="7" t="str">
        <f>IF(ISERROR(VLOOKUP(K237,[1]작가별정산률!$R:$S,2,0)),"스토리위즈",VLOOKUP(K237,[1]작가별정산률!$R:$S,2,0))</f>
        <v>스토리위즈</v>
      </c>
      <c r="W237" s="7" t="str">
        <f>IF(V237="스토리위즈",VLOOKUP(K237,[1]작가별정산률!$A:$B,2,0),V237)</f>
        <v>김광수</v>
      </c>
    </row>
    <row r="238" spans="1:23" x14ac:dyDescent="0.4">
      <c r="A238" t="s">
        <v>262</v>
      </c>
      <c r="B238" t="s">
        <v>481</v>
      </c>
      <c r="C238" t="s">
        <v>499</v>
      </c>
      <c r="D238" t="s">
        <v>64</v>
      </c>
      <c r="E238" t="s">
        <v>22</v>
      </c>
      <c r="F238" t="s">
        <v>23</v>
      </c>
      <c r="G238">
        <v>1</v>
      </c>
      <c r="H238">
        <v>9791166064166</v>
      </c>
      <c r="I238" t="s">
        <v>24</v>
      </c>
      <c r="J238" t="s">
        <v>87</v>
      </c>
      <c r="K238" t="s">
        <v>37</v>
      </c>
      <c r="L238" t="s">
        <v>27</v>
      </c>
      <c r="M238">
        <v>900</v>
      </c>
      <c r="N238" t="s">
        <v>27</v>
      </c>
      <c r="O238">
        <v>900</v>
      </c>
      <c r="P238">
        <v>900</v>
      </c>
      <c r="Q238" t="s">
        <v>30</v>
      </c>
      <c r="R238" s="2">
        <v>0.7</v>
      </c>
      <c r="S238">
        <v>630</v>
      </c>
      <c r="T238" t="s">
        <v>27</v>
      </c>
      <c r="U238">
        <v>630</v>
      </c>
      <c r="V238" s="7" t="str">
        <f>IF(ISERROR(VLOOKUP(K238,[1]작가별정산률!$R:$S,2,0)),"스토리위즈",VLOOKUP(K238,[1]작가별정산률!$R:$S,2,0))</f>
        <v>스토리위즈</v>
      </c>
      <c r="W238" s="7" t="str">
        <f>IF(V238="스토리위즈",VLOOKUP(K238,[1]작가별정산률!$A:$B,2,0),V238)</f>
        <v>권용찬</v>
      </c>
    </row>
    <row r="239" spans="1:23" x14ac:dyDescent="0.4">
      <c r="A239" t="s">
        <v>262</v>
      </c>
      <c r="B239" t="s">
        <v>481</v>
      </c>
      <c r="C239" t="s">
        <v>500</v>
      </c>
      <c r="D239" t="s">
        <v>64</v>
      </c>
      <c r="E239" t="s">
        <v>22</v>
      </c>
      <c r="F239" t="s">
        <v>23</v>
      </c>
      <c r="G239">
        <v>1</v>
      </c>
      <c r="H239">
        <v>9791166300134</v>
      </c>
      <c r="I239" t="s">
        <v>24</v>
      </c>
      <c r="J239" t="s">
        <v>123</v>
      </c>
      <c r="K239" t="s">
        <v>119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  <c r="V239" s="7" t="str">
        <f>IF(ISERROR(VLOOKUP(K239,[1]작가별정산률!$R:$S,2,0)),"스토리위즈",VLOOKUP(K239,[1]작가별정산률!$R:$S,2,0))</f>
        <v>스토리위즈</v>
      </c>
      <c r="W239" s="7" t="str">
        <f>IF(V239="스토리위즈",VLOOKUP(K239,[1]작가별정산률!$A:$B,2,0),V239)</f>
        <v>김광수</v>
      </c>
    </row>
    <row r="240" spans="1:23" x14ac:dyDescent="0.4">
      <c r="A240" t="s">
        <v>262</v>
      </c>
      <c r="B240" t="s">
        <v>481</v>
      </c>
      <c r="C240" t="s">
        <v>501</v>
      </c>
      <c r="D240" t="s">
        <v>64</v>
      </c>
      <c r="E240" t="s">
        <v>22</v>
      </c>
      <c r="F240" t="s">
        <v>23</v>
      </c>
      <c r="G240">
        <v>1</v>
      </c>
      <c r="H240">
        <v>9791166300660</v>
      </c>
      <c r="I240" t="s">
        <v>24</v>
      </c>
      <c r="J240" t="s">
        <v>156</v>
      </c>
      <c r="K240" t="s">
        <v>119</v>
      </c>
      <c r="L240" t="s">
        <v>27</v>
      </c>
      <c r="M240">
        <v>630</v>
      </c>
      <c r="N240" t="s">
        <v>27</v>
      </c>
      <c r="O240">
        <v>630</v>
      </c>
      <c r="P240">
        <v>630</v>
      </c>
      <c r="Q240" t="s">
        <v>30</v>
      </c>
      <c r="R240" s="2">
        <v>0.7</v>
      </c>
      <c r="S240">
        <v>441</v>
      </c>
      <c r="T240" t="s">
        <v>27</v>
      </c>
      <c r="U240">
        <v>441</v>
      </c>
      <c r="V240" s="7" t="str">
        <f>IF(ISERROR(VLOOKUP(K240,[1]작가별정산률!$R:$S,2,0)),"스토리위즈",VLOOKUP(K240,[1]작가별정산률!$R:$S,2,0))</f>
        <v>스토리위즈</v>
      </c>
      <c r="W240" s="7" t="str">
        <f>IF(V240="스토리위즈",VLOOKUP(K240,[1]작가별정산률!$A:$B,2,0),V240)</f>
        <v>김광수</v>
      </c>
    </row>
    <row r="241" spans="1:23" x14ac:dyDescent="0.4">
      <c r="A241" t="s">
        <v>262</v>
      </c>
      <c r="B241" t="s">
        <v>481</v>
      </c>
      <c r="C241" t="s">
        <v>502</v>
      </c>
      <c r="D241" t="s">
        <v>21</v>
      </c>
      <c r="E241" t="s">
        <v>22</v>
      </c>
      <c r="F241" t="s">
        <v>23</v>
      </c>
      <c r="G241">
        <v>1</v>
      </c>
      <c r="H241">
        <v>9791191562033</v>
      </c>
      <c r="I241" t="s">
        <v>143</v>
      </c>
      <c r="J241" t="s">
        <v>189</v>
      </c>
      <c r="K241" t="s">
        <v>187</v>
      </c>
      <c r="L241" t="s">
        <v>27</v>
      </c>
      <c r="M241" s="3">
        <v>2000</v>
      </c>
      <c r="N241" t="s">
        <v>27</v>
      </c>
      <c r="O241" s="3">
        <v>2000</v>
      </c>
      <c r="P241" s="3">
        <v>2000</v>
      </c>
      <c r="Q241" t="s">
        <v>30</v>
      </c>
      <c r="R241" s="2">
        <v>0.7</v>
      </c>
      <c r="S241" s="3">
        <v>1400</v>
      </c>
      <c r="T241" t="s">
        <v>27</v>
      </c>
      <c r="U241" s="3">
        <v>1400</v>
      </c>
      <c r="V241" s="7" t="str">
        <f>IF(ISERROR(VLOOKUP(K241,[1]작가별정산률!$R:$S,2,0)),"스토리위즈",VLOOKUP(K241,[1]작가별정산률!$R:$S,2,0))</f>
        <v>밀리의 서재</v>
      </c>
      <c r="W241" s="7" t="str">
        <f>IF(V241="스토리위즈",VLOOKUP(K241,[1]작가별정산률!$A:$B,2,0),V241)</f>
        <v>밀리의 서재</v>
      </c>
    </row>
    <row r="242" spans="1:23" x14ac:dyDescent="0.4">
      <c r="A242" t="s">
        <v>262</v>
      </c>
      <c r="B242" t="s">
        <v>481</v>
      </c>
      <c r="C242" t="s">
        <v>503</v>
      </c>
      <c r="D242" t="s">
        <v>64</v>
      </c>
      <c r="E242" t="s">
        <v>22</v>
      </c>
      <c r="F242" t="s">
        <v>23</v>
      </c>
      <c r="G242">
        <v>1</v>
      </c>
      <c r="H242">
        <v>9791166064081</v>
      </c>
      <c r="I242" t="s">
        <v>24</v>
      </c>
      <c r="J242" t="s">
        <v>91</v>
      </c>
      <c r="K242" t="s">
        <v>37</v>
      </c>
      <c r="L242" t="s">
        <v>27</v>
      </c>
      <c r="M242">
        <v>900</v>
      </c>
      <c r="N242" t="s">
        <v>27</v>
      </c>
      <c r="O242">
        <v>900</v>
      </c>
      <c r="P242">
        <v>900</v>
      </c>
      <c r="Q242" t="s">
        <v>30</v>
      </c>
      <c r="R242" s="2">
        <v>0.7</v>
      </c>
      <c r="S242">
        <v>630</v>
      </c>
      <c r="T242" t="s">
        <v>27</v>
      </c>
      <c r="U242">
        <v>630</v>
      </c>
      <c r="V242" s="7" t="str">
        <f>IF(ISERROR(VLOOKUP(K242,[1]작가별정산률!$R:$S,2,0)),"스토리위즈",VLOOKUP(K242,[1]작가별정산률!$R:$S,2,0))</f>
        <v>스토리위즈</v>
      </c>
      <c r="W242" s="7" t="str">
        <f>IF(V242="스토리위즈",VLOOKUP(K242,[1]작가별정산률!$A:$B,2,0),V242)</f>
        <v>권용찬</v>
      </c>
    </row>
    <row r="243" spans="1:23" x14ac:dyDescent="0.4">
      <c r="A243" t="s">
        <v>262</v>
      </c>
      <c r="B243" t="s">
        <v>481</v>
      </c>
      <c r="C243" t="s">
        <v>504</v>
      </c>
      <c r="D243" t="s">
        <v>64</v>
      </c>
      <c r="E243" t="s">
        <v>22</v>
      </c>
      <c r="F243" t="s">
        <v>23</v>
      </c>
      <c r="G243">
        <v>1</v>
      </c>
      <c r="H243">
        <v>9791166300264</v>
      </c>
      <c r="I243" t="s">
        <v>24</v>
      </c>
      <c r="J243" t="s">
        <v>135</v>
      </c>
      <c r="K243" t="s">
        <v>119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  <c r="V243" s="7" t="str">
        <f>IF(ISERROR(VLOOKUP(K243,[1]작가별정산률!$R:$S,2,0)),"스토리위즈",VLOOKUP(K243,[1]작가별정산률!$R:$S,2,0))</f>
        <v>스토리위즈</v>
      </c>
      <c r="W243" s="7" t="str">
        <f>IF(V243="스토리위즈",VLOOKUP(K243,[1]작가별정산률!$A:$B,2,0),V243)</f>
        <v>김광수</v>
      </c>
    </row>
    <row r="244" spans="1:23" x14ac:dyDescent="0.4">
      <c r="A244" t="s">
        <v>262</v>
      </c>
      <c r="B244" t="s">
        <v>481</v>
      </c>
      <c r="C244" t="s">
        <v>505</v>
      </c>
      <c r="D244" t="s">
        <v>64</v>
      </c>
      <c r="E244" t="s">
        <v>22</v>
      </c>
      <c r="F244" t="s">
        <v>23</v>
      </c>
      <c r="G244">
        <v>1</v>
      </c>
      <c r="H244">
        <v>9791166300622</v>
      </c>
      <c r="I244" t="s">
        <v>24</v>
      </c>
      <c r="J244" t="s">
        <v>164</v>
      </c>
      <c r="K244" t="s">
        <v>119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2">
        <v>0.7</v>
      </c>
      <c r="S244">
        <v>441</v>
      </c>
      <c r="T244" t="s">
        <v>27</v>
      </c>
      <c r="U244">
        <v>441</v>
      </c>
      <c r="V244" s="7" t="str">
        <f>IF(ISERROR(VLOOKUP(K244,[1]작가별정산률!$R:$S,2,0)),"스토리위즈",VLOOKUP(K244,[1]작가별정산률!$R:$S,2,0))</f>
        <v>스토리위즈</v>
      </c>
      <c r="W244" s="7" t="str">
        <f>IF(V244="스토리위즈",VLOOKUP(K244,[1]작가별정산률!$A:$B,2,0),V244)</f>
        <v>김광수</v>
      </c>
    </row>
    <row r="245" spans="1:23" x14ac:dyDescent="0.4">
      <c r="A245" t="s">
        <v>262</v>
      </c>
      <c r="B245" t="s">
        <v>481</v>
      </c>
      <c r="C245" t="s">
        <v>506</v>
      </c>
      <c r="D245" t="s">
        <v>21</v>
      </c>
      <c r="E245" t="s">
        <v>22</v>
      </c>
      <c r="F245" t="s">
        <v>23</v>
      </c>
      <c r="G245">
        <v>1</v>
      </c>
      <c r="H245">
        <v>9791196945268</v>
      </c>
      <c r="I245" t="s">
        <v>143</v>
      </c>
      <c r="J245" t="s">
        <v>185</v>
      </c>
      <c r="K245" t="s">
        <v>188</v>
      </c>
      <c r="L245" t="s">
        <v>27</v>
      </c>
      <c r="M245" s="3">
        <v>2500</v>
      </c>
      <c r="N245" t="s">
        <v>27</v>
      </c>
      <c r="O245" s="3">
        <v>2500</v>
      </c>
      <c r="P245" s="3">
        <v>2500</v>
      </c>
      <c r="Q245" t="s">
        <v>30</v>
      </c>
      <c r="R245" s="2">
        <v>0.7</v>
      </c>
      <c r="S245" s="3">
        <v>1750</v>
      </c>
      <c r="T245" t="s">
        <v>27</v>
      </c>
      <c r="U245" s="3">
        <v>1750</v>
      </c>
      <c r="V245" s="7" t="str">
        <f>IF(ISERROR(VLOOKUP(K245,[1]작가별정산률!$R:$S,2,0)),"스토리위즈",VLOOKUP(K245,[1]작가별정산률!$R:$S,2,0))</f>
        <v>밀리의 서재</v>
      </c>
      <c r="W245" s="7" t="str">
        <f>IF(V245="스토리위즈",VLOOKUP(K245,[1]작가별정산률!$A:$B,2,0),V245)</f>
        <v>밀리의 서재</v>
      </c>
    </row>
    <row r="246" spans="1:23" x14ac:dyDescent="0.4">
      <c r="A246" t="s">
        <v>262</v>
      </c>
      <c r="B246" t="s">
        <v>481</v>
      </c>
      <c r="C246" t="s">
        <v>507</v>
      </c>
      <c r="D246" t="s">
        <v>64</v>
      </c>
      <c r="E246" t="s">
        <v>22</v>
      </c>
      <c r="F246" t="s">
        <v>23</v>
      </c>
      <c r="G246">
        <v>1</v>
      </c>
      <c r="H246">
        <v>9791166300202</v>
      </c>
      <c r="I246" t="s">
        <v>24</v>
      </c>
      <c r="J246" t="s">
        <v>129</v>
      </c>
      <c r="K246" t="s">
        <v>119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2">
        <v>0.7</v>
      </c>
      <c r="S246">
        <v>441</v>
      </c>
      <c r="T246" t="s">
        <v>27</v>
      </c>
      <c r="U246">
        <v>441</v>
      </c>
      <c r="V246" s="7" t="str">
        <f>IF(ISERROR(VLOOKUP(K246,[1]작가별정산률!$R:$S,2,0)),"스토리위즈",VLOOKUP(K246,[1]작가별정산률!$R:$S,2,0))</f>
        <v>스토리위즈</v>
      </c>
      <c r="W246" s="7" t="str">
        <f>IF(V246="스토리위즈",VLOOKUP(K246,[1]작가별정산률!$A:$B,2,0),V246)</f>
        <v>김광수</v>
      </c>
    </row>
    <row r="247" spans="1:23" x14ac:dyDescent="0.4">
      <c r="A247" t="s">
        <v>262</v>
      </c>
      <c r="B247" t="s">
        <v>481</v>
      </c>
      <c r="C247" t="s">
        <v>508</v>
      </c>
      <c r="D247" t="s">
        <v>64</v>
      </c>
      <c r="E247" t="s">
        <v>22</v>
      </c>
      <c r="F247" t="s">
        <v>23</v>
      </c>
      <c r="G247">
        <v>1</v>
      </c>
      <c r="H247">
        <v>9791166064050</v>
      </c>
      <c r="I247" t="s">
        <v>24</v>
      </c>
      <c r="J247" t="s">
        <v>79</v>
      </c>
      <c r="K247" t="s">
        <v>37</v>
      </c>
      <c r="L247" t="s">
        <v>27</v>
      </c>
      <c r="M247">
        <v>900</v>
      </c>
      <c r="N247" t="s">
        <v>27</v>
      </c>
      <c r="O247">
        <v>900</v>
      </c>
      <c r="P247">
        <v>900</v>
      </c>
      <c r="Q247" t="s">
        <v>30</v>
      </c>
      <c r="R247" s="2">
        <v>0.7</v>
      </c>
      <c r="S247">
        <v>630</v>
      </c>
      <c r="T247" t="s">
        <v>27</v>
      </c>
      <c r="U247">
        <v>630</v>
      </c>
      <c r="V247" s="7" t="str">
        <f>IF(ISERROR(VLOOKUP(K247,[1]작가별정산률!$R:$S,2,0)),"스토리위즈",VLOOKUP(K247,[1]작가별정산률!$R:$S,2,0))</f>
        <v>스토리위즈</v>
      </c>
      <c r="W247" s="7" t="str">
        <f>IF(V247="스토리위즈",VLOOKUP(K247,[1]작가별정산률!$A:$B,2,0),V247)</f>
        <v>권용찬</v>
      </c>
    </row>
    <row r="248" spans="1:23" x14ac:dyDescent="0.4">
      <c r="A248" t="s">
        <v>262</v>
      </c>
      <c r="B248" t="s">
        <v>481</v>
      </c>
      <c r="C248" t="s">
        <v>509</v>
      </c>
      <c r="D248" t="s">
        <v>64</v>
      </c>
      <c r="E248" t="s">
        <v>22</v>
      </c>
      <c r="F248" t="s">
        <v>23</v>
      </c>
      <c r="G248">
        <v>1</v>
      </c>
      <c r="H248">
        <v>9791166300691</v>
      </c>
      <c r="I248" t="s">
        <v>24</v>
      </c>
      <c r="J248" t="s">
        <v>152</v>
      </c>
      <c r="K248" t="s">
        <v>119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2">
        <v>0.7</v>
      </c>
      <c r="S248">
        <v>441</v>
      </c>
      <c r="T248" t="s">
        <v>27</v>
      </c>
      <c r="U248">
        <v>441</v>
      </c>
      <c r="V248" s="7" t="str">
        <f>IF(ISERROR(VLOOKUP(K248,[1]작가별정산률!$R:$S,2,0)),"스토리위즈",VLOOKUP(K248,[1]작가별정산률!$R:$S,2,0))</f>
        <v>스토리위즈</v>
      </c>
      <c r="W248" s="7" t="str">
        <f>IF(V248="스토리위즈",VLOOKUP(K248,[1]작가별정산률!$A:$B,2,0),V248)</f>
        <v>김광수</v>
      </c>
    </row>
    <row r="249" spans="1:23" x14ac:dyDescent="0.4">
      <c r="A249" t="s">
        <v>262</v>
      </c>
      <c r="B249" t="s">
        <v>481</v>
      </c>
      <c r="C249" t="s">
        <v>510</v>
      </c>
      <c r="D249" t="s">
        <v>21</v>
      </c>
      <c r="E249" t="s">
        <v>22</v>
      </c>
      <c r="F249" t="s">
        <v>23</v>
      </c>
      <c r="G249">
        <v>1</v>
      </c>
      <c r="H249">
        <v>9791159282218</v>
      </c>
      <c r="I249" t="s">
        <v>24</v>
      </c>
      <c r="J249" t="s">
        <v>107</v>
      </c>
      <c r="K249" t="s">
        <v>37</v>
      </c>
      <c r="L249" t="s">
        <v>27</v>
      </c>
      <c r="M249" s="3">
        <v>3200</v>
      </c>
      <c r="N249" t="s">
        <v>27</v>
      </c>
      <c r="O249" s="3">
        <v>3200</v>
      </c>
      <c r="P249" s="3">
        <v>3200</v>
      </c>
      <c r="Q249" t="s">
        <v>30</v>
      </c>
      <c r="R249" s="2">
        <v>0.7</v>
      </c>
      <c r="S249" s="3">
        <v>2240</v>
      </c>
      <c r="T249" t="s">
        <v>27</v>
      </c>
      <c r="U249" s="3">
        <v>2240</v>
      </c>
      <c r="V249" s="7" t="str">
        <f>IF(ISERROR(VLOOKUP(K249,[1]작가별정산률!$R:$S,2,0)),"스토리위즈",VLOOKUP(K249,[1]작가별정산률!$R:$S,2,0))</f>
        <v>스토리위즈</v>
      </c>
      <c r="W249" s="7" t="str">
        <f>IF(V249="스토리위즈",VLOOKUP(K249,[1]작가별정산률!$A:$B,2,0),V249)</f>
        <v>권용찬</v>
      </c>
    </row>
    <row r="250" spans="1:23" x14ac:dyDescent="0.4">
      <c r="A250" t="s">
        <v>262</v>
      </c>
      <c r="B250" t="s">
        <v>481</v>
      </c>
      <c r="C250" t="s">
        <v>511</v>
      </c>
      <c r="D250" t="s">
        <v>64</v>
      </c>
      <c r="E250" t="s">
        <v>22</v>
      </c>
      <c r="F250" t="s">
        <v>23</v>
      </c>
      <c r="G250">
        <v>1</v>
      </c>
      <c r="H250">
        <v>9791166300578</v>
      </c>
      <c r="I250" t="s">
        <v>24</v>
      </c>
      <c r="J250" t="s">
        <v>159</v>
      </c>
      <c r="K250" t="s">
        <v>119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  <c r="V250" s="7" t="str">
        <f>IF(ISERROR(VLOOKUP(K250,[1]작가별정산률!$R:$S,2,0)),"스토리위즈",VLOOKUP(K250,[1]작가별정산률!$R:$S,2,0))</f>
        <v>스토리위즈</v>
      </c>
      <c r="W250" s="7" t="str">
        <f>IF(V250="스토리위즈",VLOOKUP(K250,[1]작가별정산률!$A:$B,2,0),V250)</f>
        <v>김광수</v>
      </c>
    </row>
    <row r="251" spans="1:23" x14ac:dyDescent="0.4">
      <c r="A251" t="s">
        <v>262</v>
      </c>
      <c r="B251" t="s">
        <v>481</v>
      </c>
      <c r="C251" t="s">
        <v>512</v>
      </c>
      <c r="D251" t="s">
        <v>21</v>
      </c>
      <c r="E251" t="s">
        <v>22</v>
      </c>
      <c r="F251" t="s">
        <v>23</v>
      </c>
      <c r="G251">
        <v>1</v>
      </c>
      <c r="H251">
        <v>9791191562125</v>
      </c>
      <c r="I251" t="s">
        <v>143</v>
      </c>
      <c r="J251" t="s">
        <v>212</v>
      </c>
      <c r="K251" t="s">
        <v>213</v>
      </c>
      <c r="L251" t="s">
        <v>27</v>
      </c>
      <c r="M251" s="3">
        <v>2500</v>
      </c>
      <c r="N251" t="s">
        <v>191</v>
      </c>
      <c r="O251">
        <v>3.01</v>
      </c>
      <c r="P251">
        <v>2.74</v>
      </c>
      <c r="Q251" t="s">
        <v>190</v>
      </c>
      <c r="R251" s="2">
        <v>0.7</v>
      </c>
      <c r="S251">
        <v>1.92</v>
      </c>
      <c r="T251" t="s">
        <v>27</v>
      </c>
      <c r="U251" s="3">
        <v>1735</v>
      </c>
      <c r="V251" s="7" t="str">
        <f>IF(ISERROR(VLOOKUP(K251,[1]작가별정산률!$R:$S,2,0)),"스토리위즈",VLOOKUP(K251,[1]작가별정산률!$R:$S,2,0))</f>
        <v>밀리의 서재</v>
      </c>
      <c r="W251" s="7" t="str">
        <f>IF(V251="스토리위즈",VLOOKUP(K251,[1]작가별정산률!$A:$B,2,0),V251)</f>
        <v>밀리의 서재</v>
      </c>
    </row>
    <row r="252" spans="1:23" x14ac:dyDescent="0.4">
      <c r="A252" t="s">
        <v>262</v>
      </c>
      <c r="B252" t="s">
        <v>481</v>
      </c>
      <c r="C252" t="s">
        <v>513</v>
      </c>
      <c r="D252" t="s">
        <v>64</v>
      </c>
      <c r="E252" t="s">
        <v>22</v>
      </c>
      <c r="F252" t="s">
        <v>23</v>
      </c>
      <c r="G252">
        <v>1</v>
      </c>
      <c r="H252">
        <v>9791166300592</v>
      </c>
      <c r="I252" t="s">
        <v>24</v>
      </c>
      <c r="J252" t="s">
        <v>161</v>
      </c>
      <c r="K252" t="s">
        <v>119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  <c r="V252" s="7" t="str">
        <f>IF(ISERROR(VLOOKUP(K252,[1]작가별정산률!$R:$S,2,0)),"스토리위즈",VLOOKUP(K252,[1]작가별정산률!$R:$S,2,0))</f>
        <v>스토리위즈</v>
      </c>
      <c r="W252" s="7" t="str">
        <f>IF(V252="스토리위즈",VLOOKUP(K252,[1]작가별정산률!$A:$B,2,0),V252)</f>
        <v>김광수</v>
      </c>
    </row>
    <row r="253" spans="1:23" x14ac:dyDescent="0.4">
      <c r="A253" t="s">
        <v>262</v>
      </c>
      <c r="B253" t="s">
        <v>481</v>
      </c>
      <c r="C253" t="s">
        <v>514</v>
      </c>
      <c r="D253" t="s">
        <v>21</v>
      </c>
      <c r="E253" t="s">
        <v>22</v>
      </c>
      <c r="F253" t="s">
        <v>23</v>
      </c>
      <c r="G253">
        <v>1</v>
      </c>
      <c r="H253">
        <v>9791166483233</v>
      </c>
      <c r="I253" t="s">
        <v>143</v>
      </c>
      <c r="J253" t="s">
        <v>515</v>
      </c>
      <c r="K253" t="s">
        <v>516</v>
      </c>
      <c r="L253" t="s">
        <v>27</v>
      </c>
      <c r="M253" s="3">
        <v>3000</v>
      </c>
      <c r="N253" t="s">
        <v>27</v>
      </c>
      <c r="O253" s="3">
        <v>3000</v>
      </c>
      <c r="P253" s="3">
        <v>3000</v>
      </c>
      <c r="Q253" t="s">
        <v>30</v>
      </c>
      <c r="R253" s="2">
        <v>0.7</v>
      </c>
      <c r="S253" s="3">
        <v>2100</v>
      </c>
      <c r="T253" t="s">
        <v>27</v>
      </c>
      <c r="U253" s="3">
        <v>2100</v>
      </c>
      <c r="V253" s="7" t="str">
        <f>IF(ISERROR(VLOOKUP(K253,[1]작가별정산률!$R:$S,2,0)),"스토리위즈",VLOOKUP(K253,[1]작가별정산률!$R:$S,2,0))</f>
        <v>더컴퍼니</v>
      </c>
      <c r="W253" s="7" t="str">
        <f>IF(V253="스토리위즈",VLOOKUP(K253,[1]작가별정산률!$A:$B,2,0),V253)</f>
        <v>더컴퍼니</v>
      </c>
    </row>
    <row r="254" spans="1:23" x14ac:dyDescent="0.4">
      <c r="A254" t="s">
        <v>262</v>
      </c>
      <c r="B254" t="s">
        <v>481</v>
      </c>
      <c r="C254" t="s">
        <v>517</v>
      </c>
      <c r="D254" t="s">
        <v>21</v>
      </c>
      <c r="E254" t="s">
        <v>22</v>
      </c>
      <c r="F254" t="s">
        <v>23</v>
      </c>
      <c r="G254">
        <v>1</v>
      </c>
      <c r="H254">
        <v>9791166483240</v>
      </c>
      <c r="I254" t="s">
        <v>143</v>
      </c>
      <c r="J254" t="s">
        <v>518</v>
      </c>
      <c r="K254" t="s">
        <v>516</v>
      </c>
      <c r="L254" t="s">
        <v>27</v>
      </c>
      <c r="M254" s="3">
        <v>3000</v>
      </c>
      <c r="N254" t="s">
        <v>27</v>
      </c>
      <c r="O254" s="3">
        <v>3000</v>
      </c>
      <c r="P254" s="3">
        <v>3000</v>
      </c>
      <c r="Q254" t="s">
        <v>30</v>
      </c>
      <c r="R254" s="2">
        <v>0.7</v>
      </c>
      <c r="S254" s="3">
        <v>2100</v>
      </c>
      <c r="T254" t="s">
        <v>27</v>
      </c>
      <c r="U254" s="3">
        <v>2100</v>
      </c>
      <c r="V254" s="7" t="str">
        <f>IF(ISERROR(VLOOKUP(K254,[1]작가별정산률!$R:$S,2,0)),"스토리위즈",VLOOKUP(K254,[1]작가별정산률!$R:$S,2,0))</f>
        <v>더컴퍼니</v>
      </c>
      <c r="W254" s="7" t="str">
        <f>IF(V254="스토리위즈",VLOOKUP(K254,[1]작가별정산률!$A:$B,2,0),V254)</f>
        <v>더컴퍼니</v>
      </c>
    </row>
    <row r="255" spans="1:23" x14ac:dyDescent="0.4">
      <c r="A255" t="s">
        <v>262</v>
      </c>
      <c r="B255" t="s">
        <v>481</v>
      </c>
      <c r="C255" t="s">
        <v>519</v>
      </c>
      <c r="D255" t="s">
        <v>21</v>
      </c>
      <c r="E255" t="s">
        <v>22</v>
      </c>
      <c r="F255" t="s">
        <v>23</v>
      </c>
      <c r="G255">
        <v>1</v>
      </c>
      <c r="H255">
        <v>9791166483257</v>
      </c>
      <c r="I255" t="s">
        <v>143</v>
      </c>
      <c r="J255" t="s">
        <v>520</v>
      </c>
      <c r="K255" t="s">
        <v>516</v>
      </c>
      <c r="L255" t="s">
        <v>27</v>
      </c>
      <c r="M255">
        <v>300</v>
      </c>
      <c r="N255" t="s">
        <v>27</v>
      </c>
      <c r="O255">
        <v>300</v>
      </c>
      <c r="P255">
        <v>300</v>
      </c>
      <c r="Q255" t="s">
        <v>30</v>
      </c>
      <c r="R255" s="2">
        <v>0.7</v>
      </c>
      <c r="S255">
        <v>210</v>
      </c>
      <c r="T255" t="s">
        <v>27</v>
      </c>
      <c r="U255">
        <v>210</v>
      </c>
      <c r="V255" s="7" t="str">
        <f>IF(ISERROR(VLOOKUP(K255,[1]작가별정산률!$R:$S,2,0)),"스토리위즈",VLOOKUP(K255,[1]작가별정산률!$R:$S,2,0))</f>
        <v>더컴퍼니</v>
      </c>
      <c r="W255" s="7" t="str">
        <f>IF(V255="스토리위즈",VLOOKUP(K255,[1]작가별정산률!$A:$B,2,0),V255)</f>
        <v>더컴퍼니</v>
      </c>
    </row>
    <row r="256" spans="1:23" x14ac:dyDescent="0.4">
      <c r="A256" t="s">
        <v>262</v>
      </c>
      <c r="B256" t="s">
        <v>481</v>
      </c>
      <c r="C256" t="s">
        <v>521</v>
      </c>
      <c r="D256" t="s">
        <v>64</v>
      </c>
      <c r="E256" t="s">
        <v>22</v>
      </c>
      <c r="F256" t="s">
        <v>23</v>
      </c>
      <c r="G256">
        <v>1</v>
      </c>
      <c r="H256">
        <v>9791166064050</v>
      </c>
      <c r="I256" t="s">
        <v>24</v>
      </c>
      <c r="J256" t="s">
        <v>79</v>
      </c>
      <c r="K256" t="s">
        <v>37</v>
      </c>
      <c r="L256" t="s">
        <v>27</v>
      </c>
      <c r="M256">
        <v>900</v>
      </c>
      <c r="N256" t="s">
        <v>27</v>
      </c>
      <c r="O256">
        <v>900</v>
      </c>
      <c r="P256">
        <v>900</v>
      </c>
      <c r="Q256" t="s">
        <v>30</v>
      </c>
      <c r="R256" s="2">
        <v>0.7</v>
      </c>
      <c r="S256">
        <v>630</v>
      </c>
      <c r="T256" t="s">
        <v>27</v>
      </c>
      <c r="U256">
        <v>630</v>
      </c>
      <c r="V256" s="7" t="str">
        <f>IF(ISERROR(VLOOKUP(K256,[1]작가별정산률!$R:$S,2,0)),"스토리위즈",VLOOKUP(K256,[1]작가별정산률!$R:$S,2,0))</f>
        <v>스토리위즈</v>
      </c>
      <c r="W256" s="7" t="str">
        <f>IF(V256="스토리위즈",VLOOKUP(K256,[1]작가별정산률!$A:$B,2,0),V256)</f>
        <v>권용찬</v>
      </c>
    </row>
    <row r="257" spans="1:23" x14ac:dyDescent="0.4">
      <c r="A257" t="s">
        <v>262</v>
      </c>
      <c r="B257" t="s">
        <v>481</v>
      </c>
      <c r="C257" t="s">
        <v>522</v>
      </c>
      <c r="D257" t="s">
        <v>64</v>
      </c>
      <c r="E257" t="s">
        <v>22</v>
      </c>
      <c r="F257" t="s">
        <v>23</v>
      </c>
      <c r="G257">
        <v>1</v>
      </c>
      <c r="H257">
        <v>9791166300691</v>
      </c>
      <c r="I257" t="s">
        <v>24</v>
      </c>
      <c r="J257" t="s">
        <v>152</v>
      </c>
      <c r="K257" t="s">
        <v>119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  <c r="V257" s="7" t="str">
        <f>IF(ISERROR(VLOOKUP(K257,[1]작가별정산률!$R:$S,2,0)),"스토리위즈",VLOOKUP(K257,[1]작가별정산률!$R:$S,2,0))</f>
        <v>스토리위즈</v>
      </c>
      <c r="W257" s="7" t="str">
        <f>IF(V257="스토리위즈",VLOOKUP(K257,[1]작가별정산률!$A:$B,2,0),V257)</f>
        <v>김광수</v>
      </c>
    </row>
    <row r="258" spans="1:23" x14ac:dyDescent="0.4">
      <c r="A258" t="s">
        <v>262</v>
      </c>
      <c r="B258" t="s">
        <v>481</v>
      </c>
      <c r="C258" t="s">
        <v>523</v>
      </c>
      <c r="D258" t="s">
        <v>64</v>
      </c>
      <c r="E258" t="s">
        <v>22</v>
      </c>
      <c r="F258" t="s">
        <v>23</v>
      </c>
      <c r="G258">
        <v>1</v>
      </c>
      <c r="H258">
        <v>9791166300479</v>
      </c>
      <c r="I258" t="s">
        <v>24</v>
      </c>
      <c r="J258" t="s">
        <v>145</v>
      </c>
      <c r="K258" t="s">
        <v>119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  <c r="V258" s="7" t="str">
        <f>IF(ISERROR(VLOOKUP(K258,[1]작가별정산률!$R:$S,2,0)),"스토리위즈",VLOOKUP(K258,[1]작가별정산률!$R:$S,2,0))</f>
        <v>스토리위즈</v>
      </c>
      <c r="W258" s="7" t="str">
        <f>IF(V258="스토리위즈",VLOOKUP(K258,[1]작가별정산률!$A:$B,2,0),V258)</f>
        <v>김광수</v>
      </c>
    </row>
    <row r="259" spans="1:23" x14ac:dyDescent="0.4">
      <c r="A259" t="s">
        <v>262</v>
      </c>
      <c r="B259" t="s">
        <v>481</v>
      </c>
      <c r="C259" t="s">
        <v>524</v>
      </c>
      <c r="D259" t="s">
        <v>64</v>
      </c>
      <c r="E259" t="s">
        <v>22</v>
      </c>
      <c r="F259" t="s">
        <v>23</v>
      </c>
      <c r="G259">
        <v>1</v>
      </c>
      <c r="H259">
        <v>9791166300646</v>
      </c>
      <c r="I259" t="s">
        <v>24</v>
      </c>
      <c r="J259" t="s">
        <v>155</v>
      </c>
      <c r="K259" t="s">
        <v>119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2">
        <v>0.7</v>
      </c>
      <c r="S259">
        <v>441</v>
      </c>
      <c r="T259" t="s">
        <v>27</v>
      </c>
      <c r="U259">
        <v>441</v>
      </c>
      <c r="V259" s="7" t="str">
        <f>IF(ISERROR(VLOOKUP(K259,[1]작가별정산률!$R:$S,2,0)),"스토리위즈",VLOOKUP(K259,[1]작가별정산률!$R:$S,2,0))</f>
        <v>스토리위즈</v>
      </c>
      <c r="W259" s="7" t="str">
        <f>IF(V259="스토리위즈",VLOOKUP(K259,[1]작가별정산률!$A:$B,2,0),V259)</f>
        <v>김광수</v>
      </c>
    </row>
    <row r="260" spans="1:23" x14ac:dyDescent="0.4">
      <c r="A260" t="s">
        <v>262</v>
      </c>
      <c r="B260" t="s">
        <v>481</v>
      </c>
      <c r="C260" t="s">
        <v>525</v>
      </c>
      <c r="D260" t="s">
        <v>64</v>
      </c>
      <c r="E260" t="s">
        <v>22</v>
      </c>
      <c r="F260" t="s">
        <v>23</v>
      </c>
      <c r="G260">
        <v>1</v>
      </c>
      <c r="H260">
        <v>9791166300639</v>
      </c>
      <c r="I260" t="s">
        <v>24</v>
      </c>
      <c r="J260" t="s">
        <v>165</v>
      </c>
      <c r="K260" t="s">
        <v>119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2">
        <v>0.7</v>
      </c>
      <c r="S260">
        <v>441</v>
      </c>
      <c r="T260" t="s">
        <v>27</v>
      </c>
      <c r="U260">
        <v>441</v>
      </c>
      <c r="V260" s="7" t="str">
        <f>IF(ISERROR(VLOOKUP(K260,[1]작가별정산률!$R:$S,2,0)),"스토리위즈",VLOOKUP(K260,[1]작가별정산률!$R:$S,2,0))</f>
        <v>스토리위즈</v>
      </c>
      <c r="W260" s="7" t="str">
        <f>IF(V260="스토리위즈",VLOOKUP(K260,[1]작가별정산률!$A:$B,2,0),V260)</f>
        <v>김광수</v>
      </c>
    </row>
    <row r="261" spans="1:23" x14ac:dyDescent="0.4">
      <c r="A261" t="s">
        <v>262</v>
      </c>
      <c r="B261" t="s">
        <v>481</v>
      </c>
      <c r="C261" t="s">
        <v>526</v>
      </c>
      <c r="D261" t="s">
        <v>64</v>
      </c>
      <c r="E261" t="s">
        <v>22</v>
      </c>
      <c r="F261" t="s">
        <v>23</v>
      </c>
      <c r="G261">
        <v>1</v>
      </c>
      <c r="H261">
        <v>9791166061110</v>
      </c>
      <c r="I261" t="s">
        <v>24</v>
      </c>
      <c r="J261" t="s">
        <v>97</v>
      </c>
      <c r="K261" t="s">
        <v>37</v>
      </c>
      <c r="L261" t="s">
        <v>27</v>
      </c>
      <c r="M261">
        <v>900</v>
      </c>
      <c r="N261" t="s">
        <v>27</v>
      </c>
      <c r="O261">
        <v>900</v>
      </c>
      <c r="P261">
        <v>900</v>
      </c>
      <c r="Q261" t="s">
        <v>30</v>
      </c>
      <c r="R261" s="2">
        <v>0.7</v>
      </c>
      <c r="S261">
        <v>630</v>
      </c>
      <c r="T261" t="s">
        <v>27</v>
      </c>
      <c r="U261">
        <v>630</v>
      </c>
      <c r="V261" s="7" t="str">
        <f>IF(ISERROR(VLOOKUP(K261,[1]작가별정산률!$R:$S,2,0)),"스토리위즈",VLOOKUP(K261,[1]작가별정산률!$R:$S,2,0))</f>
        <v>스토리위즈</v>
      </c>
      <c r="W261" s="7" t="str">
        <f>IF(V261="스토리위즈",VLOOKUP(K261,[1]작가별정산률!$A:$B,2,0),V261)</f>
        <v>권용찬</v>
      </c>
    </row>
    <row r="262" spans="1:23" x14ac:dyDescent="0.4">
      <c r="A262" t="s">
        <v>262</v>
      </c>
      <c r="B262" t="s">
        <v>481</v>
      </c>
      <c r="C262" t="s">
        <v>527</v>
      </c>
      <c r="D262" t="s">
        <v>64</v>
      </c>
      <c r="E262" t="s">
        <v>22</v>
      </c>
      <c r="F262" t="s">
        <v>23</v>
      </c>
      <c r="G262">
        <v>1</v>
      </c>
      <c r="H262">
        <v>9791166064135</v>
      </c>
      <c r="I262" t="s">
        <v>24</v>
      </c>
      <c r="J262" t="s">
        <v>77</v>
      </c>
      <c r="K262" t="s">
        <v>37</v>
      </c>
      <c r="L262" t="s">
        <v>27</v>
      </c>
      <c r="M262">
        <v>900</v>
      </c>
      <c r="N262" t="s">
        <v>27</v>
      </c>
      <c r="O262">
        <v>900</v>
      </c>
      <c r="P262">
        <v>900</v>
      </c>
      <c r="Q262" t="s">
        <v>30</v>
      </c>
      <c r="R262" s="2">
        <v>0.7</v>
      </c>
      <c r="S262">
        <v>630</v>
      </c>
      <c r="T262" t="s">
        <v>27</v>
      </c>
      <c r="U262">
        <v>630</v>
      </c>
      <c r="V262" s="7" t="str">
        <f>IF(ISERROR(VLOOKUP(K262,[1]작가별정산률!$R:$S,2,0)),"스토리위즈",VLOOKUP(K262,[1]작가별정산률!$R:$S,2,0))</f>
        <v>스토리위즈</v>
      </c>
      <c r="W262" s="7" t="str">
        <f>IF(V262="스토리위즈",VLOOKUP(K262,[1]작가별정산률!$A:$B,2,0),V262)</f>
        <v>권용찬</v>
      </c>
    </row>
    <row r="263" spans="1:23" x14ac:dyDescent="0.4">
      <c r="A263" t="s">
        <v>262</v>
      </c>
      <c r="B263" t="s">
        <v>481</v>
      </c>
      <c r="C263" t="s">
        <v>528</v>
      </c>
      <c r="D263" t="s">
        <v>64</v>
      </c>
      <c r="E263" t="s">
        <v>22</v>
      </c>
      <c r="F263" t="s">
        <v>23</v>
      </c>
      <c r="G263">
        <v>1</v>
      </c>
      <c r="H263">
        <v>9791166300509</v>
      </c>
      <c r="I263" t="s">
        <v>24</v>
      </c>
      <c r="J263" t="s">
        <v>148</v>
      </c>
      <c r="K263" t="s">
        <v>119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  <c r="V263" s="7" t="str">
        <f>IF(ISERROR(VLOOKUP(K263,[1]작가별정산률!$R:$S,2,0)),"스토리위즈",VLOOKUP(K263,[1]작가별정산률!$R:$S,2,0))</f>
        <v>스토리위즈</v>
      </c>
      <c r="W263" s="7" t="str">
        <f>IF(V263="스토리위즈",VLOOKUP(K263,[1]작가별정산률!$A:$B,2,0),V263)</f>
        <v>김광수</v>
      </c>
    </row>
    <row r="264" spans="1:23" x14ac:dyDescent="0.4">
      <c r="A264" t="s">
        <v>262</v>
      </c>
      <c r="B264" t="s">
        <v>481</v>
      </c>
      <c r="C264" t="s">
        <v>529</v>
      </c>
      <c r="D264" t="s">
        <v>64</v>
      </c>
      <c r="E264" t="s">
        <v>22</v>
      </c>
      <c r="F264" t="s">
        <v>23</v>
      </c>
      <c r="G264">
        <v>1</v>
      </c>
      <c r="H264">
        <v>9791166300592</v>
      </c>
      <c r="I264" t="s">
        <v>24</v>
      </c>
      <c r="J264" t="s">
        <v>161</v>
      </c>
      <c r="K264" t="s">
        <v>119</v>
      </c>
      <c r="L264" t="s">
        <v>27</v>
      </c>
      <c r="M264">
        <v>630</v>
      </c>
      <c r="N264" t="s">
        <v>27</v>
      </c>
      <c r="O264">
        <v>630</v>
      </c>
      <c r="P264">
        <v>630</v>
      </c>
      <c r="Q264" t="s">
        <v>30</v>
      </c>
      <c r="R264" s="2">
        <v>0.7</v>
      </c>
      <c r="S264">
        <v>441</v>
      </c>
      <c r="T264" t="s">
        <v>27</v>
      </c>
      <c r="U264">
        <v>443</v>
      </c>
      <c r="V264" s="7" t="str">
        <f>IF(ISERROR(VLOOKUP(K264,[1]작가별정산률!$R:$S,2,0)),"스토리위즈",VLOOKUP(K264,[1]작가별정산률!$R:$S,2,0))</f>
        <v>스토리위즈</v>
      </c>
      <c r="W264" s="7" t="str">
        <f>IF(V264="스토리위즈",VLOOKUP(K264,[1]작가별정산률!$A:$B,2,0),V264)</f>
        <v>김광수</v>
      </c>
    </row>
    <row r="265" spans="1:23" x14ac:dyDescent="0.4">
      <c r="A265" t="s">
        <v>262</v>
      </c>
      <c r="B265" t="s">
        <v>481</v>
      </c>
      <c r="C265" t="s">
        <v>530</v>
      </c>
      <c r="D265" t="s">
        <v>64</v>
      </c>
      <c r="E265" t="s">
        <v>22</v>
      </c>
      <c r="F265" t="s">
        <v>23</v>
      </c>
      <c r="G265">
        <v>1</v>
      </c>
      <c r="H265">
        <v>9791166064098</v>
      </c>
      <c r="I265" t="s">
        <v>24</v>
      </c>
      <c r="J265" t="s">
        <v>92</v>
      </c>
      <c r="K265" t="s">
        <v>37</v>
      </c>
      <c r="L265" t="s">
        <v>27</v>
      </c>
      <c r="M265">
        <v>900</v>
      </c>
      <c r="N265" t="s">
        <v>27</v>
      </c>
      <c r="O265">
        <v>900</v>
      </c>
      <c r="P265">
        <v>900</v>
      </c>
      <c r="Q265" t="s">
        <v>30</v>
      </c>
      <c r="R265" s="2">
        <v>0.7</v>
      </c>
      <c r="S265">
        <v>630</v>
      </c>
      <c r="T265" t="s">
        <v>27</v>
      </c>
      <c r="U265">
        <v>630</v>
      </c>
      <c r="V265" s="7" t="str">
        <f>IF(ISERROR(VLOOKUP(K265,[1]작가별정산률!$R:$S,2,0)),"스토리위즈",VLOOKUP(K265,[1]작가별정산률!$R:$S,2,0))</f>
        <v>스토리위즈</v>
      </c>
      <c r="W265" s="7" t="str">
        <f>IF(V265="스토리위즈",VLOOKUP(K265,[1]작가별정산률!$A:$B,2,0),V265)</f>
        <v>권용찬</v>
      </c>
    </row>
    <row r="266" spans="1:23" x14ac:dyDescent="0.4">
      <c r="A266" t="s">
        <v>262</v>
      </c>
      <c r="B266" t="s">
        <v>481</v>
      </c>
      <c r="C266" t="s">
        <v>531</v>
      </c>
      <c r="D266" t="s">
        <v>64</v>
      </c>
      <c r="E266" t="s">
        <v>22</v>
      </c>
      <c r="F266" t="s">
        <v>23</v>
      </c>
      <c r="G266">
        <v>1</v>
      </c>
      <c r="H266">
        <v>9791159282898</v>
      </c>
      <c r="I266" t="s">
        <v>24</v>
      </c>
      <c r="J266" t="s">
        <v>35</v>
      </c>
      <c r="K266" t="s">
        <v>26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  <c r="V266" s="7" t="str">
        <f>IF(ISERROR(VLOOKUP(K266,[1]작가별정산률!$R:$S,2,0)),"스토리위즈",VLOOKUP(K266,[1]작가별정산률!$R:$S,2,0))</f>
        <v>스토리위즈</v>
      </c>
      <c r="W266" s="7" t="str">
        <f>IF(V266="스토리위즈",VLOOKUP(K266,[1]작가별정산률!$A:$B,2,0),V266)</f>
        <v>독고진</v>
      </c>
    </row>
    <row r="267" spans="1:23" x14ac:dyDescent="0.4">
      <c r="A267" t="s">
        <v>262</v>
      </c>
      <c r="B267" t="s">
        <v>481</v>
      </c>
      <c r="C267" t="s">
        <v>532</v>
      </c>
      <c r="D267" t="s">
        <v>64</v>
      </c>
      <c r="E267" t="s">
        <v>22</v>
      </c>
      <c r="F267" t="s">
        <v>23</v>
      </c>
      <c r="G267">
        <v>1</v>
      </c>
      <c r="H267">
        <v>9791166300622</v>
      </c>
      <c r="I267" t="s">
        <v>24</v>
      </c>
      <c r="J267" t="s">
        <v>164</v>
      </c>
      <c r="K267" t="s">
        <v>119</v>
      </c>
      <c r="L267" t="s">
        <v>27</v>
      </c>
      <c r="M267">
        <v>630</v>
      </c>
      <c r="N267" t="s">
        <v>27</v>
      </c>
      <c r="O267">
        <v>630</v>
      </c>
      <c r="P267">
        <v>630</v>
      </c>
      <c r="Q267" t="s">
        <v>30</v>
      </c>
      <c r="R267" s="2">
        <v>0.7</v>
      </c>
      <c r="S267">
        <v>441</v>
      </c>
      <c r="T267" t="s">
        <v>27</v>
      </c>
      <c r="U267">
        <v>441</v>
      </c>
      <c r="V267" s="7" t="str">
        <f>IF(ISERROR(VLOOKUP(K267,[1]작가별정산률!$R:$S,2,0)),"스토리위즈",VLOOKUP(K267,[1]작가별정산률!$R:$S,2,0))</f>
        <v>스토리위즈</v>
      </c>
      <c r="W267" s="7" t="str">
        <f>IF(V267="스토리위즈",VLOOKUP(K267,[1]작가별정산률!$A:$B,2,0),V267)</f>
        <v>김광수</v>
      </c>
    </row>
    <row r="268" spans="1:23" x14ac:dyDescent="0.4">
      <c r="A268" t="s">
        <v>262</v>
      </c>
      <c r="B268" t="s">
        <v>481</v>
      </c>
      <c r="C268" t="s">
        <v>533</v>
      </c>
      <c r="D268" t="s">
        <v>64</v>
      </c>
      <c r="E268" t="s">
        <v>22</v>
      </c>
      <c r="F268" t="s">
        <v>23</v>
      </c>
      <c r="G268">
        <v>1</v>
      </c>
      <c r="H268">
        <v>9791166300141</v>
      </c>
      <c r="I268" t="s">
        <v>24</v>
      </c>
      <c r="J268" t="s">
        <v>124</v>
      </c>
      <c r="K268" t="s">
        <v>119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  <c r="V268" s="7" t="str">
        <f>IF(ISERROR(VLOOKUP(K268,[1]작가별정산률!$R:$S,2,0)),"스토리위즈",VLOOKUP(K268,[1]작가별정산률!$R:$S,2,0))</f>
        <v>스토리위즈</v>
      </c>
      <c r="W268" s="7" t="str">
        <f>IF(V268="스토리위즈",VLOOKUP(K268,[1]작가별정산률!$A:$B,2,0),V268)</f>
        <v>김광수</v>
      </c>
    </row>
    <row r="269" spans="1:23" x14ac:dyDescent="0.4">
      <c r="A269" t="s">
        <v>262</v>
      </c>
      <c r="B269" t="s">
        <v>481</v>
      </c>
      <c r="C269" t="s">
        <v>534</v>
      </c>
      <c r="D269" t="s">
        <v>64</v>
      </c>
      <c r="E269" t="s">
        <v>22</v>
      </c>
      <c r="F269" t="s">
        <v>23</v>
      </c>
      <c r="G269">
        <v>1</v>
      </c>
      <c r="H269">
        <v>9791166300271</v>
      </c>
      <c r="I269" t="s">
        <v>24</v>
      </c>
      <c r="J269" t="s">
        <v>136</v>
      </c>
      <c r="K269" t="s">
        <v>119</v>
      </c>
      <c r="L269" t="s">
        <v>27</v>
      </c>
      <c r="M269">
        <v>630</v>
      </c>
      <c r="N269" t="s">
        <v>27</v>
      </c>
      <c r="O269">
        <v>630</v>
      </c>
      <c r="P269">
        <v>630</v>
      </c>
      <c r="Q269" t="s">
        <v>30</v>
      </c>
      <c r="R269" s="2">
        <v>0.7</v>
      </c>
      <c r="S269">
        <v>441</v>
      </c>
      <c r="T269" t="s">
        <v>27</v>
      </c>
      <c r="U269">
        <v>441</v>
      </c>
      <c r="V269" s="7" t="str">
        <f>IF(ISERROR(VLOOKUP(K269,[1]작가별정산률!$R:$S,2,0)),"스토리위즈",VLOOKUP(K269,[1]작가별정산률!$R:$S,2,0))</f>
        <v>스토리위즈</v>
      </c>
      <c r="W269" s="7" t="str">
        <f>IF(V269="스토리위즈",VLOOKUP(K269,[1]작가별정산률!$A:$B,2,0),V269)</f>
        <v>김광수</v>
      </c>
    </row>
    <row r="270" spans="1:23" x14ac:dyDescent="0.4">
      <c r="A270" t="s">
        <v>262</v>
      </c>
      <c r="B270" t="s">
        <v>481</v>
      </c>
      <c r="C270" t="s">
        <v>535</v>
      </c>
      <c r="D270" t="s">
        <v>64</v>
      </c>
      <c r="E270" t="s">
        <v>22</v>
      </c>
      <c r="F270" t="s">
        <v>23</v>
      </c>
      <c r="G270">
        <v>1</v>
      </c>
      <c r="H270">
        <v>9791166300585</v>
      </c>
      <c r="I270" t="s">
        <v>24</v>
      </c>
      <c r="J270" t="s">
        <v>160</v>
      </c>
      <c r="K270" t="s">
        <v>119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  <c r="V270" s="7" t="str">
        <f>IF(ISERROR(VLOOKUP(K270,[1]작가별정산률!$R:$S,2,0)),"스토리위즈",VLOOKUP(K270,[1]작가별정산률!$R:$S,2,0))</f>
        <v>스토리위즈</v>
      </c>
      <c r="W270" s="7" t="str">
        <f>IF(V270="스토리위즈",VLOOKUP(K270,[1]작가별정산률!$A:$B,2,0),V270)</f>
        <v>김광수</v>
      </c>
    </row>
    <row r="271" spans="1:23" x14ac:dyDescent="0.4">
      <c r="A271" t="s">
        <v>262</v>
      </c>
      <c r="B271" t="s">
        <v>481</v>
      </c>
      <c r="C271" t="s">
        <v>536</v>
      </c>
      <c r="D271" t="s">
        <v>64</v>
      </c>
      <c r="E271" t="s">
        <v>22</v>
      </c>
      <c r="F271" t="s">
        <v>23</v>
      </c>
      <c r="G271">
        <v>1</v>
      </c>
      <c r="H271">
        <v>9791166061127</v>
      </c>
      <c r="I271" t="s">
        <v>24</v>
      </c>
      <c r="J271" t="s">
        <v>100</v>
      </c>
      <c r="K271" t="s">
        <v>37</v>
      </c>
      <c r="L271" t="s">
        <v>27</v>
      </c>
      <c r="M271">
        <v>900</v>
      </c>
      <c r="N271" t="s">
        <v>27</v>
      </c>
      <c r="O271">
        <v>900</v>
      </c>
      <c r="P271">
        <v>900</v>
      </c>
      <c r="Q271" t="s">
        <v>30</v>
      </c>
      <c r="R271" s="2">
        <v>0.7</v>
      </c>
      <c r="S271">
        <v>630</v>
      </c>
      <c r="T271" t="s">
        <v>27</v>
      </c>
      <c r="U271">
        <v>630</v>
      </c>
      <c r="V271" s="7" t="str">
        <f>IF(ISERROR(VLOOKUP(K271,[1]작가별정산률!$R:$S,2,0)),"스토리위즈",VLOOKUP(K271,[1]작가별정산률!$R:$S,2,0))</f>
        <v>스토리위즈</v>
      </c>
      <c r="W271" s="7" t="str">
        <f>IF(V271="스토리위즈",VLOOKUP(K271,[1]작가별정산률!$A:$B,2,0),V271)</f>
        <v>권용찬</v>
      </c>
    </row>
    <row r="272" spans="1:23" x14ac:dyDescent="0.4">
      <c r="A272" t="s">
        <v>262</v>
      </c>
      <c r="B272" t="s">
        <v>481</v>
      </c>
      <c r="C272" t="s">
        <v>537</v>
      </c>
      <c r="D272" t="s">
        <v>64</v>
      </c>
      <c r="E272" t="s">
        <v>22</v>
      </c>
      <c r="F272" t="s">
        <v>23</v>
      </c>
      <c r="G272">
        <v>1</v>
      </c>
      <c r="H272">
        <v>9791166064418</v>
      </c>
      <c r="I272" t="s">
        <v>24</v>
      </c>
      <c r="J272" t="s">
        <v>112</v>
      </c>
      <c r="K272" t="s">
        <v>102</v>
      </c>
      <c r="L272" t="s">
        <v>27</v>
      </c>
      <c r="M272">
        <v>720</v>
      </c>
      <c r="N272" t="s">
        <v>27</v>
      </c>
      <c r="O272">
        <v>720</v>
      </c>
      <c r="P272">
        <v>720</v>
      </c>
      <c r="Q272" t="s">
        <v>30</v>
      </c>
      <c r="R272" s="2">
        <v>0.7</v>
      </c>
      <c r="S272">
        <v>504</v>
      </c>
      <c r="T272" t="s">
        <v>27</v>
      </c>
      <c r="U272">
        <v>504</v>
      </c>
      <c r="V272" s="7" t="str">
        <f>IF(ISERROR(VLOOKUP(K272,[1]작가별정산률!$R:$S,2,0)),"스토리위즈",VLOOKUP(K272,[1]작가별정산률!$R:$S,2,0))</f>
        <v>스토리위즈</v>
      </c>
      <c r="W272" s="7" t="str">
        <f>IF(V272="스토리위즈",VLOOKUP(K272,[1]작가별정산률!$A:$B,2,0),V272)</f>
        <v>예로나</v>
      </c>
    </row>
    <row r="273" spans="1:23" x14ac:dyDescent="0.4">
      <c r="A273" t="s">
        <v>262</v>
      </c>
      <c r="B273" t="s">
        <v>481</v>
      </c>
      <c r="C273" t="s">
        <v>538</v>
      </c>
      <c r="D273" t="s">
        <v>64</v>
      </c>
      <c r="E273" t="s">
        <v>22</v>
      </c>
      <c r="F273" t="s">
        <v>23</v>
      </c>
      <c r="G273">
        <v>1</v>
      </c>
      <c r="H273">
        <v>9791166064067</v>
      </c>
      <c r="I273" t="s">
        <v>24</v>
      </c>
      <c r="J273" t="s">
        <v>81</v>
      </c>
      <c r="K273" t="s">
        <v>37</v>
      </c>
      <c r="L273" t="s">
        <v>27</v>
      </c>
      <c r="M273">
        <v>900</v>
      </c>
      <c r="N273" t="s">
        <v>27</v>
      </c>
      <c r="O273">
        <v>900</v>
      </c>
      <c r="P273">
        <v>900</v>
      </c>
      <c r="Q273" t="s">
        <v>30</v>
      </c>
      <c r="R273" s="2">
        <v>0.7</v>
      </c>
      <c r="S273">
        <v>630</v>
      </c>
      <c r="T273" t="s">
        <v>27</v>
      </c>
      <c r="U273">
        <v>630</v>
      </c>
      <c r="V273" s="7" t="str">
        <f>IF(ISERROR(VLOOKUP(K273,[1]작가별정산률!$R:$S,2,0)),"스토리위즈",VLOOKUP(K273,[1]작가별정산률!$R:$S,2,0))</f>
        <v>스토리위즈</v>
      </c>
      <c r="W273" s="7" t="str">
        <f>IF(V273="스토리위즈",VLOOKUP(K273,[1]작가별정산률!$A:$B,2,0),V273)</f>
        <v>권용찬</v>
      </c>
    </row>
    <row r="274" spans="1:23" x14ac:dyDescent="0.4">
      <c r="A274" t="s">
        <v>262</v>
      </c>
      <c r="B274" t="s">
        <v>481</v>
      </c>
      <c r="C274" t="s">
        <v>539</v>
      </c>
      <c r="D274" t="s">
        <v>64</v>
      </c>
      <c r="E274" t="s">
        <v>22</v>
      </c>
      <c r="F274" t="s">
        <v>23</v>
      </c>
      <c r="G274">
        <v>1</v>
      </c>
      <c r="H274">
        <v>9791166300165</v>
      </c>
      <c r="I274" t="s">
        <v>24</v>
      </c>
      <c r="J274" t="s">
        <v>126</v>
      </c>
      <c r="K274" t="s">
        <v>119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  <c r="V274" s="7" t="str">
        <f>IF(ISERROR(VLOOKUP(K274,[1]작가별정산률!$R:$S,2,0)),"스토리위즈",VLOOKUP(K274,[1]작가별정산률!$R:$S,2,0))</f>
        <v>스토리위즈</v>
      </c>
      <c r="W274" s="7" t="str">
        <f>IF(V274="스토리위즈",VLOOKUP(K274,[1]작가별정산률!$A:$B,2,0),V274)</f>
        <v>김광수</v>
      </c>
    </row>
    <row r="275" spans="1:23" x14ac:dyDescent="0.4">
      <c r="A275" t="s">
        <v>262</v>
      </c>
      <c r="B275" t="s">
        <v>481</v>
      </c>
      <c r="C275" t="s">
        <v>540</v>
      </c>
      <c r="D275" t="s">
        <v>21</v>
      </c>
      <c r="E275" t="s">
        <v>22</v>
      </c>
      <c r="F275" t="s">
        <v>23</v>
      </c>
      <c r="G275">
        <v>1</v>
      </c>
      <c r="H275">
        <v>9791191562286</v>
      </c>
      <c r="I275" t="s">
        <v>143</v>
      </c>
      <c r="J275" t="s">
        <v>238</v>
      </c>
      <c r="K275" t="s">
        <v>239</v>
      </c>
      <c r="L275" t="s">
        <v>27</v>
      </c>
      <c r="M275" s="3">
        <v>2000</v>
      </c>
      <c r="N275" t="s">
        <v>27</v>
      </c>
      <c r="O275" s="3">
        <v>2000</v>
      </c>
      <c r="P275" s="3">
        <v>2000</v>
      </c>
      <c r="Q275" t="s">
        <v>30</v>
      </c>
      <c r="R275" s="2">
        <v>0.7</v>
      </c>
      <c r="S275" s="3">
        <v>1400</v>
      </c>
      <c r="T275" t="s">
        <v>27</v>
      </c>
      <c r="U275" s="3">
        <v>1400</v>
      </c>
      <c r="V275" s="7" t="str">
        <f>IF(ISERROR(VLOOKUP(K275,[1]작가별정산률!$R:$S,2,0)),"스토리위즈",VLOOKUP(K275,[1]작가별정산률!$R:$S,2,0))</f>
        <v>밀리의 서재</v>
      </c>
      <c r="W275" s="7" t="str">
        <f>IF(V275="스토리위즈",VLOOKUP(K275,[1]작가별정산률!$A:$B,2,0),V275)</f>
        <v>밀리의 서재</v>
      </c>
    </row>
    <row r="276" spans="1:23" x14ac:dyDescent="0.4">
      <c r="A276" t="s">
        <v>262</v>
      </c>
      <c r="B276" t="s">
        <v>481</v>
      </c>
      <c r="C276" t="s">
        <v>541</v>
      </c>
      <c r="D276" t="s">
        <v>64</v>
      </c>
      <c r="E276" t="s">
        <v>22</v>
      </c>
      <c r="F276" t="s">
        <v>23</v>
      </c>
      <c r="G276">
        <v>1</v>
      </c>
      <c r="H276">
        <v>9791166300516</v>
      </c>
      <c r="I276" t="s">
        <v>24</v>
      </c>
      <c r="J276" t="s">
        <v>149</v>
      </c>
      <c r="K276" t="s">
        <v>119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  <c r="V276" s="7" t="str">
        <f>IF(ISERROR(VLOOKUP(K276,[1]작가별정산률!$R:$S,2,0)),"스토리위즈",VLOOKUP(K276,[1]작가별정산률!$R:$S,2,0))</f>
        <v>스토리위즈</v>
      </c>
      <c r="W276" s="7" t="str">
        <f>IF(V276="스토리위즈",VLOOKUP(K276,[1]작가별정산률!$A:$B,2,0),V276)</f>
        <v>김광수</v>
      </c>
    </row>
    <row r="277" spans="1:23" x14ac:dyDescent="0.4">
      <c r="A277" t="s">
        <v>262</v>
      </c>
      <c r="B277" t="s">
        <v>481</v>
      </c>
      <c r="C277" t="s">
        <v>542</v>
      </c>
      <c r="D277" t="s">
        <v>64</v>
      </c>
      <c r="E277" t="s">
        <v>22</v>
      </c>
      <c r="F277" t="s">
        <v>23</v>
      </c>
      <c r="G277">
        <v>1</v>
      </c>
      <c r="H277">
        <v>9791166064104</v>
      </c>
      <c r="I277" t="s">
        <v>24</v>
      </c>
      <c r="J277" t="s">
        <v>93</v>
      </c>
      <c r="K277" t="s">
        <v>37</v>
      </c>
      <c r="L277" t="s">
        <v>27</v>
      </c>
      <c r="M277">
        <v>900</v>
      </c>
      <c r="N277" t="s">
        <v>27</v>
      </c>
      <c r="O277">
        <v>900</v>
      </c>
      <c r="P277">
        <v>900</v>
      </c>
      <c r="Q277" t="s">
        <v>30</v>
      </c>
      <c r="R277" s="2">
        <v>0.7</v>
      </c>
      <c r="S277">
        <v>630</v>
      </c>
      <c r="T277" t="s">
        <v>27</v>
      </c>
      <c r="U277">
        <v>630</v>
      </c>
      <c r="V277" s="7" t="str">
        <f>IF(ISERROR(VLOOKUP(K277,[1]작가별정산률!$R:$S,2,0)),"스토리위즈",VLOOKUP(K277,[1]작가별정산률!$R:$S,2,0))</f>
        <v>스토리위즈</v>
      </c>
      <c r="W277" s="7" t="str">
        <f>IF(V277="스토리위즈",VLOOKUP(K277,[1]작가별정산률!$A:$B,2,0),V277)</f>
        <v>권용찬</v>
      </c>
    </row>
    <row r="278" spans="1:23" x14ac:dyDescent="0.4">
      <c r="A278" t="s">
        <v>262</v>
      </c>
      <c r="B278" t="s">
        <v>481</v>
      </c>
      <c r="C278" t="s">
        <v>543</v>
      </c>
      <c r="D278" t="s">
        <v>64</v>
      </c>
      <c r="E278" t="s">
        <v>22</v>
      </c>
      <c r="F278" t="s">
        <v>23</v>
      </c>
      <c r="G278">
        <v>1</v>
      </c>
      <c r="H278">
        <v>9791166300288</v>
      </c>
      <c r="I278" t="s">
        <v>24</v>
      </c>
      <c r="J278" t="s">
        <v>137</v>
      </c>
      <c r="K278" t="s">
        <v>119</v>
      </c>
      <c r="L278" t="s">
        <v>27</v>
      </c>
      <c r="M278">
        <v>630</v>
      </c>
      <c r="N278" t="s">
        <v>27</v>
      </c>
      <c r="O278">
        <v>630</v>
      </c>
      <c r="P278">
        <v>630</v>
      </c>
      <c r="Q278" t="s">
        <v>30</v>
      </c>
      <c r="R278" s="2">
        <v>0.7</v>
      </c>
      <c r="S278">
        <v>441</v>
      </c>
      <c r="T278" t="s">
        <v>27</v>
      </c>
      <c r="U278">
        <v>441</v>
      </c>
      <c r="V278" s="7" t="str">
        <f>IF(ISERROR(VLOOKUP(K278,[1]작가별정산률!$R:$S,2,0)),"스토리위즈",VLOOKUP(K278,[1]작가별정산률!$R:$S,2,0))</f>
        <v>스토리위즈</v>
      </c>
      <c r="W278" s="7" t="str">
        <f>IF(V278="스토리위즈",VLOOKUP(K278,[1]작가별정산률!$A:$B,2,0),V278)</f>
        <v>김광수</v>
      </c>
    </row>
    <row r="279" spans="1:23" x14ac:dyDescent="0.4">
      <c r="A279" t="s">
        <v>262</v>
      </c>
      <c r="B279" t="s">
        <v>481</v>
      </c>
      <c r="C279" t="s">
        <v>544</v>
      </c>
      <c r="D279" t="s">
        <v>21</v>
      </c>
      <c r="E279" t="s">
        <v>22</v>
      </c>
      <c r="F279" t="s">
        <v>23</v>
      </c>
      <c r="G279">
        <v>1</v>
      </c>
      <c r="H279">
        <v>9791166300196</v>
      </c>
      <c r="I279" t="s">
        <v>24</v>
      </c>
      <c r="J279" t="s">
        <v>128</v>
      </c>
      <c r="K279" t="s">
        <v>119</v>
      </c>
      <c r="L279" t="s">
        <v>27</v>
      </c>
      <c r="M279" s="3">
        <v>3200</v>
      </c>
      <c r="N279" t="s">
        <v>27</v>
      </c>
      <c r="O279" s="3">
        <v>3200</v>
      </c>
      <c r="P279" s="3">
        <v>3200</v>
      </c>
      <c r="Q279" t="s">
        <v>30</v>
      </c>
      <c r="R279" s="2">
        <v>0.7</v>
      </c>
      <c r="S279" s="3">
        <v>2240</v>
      </c>
      <c r="T279" t="s">
        <v>27</v>
      </c>
      <c r="U279" s="3">
        <v>2240</v>
      </c>
      <c r="V279" s="7" t="str">
        <f>IF(ISERROR(VLOOKUP(K279,[1]작가별정산률!$R:$S,2,0)),"스토리위즈",VLOOKUP(K279,[1]작가별정산률!$R:$S,2,0))</f>
        <v>스토리위즈</v>
      </c>
      <c r="W279" s="7" t="str">
        <f>IF(V279="스토리위즈",VLOOKUP(K279,[1]작가별정산률!$A:$B,2,0),V279)</f>
        <v>김광수</v>
      </c>
    </row>
    <row r="280" spans="1:23" x14ac:dyDescent="0.4">
      <c r="A280" t="s">
        <v>262</v>
      </c>
      <c r="B280" t="s">
        <v>481</v>
      </c>
      <c r="C280" t="s">
        <v>545</v>
      </c>
      <c r="D280" t="s">
        <v>64</v>
      </c>
      <c r="E280" t="s">
        <v>22</v>
      </c>
      <c r="F280" t="s">
        <v>23</v>
      </c>
      <c r="G280">
        <v>1</v>
      </c>
      <c r="H280">
        <v>9791166300646</v>
      </c>
      <c r="I280" t="s">
        <v>24</v>
      </c>
      <c r="J280" t="s">
        <v>155</v>
      </c>
      <c r="K280" t="s">
        <v>119</v>
      </c>
      <c r="L280" t="s">
        <v>27</v>
      </c>
      <c r="M280">
        <v>630</v>
      </c>
      <c r="N280" t="s">
        <v>27</v>
      </c>
      <c r="O280">
        <v>630</v>
      </c>
      <c r="P280">
        <v>630</v>
      </c>
      <c r="Q280" t="s">
        <v>30</v>
      </c>
      <c r="R280" s="2">
        <v>0.7</v>
      </c>
      <c r="S280">
        <v>441</v>
      </c>
      <c r="T280" t="s">
        <v>27</v>
      </c>
      <c r="U280">
        <v>441</v>
      </c>
      <c r="V280" s="7" t="str">
        <f>IF(ISERROR(VLOOKUP(K280,[1]작가별정산률!$R:$S,2,0)),"스토리위즈",VLOOKUP(K280,[1]작가별정산률!$R:$S,2,0))</f>
        <v>스토리위즈</v>
      </c>
      <c r="W280" s="7" t="str">
        <f>IF(V280="스토리위즈",VLOOKUP(K280,[1]작가별정산률!$A:$B,2,0),V280)</f>
        <v>김광수</v>
      </c>
    </row>
    <row r="281" spans="1:23" x14ac:dyDescent="0.4">
      <c r="A281" t="s">
        <v>262</v>
      </c>
      <c r="B281" t="s">
        <v>481</v>
      </c>
      <c r="C281" t="s">
        <v>546</v>
      </c>
      <c r="D281" t="s">
        <v>64</v>
      </c>
      <c r="E281" t="s">
        <v>22</v>
      </c>
      <c r="F281" t="s">
        <v>23</v>
      </c>
      <c r="G281">
        <v>1</v>
      </c>
      <c r="H281">
        <v>9791166300158</v>
      </c>
      <c r="I281" t="s">
        <v>24</v>
      </c>
      <c r="J281" t="s">
        <v>125</v>
      </c>
      <c r="K281" t="s">
        <v>119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  <c r="V281" s="7" t="str">
        <f>IF(ISERROR(VLOOKUP(K281,[1]작가별정산률!$R:$S,2,0)),"스토리위즈",VLOOKUP(K281,[1]작가별정산률!$R:$S,2,0))</f>
        <v>스토리위즈</v>
      </c>
      <c r="W281" s="7" t="str">
        <f>IF(V281="스토리위즈",VLOOKUP(K281,[1]작가별정산률!$A:$B,2,0),V281)</f>
        <v>김광수</v>
      </c>
    </row>
    <row r="282" spans="1:23" x14ac:dyDescent="0.4">
      <c r="A282" t="s">
        <v>262</v>
      </c>
      <c r="B282" t="s">
        <v>481</v>
      </c>
      <c r="C282" t="s">
        <v>547</v>
      </c>
      <c r="D282" t="s">
        <v>64</v>
      </c>
      <c r="E282" t="s">
        <v>22</v>
      </c>
      <c r="F282" t="s">
        <v>23</v>
      </c>
      <c r="G282">
        <v>1</v>
      </c>
      <c r="H282">
        <v>9791166300523</v>
      </c>
      <c r="I282" t="s">
        <v>24</v>
      </c>
      <c r="J282" t="s">
        <v>150</v>
      </c>
      <c r="K282" t="s">
        <v>119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2">
        <v>0.7</v>
      </c>
      <c r="S282">
        <v>441</v>
      </c>
      <c r="T282" t="s">
        <v>27</v>
      </c>
      <c r="U282">
        <v>441</v>
      </c>
      <c r="V282" s="7" t="str">
        <f>IF(ISERROR(VLOOKUP(K282,[1]작가별정산률!$R:$S,2,0)),"스토리위즈",VLOOKUP(K282,[1]작가별정산률!$R:$S,2,0))</f>
        <v>스토리위즈</v>
      </c>
      <c r="W282" s="7" t="str">
        <f>IF(V282="스토리위즈",VLOOKUP(K282,[1]작가별정산률!$A:$B,2,0),V282)</f>
        <v>김광수</v>
      </c>
    </row>
    <row r="283" spans="1:23" x14ac:dyDescent="0.4">
      <c r="A283" t="s">
        <v>262</v>
      </c>
      <c r="B283" t="s">
        <v>481</v>
      </c>
      <c r="C283" t="s">
        <v>548</v>
      </c>
      <c r="D283" t="s">
        <v>64</v>
      </c>
      <c r="E283" t="s">
        <v>22</v>
      </c>
      <c r="F283" t="s">
        <v>23</v>
      </c>
      <c r="G283">
        <v>1</v>
      </c>
      <c r="H283">
        <v>9791166300257</v>
      </c>
      <c r="I283" t="s">
        <v>24</v>
      </c>
      <c r="J283" t="s">
        <v>134</v>
      </c>
      <c r="K283" t="s">
        <v>119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  <c r="V283" s="7" t="str">
        <f>IF(ISERROR(VLOOKUP(K283,[1]작가별정산률!$R:$S,2,0)),"스토리위즈",VLOOKUP(K283,[1]작가별정산률!$R:$S,2,0))</f>
        <v>스토리위즈</v>
      </c>
      <c r="W283" s="7" t="str">
        <f>IF(V283="스토리위즈",VLOOKUP(K283,[1]작가별정산률!$A:$B,2,0),V283)</f>
        <v>김광수</v>
      </c>
    </row>
    <row r="284" spans="1:23" x14ac:dyDescent="0.4">
      <c r="A284" t="s">
        <v>262</v>
      </c>
      <c r="B284" t="s">
        <v>481</v>
      </c>
      <c r="C284" t="s">
        <v>549</v>
      </c>
      <c r="D284" t="s">
        <v>64</v>
      </c>
      <c r="E284" t="s">
        <v>22</v>
      </c>
      <c r="F284" t="s">
        <v>23</v>
      </c>
      <c r="G284">
        <v>1</v>
      </c>
      <c r="H284">
        <v>9791166300592</v>
      </c>
      <c r="I284" t="s">
        <v>24</v>
      </c>
      <c r="J284" t="s">
        <v>161</v>
      </c>
      <c r="K284" t="s">
        <v>119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2">
        <v>0.7</v>
      </c>
      <c r="S284">
        <v>441</v>
      </c>
      <c r="T284" t="s">
        <v>27</v>
      </c>
      <c r="U284">
        <v>441</v>
      </c>
      <c r="V284" s="7" t="str">
        <f>IF(ISERROR(VLOOKUP(K284,[1]작가별정산률!$R:$S,2,0)),"스토리위즈",VLOOKUP(K284,[1]작가별정산률!$R:$S,2,0))</f>
        <v>스토리위즈</v>
      </c>
      <c r="W284" s="7" t="str">
        <f>IF(V284="스토리위즈",VLOOKUP(K284,[1]작가별정산률!$A:$B,2,0),V284)</f>
        <v>김광수</v>
      </c>
    </row>
    <row r="285" spans="1:23" x14ac:dyDescent="0.4">
      <c r="A285" t="s">
        <v>262</v>
      </c>
      <c r="B285" t="s">
        <v>481</v>
      </c>
      <c r="C285" t="s">
        <v>550</v>
      </c>
      <c r="D285" t="s">
        <v>64</v>
      </c>
      <c r="E285" t="s">
        <v>22</v>
      </c>
      <c r="F285" t="s">
        <v>23</v>
      </c>
      <c r="G285">
        <v>1</v>
      </c>
      <c r="H285">
        <v>9791166300653</v>
      </c>
      <c r="I285" t="s">
        <v>24</v>
      </c>
      <c r="J285" t="s">
        <v>157</v>
      </c>
      <c r="K285" t="s">
        <v>119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  <c r="V285" s="7" t="str">
        <f>IF(ISERROR(VLOOKUP(K285,[1]작가별정산률!$R:$S,2,0)),"스토리위즈",VLOOKUP(K285,[1]작가별정산률!$R:$S,2,0))</f>
        <v>스토리위즈</v>
      </c>
      <c r="W285" s="7" t="str">
        <f>IF(V285="스토리위즈",VLOOKUP(K285,[1]작가별정산률!$A:$B,2,0),V285)</f>
        <v>김광수</v>
      </c>
    </row>
    <row r="286" spans="1:23" x14ac:dyDescent="0.4">
      <c r="A286" t="s">
        <v>262</v>
      </c>
      <c r="B286" t="s">
        <v>481</v>
      </c>
      <c r="C286" t="s">
        <v>551</v>
      </c>
      <c r="D286" t="s">
        <v>64</v>
      </c>
      <c r="E286" t="s">
        <v>22</v>
      </c>
      <c r="F286" t="s">
        <v>23</v>
      </c>
      <c r="G286">
        <v>1</v>
      </c>
      <c r="H286">
        <v>9791166300295</v>
      </c>
      <c r="I286" t="s">
        <v>24</v>
      </c>
      <c r="J286" t="s">
        <v>138</v>
      </c>
      <c r="K286" t="s">
        <v>119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2">
        <v>0.7</v>
      </c>
      <c r="S286">
        <v>441</v>
      </c>
      <c r="T286" t="s">
        <v>27</v>
      </c>
      <c r="U286">
        <v>441</v>
      </c>
      <c r="V286" s="7" t="str">
        <f>IF(ISERROR(VLOOKUP(K286,[1]작가별정산률!$R:$S,2,0)),"스토리위즈",VLOOKUP(K286,[1]작가별정산률!$R:$S,2,0))</f>
        <v>스토리위즈</v>
      </c>
      <c r="W286" s="7" t="str">
        <f>IF(V286="스토리위즈",VLOOKUP(K286,[1]작가별정산률!$A:$B,2,0),V286)</f>
        <v>김광수</v>
      </c>
    </row>
    <row r="287" spans="1:23" x14ac:dyDescent="0.4">
      <c r="A287" t="s">
        <v>262</v>
      </c>
      <c r="B287" t="s">
        <v>481</v>
      </c>
      <c r="C287" t="s">
        <v>552</v>
      </c>
      <c r="D287" t="s">
        <v>64</v>
      </c>
      <c r="E287" t="s">
        <v>22</v>
      </c>
      <c r="F287" t="s">
        <v>23</v>
      </c>
      <c r="G287">
        <v>1</v>
      </c>
      <c r="H287">
        <v>9791166064111</v>
      </c>
      <c r="I287" t="s">
        <v>24</v>
      </c>
      <c r="J287" t="s">
        <v>94</v>
      </c>
      <c r="K287" t="s">
        <v>37</v>
      </c>
      <c r="L287" t="s">
        <v>27</v>
      </c>
      <c r="M287">
        <v>900</v>
      </c>
      <c r="N287" t="s">
        <v>27</v>
      </c>
      <c r="O287">
        <v>900</v>
      </c>
      <c r="P287">
        <v>900</v>
      </c>
      <c r="Q287" t="s">
        <v>30</v>
      </c>
      <c r="R287" s="2">
        <v>0.7</v>
      </c>
      <c r="S287">
        <v>630</v>
      </c>
      <c r="T287" t="s">
        <v>27</v>
      </c>
      <c r="U287">
        <v>630</v>
      </c>
      <c r="V287" s="7" t="str">
        <f>IF(ISERROR(VLOOKUP(K287,[1]작가별정산률!$R:$S,2,0)),"스토리위즈",VLOOKUP(K287,[1]작가별정산률!$R:$S,2,0))</f>
        <v>스토리위즈</v>
      </c>
      <c r="W287" s="7" t="str">
        <f>IF(V287="스토리위즈",VLOOKUP(K287,[1]작가별정산률!$A:$B,2,0),V287)</f>
        <v>권용찬</v>
      </c>
    </row>
    <row r="288" spans="1:23" x14ac:dyDescent="0.4">
      <c r="A288" t="s">
        <v>262</v>
      </c>
      <c r="B288" t="s">
        <v>481</v>
      </c>
      <c r="C288" t="s">
        <v>553</v>
      </c>
      <c r="D288" t="s">
        <v>64</v>
      </c>
      <c r="E288" t="s">
        <v>22</v>
      </c>
      <c r="F288" t="s">
        <v>23</v>
      </c>
      <c r="G288">
        <v>1</v>
      </c>
      <c r="H288">
        <v>9791166300127</v>
      </c>
      <c r="I288" t="s">
        <v>24</v>
      </c>
      <c r="J288" t="s">
        <v>122</v>
      </c>
      <c r="K288" t="s">
        <v>119</v>
      </c>
      <c r="L288" t="s">
        <v>27</v>
      </c>
      <c r="M288">
        <v>630</v>
      </c>
      <c r="N288" t="s">
        <v>27</v>
      </c>
      <c r="O288">
        <v>630</v>
      </c>
      <c r="P288">
        <v>630</v>
      </c>
      <c r="Q288" t="s">
        <v>30</v>
      </c>
      <c r="R288" s="2">
        <v>0.7</v>
      </c>
      <c r="S288">
        <v>441</v>
      </c>
      <c r="T288" t="s">
        <v>27</v>
      </c>
      <c r="U288">
        <v>441</v>
      </c>
      <c r="V288" s="7" t="str">
        <f>IF(ISERROR(VLOOKUP(K288,[1]작가별정산률!$R:$S,2,0)),"스토리위즈",VLOOKUP(K288,[1]작가별정산률!$R:$S,2,0))</f>
        <v>스토리위즈</v>
      </c>
      <c r="W288" s="7" t="str">
        <f>IF(V288="스토리위즈",VLOOKUP(K288,[1]작가별정산률!$A:$B,2,0),V288)</f>
        <v>김광수</v>
      </c>
    </row>
    <row r="289" spans="1:23" x14ac:dyDescent="0.4">
      <c r="A289" t="s">
        <v>262</v>
      </c>
      <c r="B289" t="s">
        <v>481</v>
      </c>
      <c r="C289" t="s">
        <v>554</v>
      </c>
      <c r="D289" t="s">
        <v>64</v>
      </c>
      <c r="E289" t="s">
        <v>22</v>
      </c>
      <c r="F289" t="s">
        <v>23</v>
      </c>
      <c r="G289">
        <v>1</v>
      </c>
      <c r="H289">
        <v>9791166300516</v>
      </c>
      <c r="I289" t="s">
        <v>24</v>
      </c>
      <c r="J289" t="s">
        <v>149</v>
      </c>
      <c r="K289" t="s">
        <v>119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  <c r="V289" s="7" t="str">
        <f>IF(ISERROR(VLOOKUP(K289,[1]작가별정산률!$R:$S,2,0)),"스토리위즈",VLOOKUP(K289,[1]작가별정산률!$R:$S,2,0))</f>
        <v>스토리위즈</v>
      </c>
      <c r="W289" s="7" t="str">
        <f>IF(V289="스토리위즈",VLOOKUP(K289,[1]작가별정산률!$A:$B,2,0),V289)</f>
        <v>김광수</v>
      </c>
    </row>
    <row r="290" spans="1:23" x14ac:dyDescent="0.4">
      <c r="A290" t="s">
        <v>262</v>
      </c>
      <c r="B290" t="s">
        <v>481</v>
      </c>
      <c r="C290" t="s">
        <v>555</v>
      </c>
      <c r="D290" t="s">
        <v>64</v>
      </c>
      <c r="E290" t="s">
        <v>22</v>
      </c>
      <c r="F290" t="s">
        <v>23</v>
      </c>
      <c r="G290">
        <v>1</v>
      </c>
      <c r="H290">
        <v>9791166064074</v>
      </c>
      <c r="I290" t="s">
        <v>24</v>
      </c>
      <c r="J290" t="s">
        <v>90</v>
      </c>
      <c r="K290" t="s">
        <v>37</v>
      </c>
      <c r="L290" t="s">
        <v>27</v>
      </c>
      <c r="M290">
        <v>900</v>
      </c>
      <c r="N290" t="s">
        <v>27</v>
      </c>
      <c r="O290">
        <v>900</v>
      </c>
      <c r="P290">
        <v>900</v>
      </c>
      <c r="Q290" t="s">
        <v>30</v>
      </c>
      <c r="R290" s="2">
        <v>0.7</v>
      </c>
      <c r="S290">
        <v>630</v>
      </c>
      <c r="T290" t="s">
        <v>27</v>
      </c>
      <c r="U290">
        <v>630</v>
      </c>
      <c r="V290" s="7" t="str">
        <f>IF(ISERROR(VLOOKUP(K290,[1]작가별정산률!$R:$S,2,0)),"스토리위즈",VLOOKUP(K290,[1]작가별정산률!$R:$S,2,0))</f>
        <v>스토리위즈</v>
      </c>
      <c r="W290" s="7" t="str">
        <f>IF(V290="스토리위즈",VLOOKUP(K290,[1]작가별정산률!$A:$B,2,0),V290)</f>
        <v>권용찬</v>
      </c>
    </row>
    <row r="291" spans="1:23" x14ac:dyDescent="0.4">
      <c r="A291" t="s">
        <v>262</v>
      </c>
      <c r="B291" t="s">
        <v>481</v>
      </c>
      <c r="C291" t="s">
        <v>556</v>
      </c>
      <c r="D291" t="s">
        <v>64</v>
      </c>
      <c r="E291" t="s">
        <v>22</v>
      </c>
      <c r="F291" t="s">
        <v>23</v>
      </c>
      <c r="G291">
        <v>1</v>
      </c>
      <c r="H291">
        <v>9791166300530</v>
      </c>
      <c r="I291" t="s">
        <v>24</v>
      </c>
      <c r="J291" t="s">
        <v>151</v>
      </c>
      <c r="K291" t="s">
        <v>119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  <c r="V291" s="7" t="str">
        <f>IF(ISERROR(VLOOKUP(K291,[1]작가별정산률!$R:$S,2,0)),"스토리위즈",VLOOKUP(K291,[1]작가별정산률!$R:$S,2,0))</f>
        <v>스토리위즈</v>
      </c>
      <c r="W291" s="7" t="str">
        <f>IF(V291="스토리위즈",VLOOKUP(K291,[1]작가별정산률!$A:$B,2,0),V291)</f>
        <v>김광수</v>
      </c>
    </row>
    <row r="292" spans="1:23" x14ac:dyDescent="0.4">
      <c r="A292" t="s">
        <v>262</v>
      </c>
      <c r="B292" t="s">
        <v>481</v>
      </c>
      <c r="C292" t="s">
        <v>557</v>
      </c>
      <c r="D292" t="s">
        <v>21</v>
      </c>
      <c r="E292" t="s">
        <v>22</v>
      </c>
      <c r="F292" t="s">
        <v>23</v>
      </c>
      <c r="G292">
        <v>1</v>
      </c>
      <c r="H292">
        <v>9791191562347</v>
      </c>
      <c r="I292" t="s">
        <v>143</v>
      </c>
      <c r="J292" t="s">
        <v>307</v>
      </c>
      <c r="K292" t="s">
        <v>308</v>
      </c>
      <c r="L292" t="s">
        <v>27</v>
      </c>
      <c r="M292" s="3">
        <v>3200</v>
      </c>
      <c r="N292" t="s">
        <v>27</v>
      </c>
      <c r="O292" s="3">
        <v>3200</v>
      </c>
      <c r="P292" s="3">
        <v>3200</v>
      </c>
      <c r="Q292" t="s">
        <v>30</v>
      </c>
      <c r="R292" s="2">
        <v>0.7</v>
      </c>
      <c r="S292" s="3">
        <v>2240</v>
      </c>
      <c r="T292" t="s">
        <v>27</v>
      </c>
      <c r="U292" s="3">
        <v>2240</v>
      </c>
      <c r="V292" s="7" t="str">
        <f>IF(ISERROR(VLOOKUP(K292,[1]작가별정산률!$R:$S,2,0)),"스토리위즈",VLOOKUP(K292,[1]작가별정산률!$R:$S,2,0))</f>
        <v>밀리의 서재</v>
      </c>
      <c r="W292" s="7" t="str">
        <f>IF(V292="스토리위즈",VLOOKUP(K292,[1]작가별정산률!$A:$B,2,0),V292)</f>
        <v>밀리의 서재</v>
      </c>
    </row>
    <row r="293" spans="1:23" x14ac:dyDescent="0.4">
      <c r="A293" t="s">
        <v>262</v>
      </c>
      <c r="B293" t="s">
        <v>481</v>
      </c>
      <c r="C293" t="s">
        <v>558</v>
      </c>
      <c r="D293" t="s">
        <v>64</v>
      </c>
      <c r="E293" t="s">
        <v>22</v>
      </c>
      <c r="F293" t="s">
        <v>23</v>
      </c>
      <c r="G293">
        <v>1</v>
      </c>
      <c r="H293">
        <v>9791166300608</v>
      </c>
      <c r="I293" t="s">
        <v>24</v>
      </c>
      <c r="J293" t="s">
        <v>162</v>
      </c>
      <c r="K293" t="s">
        <v>119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2">
        <v>0.7</v>
      </c>
      <c r="S293">
        <v>441</v>
      </c>
      <c r="T293" t="s">
        <v>27</v>
      </c>
      <c r="U293">
        <v>441</v>
      </c>
      <c r="V293" s="7" t="str">
        <f>IF(ISERROR(VLOOKUP(K293,[1]작가별정산률!$R:$S,2,0)),"스토리위즈",VLOOKUP(K293,[1]작가별정산률!$R:$S,2,0))</f>
        <v>스토리위즈</v>
      </c>
      <c r="W293" s="7" t="str">
        <f>IF(V293="스토리위즈",VLOOKUP(K293,[1]작가별정산률!$A:$B,2,0),V293)</f>
        <v>김광수</v>
      </c>
    </row>
    <row r="294" spans="1:23" x14ac:dyDescent="0.4">
      <c r="A294" t="s">
        <v>262</v>
      </c>
      <c r="B294" t="s">
        <v>481</v>
      </c>
      <c r="C294" t="s">
        <v>559</v>
      </c>
      <c r="D294" t="s">
        <v>64</v>
      </c>
      <c r="E294" t="s">
        <v>22</v>
      </c>
      <c r="F294" t="s">
        <v>23</v>
      </c>
      <c r="G294">
        <v>1</v>
      </c>
      <c r="H294">
        <v>9791166300608</v>
      </c>
      <c r="I294" t="s">
        <v>24</v>
      </c>
      <c r="J294" t="s">
        <v>162</v>
      </c>
      <c r="K294" t="s">
        <v>119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  <c r="V294" s="7" t="str">
        <f>IF(ISERROR(VLOOKUP(K294,[1]작가별정산률!$R:$S,2,0)),"스토리위즈",VLOOKUP(K294,[1]작가별정산률!$R:$S,2,0))</f>
        <v>스토리위즈</v>
      </c>
      <c r="W294" s="7" t="str">
        <f>IF(V294="스토리위즈",VLOOKUP(K294,[1]작가별정산률!$A:$B,2,0),V294)</f>
        <v>김광수</v>
      </c>
    </row>
    <row r="295" spans="1:23" x14ac:dyDescent="0.4">
      <c r="A295" t="s">
        <v>262</v>
      </c>
      <c r="B295" t="s">
        <v>481</v>
      </c>
      <c r="C295" t="s">
        <v>560</v>
      </c>
      <c r="D295" t="s">
        <v>64</v>
      </c>
      <c r="E295" t="s">
        <v>22</v>
      </c>
      <c r="F295" t="s">
        <v>23</v>
      </c>
      <c r="G295">
        <v>1</v>
      </c>
      <c r="H295">
        <v>9791166300103</v>
      </c>
      <c r="I295" t="s">
        <v>24</v>
      </c>
      <c r="J295" t="s">
        <v>120</v>
      </c>
      <c r="K295" t="s">
        <v>119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  <c r="V295" s="7" t="str">
        <f>IF(ISERROR(VLOOKUP(K295,[1]작가별정산률!$R:$S,2,0)),"스토리위즈",VLOOKUP(K295,[1]작가별정산률!$R:$S,2,0))</f>
        <v>스토리위즈</v>
      </c>
      <c r="W295" s="7" t="str">
        <f>IF(V295="스토리위즈",VLOOKUP(K295,[1]작가별정산률!$A:$B,2,0),V295)</f>
        <v>김광수</v>
      </c>
    </row>
    <row r="296" spans="1:23" x14ac:dyDescent="0.4">
      <c r="A296" t="s">
        <v>262</v>
      </c>
      <c r="B296" t="s">
        <v>481</v>
      </c>
      <c r="C296" t="s">
        <v>561</v>
      </c>
      <c r="D296" t="s">
        <v>64</v>
      </c>
      <c r="E296" t="s">
        <v>22</v>
      </c>
      <c r="F296" t="s">
        <v>23</v>
      </c>
      <c r="G296">
        <v>1</v>
      </c>
      <c r="H296">
        <v>9791166300172</v>
      </c>
      <c r="I296" t="s">
        <v>24</v>
      </c>
      <c r="J296" t="s">
        <v>127</v>
      </c>
      <c r="K296" t="s">
        <v>119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  <c r="V296" s="7" t="str">
        <f>IF(ISERROR(VLOOKUP(K296,[1]작가별정산률!$R:$S,2,0)),"스토리위즈",VLOOKUP(K296,[1]작가별정산률!$R:$S,2,0))</f>
        <v>스토리위즈</v>
      </c>
      <c r="W296" s="7" t="str">
        <f>IF(V296="스토리위즈",VLOOKUP(K296,[1]작가별정산률!$A:$B,2,0),V296)</f>
        <v>김광수</v>
      </c>
    </row>
    <row r="297" spans="1:23" x14ac:dyDescent="0.4">
      <c r="A297" t="s">
        <v>262</v>
      </c>
      <c r="B297" t="s">
        <v>481</v>
      </c>
      <c r="C297" t="s">
        <v>562</v>
      </c>
      <c r="D297" t="s">
        <v>21</v>
      </c>
      <c r="E297" t="s">
        <v>22</v>
      </c>
      <c r="F297" t="s">
        <v>23</v>
      </c>
      <c r="G297">
        <v>1</v>
      </c>
      <c r="H297">
        <v>9791189084813</v>
      </c>
      <c r="I297" t="s">
        <v>143</v>
      </c>
      <c r="J297" t="s">
        <v>563</v>
      </c>
      <c r="K297" t="s">
        <v>564</v>
      </c>
      <c r="L297" t="s">
        <v>27</v>
      </c>
      <c r="M297" s="3">
        <v>4000</v>
      </c>
      <c r="N297" t="s">
        <v>27</v>
      </c>
      <c r="O297" s="3">
        <v>4000</v>
      </c>
      <c r="P297" s="3">
        <v>4000</v>
      </c>
      <c r="Q297" t="s">
        <v>30</v>
      </c>
      <c r="R297" s="2">
        <v>0.7</v>
      </c>
      <c r="S297" s="3">
        <v>2800</v>
      </c>
      <c r="T297" t="s">
        <v>27</v>
      </c>
      <c r="U297" s="3">
        <v>2800</v>
      </c>
      <c r="V297" s="7" t="str">
        <f>IF(ISERROR(VLOOKUP(K297,[1]작가별정산률!$R:$S,2,0)),"스토리위즈",VLOOKUP(K297,[1]작가별정산률!$R:$S,2,0))</f>
        <v>스토리위즈</v>
      </c>
      <c r="W297" s="7" t="str">
        <f>IF(V297="스토리위즈",VLOOKUP(K297,[1]작가별정산률!$A:$B,2,0),V297)</f>
        <v>셔틀</v>
      </c>
    </row>
    <row r="298" spans="1:23" x14ac:dyDescent="0.4">
      <c r="A298" t="s">
        <v>262</v>
      </c>
      <c r="B298" t="s">
        <v>481</v>
      </c>
      <c r="C298" t="s">
        <v>565</v>
      </c>
      <c r="D298" t="s">
        <v>64</v>
      </c>
      <c r="E298" t="s">
        <v>22</v>
      </c>
      <c r="F298" t="s">
        <v>23</v>
      </c>
      <c r="G298">
        <v>1</v>
      </c>
      <c r="H298">
        <v>9791166300165</v>
      </c>
      <c r="I298" t="s">
        <v>24</v>
      </c>
      <c r="J298" t="s">
        <v>126</v>
      </c>
      <c r="K298" t="s">
        <v>119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2">
        <v>0.7</v>
      </c>
      <c r="S298">
        <v>441</v>
      </c>
      <c r="T298" t="s">
        <v>27</v>
      </c>
      <c r="U298">
        <v>441</v>
      </c>
      <c r="V298" s="7" t="str">
        <f>IF(ISERROR(VLOOKUP(K298,[1]작가별정산률!$R:$S,2,0)),"스토리위즈",VLOOKUP(K298,[1]작가별정산률!$R:$S,2,0))</f>
        <v>스토리위즈</v>
      </c>
      <c r="W298" s="7" t="str">
        <f>IF(V298="스토리위즈",VLOOKUP(K298,[1]작가별정산률!$A:$B,2,0),V298)</f>
        <v>김광수</v>
      </c>
    </row>
    <row r="299" spans="1:23" x14ac:dyDescent="0.4">
      <c r="A299" t="s">
        <v>262</v>
      </c>
      <c r="B299" t="s">
        <v>566</v>
      </c>
      <c r="C299" t="s">
        <v>567</v>
      </c>
      <c r="D299" t="s">
        <v>64</v>
      </c>
      <c r="E299" t="s">
        <v>22</v>
      </c>
      <c r="F299" t="s">
        <v>23</v>
      </c>
      <c r="G299">
        <v>1</v>
      </c>
      <c r="H299">
        <v>9791166064173</v>
      </c>
      <c r="I299" t="s">
        <v>24</v>
      </c>
      <c r="J299" t="s">
        <v>209</v>
      </c>
      <c r="K299" t="s">
        <v>37</v>
      </c>
      <c r="L299" t="s">
        <v>27</v>
      </c>
      <c r="M299">
        <v>900</v>
      </c>
      <c r="N299" t="s">
        <v>27</v>
      </c>
      <c r="O299">
        <v>900</v>
      </c>
      <c r="P299">
        <v>900</v>
      </c>
      <c r="Q299" t="s">
        <v>30</v>
      </c>
      <c r="R299" s="2">
        <v>0.7</v>
      </c>
      <c r="S299">
        <v>630</v>
      </c>
      <c r="T299" t="s">
        <v>27</v>
      </c>
      <c r="U299">
        <v>630</v>
      </c>
      <c r="V299" s="7" t="str">
        <f>IF(ISERROR(VLOOKUP(K299,[1]작가별정산률!$R:$S,2,0)),"스토리위즈",VLOOKUP(K299,[1]작가별정산률!$R:$S,2,0))</f>
        <v>스토리위즈</v>
      </c>
      <c r="W299" s="7" t="str">
        <f>IF(V299="스토리위즈",VLOOKUP(K299,[1]작가별정산률!$A:$B,2,0),V299)</f>
        <v>권용찬</v>
      </c>
    </row>
    <row r="300" spans="1:23" x14ac:dyDescent="0.4">
      <c r="A300" t="s">
        <v>262</v>
      </c>
      <c r="B300" t="s">
        <v>566</v>
      </c>
      <c r="C300" t="s">
        <v>568</v>
      </c>
      <c r="D300" t="s">
        <v>64</v>
      </c>
      <c r="E300" t="s">
        <v>22</v>
      </c>
      <c r="F300" t="s">
        <v>23</v>
      </c>
      <c r="G300">
        <v>1</v>
      </c>
      <c r="H300">
        <v>9791159282904</v>
      </c>
      <c r="I300" t="s">
        <v>24</v>
      </c>
      <c r="J300" t="s">
        <v>38</v>
      </c>
      <c r="K300" t="s">
        <v>26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2">
        <v>0.7</v>
      </c>
      <c r="S300">
        <v>441</v>
      </c>
      <c r="T300" t="s">
        <v>27</v>
      </c>
      <c r="U300">
        <v>441</v>
      </c>
      <c r="V300" s="7" t="str">
        <f>IF(ISERROR(VLOOKUP(K300,[1]작가별정산률!$R:$S,2,0)),"스토리위즈",VLOOKUP(K300,[1]작가별정산률!$R:$S,2,0))</f>
        <v>스토리위즈</v>
      </c>
      <c r="W300" s="7" t="str">
        <f>IF(V300="스토리위즈",VLOOKUP(K300,[1]작가별정산률!$A:$B,2,0),V300)</f>
        <v>독고진</v>
      </c>
    </row>
    <row r="301" spans="1:23" x14ac:dyDescent="0.4">
      <c r="A301" t="s">
        <v>262</v>
      </c>
      <c r="B301" t="s">
        <v>566</v>
      </c>
      <c r="C301" t="s">
        <v>569</v>
      </c>
      <c r="D301" t="s">
        <v>21</v>
      </c>
      <c r="E301" t="s">
        <v>22</v>
      </c>
      <c r="F301" t="s">
        <v>23</v>
      </c>
      <c r="G301">
        <v>1</v>
      </c>
      <c r="H301">
        <v>9791166300202</v>
      </c>
      <c r="I301" t="s">
        <v>24</v>
      </c>
      <c r="J301" t="s">
        <v>129</v>
      </c>
      <c r="K301" t="s">
        <v>119</v>
      </c>
      <c r="L301" t="s">
        <v>27</v>
      </c>
      <c r="M301" s="3">
        <v>3200</v>
      </c>
      <c r="N301" t="s">
        <v>27</v>
      </c>
      <c r="O301" s="3">
        <v>3200</v>
      </c>
      <c r="P301" s="3">
        <v>3200</v>
      </c>
      <c r="Q301" t="s">
        <v>30</v>
      </c>
      <c r="R301" s="2">
        <v>0.7</v>
      </c>
      <c r="S301" s="3">
        <v>2240</v>
      </c>
      <c r="T301" t="s">
        <v>27</v>
      </c>
      <c r="U301" s="3">
        <v>2240</v>
      </c>
      <c r="V301" s="7" t="str">
        <f>IF(ISERROR(VLOOKUP(K301,[1]작가별정산률!$R:$S,2,0)),"스토리위즈",VLOOKUP(K301,[1]작가별정산률!$R:$S,2,0))</f>
        <v>스토리위즈</v>
      </c>
      <c r="W301" s="7" t="str">
        <f>IF(V301="스토리위즈",VLOOKUP(K301,[1]작가별정산률!$A:$B,2,0),V301)</f>
        <v>김광수</v>
      </c>
    </row>
    <row r="302" spans="1:23" x14ac:dyDescent="0.4">
      <c r="A302" t="s">
        <v>262</v>
      </c>
      <c r="B302" t="s">
        <v>566</v>
      </c>
      <c r="C302" t="s">
        <v>570</v>
      </c>
      <c r="D302" t="s">
        <v>64</v>
      </c>
      <c r="E302" t="s">
        <v>22</v>
      </c>
      <c r="F302" t="s">
        <v>23</v>
      </c>
      <c r="G302">
        <v>1</v>
      </c>
      <c r="H302">
        <v>9791166064067</v>
      </c>
      <c r="I302" t="s">
        <v>24</v>
      </c>
      <c r="J302" t="s">
        <v>81</v>
      </c>
      <c r="K302" t="s">
        <v>37</v>
      </c>
      <c r="L302" t="s">
        <v>27</v>
      </c>
      <c r="M302">
        <v>900</v>
      </c>
      <c r="N302" t="s">
        <v>27</v>
      </c>
      <c r="O302">
        <v>900</v>
      </c>
      <c r="P302">
        <v>900</v>
      </c>
      <c r="Q302" t="s">
        <v>30</v>
      </c>
      <c r="R302" s="2">
        <v>0.7</v>
      </c>
      <c r="S302">
        <v>630</v>
      </c>
      <c r="T302" t="s">
        <v>27</v>
      </c>
      <c r="U302">
        <v>630</v>
      </c>
      <c r="V302" s="7" t="str">
        <f>IF(ISERROR(VLOOKUP(K302,[1]작가별정산률!$R:$S,2,0)),"스토리위즈",VLOOKUP(K302,[1]작가별정산률!$R:$S,2,0))</f>
        <v>스토리위즈</v>
      </c>
      <c r="W302" s="7" t="str">
        <f>IF(V302="스토리위즈",VLOOKUP(K302,[1]작가별정산률!$A:$B,2,0),V302)</f>
        <v>권용찬</v>
      </c>
    </row>
    <row r="303" spans="1:23" x14ac:dyDescent="0.4">
      <c r="A303" t="s">
        <v>262</v>
      </c>
      <c r="B303" t="s">
        <v>566</v>
      </c>
      <c r="C303" t="s">
        <v>571</v>
      </c>
      <c r="D303" t="s">
        <v>64</v>
      </c>
      <c r="E303" t="s">
        <v>22</v>
      </c>
      <c r="F303" t="s">
        <v>23</v>
      </c>
      <c r="G303">
        <v>1</v>
      </c>
      <c r="H303">
        <v>9791166300608</v>
      </c>
      <c r="I303" t="s">
        <v>24</v>
      </c>
      <c r="J303" t="s">
        <v>162</v>
      </c>
      <c r="K303" t="s">
        <v>119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440</v>
      </c>
      <c r="V303" s="7" t="str">
        <f>IF(ISERROR(VLOOKUP(K303,[1]작가별정산률!$R:$S,2,0)),"스토리위즈",VLOOKUP(K303,[1]작가별정산률!$R:$S,2,0))</f>
        <v>스토리위즈</v>
      </c>
      <c r="W303" s="7" t="str">
        <f>IF(V303="스토리위즈",VLOOKUP(K303,[1]작가별정산률!$A:$B,2,0),V303)</f>
        <v>김광수</v>
      </c>
    </row>
    <row r="304" spans="1:23" x14ac:dyDescent="0.4">
      <c r="A304" t="s">
        <v>262</v>
      </c>
      <c r="B304" t="s">
        <v>566</v>
      </c>
      <c r="C304" t="s">
        <v>572</v>
      </c>
      <c r="D304" t="s">
        <v>64</v>
      </c>
      <c r="E304" t="s">
        <v>22</v>
      </c>
      <c r="F304" t="s">
        <v>23</v>
      </c>
      <c r="G304">
        <v>1</v>
      </c>
      <c r="H304">
        <v>9791166064050</v>
      </c>
      <c r="I304" t="s">
        <v>24</v>
      </c>
      <c r="J304" t="s">
        <v>79</v>
      </c>
      <c r="K304" t="s">
        <v>37</v>
      </c>
      <c r="L304" t="s">
        <v>27</v>
      </c>
      <c r="M304">
        <v>900</v>
      </c>
      <c r="N304" t="s">
        <v>27</v>
      </c>
      <c r="O304">
        <v>900</v>
      </c>
      <c r="P304">
        <v>900</v>
      </c>
      <c r="Q304" t="s">
        <v>30</v>
      </c>
      <c r="R304" s="2">
        <v>0.7</v>
      </c>
      <c r="S304">
        <v>630</v>
      </c>
      <c r="T304" t="s">
        <v>27</v>
      </c>
      <c r="U304">
        <v>630</v>
      </c>
      <c r="V304" s="7" t="str">
        <f>IF(ISERROR(VLOOKUP(K304,[1]작가별정산률!$R:$S,2,0)),"스토리위즈",VLOOKUP(K304,[1]작가별정산률!$R:$S,2,0))</f>
        <v>스토리위즈</v>
      </c>
      <c r="W304" s="7" t="str">
        <f>IF(V304="스토리위즈",VLOOKUP(K304,[1]작가별정산률!$A:$B,2,0),V304)</f>
        <v>권용찬</v>
      </c>
    </row>
    <row r="305" spans="1:23" x14ac:dyDescent="0.4">
      <c r="A305" t="s">
        <v>262</v>
      </c>
      <c r="B305" t="s">
        <v>566</v>
      </c>
      <c r="C305" t="s">
        <v>573</v>
      </c>
      <c r="D305" t="s">
        <v>21</v>
      </c>
      <c r="E305" t="s">
        <v>22</v>
      </c>
      <c r="F305" t="s">
        <v>23</v>
      </c>
      <c r="G305">
        <v>1</v>
      </c>
      <c r="H305">
        <v>9791191562125</v>
      </c>
      <c r="I305" t="s">
        <v>143</v>
      </c>
      <c r="J305" t="s">
        <v>212</v>
      </c>
      <c r="K305" t="s">
        <v>213</v>
      </c>
      <c r="L305" t="s">
        <v>27</v>
      </c>
      <c r="M305" s="3">
        <v>2500</v>
      </c>
      <c r="N305" t="s">
        <v>27</v>
      </c>
      <c r="O305" s="3">
        <v>2500</v>
      </c>
      <c r="P305" s="3">
        <v>2500</v>
      </c>
      <c r="Q305" t="s">
        <v>30</v>
      </c>
      <c r="R305" s="2">
        <v>0.7</v>
      </c>
      <c r="S305" s="3">
        <v>1750</v>
      </c>
      <c r="T305" t="s">
        <v>27</v>
      </c>
      <c r="U305" s="3">
        <v>1750</v>
      </c>
      <c r="V305" s="7" t="str">
        <f>IF(ISERROR(VLOOKUP(K305,[1]작가별정산률!$R:$S,2,0)),"스토리위즈",VLOOKUP(K305,[1]작가별정산률!$R:$S,2,0))</f>
        <v>밀리의 서재</v>
      </c>
      <c r="W305" s="7" t="str">
        <f>IF(V305="스토리위즈",VLOOKUP(K305,[1]작가별정산률!$A:$B,2,0),V305)</f>
        <v>밀리의 서재</v>
      </c>
    </row>
    <row r="306" spans="1:23" x14ac:dyDescent="0.4">
      <c r="A306" t="s">
        <v>262</v>
      </c>
      <c r="B306" t="s">
        <v>566</v>
      </c>
      <c r="C306" t="s">
        <v>574</v>
      </c>
      <c r="D306" t="s">
        <v>64</v>
      </c>
      <c r="E306" t="s">
        <v>22</v>
      </c>
      <c r="F306" t="s">
        <v>23</v>
      </c>
      <c r="G306">
        <v>1</v>
      </c>
      <c r="H306">
        <v>9791166061134</v>
      </c>
      <c r="I306" t="s">
        <v>24</v>
      </c>
      <c r="J306" t="s">
        <v>98</v>
      </c>
      <c r="K306" t="s">
        <v>37</v>
      </c>
      <c r="L306" t="s">
        <v>27</v>
      </c>
      <c r="M306">
        <v>900</v>
      </c>
      <c r="N306" t="s">
        <v>27</v>
      </c>
      <c r="O306">
        <v>900</v>
      </c>
      <c r="P306">
        <v>900</v>
      </c>
      <c r="Q306" t="s">
        <v>30</v>
      </c>
      <c r="R306" s="2">
        <v>0.7</v>
      </c>
      <c r="S306">
        <v>630</v>
      </c>
      <c r="T306" t="s">
        <v>27</v>
      </c>
      <c r="U306">
        <v>630</v>
      </c>
      <c r="V306" s="7" t="str">
        <f>IF(ISERROR(VLOOKUP(K306,[1]작가별정산률!$R:$S,2,0)),"스토리위즈",VLOOKUP(K306,[1]작가별정산률!$R:$S,2,0))</f>
        <v>스토리위즈</v>
      </c>
      <c r="W306" s="7" t="str">
        <f>IF(V306="스토리위즈",VLOOKUP(K306,[1]작가별정산률!$A:$B,2,0),V306)</f>
        <v>권용찬</v>
      </c>
    </row>
    <row r="307" spans="1:23" x14ac:dyDescent="0.4">
      <c r="A307" t="s">
        <v>262</v>
      </c>
      <c r="B307" t="s">
        <v>566</v>
      </c>
      <c r="C307" t="s">
        <v>575</v>
      </c>
      <c r="D307" t="s">
        <v>64</v>
      </c>
      <c r="E307" t="s">
        <v>22</v>
      </c>
      <c r="F307" t="s">
        <v>23</v>
      </c>
      <c r="G307">
        <v>1</v>
      </c>
      <c r="H307">
        <v>9791159283208</v>
      </c>
      <c r="I307" t="s">
        <v>24</v>
      </c>
      <c r="J307" t="s">
        <v>105</v>
      </c>
      <c r="K307" t="s">
        <v>37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2">
        <v>0.7</v>
      </c>
      <c r="S307">
        <v>441</v>
      </c>
      <c r="T307" t="s">
        <v>27</v>
      </c>
      <c r="U307">
        <v>441</v>
      </c>
      <c r="V307" s="7" t="str">
        <f>IF(ISERROR(VLOOKUP(K307,[1]작가별정산률!$R:$S,2,0)),"스토리위즈",VLOOKUP(K307,[1]작가별정산률!$R:$S,2,0))</f>
        <v>스토리위즈</v>
      </c>
      <c r="W307" s="7" t="str">
        <f>IF(V307="스토리위즈",VLOOKUP(K307,[1]작가별정산률!$A:$B,2,0),V307)</f>
        <v>권용찬</v>
      </c>
    </row>
    <row r="308" spans="1:23" x14ac:dyDescent="0.4">
      <c r="A308" t="s">
        <v>262</v>
      </c>
      <c r="B308" t="s">
        <v>566</v>
      </c>
      <c r="C308" t="s">
        <v>576</v>
      </c>
      <c r="D308" t="s">
        <v>21</v>
      </c>
      <c r="E308" t="s">
        <v>22</v>
      </c>
      <c r="F308" t="s">
        <v>23</v>
      </c>
      <c r="G308">
        <v>1</v>
      </c>
      <c r="H308">
        <v>9791191562286</v>
      </c>
      <c r="I308" t="s">
        <v>143</v>
      </c>
      <c r="J308" t="s">
        <v>238</v>
      </c>
      <c r="K308" t="s">
        <v>239</v>
      </c>
      <c r="L308" t="s">
        <v>27</v>
      </c>
      <c r="M308" s="3">
        <v>2000</v>
      </c>
      <c r="N308" t="s">
        <v>28</v>
      </c>
      <c r="O308">
        <v>1.65</v>
      </c>
      <c r="P308">
        <v>1.65</v>
      </c>
      <c r="Q308" t="s">
        <v>29</v>
      </c>
      <c r="R308" s="2">
        <v>0.7</v>
      </c>
      <c r="S308">
        <v>1.1499999999999999</v>
      </c>
      <c r="T308" t="s">
        <v>27</v>
      </c>
      <c r="U308" s="3">
        <v>1445</v>
      </c>
      <c r="V308" s="7" t="str">
        <f>IF(ISERROR(VLOOKUP(K308,[1]작가별정산률!$R:$S,2,0)),"스토리위즈",VLOOKUP(K308,[1]작가별정산률!$R:$S,2,0))</f>
        <v>밀리의 서재</v>
      </c>
      <c r="W308" s="7" t="str">
        <f>IF(V308="스토리위즈",VLOOKUP(K308,[1]작가별정산률!$A:$B,2,0),V308)</f>
        <v>밀리의 서재</v>
      </c>
    </row>
    <row r="309" spans="1:23" x14ac:dyDescent="0.4">
      <c r="A309" t="s">
        <v>262</v>
      </c>
      <c r="B309" t="s">
        <v>566</v>
      </c>
      <c r="C309" t="s">
        <v>577</v>
      </c>
      <c r="D309" t="s">
        <v>21</v>
      </c>
      <c r="E309" t="s">
        <v>22</v>
      </c>
      <c r="F309" t="s">
        <v>23</v>
      </c>
      <c r="G309">
        <v>1</v>
      </c>
      <c r="H309">
        <v>9791191562125</v>
      </c>
      <c r="I309" t="s">
        <v>143</v>
      </c>
      <c r="J309" t="s">
        <v>212</v>
      </c>
      <c r="K309" t="s">
        <v>213</v>
      </c>
      <c r="L309" t="s">
        <v>27</v>
      </c>
      <c r="M309" s="3">
        <v>2500</v>
      </c>
      <c r="N309" t="s">
        <v>27</v>
      </c>
      <c r="O309" s="3">
        <v>2500</v>
      </c>
      <c r="P309" s="3">
        <v>2500</v>
      </c>
      <c r="Q309" t="s">
        <v>30</v>
      </c>
      <c r="R309" s="2">
        <v>0.7</v>
      </c>
      <c r="S309" s="3">
        <v>1750</v>
      </c>
      <c r="T309" t="s">
        <v>27</v>
      </c>
      <c r="U309" s="3">
        <v>1750</v>
      </c>
      <c r="V309" s="7" t="str">
        <f>IF(ISERROR(VLOOKUP(K309,[1]작가별정산률!$R:$S,2,0)),"스토리위즈",VLOOKUP(K309,[1]작가별정산률!$R:$S,2,0))</f>
        <v>밀리의 서재</v>
      </c>
      <c r="W309" s="7" t="str">
        <f>IF(V309="스토리위즈",VLOOKUP(K309,[1]작가별정산률!$A:$B,2,0),V309)</f>
        <v>밀리의 서재</v>
      </c>
    </row>
    <row r="310" spans="1:23" x14ac:dyDescent="0.4">
      <c r="A310" t="s">
        <v>262</v>
      </c>
      <c r="B310" t="s">
        <v>566</v>
      </c>
      <c r="C310" t="s">
        <v>578</v>
      </c>
      <c r="D310" t="s">
        <v>64</v>
      </c>
      <c r="E310" t="s">
        <v>22</v>
      </c>
      <c r="F310" t="s">
        <v>23</v>
      </c>
      <c r="G310">
        <v>1</v>
      </c>
      <c r="H310">
        <v>9791166300301</v>
      </c>
      <c r="I310" t="s">
        <v>24</v>
      </c>
      <c r="J310" t="s">
        <v>139</v>
      </c>
      <c r="K310" t="s">
        <v>119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2">
        <v>0.7</v>
      </c>
      <c r="S310">
        <v>441</v>
      </c>
      <c r="T310" t="s">
        <v>27</v>
      </c>
      <c r="U310">
        <v>441</v>
      </c>
      <c r="V310" s="7" t="str">
        <f>IF(ISERROR(VLOOKUP(K310,[1]작가별정산률!$R:$S,2,0)),"스토리위즈",VLOOKUP(K310,[1]작가별정산률!$R:$S,2,0))</f>
        <v>스토리위즈</v>
      </c>
      <c r="W310" s="7" t="str">
        <f>IF(V310="스토리위즈",VLOOKUP(K310,[1]작가별정산률!$A:$B,2,0),V310)</f>
        <v>김광수</v>
      </c>
    </row>
    <row r="311" spans="1:23" x14ac:dyDescent="0.4">
      <c r="A311" t="s">
        <v>262</v>
      </c>
      <c r="B311" t="s">
        <v>566</v>
      </c>
      <c r="C311" t="s">
        <v>579</v>
      </c>
      <c r="D311" t="s">
        <v>64</v>
      </c>
      <c r="E311" t="s">
        <v>22</v>
      </c>
      <c r="F311" t="s">
        <v>23</v>
      </c>
      <c r="G311">
        <v>1</v>
      </c>
      <c r="H311">
        <v>9791166300479</v>
      </c>
      <c r="I311" t="s">
        <v>24</v>
      </c>
      <c r="J311" t="s">
        <v>145</v>
      </c>
      <c r="K311" t="s">
        <v>119</v>
      </c>
      <c r="L311" t="s">
        <v>27</v>
      </c>
      <c r="M311">
        <v>630</v>
      </c>
      <c r="N311" t="s">
        <v>27</v>
      </c>
      <c r="O311">
        <v>630</v>
      </c>
      <c r="P311">
        <v>630</v>
      </c>
      <c r="Q311" t="s">
        <v>30</v>
      </c>
      <c r="R311" s="2">
        <v>0.7</v>
      </c>
      <c r="S311">
        <v>441</v>
      </c>
      <c r="T311" t="s">
        <v>27</v>
      </c>
      <c r="U311">
        <v>441</v>
      </c>
      <c r="V311" s="7" t="str">
        <f>IF(ISERROR(VLOOKUP(K311,[1]작가별정산률!$R:$S,2,0)),"스토리위즈",VLOOKUP(K311,[1]작가별정산률!$R:$S,2,0))</f>
        <v>스토리위즈</v>
      </c>
      <c r="W311" s="7" t="str">
        <f>IF(V311="스토리위즈",VLOOKUP(K311,[1]작가별정산률!$A:$B,2,0),V311)</f>
        <v>김광수</v>
      </c>
    </row>
    <row r="312" spans="1:23" x14ac:dyDescent="0.4">
      <c r="A312" t="s">
        <v>262</v>
      </c>
      <c r="B312" t="s">
        <v>566</v>
      </c>
      <c r="C312" t="s">
        <v>580</v>
      </c>
      <c r="D312" t="s">
        <v>64</v>
      </c>
      <c r="E312" t="s">
        <v>22</v>
      </c>
      <c r="F312" t="s">
        <v>23</v>
      </c>
      <c r="G312">
        <v>1</v>
      </c>
      <c r="H312">
        <v>9791166300615</v>
      </c>
      <c r="I312" t="s">
        <v>24</v>
      </c>
      <c r="J312" t="s">
        <v>163</v>
      </c>
      <c r="K312" t="s">
        <v>119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  <c r="V312" s="7" t="str">
        <f>IF(ISERROR(VLOOKUP(K312,[1]작가별정산률!$R:$S,2,0)),"스토리위즈",VLOOKUP(K312,[1]작가별정산률!$R:$S,2,0))</f>
        <v>스토리위즈</v>
      </c>
      <c r="W312" s="7" t="str">
        <f>IF(V312="스토리위즈",VLOOKUP(K312,[1]작가별정산률!$A:$B,2,0),V312)</f>
        <v>김광수</v>
      </c>
    </row>
    <row r="313" spans="1:23" x14ac:dyDescent="0.4">
      <c r="A313" t="s">
        <v>262</v>
      </c>
      <c r="B313" t="s">
        <v>566</v>
      </c>
      <c r="C313" t="s">
        <v>581</v>
      </c>
      <c r="D313" t="s">
        <v>64</v>
      </c>
      <c r="E313" t="s">
        <v>22</v>
      </c>
      <c r="F313" t="s">
        <v>23</v>
      </c>
      <c r="G313">
        <v>1</v>
      </c>
      <c r="H313">
        <v>9791166300479</v>
      </c>
      <c r="I313" t="s">
        <v>24</v>
      </c>
      <c r="J313" t="s">
        <v>145</v>
      </c>
      <c r="K313" t="s">
        <v>119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  <c r="V313" s="7" t="str">
        <f>IF(ISERROR(VLOOKUP(K313,[1]작가별정산률!$R:$S,2,0)),"스토리위즈",VLOOKUP(K313,[1]작가별정산률!$R:$S,2,0))</f>
        <v>스토리위즈</v>
      </c>
      <c r="W313" s="7" t="str">
        <f>IF(V313="스토리위즈",VLOOKUP(K313,[1]작가별정산률!$A:$B,2,0),V313)</f>
        <v>김광수</v>
      </c>
    </row>
    <row r="314" spans="1:23" x14ac:dyDescent="0.4">
      <c r="A314" t="s">
        <v>262</v>
      </c>
      <c r="B314" t="s">
        <v>566</v>
      </c>
      <c r="C314" t="s">
        <v>582</v>
      </c>
      <c r="D314" t="s">
        <v>21</v>
      </c>
      <c r="E314" t="s">
        <v>22</v>
      </c>
      <c r="F314" t="s">
        <v>23</v>
      </c>
      <c r="G314">
        <v>1</v>
      </c>
      <c r="H314">
        <v>9791191562019</v>
      </c>
      <c r="I314" t="s">
        <v>143</v>
      </c>
      <c r="J314" t="s">
        <v>194</v>
      </c>
      <c r="K314" t="s">
        <v>186</v>
      </c>
      <c r="L314" t="s">
        <v>27</v>
      </c>
      <c r="M314" s="3">
        <v>2000</v>
      </c>
      <c r="N314" t="s">
        <v>27</v>
      </c>
      <c r="O314" s="3">
        <v>2000</v>
      </c>
      <c r="P314" s="3">
        <v>2000</v>
      </c>
      <c r="Q314" t="s">
        <v>30</v>
      </c>
      <c r="R314" s="2">
        <v>0.7</v>
      </c>
      <c r="S314" s="3">
        <v>1400</v>
      </c>
      <c r="T314" t="s">
        <v>27</v>
      </c>
      <c r="U314" s="3">
        <v>1400</v>
      </c>
      <c r="V314" s="7" t="str">
        <f>IF(ISERROR(VLOOKUP(K314,[1]작가별정산률!$R:$S,2,0)),"스토리위즈",VLOOKUP(K314,[1]작가별정산률!$R:$S,2,0))</f>
        <v>밀리의 서재</v>
      </c>
      <c r="W314" s="7" t="str">
        <f>IF(V314="스토리위즈",VLOOKUP(K314,[1]작가별정산률!$A:$B,2,0),V314)</f>
        <v>밀리의 서재</v>
      </c>
    </row>
    <row r="315" spans="1:23" x14ac:dyDescent="0.4">
      <c r="A315" t="s">
        <v>262</v>
      </c>
      <c r="B315" t="s">
        <v>566</v>
      </c>
      <c r="C315" t="s">
        <v>583</v>
      </c>
      <c r="D315" t="s">
        <v>21</v>
      </c>
      <c r="E315" t="s">
        <v>22</v>
      </c>
      <c r="F315" t="s">
        <v>23</v>
      </c>
      <c r="G315">
        <v>1</v>
      </c>
      <c r="H315">
        <v>9791191562248</v>
      </c>
      <c r="I315" t="s">
        <v>143</v>
      </c>
      <c r="J315" t="s">
        <v>231</v>
      </c>
      <c r="K315" t="s">
        <v>232</v>
      </c>
      <c r="L315" t="s">
        <v>27</v>
      </c>
      <c r="M315" s="3">
        <v>2000</v>
      </c>
      <c r="N315" t="s">
        <v>27</v>
      </c>
      <c r="O315" s="3">
        <v>2000</v>
      </c>
      <c r="P315" s="3">
        <v>2000</v>
      </c>
      <c r="Q315" t="s">
        <v>30</v>
      </c>
      <c r="R315" s="2">
        <v>0.7</v>
      </c>
      <c r="S315" s="3">
        <v>1400</v>
      </c>
      <c r="T315" t="s">
        <v>27</v>
      </c>
      <c r="U315" s="3">
        <v>1400</v>
      </c>
      <c r="V315" s="7" t="str">
        <f>IF(ISERROR(VLOOKUP(K315,[1]작가별정산률!$R:$S,2,0)),"스토리위즈",VLOOKUP(K315,[1]작가별정산률!$R:$S,2,0))</f>
        <v>밀리의 서재</v>
      </c>
      <c r="W315" s="7" t="str">
        <f>IF(V315="스토리위즈",VLOOKUP(K315,[1]작가별정산률!$A:$B,2,0),V315)</f>
        <v>밀리의 서재</v>
      </c>
    </row>
    <row r="316" spans="1:23" x14ac:dyDescent="0.4">
      <c r="A316" t="s">
        <v>262</v>
      </c>
      <c r="B316" t="s">
        <v>566</v>
      </c>
      <c r="C316" t="s">
        <v>584</v>
      </c>
      <c r="D316" t="s">
        <v>64</v>
      </c>
      <c r="E316" t="s">
        <v>22</v>
      </c>
      <c r="F316" t="s">
        <v>23</v>
      </c>
      <c r="G316">
        <v>1</v>
      </c>
      <c r="H316">
        <v>9791159283086</v>
      </c>
      <c r="I316" t="s">
        <v>24</v>
      </c>
      <c r="J316" t="s">
        <v>72</v>
      </c>
      <c r="K316" t="s">
        <v>37</v>
      </c>
      <c r="L316" t="s">
        <v>27</v>
      </c>
      <c r="M316">
        <v>900</v>
      </c>
      <c r="N316" t="s">
        <v>27</v>
      </c>
      <c r="O316">
        <v>900</v>
      </c>
      <c r="P316">
        <v>900</v>
      </c>
      <c r="Q316" t="s">
        <v>30</v>
      </c>
      <c r="R316" s="2">
        <v>0.7</v>
      </c>
      <c r="S316">
        <v>630</v>
      </c>
      <c r="T316" t="s">
        <v>27</v>
      </c>
      <c r="U316">
        <v>630</v>
      </c>
      <c r="V316" s="7" t="str">
        <f>IF(ISERROR(VLOOKUP(K316,[1]작가별정산률!$R:$S,2,0)),"스토리위즈",VLOOKUP(K316,[1]작가별정산률!$R:$S,2,0))</f>
        <v>스토리위즈</v>
      </c>
      <c r="W316" s="7" t="str">
        <f>IF(V316="스토리위즈",VLOOKUP(K316,[1]작가별정산률!$A:$B,2,0),V316)</f>
        <v>권용찬</v>
      </c>
    </row>
    <row r="317" spans="1:23" x14ac:dyDescent="0.4">
      <c r="A317" t="s">
        <v>262</v>
      </c>
      <c r="B317" t="s">
        <v>566</v>
      </c>
      <c r="C317" t="s">
        <v>585</v>
      </c>
      <c r="D317" t="s">
        <v>64</v>
      </c>
      <c r="E317" t="s">
        <v>22</v>
      </c>
      <c r="F317" t="s">
        <v>23</v>
      </c>
      <c r="G317">
        <v>1</v>
      </c>
      <c r="H317">
        <v>9791166300547</v>
      </c>
      <c r="I317" t="s">
        <v>24</v>
      </c>
      <c r="J317" t="s">
        <v>153</v>
      </c>
      <c r="K317" t="s">
        <v>119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  <c r="V317" s="7" t="str">
        <f>IF(ISERROR(VLOOKUP(K317,[1]작가별정산률!$R:$S,2,0)),"스토리위즈",VLOOKUP(K317,[1]작가별정산률!$R:$S,2,0))</f>
        <v>스토리위즈</v>
      </c>
      <c r="W317" s="7" t="str">
        <f>IF(V317="스토리위즈",VLOOKUP(K317,[1]작가별정산률!$A:$B,2,0),V317)</f>
        <v>김광수</v>
      </c>
    </row>
    <row r="318" spans="1:23" x14ac:dyDescent="0.4">
      <c r="A318" t="s">
        <v>262</v>
      </c>
      <c r="B318" t="s">
        <v>566</v>
      </c>
      <c r="C318" t="s">
        <v>586</v>
      </c>
      <c r="D318" t="s">
        <v>64</v>
      </c>
      <c r="E318" t="s">
        <v>22</v>
      </c>
      <c r="F318" t="s">
        <v>23</v>
      </c>
      <c r="G318">
        <v>1</v>
      </c>
      <c r="H318">
        <v>9791166064081</v>
      </c>
      <c r="I318" t="s">
        <v>24</v>
      </c>
      <c r="J318" t="s">
        <v>91</v>
      </c>
      <c r="K318" t="s">
        <v>37</v>
      </c>
      <c r="L318" t="s">
        <v>27</v>
      </c>
      <c r="M318">
        <v>900</v>
      </c>
      <c r="N318" t="s">
        <v>27</v>
      </c>
      <c r="O318">
        <v>900</v>
      </c>
      <c r="P318">
        <v>900</v>
      </c>
      <c r="Q318" t="s">
        <v>30</v>
      </c>
      <c r="R318" s="2">
        <v>0.7</v>
      </c>
      <c r="S318">
        <v>630</v>
      </c>
      <c r="T318" t="s">
        <v>27</v>
      </c>
      <c r="U318">
        <v>630</v>
      </c>
      <c r="V318" s="7" t="str">
        <f>IF(ISERROR(VLOOKUP(K318,[1]작가별정산률!$R:$S,2,0)),"스토리위즈",VLOOKUP(K318,[1]작가별정산률!$R:$S,2,0))</f>
        <v>스토리위즈</v>
      </c>
      <c r="W318" s="7" t="str">
        <f>IF(V318="스토리위즈",VLOOKUP(K318,[1]작가별정산률!$A:$B,2,0),V318)</f>
        <v>권용찬</v>
      </c>
    </row>
    <row r="319" spans="1:23" x14ac:dyDescent="0.4">
      <c r="A319" t="s">
        <v>262</v>
      </c>
      <c r="B319" t="s">
        <v>566</v>
      </c>
      <c r="C319" t="s">
        <v>587</v>
      </c>
      <c r="D319" t="s">
        <v>64</v>
      </c>
      <c r="E319" t="s">
        <v>22</v>
      </c>
      <c r="F319" t="s">
        <v>23</v>
      </c>
      <c r="G319">
        <v>1</v>
      </c>
      <c r="H319">
        <v>9791166300172</v>
      </c>
      <c r="I319" t="s">
        <v>24</v>
      </c>
      <c r="J319" t="s">
        <v>127</v>
      </c>
      <c r="K319" t="s">
        <v>119</v>
      </c>
      <c r="L319" t="s">
        <v>27</v>
      </c>
      <c r="M319">
        <v>630</v>
      </c>
      <c r="N319" t="s">
        <v>27</v>
      </c>
      <c r="O319">
        <v>630</v>
      </c>
      <c r="P319">
        <v>630</v>
      </c>
      <c r="Q319" t="s">
        <v>30</v>
      </c>
      <c r="R319" s="2">
        <v>0.7</v>
      </c>
      <c r="S319">
        <v>441</v>
      </c>
      <c r="T319" t="s">
        <v>27</v>
      </c>
      <c r="U319">
        <v>441</v>
      </c>
      <c r="V319" s="7" t="str">
        <f>IF(ISERROR(VLOOKUP(K319,[1]작가별정산률!$R:$S,2,0)),"스토리위즈",VLOOKUP(K319,[1]작가별정산률!$R:$S,2,0))</f>
        <v>스토리위즈</v>
      </c>
      <c r="W319" s="7" t="str">
        <f>IF(V319="스토리위즈",VLOOKUP(K319,[1]작가별정산률!$A:$B,2,0),V319)</f>
        <v>김광수</v>
      </c>
    </row>
    <row r="320" spans="1:23" x14ac:dyDescent="0.4">
      <c r="A320" t="s">
        <v>262</v>
      </c>
      <c r="B320" t="s">
        <v>566</v>
      </c>
      <c r="C320" t="s">
        <v>588</v>
      </c>
      <c r="D320" t="s">
        <v>64</v>
      </c>
      <c r="E320" t="s">
        <v>22</v>
      </c>
      <c r="F320" t="s">
        <v>23</v>
      </c>
      <c r="G320">
        <v>1</v>
      </c>
      <c r="H320">
        <v>9791166300530</v>
      </c>
      <c r="I320" t="s">
        <v>24</v>
      </c>
      <c r="J320" t="s">
        <v>151</v>
      </c>
      <c r="K320" t="s">
        <v>119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  <c r="V320" s="7" t="str">
        <f>IF(ISERROR(VLOOKUP(K320,[1]작가별정산률!$R:$S,2,0)),"스토리위즈",VLOOKUP(K320,[1]작가별정산률!$R:$S,2,0))</f>
        <v>스토리위즈</v>
      </c>
      <c r="W320" s="7" t="str">
        <f>IF(V320="스토리위즈",VLOOKUP(K320,[1]작가별정산률!$A:$B,2,0),V320)</f>
        <v>김광수</v>
      </c>
    </row>
    <row r="321" spans="1:23" x14ac:dyDescent="0.4">
      <c r="A321" t="s">
        <v>262</v>
      </c>
      <c r="B321" t="s">
        <v>566</v>
      </c>
      <c r="C321" t="s">
        <v>589</v>
      </c>
      <c r="D321" t="s">
        <v>64</v>
      </c>
      <c r="E321" t="s">
        <v>22</v>
      </c>
      <c r="F321" t="s">
        <v>23</v>
      </c>
      <c r="G321">
        <v>1</v>
      </c>
      <c r="H321">
        <v>9791166300219</v>
      </c>
      <c r="I321" t="s">
        <v>24</v>
      </c>
      <c r="J321" t="s">
        <v>130</v>
      </c>
      <c r="K321" t="s">
        <v>119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  <c r="V321" s="7" t="str">
        <f>IF(ISERROR(VLOOKUP(K321,[1]작가별정산률!$R:$S,2,0)),"스토리위즈",VLOOKUP(K321,[1]작가별정산률!$R:$S,2,0))</f>
        <v>스토리위즈</v>
      </c>
      <c r="W321" s="7" t="str">
        <f>IF(V321="스토리위즈",VLOOKUP(K321,[1]작가별정산률!$A:$B,2,0),V321)</f>
        <v>김광수</v>
      </c>
    </row>
    <row r="322" spans="1:23" x14ac:dyDescent="0.4">
      <c r="A322" t="s">
        <v>262</v>
      </c>
      <c r="B322" t="s">
        <v>566</v>
      </c>
      <c r="C322" t="s">
        <v>590</v>
      </c>
      <c r="D322" t="s">
        <v>21</v>
      </c>
      <c r="E322" t="s">
        <v>22</v>
      </c>
      <c r="F322" t="s">
        <v>23</v>
      </c>
      <c r="G322">
        <v>1</v>
      </c>
      <c r="H322">
        <v>9791197098437</v>
      </c>
      <c r="I322" t="s">
        <v>24</v>
      </c>
      <c r="J322" t="s">
        <v>258</v>
      </c>
      <c r="K322" t="s">
        <v>37</v>
      </c>
      <c r="L322" t="s">
        <v>27</v>
      </c>
      <c r="M322" s="3">
        <v>3200</v>
      </c>
      <c r="N322" t="s">
        <v>219</v>
      </c>
      <c r="O322">
        <v>3.8</v>
      </c>
      <c r="P322">
        <v>3.3</v>
      </c>
      <c r="Q322" t="s">
        <v>220</v>
      </c>
      <c r="R322" s="2">
        <v>0.7</v>
      </c>
      <c r="S322">
        <v>2.31</v>
      </c>
      <c r="T322" t="s">
        <v>27</v>
      </c>
      <c r="U322" s="3">
        <v>1889</v>
      </c>
      <c r="V322" s="7" t="str">
        <f>IF(ISERROR(VLOOKUP(K322,[1]작가별정산률!$R:$S,2,0)),"스토리위즈",VLOOKUP(K322,[1]작가별정산률!$R:$S,2,0))</f>
        <v>스토리위즈</v>
      </c>
      <c r="W322" s="7" t="str">
        <f>IF(V322="스토리위즈",VLOOKUP(K322,[1]작가별정산률!$A:$B,2,0),V322)</f>
        <v>권용찬</v>
      </c>
    </row>
    <row r="323" spans="1:23" x14ac:dyDescent="0.4">
      <c r="A323" t="s">
        <v>262</v>
      </c>
      <c r="B323" t="s">
        <v>566</v>
      </c>
      <c r="C323" t="s">
        <v>591</v>
      </c>
      <c r="D323" t="s">
        <v>21</v>
      </c>
      <c r="E323" t="s">
        <v>22</v>
      </c>
      <c r="F323" t="s">
        <v>23</v>
      </c>
      <c r="G323">
        <v>1</v>
      </c>
      <c r="H323">
        <v>9791191562347</v>
      </c>
      <c r="I323" t="s">
        <v>143</v>
      </c>
      <c r="J323" t="s">
        <v>307</v>
      </c>
      <c r="K323" t="s">
        <v>308</v>
      </c>
      <c r="L323" t="s">
        <v>27</v>
      </c>
      <c r="M323" s="3">
        <v>3200</v>
      </c>
      <c r="N323" t="s">
        <v>27</v>
      </c>
      <c r="O323" s="3">
        <v>3200</v>
      </c>
      <c r="P323" s="3">
        <v>3200</v>
      </c>
      <c r="Q323" t="s">
        <v>30</v>
      </c>
      <c r="R323" s="2">
        <v>0.7</v>
      </c>
      <c r="S323" s="3">
        <v>2240</v>
      </c>
      <c r="T323" t="s">
        <v>27</v>
      </c>
      <c r="U323" s="3">
        <v>2240</v>
      </c>
      <c r="V323" s="7" t="str">
        <f>IF(ISERROR(VLOOKUP(K323,[1]작가별정산률!$R:$S,2,0)),"스토리위즈",VLOOKUP(K323,[1]작가별정산률!$R:$S,2,0))</f>
        <v>밀리의 서재</v>
      </c>
      <c r="W323" s="7" t="str">
        <f>IF(V323="스토리위즈",VLOOKUP(K323,[1]작가별정산률!$A:$B,2,0),V323)</f>
        <v>밀리의 서재</v>
      </c>
    </row>
    <row r="324" spans="1:23" x14ac:dyDescent="0.4">
      <c r="A324" t="s">
        <v>262</v>
      </c>
      <c r="B324" t="s">
        <v>566</v>
      </c>
      <c r="C324" t="s">
        <v>592</v>
      </c>
      <c r="D324" t="s">
        <v>21</v>
      </c>
      <c r="E324" t="s">
        <v>22</v>
      </c>
      <c r="F324" t="s">
        <v>23</v>
      </c>
      <c r="G324">
        <v>1</v>
      </c>
      <c r="H324">
        <v>9791191562019</v>
      </c>
      <c r="I324" t="s">
        <v>143</v>
      </c>
      <c r="J324" t="s">
        <v>194</v>
      </c>
      <c r="K324" t="s">
        <v>186</v>
      </c>
      <c r="L324" t="s">
        <v>27</v>
      </c>
      <c r="M324" s="3">
        <v>2000</v>
      </c>
      <c r="N324" t="s">
        <v>27</v>
      </c>
      <c r="O324" s="3">
        <v>2000</v>
      </c>
      <c r="P324" s="3">
        <v>2000</v>
      </c>
      <c r="Q324" t="s">
        <v>30</v>
      </c>
      <c r="R324" s="2">
        <v>0.7</v>
      </c>
      <c r="S324" s="3">
        <v>1400</v>
      </c>
      <c r="T324" t="s">
        <v>27</v>
      </c>
      <c r="U324" s="3">
        <v>1400</v>
      </c>
      <c r="V324" s="7" t="str">
        <f>IF(ISERROR(VLOOKUP(K324,[1]작가별정산률!$R:$S,2,0)),"스토리위즈",VLOOKUP(K324,[1]작가별정산률!$R:$S,2,0))</f>
        <v>밀리의 서재</v>
      </c>
      <c r="W324" s="7" t="str">
        <f>IF(V324="스토리위즈",VLOOKUP(K324,[1]작가별정산률!$A:$B,2,0),V324)</f>
        <v>밀리의 서재</v>
      </c>
    </row>
    <row r="325" spans="1:23" x14ac:dyDescent="0.4">
      <c r="A325" t="s">
        <v>262</v>
      </c>
      <c r="B325" t="s">
        <v>566</v>
      </c>
      <c r="C325" t="s">
        <v>593</v>
      </c>
      <c r="D325" t="s">
        <v>64</v>
      </c>
      <c r="E325" t="s">
        <v>22</v>
      </c>
      <c r="F325" t="s">
        <v>23</v>
      </c>
      <c r="G325">
        <v>1</v>
      </c>
      <c r="H325">
        <v>9791166300196</v>
      </c>
      <c r="I325" t="s">
        <v>24</v>
      </c>
      <c r="J325" t="s">
        <v>128</v>
      </c>
      <c r="K325" t="s">
        <v>119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2">
        <v>0.7</v>
      </c>
      <c r="S325">
        <v>441</v>
      </c>
      <c r="T325" t="s">
        <v>27</v>
      </c>
      <c r="U325">
        <v>441</v>
      </c>
      <c r="V325" s="7" t="str">
        <f>IF(ISERROR(VLOOKUP(K325,[1]작가별정산률!$R:$S,2,0)),"스토리위즈",VLOOKUP(K325,[1]작가별정산률!$R:$S,2,0))</f>
        <v>스토리위즈</v>
      </c>
      <c r="W325" s="7" t="str">
        <f>IF(V325="스토리위즈",VLOOKUP(K325,[1]작가별정산률!$A:$B,2,0),V325)</f>
        <v>김광수</v>
      </c>
    </row>
    <row r="326" spans="1:23" x14ac:dyDescent="0.4">
      <c r="A326" t="s">
        <v>262</v>
      </c>
      <c r="B326" t="s">
        <v>566</v>
      </c>
      <c r="C326" t="s">
        <v>594</v>
      </c>
      <c r="D326" t="s">
        <v>21</v>
      </c>
      <c r="E326" t="s">
        <v>22</v>
      </c>
      <c r="F326" t="s">
        <v>23</v>
      </c>
      <c r="G326">
        <v>1</v>
      </c>
      <c r="H326">
        <v>9791191562286</v>
      </c>
      <c r="I326" t="s">
        <v>143</v>
      </c>
      <c r="J326" t="s">
        <v>238</v>
      </c>
      <c r="K326" t="s">
        <v>239</v>
      </c>
      <c r="L326" t="s">
        <v>27</v>
      </c>
      <c r="M326" s="3">
        <v>2000</v>
      </c>
      <c r="N326" t="s">
        <v>27</v>
      </c>
      <c r="O326" s="3">
        <v>2000</v>
      </c>
      <c r="P326" s="3">
        <v>2000</v>
      </c>
      <c r="Q326" t="s">
        <v>30</v>
      </c>
      <c r="R326" s="2">
        <v>0.7</v>
      </c>
      <c r="S326" s="3">
        <v>1400</v>
      </c>
      <c r="T326" t="s">
        <v>27</v>
      </c>
      <c r="U326" s="3">
        <v>1400</v>
      </c>
      <c r="V326" s="7" t="str">
        <f>IF(ISERROR(VLOOKUP(K326,[1]작가별정산률!$R:$S,2,0)),"스토리위즈",VLOOKUP(K326,[1]작가별정산률!$R:$S,2,0))</f>
        <v>밀리의 서재</v>
      </c>
      <c r="W326" s="7" t="str">
        <f>IF(V326="스토리위즈",VLOOKUP(K326,[1]작가별정산률!$A:$B,2,0),V326)</f>
        <v>밀리의 서재</v>
      </c>
    </row>
    <row r="327" spans="1:23" x14ac:dyDescent="0.4">
      <c r="A327" t="s">
        <v>262</v>
      </c>
      <c r="B327" t="s">
        <v>566</v>
      </c>
      <c r="C327" t="s">
        <v>595</v>
      </c>
      <c r="D327" t="s">
        <v>21</v>
      </c>
      <c r="E327" t="s">
        <v>22</v>
      </c>
      <c r="F327" t="s">
        <v>23</v>
      </c>
      <c r="G327">
        <v>1</v>
      </c>
      <c r="H327">
        <v>9791166300219</v>
      </c>
      <c r="I327" t="s">
        <v>24</v>
      </c>
      <c r="J327" t="s">
        <v>130</v>
      </c>
      <c r="K327" t="s">
        <v>119</v>
      </c>
      <c r="L327" t="s">
        <v>27</v>
      </c>
      <c r="M327" s="3">
        <v>3200</v>
      </c>
      <c r="N327" t="s">
        <v>27</v>
      </c>
      <c r="O327" s="3">
        <v>3200</v>
      </c>
      <c r="P327" s="3">
        <v>3200</v>
      </c>
      <c r="Q327" t="s">
        <v>30</v>
      </c>
      <c r="R327" s="2">
        <v>0.7</v>
      </c>
      <c r="S327" s="3">
        <v>2240</v>
      </c>
      <c r="T327" t="s">
        <v>27</v>
      </c>
      <c r="U327" s="3">
        <v>2240</v>
      </c>
      <c r="V327" s="7" t="str">
        <f>IF(ISERROR(VLOOKUP(K327,[1]작가별정산률!$R:$S,2,0)),"스토리위즈",VLOOKUP(K327,[1]작가별정산률!$R:$S,2,0))</f>
        <v>스토리위즈</v>
      </c>
      <c r="W327" s="7" t="str">
        <f>IF(V327="스토리위즈",VLOOKUP(K327,[1]작가별정산률!$A:$B,2,0),V327)</f>
        <v>김광수</v>
      </c>
    </row>
    <row r="328" spans="1:23" x14ac:dyDescent="0.4">
      <c r="A328" t="s">
        <v>262</v>
      </c>
      <c r="B328" t="s">
        <v>566</v>
      </c>
      <c r="C328" t="s">
        <v>596</v>
      </c>
      <c r="D328" t="s">
        <v>64</v>
      </c>
      <c r="E328" t="s">
        <v>22</v>
      </c>
      <c r="F328" t="s">
        <v>23</v>
      </c>
      <c r="G328">
        <v>1</v>
      </c>
      <c r="H328">
        <v>9791166300103</v>
      </c>
      <c r="I328" t="s">
        <v>24</v>
      </c>
      <c r="J328" t="s">
        <v>120</v>
      </c>
      <c r="K328" t="s">
        <v>119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2">
        <v>0.7</v>
      </c>
      <c r="S328">
        <v>441</v>
      </c>
      <c r="T328" t="s">
        <v>27</v>
      </c>
      <c r="U328">
        <v>441</v>
      </c>
      <c r="V328" s="7" t="str">
        <f>IF(ISERROR(VLOOKUP(K328,[1]작가별정산률!$R:$S,2,0)),"스토리위즈",VLOOKUP(K328,[1]작가별정산률!$R:$S,2,0))</f>
        <v>스토리위즈</v>
      </c>
      <c r="W328" s="7" t="str">
        <f>IF(V328="스토리위즈",VLOOKUP(K328,[1]작가별정산률!$A:$B,2,0),V328)</f>
        <v>김광수</v>
      </c>
    </row>
    <row r="329" spans="1:23" x14ac:dyDescent="0.4">
      <c r="A329" t="s">
        <v>262</v>
      </c>
      <c r="B329" t="s">
        <v>566</v>
      </c>
      <c r="C329" t="s">
        <v>597</v>
      </c>
      <c r="D329" t="s">
        <v>64</v>
      </c>
      <c r="E329" t="s">
        <v>22</v>
      </c>
      <c r="F329" t="s">
        <v>23</v>
      </c>
      <c r="G329">
        <v>1</v>
      </c>
      <c r="H329">
        <v>9791166300103</v>
      </c>
      <c r="I329" t="s">
        <v>24</v>
      </c>
      <c r="J329" t="s">
        <v>120</v>
      </c>
      <c r="K329" t="s">
        <v>119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  <c r="V329" s="7" t="str">
        <f>IF(ISERROR(VLOOKUP(K329,[1]작가별정산률!$R:$S,2,0)),"스토리위즈",VLOOKUP(K329,[1]작가별정산률!$R:$S,2,0))</f>
        <v>스토리위즈</v>
      </c>
      <c r="W329" s="7" t="str">
        <f>IF(V329="스토리위즈",VLOOKUP(K329,[1]작가별정산률!$A:$B,2,0),V329)</f>
        <v>김광수</v>
      </c>
    </row>
    <row r="330" spans="1:23" x14ac:dyDescent="0.4">
      <c r="A330" t="s">
        <v>262</v>
      </c>
      <c r="B330" t="s">
        <v>566</v>
      </c>
      <c r="C330" t="s">
        <v>598</v>
      </c>
      <c r="D330" t="s">
        <v>21</v>
      </c>
      <c r="E330" t="s">
        <v>22</v>
      </c>
      <c r="F330" t="s">
        <v>23</v>
      </c>
      <c r="G330">
        <v>1</v>
      </c>
      <c r="H330">
        <v>9791191562286</v>
      </c>
      <c r="I330" t="s">
        <v>143</v>
      </c>
      <c r="J330" t="s">
        <v>238</v>
      </c>
      <c r="K330" t="s">
        <v>239</v>
      </c>
      <c r="L330" t="s">
        <v>27</v>
      </c>
      <c r="M330" s="3">
        <v>2000</v>
      </c>
      <c r="N330" t="s">
        <v>27</v>
      </c>
      <c r="O330" s="3">
        <v>2000</v>
      </c>
      <c r="P330" s="3">
        <v>2000</v>
      </c>
      <c r="Q330" t="s">
        <v>30</v>
      </c>
      <c r="R330" s="2">
        <v>0.7</v>
      </c>
      <c r="S330" s="3">
        <v>1400</v>
      </c>
      <c r="T330" t="s">
        <v>27</v>
      </c>
      <c r="U330" s="3">
        <v>1400</v>
      </c>
      <c r="V330" s="7" t="str">
        <f>IF(ISERROR(VLOOKUP(K330,[1]작가별정산률!$R:$S,2,0)),"스토리위즈",VLOOKUP(K330,[1]작가별정산률!$R:$S,2,0))</f>
        <v>밀리의 서재</v>
      </c>
      <c r="W330" s="7" t="str">
        <f>IF(V330="스토리위즈",VLOOKUP(K330,[1]작가별정산률!$A:$B,2,0),V330)</f>
        <v>밀리의 서재</v>
      </c>
    </row>
    <row r="331" spans="1:23" x14ac:dyDescent="0.4">
      <c r="A331" t="s">
        <v>262</v>
      </c>
      <c r="B331" t="s">
        <v>566</v>
      </c>
      <c r="C331" t="s">
        <v>599</v>
      </c>
      <c r="D331" t="s">
        <v>64</v>
      </c>
      <c r="E331" t="s">
        <v>22</v>
      </c>
      <c r="F331" t="s">
        <v>23</v>
      </c>
      <c r="G331">
        <v>1</v>
      </c>
      <c r="H331">
        <v>9791159283093</v>
      </c>
      <c r="I331" t="s">
        <v>24</v>
      </c>
      <c r="J331" t="s">
        <v>73</v>
      </c>
      <c r="K331" t="s">
        <v>37</v>
      </c>
      <c r="L331" t="s">
        <v>27</v>
      </c>
      <c r="M331">
        <v>900</v>
      </c>
      <c r="N331" t="s">
        <v>27</v>
      </c>
      <c r="O331">
        <v>900</v>
      </c>
      <c r="P331">
        <v>900</v>
      </c>
      <c r="Q331" t="s">
        <v>30</v>
      </c>
      <c r="R331" s="2">
        <v>0.7</v>
      </c>
      <c r="S331">
        <v>630</v>
      </c>
      <c r="T331" t="s">
        <v>27</v>
      </c>
      <c r="U331">
        <v>630</v>
      </c>
      <c r="V331" s="7" t="str">
        <f>IF(ISERROR(VLOOKUP(K331,[1]작가별정산률!$R:$S,2,0)),"스토리위즈",VLOOKUP(K331,[1]작가별정산률!$R:$S,2,0))</f>
        <v>스토리위즈</v>
      </c>
      <c r="W331" s="7" t="str">
        <f>IF(V331="스토리위즈",VLOOKUP(K331,[1]작가별정산률!$A:$B,2,0),V331)</f>
        <v>권용찬</v>
      </c>
    </row>
    <row r="332" spans="1:23" x14ac:dyDescent="0.4">
      <c r="A332" t="s">
        <v>262</v>
      </c>
      <c r="B332" t="s">
        <v>566</v>
      </c>
      <c r="C332" t="s">
        <v>600</v>
      </c>
      <c r="D332" t="s">
        <v>21</v>
      </c>
      <c r="E332" t="s">
        <v>22</v>
      </c>
      <c r="F332" t="s">
        <v>23</v>
      </c>
      <c r="G332">
        <v>1</v>
      </c>
      <c r="H332">
        <v>9791191562125</v>
      </c>
      <c r="I332" t="s">
        <v>143</v>
      </c>
      <c r="J332" t="s">
        <v>212</v>
      </c>
      <c r="K332" t="s">
        <v>213</v>
      </c>
      <c r="L332" t="s">
        <v>27</v>
      </c>
      <c r="M332" s="3">
        <v>2500</v>
      </c>
      <c r="N332" t="s">
        <v>27</v>
      </c>
      <c r="O332" s="3">
        <v>2500</v>
      </c>
      <c r="P332" s="3">
        <v>2500</v>
      </c>
      <c r="Q332" t="s">
        <v>30</v>
      </c>
      <c r="R332" s="2">
        <v>0.7</v>
      </c>
      <c r="S332" s="3">
        <v>1750</v>
      </c>
      <c r="T332" t="s">
        <v>27</v>
      </c>
      <c r="U332" s="3">
        <v>1750</v>
      </c>
      <c r="V332" s="7" t="str">
        <f>IF(ISERROR(VLOOKUP(K332,[1]작가별정산률!$R:$S,2,0)),"스토리위즈",VLOOKUP(K332,[1]작가별정산률!$R:$S,2,0))</f>
        <v>밀리의 서재</v>
      </c>
      <c r="W332" s="7" t="str">
        <f>IF(V332="스토리위즈",VLOOKUP(K332,[1]작가별정산률!$A:$B,2,0),V332)</f>
        <v>밀리의 서재</v>
      </c>
    </row>
    <row r="333" spans="1:23" x14ac:dyDescent="0.4">
      <c r="A333" t="s">
        <v>262</v>
      </c>
      <c r="B333" t="s">
        <v>566</v>
      </c>
      <c r="C333" t="s">
        <v>601</v>
      </c>
      <c r="D333" t="s">
        <v>64</v>
      </c>
      <c r="E333" t="s">
        <v>22</v>
      </c>
      <c r="F333" t="s">
        <v>23</v>
      </c>
      <c r="G333">
        <v>1</v>
      </c>
      <c r="H333">
        <v>9791166064050</v>
      </c>
      <c r="I333" t="s">
        <v>24</v>
      </c>
      <c r="J333" t="s">
        <v>79</v>
      </c>
      <c r="K333" t="s">
        <v>37</v>
      </c>
      <c r="L333" t="s">
        <v>27</v>
      </c>
      <c r="M333">
        <v>900</v>
      </c>
      <c r="N333" t="s">
        <v>27</v>
      </c>
      <c r="O333">
        <v>900</v>
      </c>
      <c r="P333">
        <v>900</v>
      </c>
      <c r="Q333" t="s">
        <v>30</v>
      </c>
      <c r="R333" s="2">
        <v>0.7</v>
      </c>
      <c r="S333">
        <v>630</v>
      </c>
      <c r="T333" t="s">
        <v>27</v>
      </c>
      <c r="U333">
        <v>630</v>
      </c>
      <c r="V333" s="7" t="str">
        <f>IF(ISERROR(VLOOKUP(K333,[1]작가별정산률!$R:$S,2,0)),"스토리위즈",VLOOKUP(K333,[1]작가별정산률!$R:$S,2,0))</f>
        <v>스토리위즈</v>
      </c>
      <c r="W333" s="7" t="str">
        <f>IF(V333="스토리위즈",VLOOKUP(K333,[1]작가별정산률!$A:$B,2,0),V333)</f>
        <v>권용찬</v>
      </c>
    </row>
    <row r="334" spans="1:23" x14ac:dyDescent="0.4">
      <c r="A334" t="s">
        <v>262</v>
      </c>
      <c r="B334" t="s">
        <v>566</v>
      </c>
      <c r="C334" t="s">
        <v>602</v>
      </c>
      <c r="D334" t="s">
        <v>64</v>
      </c>
      <c r="E334" t="s">
        <v>22</v>
      </c>
      <c r="F334" t="s">
        <v>23</v>
      </c>
      <c r="G334">
        <v>1</v>
      </c>
      <c r="H334">
        <v>9791166064142</v>
      </c>
      <c r="I334" t="s">
        <v>24</v>
      </c>
      <c r="J334" t="s">
        <v>80</v>
      </c>
      <c r="K334" t="s">
        <v>37</v>
      </c>
      <c r="L334" t="s">
        <v>27</v>
      </c>
      <c r="M334">
        <v>900</v>
      </c>
      <c r="N334" t="s">
        <v>27</v>
      </c>
      <c r="O334">
        <v>900</v>
      </c>
      <c r="P334">
        <v>900</v>
      </c>
      <c r="Q334" t="s">
        <v>30</v>
      </c>
      <c r="R334" s="2">
        <v>0.7</v>
      </c>
      <c r="S334">
        <v>630</v>
      </c>
      <c r="T334" t="s">
        <v>27</v>
      </c>
      <c r="U334">
        <v>630</v>
      </c>
      <c r="V334" s="7" t="str">
        <f>IF(ISERROR(VLOOKUP(K334,[1]작가별정산률!$R:$S,2,0)),"스토리위즈",VLOOKUP(K334,[1]작가별정산률!$R:$S,2,0))</f>
        <v>스토리위즈</v>
      </c>
      <c r="W334" s="7" t="str">
        <f>IF(V334="스토리위즈",VLOOKUP(K334,[1]작가별정산률!$A:$B,2,0),V334)</f>
        <v>권용찬</v>
      </c>
    </row>
    <row r="335" spans="1:23" x14ac:dyDescent="0.4">
      <c r="A335" t="s">
        <v>262</v>
      </c>
      <c r="B335" t="s">
        <v>566</v>
      </c>
      <c r="C335" t="s">
        <v>603</v>
      </c>
      <c r="D335" t="s">
        <v>64</v>
      </c>
      <c r="E335" t="s">
        <v>22</v>
      </c>
      <c r="F335" t="s">
        <v>23</v>
      </c>
      <c r="G335">
        <v>1</v>
      </c>
      <c r="H335">
        <v>9791166061141</v>
      </c>
      <c r="I335" t="s">
        <v>24</v>
      </c>
      <c r="J335" t="s">
        <v>99</v>
      </c>
      <c r="K335" t="s">
        <v>37</v>
      </c>
      <c r="L335" t="s">
        <v>27</v>
      </c>
      <c r="M335">
        <v>900</v>
      </c>
      <c r="N335" t="s">
        <v>27</v>
      </c>
      <c r="O335">
        <v>900</v>
      </c>
      <c r="P335">
        <v>900</v>
      </c>
      <c r="Q335" t="s">
        <v>30</v>
      </c>
      <c r="R335" s="2">
        <v>0.7</v>
      </c>
      <c r="S335">
        <v>630</v>
      </c>
      <c r="T335" t="s">
        <v>27</v>
      </c>
      <c r="U335">
        <v>630</v>
      </c>
      <c r="V335" s="7" t="str">
        <f>IF(ISERROR(VLOOKUP(K335,[1]작가별정산률!$R:$S,2,0)),"스토리위즈",VLOOKUP(K335,[1]작가별정산률!$R:$S,2,0))</f>
        <v>스토리위즈</v>
      </c>
      <c r="W335" s="7" t="str">
        <f>IF(V335="스토리위즈",VLOOKUP(K335,[1]작가별정산률!$A:$B,2,0),V335)</f>
        <v>권용찬</v>
      </c>
    </row>
    <row r="336" spans="1:23" x14ac:dyDescent="0.4">
      <c r="A336" t="s">
        <v>262</v>
      </c>
      <c r="B336" t="s">
        <v>566</v>
      </c>
      <c r="C336" t="s">
        <v>604</v>
      </c>
      <c r="D336" t="s">
        <v>21</v>
      </c>
      <c r="E336" t="s">
        <v>22</v>
      </c>
      <c r="F336" t="s">
        <v>23</v>
      </c>
      <c r="G336">
        <v>1</v>
      </c>
      <c r="H336">
        <v>9791191562224</v>
      </c>
      <c r="I336" t="s">
        <v>143</v>
      </c>
      <c r="J336" t="s">
        <v>221</v>
      </c>
      <c r="K336" t="s">
        <v>222</v>
      </c>
      <c r="L336" t="s">
        <v>27</v>
      </c>
      <c r="M336" s="3">
        <v>2500</v>
      </c>
      <c r="N336" t="s">
        <v>27</v>
      </c>
      <c r="O336" s="3">
        <v>2500</v>
      </c>
      <c r="P336" s="3">
        <v>2500</v>
      </c>
      <c r="Q336" t="s">
        <v>30</v>
      </c>
      <c r="R336" s="2">
        <v>0.7</v>
      </c>
      <c r="S336" s="3">
        <v>1750</v>
      </c>
      <c r="T336" t="s">
        <v>27</v>
      </c>
      <c r="U336" s="3">
        <v>1750</v>
      </c>
      <c r="V336" s="7" t="str">
        <f>IF(ISERROR(VLOOKUP(K336,[1]작가별정산률!$R:$S,2,0)),"스토리위즈",VLOOKUP(K336,[1]작가별정산률!$R:$S,2,0))</f>
        <v>밀리의 서재</v>
      </c>
      <c r="W336" s="7" t="str">
        <f>IF(V336="스토리위즈",VLOOKUP(K336,[1]작가별정산률!$A:$B,2,0),V336)</f>
        <v>밀리의 서재</v>
      </c>
    </row>
    <row r="337" spans="1:23" x14ac:dyDescent="0.4">
      <c r="A337" t="s">
        <v>262</v>
      </c>
      <c r="B337" t="s">
        <v>566</v>
      </c>
      <c r="C337" t="s">
        <v>605</v>
      </c>
      <c r="D337" t="s">
        <v>64</v>
      </c>
      <c r="E337" t="s">
        <v>22</v>
      </c>
      <c r="F337" t="s">
        <v>23</v>
      </c>
      <c r="G337">
        <v>1</v>
      </c>
      <c r="H337">
        <v>9791166300226</v>
      </c>
      <c r="I337" t="s">
        <v>24</v>
      </c>
      <c r="J337" t="s">
        <v>131</v>
      </c>
      <c r="K337" t="s">
        <v>119</v>
      </c>
      <c r="L337" t="s">
        <v>27</v>
      </c>
      <c r="M337">
        <v>630</v>
      </c>
      <c r="N337" t="s">
        <v>27</v>
      </c>
      <c r="O337">
        <v>630</v>
      </c>
      <c r="P337">
        <v>630</v>
      </c>
      <c r="Q337" t="s">
        <v>30</v>
      </c>
      <c r="R337" s="2">
        <v>0.7</v>
      </c>
      <c r="S337">
        <v>441</v>
      </c>
      <c r="T337" t="s">
        <v>27</v>
      </c>
      <c r="U337">
        <v>441</v>
      </c>
      <c r="V337" s="7" t="str">
        <f>IF(ISERROR(VLOOKUP(K337,[1]작가별정산률!$R:$S,2,0)),"스토리위즈",VLOOKUP(K337,[1]작가별정산률!$R:$S,2,0))</f>
        <v>스토리위즈</v>
      </c>
      <c r="W337" s="7" t="str">
        <f>IF(V337="스토리위즈",VLOOKUP(K337,[1]작가별정산률!$A:$B,2,0),V337)</f>
        <v>김광수</v>
      </c>
    </row>
    <row r="338" spans="1:23" x14ac:dyDescent="0.4">
      <c r="A338" t="s">
        <v>262</v>
      </c>
      <c r="B338" t="s">
        <v>566</v>
      </c>
      <c r="C338" t="s">
        <v>606</v>
      </c>
      <c r="D338" t="s">
        <v>64</v>
      </c>
      <c r="E338" t="s">
        <v>22</v>
      </c>
      <c r="F338" t="s">
        <v>23</v>
      </c>
      <c r="G338">
        <v>1</v>
      </c>
      <c r="H338">
        <v>9791166300264</v>
      </c>
      <c r="I338" t="s">
        <v>24</v>
      </c>
      <c r="J338" t="s">
        <v>135</v>
      </c>
      <c r="K338" t="s">
        <v>119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  <c r="V338" s="7" t="str">
        <f>IF(ISERROR(VLOOKUP(K338,[1]작가별정산률!$R:$S,2,0)),"스토리위즈",VLOOKUP(K338,[1]작가별정산률!$R:$S,2,0))</f>
        <v>스토리위즈</v>
      </c>
      <c r="W338" s="7" t="str">
        <f>IF(V338="스토리위즈",VLOOKUP(K338,[1]작가별정산률!$A:$B,2,0),V338)</f>
        <v>김광수</v>
      </c>
    </row>
    <row r="339" spans="1:23" x14ac:dyDescent="0.4">
      <c r="A339" t="s">
        <v>262</v>
      </c>
      <c r="B339" t="s">
        <v>566</v>
      </c>
      <c r="C339" t="s">
        <v>607</v>
      </c>
      <c r="D339" t="s">
        <v>64</v>
      </c>
      <c r="E339" t="s">
        <v>22</v>
      </c>
      <c r="F339" t="s">
        <v>23</v>
      </c>
      <c r="G339">
        <v>1</v>
      </c>
      <c r="H339">
        <v>9791166300110</v>
      </c>
      <c r="I339" t="s">
        <v>24</v>
      </c>
      <c r="J339" t="s">
        <v>121</v>
      </c>
      <c r="K339" t="s">
        <v>119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  <c r="V339" s="7" t="str">
        <f>IF(ISERROR(VLOOKUP(K339,[1]작가별정산률!$R:$S,2,0)),"스토리위즈",VLOOKUP(K339,[1]작가별정산률!$R:$S,2,0))</f>
        <v>스토리위즈</v>
      </c>
      <c r="W339" s="7" t="str">
        <f>IF(V339="스토리위즈",VLOOKUP(K339,[1]작가별정산률!$A:$B,2,0),V339)</f>
        <v>김광수</v>
      </c>
    </row>
    <row r="340" spans="1:23" x14ac:dyDescent="0.4">
      <c r="A340" t="s">
        <v>262</v>
      </c>
      <c r="B340" t="s">
        <v>566</v>
      </c>
      <c r="C340" t="s">
        <v>608</v>
      </c>
      <c r="D340" t="s">
        <v>64</v>
      </c>
      <c r="E340" t="s">
        <v>22</v>
      </c>
      <c r="F340" t="s">
        <v>23</v>
      </c>
      <c r="G340">
        <v>1</v>
      </c>
      <c r="H340">
        <v>9791166300660</v>
      </c>
      <c r="I340" t="s">
        <v>24</v>
      </c>
      <c r="J340" t="s">
        <v>156</v>
      </c>
      <c r="K340" t="s">
        <v>119</v>
      </c>
      <c r="L340" t="s">
        <v>27</v>
      </c>
      <c r="M340">
        <v>630</v>
      </c>
      <c r="N340" t="s">
        <v>27</v>
      </c>
      <c r="O340">
        <v>630</v>
      </c>
      <c r="P340">
        <v>630</v>
      </c>
      <c r="Q340" t="s">
        <v>30</v>
      </c>
      <c r="R340" s="2">
        <v>0.7</v>
      </c>
      <c r="S340">
        <v>441</v>
      </c>
      <c r="T340" t="s">
        <v>27</v>
      </c>
      <c r="U340">
        <v>441</v>
      </c>
      <c r="V340" s="7" t="str">
        <f>IF(ISERROR(VLOOKUP(K340,[1]작가별정산률!$R:$S,2,0)),"스토리위즈",VLOOKUP(K340,[1]작가별정산률!$R:$S,2,0))</f>
        <v>스토리위즈</v>
      </c>
      <c r="W340" s="7" t="str">
        <f>IF(V340="스토리위즈",VLOOKUP(K340,[1]작가별정산률!$A:$B,2,0),V340)</f>
        <v>김광수</v>
      </c>
    </row>
    <row r="341" spans="1:23" x14ac:dyDescent="0.4">
      <c r="A341" t="s">
        <v>262</v>
      </c>
      <c r="B341" t="s">
        <v>566</v>
      </c>
      <c r="C341" t="s">
        <v>609</v>
      </c>
      <c r="D341" t="s">
        <v>64</v>
      </c>
      <c r="E341" t="s">
        <v>22</v>
      </c>
      <c r="F341" t="s">
        <v>23</v>
      </c>
      <c r="G341">
        <v>1</v>
      </c>
      <c r="H341">
        <v>9791166300202</v>
      </c>
      <c r="I341" t="s">
        <v>24</v>
      </c>
      <c r="J341" t="s">
        <v>129</v>
      </c>
      <c r="K341" t="s">
        <v>119</v>
      </c>
      <c r="L341" t="s">
        <v>27</v>
      </c>
      <c r="M341">
        <v>630</v>
      </c>
      <c r="N341" t="s">
        <v>27</v>
      </c>
      <c r="O341">
        <v>630</v>
      </c>
      <c r="P341">
        <v>630</v>
      </c>
      <c r="Q341" t="s">
        <v>30</v>
      </c>
      <c r="R341" s="2">
        <v>0.7</v>
      </c>
      <c r="S341">
        <v>441</v>
      </c>
      <c r="T341" t="s">
        <v>27</v>
      </c>
      <c r="U341">
        <v>441</v>
      </c>
      <c r="V341" s="7" t="str">
        <f>IF(ISERROR(VLOOKUP(K341,[1]작가별정산률!$R:$S,2,0)),"스토리위즈",VLOOKUP(K341,[1]작가별정산률!$R:$S,2,0))</f>
        <v>스토리위즈</v>
      </c>
      <c r="W341" s="7" t="str">
        <f>IF(V341="스토리위즈",VLOOKUP(K341,[1]작가별정산률!$A:$B,2,0),V341)</f>
        <v>김광수</v>
      </c>
    </row>
    <row r="342" spans="1:23" x14ac:dyDescent="0.4">
      <c r="A342" t="s">
        <v>262</v>
      </c>
      <c r="B342" t="s">
        <v>566</v>
      </c>
      <c r="C342" t="s">
        <v>610</v>
      </c>
      <c r="D342" t="s">
        <v>64</v>
      </c>
      <c r="E342" t="s">
        <v>22</v>
      </c>
      <c r="F342" t="s">
        <v>23</v>
      </c>
      <c r="G342">
        <v>1</v>
      </c>
      <c r="H342">
        <v>9791166300523</v>
      </c>
      <c r="I342" t="s">
        <v>24</v>
      </c>
      <c r="J342" t="s">
        <v>150</v>
      </c>
      <c r="K342" t="s">
        <v>119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  <c r="V342" s="7" t="str">
        <f>IF(ISERROR(VLOOKUP(K342,[1]작가별정산률!$R:$S,2,0)),"스토리위즈",VLOOKUP(K342,[1]작가별정산률!$R:$S,2,0))</f>
        <v>스토리위즈</v>
      </c>
      <c r="W342" s="7" t="str">
        <f>IF(V342="스토리위즈",VLOOKUP(K342,[1]작가별정산률!$A:$B,2,0),V342)</f>
        <v>김광수</v>
      </c>
    </row>
    <row r="343" spans="1:23" x14ac:dyDescent="0.4">
      <c r="A343" t="s">
        <v>262</v>
      </c>
      <c r="B343" t="s">
        <v>566</v>
      </c>
      <c r="C343" t="s">
        <v>611</v>
      </c>
      <c r="D343" t="s">
        <v>64</v>
      </c>
      <c r="E343" t="s">
        <v>22</v>
      </c>
      <c r="F343" t="s">
        <v>23</v>
      </c>
      <c r="G343">
        <v>1</v>
      </c>
      <c r="H343">
        <v>9791159282911</v>
      </c>
      <c r="I343" t="s">
        <v>24</v>
      </c>
      <c r="J343" t="s">
        <v>39</v>
      </c>
      <c r="K343" t="s">
        <v>26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  <c r="V343" s="7" t="str">
        <f>IF(ISERROR(VLOOKUP(K343,[1]작가별정산률!$R:$S,2,0)),"스토리위즈",VLOOKUP(K343,[1]작가별정산률!$R:$S,2,0))</f>
        <v>스토리위즈</v>
      </c>
      <c r="W343" s="7" t="str">
        <f>IF(V343="스토리위즈",VLOOKUP(K343,[1]작가별정산률!$A:$B,2,0),V343)</f>
        <v>독고진</v>
      </c>
    </row>
    <row r="344" spans="1:23" x14ac:dyDescent="0.4">
      <c r="A344" t="s">
        <v>262</v>
      </c>
      <c r="B344" t="s">
        <v>566</v>
      </c>
      <c r="C344" t="s">
        <v>612</v>
      </c>
      <c r="D344" t="s">
        <v>64</v>
      </c>
      <c r="E344" t="s">
        <v>22</v>
      </c>
      <c r="F344" t="s">
        <v>23</v>
      </c>
      <c r="G344">
        <v>1</v>
      </c>
      <c r="H344">
        <v>9791166300103</v>
      </c>
      <c r="I344" t="s">
        <v>24</v>
      </c>
      <c r="J344" t="s">
        <v>120</v>
      </c>
      <c r="K344" t="s">
        <v>119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2">
        <v>0.7</v>
      </c>
      <c r="S344">
        <v>441</v>
      </c>
      <c r="T344" t="s">
        <v>27</v>
      </c>
      <c r="U344">
        <v>441</v>
      </c>
      <c r="V344" s="7" t="str">
        <f>IF(ISERROR(VLOOKUP(K344,[1]작가별정산률!$R:$S,2,0)),"스토리위즈",VLOOKUP(K344,[1]작가별정산률!$R:$S,2,0))</f>
        <v>스토리위즈</v>
      </c>
      <c r="W344" s="7" t="str">
        <f>IF(V344="스토리위즈",VLOOKUP(K344,[1]작가별정산률!$A:$B,2,0),V344)</f>
        <v>김광수</v>
      </c>
    </row>
    <row r="345" spans="1:23" x14ac:dyDescent="0.4">
      <c r="A345" t="s">
        <v>262</v>
      </c>
      <c r="B345" t="s">
        <v>566</v>
      </c>
      <c r="C345" t="s">
        <v>613</v>
      </c>
      <c r="D345" t="s">
        <v>64</v>
      </c>
      <c r="E345" t="s">
        <v>22</v>
      </c>
      <c r="F345" t="s">
        <v>23</v>
      </c>
      <c r="G345">
        <v>1</v>
      </c>
      <c r="H345">
        <v>9791166300134</v>
      </c>
      <c r="I345" t="s">
        <v>24</v>
      </c>
      <c r="J345" t="s">
        <v>123</v>
      </c>
      <c r="K345" t="s">
        <v>119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  <c r="V345" s="7" t="str">
        <f>IF(ISERROR(VLOOKUP(K345,[1]작가별정산률!$R:$S,2,0)),"스토리위즈",VLOOKUP(K345,[1]작가별정산률!$R:$S,2,0))</f>
        <v>스토리위즈</v>
      </c>
      <c r="W345" s="7" t="str">
        <f>IF(V345="스토리위즈",VLOOKUP(K345,[1]작가별정산률!$A:$B,2,0),V345)</f>
        <v>김광수</v>
      </c>
    </row>
    <row r="346" spans="1:23" x14ac:dyDescent="0.4">
      <c r="A346" t="s">
        <v>262</v>
      </c>
      <c r="B346" t="s">
        <v>566</v>
      </c>
      <c r="C346" t="s">
        <v>614</v>
      </c>
      <c r="D346" t="s">
        <v>21</v>
      </c>
      <c r="E346" t="s">
        <v>22</v>
      </c>
      <c r="F346" t="s">
        <v>23</v>
      </c>
      <c r="G346">
        <v>1</v>
      </c>
      <c r="H346">
        <v>9791191562286</v>
      </c>
      <c r="I346" t="s">
        <v>143</v>
      </c>
      <c r="J346" t="s">
        <v>238</v>
      </c>
      <c r="K346" t="s">
        <v>239</v>
      </c>
      <c r="L346" t="s">
        <v>27</v>
      </c>
      <c r="M346" s="3">
        <v>2000</v>
      </c>
      <c r="N346" t="s">
        <v>27</v>
      </c>
      <c r="O346" s="3">
        <v>2000</v>
      </c>
      <c r="P346" s="3">
        <v>2000</v>
      </c>
      <c r="Q346" t="s">
        <v>30</v>
      </c>
      <c r="R346" s="2">
        <v>0.7</v>
      </c>
      <c r="S346" s="3">
        <v>1400</v>
      </c>
      <c r="T346" t="s">
        <v>27</v>
      </c>
      <c r="U346" s="3">
        <v>1400</v>
      </c>
      <c r="V346" s="7" t="str">
        <f>IF(ISERROR(VLOOKUP(K346,[1]작가별정산률!$R:$S,2,0)),"스토리위즈",VLOOKUP(K346,[1]작가별정산률!$R:$S,2,0))</f>
        <v>밀리의 서재</v>
      </c>
      <c r="W346" s="7" t="str">
        <f>IF(V346="스토리위즈",VLOOKUP(K346,[1]작가별정산률!$A:$B,2,0),V346)</f>
        <v>밀리의 서재</v>
      </c>
    </row>
    <row r="347" spans="1:23" x14ac:dyDescent="0.4">
      <c r="A347" t="s">
        <v>262</v>
      </c>
      <c r="B347" t="s">
        <v>566</v>
      </c>
      <c r="C347" t="s">
        <v>615</v>
      </c>
      <c r="D347" t="s">
        <v>64</v>
      </c>
      <c r="E347" t="s">
        <v>22</v>
      </c>
      <c r="F347" t="s">
        <v>23</v>
      </c>
      <c r="G347">
        <v>1</v>
      </c>
      <c r="H347">
        <v>9791166300639</v>
      </c>
      <c r="I347" t="s">
        <v>24</v>
      </c>
      <c r="J347" t="s">
        <v>165</v>
      </c>
      <c r="K347" t="s">
        <v>119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  <c r="V347" s="7" t="str">
        <f>IF(ISERROR(VLOOKUP(K347,[1]작가별정산률!$R:$S,2,0)),"스토리위즈",VLOOKUP(K347,[1]작가별정산률!$R:$S,2,0))</f>
        <v>스토리위즈</v>
      </c>
      <c r="W347" s="7" t="str">
        <f>IF(V347="스토리위즈",VLOOKUP(K347,[1]작가별정산률!$A:$B,2,0),V347)</f>
        <v>김광수</v>
      </c>
    </row>
    <row r="348" spans="1:23" x14ac:dyDescent="0.4">
      <c r="A348" t="s">
        <v>262</v>
      </c>
      <c r="B348" t="s">
        <v>566</v>
      </c>
      <c r="C348" t="s">
        <v>616</v>
      </c>
      <c r="D348" t="s">
        <v>64</v>
      </c>
      <c r="E348" t="s">
        <v>22</v>
      </c>
      <c r="F348" t="s">
        <v>23</v>
      </c>
      <c r="G348">
        <v>1</v>
      </c>
      <c r="H348">
        <v>9791166300691</v>
      </c>
      <c r="I348" t="s">
        <v>24</v>
      </c>
      <c r="J348" t="s">
        <v>152</v>
      </c>
      <c r="K348" t="s">
        <v>119</v>
      </c>
      <c r="L348" t="s">
        <v>27</v>
      </c>
      <c r="M348">
        <v>630</v>
      </c>
      <c r="N348" t="s">
        <v>27</v>
      </c>
      <c r="O348">
        <v>630</v>
      </c>
      <c r="P348">
        <v>630</v>
      </c>
      <c r="Q348" t="s">
        <v>30</v>
      </c>
      <c r="R348" s="2">
        <v>0.7</v>
      </c>
      <c r="S348">
        <v>441</v>
      </c>
      <c r="T348" t="s">
        <v>27</v>
      </c>
      <c r="U348">
        <v>441</v>
      </c>
      <c r="V348" s="7" t="str">
        <f>IF(ISERROR(VLOOKUP(K348,[1]작가별정산률!$R:$S,2,0)),"스토리위즈",VLOOKUP(K348,[1]작가별정산률!$R:$S,2,0))</f>
        <v>스토리위즈</v>
      </c>
      <c r="W348" s="7" t="str">
        <f>IF(V348="스토리위즈",VLOOKUP(K348,[1]작가별정산률!$A:$B,2,0),V348)</f>
        <v>김광수</v>
      </c>
    </row>
    <row r="349" spans="1:23" x14ac:dyDescent="0.4">
      <c r="A349" t="s">
        <v>262</v>
      </c>
      <c r="B349" t="s">
        <v>566</v>
      </c>
      <c r="C349" t="s">
        <v>617</v>
      </c>
      <c r="D349" t="s">
        <v>64</v>
      </c>
      <c r="E349" t="s">
        <v>22</v>
      </c>
      <c r="F349" t="s">
        <v>23</v>
      </c>
      <c r="G349">
        <v>1</v>
      </c>
      <c r="H349">
        <v>9791166300196</v>
      </c>
      <c r="I349" t="s">
        <v>24</v>
      </c>
      <c r="J349" t="s">
        <v>128</v>
      </c>
      <c r="K349" t="s">
        <v>119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  <c r="V349" s="7" t="str">
        <f>IF(ISERROR(VLOOKUP(K349,[1]작가별정산률!$R:$S,2,0)),"스토리위즈",VLOOKUP(K349,[1]작가별정산률!$R:$S,2,0))</f>
        <v>스토리위즈</v>
      </c>
      <c r="W349" s="7" t="str">
        <f>IF(V349="스토리위즈",VLOOKUP(K349,[1]작가별정산률!$A:$B,2,0),V349)</f>
        <v>김광수</v>
      </c>
    </row>
    <row r="350" spans="1:23" x14ac:dyDescent="0.4">
      <c r="A350" t="s">
        <v>262</v>
      </c>
      <c r="B350" t="s">
        <v>566</v>
      </c>
      <c r="C350" t="s">
        <v>618</v>
      </c>
      <c r="D350" t="s">
        <v>64</v>
      </c>
      <c r="E350" t="s">
        <v>22</v>
      </c>
      <c r="F350" t="s">
        <v>23</v>
      </c>
      <c r="G350">
        <v>1</v>
      </c>
      <c r="H350">
        <v>9791166300622</v>
      </c>
      <c r="I350" t="s">
        <v>24</v>
      </c>
      <c r="J350" t="s">
        <v>164</v>
      </c>
      <c r="K350" t="s">
        <v>119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  <c r="V350" s="7" t="str">
        <f>IF(ISERROR(VLOOKUP(K350,[1]작가별정산률!$R:$S,2,0)),"스토리위즈",VLOOKUP(K350,[1]작가별정산률!$R:$S,2,0))</f>
        <v>스토리위즈</v>
      </c>
      <c r="W350" s="7" t="str">
        <f>IF(V350="스토리위즈",VLOOKUP(K350,[1]작가별정산률!$A:$B,2,0),V350)</f>
        <v>김광수</v>
      </c>
    </row>
    <row r="351" spans="1:23" x14ac:dyDescent="0.4">
      <c r="A351" t="s">
        <v>262</v>
      </c>
      <c r="B351" t="s">
        <v>566</v>
      </c>
      <c r="C351" t="s">
        <v>619</v>
      </c>
      <c r="D351" t="s">
        <v>21</v>
      </c>
      <c r="E351" t="s">
        <v>22</v>
      </c>
      <c r="F351" t="s">
        <v>23</v>
      </c>
      <c r="G351">
        <v>1</v>
      </c>
      <c r="H351">
        <v>9791191562262</v>
      </c>
      <c r="I351" t="s">
        <v>143</v>
      </c>
      <c r="J351" t="s">
        <v>250</v>
      </c>
      <c r="K351" t="s">
        <v>251</v>
      </c>
      <c r="L351" t="s">
        <v>27</v>
      </c>
      <c r="M351" s="3">
        <v>2000</v>
      </c>
      <c r="N351" t="s">
        <v>27</v>
      </c>
      <c r="O351" s="3">
        <v>2000</v>
      </c>
      <c r="P351" s="3">
        <v>2000</v>
      </c>
      <c r="Q351" t="s">
        <v>30</v>
      </c>
      <c r="R351" s="2">
        <v>0.7</v>
      </c>
      <c r="S351" s="3">
        <v>1400</v>
      </c>
      <c r="T351" t="s">
        <v>27</v>
      </c>
      <c r="U351" s="3">
        <v>1400</v>
      </c>
      <c r="V351" s="7" t="str">
        <f>IF(ISERROR(VLOOKUP(K351,[1]작가별정산률!$R:$S,2,0)),"스토리위즈",VLOOKUP(K351,[1]작가별정산률!$R:$S,2,0))</f>
        <v>밀리의 서재</v>
      </c>
      <c r="W351" s="7" t="str">
        <f>IF(V351="스토리위즈",VLOOKUP(K351,[1]작가별정산률!$A:$B,2,0),V351)</f>
        <v>밀리의 서재</v>
      </c>
    </row>
    <row r="352" spans="1:23" x14ac:dyDescent="0.4">
      <c r="A352" t="s">
        <v>262</v>
      </c>
      <c r="B352" t="s">
        <v>566</v>
      </c>
      <c r="C352" t="s">
        <v>620</v>
      </c>
      <c r="D352" t="s">
        <v>64</v>
      </c>
      <c r="E352" t="s">
        <v>22</v>
      </c>
      <c r="F352" t="s">
        <v>23</v>
      </c>
      <c r="G352">
        <v>1</v>
      </c>
      <c r="H352">
        <v>9791166064098</v>
      </c>
      <c r="I352" t="s">
        <v>24</v>
      </c>
      <c r="J352" t="s">
        <v>92</v>
      </c>
      <c r="K352" t="s">
        <v>37</v>
      </c>
      <c r="L352" t="s">
        <v>27</v>
      </c>
      <c r="M352">
        <v>900</v>
      </c>
      <c r="N352" t="s">
        <v>27</v>
      </c>
      <c r="O352">
        <v>900</v>
      </c>
      <c r="P352">
        <v>900</v>
      </c>
      <c r="Q352" t="s">
        <v>30</v>
      </c>
      <c r="R352" s="2">
        <v>0.7</v>
      </c>
      <c r="S352">
        <v>630</v>
      </c>
      <c r="T352" t="s">
        <v>27</v>
      </c>
      <c r="U352">
        <v>630</v>
      </c>
      <c r="V352" s="7" t="str">
        <f>IF(ISERROR(VLOOKUP(K352,[1]작가별정산률!$R:$S,2,0)),"스토리위즈",VLOOKUP(K352,[1]작가별정산률!$R:$S,2,0))</f>
        <v>스토리위즈</v>
      </c>
      <c r="W352" s="7" t="str">
        <f>IF(V352="스토리위즈",VLOOKUP(K352,[1]작가별정산률!$A:$B,2,0),V352)</f>
        <v>권용찬</v>
      </c>
    </row>
    <row r="353" spans="1:23" x14ac:dyDescent="0.4">
      <c r="A353" t="s">
        <v>262</v>
      </c>
      <c r="B353" t="s">
        <v>566</v>
      </c>
      <c r="C353" t="s">
        <v>621</v>
      </c>
      <c r="D353" t="s">
        <v>64</v>
      </c>
      <c r="E353" t="s">
        <v>22</v>
      </c>
      <c r="F353" t="s">
        <v>23</v>
      </c>
      <c r="G353">
        <v>1</v>
      </c>
      <c r="H353">
        <v>9791166064074</v>
      </c>
      <c r="I353" t="s">
        <v>24</v>
      </c>
      <c r="J353" t="s">
        <v>90</v>
      </c>
      <c r="K353" t="s">
        <v>37</v>
      </c>
      <c r="L353" t="s">
        <v>27</v>
      </c>
      <c r="M353">
        <v>900</v>
      </c>
      <c r="N353" t="s">
        <v>27</v>
      </c>
      <c r="O353">
        <v>900</v>
      </c>
      <c r="P353">
        <v>900</v>
      </c>
      <c r="Q353" t="s">
        <v>30</v>
      </c>
      <c r="R353" s="2">
        <v>0.7</v>
      </c>
      <c r="S353">
        <v>630</v>
      </c>
      <c r="T353" t="s">
        <v>27</v>
      </c>
      <c r="U353">
        <v>630</v>
      </c>
      <c r="V353" s="7" t="str">
        <f>IF(ISERROR(VLOOKUP(K353,[1]작가별정산률!$R:$S,2,0)),"스토리위즈",VLOOKUP(K353,[1]작가별정산률!$R:$S,2,0))</f>
        <v>스토리위즈</v>
      </c>
      <c r="W353" s="7" t="str">
        <f>IF(V353="스토리위즈",VLOOKUP(K353,[1]작가별정산률!$A:$B,2,0),V353)</f>
        <v>권용찬</v>
      </c>
    </row>
    <row r="354" spans="1:23" x14ac:dyDescent="0.4">
      <c r="A354" t="s">
        <v>262</v>
      </c>
      <c r="B354" t="s">
        <v>566</v>
      </c>
      <c r="C354" t="s">
        <v>622</v>
      </c>
      <c r="D354" t="s">
        <v>64</v>
      </c>
      <c r="E354" t="s">
        <v>22</v>
      </c>
      <c r="F354" t="s">
        <v>23</v>
      </c>
      <c r="G354">
        <v>1</v>
      </c>
      <c r="H354">
        <v>9791166300639</v>
      </c>
      <c r="I354" t="s">
        <v>24</v>
      </c>
      <c r="J354" t="s">
        <v>165</v>
      </c>
      <c r="K354" t="s">
        <v>119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  <c r="V354" s="7" t="str">
        <f>IF(ISERROR(VLOOKUP(K354,[1]작가별정산률!$R:$S,2,0)),"스토리위즈",VLOOKUP(K354,[1]작가별정산률!$R:$S,2,0))</f>
        <v>스토리위즈</v>
      </c>
      <c r="W354" s="7" t="str">
        <f>IF(V354="스토리위즈",VLOOKUP(K354,[1]작가별정산률!$A:$B,2,0),V354)</f>
        <v>김광수</v>
      </c>
    </row>
    <row r="355" spans="1:23" x14ac:dyDescent="0.4">
      <c r="A355" t="s">
        <v>262</v>
      </c>
      <c r="B355" t="s">
        <v>566</v>
      </c>
      <c r="C355" t="s">
        <v>623</v>
      </c>
      <c r="D355" t="s">
        <v>64</v>
      </c>
      <c r="E355" t="s">
        <v>22</v>
      </c>
      <c r="F355" t="s">
        <v>23</v>
      </c>
      <c r="G355">
        <v>1</v>
      </c>
      <c r="H355">
        <v>9791166300608</v>
      </c>
      <c r="I355" t="s">
        <v>24</v>
      </c>
      <c r="J355" t="s">
        <v>162</v>
      </c>
      <c r="K355" t="s">
        <v>119</v>
      </c>
      <c r="L355" t="s">
        <v>27</v>
      </c>
      <c r="M355">
        <v>630</v>
      </c>
      <c r="N355" t="s">
        <v>27</v>
      </c>
      <c r="O355">
        <v>630</v>
      </c>
      <c r="P355">
        <v>630</v>
      </c>
      <c r="Q355" t="s">
        <v>30</v>
      </c>
      <c r="R355" s="2">
        <v>0.7</v>
      </c>
      <c r="S355">
        <v>441</v>
      </c>
      <c r="T355" t="s">
        <v>27</v>
      </c>
      <c r="U355">
        <v>441</v>
      </c>
      <c r="V355" s="7" t="str">
        <f>IF(ISERROR(VLOOKUP(K355,[1]작가별정산률!$R:$S,2,0)),"스토리위즈",VLOOKUP(K355,[1]작가별정산률!$R:$S,2,0))</f>
        <v>스토리위즈</v>
      </c>
      <c r="W355" s="7" t="str">
        <f>IF(V355="스토리위즈",VLOOKUP(K355,[1]작가별정산률!$A:$B,2,0),V355)</f>
        <v>김광수</v>
      </c>
    </row>
    <row r="356" spans="1:23" x14ac:dyDescent="0.4">
      <c r="A356" t="s">
        <v>262</v>
      </c>
      <c r="B356" t="s">
        <v>566</v>
      </c>
      <c r="C356" t="s">
        <v>624</v>
      </c>
      <c r="D356" t="s">
        <v>64</v>
      </c>
      <c r="E356" t="s">
        <v>22</v>
      </c>
      <c r="F356" t="s">
        <v>23</v>
      </c>
      <c r="G356">
        <v>1</v>
      </c>
      <c r="H356">
        <v>9791166300653</v>
      </c>
      <c r="I356" t="s">
        <v>24</v>
      </c>
      <c r="J356" t="s">
        <v>157</v>
      </c>
      <c r="K356" t="s">
        <v>119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  <c r="V356" s="7" t="str">
        <f>IF(ISERROR(VLOOKUP(K356,[1]작가별정산률!$R:$S,2,0)),"스토리위즈",VLOOKUP(K356,[1]작가별정산률!$R:$S,2,0))</f>
        <v>스토리위즈</v>
      </c>
      <c r="W356" s="7" t="str">
        <f>IF(V356="스토리위즈",VLOOKUP(K356,[1]작가별정산률!$A:$B,2,0),V356)</f>
        <v>김광수</v>
      </c>
    </row>
    <row r="357" spans="1:23" x14ac:dyDescent="0.4">
      <c r="A357" t="s">
        <v>262</v>
      </c>
      <c r="B357" t="s">
        <v>566</v>
      </c>
      <c r="C357" t="s">
        <v>625</v>
      </c>
      <c r="D357" t="s">
        <v>21</v>
      </c>
      <c r="E357" t="s">
        <v>22</v>
      </c>
      <c r="F357" t="s">
        <v>23</v>
      </c>
      <c r="G357">
        <v>1</v>
      </c>
      <c r="H357">
        <v>9791166300226</v>
      </c>
      <c r="I357" t="s">
        <v>24</v>
      </c>
      <c r="J357" t="s">
        <v>131</v>
      </c>
      <c r="K357" t="s">
        <v>119</v>
      </c>
      <c r="L357" t="s">
        <v>27</v>
      </c>
      <c r="M357" s="3">
        <v>3200</v>
      </c>
      <c r="N357" t="s">
        <v>27</v>
      </c>
      <c r="O357" s="3">
        <v>3200</v>
      </c>
      <c r="P357" s="3">
        <v>3200</v>
      </c>
      <c r="Q357" t="s">
        <v>30</v>
      </c>
      <c r="R357" s="2">
        <v>0.7</v>
      </c>
      <c r="S357" s="3">
        <v>2240</v>
      </c>
      <c r="T357" t="s">
        <v>27</v>
      </c>
      <c r="U357" s="3">
        <v>2240</v>
      </c>
      <c r="V357" s="7" t="str">
        <f>IF(ISERROR(VLOOKUP(K357,[1]작가별정산률!$R:$S,2,0)),"스토리위즈",VLOOKUP(K357,[1]작가별정산률!$R:$S,2,0))</f>
        <v>스토리위즈</v>
      </c>
      <c r="W357" s="7" t="str">
        <f>IF(V357="스토리위즈",VLOOKUP(K357,[1]작가별정산률!$A:$B,2,0),V357)</f>
        <v>김광수</v>
      </c>
    </row>
    <row r="358" spans="1:23" x14ac:dyDescent="0.4">
      <c r="A358" t="s">
        <v>262</v>
      </c>
      <c r="B358" t="s">
        <v>566</v>
      </c>
      <c r="C358" t="s">
        <v>626</v>
      </c>
      <c r="D358" t="s">
        <v>64</v>
      </c>
      <c r="E358" t="s">
        <v>22</v>
      </c>
      <c r="F358" t="s">
        <v>23</v>
      </c>
      <c r="G358">
        <v>1</v>
      </c>
      <c r="H358">
        <v>9791159283109</v>
      </c>
      <c r="I358" t="s">
        <v>24</v>
      </c>
      <c r="J358" t="s">
        <v>75</v>
      </c>
      <c r="K358" t="s">
        <v>37</v>
      </c>
      <c r="L358" t="s">
        <v>27</v>
      </c>
      <c r="M358">
        <v>900</v>
      </c>
      <c r="N358" t="s">
        <v>27</v>
      </c>
      <c r="O358">
        <v>900</v>
      </c>
      <c r="P358">
        <v>900</v>
      </c>
      <c r="Q358" t="s">
        <v>30</v>
      </c>
      <c r="R358" s="2">
        <v>0.7</v>
      </c>
      <c r="S358">
        <v>630</v>
      </c>
      <c r="T358" t="s">
        <v>27</v>
      </c>
      <c r="U358">
        <v>630</v>
      </c>
      <c r="V358" s="7" t="str">
        <f>IF(ISERROR(VLOOKUP(K358,[1]작가별정산률!$R:$S,2,0)),"스토리위즈",VLOOKUP(K358,[1]작가별정산률!$R:$S,2,0))</f>
        <v>스토리위즈</v>
      </c>
      <c r="W358" s="7" t="str">
        <f>IF(V358="스토리위즈",VLOOKUP(K358,[1]작가별정산률!$A:$B,2,0),V358)</f>
        <v>권용찬</v>
      </c>
    </row>
    <row r="359" spans="1:23" x14ac:dyDescent="0.4">
      <c r="A359" t="s">
        <v>262</v>
      </c>
      <c r="B359" t="s">
        <v>566</v>
      </c>
      <c r="C359" t="s">
        <v>627</v>
      </c>
      <c r="D359" t="s">
        <v>64</v>
      </c>
      <c r="E359" t="s">
        <v>22</v>
      </c>
      <c r="F359" t="s">
        <v>23</v>
      </c>
      <c r="G359">
        <v>1</v>
      </c>
      <c r="H359">
        <v>9791166300639</v>
      </c>
      <c r="I359" t="s">
        <v>24</v>
      </c>
      <c r="J359" t="s">
        <v>165</v>
      </c>
      <c r="K359" t="s">
        <v>119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  <c r="V359" s="7" t="str">
        <f>IF(ISERROR(VLOOKUP(K359,[1]작가별정산률!$R:$S,2,0)),"스토리위즈",VLOOKUP(K359,[1]작가별정산률!$R:$S,2,0))</f>
        <v>스토리위즈</v>
      </c>
      <c r="W359" s="7" t="str">
        <f>IF(V359="스토리위즈",VLOOKUP(K359,[1]작가별정산률!$A:$B,2,0),V359)</f>
        <v>김광수</v>
      </c>
    </row>
    <row r="360" spans="1:23" x14ac:dyDescent="0.4">
      <c r="A360" t="s">
        <v>262</v>
      </c>
      <c r="B360" t="s">
        <v>566</v>
      </c>
      <c r="C360" t="s">
        <v>628</v>
      </c>
      <c r="D360" t="s">
        <v>64</v>
      </c>
      <c r="E360" t="s">
        <v>22</v>
      </c>
      <c r="F360" t="s">
        <v>23</v>
      </c>
      <c r="G360">
        <v>1</v>
      </c>
      <c r="H360">
        <v>9791166300462</v>
      </c>
      <c r="I360" t="s">
        <v>24</v>
      </c>
      <c r="J360" t="s">
        <v>144</v>
      </c>
      <c r="K360" t="s">
        <v>119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2">
        <v>0.7</v>
      </c>
      <c r="S360">
        <v>441</v>
      </c>
      <c r="T360" t="s">
        <v>27</v>
      </c>
      <c r="U360">
        <v>441</v>
      </c>
      <c r="V360" s="7" t="str">
        <f>IF(ISERROR(VLOOKUP(K360,[1]작가별정산률!$R:$S,2,0)),"스토리위즈",VLOOKUP(K360,[1]작가별정산률!$R:$S,2,0))</f>
        <v>스토리위즈</v>
      </c>
      <c r="W360" s="7" t="str">
        <f>IF(V360="스토리위즈",VLOOKUP(K360,[1]작가별정산률!$A:$B,2,0),V360)</f>
        <v>김광수</v>
      </c>
    </row>
    <row r="361" spans="1:23" x14ac:dyDescent="0.4">
      <c r="A361" t="s">
        <v>262</v>
      </c>
      <c r="B361" t="s">
        <v>566</v>
      </c>
      <c r="C361" t="s">
        <v>629</v>
      </c>
      <c r="D361" t="s">
        <v>64</v>
      </c>
      <c r="E361" t="s">
        <v>22</v>
      </c>
      <c r="F361" t="s">
        <v>23</v>
      </c>
      <c r="G361">
        <v>1</v>
      </c>
      <c r="H361">
        <v>9791166300127</v>
      </c>
      <c r="I361" t="s">
        <v>24</v>
      </c>
      <c r="J361" t="s">
        <v>122</v>
      </c>
      <c r="K361" t="s">
        <v>119</v>
      </c>
      <c r="L361" t="s">
        <v>27</v>
      </c>
      <c r="M361">
        <v>630</v>
      </c>
      <c r="N361" t="s">
        <v>27</v>
      </c>
      <c r="O361">
        <v>630</v>
      </c>
      <c r="P361">
        <v>630</v>
      </c>
      <c r="Q361" t="s">
        <v>30</v>
      </c>
      <c r="R361" s="2">
        <v>0.7</v>
      </c>
      <c r="S361">
        <v>441</v>
      </c>
      <c r="T361" t="s">
        <v>27</v>
      </c>
      <c r="U361">
        <v>441</v>
      </c>
      <c r="V361" s="7" t="str">
        <f>IF(ISERROR(VLOOKUP(K361,[1]작가별정산률!$R:$S,2,0)),"스토리위즈",VLOOKUP(K361,[1]작가별정산률!$R:$S,2,0))</f>
        <v>스토리위즈</v>
      </c>
      <c r="W361" s="7" t="str">
        <f>IF(V361="스토리위즈",VLOOKUP(K361,[1]작가별정산률!$A:$B,2,0),V361)</f>
        <v>김광수</v>
      </c>
    </row>
    <row r="362" spans="1:23" x14ac:dyDescent="0.4">
      <c r="A362" t="s">
        <v>262</v>
      </c>
      <c r="B362" t="s">
        <v>566</v>
      </c>
      <c r="C362" t="s">
        <v>630</v>
      </c>
      <c r="D362" t="s">
        <v>21</v>
      </c>
      <c r="E362" t="s">
        <v>22</v>
      </c>
      <c r="F362" t="s">
        <v>23</v>
      </c>
      <c r="G362">
        <v>1</v>
      </c>
      <c r="H362">
        <v>9791197098444</v>
      </c>
      <c r="I362" t="s">
        <v>24</v>
      </c>
      <c r="J362" t="s">
        <v>259</v>
      </c>
      <c r="K362" t="s">
        <v>37</v>
      </c>
      <c r="L362" t="s">
        <v>27</v>
      </c>
      <c r="M362" s="3">
        <v>3200</v>
      </c>
      <c r="N362" t="s">
        <v>219</v>
      </c>
      <c r="O362">
        <v>3.8</v>
      </c>
      <c r="P362">
        <v>3.3</v>
      </c>
      <c r="Q362" t="s">
        <v>220</v>
      </c>
      <c r="R362" s="2">
        <v>0.7</v>
      </c>
      <c r="S362">
        <v>2.31</v>
      </c>
      <c r="T362" t="s">
        <v>27</v>
      </c>
      <c r="U362" s="3">
        <v>1891</v>
      </c>
      <c r="V362" s="7" t="str">
        <f>IF(ISERROR(VLOOKUP(K362,[1]작가별정산률!$R:$S,2,0)),"스토리위즈",VLOOKUP(K362,[1]작가별정산률!$R:$S,2,0))</f>
        <v>스토리위즈</v>
      </c>
      <c r="W362" s="7" t="str">
        <f>IF(V362="스토리위즈",VLOOKUP(K362,[1]작가별정산률!$A:$B,2,0),V362)</f>
        <v>권용찬</v>
      </c>
    </row>
    <row r="363" spans="1:23" x14ac:dyDescent="0.4">
      <c r="A363" t="s">
        <v>262</v>
      </c>
      <c r="B363" t="s">
        <v>566</v>
      </c>
      <c r="C363" t="s">
        <v>631</v>
      </c>
      <c r="D363" t="s">
        <v>64</v>
      </c>
      <c r="E363" t="s">
        <v>22</v>
      </c>
      <c r="F363" t="s">
        <v>23</v>
      </c>
      <c r="G363">
        <v>1</v>
      </c>
      <c r="H363">
        <v>9791166300646</v>
      </c>
      <c r="I363" t="s">
        <v>24</v>
      </c>
      <c r="J363" t="s">
        <v>155</v>
      </c>
      <c r="K363" t="s">
        <v>119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  <c r="V363" s="7" t="str">
        <f>IF(ISERROR(VLOOKUP(K363,[1]작가별정산률!$R:$S,2,0)),"스토리위즈",VLOOKUP(K363,[1]작가별정산률!$R:$S,2,0))</f>
        <v>스토리위즈</v>
      </c>
      <c r="W363" s="7" t="str">
        <f>IF(V363="스토리위즈",VLOOKUP(K363,[1]작가별정산률!$A:$B,2,0),V363)</f>
        <v>김광수</v>
      </c>
    </row>
    <row r="364" spans="1:23" x14ac:dyDescent="0.4">
      <c r="A364" t="s">
        <v>262</v>
      </c>
      <c r="B364" t="s">
        <v>566</v>
      </c>
      <c r="C364" t="s">
        <v>632</v>
      </c>
      <c r="D364" t="s">
        <v>64</v>
      </c>
      <c r="E364" t="s">
        <v>22</v>
      </c>
      <c r="F364" t="s">
        <v>23</v>
      </c>
      <c r="G364">
        <v>1</v>
      </c>
      <c r="H364">
        <v>9791159283086</v>
      </c>
      <c r="I364" t="s">
        <v>24</v>
      </c>
      <c r="J364" t="s">
        <v>72</v>
      </c>
      <c r="K364" t="s">
        <v>37</v>
      </c>
      <c r="L364" t="s">
        <v>27</v>
      </c>
      <c r="M364">
        <v>900</v>
      </c>
      <c r="N364" t="s">
        <v>27</v>
      </c>
      <c r="O364">
        <v>900</v>
      </c>
      <c r="P364">
        <v>900</v>
      </c>
      <c r="Q364" t="s">
        <v>30</v>
      </c>
      <c r="R364" s="2">
        <v>0.7</v>
      </c>
      <c r="S364">
        <v>630</v>
      </c>
      <c r="T364" t="s">
        <v>27</v>
      </c>
      <c r="U364">
        <v>630</v>
      </c>
      <c r="V364" s="7" t="str">
        <f>IF(ISERROR(VLOOKUP(K364,[1]작가별정산률!$R:$S,2,0)),"스토리위즈",VLOOKUP(K364,[1]작가별정산률!$R:$S,2,0))</f>
        <v>스토리위즈</v>
      </c>
      <c r="W364" s="7" t="str">
        <f>IF(V364="스토리위즈",VLOOKUP(K364,[1]작가별정산률!$A:$B,2,0),V364)</f>
        <v>권용찬</v>
      </c>
    </row>
    <row r="365" spans="1:23" x14ac:dyDescent="0.4">
      <c r="A365" t="s">
        <v>262</v>
      </c>
      <c r="B365" t="s">
        <v>566</v>
      </c>
      <c r="C365" t="s">
        <v>633</v>
      </c>
      <c r="D365" t="s">
        <v>64</v>
      </c>
      <c r="E365" t="s">
        <v>22</v>
      </c>
      <c r="F365" t="s">
        <v>23</v>
      </c>
      <c r="G365">
        <v>1</v>
      </c>
      <c r="H365">
        <v>9791166064067</v>
      </c>
      <c r="I365" t="s">
        <v>24</v>
      </c>
      <c r="J365" t="s">
        <v>81</v>
      </c>
      <c r="K365" t="s">
        <v>37</v>
      </c>
      <c r="L365" t="s">
        <v>27</v>
      </c>
      <c r="M365">
        <v>900</v>
      </c>
      <c r="N365" t="s">
        <v>27</v>
      </c>
      <c r="O365">
        <v>900</v>
      </c>
      <c r="P365">
        <v>900</v>
      </c>
      <c r="Q365" t="s">
        <v>30</v>
      </c>
      <c r="R365" s="2">
        <v>0.7</v>
      </c>
      <c r="S365">
        <v>630</v>
      </c>
      <c r="T365" t="s">
        <v>27</v>
      </c>
      <c r="U365">
        <v>630</v>
      </c>
      <c r="V365" s="7" t="str">
        <f>IF(ISERROR(VLOOKUP(K365,[1]작가별정산률!$R:$S,2,0)),"스토리위즈",VLOOKUP(K365,[1]작가별정산률!$R:$S,2,0))</f>
        <v>스토리위즈</v>
      </c>
      <c r="W365" s="7" t="str">
        <f>IF(V365="스토리위즈",VLOOKUP(K365,[1]작가별정산률!$A:$B,2,0),V365)</f>
        <v>권용찬</v>
      </c>
    </row>
    <row r="366" spans="1:23" x14ac:dyDescent="0.4">
      <c r="A366" t="s">
        <v>262</v>
      </c>
      <c r="B366" t="s">
        <v>566</v>
      </c>
      <c r="C366" t="s">
        <v>634</v>
      </c>
      <c r="D366" t="s">
        <v>64</v>
      </c>
      <c r="E366" t="s">
        <v>22</v>
      </c>
      <c r="F366" t="s">
        <v>23</v>
      </c>
      <c r="G366">
        <v>1</v>
      </c>
      <c r="H366">
        <v>9791166300691</v>
      </c>
      <c r="I366" t="s">
        <v>24</v>
      </c>
      <c r="J366" t="s">
        <v>152</v>
      </c>
      <c r="K366" t="s">
        <v>119</v>
      </c>
      <c r="L366" t="s">
        <v>27</v>
      </c>
      <c r="M366">
        <v>630</v>
      </c>
      <c r="N366" t="s">
        <v>27</v>
      </c>
      <c r="O366">
        <v>630</v>
      </c>
      <c r="P366">
        <v>630</v>
      </c>
      <c r="Q366" t="s">
        <v>30</v>
      </c>
      <c r="R366" s="2">
        <v>0.7</v>
      </c>
      <c r="S366">
        <v>441</v>
      </c>
      <c r="T366" t="s">
        <v>27</v>
      </c>
      <c r="U366">
        <v>441</v>
      </c>
      <c r="V366" s="7" t="str">
        <f>IF(ISERROR(VLOOKUP(K366,[1]작가별정산률!$R:$S,2,0)),"스토리위즈",VLOOKUP(K366,[1]작가별정산률!$R:$S,2,0))</f>
        <v>스토리위즈</v>
      </c>
      <c r="W366" s="7" t="str">
        <f>IF(V366="스토리위즈",VLOOKUP(K366,[1]작가별정산률!$A:$B,2,0),V366)</f>
        <v>김광수</v>
      </c>
    </row>
    <row r="367" spans="1:23" x14ac:dyDescent="0.4">
      <c r="A367" t="s">
        <v>262</v>
      </c>
      <c r="B367" t="s">
        <v>566</v>
      </c>
      <c r="C367" t="s">
        <v>635</v>
      </c>
      <c r="D367" t="s">
        <v>64</v>
      </c>
      <c r="E367" t="s">
        <v>22</v>
      </c>
      <c r="F367" t="s">
        <v>23</v>
      </c>
      <c r="G367">
        <v>1</v>
      </c>
      <c r="H367">
        <v>9791159283215</v>
      </c>
      <c r="I367" t="s">
        <v>24</v>
      </c>
      <c r="J367" t="s">
        <v>103</v>
      </c>
      <c r="K367" t="s">
        <v>37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2">
        <v>0.7</v>
      </c>
      <c r="S367">
        <v>441</v>
      </c>
      <c r="T367" t="s">
        <v>27</v>
      </c>
      <c r="U367">
        <v>441</v>
      </c>
      <c r="V367" s="7" t="str">
        <f>IF(ISERROR(VLOOKUP(K367,[1]작가별정산률!$R:$S,2,0)),"스토리위즈",VLOOKUP(K367,[1]작가별정산률!$R:$S,2,0))</f>
        <v>스토리위즈</v>
      </c>
      <c r="W367" s="7" t="str">
        <f>IF(V367="스토리위즈",VLOOKUP(K367,[1]작가별정산률!$A:$B,2,0),V367)</f>
        <v>권용찬</v>
      </c>
    </row>
    <row r="368" spans="1:23" x14ac:dyDescent="0.4">
      <c r="A368" t="s">
        <v>262</v>
      </c>
      <c r="B368" t="s">
        <v>566</v>
      </c>
      <c r="C368" t="s">
        <v>636</v>
      </c>
      <c r="D368" t="s">
        <v>64</v>
      </c>
      <c r="E368" t="s">
        <v>22</v>
      </c>
      <c r="F368" t="s">
        <v>23</v>
      </c>
      <c r="G368">
        <v>1</v>
      </c>
      <c r="H368">
        <v>9791166300660</v>
      </c>
      <c r="I368" t="s">
        <v>24</v>
      </c>
      <c r="J368" t="s">
        <v>156</v>
      </c>
      <c r="K368" t="s">
        <v>119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  <c r="V368" s="7" t="str">
        <f>IF(ISERROR(VLOOKUP(K368,[1]작가별정산률!$R:$S,2,0)),"스토리위즈",VLOOKUP(K368,[1]작가별정산률!$R:$S,2,0))</f>
        <v>스토리위즈</v>
      </c>
      <c r="W368" s="7" t="str">
        <f>IF(V368="스토리위즈",VLOOKUP(K368,[1]작가별정산률!$A:$B,2,0),V368)</f>
        <v>김광수</v>
      </c>
    </row>
    <row r="369" spans="1:23" x14ac:dyDescent="0.4">
      <c r="A369" t="s">
        <v>262</v>
      </c>
      <c r="B369" t="s">
        <v>566</v>
      </c>
      <c r="C369" t="s">
        <v>637</v>
      </c>
      <c r="D369" t="s">
        <v>64</v>
      </c>
      <c r="E369" t="s">
        <v>22</v>
      </c>
      <c r="F369" t="s">
        <v>23</v>
      </c>
      <c r="G369">
        <v>1</v>
      </c>
      <c r="H369">
        <v>9791159282218</v>
      </c>
      <c r="I369" t="s">
        <v>24</v>
      </c>
      <c r="J369" t="s">
        <v>107</v>
      </c>
      <c r="K369" t="s">
        <v>37</v>
      </c>
      <c r="L369" t="s">
        <v>27</v>
      </c>
      <c r="M369">
        <v>900</v>
      </c>
      <c r="N369" t="s">
        <v>27</v>
      </c>
      <c r="O369">
        <v>900</v>
      </c>
      <c r="P369">
        <v>900</v>
      </c>
      <c r="Q369" t="s">
        <v>30</v>
      </c>
      <c r="R369" s="2">
        <v>0.7</v>
      </c>
      <c r="S369">
        <v>630</v>
      </c>
      <c r="T369" t="s">
        <v>27</v>
      </c>
      <c r="U369">
        <v>630</v>
      </c>
      <c r="V369" s="7" t="str">
        <f>IF(ISERROR(VLOOKUP(K369,[1]작가별정산률!$R:$S,2,0)),"스토리위즈",VLOOKUP(K369,[1]작가별정산률!$R:$S,2,0))</f>
        <v>스토리위즈</v>
      </c>
      <c r="W369" s="7" t="str">
        <f>IF(V369="스토리위즈",VLOOKUP(K369,[1]작가별정산률!$A:$B,2,0),V369)</f>
        <v>권용찬</v>
      </c>
    </row>
    <row r="370" spans="1:23" x14ac:dyDescent="0.4">
      <c r="A370" t="s">
        <v>262</v>
      </c>
      <c r="B370" t="s">
        <v>566</v>
      </c>
      <c r="C370" t="s">
        <v>638</v>
      </c>
      <c r="D370" t="s">
        <v>64</v>
      </c>
      <c r="E370" t="s">
        <v>22</v>
      </c>
      <c r="F370" t="s">
        <v>23</v>
      </c>
      <c r="G370">
        <v>1</v>
      </c>
      <c r="H370">
        <v>9791166300653</v>
      </c>
      <c r="I370" t="s">
        <v>24</v>
      </c>
      <c r="J370" t="s">
        <v>157</v>
      </c>
      <c r="K370" t="s">
        <v>119</v>
      </c>
      <c r="L370" t="s">
        <v>27</v>
      </c>
      <c r="M370">
        <v>630</v>
      </c>
      <c r="N370" t="s">
        <v>27</v>
      </c>
      <c r="O370">
        <v>630</v>
      </c>
      <c r="P370">
        <v>630</v>
      </c>
      <c r="Q370" t="s">
        <v>30</v>
      </c>
      <c r="R370" s="2">
        <v>0.7</v>
      </c>
      <c r="S370">
        <v>441</v>
      </c>
      <c r="T370" t="s">
        <v>27</v>
      </c>
      <c r="U370">
        <v>441</v>
      </c>
      <c r="V370" s="7" t="str">
        <f>IF(ISERROR(VLOOKUP(K370,[1]작가별정산률!$R:$S,2,0)),"스토리위즈",VLOOKUP(K370,[1]작가별정산률!$R:$S,2,0))</f>
        <v>스토리위즈</v>
      </c>
      <c r="W370" s="7" t="str">
        <f>IF(V370="스토리위즈",VLOOKUP(K370,[1]작가별정산률!$A:$B,2,0),V370)</f>
        <v>김광수</v>
      </c>
    </row>
    <row r="371" spans="1:23" x14ac:dyDescent="0.4">
      <c r="A371" t="s">
        <v>262</v>
      </c>
      <c r="B371" t="s">
        <v>566</v>
      </c>
      <c r="C371" t="s">
        <v>639</v>
      </c>
      <c r="D371" t="s">
        <v>64</v>
      </c>
      <c r="E371" t="s">
        <v>22</v>
      </c>
      <c r="F371" t="s">
        <v>23</v>
      </c>
      <c r="G371">
        <v>1</v>
      </c>
      <c r="H371">
        <v>9791166300110</v>
      </c>
      <c r="I371" t="s">
        <v>24</v>
      </c>
      <c r="J371" t="s">
        <v>121</v>
      </c>
      <c r="K371" t="s">
        <v>119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  <c r="V371" s="7" t="str">
        <f>IF(ISERROR(VLOOKUP(K371,[1]작가별정산률!$R:$S,2,0)),"스토리위즈",VLOOKUP(K371,[1]작가별정산률!$R:$S,2,0))</f>
        <v>스토리위즈</v>
      </c>
      <c r="W371" s="7" t="str">
        <f>IF(V371="스토리위즈",VLOOKUP(K371,[1]작가별정산률!$A:$B,2,0),V371)</f>
        <v>김광수</v>
      </c>
    </row>
    <row r="372" spans="1:23" x14ac:dyDescent="0.4">
      <c r="A372" t="s">
        <v>262</v>
      </c>
      <c r="B372" t="s">
        <v>566</v>
      </c>
      <c r="C372" t="s">
        <v>640</v>
      </c>
      <c r="D372" t="s">
        <v>64</v>
      </c>
      <c r="E372" t="s">
        <v>22</v>
      </c>
      <c r="F372" t="s">
        <v>23</v>
      </c>
      <c r="G372">
        <v>1</v>
      </c>
      <c r="H372">
        <v>9791159285318</v>
      </c>
      <c r="I372" t="s">
        <v>24</v>
      </c>
      <c r="J372" t="s">
        <v>36</v>
      </c>
      <c r="K372" t="s">
        <v>37</v>
      </c>
      <c r="L372" t="s">
        <v>27</v>
      </c>
      <c r="M372">
        <v>630</v>
      </c>
      <c r="N372" t="s">
        <v>28</v>
      </c>
      <c r="O372">
        <v>0.52</v>
      </c>
      <c r="P372">
        <v>0.52</v>
      </c>
      <c r="Q372" t="s">
        <v>29</v>
      </c>
      <c r="R372" s="2">
        <v>0.7</v>
      </c>
      <c r="S372">
        <v>0.36</v>
      </c>
      <c r="T372" t="s">
        <v>27</v>
      </c>
      <c r="U372">
        <v>459</v>
      </c>
      <c r="V372" s="7" t="str">
        <f>IF(ISERROR(VLOOKUP(K372,[1]작가별정산률!$R:$S,2,0)),"스토리위즈",VLOOKUP(K372,[1]작가별정산률!$R:$S,2,0))</f>
        <v>스토리위즈</v>
      </c>
      <c r="W372" s="7" t="str">
        <f>IF(V372="스토리위즈",VLOOKUP(K372,[1]작가별정산률!$A:$B,2,0),V372)</f>
        <v>권용찬</v>
      </c>
    </row>
    <row r="373" spans="1:23" x14ac:dyDescent="0.4">
      <c r="A373" t="s">
        <v>262</v>
      </c>
      <c r="B373" t="s">
        <v>566</v>
      </c>
      <c r="C373" t="s">
        <v>641</v>
      </c>
      <c r="D373" t="s">
        <v>64</v>
      </c>
      <c r="E373" t="s">
        <v>22</v>
      </c>
      <c r="F373" t="s">
        <v>23</v>
      </c>
      <c r="G373">
        <v>1</v>
      </c>
      <c r="H373">
        <v>9791159283116</v>
      </c>
      <c r="I373" t="s">
        <v>24</v>
      </c>
      <c r="J373" t="s">
        <v>76</v>
      </c>
      <c r="K373" t="s">
        <v>37</v>
      </c>
      <c r="L373" t="s">
        <v>27</v>
      </c>
      <c r="M373">
        <v>900</v>
      </c>
      <c r="N373" t="s">
        <v>27</v>
      </c>
      <c r="O373">
        <v>900</v>
      </c>
      <c r="P373">
        <v>900</v>
      </c>
      <c r="Q373" t="s">
        <v>30</v>
      </c>
      <c r="R373" s="2">
        <v>0.7</v>
      </c>
      <c r="S373">
        <v>630</v>
      </c>
      <c r="T373" t="s">
        <v>27</v>
      </c>
      <c r="U373">
        <v>630</v>
      </c>
      <c r="V373" s="7" t="str">
        <f>IF(ISERROR(VLOOKUP(K373,[1]작가별정산률!$R:$S,2,0)),"스토리위즈",VLOOKUP(K373,[1]작가별정산률!$R:$S,2,0))</f>
        <v>스토리위즈</v>
      </c>
      <c r="W373" s="7" t="str">
        <f>IF(V373="스토리위즈",VLOOKUP(K373,[1]작가별정산률!$A:$B,2,0),V373)</f>
        <v>권용찬</v>
      </c>
    </row>
    <row r="374" spans="1:23" x14ac:dyDescent="0.4">
      <c r="A374" t="s">
        <v>262</v>
      </c>
      <c r="B374" t="s">
        <v>566</v>
      </c>
      <c r="C374" t="s">
        <v>642</v>
      </c>
      <c r="D374" t="s">
        <v>64</v>
      </c>
      <c r="E374" t="s">
        <v>22</v>
      </c>
      <c r="F374" t="s">
        <v>23</v>
      </c>
      <c r="G374">
        <v>1</v>
      </c>
      <c r="H374">
        <v>9791166300202</v>
      </c>
      <c r="I374" t="s">
        <v>24</v>
      </c>
      <c r="J374" t="s">
        <v>129</v>
      </c>
      <c r="K374" t="s">
        <v>119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  <c r="V374" s="7" t="str">
        <f>IF(ISERROR(VLOOKUP(K374,[1]작가별정산률!$R:$S,2,0)),"스토리위즈",VLOOKUP(K374,[1]작가별정산률!$R:$S,2,0))</f>
        <v>스토리위즈</v>
      </c>
      <c r="W374" s="7" t="str">
        <f>IF(V374="스토리위즈",VLOOKUP(K374,[1]작가별정산률!$A:$B,2,0),V374)</f>
        <v>김광수</v>
      </c>
    </row>
    <row r="375" spans="1:23" x14ac:dyDescent="0.4">
      <c r="A375" t="s">
        <v>262</v>
      </c>
      <c r="B375" t="s">
        <v>566</v>
      </c>
      <c r="C375" t="s">
        <v>643</v>
      </c>
      <c r="D375" t="s">
        <v>64</v>
      </c>
      <c r="E375" t="s">
        <v>22</v>
      </c>
      <c r="F375" t="s">
        <v>23</v>
      </c>
      <c r="G375">
        <v>1</v>
      </c>
      <c r="H375">
        <v>9791166300257</v>
      </c>
      <c r="I375" t="s">
        <v>24</v>
      </c>
      <c r="J375" t="s">
        <v>134</v>
      </c>
      <c r="K375" t="s">
        <v>119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  <c r="V375" s="7" t="str">
        <f>IF(ISERROR(VLOOKUP(K375,[1]작가별정산률!$R:$S,2,0)),"스토리위즈",VLOOKUP(K375,[1]작가별정산률!$R:$S,2,0))</f>
        <v>스토리위즈</v>
      </c>
      <c r="W375" s="7" t="str">
        <f>IF(V375="스토리위즈",VLOOKUP(K375,[1]작가별정산률!$A:$B,2,0),V375)</f>
        <v>김광수</v>
      </c>
    </row>
    <row r="376" spans="1:23" x14ac:dyDescent="0.4">
      <c r="A376" t="s">
        <v>262</v>
      </c>
      <c r="B376" t="s">
        <v>566</v>
      </c>
      <c r="C376" t="s">
        <v>644</v>
      </c>
      <c r="D376" t="s">
        <v>64</v>
      </c>
      <c r="E376" t="s">
        <v>22</v>
      </c>
      <c r="F376" t="s">
        <v>23</v>
      </c>
      <c r="G376">
        <v>1</v>
      </c>
      <c r="H376">
        <v>9791166300691</v>
      </c>
      <c r="I376" t="s">
        <v>24</v>
      </c>
      <c r="J376" t="s">
        <v>152</v>
      </c>
      <c r="K376" t="s">
        <v>119</v>
      </c>
      <c r="L376" t="s">
        <v>27</v>
      </c>
      <c r="M376">
        <v>630</v>
      </c>
      <c r="N376" t="s">
        <v>27</v>
      </c>
      <c r="O376">
        <v>630</v>
      </c>
      <c r="P376">
        <v>630</v>
      </c>
      <c r="Q376" t="s">
        <v>30</v>
      </c>
      <c r="R376" s="2">
        <v>0.7</v>
      </c>
      <c r="S376">
        <v>441</v>
      </c>
      <c r="T376" t="s">
        <v>27</v>
      </c>
      <c r="U376">
        <v>441</v>
      </c>
      <c r="V376" s="7" t="str">
        <f>IF(ISERROR(VLOOKUP(K376,[1]작가별정산률!$R:$S,2,0)),"스토리위즈",VLOOKUP(K376,[1]작가별정산률!$R:$S,2,0))</f>
        <v>스토리위즈</v>
      </c>
      <c r="W376" s="7" t="str">
        <f>IF(V376="스토리위즈",VLOOKUP(K376,[1]작가별정산률!$A:$B,2,0),V376)</f>
        <v>김광수</v>
      </c>
    </row>
    <row r="377" spans="1:23" x14ac:dyDescent="0.4">
      <c r="A377" t="s">
        <v>262</v>
      </c>
      <c r="B377" t="s">
        <v>566</v>
      </c>
      <c r="C377" t="s">
        <v>645</v>
      </c>
      <c r="D377" t="s">
        <v>64</v>
      </c>
      <c r="E377" t="s">
        <v>22</v>
      </c>
      <c r="F377" t="s">
        <v>23</v>
      </c>
      <c r="G377">
        <v>1</v>
      </c>
      <c r="H377">
        <v>9791166300134</v>
      </c>
      <c r="I377" t="s">
        <v>24</v>
      </c>
      <c r="J377" t="s">
        <v>123</v>
      </c>
      <c r="K377" t="s">
        <v>119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  <c r="V377" s="7" t="str">
        <f>IF(ISERROR(VLOOKUP(K377,[1]작가별정산률!$R:$S,2,0)),"스토리위즈",VLOOKUP(K377,[1]작가별정산률!$R:$S,2,0))</f>
        <v>스토리위즈</v>
      </c>
      <c r="W377" s="7" t="str">
        <f>IF(V377="스토리위즈",VLOOKUP(K377,[1]작가별정산률!$A:$B,2,0),V377)</f>
        <v>김광수</v>
      </c>
    </row>
    <row r="378" spans="1:23" x14ac:dyDescent="0.4">
      <c r="A378" t="s">
        <v>262</v>
      </c>
      <c r="B378" t="s">
        <v>566</v>
      </c>
      <c r="C378" t="s">
        <v>646</v>
      </c>
      <c r="D378" t="s">
        <v>21</v>
      </c>
      <c r="E378" t="s">
        <v>22</v>
      </c>
      <c r="F378" t="s">
        <v>23</v>
      </c>
      <c r="G378">
        <v>1</v>
      </c>
      <c r="H378">
        <v>9791191562125</v>
      </c>
      <c r="I378" t="s">
        <v>143</v>
      </c>
      <c r="J378" t="s">
        <v>212</v>
      </c>
      <c r="K378" t="s">
        <v>213</v>
      </c>
      <c r="L378" t="s">
        <v>27</v>
      </c>
      <c r="M378" s="3">
        <v>2500</v>
      </c>
      <c r="N378" t="s">
        <v>27</v>
      </c>
      <c r="O378" s="3">
        <v>2500</v>
      </c>
      <c r="P378" s="3">
        <v>2500</v>
      </c>
      <c r="Q378" t="s">
        <v>30</v>
      </c>
      <c r="R378" s="2">
        <v>0.7</v>
      </c>
      <c r="S378" s="3">
        <v>1750</v>
      </c>
      <c r="T378" t="s">
        <v>27</v>
      </c>
      <c r="U378" s="3">
        <v>1750</v>
      </c>
      <c r="V378" s="7" t="str">
        <f>IF(ISERROR(VLOOKUP(K378,[1]작가별정산률!$R:$S,2,0)),"스토리위즈",VLOOKUP(K378,[1]작가별정산률!$R:$S,2,0))</f>
        <v>밀리의 서재</v>
      </c>
      <c r="W378" s="7" t="str">
        <f>IF(V378="스토리위즈",VLOOKUP(K378,[1]작가별정산률!$A:$B,2,0),V378)</f>
        <v>밀리의 서재</v>
      </c>
    </row>
    <row r="379" spans="1:23" x14ac:dyDescent="0.4">
      <c r="A379" t="s">
        <v>262</v>
      </c>
      <c r="B379" t="s">
        <v>647</v>
      </c>
      <c r="C379" t="s">
        <v>648</v>
      </c>
      <c r="D379" t="s">
        <v>21</v>
      </c>
      <c r="E379" t="s">
        <v>22</v>
      </c>
      <c r="F379" t="s">
        <v>23</v>
      </c>
      <c r="G379">
        <v>1</v>
      </c>
      <c r="H379">
        <v>9791166300233</v>
      </c>
      <c r="I379" t="s">
        <v>24</v>
      </c>
      <c r="J379" t="s">
        <v>132</v>
      </c>
      <c r="K379" t="s">
        <v>119</v>
      </c>
      <c r="L379" t="s">
        <v>27</v>
      </c>
      <c r="M379" s="3">
        <v>3200</v>
      </c>
      <c r="N379" t="s">
        <v>27</v>
      </c>
      <c r="O379" s="3">
        <v>3200</v>
      </c>
      <c r="P379" s="3">
        <v>3200</v>
      </c>
      <c r="Q379" t="s">
        <v>30</v>
      </c>
      <c r="R379" s="2">
        <v>0.7</v>
      </c>
      <c r="S379" s="3">
        <v>2240</v>
      </c>
      <c r="T379" t="s">
        <v>27</v>
      </c>
      <c r="U379" s="3">
        <v>2240</v>
      </c>
      <c r="V379" s="7" t="str">
        <f>IF(ISERROR(VLOOKUP(K379,[1]작가별정산률!$R:$S,2,0)),"스토리위즈",VLOOKUP(K379,[1]작가별정산률!$R:$S,2,0))</f>
        <v>스토리위즈</v>
      </c>
      <c r="W379" s="7" t="str">
        <f>IF(V379="스토리위즈",VLOOKUP(K379,[1]작가별정산률!$A:$B,2,0),V379)</f>
        <v>김광수</v>
      </c>
    </row>
    <row r="380" spans="1:23" x14ac:dyDescent="0.4">
      <c r="A380" t="s">
        <v>262</v>
      </c>
      <c r="B380" t="s">
        <v>647</v>
      </c>
      <c r="C380" t="s">
        <v>649</v>
      </c>
      <c r="D380" t="s">
        <v>64</v>
      </c>
      <c r="E380" t="s">
        <v>22</v>
      </c>
      <c r="F380" t="s">
        <v>23</v>
      </c>
      <c r="G380">
        <v>1</v>
      </c>
      <c r="H380">
        <v>9791166064173</v>
      </c>
      <c r="I380" t="s">
        <v>24</v>
      </c>
      <c r="J380" t="s">
        <v>209</v>
      </c>
      <c r="K380" t="s">
        <v>37</v>
      </c>
      <c r="L380" t="s">
        <v>27</v>
      </c>
      <c r="M380">
        <v>900</v>
      </c>
      <c r="N380" t="s">
        <v>27</v>
      </c>
      <c r="O380">
        <v>900</v>
      </c>
      <c r="P380">
        <v>900</v>
      </c>
      <c r="Q380" t="s">
        <v>30</v>
      </c>
      <c r="R380" s="2">
        <v>0.7</v>
      </c>
      <c r="S380">
        <v>630</v>
      </c>
      <c r="T380" t="s">
        <v>27</v>
      </c>
      <c r="U380">
        <v>630</v>
      </c>
      <c r="V380" s="7" t="str">
        <f>IF(ISERROR(VLOOKUP(K380,[1]작가별정산률!$R:$S,2,0)),"스토리위즈",VLOOKUP(K380,[1]작가별정산률!$R:$S,2,0))</f>
        <v>스토리위즈</v>
      </c>
      <c r="W380" s="7" t="str">
        <f>IF(V380="스토리위즈",VLOOKUP(K380,[1]작가별정산률!$A:$B,2,0),V380)</f>
        <v>권용찬</v>
      </c>
    </row>
    <row r="381" spans="1:23" x14ac:dyDescent="0.4">
      <c r="A381" t="s">
        <v>262</v>
      </c>
      <c r="B381" t="s">
        <v>647</v>
      </c>
      <c r="C381" t="s">
        <v>650</v>
      </c>
      <c r="D381" t="s">
        <v>64</v>
      </c>
      <c r="E381" t="s">
        <v>22</v>
      </c>
      <c r="F381" t="s">
        <v>23</v>
      </c>
      <c r="G381">
        <v>1</v>
      </c>
      <c r="H381">
        <v>9791166300110</v>
      </c>
      <c r="I381" t="s">
        <v>24</v>
      </c>
      <c r="J381" t="s">
        <v>121</v>
      </c>
      <c r="K381" t="s">
        <v>119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2">
        <v>0.7</v>
      </c>
      <c r="S381">
        <v>441</v>
      </c>
      <c r="T381" t="s">
        <v>27</v>
      </c>
      <c r="U381">
        <v>441</v>
      </c>
      <c r="V381" s="7" t="str">
        <f>IF(ISERROR(VLOOKUP(K381,[1]작가별정산률!$R:$S,2,0)),"스토리위즈",VLOOKUP(K381,[1]작가별정산률!$R:$S,2,0))</f>
        <v>스토리위즈</v>
      </c>
      <c r="W381" s="7" t="str">
        <f>IF(V381="스토리위즈",VLOOKUP(K381,[1]작가별정산률!$A:$B,2,0),V381)</f>
        <v>김광수</v>
      </c>
    </row>
    <row r="382" spans="1:23" x14ac:dyDescent="0.4">
      <c r="A382" t="s">
        <v>262</v>
      </c>
      <c r="B382" t="s">
        <v>647</v>
      </c>
      <c r="C382" t="s">
        <v>651</v>
      </c>
      <c r="D382" t="s">
        <v>64</v>
      </c>
      <c r="E382" t="s">
        <v>22</v>
      </c>
      <c r="F382" t="s">
        <v>23</v>
      </c>
      <c r="G382">
        <v>1</v>
      </c>
      <c r="H382">
        <v>9791166064104</v>
      </c>
      <c r="I382" t="s">
        <v>24</v>
      </c>
      <c r="J382" t="s">
        <v>93</v>
      </c>
      <c r="K382" t="s">
        <v>37</v>
      </c>
      <c r="L382" t="s">
        <v>27</v>
      </c>
      <c r="M382">
        <v>900</v>
      </c>
      <c r="N382" t="s">
        <v>27</v>
      </c>
      <c r="O382">
        <v>900</v>
      </c>
      <c r="P382">
        <v>900</v>
      </c>
      <c r="Q382" t="s">
        <v>30</v>
      </c>
      <c r="R382" s="2">
        <v>0.7</v>
      </c>
      <c r="S382">
        <v>630</v>
      </c>
      <c r="T382" t="s">
        <v>27</v>
      </c>
      <c r="U382">
        <v>630</v>
      </c>
      <c r="V382" s="7" t="str">
        <f>IF(ISERROR(VLOOKUP(K382,[1]작가별정산률!$R:$S,2,0)),"스토리위즈",VLOOKUP(K382,[1]작가별정산률!$R:$S,2,0))</f>
        <v>스토리위즈</v>
      </c>
      <c r="W382" s="7" t="str">
        <f>IF(V382="스토리위즈",VLOOKUP(K382,[1]작가별정산률!$A:$B,2,0),V382)</f>
        <v>권용찬</v>
      </c>
    </row>
    <row r="383" spans="1:23" x14ac:dyDescent="0.4">
      <c r="A383" t="s">
        <v>262</v>
      </c>
      <c r="B383" t="s">
        <v>647</v>
      </c>
      <c r="C383" t="s">
        <v>652</v>
      </c>
      <c r="D383" t="s">
        <v>64</v>
      </c>
      <c r="E383" t="s">
        <v>22</v>
      </c>
      <c r="F383" t="s">
        <v>23</v>
      </c>
      <c r="G383">
        <v>1</v>
      </c>
      <c r="H383">
        <v>9791166300219</v>
      </c>
      <c r="I383" t="s">
        <v>24</v>
      </c>
      <c r="J383" t="s">
        <v>130</v>
      </c>
      <c r="K383" t="s">
        <v>119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  <c r="V383" s="7" t="str">
        <f>IF(ISERROR(VLOOKUP(K383,[1]작가별정산률!$R:$S,2,0)),"스토리위즈",VLOOKUP(K383,[1]작가별정산률!$R:$S,2,0))</f>
        <v>스토리위즈</v>
      </c>
      <c r="W383" s="7" t="str">
        <f>IF(V383="스토리위즈",VLOOKUP(K383,[1]작가별정산률!$A:$B,2,0),V383)</f>
        <v>김광수</v>
      </c>
    </row>
    <row r="384" spans="1:23" x14ac:dyDescent="0.4">
      <c r="A384" t="s">
        <v>262</v>
      </c>
      <c r="B384" t="s">
        <v>647</v>
      </c>
      <c r="C384" t="s">
        <v>653</v>
      </c>
      <c r="D384" t="s">
        <v>64</v>
      </c>
      <c r="E384" t="s">
        <v>22</v>
      </c>
      <c r="F384" t="s">
        <v>23</v>
      </c>
      <c r="G384">
        <v>1</v>
      </c>
      <c r="H384">
        <v>9791166300271</v>
      </c>
      <c r="I384" t="s">
        <v>24</v>
      </c>
      <c r="J384" t="s">
        <v>136</v>
      </c>
      <c r="K384" t="s">
        <v>119</v>
      </c>
      <c r="L384" t="s">
        <v>27</v>
      </c>
      <c r="M384">
        <v>630</v>
      </c>
      <c r="N384" t="s">
        <v>27</v>
      </c>
      <c r="O384">
        <v>630</v>
      </c>
      <c r="P384">
        <v>630</v>
      </c>
      <c r="Q384" t="s">
        <v>30</v>
      </c>
      <c r="R384" s="2">
        <v>0.7</v>
      </c>
      <c r="S384">
        <v>441</v>
      </c>
      <c r="T384" t="s">
        <v>27</v>
      </c>
      <c r="U384">
        <v>441</v>
      </c>
      <c r="V384" s="7" t="str">
        <f>IF(ISERROR(VLOOKUP(K384,[1]작가별정산률!$R:$S,2,0)),"스토리위즈",VLOOKUP(K384,[1]작가별정산률!$R:$S,2,0))</f>
        <v>스토리위즈</v>
      </c>
      <c r="W384" s="7" t="str">
        <f>IF(V384="스토리위즈",VLOOKUP(K384,[1]작가별정산률!$A:$B,2,0),V384)</f>
        <v>김광수</v>
      </c>
    </row>
    <row r="385" spans="1:23" x14ac:dyDescent="0.4">
      <c r="A385" t="s">
        <v>262</v>
      </c>
      <c r="B385" t="s">
        <v>647</v>
      </c>
      <c r="C385" t="s">
        <v>654</v>
      </c>
      <c r="D385" t="s">
        <v>64</v>
      </c>
      <c r="E385" t="s">
        <v>22</v>
      </c>
      <c r="F385" t="s">
        <v>23</v>
      </c>
      <c r="G385">
        <v>1</v>
      </c>
      <c r="H385">
        <v>9791166064180</v>
      </c>
      <c r="I385" t="s">
        <v>24</v>
      </c>
      <c r="J385" t="s">
        <v>211</v>
      </c>
      <c r="K385" t="s">
        <v>37</v>
      </c>
      <c r="L385" t="s">
        <v>27</v>
      </c>
      <c r="M385">
        <v>900</v>
      </c>
      <c r="N385" t="s">
        <v>27</v>
      </c>
      <c r="O385">
        <v>900</v>
      </c>
      <c r="P385">
        <v>900</v>
      </c>
      <c r="Q385" t="s">
        <v>30</v>
      </c>
      <c r="R385" s="2">
        <v>0.7</v>
      </c>
      <c r="S385">
        <v>630</v>
      </c>
      <c r="T385" t="s">
        <v>27</v>
      </c>
      <c r="U385">
        <v>630</v>
      </c>
      <c r="V385" s="7" t="str">
        <f>IF(ISERROR(VLOOKUP(K385,[1]작가별정산률!$R:$S,2,0)),"스토리위즈",VLOOKUP(K385,[1]작가별정산률!$R:$S,2,0))</f>
        <v>스토리위즈</v>
      </c>
      <c r="W385" s="7" t="str">
        <f>IF(V385="스토리위즈",VLOOKUP(K385,[1]작가별정산률!$A:$B,2,0),V385)</f>
        <v>권용찬</v>
      </c>
    </row>
    <row r="386" spans="1:23" x14ac:dyDescent="0.4">
      <c r="A386" t="s">
        <v>262</v>
      </c>
      <c r="B386" t="s">
        <v>647</v>
      </c>
      <c r="C386" t="s">
        <v>655</v>
      </c>
      <c r="D386" t="s">
        <v>64</v>
      </c>
      <c r="E386" t="s">
        <v>22</v>
      </c>
      <c r="F386" t="s">
        <v>23</v>
      </c>
      <c r="G386">
        <v>1</v>
      </c>
      <c r="H386">
        <v>9791159283123</v>
      </c>
      <c r="I386" t="s">
        <v>24</v>
      </c>
      <c r="J386" t="s">
        <v>78</v>
      </c>
      <c r="K386" t="s">
        <v>37</v>
      </c>
      <c r="L386" t="s">
        <v>27</v>
      </c>
      <c r="M386">
        <v>900</v>
      </c>
      <c r="N386" t="s">
        <v>27</v>
      </c>
      <c r="O386">
        <v>900</v>
      </c>
      <c r="P386">
        <v>900</v>
      </c>
      <c r="Q386" t="s">
        <v>30</v>
      </c>
      <c r="R386" s="2">
        <v>0.7</v>
      </c>
      <c r="S386">
        <v>630</v>
      </c>
      <c r="T386" t="s">
        <v>27</v>
      </c>
      <c r="U386">
        <v>630</v>
      </c>
      <c r="V386" s="7" t="str">
        <f>IF(ISERROR(VLOOKUP(K386,[1]작가별정산률!$R:$S,2,0)),"스토리위즈",VLOOKUP(K386,[1]작가별정산률!$R:$S,2,0))</f>
        <v>스토리위즈</v>
      </c>
      <c r="W386" s="7" t="str">
        <f>IF(V386="스토리위즈",VLOOKUP(K386,[1]작가별정산률!$A:$B,2,0),V386)</f>
        <v>권용찬</v>
      </c>
    </row>
    <row r="387" spans="1:23" x14ac:dyDescent="0.4">
      <c r="A387" t="s">
        <v>262</v>
      </c>
      <c r="B387" t="s">
        <v>647</v>
      </c>
      <c r="C387" t="s">
        <v>656</v>
      </c>
      <c r="D387" t="s">
        <v>64</v>
      </c>
      <c r="E387" t="s">
        <v>22</v>
      </c>
      <c r="F387" t="s">
        <v>23</v>
      </c>
      <c r="G387">
        <v>1</v>
      </c>
      <c r="H387">
        <v>9791166300127</v>
      </c>
      <c r="I387" t="s">
        <v>24</v>
      </c>
      <c r="J387" t="s">
        <v>122</v>
      </c>
      <c r="K387" t="s">
        <v>119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2">
        <v>0.7</v>
      </c>
      <c r="S387">
        <v>441</v>
      </c>
      <c r="T387" t="s">
        <v>27</v>
      </c>
      <c r="U387">
        <v>441</v>
      </c>
      <c r="V387" s="7" t="str">
        <f>IF(ISERROR(VLOOKUP(K387,[1]작가별정산률!$R:$S,2,0)),"스토리위즈",VLOOKUP(K387,[1]작가별정산률!$R:$S,2,0))</f>
        <v>스토리위즈</v>
      </c>
      <c r="W387" s="7" t="str">
        <f>IF(V387="스토리위즈",VLOOKUP(K387,[1]작가별정산률!$A:$B,2,0),V387)</f>
        <v>김광수</v>
      </c>
    </row>
    <row r="388" spans="1:23" x14ac:dyDescent="0.4">
      <c r="A388" t="s">
        <v>262</v>
      </c>
      <c r="B388" t="s">
        <v>647</v>
      </c>
      <c r="C388" t="s">
        <v>657</v>
      </c>
      <c r="D388" t="s">
        <v>21</v>
      </c>
      <c r="E388" t="s">
        <v>22</v>
      </c>
      <c r="F388" t="s">
        <v>23</v>
      </c>
      <c r="G388">
        <v>1</v>
      </c>
      <c r="H388">
        <v>9791191562262</v>
      </c>
      <c r="I388" t="s">
        <v>143</v>
      </c>
      <c r="J388" t="s">
        <v>250</v>
      </c>
      <c r="K388" t="s">
        <v>251</v>
      </c>
      <c r="L388" t="s">
        <v>27</v>
      </c>
      <c r="M388" s="3">
        <v>2000</v>
      </c>
      <c r="N388" t="s">
        <v>191</v>
      </c>
      <c r="O388">
        <v>2.4</v>
      </c>
      <c r="P388">
        <v>2.1800000000000002</v>
      </c>
      <c r="Q388" t="s">
        <v>190</v>
      </c>
      <c r="R388" s="2">
        <v>0.7</v>
      </c>
      <c r="S388">
        <v>1.53</v>
      </c>
      <c r="T388" t="s">
        <v>27</v>
      </c>
      <c r="U388" s="3">
        <v>1378</v>
      </c>
      <c r="V388" s="7" t="str">
        <f>IF(ISERROR(VLOOKUP(K388,[1]작가별정산률!$R:$S,2,0)),"스토리위즈",VLOOKUP(K388,[1]작가별정산률!$R:$S,2,0))</f>
        <v>밀리의 서재</v>
      </c>
      <c r="W388" s="7" t="str">
        <f>IF(V388="스토리위즈",VLOOKUP(K388,[1]작가별정산률!$A:$B,2,0),V388)</f>
        <v>밀리의 서재</v>
      </c>
    </row>
    <row r="389" spans="1:23" x14ac:dyDescent="0.4">
      <c r="A389" t="s">
        <v>262</v>
      </c>
      <c r="B389" t="s">
        <v>647</v>
      </c>
      <c r="C389" t="s">
        <v>658</v>
      </c>
      <c r="D389" t="s">
        <v>21</v>
      </c>
      <c r="E389" t="s">
        <v>22</v>
      </c>
      <c r="F389" t="s">
        <v>23</v>
      </c>
      <c r="G389">
        <v>1</v>
      </c>
      <c r="H389">
        <v>9791191562309</v>
      </c>
      <c r="I389" t="s">
        <v>143</v>
      </c>
      <c r="J389" t="s">
        <v>225</v>
      </c>
      <c r="K389" t="s">
        <v>226</v>
      </c>
      <c r="L389" t="s">
        <v>27</v>
      </c>
      <c r="M389" s="3">
        <v>2500</v>
      </c>
      <c r="N389" t="s">
        <v>191</v>
      </c>
      <c r="O389">
        <v>3.01</v>
      </c>
      <c r="P389">
        <v>2.74</v>
      </c>
      <c r="Q389" t="s">
        <v>190</v>
      </c>
      <c r="R389" s="2">
        <v>0.7</v>
      </c>
      <c r="S389">
        <v>1.92</v>
      </c>
      <c r="T389" t="s">
        <v>27</v>
      </c>
      <c r="U389" s="3">
        <v>1729</v>
      </c>
      <c r="V389" s="7" t="str">
        <f>IF(ISERROR(VLOOKUP(K389,[1]작가별정산률!$R:$S,2,0)),"스토리위즈",VLOOKUP(K389,[1]작가별정산률!$R:$S,2,0))</f>
        <v>밀리의 서재</v>
      </c>
      <c r="W389" s="7" t="str">
        <f>IF(V389="스토리위즈",VLOOKUP(K389,[1]작가별정산률!$A:$B,2,0),V389)</f>
        <v>밀리의 서재</v>
      </c>
    </row>
    <row r="390" spans="1:23" x14ac:dyDescent="0.4">
      <c r="A390" t="s">
        <v>262</v>
      </c>
      <c r="B390" t="s">
        <v>647</v>
      </c>
      <c r="C390" t="s">
        <v>659</v>
      </c>
      <c r="D390" t="s">
        <v>21</v>
      </c>
      <c r="E390" t="s">
        <v>22</v>
      </c>
      <c r="F390" t="s">
        <v>23</v>
      </c>
      <c r="G390">
        <v>1</v>
      </c>
      <c r="H390">
        <v>9791191562217</v>
      </c>
      <c r="I390" t="s">
        <v>143</v>
      </c>
      <c r="J390" t="s">
        <v>660</v>
      </c>
      <c r="K390" t="s">
        <v>661</v>
      </c>
      <c r="L390" t="s">
        <v>27</v>
      </c>
      <c r="M390" s="3">
        <v>2000</v>
      </c>
      <c r="N390" t="s">
        <v>191</v>
      </c>
      <c r="O390">
        <v>2.4</v>
      </c>
      <c r="P390">
        <v>2.1800000000000002</v>
      </c>
      <c r="Q390" t="s">
        <v>190</v>
      </c>
      <c r="R390" s="2">
        <v>0.7</v>
      </c>
      <c r="S390">
        <v>1.53</v>
      </c>
      <c r="T390" t="s">
        <v>27</v>
      </c>
      <c r="U390" s="3">
        <v>1378</v>
      </c>
      <c r="V390" s="7" t="str">
        <f>IF(ISERROR(VLOOKUP(K390,[1]작가별정산률!$R:$S,2,0)),"스토리위즈",VLOOKUP(K390,[1]작가별정산률!$R:$S,2,0))</f>
        <v>밀리의 서재</v>
      </c>
      <c r="W390" s="7" t="str">
        <f>IF(V390="스토리위즈",VLOOKUP(K390,[1]작가별정산률!$A:$B,2,0),V390)</f>
        <v>밀리의 서재</v>
      </c>
    </row>
    <row r="391" spans="1:23" x14ac:dyDescent="0.4">
      <c r="A391" t="s">
        <v>262</v>
      </c>
      <c r="B391" t="s">
        <v>647</v>
      </c>
      <c r="C391" t="s">
        <v>662</v>
      </c>
      <c r="D391" t="s">
        <v>21</v>
      </c>
      <c r="E391" t="s">
        <v>22</v>
      </c>
      <c r="F391" t="s">
        <v>23</v>
      </c>
      <c r="G391">
        <v>1</v>
      </c>
      <c r="H391">
        <v>9791191562286</v>
      </c>
      <c r="I391" t="s">
        <v>143</v>
      </c>
      <c r="J391" t="s">
        <v>238</v>
      </c>
      <c r="K391" t="s">
        <v>239</v>
      </c>
      <c r="L391" t="s">
        <v>27</v>
      </c>
      <c r="M391" s="3">
        <v>2000</v>
      </c>
      <c r="N391" t="s">
        <v>27</v>
      </c>
      <c r="O391" s="3">
        <v>2000</v>
      </c>
      <c r="P391" s="3">
        <v>2000</v>
      </c>
      <c r="Q391" t="s">
        <v>30</v>
      </c>
      <c r="R391" s="2">
        <v>0.7</v>
      </c>
      <c r="S391" s="3">
        <v>1400</v>
      </c>
      <c r="T391" t="s">
        <v>27</v>
      </c>
      <c r="U391" s="3">
        <v>1400</v>
      </c>
      <c r="V391" s="7" t="str">
        <f>IF(ISERROR(VLOOKUP(K391,[1]작가별정산률!$R:$S,2,0)),"스토리위즈",VLOOKUP(K391,[1]작가별정산률!$R:$S,2,0))</f>
        <v>밀리의 서재</v>
      </c>
      <c r="W391" s="7" t="str">
        <f>IF(V391="스토리위즈",VLOOKUP(K391,[1]작가별정산률!$A:$B,2,0),V391)</f>
        <v>밀리의 서재</v>
      </c>
    </row>
    <row r="392" spans="1:23" x14ac:dyDescent="0.4">
      <c r="A392" t="s">
        <v>262</v>
      </c>
      <c r="B392" t="s">
        <v>647</v>
      </c>
      <c r="C392" t="s">
        <v>663</v>
      </c>
      <c r="D392" t="s">
        <v>64</v>
      </c>
      <c r="E392" t="s">
        <v>22</v>
      </c>
      <c r="F392" t="s">
        <v>23</v>
      </c>
      <c r="G392">
        <v>1</v>
      </c>
      <c r="H392">
        <v>9791166300486</v>
      </c>
      <c r="I392" t="s">
        <v>24</v>
      </c>
      <c r="J392" t="s">
        <v>146</v>
      </c>
      <c r="K392" t="s">
        <v>119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2">
        <v>0.7</v>
      </c>
      <c r="S392">
        <v>441</v>
      </c>
      <c r="T392" t="s">
        <v>27</v>
      </c>
      <c r="U392">
        <v>441</v>
      </c>
      <c r="V392" s="7" t="str">
        <f>IF(ISERROR(VLOOKUP(K392,[1]작가별정산률!$R:$S,2,0)),"스토리위즈",VLOOKUP(K392,[1]작가별정산률!$R:$S,2,0))</f>
        <v>스토리위즈</v>
      </c>
      <c r="W392" s="7" t="str">
        <f>IF(V392="스토리위즈",VLOOKUP(K392,[1]작가별정산률!$A:$B,2,0),V392)</f>
        <v>김광수</v>
      </c>
    </row>
    <row r="393" spans="1:23" x14ac:dyDescent="0.4">
      <c r="A393" t="s">
        <v>262</v>
      </c>
      <c r="B393" t="s">
        <v>647</v>
      </c>
      <c r="C393" t="s">
        <v>664</v>
      </c>
      <c r="D393" t="s">
        <v>64</v>
      </c>
      <c r="E393" t="s">
        <v>22</v>
      </c>
      <c r="F393" t="s">
        <v>23</v>
      </c>
      <c r="G393">
        <v>1</v>
      </c>
      <c r="H393">
        <v>9791159282218</v>
      </c>
      <c r="I393" t="s">
        <v>24</v>
      </c>
      <c r="J393" t="s">
        <v>107</v>
      </c>
      <c r="K393" t="s">
        <v>37</v>
      </c>
      <c r="L393" t="s">
        <v>27</v>
      </c>
      <c r="M393">
        <v>900</v>
      </c>
      <c r="N393" t="s">
        <v>27</v>
      </c>
      <c r="O393">
        <v>900</v>
      </c>
      <c r="P393">
        <v>900</v>
      </c>
      <c r="Q393" t="s">
        <v>30</v>
      </c>
      <c r="R393" s="2">
        <v>0.7</v>
      </c>
      <c r="S393">
        <v>630</v>
      </c>
      <c r="T393" t="s">
        <v>27</v>
      </c>
      <c r="U393">
        <v>630</v>
      </c>
      <c r="V393" s="7" t="str">
        <f>IF(ISERROR(VLOOKUP(K393,[1]작가별정산률!$R:$S,2,0)),"스토리위즈",VLOOKUP(K393,[1]작가별정산률!$R:$S,2,0))</f>
        <v>스토리위즈</v>
      </c>
      <c r="W393" s="7" t="str">
        <f>IF(V393="스토리위즈",VLOOKUP(K393,[1]작가별정산률!$A:$B,2,0),V393)</f>
        <v>권용찬</v>
      </c>
    </row>
    <row r="394" spans="1:23" x14ac:dyDescent="0.4">
      <c r="A394" t="s">
        <v>262</v>
      </c>
      <c r="B394" t="s">
        <v>647</v>
      </c>
      <c r="C394" t="s">
        <v>665</v>
      </c>
      <c r="D394" t="s">
        <v>64</v>
      </c>
      <c r="E394" t="s">
        <v>22</v>
      </c>
      <c r="F394" t="s">
        <v>23</v>
      </c>
      <c r="G394">
        <v>1</v>
      </c>
      <c r="H394">
        <v>9791166300141</v>
      </c>
      <c r="I394" t="s">
        <v>24</v>
      </c>
      <c r="J394" t="s">
        <v>124</v>
      </c>
      <c r="K394" t="s">
        <v>119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  <c r="V394" s="7" t="str">
        <f>IF(ISERROR(VLOOKUP(K394,[1]작가별정산률!$R:$S,2,0)),"스토리위즈",VLOOKUP(K394,[1]작가별정산률!$R:$S,2,0))</f>
        <v>스토리위즈</v>
      </c>
      <c r="W394" s="7" t="str">
        <f>IF(V394="스토리위즈",VLOOKUP(K394,[1]작가별정산률!$A:$B,2,0),V394)</f>
        <v>김광수</v>
      </c>
    </row>
    <row r="395" spans="1:23" x14ac:dyDescent="0.4">
      <c r="A395" t="s">
        <v>262</v>
      </c>
      <c r="B395" t="s">
        <v>647</v>
      </c>
      <c r="C395" t="s">
        <v>666</v>
      </c>
      <c r="D395" t="s">
        <v>64</v>
      </c>
      <c r="E395" t="s">
        <v>22</v>
      </c>
      <c r="F395" t="s">
        <v>23</v>
      </c>
      <c r="G395">
        <v>1</v>
      </c>
      <c r="H395">
        <v>9791166061158</v>
      </c>
      <c r="I395" t="s">
        <v>24</v>
      </c>
      <c r="J395" t="s">
        <v>101</v>
      </c>
      <c r="K395" t="s">
        <v>37</v>
      </c>
      <c r="L395" t="s">
        <v>27</v>
      </c>
      <c r="M395">
        <v>900</v>
      </c>
      <c r="N395" t="s">
        <v>27</v>
      </c>
      <c r="O395">
        <v>900</v>
      </c>
      <c r="P395">
        <v>900</v>
      </c>
      <c r="Q395" t="s">
        <v>30</v>
      </c>
      <c r="R395" s="2">
        <v>0.7</v>
      </c>
      <c r="S395">
        <v>630</v>
      </c>
      <c r="T395" t="s">
        <v>27</v>
      </c>
      <c r="U395">
        <v>630</v>
      </c>
      <c r="V395" s="7" t="str">
        <f>IF(ISERROR(VLOOKUP(K395,[1]작가별정산률!$R:$S,2,0)),"스토리위즈",VLOOKUP(K395,[1]작가별정산률!$R:$S,2,0))</f>
        <v>스토리위즈</v>
      </c>
      <c r="W395" s="7" t="str">
        <f>IF(V395="스토리위즈",VLOOKUP(K395,[1]작가별정산률!$A:$B,2,0),V395)</f>
        <v>권용찬</v>
      </c>
    </row>
    <row r="396" spans="1:23" x14ac:dyDescent="0.4">
      <c r="A396" t="s">
        <v>262</v>
      </c>
      <c r="B396" t="s">
        <v>647</v>
      </c>
      <c r="C396" t="s">
        <v>667</v>
      </c>
      <c r="D396" t="s">
        <v>64</v>
      </c>
      <c r="E396" t="s">
        <v>22</v>
      </c>
      <c r="F396" t="s">
        <v>23</v>
      </c>
      <c r="G396">
        <v>1</v>
      </c>
      <c r="H396">
        <v>9791166300103</v>
      </c>
      <c r="I396" t="s">
        <v>24</v>
      </c>
      <c r="J396" t="s">
        <v>120</v>
      </c>
      <c r="K396" t="s">
        <v>119</v>
      </c>
      <c r="L396" t="s">
        <v>27</v>
      </c>
      <c r="M396">
        <v>630</v>
      </c>
      <c r="N396" t="s">
        <v>27</v>
      </c>
      <c r="O396">
        <v>630</v>
      </c>
      <c r="P396">
        <v>630</v>
      </c>
      <c r="Q396" t="s">
        <v>30</v>
      </c>
      <c r="R396" s="2">
        <v>0.7</v>
      </c>
      <c r="S396">
        <v>441</v>
      </c>
      <c r="T396" t="s">
        <v>27</v>
      </c>
      <c r="U396">
        <v>441</v>
      </c>
      <c r="V396" s="7" t="str">
        <f>IF(ISERROR(VLOOKUP(K396,[1]작가별정산률!$R:$S,2,0)),"스토리위즈",VLOOKUP(K396,[1]작가별정산률!$R:$S,2,0))</f>
        <v>스토리위즈</v>
      </c>
      <c r="W396" s="7" t="str">
        <f>IF(V396="스토리위즈",VLOOKUP(K396,[1]작가별정산률!$A:$B,2,0),V396)</f>
        <v>김광수</v>
      </c>
    </row>
    <row r="397" spans="1:23" x14ac:dyDescent="0.4">
      <c r="A397" t="s">
        <v>262</v>
      </c>
      <c r="B397" t="s">
        <v>647</v>
      </c>
      <c r="C397" t="s">
        <v>668</v>
      </c>
      <c r="D397" t="s">
        <v>64</v>
      </c>
      <c r="E397" t="s">
        <v>22</v>
      </c>
      <c r="F397" t="s">
        <v>23</v>
      </c>
      <c r="G397">
        <v>1</v>
      </c>
      <c r="H397">
        <v>9791166300486</v>
      </c>
      <c r="I397" t="s">
        <v>24</v>
      </c>
      <c r="J397" t="s">
        <v>146</v>
      </c>
      <c r="K397" t="s">
        <v>119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  <c r="V397" s="7" t="str">
        <f>IF(ISERROR(VLOOKUP(K397,[1]작가별정산률!$R:$S,2,0)),"스토리위즈",VLOOKUP(K397,[1]작가별정산률!$R:$S,2,0))</f>
        <v>스토리위즈</v>
      </c>
      <c r="W397" s="7" t="str">
        <f>IF(V397="스토리위즈",VLOOKUP(K397,[1]작가별정산률!$A:$B,2,0),V397)</f>
        <v>김광수</v>
      </c>
    </row>
    <row r="398" spans="1:23" x14ac:dyDescent="0.4">
      <c r="A398" t="s">
        <v>262</v>
      </c>
      <c r="B398" t="s">
        <v>647</v>
      </c>
      <c r="C398" t="s">
        <v>669</v>
      </c>
      <c r="D398" t="s">
        <v>64</v>
      </c>
      <c r="E398" t="s">
        <v>22</v>
      </c>
      <c r="F398" t="s">
        <v>23</v>
      </c>
      <c r="G398">
        <v>1</v>
      </c>
      <c r="H398">
        <v>9791166300110</v>
      </c>
      <c r="I398" t="s">
        <v>24</v>
      </c>
      <c r="J398" t="s">
        <v>121</v>
      </c>
      <c r="K398" t="s">
        <v>119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2">
        <v>0.7</v>
      </c>
      <c r="S398">
        <v>441</v>
      </c>
      <c r="T398" t="s">
        <v>27</v>
      </c>
      <c r="U398">
        <v>441</v>
      </c>
      <c r="V398" s="7" t="str">
        <f>IF(ISERROR(VLOOKUP(K398,[1]작가별정산률!$R:$S,2,0)),"스토리위즈",VLOOKUP(K398,[1]작가별정산률!$R:$S,2,0))</f>
        <v>스토리위즈</v>
      </c>
      <c r="W398" s="7" t="str">
        <f>IF(V398="스토리위즈",VLOOKUP(K398,[1]작가별정산률!$A:$B,2,0),V398)</f>
        <v>김광수</v>
      </c>
    </row>
    <row r="399" spans="1:23" x14ac:dyDescent="0.4">
      <c r="A399" t="s">
        <v>262</v>
      </c>
      <c r="B399" t="s">
        <v>647</v>
      </c>
      <c r="C399" t="s">
        <v>670</v>
      </c>
      <c r="D399" t="s">
        <v>64</v>
      </c>
      <c r="E399" t="s">
        <v>22</v>
      </c>
      <c r="F399" t="s">
        <v>23</v>
      </c>
      <c r="G399">
        <v>1</v>
      </c>
      <c r="H399">
        <v>9791166300158</v>
      </c>
      <c r="I399" t="s">
        <v>24</v>
      </c>
      <c r="J399" t="s">
        <v>125</v>
      </c>
      <c r="K399" t="s">
        <v>119</v>
      </c>
      <c r="L399" t="s">
        <v>27</v>
      </c>
      <c r="M399">
        <v>630</v>
      </c>
      <c r="N399" t="s">
        <v>27</v>
      </c>
      <c r="O399">
        <v>630</v>
      </c>
      <c r="P399">
        <v>630</v>
      </c>
      <c r="Q399" t="s">
        <v>30</v>
      </c>
      <c r="R399" s="2">
        <v>0.7</v>
      </c>
      <c r="S399">
        <v>441</v>
      </c>
      <c r="T399" t="s">
        <v>27</v>
      </c>
      <c r="U399">
        <v>441</v>
      </c>
      <c r="V399" s="7" t="str">
        <f>IF(ISERROR(VLOOKUP(K399,[1]작가별정산률!$R:$S,2,0)),"스토리위즈",VLOOKUP(K399,[1]작가별정산률!$R:$S,2,0))</f>
        <v>스토리위즈</v>
      </c>
      <c r="W399" s="7" t="str">
        <f>IF(V399="스토리위즈",VLOOKUP(K399,[1]작가별정산률!$A:$B,2,0),V399)</f>
        <v>김광수</v>
      </c>
    </row>
    <row r="400" spans="1:23" x14ac:dyDescent="0.4">
      <c r="A400" t="s">
        <v>262</v>
      </c>
      <c r="B400" t="s">
        <v>647</v>
      </c>
      <c r="C400" t="s">
        <v>671</v>
      </c>
      <c r="D400" t="s">
        <v>64</v>
      </c>
      <c r="E400" t="s">
        <v>22</v>
      </c>
      <c r="F400" t="s">
        <v>23</v>
      </c>
      <c r="G400">
        <v>1</v>
      </c>
      <c r="H400">
        <v>9791159283222</v>
      </c>
      <c r="I400" t="s">
        <v>24</v>
      </c>
      <c r="J400" t="s">
        <v>65</v>
      </c>
      <c r="K400" t="s">
        <v>37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  <c r="V400" s="7" t="str">
        <f>IF(ISERROR(VLOOKUP(K400,[1]작가별정산률!$R:$S,2,0)),"스토리위즈",VLOOKUP(K400,[1]작가별정산률!$R:$S,2,0))</f>
        <v>스토리위즈</v>
      </c>
      <c r="W400" s="7" t="str">
        <f>IF(V400="스토리위즈",VLOOKUP(K400,[1]작가별정산률!$A:$B,2,0),V400)</f>
        <v>권용찬</v>
      </c>
    </row>
    <row r="401" spans="1:23" x14ac:dyDescent="0.4">
      <c r="A401" t="s">
        <v>262</v>
      </c>
      <c r="B401" t="s">
        <v>647</v>
      </c>
      <c r="C401" t="s">
        <v>672</v>
      </c>
      <c r="D401" t="s">
        <v>21</v>
      </c>
      <c r="E401" t="s">
        <v>22</v>
      </c>
      <c r="F401" t="s">
        <v>23</v>
      </c>
      <c r="G401">
        <v>1</v>
      </c>
      <c r="H401">
        <v>9791191562248</v>
      </c>
      <c r="I401" t="s">
        <v>143</v>
      </c>
      <c r="J401" t="s">
        <v>231</v>
      </c>
      <c r="K401" t="s">
        <v>232</v>
      </c>
      <c r="L401" t="s">
        <v>27</v>
      </c>
      <c r="M401" s="3">
        <v>2000</v>
      </c>
      <c r="N401" t="s">
        <v>27</v>
      </c>
      <c r="O401" s="3">
        <v>2000</v>
      </c>
      <c r="P401" s="3">
        <v>2000</v>
      </c>
      <c r="Q401" t="s">
        <v>30</v>
      </c>
      <c r="R401" s="2">
        <v>0.7</v>
      </c>
      <c r="S401" s="3">
        <v>1400</v>
      </c>
      <c r="T401" t="s">
        <v>27</v>
      </c>
      <c r="U401" s="3">
        <v>1400</v>
      </c>
      <c r="V401" s="7" t="str">
        <f>IF(ISERROR(VLOOKUP(K401,[1]작가별정산률!$R:$S,2,0)),"스토리위즈",VLOOKUP(K401,[1]작가별정산률!$R:$S,2,0))</f>
        <v>밀리의 서재</v>
      </c>
      <c r="W401" s="7" t="str">
        <f>IF(V401="스토리위즈",VLOOKUP(K401,[1]작가별정산률!$A:$B,2,0),V401)</f>
        <v>밀리의 서재</v>
      </c>
    </row>
    <row r="402" spans="1:23" x14ac:dyDescent="0.4">
      <c r="A402" t="s">
        <v>262</v>
      </c>
      <c r="B402" t="s">
        <v>647</v>
      </c>
      <c r="C402" t="s">
        <v>673</v>
      </c>
      <c r="D402" t="s">
        <v>64</v>
      </c>
      <c r="E402" t="s">
        <v>22</v>
      </c>
      <c r="F402" t="s">
        <v>23</v>
      </c>
      <c r="G402">
        <v>1</v>
      </c>
      <c r="H402">
        <v>9791166064050</v>
      </c>
      <c r="I402" t="s">
        <v>24</v>
      </c>
      <c r="J402" t="s">
        <v>79</v>
      </c>
      <c r="K402" t="s">
        <v>37</v>
      </c>
      <c r="L402" t="s">
        <v>27</v>
      </c>
      <c r="M402">
        <v>900</v>
      </c>
      <c r="N402" t="s">
        <v>27</v>
      </c>
      <c r="O402">
        <v>900</v>
      </c>
      <c r="P402">
        <v>900</v>
      </c>
      <c r="Q402" t="s">
        <v>30</v>
      </c>
      <c r="R402" s="2">
        <v>0.7</v>
      </c>
      <c r="S402">
        <v>630</v>
      </c>
      <c r="T402" t="s">
        <v>27</v>
      </c>
      <c r="U402">
        <v>630</v>
      </c>
      <c r="V402" s="7" t="str">
        <f>IF(ISERROR(VLOOKUP(K402,[1]작가별정산률!$R:$S,2,0)),"스토리위즈",VLOOKUP(K402,[1]작가별정산률!$R:$S,2,0))</f>
        <v>스토리위즈</v>
      </c>
      <c r="W402" s="7" t="str">
        <f>IF(V402="스토리위즈",VLOOKUP(K402,[1]작가별정산률!$A:$B,2,0),V402)</f>
        <v>권용찬</v>
      </c>
    </row>
    <row r="403" spans="1:23" x14ac:dyDescent="0.4">
      <c r="A403" t="s">
        <v>262</v>
      </c>
      <c r="B403" t="s">
        <v>647</v>
      </c>
      <c r="C403" t="s">
        <v>674</v>
      </c>
      <c r="D403" t="s">
        <v>64</v>
      </c>
      <c r="E403" t="s">
        <v>22</v>
      </c>
      <c r="F403" t="s">
        <v>23</v>
      </c>
      <c r="G403">
        <v>1</v>
      </c>
      <c r="H403">
        <v>9791159283130</v>
      </c>
      <c r="I403" t="s">
        <v>24</v>
      </c>
      <c r="J403" t="s">
        <v>82</v>
      </c>
      <c r="K403" t="s">
        <v>37</v>
      </c>
      <c r="L403" t="s">
        <v>27</v>
      </c>
      <c r="M403">
        <v>900</v>
      </c>
      <c r="N403" t="s">
        <v>27</v>
      </c>
      <c r="O403">
        <v>900</v>
      </c>
      <c r="P403">
        <v>900</v>
      </c>
      <c r="Q403" t="s">
        <v>30</v>
      </c>
      <c r="R403" s="2">
        <v>0.7</v>
      </c>
      <c r="S403">
        <v>630</v>
      </c>
      <c r="T403" t="s">
        <v>27</v>
      </c>
      <c r="U403">
        <v>630</v>
      </c>
      <c r="V403" s="7" t="str">
        <f>IF(ISERROR(VLOOKUP(K403,[1]작가별정산률!$R:$S,2,0)),"스토리위즈",VLOOKUP(K403,[1]작가별정산률!$R:$S,2,0))</f>
        <v>스토리위즈</v>
      </c>
      <c r="W403" s="7" t="str">
        <f>IF(V403="스토리위즈",VLOOKUP(K403,[1]작가별정산률!$A:$B,2,0),V403)</f>
        <v>권용찬</v>
      </c>
    </row>
    <row r="404" spans="1:23" x14ac:dyDescent="0.4">
      <c r="A404" t="s">
        <v>262</v>
      </c>
      <c r="B404" t="s">
        <v>647</v>
      </c>
      <c r="C404" t="s">
        <v>675</v>
      </c>
      <c r="D404" t="s">
        <v>64</v>
      </c>
      <c r="E404" t="s">
        <v>22</v>
      </c>
      <c r="F404" t="s">
        <v>23</v>
      </c>
      <c r="G404">
        <v>1</v>
      </c>
      <c r="H404">
        <v>9791166300646</v>
      </c>
      <c r="I404" t="s">
        <v>24</v>
      </c>
      <c r="J404" t="s">
        <v>155</v>
      </c>
      <c r="K404" t="s">
        <v>119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  <c r="V404" s="7" t="str">
        <f>IF(ISERROR(VLOOKUP(K404,[1]작가별정산률!$R:$S,2,0)),"스토리위즈",VLOOKUP(K404,[1]작가별정산률!$R:$S,2,0))</f>
        <v>스토리위즈</v>
      </c>
      <c r="W404" s="7" t="str">
        <f>IF(V404="스토리위즈",VLOOKUP(K404,[1]작가별정산률!$A:$B,2,0),V404)</f>
        <v>김광수</v>
      </c>
    </row>
    <row r="405" spans="1:23" x14ac:dyDescent="0.4">
      <c r="A405" t="s">
        <v>262</v>
      </c>
      <c r="B405" t="s">
        <v>647</v>
      </c>
      <c r="C405" t="s">
        <v>676</v>
      </c>
      <c r="D405" t="s">
        <v>64</v>
      </c>
      <c r="E405" t="s">
        <v>22</v>
      </c>
      <c r="F405" t="s">
        <v>23</v>
      </c>
      <c r="G405">
        <v>1</v>
      </c>
      <c r="H405">
        <v>9791166300134</v>
      </c>
      <c r="I405" t="s">
        <v>24</v>
      </c>
      <c r="J405" t="s">
        <v>123</v>
      </c>
      <c r="K405" t="s">
        <v>119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2">
        <v>0.7</v>
      </c>
      <c r="S405">
        <v>441</v>
      </c>
      <c r="T405" t="s">
        <v>27</v>
      </c>
      <c r="U405">
        <v>441</v>
      </c>
      <c r="V405" s="7" t="str">
        <f>IF(ISERROR(VLOOKUP(K405,[1]작가별정산률!$R:$S,2,0)),"스토리위즈",VLOOKUP(K405,[1]작가별정산률!$R:$S,2,0))</f>
        <v>스토리위즈</v>
      </c>
      <c r="W405" s="7" t="str">
        <f>IF(V405="스토리위즈",VLOOKUP(K405,[1]작가별정산률!$A:$B,2,0),V405)</f>
        <v>김광수</v>
      </c>
    </row>
    <row r="406" spans="1:23" x14ac:dyDescent="0.4">
      <c r="A406" t="s">
        <v>262</v>
      </c>
      <c r="B406" t="s">
        <v>647</v>
      </c>
      <c r="C406" t="s">
        <v>677</v>
      </c>
      <c r="D406" t="s">
        <v>64</v>
      </c>
      <c r="E406" t="s">
        <v>22</v>
      </c>
      <c r="F406" t="s">
        <v>23</v>
      </c>
      <c r="G406">
        <v>1</v>
      </c>
      <c r="H406">
        <v>9791166300127</v>
      </c>
      <c r="I406" t="s">
        <v>24</v>
      </c>
      <c r="J406" t="s">
        <v>122</v>
      </c>
      <c r="K406" t="s">
        <v>119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2">
        <v>0.7</v>
      </c>
      <c r="S406">
        <v>441</v>
      </c>
      <c r="T406" t="s">
        <v>27</v>
      </c>
      <c r="U406">
        <v>441</v>
      </c>
      <c r="V406" s="7" t="str">
        <f>IF(ISERROR(VLOOKUP(K406,[1]작가별정산률!$R:$S,2,0)),"스토리위즈",VLOOKUP(K406,[1]작가별정산률!$R:$S,2,0))</f>
        <v>스토리위즈</v>
      </c>
      <c r="W406" s="7" t="str">
        <f>IF(V406="스토리위즈",VLOOKUP(K406,[1]작가별정산률!$A:$B,2,0),V406)</f>
        <v>김광수</v>
      </c>
    </row>
    <row r="407" spans="1:23" x14ac:dyDescent="0.4">
      <c r="A407" t="s">
        <v>262</v>
      </c>
      <c r="B407" t="s">
        <v>647</v>
      </c>
      <c r="C407" t="s">
        <v>678</v>
      </c>
      <c r="D407" t="s">
        <v>64</v>
      </c>
      <c r="E407" t="s">
        <v>22</v>
      </c>
      <c r="F407" t="s">
        <v>23</v>
      </c>
      <c r="G407">
        <v>1</v>
      </c>
      <c r="H407">
        <v>9791166300233</v>
      </c>
      <c r="I407" t="s">
        <v>24</v>
      </c>
      <c r="J407" t="s">
        <v>132</v>
      </c>
      <c r="K407" t="s">
        <v>119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  <c r="V407" s="7" t="str">
        <f>IF(ISERROR(VLOOKUP(K407,[1]작가별정산률!$R:$S,2,0)),"스토리위즈",VLOOKUP(K407,[1]작가별정산률!$R:$S,2,0))</f>
        <v>스토리위즈</v>
      </c>
      <c r="W407" s="7" t="str">
        <f>IF(V407="스토리위즈",VLOOKUP(K407,[1]작가별정산률!$A:$B,2,0),V407)</f>
        <v>김광수</v>
      </c>
    </row>
    <row r="408" spans="1:23" x14ac:dyDescent="0.4">
      <c r="A408" t="s">
        <v>262</v>
      </c>
      <c r="B408" t="s">
        <v>647</v>
      </c>
      <c r="C408" t="s">
        <v>679</v>
      </c>
      <c r="D408" t="s">
        <v>64</v>
      </c>
      <c r="E408" t="s">
        <v>22</v>
      </c>
      <c r="F408" t="s">
        <v>23</v>
      </c>
      <c r="G408">
        <v>1</v>
      </c>
      <c r="H408">
        <v>9791159282225</v>
      </c>
      <c r="I408" t="s">
        <v>24</v>
      </c>
      <c r="J408" t="s">
        <v>108</v>
      </c>
      <c r="K408" t="s">
        <v>37</v>
      </c>
      <c r="L408" t="s">
        <v>27</v>
      </c>
      <c r="M408">
        <v>900</v>
      </c>
      <c r="N408" t="s">
        <v>27</v>
      </c>
      <c r="O408">
        <v>900</v>
      </c>
      <c r="P408">
        <v>900</v>
      </c>
      <c r="Q408" t="s">
        <v>30</v>
      </c>
      <c r="R408" s="2">
        <v>0.7</v>
      </c>
      <c r="S408">
        <v>630</v>
      </c>
      <c r="T408" t="s">
        <v>27</v>
      </c>
      <c r="U408">
        <v>630</v>
      </c>
      <c r="V408" s="7" t="str">
        <f>IF(ISERROR(VLOOKUP(K408,[1]작가별정산률!$R:$S,2,0)),"스토리위즈",VLOOKUP(K408,[1]작가별정산률!$R:$S,2,0))</f>
        <v>스토리위즈</v>
      </c>
      <c r="W408" s="7" t="str">
        <f>IF(V408="스토리위즈",VLOOKUP(K408,[1]작가별정산률!$A:$B,2,0),V408)</f>
        <v>권용찬</v>
      </c>
    </row>
    <row r="409" spans="1:23" x14ac:dyDescent="0.4">
      <c r="A409" t="s">
        <v>262</v>
      </c>
      <c r="B409" t="s">
        <v>647</v>
      </c>
      <c r="C409" t="s">
        <v>680</v>
      </c>
      <c r="D409" t="s">
        <v>21</v>
      </c>
      <c r="E409" t="s">
        <v>22</v>
      </c>
      <c r="F409" t="s">
        <v>23</v>
      </c>
      <c r="G409">
        <v>1</v>
      </c>
      <c r="H409">
        <v>9791191562248</v>
      </c>
      <c r="I409" t="s">
        <v>143</v>
      </c>
      <c r="J409" t="s">
        <v>231</v>
      </c>
      <c r="K409" t="s">
        <v>232</v>
      </c>
      <c r="L409" t="s">
        <v>27</v>
      </c>
      <c r="M409" s="3">
        <v>2000</v>
      </c>
      <c r="N409" t="s">
        <v>27</v>
      </c>
      <c r="O409" s="3">
        <v>2000</v>
      </c>
      <c r="P409" s="3">
        <v>2000</v>
      </c>
      <c r="Q409" t="s">
        <v>30</v>
      </c>
      <c r="R409" s="2">
        <v>0.7</v>
      </c>
      <c r="S409" s="3">
        <v>1400</v>
      </c>
      <c r="T409" t="s">
        <v>27</v>
      </c>
      <c r="U409" s="3">
        <v>1400</v>
      </c>
      <c r="V409" s="7" t="str">
        <f>IF(ISERROR(VLOOKUP(K409,[1]작가별정산률!$R:$S,2,0)),"스토리위즈",VLOOKUP(K409,[1]작가별정산률!$R:$S,2,0))</f>
        <v>밀리의 서재</v>
      </c>
      <c r="W409" s="7" t="str">
        <f>IF(V409="스토리위즈",VLOOKUP(K409,[1]작가별정산률!$A:$B,2,0),V409)</f>
        <v>밀리의 서재</v>
      </c>
    </row>
    <row r="410" spans="1:23" x14ac:dyDescent="0.4">
      <c r="A410" t="s">
        <v>262</v>
      </c>
      <c r="B410" t="s">
        <v>647</v>
      </c>
      <c r="C410" t="s">
        <v>681</v>
      </c>
      <c r="D410" t="s">
        <v>64</v>
      </c>
      <c r="E410" t="s">
        <v>22</v>
      </c>
      <c r="F410" t="s">
        <v>23</v>
      </c>
      <c r="G410">
        <v>1</v>
      </c>
      <c r="H410">
        <v>9791159282928</v>
      </c>
      <c r="I410" t="s">
        <v>24</v>
      </c>
      <c r="J410" t="s">
        <v>178</v>
      </c>
      <c r="K410" t="s">
        <v>26</v>
      </c>
      <c r="L410" t="s">
        <v>27</v>
      </c>
      <c r="M410">
        <v>630</v>
      </c>
      <c r="N410" t="s">
        <v>27</v>
      </c>
      <c r="O410">
        <v>630</v>
      </c>
      <c r="P410">
        <v>630</v>
      </c>
      <c r="Q410" t="s">
        <v>30</v>
      </c>
      <c r="R410" s="2">
        <v>0.7</v>
      </c>
      <c r="S410">
        <v>441</v>
      </c>
      <c r="T410" t="s">
        <v>27</v>
      </c>
      <c r="U410">
        <v>441</v>
      </c>
      <c r="V410" s="7" t="str">
        <f>IF(ISERROR(VLOOKUP(K410,[1]작가별정산률!$R:$S,2,0)),"스토리위즈",VLOOKUP(K410,[1]작가별정산률!$R:$S,2,0))</f>
        <v>스토리위즈</v>
      </c>
      <c r="W410" s="7" t="str">
        <f>IF(V410="스토리위즈",VLOOKUP(K410,[1]작가별정산률!$A:$B,2,0),V410)</f>
        <v>독고진</v>
      </c>
    </row>
    <row r="411" spans="1:23" x14ac:dyDescent="0.4">
      <c r="A411" t="s">
        <v>262</v>
      </c>
      <c r="B411" t="s">
        <v>647</v>
      </c>
      <c r="C411" t="s">
        <v>682</v>
      </c>
      <c r="D411" t="s">
        <v>64</v>
      </c>
      <c r="E411" t="s">
        <v>22</v>
      </c>
      <c r="F411" t="s">
        <v>23</v>
      </c>
      <c r="G411">
        <v>1</v>
      </c>
      <c r="H411">
        <v>9791166300134</v>
      </c>
      <c r="I411" t="s">
        <v>24</v>
      </c>
      <c r="J411" t="s">
        <v>123</v>
      </c>
      <c r="K411" t="s">
        <v>119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  <c r="V411" s="7" t="str">
        <f>IF(ISERROR(VLOOKUP(K411,[1]작가별정산률!$R:$S,2,0)),"스토리위즈",VLOOKUP(K411,[1]작가별정산률!$R:$S,2,0))</f>
        <v>스토리위즈</v>
      </c>
      <c r="W411" s="7" t="str">
        <f>IF(V411="스토리위즈",VLOOKUP(K411,[1]작가별정산률!$A:$B,2,0),V411)</f>
        <v>김광수</v>
      </c>
    </row>
    <row r="412" spans="1:23" x14ac:dyDescent="0.4">
      <c r="A412" t="s">
        <v>262</v>
      </c>
      <c r="B412" t="s">
        <v>647</v>
      </c>
      <c r="C412" t="s">
        <v>683</v>
      </c>
      <c r="D412" t="s">
        <v>64</v>
      </c>
      <c r="E412" t="s">
        <v>22</v>
      </c>
      <c r="F412" t="s">
        <v>23</v>
      </c>
      <c r="G412">
        <v>1</v>
      </c>
      <c r="H412">
        <v>9791159283147</v>
      </c>
      <c r="I412" t="s">
        <v>24</v>
      </c>
      <c r="J412" t="s">
        <v>83</v>
      </c>
      <c r="K412" t="s">
        <v>37</v>
      </c>
      <c r="L412" t="s">
        <v>27</v>
      </c>
      <c r="M412">
        <v>900</v>
      </c>
      <c r="N412" t="s">
        <v>27</v>
      </c>
      <c r="O412">
        <v>900</v>
      </c>
      <c r="P412">
        <v>900</v>
      </c>
      <c r="Q412" t="s">
        <v>30</v>
      </c>
      <c r="R412" s="2">
        <v>0.7</v>
      </c>
      <c r="S412">
        <v>630</v>
      </c>
      <c r="T412" t="s">
        <v>27</v>
      </c>
      <c r="U412">
        <v>630</v>
      </c>
      <c r="V412" s="7" t="str">
        <f>IF(ISERROR(VLOOKUP(K412,[1]작가별정산률!$R:$S,2,0)),"스토리위즈",VLOOKUP(K412,[1]작가별정산률!$R:$S,2,0))</f>
        <v>스토리위즈</v>
      </c>
      <c r="W412" s="7" t="str">
        <f>IF(V412="스토리위즈",VLOOKUP(K412,[1]작가별정산률!$A:$B,2,0),V412)</f>
        <v>권용찬</v>
      </c>
    </row>
    <row r="413" spans="1:23" x14ac:dyDescent="0.4">
      <c r="A413" t="s">
        <v>262</v>
      </c>
      <c r="B413" t="s">
        <v>647</v>
      </c>
      <c r="C413" t="s">
        <v>684</v>
      </c>
      <c r="D413" t="s">
        <v>21</v>
      </c>
      <c r="E413" t="s">
        <v>22</v>
      </c>
      <c r="F413" t="s">
        <v>23</v>
      </c>
      <c r="G413">
        <v>1</v>
      </c>
      <c r="H413">
        <v>9791166064135</v>
      </c>
      <c r="I413" t="s">
        <v>24</v>
      </c>
      <c r="J413" t="s">
        <v>77</v>
      </c>
      <c r="K413" t="s">
        <v>37</v>
      </c>
      <c r="L413" t="s">
        <v>27</v>
      </c>
      <c r="M413" s="3">
        <v>3200</v>
      </c>
      <c r="N413" t="s">
        <v>27</v>
      </c>
      <c r="O413" s="3">
        <v>3200</v>
      </c>
      <c r="P413" s="3">
        <v>3200</v>
      </c>
      <c r="Q413" t="s">
        <v>30</v>
      </c>
      <c r="R413" s="2">
        <v>0.7</v>
      </c>
      <c r="S413" s="3">
        <v>2240</v>
      </c>
      <c r="T413" t="s">
        <v>27</v>
      </c>
      <c r="U413" s="3">
        <v>2240</v>
      </c>
      <c r="V413" s="7" t="str">
        <f>IF(ISERROR(VLOOKUP(K413,[1]작가별정산률!$R:$S,2,0)),"스토리위즈",VLOOKUP(K413,[1]작가별정산률!$R:$S,2,0))</f>
        <v>스토리위즈</v>
      </c>
      <c r="W413" s="7" t="str">
        <f>IF(V413="스토리위즈",VLOOKUP(K413,[1]작가별정산률!$A:$B,2,0),V413)</f>
        <v>권용찬</v>
      </c>
    </row>
    <row r="414" spans="1:23" x14ac:dyDescent="0.4">
      <c r="A414" t="s">
        <v>262</v>
      </c>
      <c r="B414" t="s">
        <v>647</v>
      </c>
      <c r="C414" t="s">
        <v>685</v>
      </c>
      <c r="D414" t="s">
        <v>64</v>
      </c>
      <c r="E414" t="s">
        <v>22</v>
      </c>
      <c r="F414" t="s">
        <v>23</v>
      </c>
      <c r="G414">
        <v>1</v>
      </c>
      <c r="H414">
        <v>9791166300141</v>
      </c>
      <c r="I414" t="s">
        <v>24</v>
      </c>
      <c r="J414" t="s">
        <v>124</v>
      </c>
      <c r="K414" t="s">
        <v>119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  <c r="V414" s="7" t="str">
        <f>IF(ISERROR(VLOOKUP(K414,[1]작가별정산률!$R:$S,2,0)),"스토리위즈",VLOOKUP(K414,[1]작가별정산률!$R:$S,2,0))</f>
        <v>스토리위즈</v>
      </c>
      <c r="W414" s="7" t="str">
        <f>IF(V414="스토리위즈",VLOOKUP(K414,[1]작가별정산률!$A:$B,2,0),V414)</f>
        <v>김광수</v>
      </c>
    </row>
    <row r="415" spans="1:23" x14ac:dyDescent="0.4">
      <c r="A415" t="s">
        <v>262</v>
      </c>
      <c r="B415" t="s">
        <v>647</v>
      </c>
      <c r="C415" t="s">
        <v>686</v>
      </c>
      <c r="D415" t="s">
        <v>64</v>
      </c>
      <c r="E415" t="s">
        <v>22</v>
      </c>
      <c r="F415" t="s">
        <v>23</v>
      </c>
      <c r="G415">
        <v>1</v>
      </c>
      <c r="H415">
        <v>9791166300493</v>
      </c>
      <c r="I415" t="s">
        <v>24</v>
      </c>
      <c r="J415" t="s">
        <v>147</v>
      </c>
      <c r="K415" t="s">
        <v>119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  <c r="V415" s="7" t="str">
        <f>IF(ISERROR(VLOOKUP(K415,[1]작가별정산률!$R:$S,2,0)),"스토리위즈",VLOOKUP(K415,[1]작가별정산률!$R:$S,2,0))</f>
        <v>스토리위즈</v>
      </c>
      <c r="W415" s="7" t="str">
        <f>IF(V415="스토리위즈",VLOOKUP(K415,[1]작가별정산률!$A:$B,2,0),V415)</f>
        <v>김광수</v>
      </c>
    </row>
    <row r="416" spans="1:23" x14ac:dyDescent="0.4">
      <c r="A416" t="s">
        <v>262</v>
      </c>
      <c r="B416" t="s">
        <v>647</v>
      </c>
      <c r="C416" t="s">
        <v>687</v>
      </c>
      <c r="D416" t="s">
        <v>64</v>
      </c>
      <c r="E416" t="s">
        <v>22</v>
      </c>
      <c r="F416" t="s">
        <v>23</v>
      </c>
      <c r="G416">
        <v>1</v>
      </c>
      <c r="H416">
        <v>9791159283208</v>
      </c>
      <c r="I416" t="s">
        <v>24</v>
      </c>
      <c r="J416" t="s">
        <v>105</v>
      </c>
      <c r="K416" t="s">
        <v>37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  <c r="V416" s="7" t="str">
        <f>IF(ISERROR(VLOOKUP(K416,[1]작가별정산률!$R:$S,2,0)),"스토리위즈",VLOOKUP(K416,[1]작가별정산률!$R:$S,2,0))</f>
        <v>스토리위즈</v>
      </c>
      <c r="W416" s="7" t="str">
        <f>IF(V416="스토리위즈",VLOOKUP(K416,[1]작가별정산률!$A:$B,2,0),V416)</f>
        <v>권용찬</v>
      </c>
    </row>
    <row r="417" spans="1:23" x14ac:dyDescent="0.4">
      <c r="A417" t="s">
        <v>262</v>
      </c>
      <c r="B417" t="s">
        <v>647</v>
      </c>
      <c r="C417" t="s">
        <v>688</v>
      </c>
      <c r="D417" t="s">
        <v>64</v>
      </c>
      <c r="E417" t="s">
        <v>22</v>
      </c>
      <c r="F417" t="s">
        <v>23</v>
      </c>
      <c r="G417">
        <v>1</v>
      </c>
      <c r="H417">
        <v>9791166300165</v>
      </c>
      <c r="I417" t="s">
        <v>24</v>
      </c>
      <c r="J417" t="s">
        <v>126</v>
      </c>
      <c r="K417" t="s">
        <v>119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  <c r="V417" s="7" t="str">
        <f>IF(ISERROR(VLOOKUP(K417,[1]작가별정산률!$R:$S,2,0)),"스토리위즈",VLOOKUP(K417,[1]작가별정산률!$R:$S,2,0))</f>
        <v>스토리위즈</v>
      </c>
      <c r="W417" s="7" t="str">
        <f>IF(V417="스토리위즈",VLOOKUP(K417,[1]작가별정산률!$A:$B,2,0),V417)</f>
        <v>김광수</v>
      </c>
    </row>
    <row r="418" spans="1:23" x14ac:dyDescent="0.4">
      <c r="A418" t="s">
        <v>262</v>
      </c>
      <c r="B418" t="s">
        <v>647</v>
      </c>
      <c r="C418" t="s">
        <v>689</v>
      </c>
      <c r="D418" t="s">
        <v>21</v>
      </c>
      <c r="E418" t="s">
        <v>22</v>
      </c>
      <c r="F418" t="s">
        <v>23</v>
      </c>
      <c r="G418">
        <v>1</v>
      </c>
      <c r="H418">
        <v>9791191562125</v>
      </c>
      <c r="I418" t="s">
        <v>143</v>
      </c>
      <c r="J418" t="s">
        <v>212</v>
      </c>
      <c r="K418" t="s">
        <v>213</v>
      </c>
      <c r="L418" t="s">
        <v>27</v>
      </c>
      <c r="M418" s="3">
        <v>2500</v>
      </c>
      <c r="N418" t="s">
        <v>27</v>
      </c>
      <c r="O418" s="3">
        <v>2500</v>
      </c>
      <c r="P418" s="3">
        <v>2500</v>
      </c>
      <c r="Q418" t="s">
        <v>30</v>
      </c>
      <c r="R418" s="2">
        <v>0.7</v>
      </c>
      <c r="S418" s="3">
        <v>1750</v>
      </c>
      <c r="T418" t="s">
        <v>27</v>
      </c>
      <c r="U418" s="3">
        <v>1750</v>
      </c>
      <c r="V418" s="7" t="str">
        <f>IF(ISERROR(VLOOKUP(K418,[1]작가별정산률!$R:$S,2,0)),"스토리위즈",VLOOKUP(K418,[1]작가별정산률!$R:$S,2,0))</f>
        <v>밀리의 서재</v>
      </c>
      <c r="W418" s="7" t="str">
        <f>IF(V418="스토리위즈",VLOOKUP(K418,[1]작가별정산률!$A:$B,2,0),V418)</f>
        <v>밀리의 서재</v>
      </c>
    </row>
    <row r="419" spans="1:23" x14ac:dyDescent="0.4">
      <c r="A419" t="s">
        <v>262</v>
      </c>
      <c r="B419" t="s">
        <v>647</v>
      </c>
      <c r="C419" t="s">
        <v>690</v>
      </c>
      <c r="D419" t="s">
        <v>21</v>
      </c>
      <c r="E419" t="s">
        <v>22</v>
      </c>
      <c r="F419" t="s">
        <v>23</v>
      </c>
      <c r="G419">
        <v>1</v>
      </c>
      <c r="H419">
        <v>9791191562101</v>
      </c>
      <c r="I419" t="s">
        <v>143</v>
      </c>
      <c r="J419" t="s">
        <v>196</v>
      </c>
      <c r="K419" t="s">
        <v>201</v>
      </c>
      <c r="L419" t="s">
        <v>27</v>
      </c>
      <c r="M419" s="3">
        <v>3000</v>
      </c>
      <c r="N419" t="s">
        <v>27</v>
      </c>
      <c r="O419" s="3">
        <v>3000</v>
      </c>
      <c r="P419" s="3">
        <v>3000</v>
      </c>
      <c r="Q419" t="s">
        <v>30</v>
      </c>
      <c r="R419" s="2">
        <v>0.7</v>
      </c>
      <c r="S419" s="3">
        <v>2100</v>
      </c>
      <c r="T419" t="s">
        <v>27</v>
      </c>
      <c r="U419" s="3">
        <v>2100</v>
      </c>
      <c r="V419" s="7" t="str">
        <f>IF(ISERROR(VLOOKUP(K419,[1]작가별정산률!$R:$S,2,0)),"스토리위즈",VLOOKUP(K419,[1]작가별정산률!$R:$S,2,0))</f>
        <v>밀리의 서재</v>
      </c>
      <c r="W419" s="7" t="str">
        <f>IF(V419="스토리위즈",VLOOKUP(K419,[1]작가별정산률!$A:$B,2,0),V419)</f>
        <v>밀리의 서재</v>
      </c>
    </row>
    <row r="420" spans="1:23" x14ac:dyDescent="0.4">
      <c r="A420" t="s">
        <v>262</v>
      </c>
      <c r="B420" t="s">
        <v>647</v>
      </c>
      <c r="C420" t="s">
        <v>691</v>
      </c>
      <c r="D420" t="s">
        <v>64</v>
      </c>
      <c r="E420" t="s">
        <v>22</v>
      </c>
      <c r="F420" t="s">
        <v>23</v>
      </c>
      <c r="G420">
        <v>1</v>
      </c>
      <c r="H420">
        <v>9791166300509</v>
      </c>
      <c r="I420" t="s">
        <v>24</v>
      </c>
      <c r="J420" t="s">
        <v>148</v>
      </c>
      <c r="K420" t="s">
        <v>119</v>
      </c>
      <c r="L420" t="s">
        <v>27</v>
      </c>
      <c r="M420">
        <v>630</v>
      </c>
      <c r="N420" t="s">
        <v>27</v>
      </c>
      <c r="O420">
        <v>630</v>
      </c>
      <c r="P420">
        <v>630</v>
      </c>
      <c r="Q420" t="s">
        <v>30</v>
      </c>
      <c r="R420" s="2">
        <v>0.7</v>
      </c>
      <c r="S420">
        <v>441</v>
      </c>
      <c r="T420" t="s">
        <v>27</v>
      </c>
      <c r="U420">
        <v>441</v>
      </c>
      <c r="V420" s="7" t="str">
        <f>IF(ISERROR(VLOOKUP(K420,[1]작가별정산률!$R:$S,2,0)),"스토리위즈",VLOOKUP(K420,[1]작가별정산률!$R:$S,2,0))</f>
        <v>스토리위즈</v>
      </c>
      <c r="W420" s="7" t="str">
        <f>IF(V420="스토리위즈",VLOOKUP(K420,[1]작가별정산률!$A:$B,2,0),V420)</f>
        <v>김광수</v>
      </c>
    </row>
    <row r="421" spans="1:23" x14ac:dyDescent="0.4">
      <c r="A421" t="s">
        <v>262</v>
      </c>
      <c r="B421" t="s">
        <v>647</v>
      </c>
      <c r="C421" t="s">
        <v>692</v>
      </c>
      <c r="D421" t="s">
        <v>64</v>
      </c>
      <c r="E421" t="s">
        <v>22</v>
      </c>
      <c r="F421" t="s">
        <v>23</v>
      </c>
      <c r="G421">
        <v>1</v>
      </c>
      <c r="H421">
        <v>9791166064081</v>
      </c>
      <c r="I421" t="s">
        <v>24</v>
      </c>
      <c r="J421" t="s">
        <v>91</v>
      </c>
      <c r="K421" t="s">
        <v>37</v>
      </c>
      <c r="L421" t="s">
        <v>27</v>
      </c>
      <c r="M421">
        <v>900</v>
      </c>
      <c r="N421" t="s">
        <v>27</v>
      </c>
      <c r="O421">
        <v>900</v>
      </c>
      <c r="P421">
        <v>900</v>
      </c>
      <c r="Q421" t="s">
        <v>30</v>
      </c>
      <c r="R421" s="2">
        <v>0.7</v>
      </c>
      <c r="S421">
        <v>630</v>
      </c>
      <c r="T421" t="s">
        <v>27</v>
      </c>
      <c r="U421">
        <v>630</v>
      </c>
      <c r="V421" s="7" t="str">
        <f>IF(ISERROR(VLOOKUP(K421,[1]작가별정산률!$R:$S,2,0)),"스토리위즈",VLOOKUP(K421,[1]작가별정산률!$R:$S,2,0))</f>
        <v>스토리위즈</v>
      </c>
      <c r="W421" s="7" t="str">
        <f>IF(V421="스토리위즈",VLOOKUP(K421,[1]작가별정산률!$A:$B,2,0),V421)</f>
        <v>권용찬</v>
      </c>
    </row>
    <row r="422" spans="1:23" x14ac:dyDescent="0.4">
      <c r="A422" t="s">
        <v>262</v>
      </c>
      <c r="B422" t="s">
        <v>647</v>
      </c>
      <c r="C422" t="s">
        <v>693</v>
      </c>
      <c r="D422" t="s">
        <v>21</v>
      </c>
      <c r="E422" t="s">
        <v>22</v>
      </c>
      <c r="F422" t="s">
        <v>23</v>
      </c>
      <c r="G422">
        <v>1</v>
      </c>
      <c r="H422">
        <v>9791197098451</v>
      </c>
      <c r="I422" t="s">
        <v>24</v>
      </c>
      <c r="J422" t="s">
        <v>260</v>
      </c>
      <c r="K422" t="s">
        <v>37</v>
      </c>
      <c r="L422" t="s">
        <v>27</v>
      </c>
      <c r="M422" s="3">
        <v>3200</v>
      </c>
      <c r="N422" t="s">
        <v>219</v>
      </c>
      <c r="O422">
        <v>3.8</v>
      </c>
      <c r="P422">
        <v>3.3</v>
      </c>
      <c r="Q422" t="s">
        <v>220</v>
      </c>
      <c r="R422" s="2">
        <v>0.7</v>
      </c>
      <c r="S422">
        <v>2.31</v>
      </c>
      <c r="T422" t="s">
        <v>27</v>
      </c>
      <c r="U422" s="3">
        <v>1884</v>
      </c>
      <c r="V422" s="7" t="str">
        <f>IF(ISERROR(VLOOKUP(K422,[1]작가별정산률!$R:$S,2,0)),"스토리위즈",VLOOKUP(K422,[1]작가별정산률!$R:$S,2,0))</f>
        <v>스토리위즈</v>
      </c>
      <c r="W422" s="7" t="str">
        <f>IF(V422="스토리위즈",VLOOKUP(K422,[1]작가별정산률!$A:$B,2,0),V422)</f>
        <v>권용찬</v>
      </c>
    </row>
    <row r="423" spans="1:23" x14ac:dyDescent="0.4">
      <c r="A423" t="s">
        <v>262</v>
      </c>
      <c r="B423" t="s">
        <v>647</v>
      </c>
      <c r="C423" t="s">
        <v>694</v>
      </c>
      <c r="D423" t="s">
        <v>64</v>
      </c>
      <c r="E423" t="s">
        <v>22</v>
      </c>
      <c r="F423" t="s">
        <v>23</v>
      </c>
      <c r="G423">
        <v>1</v>
      </c>
      <c r="H423">
        <v>9791166300288</v>
      </c>
      <c r="I423" t="s">
        <v>24</v>
      </c>
      <c r="J423" t="s">
        <v>137</v>
      </c>
      <c r="K423" t="s">
        <v>119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  <c r="V423" s="7" t="str">
        <f>IF(ISERROR(VLOOKUP(K423,[1]작가별정산률!$R:$S,2,0)),"스토리위즈",VLOOKUP(K423,[1]작가별정산률!$R:$S,2,0))</f>
        <v>스토리위즈</v>
      </c>
      <c r="W423" s="7" t="str">
        <f>IF(V423="스토리위즈",VLOOKUP(K423,[1]작가별정산률!$A:$B,2,0),V423)</f>
        <v>김광수</v>
      </c>
    </row>
    <row r="424" spans="1:23" x14ac:dyDescent="0.4">
      <c r="A424" t="s">
        <v>262</v>
      </c>
      <c r="B424" t="s">
        <v>647</v>
      </c>
      <c r="C424" t="s">
        <v>695</v>
      </c>
      <c r="D424" t="s">
        <v>21</v>
      </c>
      <c r="E424" t="s">
        <v>22</v>
      </c>
      <c r="F424" t="s">
        <v>23</v>
      </c>
      <c r="G424">
        <v>1</v>
      </c>
      <c r="H424">
        <v>9791191562033</v>
      </c>
      <c r="I424" t="s">
        <v>143</v>
      </c>
      <c r="J424" t="s">
        <v>189</v>
      </c>
      <c r="K424" t="s">
        <v>187</v>
      </c>
      <c r="L424" t="s">
        <v>27</v>
      </c>
      <c r="M424" s="3">
        <v>2000</v>
      </c>
      <c r="N424" t="s">
        <v>27</v>
      </c>
      <c r="O424" s="3">
        <v>2000</v>
      </c>
      <c r="P424" s="3">
        <v>2000</v>
      </c>
      <c r="Q424" t="s">
        <v>30</v>
      </c>
      <c r="R424" s="2">
        <v>0.7</v>
      </c>
      <c r="S424" s="3">
        <v>1400</v>
      </c>
      <c r="T424" t="s">
        <v>27</v>
      </c>
      <c r="U424" s="3">
        <v>1400</v>
      </c>
      <c r="V424" s="7" t="str">
        <f>IF(ISERROR(VLOOKUP(K424,[1]작가별정산률!$R:$S,2,0)),"스토리위즈",VLOOKUP(K424,[1]작가별정산률!$R:$S,2,0))</f>
        <v>밀리의 서재</v>
      </c>
      <c r="W424" s="7" t="str">
        <f>IF(V424="스토리위즈",VLOOKUP(K424,[1]작가별정산률!$A:$B,2,0),V424)</f>
        <v>밀리의 서재</v>
      </c>
    </row>
    <row r="425" spans="1:23" x14ac:dyDescent="0.4">
      <c r="A425" t="s">
        <v>262</v>
      </c>
      <c r="B425" t="s">
        <v>647</v>
      </c>
      <c r="C425" t="s">
        <v>696</v>
      </c>
      <c r="D425" t="s">
        <v>64</v>
      </c>
      <c r="E425" t="s">
        <v>22</v>
      </c>
      <c r="F425" t="s">
        <v>23</v>
      </c>
      <c r="G425">
        <v>1</v>
      </c>
      <c r="H425">
        <v>9791166300172</v>
      </c>
      <c r="I425" t="s">
        <v>24</v>
      </c>
      <c r="J425" t="s">
        <v>127</v>
      </c>
      <c r="K425" t="s">
        <v>119</v>
      </c>
      <c r="L425" t="s">
        <v>27</v>
      </c>
      <c r="M425">
        <v>630</v>
      </c>
      <c r="N425" t="s">
        <v>27</v>
      </c>
      <c r="O425">
        <v>630</v>
      </c>
      <c r="P425">
        <v>630</v>
      </c>
      <c r="Q425" t="s">
        <v>30</v>
      </c>
      <c r="R425" s="2">
        <v>0.7</v>
      </c>
      <c r="S425">
        <v>441</v>
      </c>
      <c r="T425" t="s">
        <v>27</v>
      </c>
      <c r="U425">
        <v>441</v>
      </c>
      <c r="V425" s="7" t="str">
        <f>IF(ISERROR(VLOOKUP(K425,[1]작가별정산률!$R:$S,2,0)),"스토리위즈",VLOOKUP(K425,[1]작가별정산률!$R:$S,2,0))</f>
        <v>스토리위즈</v>
      </c>
      <c r="W425" s="7" t="str">
        <f>IF(V425="스토리위즈",VLOOKUP(K425,[1]작가별정산률!$A:$B,2,0),V425)</f>
        <v>김광수</v>
      </c>
    </row>
    <row r="426" spans="1:23" x14ac:dyDescent="0.4">
      <c r="A426" t="s">
        <v>262</v>
      </c>
      <c r="B426" t="s">
        <v>647</v>
      </c>
      <c r="C426" t="s">
        <v>697</v>
      </c>
      <c r="D426" t="s">
        <v>21</v>
      </c>
      <c r="E426" t="s">
        <v>22</v>
      </c>
      <c r="F426" t="s">
        <v>23</v>
      </c>
      <c r="G426">
        <v>1</v>
      </c>
      <c r="H426">
        <v>9791191562408</v>
      </c>
      <c r="I426" t="s">
        <v>143</v>
      </c>
      <c r="J426" t="s">
        <v>698</v>
      </c>
      <c r="K426" t="s">
        <v>215</v>
      </c>
      <c r="L426" t="s">
        <v>27</v>
      </c>
      <c r="M426" s="3">
        <v>2000</v>
      </c>
      <c r="N426" t="s">
        <v>27</v>
      </c>
      <c r="O426" s="3">
        <v>2000</v>
      </c>
      <c r="P426" s="3">
        <v>2000</v>
      </c>
      <c r="Q426" t="s">
        <v>30</v>
      </c>
      <c r="R426" s="2">
        <v>0.7</v>
      </c>
      <c r="S426" s="3">
        <v>1400</v>
      </c>
      <c r="T426" t="s">
        <v>27</v>
      </c>
      <c r="U426" s="3">
        <v>1400</v>
      </c>
      <c r="V426" s="7" t="str">
        <f>IF(ISERROR(VLOOKUP(K426,[1]작가별정산률!$R:$S,2,0)),"스토리위즈",VLOOKUP(K426,[1]작가별정산률!$R:$S,2,0))</f>
        <v>밀리의 서재</v>
      </c>
      <c r="W426" s="7" t="str">
        <f>IF(V426="스토리위즈",VLOOKUP(K426,[1]작가별정산률!$A:$B,2,0),V426)</f>
        <v>밀리의 서재</v>
      </c>
    </row>
    <row r="427" spans="1:23" x14ac:dyDescent="0.4">
      <c r="A427" t="s">
        <v>262</v>
      </c>
      <c r="B427" t="s">
        <v>647</v>
      </c>
      <c r="C427" t="s">
        <v>699</v>
      </c>
      <c r="D427" t="s">
        <v>64</v>
      </c>
      <c r="E427" t="s">
        <v>22</v>
      </c>
      <c r="F427" t="s">
        <v>23</v>
      </c>
      <c r="G427">
        <v>1</v>
      </c>
      <c r="H427">
        <v>9791166300226</v>
      </c>
      <c r="I427" t="s">
        <v>24</v>
      </c>
      <c r="J427" t="s">
        <v>131</v>
      </c>
      <c r="K427" t="s">
        <v>119</v>
      </c>
      <c r="L427" t="s">
        <v>27</v>
      </c>
      <c r="M427">
        <v>630</v>
      </c>
      <c r="N427" t="s">
        <v>27</v>
      </c>
      <c r="O427">
        <v>630</v>
      </c>
      <c r="P427">
        <v>630</v>
      </c>
      <c r="Q427" t="s">
        <v>30</v>
      </c>
      <c r="R427" s="2">
        <v>0.7</v>
      </c>
      <c r="S427">
        <v>441</v>
      </c>
      <c r="T427" t="s">
        <v>27</v>
      </c>
      <c r="U427">
        <v>441</v>
      </c>
      <c r="V427" s="7" t="str">
        <f>IF(ISERROR(VLOOKUP(K427,[1]작가별정산률!$R:$S,2,0)),"스토리위즈",VLOOKUP(K427,[1]작가별정산률!$R:$S,2,0))</f>
        <v>스토리위즈</v>
      </c>
      <c r="W427" s="7" t="str">
        <f>IF(V427="스토리위즈",VLOOKUP(K427,[1]작가별정산률!$A:$B,2,0),V427)</f>
        <v>김광수</v>
      </c>
    </row>
    <row r="428" spans="1:23" x14ac:dyDescent="0.4">
      <c r="A428" t="s">
        <v>262</v>
      </c>
      <c r="B428" t="s">
        <v>647</v>
      </c>
      <c r="C428" t="s">
        <v>700</v>
      </c>
      <c r="D428" t="s">
        <v>64</v>
      </c>
      <c r="E428" t="s">
        <v>22</v>
      </c>
      <c r="F428" t="s">
        <v>23</v>
      </c>
      <c r="G428">
        <v>1</v>
      </c>
      <c r="H428">
        <v>9791166064111</v>
      </c>
      <c r="I428" t="s">
        <v>24</v>
      </c>
      <c r="J428" t="s">
        <v>94</v>
      </c>
      <c r="K428" t="s">
        <v>37</v>
      </c>
      <c r="L428" t="s">
        <v>27</v>
      </c>
      <c r="M428">
        <v>900</v>
      </c>
      <c r="N428" t="s">
        <v>27</v>
      </c>
      <c r="O428">
        <v>900</v>
      </c>
      <c r="P428">
        <v>900</v>
      </c>
      <c r="Q428" t="s">
        <v>30</v>
      </c>
      <c r="R428" s="2">
        <v>0.7</v>
      </c>
      <c r="S428">
        <v>630</v>
      </c>
      <c r="T428" t="s">
        <v>27</v>
      </c>
      <c r="U428">
        <v>630</v>
      </c>
      <c r="V428" s="7" t="str">
        <f>IF(ISERROR(VLOOKUP(K428,[1]작가별정산률!$R:$S,2,0)),"스토리위즈",VLOOKUP(K428,[1]작가별정산률!$R:$S,2,0))</f>
        <v>스토리위즈</v>
      </c>
      <c r="W428" s="7" t="str">
        <f>IF(V428="스토리위즈",VLOOKUP(K428,[1]작가별정산률!$A:$B,2,0),V428)</f>
        <v>권용찬</v>
      </c>
    </row>
    <row r="429" spans="1:23" x14ac:dyDescent="0.4">
      <c r="A429" t="s">
        <v>262</v>
      </c>
      <c r="B429" t="s">
        <v>647</v>
      </c>
      <c r="C429" t="s">
        <v>701</v>
      </c>
      <c r="D429" t="s">
        <v>64</v>
      </c>
      <c r="E429" t="s">
        <v>22</v>
      </c>
      <c r="F429" t="s">
        <v>23</v>
      </c>
      <c r="G429">
        <v>1</v>
      </c>
      <c r="H429">
        <v>9791166064074</v>
      </c>
      <c r="I429" t="s">
        <v>24</v>
      </c>
      <c r="J429" t="s">
        <v>90</v>
      </c>
      <c r="K429" t="s">
        <v>37</v>
      </c>
      <c r="L429" t="s">
        <v>27</v>
      </c>
      <c r="M429">
        <v>900</v>
      </c>
      <c r="N429" t="s">
        <v>27</v>
      </c>
      <c r="O429">
        <v>900</v>
      </c>
      <c r="P429">
        <v>900</v>
      </c>
      <c r="Q429" t="s">
        <v>30</v>
      </c>
      <c r="R429" s="2">
        <v>0.7</v>
      </c>
      <c r="S429">
        <v>630</v>
      </c>
      <c r="T429" t="s">
        <v>27</v>
      </c>
      <c r="U429">
        <v>630</v>
      </c>
      <c r="V429" s="7" t="str">
        <f>IF(ISERROR(VLOOKUP(K429,[1]작가별정산률!$R:$S,2,0)),"스토리위즈",VLOOKUP(K429,[1]작가별정산률!$R:$S,2,0))</f>
        <v>스토리위즈</v>
      </c>
      <c r="W429" s="7" t="str">
        <f>IF(V429="스토리위즈",VLOOKUP(K429,[1]작가별정산률!$A:$B,2,0),V429)</f>
        <v>권용찬</v>
      </c>
    </row>
    <row r="430" spans="1:23" x14ac:dyDescent="0.4">
      <c r="A430" t="s">
        <v>262</v>
      </c>
      <c r="B430" t="s">
        <v>647</v>
      </c>
      <c r="C430" t="s">
        <v>702</v>
      </c>
      <c r="D430" t="s">
        <v>21</v>
      </c>
      <c r="E430" t="s">
        <v>22</v>
      </c>
      <c r="F430" t="s">
        <v>23</v>
      </c>
      <c r="G430">
        <v>1</v>
      </c>
      <c r="H430">
        <v>9791191562248</v>
      </c>
      <c r="I430" t="s">
        <v>143</v>
      </c>
      <c r="J430" t="s">
        <v>231</v>
      </c>
      <c r="K430" t="s">
        <v>232</v>
      </c>
      <c r="L430" t="s">
        <v>27</v>
      </c>
      <c r="M430" s="3">
        <v>2000</v>
      </c>
      <c r="N430" t="s">
        <v>27</v>
      </c>
      <c r="O430" s="3">
        <v>2000</v>
      </c>
      <c r="P430" s="3">
        <v>2000</v>
      </c>
      <c r="Q430" t="s">
        <v>30</v>
      </c>
      <c r="R430" s="2">
        <v>0.7</v>
      </c>
      <c r="S430" s="3">
        <v>1400</v>
      </c>
      <c r="T430" t="s">
        <v>27</v>
      </c>
      <c r="U430" s="3">
        <v>1400</v>
      </c>
      <c r="V430" s="7" t="str">
        <f>IF(ISERROR(VLOOKUP(K430,[1]작가별정산률!$R:$S,2,0)),"스토리위즈",VLOOKUP(K430,[1]작가별정산률!$R:$S,2,0))</f>
        <v>밀리의 서재</v>
      </c>
      <c r="W430" s="7" t="str">
        <f>IF(V430="스토리위즈",VLOOKUP(K430,[1]작가별정산률!$A:$B,2,0),V430)</f>
        <v>밀리의 서재</v>
      </c>
    </row>
    <row r="431" spans="1:23" x14ac:dyDescent="0.4">
      <c r="A431" t="s">
        <v>262</v>
      </c>
      <c r="B431" t="s">
        <v>647</v>
      </c>
      <c r="C431" t="s">
        <v>703</v>
      </c>
      <c r="D431" t="s">
        <v>64</v>
      </c>
      <c r="E431" t="s">
        <v>22</v>
      </c>
      <c r="F431" t="s">
        <v>23</v>
      </c>
      <c r="G431">
        <v>1</v>
      </c>
      <c r="H431">
        <v>9791166300196</v>
      </c>
      <c r="I431" t="s">
        <v>24</v>
      </c>
      <c r="J431" t="s">
        <v>128</v>
      </c>
      <c r="K431" t="s">
        <v>119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  <c r="V431" s="7" t="str">
        <f>IF(ISERROR(VLOOKUP(K431,[1]작가별정산률!$R:$S,2,0)),"스토리위즈",VLOOKUP(K431,[1]작가별정산률!$R:$S,2,0))</f>
        <v>스토리위즈</v>
      </c>
      <c r="W431" s="7" t="str">
        <f>IF(V431="스토리위즈",VLOOKUP(K431,[1]작가별정산률!$A:$B,2,0),V431)</f>
        <v>김광수</v>
      </c>
    </row>
    <row r="432" spans="1:23" x14ac:dyDescent="0.4">
      <c r="A432" t="s">
        <v>262</v>
      </c>
      <c r="B432" t="s">
        <v>647</v>
      </c>
      <c r="C432" t="s">
        <v>704</v>
      </c>
      <c r="D432" t="s">
        <v>64</v>
      </c>
      <c r="E432" t="s">
        <v>22</v>
      </c>
      <c r="F432" t="s">
        <v>23</v>
      </c>
      <c r="G432">
        <v>1</v>
      </c>
      <c r="H432">
        <v>9791166300646</v>
      </c>
      <c r="I432" t="s">
        <v>24</v>
      </c>
      <c r="J432" t="s">
        <v>155</v>
      </c>
      <c r="K432" t="s">
        <v>119</v>
      </c>
      <c r="L432" t="s">
        <v>27</v>
      </c>
      <c r="M432">
        <v>630</v>
      </c>
      <c r="N432" t="s">
        <v>27</v>
      </c>
      <c r="O432">
        <v>630</v>
      </c>
      <c r="P432">
        <v>630</v>
      </c>
      <c r="Q432" t="s">
        <v>30</v>
      </c>
      <c r="R432" s="2">
        <v>0.7</v>
      </c>
      <c r="S432">
        <v>441</v>
      </c>
      <c r="T432" t="s">
        <v>27</v>
      </c>
      <c r="U432">
        <v>441</v>
      </c>
      <c r="V432" s="7" t="str">
        <f>IF(ISERROR(VLOOKUP(K432,[1]작가별정산률!$R:$S,2,0)),"스토리위즈",VLOOKUP(K432,[1]작가별정산률!$R:$S,2,0))</f>
        <v>스토리위즈</v>
      </c>
      <c r="W432" s="7" t="str">
        <f>IF(V432="스토리위즈",VLOOKUP(K432,[1]작가별정산률!$A:$B,2,0),V432)</f>
        <v>김광수</v>
      </c>
    </row>
    <row r="433" spans="1:23" x14ac:dyDescent="0.4">
      <c r="A433" t="s">
        <v>262</v>
      </c>
      <c r="B433" t="s">
        <v>647</v>
      </c>
      <c r="C433" t="s">
        <v>705</v>
      </c>
      <c r="D433" t="s">
        <v>64</v>
      </c>
      <c r="E433" t="s">
        <v>22</v>
      </c>
      <c r="F433" t="s">
        <v>23</v>
      </c>
      <c r="G433">
        <v>1</v>
      </c>
      <c r="H433">
        <v>9791159283154</v>
      </c>
      <c r="I433" t="s">
        <v>24</v>
      </c>
      <c r="J433" t="s">
        <v>84</v>
      </c>
      <c r="K433" t="s">
        <v>37</v>
      </c>
      <c r="L433" t="s">
        <v>27</v>
      </c>
      <c r="M433">
        <v>900</v>
      </c>
      <c r="N433" t="s">
        <v>27</v>
      </c>
      <c r="O433">
        <v>900</v>
      </c>
      <c r="P433">
        <v>900</v>
      </c>
      <c r="Q433" t="s">
        <v>30</v>
      </c>
      <c r="R433" s="2">
        <v>0.7</v>
      </c>
      <c r="S433">
        <v>630</v>
      </c>
      <c r="T433" t="s">
        <v>27</v>
      </c>
      <c r="U433">
        <v>630</v>
      </c>
      <c r="V433" s="7" t="str">
        <f>IF(ISERROR(VLOOKUP(K433,[1]작가별정산률!$R:$S,2,0)),"스토리위즈",VLOOKUP(K433,[1]작가별정산률!$R:$S,2,0))</f>
        <v>스토리위즈</v>
      </c>
      <c r="W433" s="7" t="str">
        <f>IF(V433="스토리위즈",VLOOKUP(K433,[1]작가별정산률!$A:$B,2,0),V433)</f>
        <v>권용찬</v>
      </c>
    </row>
    <row r="434" spans="1:23" x14ac:dyDescent="0.4">
      <c r="A434" t="s">
        <v>262</v>
      </c>
      <c r="B434" t="s">
        <v>647</v>
      </c>
      <c r="C434" t="s">
        <v>706</v>
      </c>
      <c r="D434" t="s">
        <v>64</v>
      </c>
      <c r="E434" t="s">
        <v>22</v>
      </c>
      <c r="F434" t="s">
        <v>23</v>
      </c>
      <c r="G434">
        <v>1</v>
      </c>
      <c r="H434">
        <v>9791166300479</v>
      </c>
      <c r="I434" t="s">
        <v>24</v>
      </c>
      <c r="J434" t="s">
        <v>145</v>
      </c>
      <c r="K434" t="s">
        <v>119</v>
      </c>
      <c r="L434" t="s">
        <v>27</v>
      </c>
      <c r="M434">
        <v>630</v>
      </c>
      <c r="N434" t="s">
        <v>27</v>
      </c>
      <c r="O434">
        <v>630</v>
      </c>
      <c r="P434">
        <v>630</v>
      </c>
      <c r="Q434" t="s">
        <v>30</v>
      </c>
      <c r="R434" s="2">
        <v>0.7</v>
      </c>
      <c r="S434">
        <v>441</v>
      </c>
      <c r="T434" t="s">
        <v>27</v>
      </c>
      <c r="U434">
        <v>441</v>
      </c>
      <c r="V434" s="7" t="str">
        <f>IF(ISERROR(VLOOKUP(K434,[1]작가별정산률!$R:$S,2,0)),"스토리위즈",VLOOKUP(K434,[1]작가별정산률!$R:$S,2,0))</f>
        <v>스토리위즈</v>
      </c>
      <c r="W434" s="7" t="str">
        <f>IF(V434="스토리위즈",VLOOKUP(K434,[1]작가별정산률!$A:$B,2,0),V434)</f>
        <v>김광수</v>
      </c>
    </row>
    <row r="435" spans="1:23" x14ac:dyDescent="0.4">
      <c r="A435" t="s">
        <v>262</v>
      </c>
      <c r="B435" t="s">
        <v>647</v>
      </c>
      <c r="C435" t="s">
        <v>707</v>
      </c>
      <c r="D435" t="s">
        <v>64</v>
      </c>
      <c r="E435" t="s">
        <v>22</v>
      </c>
      <c r="F435" t="s">
        <v>23</v>
      </c>
      <c r="G435">
        <v>1</v>
      </c>
      <c r="H435">
        <v>9791159283239</v>
      </c>
      <c r="I435" t="s">
        <v>24</v>
      </c>
      <c r="J435" t="s">
        <v>66</v>
      </c>
      <c r="K435" t="s">
        <v>37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  <c r="V435" s="7" t="str">
        <f>IF(ISERROR(VLOOKUP(K435,[1]작가별정산률!$R:$S,2,0)),"스토리위즈",VLOOKUP(K435,[1]작가별정산률!$R:$S,2,0))</f>
        <v>스토리위즈</v>
      </c>
      <c r="W435" s="7" t="str">
        <f>IF(V435="스토리위즈",VLOOKUP(K435,[1]작가별정산률!$A:$B,2,0),V435)</f>
        <v>권용찬</v>
      </c>
    </row>
    <row r="436" spans="1:23" x14ac:dyDescent="0.4">
      <c r="A436" t="s">
        <v>262</v>
      </c>
      <c r="B436" t="s">
        <v>647</v>
      </c>
      <c r="C436" t="s">
        <v>708</v>
      </c>
      <c r="D436" t="s">
        <v>64</v>
      </c>
      <c r="E436" t="s">
        <v>22</v>
      </c>
      <c r="F436" t="s">
        <v>23</v>
      </c>
      <c r="G436">
        <v>1</v>
      </c>
      <c r="H436">
        <v>9791166300158</v>
      </c>
      <c r="I436" t="s">
        <v>24</v>
      </c>
      <c r="J436" t="s">
        <v>125</v>
      </c>
      <c r="K436" t="s">
        <v>119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  <c r="V436" s="7" t="str">
        <f>IF(ISERROR(VLOOKUP(K436,[1]작가별정산률!$R:$S,2,0)),"스토리위즈",VLOOKUP(K436,[1]작가별정산률!$R:$S,2,0))</f>
        <v>스토리위즈</v>
      </c>
      <c r="W436" s="7" t="str">
        <f>IF(V436="스토리위즈",VLOOKUP(K436,[1]작가별정산률!$A:$B,2,0),V436)</f>
        <v>김광수</v>
      </c>
    </row>
    <row r="437" spans="1:23" x14ac:dyDescent="0.4">
      <c r="A437" t="s">
        <v>262</v>
      </c>
      <c r="B437" t="s">
        <v>647</v>
      </c>
      <c r="C437" t="s">
        <v>709</v>
      </c>
      <c r="D437" t="s">
        <v>21</v>
      </c>
      <c r="E437" t="s">
        <v>22</v>
      </c>
      <c r="F437" t="s">
        <v>23</v>
      </c>
      <c r="G437">
        <v>1</v>
      </c>
      <c r="H437">
        <v>9791166300240</v>
      </c>
      <c r="I437" t="s">
        <v>24</v>
      </c>
      <c r="J437" t="s">
        <v>133</v>
      </c>
      <c r="K437" t="s">
        <v>119</v>
      </c>
      <c r="L437" t="s">
        <v>27</v>
      </c>
      <c r="M437" s="3">
        <v>3200</v>
      </c>
      <c r="N437" t="s">
        <v>27</v>
      </c>
      <c r="O437" s="3">
        <v>3200</v>
      </c>
      <c r="P437" s="3">
        <v>3200</v>
      </c>
      <c r="Q437" t="s">
        <v>30</v>
      </c>
      <c r="R437" s="2">
        <v>0.7</v>
      </c>
      <c r="S437" s="3">
        <v>2240</v>
      </c>
      <c r="T437" t="s">
        <v>27</v>
      </c>
      <c r="U437" s="3">
        <v>2240</v>
      </c>
      <c r="V437" s="7" t="str">
        <f>IF(ISERROR(VLOOKUP(K437,[1]작가별정산률!$R:$S,2,0)),"스토리위즈",VLOOKUP(K437,[1]작가별정산률!$R:$S,2,0))</f>
        <v>스토리위즈</v>
      </c>
      <c r="W437" s="7" t="str">
        <f>IF(V437="스토리위즈",VLOOKUP(K437,[1]작가별정산률!$A:$B,2,0),V437)</f>
        <v>김광수</v>
      </c>
    </row>
    <row r="438" spans="1:23" x14ac:dyDescent="0.4">
      <c r="A438" t="s">
        <v>262</v>
      </c>
      <c r="B438" t="s">
        <v>647</v>
      </c>
      <c r="C438" t="s">
        <v>710</v>
      </c>
      <c r="D438" t="s">
        <v>64</v>
      </c>
      <c r="E438" t="s">
        <v>22</v>
      </c>
      <c r="F438" t="s">
        <v>23</v>
      </c>
      <c r="G438">
        <v>1</v>
      </c>
      <c r="H438">
        <v>9791166300493</v>
      </c>
      <c r="I438" t="s">
        <v>24</v>
      </c>
      <c r="J438" t="s">
        <v>147</v>
      </c>
      <c r="K438" t="s">
        <v>119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  <c r="V438" s="7" t="str">
        <f>IF(ISERROR(VLOOKUP(K438,[1]작가별정산률!$R:$S,2,0)),"스토리위즈",VLOOKUP(K438,[1]작가별정산률!$R:$S,2,0))</f>
        <v>스토리위즈</v>
      </c>
      <c r="W438" s="7" t="str">
        <f>IF(V438="스토리위즈",VLOOKUP(K438,[1]작가별정산률!$A:$B,2,0),V438)</f>
        <v>김광수</v>
      </c>
    </row>
    <row r="439" spans="1:23" x14ac:dyDescent="0.4">
      <c r="A439" t="s">
        <v>262</v>
      </c>
      <c r="B439" t="s">
        <v>647</v>
      </c>
      <c r="C439" t="s">
        <v>711</v>
      </c>
      <c r="D439" t="s">
        <v>21</v>
      </c>
      <c r="E439" t="s">
        <v>22</v>
      </c>
      <c r="F439" t="s">
        <v>23</v>
      </c>
      <c r="G439">
        <v>1</v>
      </c>
      <c r="H439">
        <v>9791191562187</v>
      </c>
      <c r="I439" t="s">
        <v>143</v>
      </c>
      <c r="J439" t="s">
        <v>217</v>
      </c>
      <c r="K439" t="s">
        <v>218</v>
      </c>
      <c r="L439" t="s">
        <v>27</v>
      </c>
      <c r="M439" s="3">
        <v>2000</v>
      </c>
      <c r="N439" t="s">
        <v>27</v>
      </c>
      <c r="O439" s="3">
        <v>2000</v>
      </c>
      <c r="P439" s="3">
        <v>2000</v>
      </c>
      <c r="Q439" t="s">
        <v>30</v>
      </c>
      <c r="R439" s="2">
        <v>0.7</v>
      </c>
      <c r="S439" s="3">
        <v>1400</v>
      </c>
      <c r="T439" t="s">
        <v>27</v>
      </c>
      <c r="U439" s="3">
        <v>1400</v>
      </c>
      <c r="V439" s="7" t="str">
        <f>IF(ISERROR(VLOOKUP(K439,[1]작가별정산률!$R:$S,2,0)),"스토리위즈",VLOOKUP(K439,[1]작가별정산률!$R:$S,2,0))</f>
        <v>밀리의 서재</v>
      </c>
      <c r="W439" s="7" t="str">
        <f>IF(V439="스토리위즈",VLOOKUP(K439,[1]작가별정산률!$A:$B,2,0),V439)</f>
        <v>밀리의 서재</v>
      </c>
    </row>
    <row r="440" spans="1:23" x14ac:dyDescent="0.4">
      <c r="A440" t="s">
        <v>262</v>
      </c>
      <c r="B440" t="s">
        <v>647</v>
      </c>
      <c r="C440" t="s">
        <v>712</v>
      </c>
      <c r="D440" t="s">
        <v>21</v>
      </c>
      <c r="E440" t="s">
        <v>22</v>
      </c>
      <c r="F440" t="s">
        <v>23</v>
      </c>
      <c r="G440">
        <v>1</v>
      </c>
      <c r="H440">
        <v>9791191562248</v>
      </c>
      <c r="I440" t="s">
        <v>143</v>
      </c>
      <c r="J440" t="s">
        <v>231</v>
      </c>
      <c r="K440" t="s">
        <v>232</v>
      </c>
      <c r="L440" t="s">
        <v>27</v>
      </c>
      <c r="M440" s="3">
        <v>2000</v>
      </c>
      <c r="N440" t="s">
        <v>27</v>
      </c>
      <c r="O440" s="3">
        <v>2000</v>
      </c>
      <c r="P440" s="3">
        <v>2000</v>
      </c>
      <c r="Q440" t="s">
        <v>30</v>
      </c>
      <c r="R440" s="2">
        <v>0.7</v>
      </c>
      <c r="S440" s="3">
        <v>1400</v>
      </c>
      <c r="T440" t="s">
        <v>27</v>
      </c>
      <c r="U440" s="3">
        <v>1400</v>
      </c>
      <c r="V440" s="7" t="str">
        <f>IF(ISERROR(VLOOKUP(K440,[1]작가별정산률!$R:$S,2,0)),"스토리위즈",VLOOKUP(K440,[1]작가별정산률!$R:$S,2,0))</f>
        <v>밀리의 서재</v>
      </c>
      <c r="W440" s="7" t="str">
        <f>IF(V440="스토리위즈",VLOOKUP(K440,[1]작가별정산률!$A:$B,2,0),V440)</f>
        <v>밀리의 서재</v>
      </c>
    </row>
    <row r="441" spans="1:23" x14ac:dyDescent="0.4">
      <c r="A441" t="s">
        <v>262</v>
      </c>
      <c r="B441" t="s">
        <v>647</v>
      </c>
      <c r="C441" t="s">
        <v>713</v>
      </c>
      <c r="D441" t="s">
        <v>64</v>
      </c>
      <c r="E441" t="s">
        <v>22</v>
      </c>
      <c r="F441" t="s">
        <v>23</v>
      </c>
      <c r="G441">
        <v>1</v>
      </c>
      <c r="H441">
        <v>9791159283161</v>
      </c>
      <c r="I441" t="s">
        <v>24</v>
      </c>
      <c r="J441" t="s">
        <v>85</v>
      </c>
      <c r="K441" t="s">
        <v>37</v>
      </c>
      <c r="L441" t="s">
        <v>27</v>
      </c>
      <c r="M441">
        <v>900</v>
      </c>
      <c r="N441" t="s">
        <v>27</v>
      </c>
      <c r="O441">
        <v>900</v>
      </c>
      <c r="P441">
        <v>900</v>
      </c>
      <c r="Q441" t="s">
        <v>30</v>
      </c>
      <c r="R441" s="2">
        <v>0.7</v>
      </c>
      <c r="S441">
        <v>630</v>
      </c>
      <c r="T441" t="s">
        <v>27</v>
      </c>
      <c r="U441">
        <v>630</v>
      </c>
      <c r="V441" s="7" t="str">
        <f>IF(ISERROR(VLOOKUP(K441,[1]작가별정산률!$R:$S,2,0)),"스토리위즈",VLOOKUP(K441,[1]작가별정산률!$R:$S,2,0))</f>
        <v>스토리위즈</v>
      </c>
      <c r="W441" s="7" t="str">
        <f>IF(V441="스토리위즈",VLOOKUP(K441,[1]작가별정산률!$A:$B,2,0),V441)</f>
        <v>권용찬</v>
      </c>
    </row>
    <row r="442" spans="1:23" x14ac:dyDescent="0.4">
      <c r="A442" t="s">
        <v>262</v>
      </c>
      <c r="B442" t="s">
        <v>647</v>
      </c>
      <c r="C442" t="s">
        <v>714</v>
      </c>
      <c r="D442" t="s">
        <v>64</v>
      </c>
      <c r="E442" t="s">
        <v>22</v>
      </c>
      <c r="F442" t="s">
        <v>23</v>
      </c>
      <c r="G442">
        <v>1</v>
      </c>
      <c r="H442">
        <v>9791166300202</v>
      </c>
      <c r="I442" t="s">
        <v>24</v>
      </c>
      <c r="J442" t="s">
        <v>129</v>
      </c>
      <c r="K442" t="s">
        <v>119</v>
      </c>
      <c r="L442" t="s">
        <v>27</v>
      </c>
      <c r="M442">
        <v>630</v>
      </c>
      <c r="N442" t="s">
        <v>27</v>
      </c>
      <c r="O442">
        <v>630</v>
      </c>
      <c r="P442">
        <v>630</v>
      </c>
      <c r="Q442" t="s">
        <v>30</v>
      </c>
      <c r="R442" s="2">
        <v>0.7</v>
      </c>
      <c r="S442">
        <v>441</v>
      </c>
      <c r="T442" t="s">
        <v>27</v>
      </c>
      <c r="U442">
        <v>441</v>
      </c>
      <c r="V442" s="7" t="str">
        <f>IF(ISERROR(VLOOKUP(K442,[1]작가별정산률!$R:$S,2,0)),"스토리위즈",VLOOKUP(K442,[1]작가별정산률!$R:$S,2,0))</f>
        <v>스토리위즈</v>
      </c>
      <c r="W442" s="7" t="str">
        <f>IF(V442="스토리위즈",VLOOKUP(K442,[1]작가별정산률!$A:$B,2,0),V442)</f>
        <v>김광수</v>
      </c>
    </row>
    <row r="443" spans="1:23" x14ac:dyDescent="0.4">
      <c r="A443" t="s">
        <v>262</v>
      </c>
      <c r="B443" t="s">
        <v>647</v>
      </c>
      <c r="C443" t="s">
        <v>715</v>
      </c>
      <c r="D443" t="s">
        <v>64</v>
      </c>
      <c r="E443" t="s">
        <v>22</v>
      </c>
      <c r="F443" t="s">
        <v>23</v>
      </c>
      <c r="G443">
        <v>1</v>
      </c>
      <c r="H443">
        <v>9791166300141</v>
      </c>
      <c r="I443" t="s">
        <v>24</v>
      </c>
      <c r="J443" t="s">
        <v>124</v>
      </c>
      <c r="K443" t="s">
        <v>119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2">
        <v>0.7</v>
      </c>
      <c r="S443">
        <v>441</v>
      </c>
      <c r="T443" t="s">
        <v>27</v>
      </c>
      <c r="U443">
        <v>441</v>
      </c>
      <c r="V443" s="7" t="str">
        <f>IF(ISERROR(VLOOKUP(K443,[1]작가별정산률!$R:$S,2,0)),"스토리위즈",VLOOKUP(K443,[1]작가별정산률!$R:$S,2,0))</f>
        <v>스토리위즈</v>
      </c>
      <c r="W443" s="7" t="str">
        <f>IF(V443="스토리위즈",VLOOKUP(K443,[1]작가별정산률!$A:$B,2,0),V443)</f>
        <v>김광수</v>
      </c>
    </row>
    <row r="444" spans="1:23" x14ac:dyDescent="0.4">
      <c r="A444" t="s">
        <v>262</v>
      </c>
      <c r="B444" t="s">
        <v>647</v>
      </c>
      <c r="C444" t="s">
        <v>716</v>
      </c>
      <c r="D444" t="s">
        <v>64</v>
      </c>
      <c r="E444" t="s">
        <v>22</v>
      </c>
      <c r="F444" t="s">
        <v>23</v>
      </c>
      <c r="G444">
        <v>1</v>
      </c>
      <c r="H444">
        <v>9791166300219</v>
      </c>
      <c r="I444" t="s">
        <v>24</v>
      </c>
      <c r="J444" t="s">
        <v>130</v>
      </c>
      <c r="K444" t="s">
        <v>119</v>
      </c>
      <c r="L444" t="s">
        <v>27</v>
      </c>
      <c r="M444">
        <v>630</v>
      </c>
      <c r="N444" t="s">
        <v>27</v>
      </c>
      <c r="O444">
        <v>630</v>
      </c>
      <c r="P444">
        <v>630</v>
      </c>
      <c r="Q444" t="s">
        <v>30</v>
      </c>
      <c r="R444" s="2">
        <v>0.7</v>
      </c>
      <c r="S444">
        <v>441</v>
      </c>
      <c r="T444" t="s">
        <v>27</v>
      </c>
      <c r="U444">
        <v>441</v>
      </c>
      <c r="V444" s="7" t="str">
        <f>IF(ISERROR(VLOOKUP(K444,[1]작가별정산률!$R:$S,2,0)),"스토리위즈",VLOOKUP(K444,[1]작가별정산률!$R:$S,2,0))</f>
        <v>스토리위즈</v>
      </c>
      <c r="W444" s="7" t="str">
        <f>IF(V444="스토리위즈",VLOOKUP(K444,[1]작가별정산률!$A:$B,2,0),V444)</f>
        <v>김광수</v>
      </c>
    </row>
    <row r="445" spans="1:23" x14ac:dyDescent="0.4">
      <c r="A445" t="s">
        <v>262</v>
      </c>
      <c r="B445" t="s">
        <v>647</v>
      </c>
      <c r="C445" t="s">
        <v>717</v>
      </c>
      <c r="D445" t="s">
        <v>64</v>
      </c>
      <c r="E445" t="s">
        <v>22</v>
      </c>
      <c r="F445" t="s">
        <v>23</v>
      </c>
      <c r="G445">
        <v>1</v>
      </c>
      <c r="H445">
        <v>9791159282232</v>
      </c>
      <c r="I445" t="s">
        <v>24</v>
      </c>
      <c r="J445" t="s">
        <v>109</v>
      </c>
      <c r="K445" t="s">
        <v>37</v>
      </c>
      <c r="L445" t="s">
        <v>27</v>
      </c>
      <c r="M445">
        <v>900</v>
      </c>
      <c r="N445" t="s">
        <v>27</v>
      </c>
      <c r="O445">
        <v>900</v>
      </c>
      <c r="P445">
        <v>900</v>
      </c>
      <c r="Q445" t="s">
        <v>30</v>
      </c>
      <c r="R445" s="2">
        <v>0.7</v>
      </c>
      <c r="S445">
        <v>630</v>
      </c>
      <c r="T445" t="s">
        <v>27</v>
      </c>
      <c r="U445">
        <v>630</v>
      </c>
      <c r="V445" s="7" t="str">
        <f>IF(ISERROR(VLOOKUP(K445,[1]작가별정산률!$R:$S,2,0)),"스토리위즈",VLOOKUP(K445,[1]작가별정산률!$R:$S,2,0))</f>
        <v>스토리위즈</v>
      </c>
      <c r="W445" s="7" t="str">
        <f>IF(V445="스토리위즈",VLOOKUP(K445,[1]작가별정산률!$A:$B,2,0),V445)</f>
        <v>권용찬</v>
      </c>
    </row>
    <row r="446" spans="1:23" x14ac:dyDescent="0.4">
      <c r="A446" t="s">
        <v>262</v>
      </c>
      <c r="B446" t="s">
        <v>647</v>
      </c>
      <c r="C446" t="s">
        <v>718</v>
      </c>
      <c r="D446" t="s">
        <v>21</v>
      </c>
      <c r="E446" t="s">
        <v>22</v>
      </c>
      <c r="F446" t="s">
        <v>23</v>
      </c>
      <c r="G446">
        <v>1</v>
      </c>
      <c r="H446">
        <v>9791196945268</v>
      </c>
      <c r="I446" t="s">
        <v>143</v>
      </c>
      <c r="J446" t="s">
        <v>185</v>
      </c>
      <c r="K446" t="s">
        <v>188</v>
      </c>
      <c r="L446" t="s">
        <v>27</v>
      </c>
      <c r="M446" s="3">
        <v>2500</v>
      </c>
      <c r="N446" t="s">
        <v>27</v>
      </c>
      <c r="O446" s="3">
        <v>2500</v>
      </c>
      <c r="P446" s="3">
        <v>2500</v>
      </c>
      <c r="Q446" t="s">
        <v>30</v>
      </c>
      <c r="R446" s="2">
        <v>0.7</v>
      </c>
      <c r="S446" s="3">
        <v>1750</v>
      </c>
      <c r="T446" t="s">
        <v>27</v>
      </c>
      <c r="U446" s="3">
        <v>1750</v>
      </c>
      <c r="V446" s="7" t="str">
        <f>IF(ISERROR(VLOOKUP(K446,[1]작가별정산률!$R:$S,2,0)),"스토리위즈",VLOOKUP(K446,[1]작가별정산률!$R:$S,2,0))</f>
        <v>밀리의 서재</v>
      </c>
      <c r="W446" s="7" t="str">
        <f>IF(V446="스토리위즈",VLOOKUP(K446,[1]작가별정산률!$A:$B,2,0),V446)</f>
        <v>밀리의 서재</v>
      </c>
    </row>
    <row r="447" spans="1:23" x14ac:dyDescent="0.4">
      <c r="A447" t="s">
        <v>262</v>
      </c>
      <c r="B447" t="s">
        <v>647</v>
      </c>
      <c r="C447" t="s">
        <v>719</v>
      </c>
      <c r="D447" t="s">
        <v>64</v>
      </c>
      <c r="E447" t="s">
        <v>22</v>
      </c>
      <c r="F447" t="s">
        <v>23</v>
      </c>
      <c r="G447">
        <v>1</v>
      </c>
      <c r="H447">
        <v>9791159283246</v>
      </c>
      <c r="I447" t="s">
        <v>24</v>
      </c>
      <c r="J447" t="s">
        <v>67</v>
      </c>
      <c r="K447" t="s">
        <v>37</v>
      </c>
      <c r="L447" t="s">
        <v>27</v>
      </c>
      <c r="M447">
        <v>630</v>
      </c>
      <c r="N447" t="s">
        <v>27</v>
      </c>
      <c r="O447">
        <v>630</v>
      </c>
      <c r="P447">
        <v>630</v>
      </c>
      <c r="Q447" t="s">
        <v>30</v>
      </c>
      <c r="R447" s="2">
        <v>0.7</v>
      </c>
      <c r="S447">
        <v>441</v>
      </c>
      <c r="T447" t="s">
        <v>27</v>
      </c>
      <c r="U447">
        <v>441</v>
      </c>
      <c r="V447" s="7" t="str">
        <f>IF(ISERROR(VLOOKUP(K447,[1]작가별정산률!$R:$S,2,0)),"스토리위즈",VLOOKUP(K447,[1]작가별정산률!$R:$S,2,0))</f>
        <v>스토리위즈</v>
      </c>
      <c r="W447" s="7" t="str">
        <f>IF(V447="스토리위즈",VLOOKUP(K447,[1]작가별정산률!$A:$B,2,0),V447)</f>
        <v>권용찬</v>
      </c>
    </row>
    <row r="448" spans="1:23" x14ac:dyDescent="0.4">
      <c r="A448" t="s">
        <v>262</v>
      </c>
      <c r="B448" t="s">
        <v>647</v>
      </c>
      <c r="C448" t="s">
        <v>720</v>
      </c>
      <c r="D448" t="s">
        <v>64</v>
      </c>
      <c r="E448" t="s">
        <v>22</v>
      </c>
      <c r="F448" t="s">
        <v>23</v>
      </c>
      <c r="G448">
        <v>1</v>
      </c>
      <c r="H448">
        <v>9791159283178</v>
      </c>
      <c r="I448" t="s">
        <v>24</v>
      </c>
      <c r="J448" t="s">
        <v>88</v>
      </c>
      <c r="K448" t="s">
        <v>37</v>
      </c>
      <c r="L448" t="s">
        <v>27</v>
      </c>
      <c r="M448">
        <v>900</v>
      </c>
      <c r="N448" t="s">
        <v>27</v>
      </c>
      <c r="O448">
        <v>900</v>
      </c>
      <c r="P448">
        <v>900</v>
      </c>
      <c r="Q448" t="s">
        <v>30</v>
      </c>
      <c r="R448" s="2">
        <v>0.7</v>
      </c>
      <c r="S448">
        <v>630</v>
      </c>
      <c r="T448" t="s">
        <v>27</v>
      </c>
      <c r="U448">
        <v>630</v>
      </c>
      <c r="V448" s="7" t="str">
        <f>IF(ISERROR(VLOOKUP(K448,[1]작가별정산률!$R:$S,2,0)),"스토리위즈",VLOOKUP(K448,[1]작가별정산률!$R:$S,2,0))</f>
        <v>스토리위즈</v>
      </c>
      <c r="W448" s="7" t="str">
        <f>IF(V448="스토리위즈",VLOOKUP(K448,[1]작가별정산률!$A:$B,2,0),V448)</f>
        <v>권용찬</v>
      </c>
    </row>
    <row r="449" spans="1:23" x14ac:dyDescent="0.4">
      <c r="A449" t="s">
        <v>262</v>
      </c>
      <c r="B449" t="s">
        <v>647</v>
      </c>
      <c r="C449" t="s">
        <v>721</v>
      </c>
      <c r="D449" t="s">
        <v>21</v>
      </c>
      <c r="E449" t="s">
        <v>22</v>
      </c>
      <c r="F449" t="s">
        <v>23</v>
      </c>
      <c r="G449">
        <v>1</v>
      </c>
      <c r="H449">
        <v>9791159289583</v>
      </c>
      <c r="I449" t="s">
        <v>24</v>
      </c>
      <c r="J449" t="s">
        <v>141</v>
      </c>
      <c r="K449" t="s">
        <v>140</v>
      </c>
      <c r="L449" t="s">
        <v>27</v>
      </c>
      <c r="M449" s="3">
        <v>3200</v>
      </c>
      <c r="N449" t="s">
        <v>28</v>
      </c>
      <c r="O449">
        <v>2.64</v>
      </c>
      <c r="P449">
        <v>2.64</v>
      </c>
      <c r="Q449" t="s">
        <v>29</v>
      </c>
      <c r="R449" s="2">
        <v>0.7</v>
      </c>
      <c r="S449">
        <v>1.85</v>
      </c>
      <c r="T449" t="s">
        <v>27</v>
      </c>
      <c r="U449" s="3">
        <v>2354</v>
      </c>
      <c r="V449" s="7" t="str">
        <f>IF(ISERROR(VLOOKUP(K449,[1]작가별정산률!$R:$S,2,0)),"스토리위즈",VLOOKUP(K449,[1]작가별정산률!$R:$S,2,0))</f>
        <v>스토리위즈</v>
      </c>
      <c r="W449" s="7" t="str">
        <f>IF(V449="스토리위즈",VLOOKUP(K449,[1]작가별정산률!$A:$B,2,0),V449)</f>
        <v>이동열</v>
      </c>
    </row>
    <row r="450" spans="1:23" x14ac:dyDescent="0.4">
      <c r="A450" t="s">
        <v>262</v>
      </c>
      <c r="B450" t="s">
        <v>722</v>
      </c>
      <c r="C450" t="s">
        <v>723</v>
      </c>
      <c r="D450" t="s">
        <v>64</v>
      </c>
      <c r="E450" t="s">
        <v>22</v>
      </c>
      <c r="F450" t="s">
        <v>23</v>
      </c>
      <c r="G450">
        <v>1</v>
      </c>
      <c r="H450">
        <v>9791166300691</v>
      </c>
      <c r="I450" t="s">
        <v>24</v>
      </c>
      <c r="J450" t="s">
        <v>152</v>
      </c>
      <c r="K450" t="s">
        <v>119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  <c r="V450" s="7" t="str">
        <f>IF(ISERROR(VLOOKUP(K450,[1]작가별정산률!$R:$S,2,0)),"스토리위즈",VLOOKUP(K450,[1]작가별정산률!$R:$S,2,0))</f>
        <v>스토리위즈</v>
      </c>
      <c r="W450" s="7" t="str">
        <f>IF(V450="스토리위즈",VLOOKUP(K450,[1]작가별정산률!$A:$B,2,0),V450)</f>
        <v>김광수</v>
      </c>
    </row>
    <row r="451" spans="1:23" x14ac:dyDescent="0.4">
      <c r="A451" t="s">
        <v>262</v>
      </c>
      <c r="B451" t="s">
        <v>722</v>
      </c>
      <c r="C451" t="s">
        <v>724</v>
      </c>
      <c r="D451" t="s">
        <v>64</v>
      </c>
      <c r="E451" t="s">
        <v>22</v>
      </c>
      <c r="F451" t="s">
        <v>23</v>
      </c>
      <c r="G451">
        <v>1</v>
      </c>
      <c r="H451">
        <v>9791159283253</v>
      </c>
      <c r="I451" t="s">
        <v>24</v>
      </c>
      <c r="J451" t="s">
        <v>68</v>
      </c>
      <c r="K451" t="s">
        <v>37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  <c r="V451" s="7" t="str">
        <f>IF(ISERROR(VLOOKUP(K451,[1]작가별정산률!$R:$S,2,0)),"스토리위즈",VLOOKUP(K451,[1]작가별정산률!$R:$S,2,0))</f>
        <v>스토리위즈</v>
      </c>
      <c r="W451" s="7" t="str">
        <f>IF(V451="스토리위즈",VLOOKUP(K451,[1]작가별정산률!$A:$B,2,0),V451)</f>
        <v>권용찬</v>
      </c>
    </row>
    <row r="452" spans="1:23" x14ac:dyDescent="0.4">
      <c r="A452" t="s">
        <v>262</v>
      </c>
      <c r="B452" t="s">
        <v>722</v>
      </c>
      <c r="C452" t="s">
        <v>725</v>
      </c>
      <c r="D452" t="s">
        <v>21</v>
      </c>
      <c r="E452" t="s">
        <v>22</v>
      </c>
      <c r="F452" t="s">
        <v>23</v>
      </c>
      <c r="G452">
        <v>1</v>
      </c>
      <c r="H452">
        <v>9791191562033</v>
      </c>
      <c r="I452" t="s">
        <v>143</v>
      </c>
      <c r="J452" t="s">
        <v>189</v>
      </c>
      <c r="K452" t="s">
        <v>187</v>
      </c>
      <c r="L452" t="s">
        <v>27</v>
      </c>
      <c r="M452" s="3">
        <v>2000</v>
      </c>
      <c r="N452" t="s">
        <v>28</v>
      </c>
      <c r="O452">
        <v>1.65</v>
      </c>
      <c r="P452">
        <v>1.65</v>
      </c>
      <c r="Q452" t="s">
        <v>29</v>
      </c>
      <c r="R452" s="2">
        <v>0.7</v>
      </c>
      <c r="S452">
        <v>1.1499999999999999</v>
      </c>
      <c r="T452" t="s">
        <v>27</v>
      </c>
      <c r="U452" s="3">
        <v>1464</v>
      </c>
      <c r="V452" s="7" t="str">
        <f>IF(ISERROR(VLOOKUP(K452,[1]작가별정산률!$R:$S,2,0)),"스토리위즈",VLOOKUP(K452,[1]작가별정산률!$R:$S,2,0))</f>
        <v>밀리의 서재</v>
      </c>
      <c r="W452" s="7" t="str">
        <f>IF(V452="스토리위즈",VLOOKUP(K452,[1]작가별정산률!$A:$B,2,0),V452)</f>
        <v>밀리의 서재</v>
      </c>
    </row>
    <row r="453" spans="1:23" x14ac:dyDescent="0.4">
      <c r="A453" t="s">
        <v>262</v>
      </c>
      <c r="B453" t="s">
        <v>722</v>
      </c>
      <c r="C453" t="s">
        <v>726</v>
      </c>
      <c r="D453" t="s">
        <v>64</v>
      </c>
      <c r="E453" t="s">
        <v>22</v>
      </c>
      <c r="F453" t="s">
        <v>23</v>
      </c>
      <c r="G453">
        <v>1</v>
      </c>
      <c r="H453">
        <v>9791166300103</v>
      </c>
      <c r="I453" t="s">
        <v>24</v>
      </c>
      <c r="J453" t="s">
        <v>120</v>
      </c>
      <c r="K453" t="s">
        <v>119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  <c r="V453" s="7" t="str">
        <f>IF(ISERROR(VLOOKUP(K453,[1]작가별정산률!$R:$S,2,0)),"스토리위즈",VLOOKUP(K453,[1]작가별정산률!$R:$S,2,0))</f>
        <v>스토리위즈</v>
      </c>
      <c r="W453" s="7" t="str">
        <f>IF(V453="스토리위즈",VLOOKUP(K453,[1]작가별정산률!$A:$B,2,0),V453)</f>
        <v>김광수</v>
      </c>
    </row>
    <row r="454" spans="1:23" x14ac:dyDescent="0.4">
      <c r="A454" t="s">
        <v>262</v>
      </c>
      <c r="B454" t="s">
        <v>722</v>
      </c>
      <c r="C454" t="s">
        <v>727</v>
      </c>
      <c r="D454" t="s">
        <v>64</v>
      </c>
      <c r="E454" t="s">
        <v>22</v>
      </c>
      <c r="F454" t="s">
        <v>23</v>
      </c>
      <c r="G454">
        <v>1</v>
      </c>
      <c r="H454">
        <v>9791166300233</v>
      </c>
      <c r="I454" t="s">
        <v>24</v>
      </c>
      <c r="J454" t="s">
        <v>132</v>
      </c>
      <c r="K454" t="s">
        <v>119</v>
      </c>
      <c r="L454" t="s">
        <v>27</v>
      </c>
      <c r="M454">
        <v>630</v>
      </c>
      <c r="N454" t="s">
        <v>27</v>
      </c>
      <c r="O454">
        <v>630</v>
      </c>
      <c r="P454">
        <v>630</v>
      </c>
      <c r="Q454" t="s">
        <v>30</v>
      </c>
      <c r="R454" s="2">
        <v>0.7</v>
      </c>
      <c r="S454">
        <v>441</v>
      </c>
      <c r="T454" t="s">
        <v>27</v>
      </c>
      <c r="U454">
        <v>441</v>
      </c>
      <c r="V454" s="7" t="str">
        <f>IF(ISERROR(VLOOKUP(K454,[1]작가별정산률!$R:$S,2,0)),"스토리위즈",VLOOKUP(K454,[1]작가별정산률!$R:$S,2,0))</f>
        <v>스토리위즈</v>
      </c>
      <c r="W454" s="7" t="str">
        <f>IF(V454="스토리위즈",VLOOKUP(K454,[1]작가별정산률!$A:$B,2,0),V454)</f>
        <v>김광수</v>
      </c>
    </row>
    <row r="455" spans="1:23" x14ac:dyDescent="0.4">
      <c r="A455" t="s">
        <v>262</v>
      </c>
      <c r="B455" t="s">
        <v>722</v>
      </c>
      <c r="C455" t="s">
        <v>728</v>
      </c>
      <c r="D455" t="s">
        <v>64</v>
      </c>
      <c r="E455" t="s">
        <v>22</v>
      </c>
      <c r="F455" t="s">
        <v>23</v>
      </c>
      <c r="G455">
        <v>1</v>
      </c>
      <c r="H455">
        <v>9791166300110</v>
      </c>
      <c r="I455" t="s">
        <v>24</v>
      </c>
      <c r="J455" t="s">
        <v>121</v>
      </c>
      <c r="K455" t="s">
        <v>119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  <c r="V455" s="7" t="str">
        <f>IF(ISERROR(VLOOKUP(K455,[1]작가별정산률!$R:$S,2,0)),"스토리위즈",VLOOKUP(K455,[1]작가별정산률!$R:$S,2,0))</f>
        <v>스토리위즈</v>
      </c>
      <c r="W455" s="7" t="str">
        <f>IF(V455="스토리위즈",VLOOKUP(K455,[1]작가별정산률!$A:$B,2,0),V455)</f>
        <v>김광수</v>
      </c>
    </row>
    <row r="456" spans="1:23" x14ac:dyDescent="0.4">
      <c r="A456" t="s">
        <v>262</v>
      </c>
      <c r="B456" t="s">
        <v>722</v>
      </c>
      <c r="C456" t="s">
        <v>729</v>
      </c>
      <c r="D456" t="s">
        <v>64</v>
      </c>
      <c r="E456" t="s">
        <v>22</v>
      </c>
      <c r="F456" t="s">
        <v>23</v>
      </c>
      <c r="G456">
        <v>1</v>
      </c>
      <c r="H456">
        <v>9791166300134</v>
      </c>
      <c r="I456" t="s">
        <v>24</v>
      </c>
      <c r="J456" t="s">
        <v>123</v>
      </c>
      <c r="K456" t="s">
        <v>119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2">
        <v>0.7</v>
      </c>
      <c r="S456">
        <v>441</v>
      </c>
      <c r="T456" t="s">
        <v>27</v>
      </c>
      <c r="U456">
        <v>441</v>
      </c>
      <c r="V456" s="7" t="str">
        <f>IF(ISERROR(VLOOKUP(K456,[1]작가별정산률!$R:$S,2,0)),"스토리위즈",VLOOKUP(K456,[1]작가별정산률!$R:$S,2,0))</f>
        <v>스토리위즈</v>
      </c>
      <c r="W456" s="7" t="str">
        <f>IF(V456="스토리위즈",VLOOKUP(K456,[1]작가별정산률!$A:$B,2,0),V456)</f>
        <v>김광수</v>
      </c>
    </row>
    <row r="457" spans="1:23" x14ac:dyDescent="0.4">
      <c r="A457" t="s">
        <v>262</v>
      </c>
      <c r="B457" t="s">
        <v>722</v>
      </c>
      <c r="C457" t="s">
        <v>730</v>
      </c>
      <c r="D457" t="s">
        <v>64</v>
      </c>
      <c r="E457" t="s">
        <v>22</v>
      </c>
      <c r="F457" t="s">
        <v>23</v>
      </c>
      <c r="G457">
        <v>1</v>
      </c>
      <c r="H457">
        <v>9791159283185</v>
      </c>
      <c r="I457" t="s">
        <v>24</v>
      </c>
      <c r="J457" t="s">
        <v>89</v>
      </c>
      <c r="K457" t="s">
        <v>37</v>
      </c>
      <c r="L457" t="s">
        <v>27</v>
      </c>
      <c r="M457">
        <v>900</v>
      </c>
      <c r="N457" t="s">
        <v>27</v>
      </c>
      <c r="O457">
        <v>900</v>
      </c>
      <c r="P457">
        <v>900</v>
      </c>
      <c r="Q457" t="s">
        <v>30</v>
      </c>
      <c r="R457" s="2">
        <v>0.7</v>
      </c>
      <c r="S457">
        <v>630</v>
      </c>
      <c r="T457" t="s">
        <v>27</v>
      </c>
      <c r="U457">
        <v>630</v>
      </c>
      <c r="V457" s="7" t="str">
        <f>IF(ISERROR(VLOOKUP(K457,[1]작가별정산률!$R:$S,2,0)),"스토리위즈",VLOOKUP(K457,[1]작가별정산률!$R:$S,2,0))</f>
        <v>스토리위즈</v>
      </c>
      <c r="W457" s="7" t="str">
        <f>IF(V457="스토리위즈",VLOOKUP(K457,[1]작가별정산률!$A:$B,2,0),V457)</f>
        <v>권용찬</v>
      </c>
    </row>
    <row r="458" spans="1:23" x14ac:dyDescent="0.4">
      <c r="A458" t="s">
        <v>262</v>
      </c>
      <c r="B458" t="s">
        <v>722</v>
      </c>
      <c r="C458" t="s">
        <v>731</v>
      </c>
      <c r="D458" t="s">
        <v>64</v>
      </c>
      <c r="E458" t="s">
        <v>22</v>
      </c>
      <c r="F458" t="s">
        <v>23</v>
      </c>
      <c r="G458">
        <v>1</v>
      </c>
      <c r="H458">
        <v>9791166300226</v>
      </c>
      <c r="I458" t="s">
        <v>24</v>
      </c>
      <c r="J458" t="s">
        <v>131</v>
      </c>
      <c r="K458" t="s">
        <v>119</v>
      </c>
      <c r="L458" t="s">
        <v>27</v>
      </c>
      <c r="M458">
        <v>630</v>
      </c>
      <c r="N458" t="s">
        <v>27</v>
      </c>
      <c r="O458">
        <v>630</v>
      </c>
      <c r="P458">
        <v>630</v>
      </c>
      <c r="Q458" t="s">
        <v>30</v>
      </c>
      <c r="R458" s="2">
        <v>0.7</v>
      </c>
      <c r="S458">
        <v>441</v>
      </c>
      <c r="T458" t="s">
        <v>27</v>
      </c>
      <c r="U458">
        <v>441</v>
      </c>
      <c r="V458" s="7" t="str">
        <f>IF(ISERROR(VLOOKUP(K458,[1]작가별정산률!$R:$S,2,0)),"스토리위즈",VLOOKUP(K458,[1]작가별정산률!$R:$S,2,0))</f>
        <v>스토리위즈</v>
      </c>
      <c r="W458" s="7" t="str">
        <f>IF(V458="스토리위즈",VLOOKUP(K458,[1]작가별정산률!$A:$B,2,0),V458)</f>
        <v>김광수</v>
      </c>
    </row>
    <row r="459" spans="1:23" x14ac:dyDescent="0.4">
      <c r="A459" t="s">
        <v>262</v>
      </c>
      <c r="B459" t="s">
        <v>722</v>
      </c>
      <c r="C459" t="s">
        <v>732</v>
      </c>
      <c r="D459" t="s">
        <v>64</v>
      </c>
      <c r="E459" t="s">
        <v>22</v>
      </c>
      <c r="F459" t="s">
        <v>23</v>
      </c>
      <c r="G459">
        <v>1</v>
      </c>
      <c r="H459">
        <v>9791166064081</v>
      </c>
      <c r="I459" t="s">
        <v>24</v>
      </c>
      <c r="J459" t="s">
        <v>91</v>
      </c>
      <c r="K459" t="s">
        <v>37</v>
      </c>
      <c r="L459" t="s">
        <v>27</v>
      </c>
      <c r="M459">
        <v>900</v>
      </c>
      <c r="N459" t="s">
        <v>27</v>
      </c>
      <c r="O459">
        <v>900</v>
      </c>
      <c r="P459">
        <v>900</v>
      </c>
      <c r="Q459" t="s">
        <v>30</v>
      </c>
      <c r="R459" s="2">
        <v>0.7</v>
      </c>
      <c r="S459">
        <v>630</v>
      </c>
      <c r="T459" t="s">
        <v>27</v>
      </c>
      <c r="U459">
        <v>630</v>
      </c>
      <c r="V459" s="7" t="str">
        <f>IF(ISERROR(VLOOKUP(K459,[1]작가별정산률!$R:$S,2,0)),"스토리위즈",VLOOKUP(K459,[1]작가별정산률!$R:$S,2,0))</f>
        <v>스토리위즈</v>
      </c>
      <c r="W459" s="7" t="str">
        <f>IF(V459="스토리위즈",VLOOKUP(K459,[1]작가별정산률!$A:$B,2,0),V459)</f>
        <v>권용찬</v>
      </c>
    </row>
    <row r="460" spans="1:23" x14ac:dyDescent="0.4">
      <c r="A460" t="s">
        <v>262</v>
      </c>
      <c r="B460" t="s">
        <v>722</v>
      </c>
      <c r="C460" t="s">
        <v>733</v>
      </c>
      <c r="D460" t="s">
        <v>64</v>
      </c>
      <c r="E460" t="s">
        <v>22</v>
      </c>
      <c r="F460" t="s">
        <v>23</v>
      </c>
      <c r="G460">
        <v>1</v>
      </c>
      <c r="H460">
        <v>9791159282218</v>
      </c>
      <c r="I460" t="s">
        <v>24</v>
      </c>
      <c r="J460" t="s">
        <v>107</v>
      </c>
      <c r="K460" t="s">
        <v>37</v>
      </c>
      <c r="L460" t="s">
        <v>27</v>
      </c>
      <c r="M460">
        <v>900</v>
      </c>
      <c r="N460" t="s">
        <v>27</v>
      </c>
      <c r="O460">
        <v>900</v>
      </c>
      <c r="P460">
        <v>900</v>
      </c>
      <c r="Q460" t="s">
        <v>30</v>
      </c>
      <c r="R460" s="2">
        <v>0.7</v>
      </c>
      <c r="S460">
        <v>630</v>
      </c>
      <c r="T460" t="s">
        <v>27</v>
      </c>
      <c r="U460">
        <v>630</v>
      </c>
      <c r="V460" s="7" t="str">
        <f>IF(ISERROR(VLOOKUP(K460,[1]작가별정산률!$R:$S,2,0)),"스토리위즈",VLOOKUP(K460,[1]작가별정산률!$R:$S,2,0))</f>
        <v>스토리위즈</v>
      </c>
      <c r="W460" s="7" t="str">
        <f>IF(V460="스토리위즈",VLOOKUP(K460,[1]작가별정산률!$A:$B,2,0),V460)</f>
        <v>권용찬</v>
      </c>
    </row>
    <row r="461" spans="1:23" x14ac:dyDescent="0.4">
      <c r="A461" t="s">
        <v>262</v>
      </c>
      <c r="B461" t="s">
        <v>722</v>
      </c>
      <c r="C461" t="s">
        <v>734</v>
      </c>
      <c r="D461" t="s">
        <v>64</v>
      </c>
      <c r="E461" t="s">
        <v>22</v>
      </c>
      <c r="F461" t="s">
        <v>23</v>
      </c>
      <c r="G461">
        <v>1</v>
      </c>
      <c r="H461">
        <v>9791166300103</v>
      </c>
      <c r="I461" t="s">
        <v>24</v>
      </c>
      <c r="J461" t="s">
        <v>120</v>
      </c>
      <c r="K461" t="s">
        <v>119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  <c r="V461" s="7" t="str">
        <f>IF(ISERROR(VLOOKUP(K461,[1]작가별정산률!$R:$S,2,0)),"스토리위즈",VLOOKUP(K461,[1]작가별정산률!$R:$S,2,0))</f>
        <v>스토리위즈</v>
      </c>
      <c r="W461" s="7" t="str">
        <f>IF(V461="스토리위즈",VLOOKUP(K461,[1]작가별정산률!$A:$B,2,0),V461)</f>
        <v>김광수</v>
      </c>
    </row>
    <row r="462" spans="1:23" x14ac:dyDescent="0.4">
      <c r="A462" t="s">
        <v>262</v>
      </c>
      <c r="B462" t="s">
        <v>722</v>
      </c>
      <c r="C462" t="s">
        <v>735</v>
      </c>
      <c r="D462" t="s">
        <v>64</v>
      </c>
      <c r="E462" t="s">
        <v>22</v>
      </c>
      <c r="F462" t="s">
        <v>23</v>
      </c>
      <c r="G462">
        <v>1</v>
      </c>
      <c r="H462">
        <v>9791166300127</v>
      </c>
      <c r="I462" t="s">
        <v>24</v>
      </c>
      <c r="J462" t="s">
        <v>122</v>
      </c>
      <c r="K462" t="s">
        <v>119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2">
        <v>0.7</v>
      </c>
      <c r="S462">
        <v>441</v>
      </c>
      <c r="T462" t="s">
        <v>27</v>
      </c>
      <c r="U462">
        <v>441</v>
      </c>
      <c r="V462" s="7" t="str">
        <f>IF(ISERROR(VLOOKUP(K462,[1]작가별정산률!$R:$S,2,0)),"스토리위즈",VLOOKUP(K462,[1]작가별정산률!$R:$S,2,0))</f>
        <v>스토리위즈</v>
      </c>
      <c r="W462" s="7" t="str">
        <f>IF(V462="스토리위즈",VLOOKUP(K462,[1]작가별정산률!$A:$B,2,0),V462)</f>
        <v>김광수</v>
      </c>
    </row>
    <row r="463" spans="1:23" x14ac:dyDescent="0.4">
      <c r="A463" t="s">
        <v>262</v>
      </c>
      <c r="B463" t="s">
        <v>722</v>
      </c>
      <c r="C463" t="s">
        <v>736</v>
      </c>
      <c r="D463" t="s">
        <v>64</v>
      </c>
      <c r="E463" t="s">
        <v>22</v>
      </c>
      <c r="F463" t="s">
        <v>23</v>
      </c>
      <c r="G463">
        <v>1</v>
      </c>
      <c r="H463">
        <v>9791166300127</v>
      </c>
      <c r="I463" t="s">
        <v>24</v>
      </c>
      <c r="J463" t="s">
        <v>122</v>
      </c>
      <c r="K463" t="s">
        <v>119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  <c r="V463" s="7" t="str">
        <f>IF(ISERROR(VLOOKUP(K463,[1]작가별정산률!$R:$S,2,0)),"스토리위즈",VLOOKUP(K463,[1]작가별정산률!$R:$S,2,0))</f>
        <v>스토리위즈</v>
      </c>
      <c r="W463" s="7" t="str">
        <f>IF(V463="스토리위즈",VLOOKUP(K463,[1]작가별정산률!$A:$B,2,0),V463)</f>
        <v>김광수</v>
      </c>
    </row>
    <row r="464" spans="1:23" x14ac:dyDescent="0.4">
      <c r="A464" t="s">
        <v>262</v>
      </c>
      <c r="B464" t="s">
        <v>722</v>
      </c>
      <c r="C464" t="s">
        <v>737</v>
      </c>
      <c r="D464" t="s">
        <v>64</v>
      </c>
      <c r="E464" t="s">
        <v>22</v>
      </c>
      <c r="F464" t="s">
        <v>23</v>
      </c>
      <c r="G464">
        <v>1</v>
      </c>
      <c r="H464">
        <v>9791166300240</v>
      </c>
      <c r="I464" t="s">
        <v>24</v>
      </c>
      <c r="J464" t="s">
        <v>133</v>
      </c>
      <c r="K464" t="s">
        <v>119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  <c r="V464" s="7" t="str">
        <f>IF(ISERROR(VLOOKUP(K464,[1]작가별정산률!$R:$S,2,0)),"스토리위즈",VLOOKUP(K464,[1]작가별정산률!$R:$S,2,0))</f>
        <v>스토리위즈</v>
      </c>
      <c r="W464" s="7" t="str">
        <f>IF(V464="스토리위즈",VLOOKUP(K464,[1]작가별정산률!$A:$B,2,0),V464)</f>
        <v>김광수</v>
      </c>
    </row>
    <row r="465" spans="1:23" x14ac:dyDescent="0.4">
      <c r="A465" t="s">
        <v>262</v>
      </c>
      <c r="B465" t="s">
        <v>722</v>
      </c>
      <c r="C465" t="s">
        <v>738</v>
      </c>
      <c r="D465" t="s">
        <v>64</v>
      </c>
      <c r="E465" t="s">
        <v>22</v>
      </c>
      <c r="F465" t="s">
        <v>23</v>
      </c>
      <c r="G465">
        <v>1</v>
      </c>
      <c r="H465">
        <v>9791166300660</v>
      </c>
      <c r="I465" t="s">
        <v>24</v>
      </c>
      <c r="J465" t="s">
        <v>156</v>
      </c>
      <c r="K465" t="s">
        <v>119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  <c r="V465" s="7" t="str">
        <f>IF(ISERROR(VLOOKUP(K465,[1]작가별정산률!$R:$S,2,0)),"스토리위즈",VLOOKUP(K465,[1]작가별정산률!$R:$S,2,0))</f>
        <v>스토리위즈</v>
      </c>
      <c r="W465" s="7" t="str">
        <f>IF(V465="스토리위즈",VLOOKUP(K465,[1]작가별정산률!$A:$B,2,0),V465)</f>
        <v>김광수</v>
      </c>
    </row>
    <row r="466" spans="1:23" x14ac:dyDescent="0.4">
      <c r="A466" t="s">
        <v>262</v>
      </c>
      <c r="B466" t="s">
        <v>722</v>
      </c>
      <c r="C466" t="s">
        <v>739</v>
      </c>
      <c r="D466" t="s">
        <v>64</v>
      </c>
      <c r="E466" t="s">
        <v>22</v>
      </c>
      <c r="F466" t="s">
        <v>23</v>
      </c>
      <c r="G466">
        <v>1</v>
      </c>
      <c r="H466">
        <v>9791166300158</v>
      </c>
      <c r="I466" t="s">
        <v>24</v>
      </c>
      <c r="J466" t="s">
        <v>125</v>
      </c>
      <c r="K466" t="s">
        <v>119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  <c r="V466" s="7" t="str">
        <f>IF(ISERROR(VLOOKUP(K466,[1]작가별정산률!$R:$S,2,0)),"스토리위즈",VLOOKUP(K466,[1]작가별정산률!$R:$S,2,0))</f>
        <v>스토리위즈</v>
      </c>
      <c r="W466" s="7" t="str">
        <f>IF(V466="스토리위즈",VLOOKUP(K466,[1]작가별정산률!$A:$B,2,0),V466)</f>
        <v>김광수</v>
      </c>
    </row>
    <row r="467" spans="1:23" x14ac:dyDescent="0.4">
      <c r="A467" t="s">
        <v>262</v>
      </c>
      <c r="B467" t="s">
        <v>722</v>
      </c>
      <c r="C467" t="s">
        <v>740</v>
      </c>
      <c r="D467" t="s">
        <v>21</v>
      </c>
      <c r="E467" t="s">
        <v>22</v>
      </c>
      <c r="F467" t="s">
        <v>23</v>
      </c>
      <c r="G467">
        <v>1</v>
      </c>
      <c r="H467">
        <v>9791191562262</v>
      </c>
      <c r="I467" t="s">
        <v>143</v>
      </c>
      <c r="J467" t="s">
        <v>250</v>
      </c>
      <c r="K467" t="s">
        <v>251</v>
      </c>
      <c r="L467" t="s">
        <v>27</v>
      </c>
      <c r="M467" s="3">
        <v>2000</v>
      </c>
      <c r="N467" t="s">
        <v>27</v>
      </c>
      <c r="O467" s="3">
        <v>2000</v>
      </c>
      <c r="P467" s="3">
        <v>2000</v>
      </c>
      <c r="Q467" t="s">
        <v>30</v>
      </c>
      <c r="R467" s="2">
        <v>0.7</v>
      </c>
      <c r="S467" s="3">
        <v>1400</v>
      </c>
      <c r="T467" t="s">
        <v>27</v>
      </c>
      <c r="U467" s="3">
        <v>1400</v>
      </c>
      <c r="V467" s="7" t="str">
        <f>IF(ISERROR(VLOOKUP(K467,[1]작가별정산률!$R:$S,2,0)),"스토리위즈",VLOOKUP(K467,[1]작가별정산률!$R:$S,2,0))</f>
        <v>밀리의 서재</v>
      </c>
      <c r="W467" s="7" t="str">
        <f>IF(V467="스토리위즈",VLOOKUP(K467,[1]작가별정산률!$A:$B,2,0),V467)</f>
        <v>밀리의 서재</v>
      </c>
    </row>
    <row r="468" spans="1:23" x14ac:dyDescent="0.4">
      <c r="A468" t="s">
        <v>262</v>
      </c>
      <c r="B468" t="s">
        <v>722</v>
      </c>
      <c r="C468" t="s">
        <v>741</v>
      </c>
      <c r="D468" t="s">
        <v>64</v>
      </c>
      <c r="E468" t="s">
        <v>22</v>
      </c>
      <c r="F468" t="s">
        <v>23</v>
      </c>
      <c r="G468">
        <v>1</v>
      </c>
      <c r="H468">
        <v>9791159282249</v>
      </c>
      <c r="I468" t="s">
        <v>24</v>
      </c>
      <c r="J468" t="s">
        <v>110</v>
      </c>
      <c r="K468" t="s">
        <v>37</v>
      </c>
      <c r="L468" t="s">
        <v>27</v>
      </c>
      <c r="M468">
        <v>900</v>
      </c>
      <c r="N468" t="s">
        <v>27</v>
      </c>
      <c r="O468">
        <v>900</v>
      </c>
      <c r="P468">
        <v>900</v>
      </c>
      <c r="Q468" t="s">
        <v>30</v>
      </c>
      <c r="R468" s="2">
        <v>0.7</v>
      </c>
      <c r="S468">
        <v>630</v>
      </c>
      <c r="T468" t="s">
        <v>27</v>
      </c>
      <c r="U468">
        <v>630</v>
      </c>
      <c r="V468" s="7" t="str">
        <f>IF(ISERROR(VLOOKUP(K468,[1]작가별정산률!$R:$S,2,0)),"스토리위즈",VLOOKUP(K468,[1]작가별정산률!$R:$S,2,0))</f>
        <v>스토리위즈</v>
      </c>
      <c r="W468" s="7" t="str">
        <f>IF(V468="스토리위즈",VLOOKUP(K468,[1]작가별정산률!$A:$B,2,0),V468)</f>
        <v>권용찬</v>
      </c>
    </row>
    <row r="469" spans="1:23" x14ac:dyDescent="0.4">
      <c r="A469" t="s">
        <v>262</v>
      </c>
      <c r="B469" t="s">
        <v>722</v>
      </c>
      <c r="C469" t="s">
        <v>742</v>
      </c>
      <c r="D469" t="s">
        <v>21</v>
      </c>
      <c r="E469" t="s">
        <v>22</v>
      </c>
      <c r="F469" t="s">
        <v>23</v>
      </c>
      <c r="G469">
        <v>1</v>
      </c>
      <c r="H469">
        <v>9791191562224</v>
      </c>
      <c r="I469" t="s">
        <v>143</v>
      </c>
      <c r="J469" t="s">
        <v>221</v>
      </c>
      <c r="K469" t="s">
        <v>222</v>
      </c>
      <c r="L469" t="s">
        <v>27</v>
      </c>
      <c r="M469" s="3">
        <v>2500</v>
      </c>
      <c r="N469" t="s">
        <v>28</v>
      </c>
      <c r="O469">
        <v>2.06</v>
      </c>
      <c r="P469">
        <v>2.06</v>
      </c>
      <c r="Q469" t="s">
        <v>29</v>
      </c>
      <c r="R469" s="2">
        <v>0.7</v>
      </c>
      <c r="S469">
        <v>1.44</v>
      </c>
      <c r="T469" t="s">
        <v>27</v>
      </c>
      <c r="U469" s="3">
        <v>1833</v>
      </c>
      <c r="V469" s="7" t="str">
        <f>IF(ISERROR(VLOOKUP(K469,[1]작가별정산률!$R:$S,2,0)),"스토리위즈",VLOOKUP(K469,[1]작가별정산률!$R:$S,2,0))</f>
        <v>밀리의 서재</v>
      </c>
      <c r="W469" s="7" t="str">
        <f>IF(V469="스토리위즈",VLOOKUP(K469,[1]작가별정산률!$A:$B,2,0),V469)</f>
        <v>밀리의 서재</v>
      </c>
    </row>
    <row r="470" spans="1:23" x14ac:dyDescent="0.4">
      <c r="A470" t="s">
        <v>262</v>
      </c>
      <c r="B470" t="s">
        <v>722</v>
      </c>
      <c r="C470" t="s">
        <v>743</v>
      </c>
      <c r="D470" t="s">
        <v>21</v>
      </c>
      <c r="E470" t="s">
        <v>22</v>
      </c>
      <c r="F470" t="s">
        <v>23</v>
      </c>
      <c r="G470">
        <v>1</v>
      </c>
      <c r="H470">
        <v>9791191562262</v>
      </c>
      <c r="I470" t="s">
        <v>143</v>
      </c>
      <c r="J470" t="s">
        <v>250</v>
      </c>
      <c r="K470" t="s">
        <v>251</v>
      </c>
      <c r="L470" t="s">
        <v>27</v>
      </c>
      <c r="M470" s="3">
        <v>2000</v>
      </c>
      <c r="N470" t="s">
        <v>27</v>
      </c>
      <c r="O470" s="3">
        <v>2000</v>
      </c>
      <c r="P470" s="3">
        <v>2000</v>
      </c>
      <c r="Q470" t="s">
        <v>30</v>
      </c>
      <c r="R470" s="2">
        <v>0.7</v>
      </c>
      <c r="S470" s="3">
        <v>1400</v>
      </c>
      <c r="T470" t="s">
        <v>27</v>
      </c>
      <c r="U470" s="3">
        <v>1400</v>
      </c>
      <c r="V470" s="7" t="str">
        <f>IF(ISERROR(VLOOKUP(K470,[1]작가별정산률!$R:$S,2,0)),"스토리위즈",VLOOKUP(K470,[1]작가별정산률!$R:$S,2,0))</f>
        <v>밀리의 서재</v>
      </c>
      <c r="W470" s="7" t="str">
        <f>IF(V470="스토리위즈",VLOOKUP(K470,[1]작가별정산률!$A:$B,2,0),V470)</f>
        <v>밀리의 서재</v>
      </c>
    </row>
    <row r="471" spans="1:23" x14ac:dyDescent="0.4">
      <c r="A471" t="s">
        <v>262</v>
      </c>
      <c r="B471" t="s">
        <v>722</v>
      </c>
      <c r="C471" t="s">
        <v>744</v>
      </c>
      <c r="D471" t="s">
        <v>21</v>
      </c>
      <c r="E471" t="s">
        <v>22</v>
      </c>
      <c r="F471" t="s">
        <v>23</v>
      </c>
      <c r="G471">
        <v>1</v>
      </c>
      <c r="H471">
        <v>9791137600430</v>
      </c>
      <c r="I471" t="s">
        <v>143</v>
      </c>
      <c r="J471" t="s">
        <v>745</v>
      </c>
      <c r="K471" t="s">
        <v>746</v>
      </c>
      <c r="L471" t="s">
        <v>27</v>
      </c>
      <c r="M471" s="3">
        <v>2400</v>
      </c>
      <c r="N471" t="s">
        <v>27</v>
      </c>
      <c r="O471" s="3">
        <v>2400</v>
      </c>
      <c r="P471" s="3">
        <v>2400</v>
      </c>
      <c r="Q471" t="s">
        <v>30</v>
      </c>
      <c r="R471" s="2">
        <v>0.7</v>
      </c>
      <c r="S471" s="3">
        <v>1680</v>
      </c>
      <c r="T471" t="s">
        <v>27</v>
      </c>
      <c r="U471" s="3">
        <v>1680</v>
      </c>
      <c r="V471" s="7" t="str">
        <f>IF(ISERROR(VLOOKUP(K471,[1]작가별정산률!$R:$S,2,0)),"스토리위즈",VLOOKUP(K471,[1]작가별정산률!$R:$S,2,0))</f>
        <v>스토리위즈</v>
      </c>
      <c r="W471" s="7" t="str">
        <f>IF(V471="스토리위즈",VLOOKUP(K471,[1]작가별정산률!$A:$B,2,0),V471)</f>
        <v>온서</v>
      </c>
    </row>
    <row r="472" spans="1:23" x14ac:dyDescent="0.4">
      <c r="A472" t="s">
        <v>262</v>
      </c>
      <c r="B472" t="s">
        <v>722</v>
      </c>
      <c r="C472" t="s">
        <v>747</v>
      </c>
      <c r="D472" t="s">
        <v>64</v>
      </c>
      <c r="E472" t="s">
        <v>22</v>
      </c>
      <c r="F472" t="s">
        <v>23</v>
      </c>
      <c r="G472">
        <v>1</v>
      </c>
      <c r="H472">
        <v>9791166300240</v>
      </c>
      <c r="I472" t="s">
        <v>24</v>
      </c>
      <c r="J472" t="s">
        <v>133</v>
      </c>
      <c r="K472" t="s">
        <v>119</v>
      </c>
      <c r="L472" t="s">
        <v>27</v>
      </c>
      <c r="M472">
        <v>630</v>
      </c>
      <c r="N472" t="s">
        <v>27</v>
      </c>
      <c r="O472">
        <v>630</v>
      </c>
      <c r="P472">
        <v>630</v>
      </c>
      <c r="Q472" t="s">
        <v>30</v>
      </c>
      <c r="R472" s="2">
        <v>0.7</v>
      </c>
      <c r="S472">
        <v>441</v>
      </c>
      <c r="T472" t="s">
        <v>27</v>
      </c>
      <c r="U472">
        <v>441</v>
      </c>
      <c r="V472" s="7" t="str">
        <f>IF(ISERROR(VLOOKUP(K472,[1]작가별정산률!$R:$S,2,0)),"스토리위즈",VLOOKUP(K472,[1]작가별정산률!$R:$S,2,0))</f>
        <v>스토리위즈</v>
      </c>
      <c r="W472" s="7" t="str">
        <f>IF(V472="스토리위즈",VLOOKUP(K472,[1]작가별정산률!$A:$B,2,0),V472)</f>
        <v>김광수</v>
      </c>
    </row>
    <row r="473" spans="1:23" x14ac:dyDescent="0.4">
      <c r="A473" t="s">
        <v>262</v>
      </c>
      <c r="B473" t="s">
        <v>722</v>
      </c>
      <c r="C473" t="s">
        <v>748</v>
      </c>
      <c r="D473" t="s">
        <v>21</v>
      </c>
      <c r="E473" t="s">
        <v>22</v>
      </c>
      <c r="F473" t="s">
        <v>23</v>
      </c>
      <c r="G473">
        <v>1</v>
      </c>
      <c r="H473">
        <v>9791191562248</v>
      </c>
      <c r="I473" t="s">
        <v>143</v>
      </c>
      <c r="J473" t="s">
        <v>231</v>
      </c>
      <c r="K473" t="s">
        <v>232</v>
      </c>
      <c r="L473" t="s">
        <v>27</v>
      </c>
      <c r="M473" s="3">
        <v>2000</v>
      </c>
      <c r="N473" t="s">
        <v>27</v>
      </c>
      <c r="O473" s="3">
        <v>2000</v>
      </c>
      <c r="P473" s="3">
        <v>2000</v>
      </c>
      <c r="Q473" t="s">
        <v>30</v>
      </c>
      <c r="R473" s="2">
        <v>0.7</v>
      </c>
      <c r="S473" s="3">
        <v>1400</v>
      </c>
      <c r="T473" t="s">
        <v>27</v>
      </c>
      <c r="U473" s="3">
        <v>1400</v>
      </c>
      <c r="V473" s="7" t="str">
        <f>IF(ISERROR(VLOOKUP(K473,[1]작가별정산률!$R:$S,2,0)),"스토리위즈",VLOOKUP(K473,[1]작가별정산률!$R:$S,2,0))</f>
        <v>밀리의 서재</v>
      </c>
      <c r="W473" s="7" t="str">
        <f>IF(V473="스토리위즈",VLOOKUP(K473,[1]작가별정산률!$A:$B,2,0),V473)</f>
        <v>밀리의 서재</v>
      </c>
    </row>
    <row r="474" spans="1:23" x14ac:dyDescent="0.4">
      <c r="A474" t="s">
        <v>262</v>
      </c>
      <c r="B474" t="s">
        <v>722</v>
      </c>
      <c r="C474" t="s">
        <v>749</v>
      </c>
      <c r="D474" t="s">
        <v>64</v>
      </c>
      <c r="E474" t="s">
        <v>22</v>
      </c>
      <c r="F474" t="s">
        <v>23</v>
      </c>
      <c r="G474">
        <v>1</v>
      </c>
      <c r="H474">
        <v>9791166300257</v>
      </c>
      <c r="I474" t="s">
        <v>24</v>
      </c>
      <c r="J474" t="s">
        <v>134</v>
      </c>
      <c r="K474" t="s">
        <v>119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  <c r="V474" s="7" t="str">
        <f>IF(ISERROR(VLOOKUP(K474,[1]작가별정산률!$R:$S,2,0)),"스토리위즈",VLOOKUP(K474,[1]작가별정산률!$R:$S,2,0))</f>
        <v>스토리위즈</v>
      </c>
      <c r="W474" s="7" t="str">
        <f>IF(V474="스토리위즈",VLOOKUP(K474,[1]작가별정산률!$A:$B,2,0),V474)</f>
        <v>김광수</v>
      </c>
    </row>
    <row r="475" spans="1:23" x14ac:dyDescent="0.4">
      <c r="A475" t="s">
        <v>262</v>
      </c>
      <c r="B475" t="s">
        <v>722</v>
      </c>
      <c r="C475" t="s">
        <v>750</v>
      </c>
      <c r="D475" t="s">
        <v>64</v>
      </c>
      <c r="E475" t="s">
        <v>22</v>
      </c>
      <c r="F475" t="s">
        <v>23</v>
      </c>
      <c r="G475">
        <v>1</v>
      </c>
      <c r="H475">
        <v>9791166300516</v>
      </c>
      <c r="I475" t="s">
        <v>24</v>
      </c>
      <c r="J475" t="s">
        <v>149</v>
      </c>
      <c r="K475" t="s">
        <v>119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  <c r="V475" s="7" t="str">
        <f>IF(ISERROR(VLOOKUP(K475,[1]작가별정산률!$R:$S,2,0)),"스토리위즈",VLOOKUP(K475,[1]작가별정산률!$R:$S,2,0))</f>
        <v>스토리위즈</v>
      </c>
      <c r="W475" s="7" t="str">
        <f>IF(V475="스토리위즈",VLOOKUP(K475,[1]작가별정산률!$A:$B,2,0),V475)</f>
        <v>김광수</v>
      </c>
    </row>
    <row r="476" spans="1:23" x14ac:dyDescent="0.4">
      <c r="A476" t="s">
        <v>262</v>
      </c>
      <c r="B476" t="s">
        <v>722</v>
      </c>
      <c r="C476" t="s">
        <v>751</v>
      </c>
      <c r="D476" t="s">
        <v>64</v>
      </c>
      <c r="E476" t="s">
        <v>22</v>
      </c>
      <c r="F476" t="s">
        <v>23</v>
      </c>
      <c r="G476">
        <v>1</v>
      </c>
      <c r="H476">
        <v>9791159283086</v>
      </c>
      <c r="I476" t="s">
        <v>24</v>
      </c>
      <c r="J476" t="s">
        <v>72</v>
      </c>
      <c r="K476" t="s">
        <v>37</v>
      </c>
      <c r="L476" t="s">
        <v>27</v>
      </c>
      <c r="M476">
        <v>900</v>
      </c>
      <c r="N476" t="s">
        <v>27</v>
      </c>
      <c r="O476">
        <v>900</v>
      </c>
      <c r="P476">
        <v>900</v>
      </c>
      <c r="Q476" t="s">
        <v>30</v>
      </c>
      <c r="R476" s="2">
        <v>0.7</v>
      </c>
      <c r="S476">
        <v>630</v>
      </c>
      <c r="T476" t="s">
        <v>27</v>
      </c>
      <c r="U476">
        <v>630</v>
      </c>
      <c r="V476" s="7" t="str">
        <f>IF(ISERROR(VLOOKUP(K476,[1]작가별정산률!$R:$S,2,0)),"스토리위즈",VLOOKUP(K476,[1]작가별정산률!$R:$S,2,0))</f>
        <v>스토리위즈</v>
      </c>
      <c r="W476" s="7" t="str">
        <f>IF(V476="스토리위즈",VLOOKUP(K476,[1]작가별정산률!$A:$B,2,0),V476)</f>
        <v>권용찬</v>
      </c>
    </row>
    <row r="477" spans="1:23" x14ac:dyDescent="0.4">
      <c r="A477" t="s">
        <v>262</v>
      </c>
      <c r="B477" t="s">
        <v>722</v>
      </c>
      <c r="C477" t="s">
        <v>752</v>
      </c>
      <c r="D477" t="s">
        <v>64</v>
      </c>
      <c r="E477" t="s">
        <v>22</v>
      </c>
      <c r="F477" t="s">
        <v>23</v>
      </c>
      <c r="G477">
        <v>1</v>
      </c>
      <c r="H477">
        <v>9791166061080</v>
      </c>
      <c r="I477" t="s">
        <v>24</v>
      </c>
      <c r="J477" t="s">
        <v>74</v>
      </c>
      <c r="K477" t="s">
        <v>37</v>
      </c>
      <c r="L477" t="s">
        <v>27</v>
      </c>
      <c r="M477">
        <v>900</v>
      </c>
      <c r="N477" t="s">
        <v>27</v>
      </c>
      <c r="O477">
        <v>900</v>
      </c>
      <c r="P477">
        <v>900</v>
      </c>
      <c r="Q477" t="s">
        <v>30</v>
      </c>
      <c r="R477" s="2">
        <v>0.7</v>
      </c>
      <c r="S477">
        <v>630</v>
      </c>
      <c r="T477" t="s">
        <v>27</v>
      </c>
      <c r="U477">
        <v>630</v>
      </c>
      <c r="V477" s="7" t="str">
        <f>IF(ISERROR(VLOOKUP(K477,[1]작가별정산률!$R:$S,2,0)),"스토리위즈",VLOOKUP(K477,[1]작가별정산률!$R:$S,2,0))</f>
        <v>스토리위즈</v>
      </c>
      <c r="W477" s="7" t="str">
        <f>IF(V477="스토리위즈",VLOOKUP(K477,[1]작가별정산률!$A:$B,2,0),V477)</f>
        <v>권용찬</v>
      </c>
    </row>
    <row r="478" spans="1:23" x14ac:dyDescent="0.4">
      <c r="A478" t="s">
        <v>262</v>
      </c>
      <c r="B478" t="s">
        <v>722</v>
      </c>
      <c r="C478" t="s">
        <v>753</v>
      </c>
      <c r="D478" t="s">
        <v>21</v>
      </c>
      <c r="E478" t="s">
        <v>22</v>
      </c>
      <c r="F478" t="s">
        <v>23</v>
      </c>
      <c r="G478">
        <v>1</v>
      </c>
      <c r="H478">
        <v>9791159289590</v>
      </c>
      <c r="I478" t="s">
        <v>24</v>
      </c>
      <c r="J478" t="s">
        <v>170</v>
      </c>
      <c r="K478" t="s">
        <v>140</v>
      </c>
      <c r="L478" t="s">
        <v>27</v>
      </c>
      <c r="M478" s="3">
        <v>3200</v>
      </c>
      <c r="N478" t="s">
        <v>28</v>
      </c>
      <c r="O478">
        <v>2.64</v>
      </c>
      <c r="P478">
        <v>2.64</v>
      </c>
      <c r="Q478" t="s">
        <v>29</v>
      </c>
      <c r="R478" s="2">
        <v>0.7</v>
      </c>
      <c r="S478">
        <v>1.85</v>
      </c>
      <c r="T478" t="s">
        <v>27</v>
      </c>
      <c r="U478" s="3">
        <v>2354</v>
      </c>
      <c r="V478" s="7" t="str">
        <f>IF(ISERROR(VLOOKUP(K478,[1]작가별정산률!$R:$S,2,0)),"스토리위즈",VLOOKUP(K478,[1]작가별정산률!$R:$S,2,0))</f>
        <v>스토리위즈</v>
      </c>
      <c r="W478" s="7" t="str">
        <f>IF(V478="스토리위즈",VLOOKUP(K478,[1]작가별정산률!$A:$B,2,0),V478)</f>
        <v>이동열</v>
      </c>
    </row>
    <row r="479" spans="1:23" x14ac:dyDescent="0.4">
      <c r="A479" t="s">
        <v>262</v>
      </c>
      <c r="B479" t="s">
        <v>722</v>
      </c>
      <c r="C479" t="s">
        <v>754</v>
      </c>
      <c r="D479" t="s">
        <v>64</v>
      </c>
      <c r="E479" t="s">
        <v>22</v>
      </c>
      <c r="F479" t="s">
        <v>23</v>
      </c>
      <c r="G479">
        <v>1</v>
      </c>
      <c r="H479">
        <v>9791166300134</v>
      </c>
      <c r="I479" t="s">
        <v>24</v>
      </c>
      <c r="J479" t="s">
        <v>123</v>
      </c>
      <c r="K479" t="s">
        <v>119</v>
      </c>
      <c r="L479" t="s">
        <v>27</v>
      </c>
      <c r="M479">
        <v>630</v>
      </c>
      <c r="N479" t="s">
        <v>27</v>
      </c>
      <c r="O479">
        <v>630</v>
      </c>
      <c r="P479">
        <v>630</v>
      </c>
      <c r="Q479" t="s">
        <v>30</v>
      </c>
      <c r="R479" s="2">
        <v>0.7</v>
      </c>
      <c r="S479">
        <v>441</v>
      </c>
      <c r="T479" t="s">
        <v>27</v>
      </c>
      <c r="U479">
        <v>441</v>
      </c>
      <c r="V479" s="7" t="str">
        <f>IF(ISERROR(VLOOKUP(K479,[1]작가별정산률!$R:$S,2,0)),"스토리위즈",VLOOKUP(K479,[1]작가별정산률!$R:$S,2,0))</f>
        <v>스토리위즈</v>
      </c>
      <c r="W479" s="7" t="str">
        <f>IF(V479="스토리위즈",VLOOKUP(K479,[1]작가별정산률!$A:$B,2,0),V479)</f>
        <v>김광수</v>
      </c>
    </row>
    <row r="480" spans="1:23" x14ac:dyDescent="0.4">
      <c r="A480" t="s">
        <v>262</v>
      </c>
      <c r="B480" t="s">
        <v>722</v>
      </c>
      <c r="C480" t="s">
        <v>755</v>
      </c>
      <c r="D480" t="s">
        <v>64</v>
      </c>
      <c r="E480" t="s">
        <v>22</v>
      </c>
      <c r="F480" t="s">
        <v>23</v>
      </c>
      <c r="G480">
        <v>1</v>
      </c>
      <c r="H480">
        <v>9791166300264</v>
      </c>
      <c r="I480" t="s">
        <v>24</v>
      </c>
      <c r="J480" t="s">
        <v>135</v>
      </c>
      <c r="K480" t="s">
        <v>119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  <c r="V480" s="7" t="str">
        <f>IF(ISERROR(VLOOKUP(K480,[1]작가별정산률!$R:$S,2,0)),"스토리위즈",VLOOKUP(K480,[1]작가별정산률!$R:$S,2,0))</f>
        <v>스토리위즈</v>
      </c>
      <c r="W480" s="7" t="str">
        <f>IF(V480="스토리위즈",VLOOKUP(K480,[1]작가별정산률!$A:$B,2,0),V480)</f>
        <v>김광수</v>
      </c>
    </row>
    <row r="481" spans="1:23" x14ac:dyDescent="0.4">
      <c r="A481" t="s">
        <v>262</v>
      </c>
      <c r="B481" t="s">
        <v>722</v>
      </c>
      <c r="C481" t="s">
        <v>756</v>
      </c>
      <c r="D481" t="s">
        <v>64</v>
      </c>
      <c r="E481" t="s">
        <v>22</v>
      </c>
      <c r="F481" t="s">
        <v>23</v>
      </c>
      <c r="G481">
        <v>1</v>
      </c>
      <c r="H481">
        <v>9791166300219</v>
      </c>
      <c r="I481" t="s">
        <v>24</v>
      </c>
      <c r="J481" t="s">
        <v>130</v>
      </c>
      <c r="K481" t="s">
        <v>119</v>
      </c>
      <c r="L481" t="s">
        <v>27</v>
      </c>
      <c r="M481">
        <v>630</v>
      </c>
      <c r="N481" t="s">
        <v>27</v>
      </c>
      <c r="O481">
        <v>630</v>
      </c>
      <c r="P481">
        <v>630</v>
      </c>
      <c r="Q481" t="s">
        <v>30</v>
      </c>
      <c r="R481" s="2">
        <v>0.7</v>
      </c>
      <c r="S481">
        <v>441</v>
      </c>
      <c r="T481" t="s">
        <v>27</v>
      </c>
      <c r="U481">
        <v>441</v>
      </c>
      <c r="V481" s="7" t="str">
        <f>IF(ISERROR(VLOOKUP(K481,[1]작가별정산률!$R:$S,2,0)),"스토리위즈",VLOOKUP(K481,[1]작가별정산률!$R:$S,2,0))</f>
        <v>스토리위즈</v>
      </c>
      <c r="W481" s="7" t="str">
        <f>IF(V481="스토리위즈",VLOOKUP(K481,[1]작가별정산률!$A:$B,2,0),V481)</f>
        <v>김광수</v>
      </c>
    </row>
    <row r="482" spans="1:23" x14ac:dyDescent="0.4">
      <c r="A482" t="s">
        <v>262</v>
      </c>
      <c r="B482" t="s">
        <v>722</v>
      </c>
      <c r="C482" t="s">
        <v>757</v>
      </c>
      <c r="D482" t="s">
        <v>64</v>
      </c>
      <c r="E482" t="s">
        <v>22</v>
      </c>
      <c r="F482" t="s">
        <v>23</v>
      </c>
      <c r="G482">
        <v>1</v>
      </c>
      <c r="H482">
        <v>9791166300141</v>
      </c>
      <c r="I482" t="s">
        <v>24</v>
      </c>
      <c r="J482" t="s">
        <v>124</v>
      </c>
      <c r="K482" t="s">
        <v>119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2">
        <v>0.7</v>
      </c>
      <c r="S482">
        <v>441</v>
      </c>
      <c r="T482" t="s">
        <v>27</v>
      </c>
      <c r="U482">
        <v>441</v>
      </c>
      <c r="V482" s="7" t="str">
        <f>IF(ISERROR(VLOOKUP(K482,[1]작가별정산률!$R:$S,2,0)),"스토리위즈",VLOOKUP(K482,[1]작가별정산률!$R:$S,2,0))</f>
        <v>스토리위즈</v>
      </c>
      <c r="W482" s="7" t="str">
        <f>IF(V482="스토리위즈",VLOOKUP(K482,[1]작가별정산률!$A:$B,2,0),V482)</f>
        <v>김광수</v>
      </c>
    </row>
    <row r="483" spans="1:23" x14ac:dyDescent="0.4">
      <c r="A483" t="s">
        <v>262</v>
      </c>
      <c r="B483" t="s">
        <v>722</v>
      </c>
      <c r="C483" t="s">
        <v>758</v>
      </c>
      <c r="D483" t="s">
        <v>64</v>
      </c>
      <c r="E483" t="s">
        <v>22</v>
      </c>
      <c r="F483" t="s">
        <v>23</v>
      </c>
      <c r="G483">
        <v>1</v>
      </c>
      <c r="H483">
        <v>9791166300103</v>
      </c>
      <c r="I483" t="s">
        <v>24</v>
      </c>
      <c r="J483" t="s">
        <v>120</v>
      </c>
      <c r="K483" t="s">
        <v>119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2">
        <v>0.7</v>
      </c>
      <c r="S483">
        <v>441</v>
      </c>
      <c r="T483" t="s">
        <v>27</v>
      </c>
      <c r="U483">
        <v>441</v>
      </c>
      <c r="V483" s="7" t="str">
        <f>IF(ISERROR(VLOOKUP(K483,[1]작가별정산률!$R:$S,2,0)),"스토리위즈",VLOOKUP(K483,[1]작가별정산률!$R:$S,2,0))</f>
        <v>스토리위즈</v>
      </c>
      <c r="W483" s="7" t="str">
        <f>IF(V483="스토리위즈",VLOOKUP(K483,[1]작가별정산률!$A:$B,2,0),V483)</f>
        <v>김광수</v>
      </c>
    </row>
    <row r="484" spans="1:23" x14ac:dyDescent="0.4">
      <c r="A484" t="s">
        <v>262</v>
      </c>
      <c r="B484" t="s">
        <v>722</v>
      </c>
      <c r="C484" t="s">
        <v>759</v>
      </c>
      <c r="D484" t="s">
        <v>21</v>
      </c>
      <c r="E484" t="s">
        <v>22</v>
      </c>
      <c r="F484" t="s">
        <v>23</v>
      </c>
      <c r="G484">
        <v>1</v>
      </c>
      <c r="H484">
        <v>9791159289606</v>
      </c>
      <c r="I484" t="s">
        <v>24</v>
      </c>
      <c r="J484" t="s">
        <v>171</v>
      </c>
      <c r="K484" t="s">
        <v>140</v>
      </c>
      <c r="L484" t="s">
        <v>27</v>
      </c>
      <c r="M484" s="3">
        <v>3200</v>
      </c>
      <c r="N484" t="s">
        <v>28</v>
      </c>
      <c r="O484">
        <v>2.64</v>
      </c>
      <c r="P484">
        <v>2.64</v>
      </c>
      <c r="Q484" t="s">
        <v>29</v>
      </c>
      <c r="R484" s="2">
        <v>0.7</v>
      </c>
      <c r="S484">
        <v>1.85</v>
      </c>
      <c r="T484" t="s">
        <v>27</v>
      </c>
      <c r="U484" s="3">
        <v>2354</v>
      </c>
      <c r="V484" s="7" t="str">
        <f>IF(ISERROR(VLOOKUP(K484,[1]작가별정산률!$R:$S,2,0)),"스토리위즈",VLOOKUP(K484,[1]작가별정산률!$R:$S,2,0))</f>
        <v>스토리위즈</v>
      </c>
      <c r="W484" s="7" t="str">
        <f>IF(V484="스토리위즈",VLOOKUP(K484,[1]작가별정산률!$A:$B,2,0),V484)</f>
        <v>이동열</v>
      </c>
    </row>
    <row r="485" spans="1:23" x14ac:dyDescent="0.4">
      <c r="A485" t="s">
        <v>262</v>
      </c>
      <c r="B485" t="s">
        <v>722</v>
      </c>
      <c r="C485" t="s">
        <v>760</v>
      </c>
      <c r="D485" t="s">
        <v>21</v>
      </c>
      <c r="E485" t="s">
        <v>22</v>
      </c>
      <c r="F485" t="s">
        <v>23</v>
      </c>
      <c r="G485">
        <v>1</v>
      </c>
      <c r="H485">
        <v>9791166300257</v>
      </c>
      <c r="I485" t="s">
        <v>24</v>
      </c>
      <c r="J485" t="s">
        <v>134</v>
      </c>
      <c r="K485" t="s">
        <v>119</v>
      </c>
      <c r="L485" t="s">
        <v>27</v>
      </c>
      <c r="M485" s="3">
        <v>3200</v>
      </c>
      <c r="N485" t="s">
        <v>27</v>
      </c>
      <c r="O485" s="3">
        <v>3200</v>
      </c>
      <c r="P485" s="3">
        <v>3200</v>
      </c>
      <c r="Q485" t="s">
        <v>30</v>
      </c>
      <c r="R485" s="2">
        <v>0.7</v>
      </c>
      <c r="S485" s="3">
        <v>2240</v>
      </c>
      <c r="T485" t="s">
        <v>27</v>
      </c>
      <c r="U485" s="3">
        <v>2240</v>
      </c>
      <c r="V485" s="7" t="str">
        <f>IF(ISERROR(VLOOKUP(K485,[1]작가별정산률!$R:$S,2,0)),"스토리위즈",VLOOKUP(K485,[1]작가별정산률!$R:$S,2,0))</f>
        <v>스토리위즈</v>
      </c>
      <c r="W485" s="7" t="str">
        <f>IF(V485="스토리위즈",VLOOKUP(K485,[1]작가별정산률!$A:$B,2,0),V485)</f>
        <v>김광수</v>
      </c>
    </row>
    <row r="486" spans="1:23" x14ac:dyDescent="0.4">
      <c r="A486" t="s">
        <v>262</v>
      </c>
      <c r="B486" t="s">
        <v>722</v>
      </c>
      <c r="C486" t="s">
        <v>761</v>
      </c>
      <c r="D486" t="s">
        <v>21</v>
      </c>
      <c r="E486" t="s">
        <v>22</v>
      </c>
      <c r="F486" t="s">
        <v>23</v>
      </c>
      <c r="G486">
        <v>1</v>
      </c>
      <c r="H486">
        <v>9791189084813</v>
      </c>
      <c r="I486" t="s">
        <v>143</v>
      </c>
      <c r="J486" t="s">
        <v>563</v>
      </c>
      <c r="K486" t="s">
        <v>564</v>
      </c>
      <c r="L486" t="s">
        <v>27</v>
      </c>
      <c r="M486" s="3">
        <v>4000</v>
      </c>
      <c r="N486" t="s">
        <v>27</v>
      </c>
      <c r="O486" s="3">
        <v>4000</v>
      </c>
      <c r="P486" s="3">
        <v>4000</v>
      </c>
      <c r="Q486" t="s">
        <v>30</v>
      </c>
      <c r="R486" s="2">
        <v>0.7</v>
      </c>
      <c r="S486" s="3">
        <v>2800</v>
      </c>
      <c r="T486" t="s">
        <v>27</v>
      </c>
      <c r="U486" s="3">
        <v>2800</v>
      </c>
      <c r="V486" s="7" t="str">
        <f>IF(ISERROR(VLOOKUP(K486,[1]작가별정산률!$R:$S,2,0)),"스토리위즈",VLOOKUP(K486,[1]작가별정산률!$R:$S,2,0))</f>
        <v>스토리위즈</v>
      </c>
      <c r="W486" s="7" t="str">
        <f>IF(V486="스토리위즈",VLOOKUP(K486,[1]작가별정산률!$A:$B,2,0),V486)</f>
        <v>셔틀</v>
      </c>
    </row>
    <row r="487" spans="1:23" x14ac:dyDescent="0.4">
      <c r="A487" t="s">
        <v>262</v>
      </c>
      <c r="B487" t="s">
        <v>722</v>
      </c>
      <c r="C487" t="s">
        <v>762</v>
      </c>
      <c r="D487" t="s">
        <v>64</v>
      </c>
      <c r="E487" t="s">
        <v>22</v>
      </c>
      <c r="F487" t="s">
        <v>23</v>
      </c>
      <c r="G487">
        <v>1</v>
      </c>
      <c r="H487">
        <v>9791166300271</v>
      </c>
      <c r="I487" t="s">
        <v>24</v>
      </c>
      <c r="J487" t="s">
        <v>136</v>
      </c>
      <c r="K487" t="s">
        <v>119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  <c r="V487" s="7" t="str">
        <f>IF(ISERROR(VLOOKUP(K487,[1]작가별정산률!$R:$S,2,0)),"스토리위즈",VLOOKUP(K487,[1]작가별정산률!$R:$S,2,0))</f>
        <v>스토리위즈</v>
      </c>
      <c r="W487" s="7" t="str">
        <f>IF(V487="스토리위즈",VLOOKUP(K487,[1]작가별정산률!$A:$B,2,0),V487)</f>
        <v>김광수</v>
      </c>
    </row>
    <row r="488" spans="1:23" x14ac:dyDescent="0.4">
      <c r="A488" t="s">
        <v>262</v>
      </c>
      <c r="B488" t="s">
        <v>722</v>
      </c>
      <c r="C488" t="s">
        <v>763</v>
      </c>
      <c r="D488" t="s">
        <v>64</v>
      </c>
      <c r="E488" t="s">
        <v>22</v>
      </c>
      <c r="F488" t="s">
        <v>23</v>
      </c>
      <c r="G488">
        <v>1</v>
      </c>
      <c r="H488">
        <v>9791166300295</v>
      </c>
      <c r="I488" t="s">
        <v>24</v>
      </c>
      <c r="J488" t="s">
        <v>138</v>
      </c>
      <c r="K488" t="s">
        <v>119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  <c r="V488" s="7" t="str">
        <f>IF(ISERROR(VLOOKUP(K488,[1]작가별정산률!$R:$S,2,0)),"스토리위즈",VLOOKUP(K488,[1]작가별정산률!$R:$S,2,0))</f>
        <v>스토리위즈</v>
      </c>
      <c r="W488" s="7" t="str">
        <f>IF(V488="스토리위즈",VLOOKUP(K488,[1]작가별정산률!$A:$B,2,0),V488)</f>
        <v>김광수</v>
      </c>
    </row>
    <row r="489" spans="1:23" x14ac:dyDescent="0.4">
      <c r="A489" t="s">
        <v>262</v>
      </c>
      <c r="B489" t="s">
        <v>722</v>
      </c>
      <c r="C489" t="s">
        <v>764</v>
      </c>
      <c r="D489" t="s">
        <v>64</v>
      </c>
      <c r="E489" t="s">
        <v>22</v>
      </c>
      <c r="F489" t="s">
        <v>23</v>
      </c>
      <c r="G489">
        <v>1</v>
      </c>
      <c r="H489">
        <v>9791166300233</v>
      </c>
      <c r="I489" t="s">
        <v>24</v>
      </c>
      <c r="J489" t="s">
        <v>132</v>
      </c>
      <c r="K489" t="s">
        <v>119</v>
      </c>
      <c r="L489" t="s">
        <v>27</v>
      </c>
      <c r="M489">
        <v>630</v>
      </c>
      <c r="N489" t="s">
        <v>27</v>
      </c>
      <c r="O489">
        <v>630</v>
      </c>
      <c r="P489">
        <v>630</v>
      </c>
      <c r="Q489" t="s">
        <v>30</v>
      </c>
      <c r="R489" s="2">
        <v>0.7</v>
      </c>
      <c r="S489">
        <v>441</v>
      </c>
      <c r="T489" t="s">
        <v>27</v>
      </c>
      <c r="U489">
        <v>441</v>
      </c>
      <c r="V489" s="7" t="str">
        <f>IF(ISERROR(VLOOKUP(K489,[1]작가별정산률!$R:$S,2,0)),"스토리위즈",VLOOKUP(K489,[1]작가별정산률!$R:$S,2,0))</f>
        <v>스토리위즈</v>
      </c>
      <c r="W489" s="7" t="str">
        <f>IF(V489="스토리위즈",VLOOKUP(K489,[1]작가별정산률!$A:$B,2,0),V489)</f>
        <v>김광수</v>
      </c>
    </row>
    <row r="490" spans="1:23" x14ac:dyDescent="0.4">
      <c r="A490" t="s">
        <v>262</v>
      </c>
      <c r="B490" t="s">
        <v>722</v>
      </c>
      <c r="C490" t="s">
        <v>765</v>
      </c>
      <c r="D490" t="s">
        <v>64</v>
      </c>
      <c r="E490" t="s">
        <v>22</v>
      </c>
      <c r="F490" t="s">
        <v>23</v>
      </c>
      <c r="G490">
        <v>1</v>
      </c>
      <c r="H490">
        <v>9791159282225</v>
      </c>
      <c r="I490" t="s">
        <v>24</v>
      </c>
      <c r="J490" t="s">
        <v>108</v>
      </c>
      <c r="K490" t="s">
        <v>37</v>
      </c>
      <c r="L490" t="s">
        <v>27</v>
      </c>
      <c r="M490">
        <v>900</v>
      </c>
      <c r="N490" t="s">
        <v>27</v>
      </c>
      <c r="O490">
        <v>900</v>
      </c>
      <c r="P490">
        <v>900</v>
      </c>
      <c r="Q490" t="s">
        <v>30</v>
      </c>
      <c r="R490" s="2">
        <v>0.7</v>
      </c>
      <c r="S490">
        <v>630</v>
      </c>
      <c r="T490" t="s">
        <v>27</v>
      </c>
      <c r="U490">
        <v>630</v>
      </c>
      <c r="V490" s="7" t="str">
        <f>IF(ISERROR(VLOOKUP(K490,[1]작가별정산률!$R:$S,2,0)),"스토리위즈",VLOOKUP(K490,[1]작가별정산률!$R:$S,2,0))</f>
        <v>스토리위즈</v>
      </c>
      <c r="W490" s="7" t="str">
        <f>IF(V490="스토리위즈",VLOOKUP(K490,[1]작가별정산률!$A:$B,2,0),V490)</f>
        <v>권용찬</v>
      </c>
    </row>
    <row r="491" spans="1:23" x14ac:dyDescent="0.4">
      <c r="A491" t="s">
        <v>262</v>
      </c>
      <c r="B491" t="s">
        <v>722</v>
      </c>
      <c r="C491" t="s">
        <v>766</v>
      </c>
      <c r="D491" t="s">
        <v>21</v>
      </c>
      <c r="E491" t="s">
        <v>22</v>
      </c>
      <c r="F491" t="s">
        <v>23</v>
      </c>
      <c r="G491">
        <v>1</v>
      </c>
      <c r="H491">
        <v>9791166300264</v>
      </c>
      <c r="I491" t="s">
        <v>24</v>
      </c>
      <c r="J491" t="s">
        <v>135</v>
      </c>
      <c r="K491" t="s">
        <v>119</v>
      </c>
      <c r="L491" t="s">
        <v>27</v>
      </c>
      <c r="M491" s="3">
        <v>3200</v>
      </c>
      <c r="N491" t="s">
        <v>27</v>
      </c>
      <c r="O491" s="3">
        <v>3200</v>
      </c>
      <c r="P491" s="3">
        <v>3200</v>
      </c>
      <c r="Q491" t="s">
        <v>30</v>
      </c>
      <c r="R491" s="2">
        <v>0.7</v>
      </c>
      <c r="S491" s="3">
        <v>2240</v>
      </c>
      <c r="T491" t="s">
        <v>27</v>
      </c>
      <c r="U491" s="3">
        <v>2240</v>
      </c>
      <c r="V491" s="7" t="str">
        <f>IF(ISERROR(VLOOKUP(K491,[1]작가별정산률!$R:$S,2,0)),"스토리위즈",VLOOKUP(K491,[1]작가별정산률!$R:$S,2,0))</f>
        <v>스토리위즈</v>
      </c>
      <c r="W491" s="7" t="str">
        <f>IF(V491="스토리위즈",VLOOKUP(K491,[1]작가별정산률!$A:$B,2,0),V491)</f>
        <v>김광수</v>
      </c>
    </row>
    <row r="492" spans="1:23" x14ac:dyDescent="0.4">
      <c r="A492" t="s">
        <v>262</v>
      </c>
      <c r="B492" t="s">
        <v>722</v>
      </c>
      <c r="C492" t="s">
        <v>767</v>
      </c>
      <c r="D492" t="s">
        <v>64</v>
      </c>
      <c r="E492" t="s">
        <v>22</v>
      </c>
      <c r="F492" t="s">
        <v>23</v>
      </c>
      <c r="G492">
        <v>1</v>
      </c>
      <c r="H492">
        <v>9791166300165</v>
      </c>
      <c r="I492" t="s">
        <v>24</v>
      </c>
      <c r="J492" t="s">
        <v>126</v>
      </c>
      <c r="K492" t="s">
        <v>119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  <c r="V492" s="7" t="str">
        <f>IF(ISERROR(VLOOKUP(K492,[1]작가별정산률!$R:$S,2,0)),"스토리위즈",VLOOKUP(K492,[1]작가별정산률!$R:$S,2,0))</f>
        <v>스토리위즈</v>
      </c>
      <c r="W492" s="7" t="str">
        <f>IF(V492="스토리위즈",VLOOKUP(K492,[1]작가별정산률!$A:$B,2,0),V492)</f>
        <v>김광수</v>
      </c>
    </row>
    <row r="493" spans="1:23" x14ac:dyDescent="0.4">
      <c r="A493" t="s">
        <v>262</v>
      </c>
      <c r="B493" t="s">
        <v>722</v>
      </c>
      <c r="C493" t="s">
        <v>768</v>
      </c>
      <c r="D493" t="s">
        <v>64</v>
      </c>
      <c r="E493" t="s">
        <v>22</v>
      </c>
      <c r="F493" t="s">
        <v>23</v>
      </c>
      <c r="G493">
        <v>1</v>
      </c>
      <c r="H493">
        <v>9791159283260</v>
      </c>
      <c r="I493" t="s">
        <v>24</v>
      </c>
      <c r="J493" t="s">
        <v>69</v>
      </c>
      <c r="K493" t="s">
        <v>37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  <c r="V493" s="7" t="str">
        <f>IF(ISERROR(VLOOKUP(K493,[1]작가별정산률!$R:$S,2,0)),"스토리위즈",VLOOKUP(K493,[1]작가별정산률!$R:$S,2,0))</f>
        <v>스토리위즈</v>
      </c>
      <c r="W493" s="7" t="str">
        <f>IF(V493="스토리위즈",VLOOKUP(K493,[1]작가별정산률!$A:$B,2,0),V493)</f>
        <v>권용찬</v>
      </c>
    </row>
    <row r="494" spans="1:23" x14ac:dyDescent="0.4">
      <c r="A494" t="s">
        <v>262</v>
      </c>
      <c r="B494" t="s">
        <v>722</v>
      </c>
      <c r="C494" t="s">
        <v>769</v>
      </c>
      <c r="D494" t="s">
        <v>64</v>
      </c>
      <c r="E494" t="s">
        <v>22</v>
      </c>
      <c r="F494" t="s">
        <v>23</v>
      </c>
      <c r="G494">
        <v>1</v>
      </c>
      <c r="H494">
        <v>9791166061097</v>
      </c>
      <c r="I494" t="s">
        <v>24</v>
      </c>
      <c r="J494" t="s">
        <v>95</v>
      </c>
      <c r="K494" t="s">
        <v>37</v>
      </c>
      <c r="L494" t="s">
        <v>27</v>
      </c>
      <c r="M494">
        <v>900</v>
      </c>
      <c r="N494" t="s">
        <v>27</v>
      </c>
      <c r="O494">
        <v>900</v>
      </c>
      <c r="P494">
        <v>900</v>
      </c>
      <c r="Q494" t="s">
        <v>30</v>
      </c>
      <c r="R494" s="2">
        <v>0.7</v>
      </c>
      <c r="S494">
        <v>630</v>
      </c>
      <c r="T494" t="s">
        <v>27</v>
      </c>
      <c r="U494">
        <v>630</v>
      </c>
      <c r="V494" s="7" t="str">
        <f>IF(ISERROR(VLOOKUP(K494,[1]작가별정산률!$R:$S,2,0)),"스토리위즈",VLOOKUP(K494,[1]작가별정산률!$R:$S,2,0))</f>
        <v>스토리위즈</v>
      </c>
      <c r="W494" s="7" t="str">
        <f>IF(V494="스토리위즈",VLOOKUP(K494,[1]작가별정산률!$A:$B,2,0),V494)</f>
        <v>권용찬</v>
      </c>
    </row>
    <row r="495" spans="1:23" x14ac:dyDescent="0.4">
      <c r="A495" t="s">
        <v>262</v>
      </c>
      <c r="B495" t="s">
        <v>722</v>
      </c>
      <c r="C495" t="s">
        <v>770</v>
      </c>
      <c r="D495" t="s">
        <v>64</v>
      </c>
      <c r="E495" t="s">
        <v>22</v>
      </c>
      <c r="F495" t="s">
        <v>23</v>
      </c>
      <c r="G495">
        <v>1</v>
      </c>
      <c r="H495">
        <v>9791166300165</v>
      </c>
      <c r="I495" t="s">
        <v>24</v>
      </c>
      <c r="J495" t="s">
        <v>126</v>
      </c>
      <c r="K495" t="s">
        <v>119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2">
        <v>0.7</v>
      </c>
      <c r="S495">
        <v>441</v>
      </c>
      <c r="T495" t="s">
        <v>27</v>
      </c>
      <c r="U495">
        <v>441</v>
      </c>
      <c r="V495" s="7" t="str">
        <f>IF(ISERROR(VLOOKUP(K495,[1]작가별정산률!$R:$S,2,0)),"스토리위즈",VLOOKUP(K495,[1]작가별정산률!$R:$S,2,0))</f>
        <v>스토리위즈</v>
      </c>
      <c r="W495" s="7" t="str">
        <f>IF(V495="스토리위즈",VLOOKUP(K495,[1]작가별정산률!$A:$B,2,0),V495)</f>
        <v>김광수</v>
      </c>
    </row>
    <row r="496" spans="1:23" x14ac:dyDescent="0.4">
      <c r="A496" t="s">
        <v>262</v>
      </c>
      <c r="B496" t="s">
        <v>722</v>
      </c>
      <c r="C496" t="s">
        <v>771</v>
      </c>
      <c r="D496" t="s">
        <v>21</v>
      </c>
      <c r="E496" t="s">
        <v>22</v>
      </c>
      <c r="F496" t="s">
        <v>23</v>
      </c>
      <c r="G496">
        <v>1</v>
      </c>
      <c r="H496">
        <v>9791191562033</v>
      </c>
      <c r="I496" t="s">
        <v>143</v>
      </c>
      <c r="J496" t="s">
        <v>189</v>
      </c>
      <c r="K496" t="s">
        <v>187</v>
      </c>
      <c r="L496" t="s">
        <v>27</v>
      </c>
      <c r="M496" s="3">
        <v>2000</v>
      </c>
      <c r="N496" t="s">
        <v>27</v>
      </c>
      <c r="O496" s="3">
        <v>2000</v>
      </c>
      <c r="P496" s="3">
        <v>2000</v>
      </c>
      <c r="Q496" t="s">
        <v>30</v>
      </c>
      <c r="R496" s="2">
        <v>0.7</v>
      </c>
      <c r="S496" s="3">
        <v>1400</v>
      </c>
      <c r="T496" t="s">
        <v>27</v>
      </c>
      <c r="U496" s="3">
        <v>1400</v>
      </c>
      <c r="V496" s="7" t="str">
        <f>IF(ISERROR(VLOOKUP(K496,[1]작가별정산률!$R:$S,2,0)),"스토리위즈",VLOOKUP(K496,[1]작가별정산률!$R:$S,2,0))</f>
        <v>밀리의 서재</v>
      </c>
      <c r="W496" s="7" t="str">
        <f>IF(V496="스토리위즈",VLOOKUP(K496,[1]작가별정산률!$A:$B,2,0),V496)</f>
        <v>밀리의 서재</v>
      </c>
    </row>
    <row r="497" spans="1:23" x14ac:dyDescent="0.4">
      <c r="A497" t="s">
        <v>262</v>
      </c>
      <c r="B497" t="s">
        <v>722</v>
      </c>
      <c r="C497" t="s">
        <v>772</v>
      </c>
      <c r="D497" t="s">
        <v>64</v>
      </c>
      <c r="E497" t="s">
        <v>22</v>
      </c>
      <c r="F497" t="s">
        <v>23</v>
      </c>
      <c r="G497">
        <v>1</v>
      </c>
      <c r="H497">
        <v>9791166300226</v>
      </c>
      <c r="I497" t="s">
        <v>24</v>
      </c>
      <c r="J497" t="s">
        <v>131</v>
      </c>
      <c r="K497" t="s">
        <v>119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  <c r="V497" s="7" t="str">
        <f>IF(ISERROR(VLOOKUP(K497,[1]작가별정산률!$R:$S,2,0)),"스토리위즈",VLOOKUP(K497,[1]작가별정산률!$R:$S,2,0))</f>
        <v>스토리위즈</v>
      </c>
      <c r="W497" s="7" t="str">
        <f>IF(V497="스토리위즈",VLOOKUP(K497,[1]작가별정산률!$A:$B,2,0),V497)</f>
        <v>김광수</v>
      </c>
    </row>
    <row r="498" spans="1:23" x14ac:dyDescent="0.4">
      <c r="A498" t="s">
        <v>262</v>
      </c>
      <c r="B498" t="s">
        <v>722</v>
      </c>
      <c r="C498" t="s">
        <v>773</v>
      </c>
      <c r="D498" t="s">
        <v>64</v>
      </c>
      <c r="E498" t="s">
        <v>22</v>
      </c>
      <c r="F498" t="s">
        <v>23</v>
      </c>
      <c r="G498">
        <v>1</v>
      </c>
      <c r="H498">
        <v>9791166300141</v>
      </c>
      <c r="I498" t="s">
        <v>24</v>
      </c>
      <c r="J498" t="s">
        <v>124</v>
      </c>
      <c r="K498" t="s">
        <v>119</v>
      </c>
      <c r="L498" t="s">
        <v>27</v>
      </c>
      <c r="M498">
        <v>630</v>
      </c>
      <c r="N498" t="s">
        <v>27</v>
      </c>
      <c r="O498">
        <v>630</v>
      </c>
      <c r="P498">
        <v>630</v>
      </c>
      <c r="Q498" t="s">
        <v>30</v>
      </c>
      <c r="R498" s="2">
        <v>0.7</v>
      </c>
      <c r="S498">
        <v>441</v>
      </c>
      <c r="T498" t="s">
        <v>27</v>
      </c>
      <c r="U498">
        <v>441</v>
      </c>
      <c r="V498" s="7" t="str">
        <f>IF(ISERROR(VLOOKUP(K498,[1]작가별정산률!$R:$S,2,0)),"스토리위즈",VLOOKUP(K498,[1]작가별정산률!$R:$S,2,0))</f>
        <v>스토리위즈</v>
      </c>
      <c r="W498" s="7" t="str">
        <f>IF(V498="스토리위즈",VLOOKUP(K498,[1]작가별정산률!$A:$B,2,0),V498)</f>
        <v>김광수</v>
      </c>
    </row>
    <row r="499" spans="1:23" x14ac:dyDescent="0.4">
      <c r="A499" t="s">
        <v>262</v>
      </c>
      <c r="B499" t="s">
        <v>722</v>
      </c>
      <c r="C499" t="s">
        <v>774</v>
      </c>
      <c r="D499" t="s">
        <v>21</v>
      </c>
      <c r="E499" t="s">
        <v>22</v>
      </c>
      <c r="F499" t="s">
        <v>23</v>
      </c>
      <c r="G499">
        <v>1</v>
      </c>
      <c r="H499">
        <v>9791191562309</v>
      </c>
      <c r="I499" t="s">
        <v>143</v>
      </c>
      <c r="J499" t="s">
        <v>225</v>
      </c>
      <c r="K499" t="s">
        <v>226</v>
      </c>
      <c r="L499" t="s">
        <v>27</v>
      </c>
      <c r="M499" s="3">
        <v>2500</v>
      </c>
      <c r="N499" t="s">
        <v>27</v>
      </c>
      <c r="O499" s="3">
        <v>2500</v>
      </c>
      <c r="P499" s="3">
        <v>2500</v>
      </c>
      <c r="Q499" t="s">
        <v>30</v>
      </c>
      <c r="R499" s="2">
        <v>0.7</v>
      </c>
      <c r="S499" s="3">
        <v>1750</v>
      </c>
      <c r="T499" t="s">
        <v>27</v>
      </c>
      <c r="U499" s="3">
        <v>1750</v>
      </c>
      <c r="V499" s="7" t="str">
        <f>IF(ISERROR(VLOOKUP(K499,[1]작가별정산률!$R:$S,2,0)),"스토리위즈",VLOOKUP(K499,[1]작가별정산률!$R:$S,2,0))</f>
        <v>밀리의 서재</v>
      </c>
      <c r="W499" s="7" t="str">
        <f>IF(V499="스토리위즈",VLOOKUP(K499,[1]작가별정산률!$A:$B,2,0),V499)</f>
        <v>밀리의 서재</v>
      </c>
    </row>
    <row r="500" spans="1:23" x14ac:dyDescent="0.4">
      <c r="A500" t="s">
        <v>262</v>
      </c>
      <c r="B500" t="s">
        <v>722</v>
      </c>
      <c r="C500" t="s">
        <v>775</v>
      </c>
      <c r="D500" t="s">
        <v>64</v>
      </c>
      <c r="E500" t="s">
        <v>22</v>
      </c>
      <c r="F500" t="s">
        <v>23</v>
      </c>
      <c r="G500">
        <v>1</v>
      </c>
      <c r="H500">
        <v>9791159283086</v>
      </c>
      <c r="I500" t="s">
        <v>24</v>
      </c>
      <c r="J500" t="s">
        <v>72</v>
      </c>
      <c r="K500" t="s">
        <v>37</v>
      </c>
      <c r="L500" t="s">
        <v>27</v>
      </c>
      <c r="M500">
        <v>900</v>
      </c>
      <c r="N500" t="s">
        <v>27</v>
      </c>
      <c r="O500">
        <v>900</v>
      </c>
      <c r="P500">
        <v>900</v>
      </c>
      <c r="Q500" t="s">
        <v>30</v>
      </c>
      <c r="R500" s="2">
        <v>0.7</v>
      </c>
      <c r="S500">
        <v>630</v>
      </c>
      <c r="T500" t="s">
        <v>27</v>
      </c>
      <c r="U500">
        <v>630</v>
      </c>
      <c r="V500" s="7" t="str">
        <f>IF(ISERROR(VLOOKUP(K500,[1]작가별정산률!$R:$S,2,0)),"스토리위즈",VLOOKUP(K500,[1]작가별정산률!$R:$S,2,0))</f>
        <v>스토리위즈</v>
      </c>
      <c r="W500" s="7" t="str">
        <f>IF(V500="스토리위즈",VLOOKUP(K500,[1]작가별정산률!$A:$B,2,0),V500)</f>
        <v>권용찬</v>
      </c>
    </row>
    <row r="501" spans="1:23" x14ac:dyDescent="0.4">
      <c r="A501" t="s">
        <v>262</v>
      </c>
      <c r="B501" t="s">
        <v>722</v>
      </c>
      <c r="C501" t="s">
        <v>776</v>
      </c>
      <c r="D501" t="s">
        <v>64</v>
      </c>
      <c r="E501" t="s">
        <v>22</v>
      </c>
      <c r="F501" t="s">
        <v>23</v>
      </c>
      <c r="G501">
        <v>1</v>
      </c>
      <c r="H501">
        <v>9791166061103</v>
      </c>
      <c r="I501" t="s">
        <v>24</v>
      </c>
      <c r="J501" t="s">
        <v>96</v>
      </c>
      <c r="K501" t="s">
        <v>37</v>
      </c>
      <c r="L501" t="s">
        <v>27</v>
      </c>
      <c r="M501">
        <v>900</v>
      </c>
      <c r="N501" t="s">
        <v>27</v>
      </c>
      <c r="O501">
        <v>900</v>
      </c>
      <c r="P501">
        <v>900</v>
      </c>
      <c r="Q501" t="s">
        <v>30</v>
      </c>
      <c r="R501" s="2">
        <v>0.7</v>
      </c>
      <c r="S501">
        <v>630</v>
      </c>
      <c r="T501" t="s">
        <v>27</v>
      </c>
      <c r="U501">
        <v>630</v>
      </c>
      <c r="V501" s="7" t="str">
        <f>IF(ISERROR(VLOOKUP(K501,[1]작가별정산률!$R:$S,2,0)),"스토리위즈",VLOOKUP(K501,[1]작가별정산률!$R:$S,2,0))</f>
        <v>스토리위즈</v>
      </c>
      <c r="W501" s="7" t="str">
        <f>IF(V501="스토리위즈",VLOOKUP(K501,[1]작가별정산률!$A:$B,2,0),V501)</f>
        <v>권용찬</v>
      </c>
    </row>
    <row r="502" spans="1:23" x14ac:dyDescent="0.4">
      <c r="A502" t="s">
        <v>262</v>
      </c>
      <c r="B502" t="s">
        <v>722</v>
      </c>
      <c r="C502" t="s">
        <v>777</v>
      </c>
      <c r="D502" t="s">
        <v>64</v>
      </c>
      <c r="E502" t="s">
        <v>22</v>
      </c>
      <c r="F502" t="s">
        <v>23</v>
      </c>
      <c r="G502">
        <v>1</v>
      </c>
      <c r="H502">
        <v>9791166300301</v>
      </c>
      <c r="I502" t="s">
        <v>24</v>
      </c>
      <c r="J502" t="s">
        <v>139</v>
      </c>
      <c r="K502" t="s">
        <v>119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2">
        <v>0.7</v>
      </c>
      <c r="S502">
        <v>441</v>
      </c>
      <c r="T502" t="s">
        <v>27</v>
      </c>
      <c r="U502">
        <v>441</v>
      </c>
      <c r="V502" s="7" t="str">
        <f>IF(ISERROR(VLOOKUP(K502,[1]작가별정산률!$R:$S,2,0)),"스토리위즈",VLOOKUP(K502,[1]작가별정산률!$R:$S,2,0))</f>
        <v>스토리위즈</v>
      </c>
      <c r="W502" s="7" t="str">
        <f>IF(V502="스토리위즈",VLOOKUP(K502,[1]작가별정산률!$A:$B,2,0),V502)</f>
        <v>김광수</v>
      </c>
    </row>
    <row r="503" spans="1:23" x14ac:dyDescent="0.4">
      <c r="A503" t="s">
        <v>262</v>
      </c>
      <c r="B503" t="s">
        <v>722</v>
      </c>
      <c r="C503" t="s">
        <v>778</v>
      </c>
      <c r="D503" t="s">
        <v>64</v>
      </c>
      <c r="E503" t="s">
        <v>22</v>
      </c>
      <c r="F503" t="s">
        <v>23</v>
      </c>
      <c r="G503">
        <v>1</v>
      </c>
      <c r="H503">
        <v>9791166300110</v>
      </c>
      <c r="I503" t="s">
        <v>24</v>
      </c>
      <c r="J503" t="s">
        <v>121</v>
      </c>
      <c r="K503" t="s">
        <v>119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2">
        <v>0.7</v>
      </c>
      <c r="S503">
        <v>441</v>
      </c>
      <c r="T503" t="s">
        <v>27</v>
      </c>
      <c r="U503">
        <v>441</v>
      </c>
      <c r="V503" s="7" t="str">
        <f>IF(ISERROR(VLOOKUP(K503,[1]작가별정산률!$R:$S,2,0)),"스토리위즈",VLOOKUP(K503,[1]작가별정산률!$R:$S,2,0))</f>
        <v>스토리위즈</v>
      </c>
      <c r="W503" s="7" t="str">
        <f>IF(V503="스토리위즈",VLOOKUP(K503,[1]작가별정산률!$A:$B,2,0),V503)</f>
        <v>김광수</v>
      </c>
    </row>
    <row r="504" spans="1:23" x14ac:dyDescent="0.4">
      <c r="A504" t="s">
        <v>262</v>
      </c>
      <c r="B504" t="s">
        <v>722</v>
      </c>
      <c r="C504" t="s">
        <v>779</v>
      </c>
      <c r="D504" t="s">
        <v>64</v>
      </c>
      <c r="E504" t="s">
        <v>22</v>
      </c>
      <c r="F504" t="s">
        <v>23</v>
      </c>
      <c r="G504">
        <v>1</v>
      </c>
      <c r="H504">
        <v>9791166300271</v>
      </c>
      <c r="I504" t="s">
        <v>24</v>
      </c>
      <c r="J504" t="s">
        <v>136</v>
      </c>
      <c r="K504" t="s">
        <v>119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  <c r="V504" s="7" t="str">
        <f>IF(ISERROR(VLOOKUP(K504,[1]작가별정산률!$R:$S,2,0)),"스토리위즈",VLOOKUP(K504,[1]작가별정산률!$R:$S,2,0))</f>
        <v>스토리위즈</v>
      </c>
      <c r="W504" s="7" t="str">
        <f>IF(V504="스토리위즈",VLOOKUP(K504,[1]작가별정산률!$A:$B,2,0),V504)</f>
        <v>김광수</v>
      </c>
    </row>
    <row r="505" spans="1:23" x14ac:dyDescent="0.4">
      <c r="A505" t="s">
        <v>262</v>
      </c>
      <c r="B505" t="s">
        <v>722</v>
      </c>
      <c r="C505" t="s">
        <v>780</v>
      </c>
      <c r="D505" t="s">
        <v>64</v>
      </c>
      <c r="E505" t="s">
        <v>22</v>
      </c>
      <c r="F505" t="s">
        <v>23</v>
      </c>
      <c r="G505">
        <v>1</v>
      </c>
      <c r="H505">
        <v>9791166300509</v>
      </c>
      <c r="I505" t="s">
        <v>24</v>
      </c>
      <c r="J505" t="s">
        <v>148</v>
      </c>
      <c r="K505" t="s">
        <v>119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  <c r="V505" s="7" t="str">
        <f>IF(ISERROR(VLOOKUP(K505,[1]작가별정산률!$R:$S,2,0)),"스토리위즈",VLOOKUP(K505,[1]작가별정산률!$R:$S,2,0))</f>
        <v>스토리위즈</v>
      </c>
      <c r="W505" s="7" t="str">
        <f>IF(V505="스토리위즈",VLOOKUP(K505,[1]작가별정산률!$A:$B,2,0),V505)</f>
        <v>김광수</v>
      </c>
    </row>
    <row r="506" spans="1:23" x14ac:dyDescent="0.4">
      <c r="A506" t="s">
        <v>262</v>
      </c>
      <c r="B506" t="s">
        <v>722</v>
      </c>
      <c r="C506" t="s">
        <v>781</v>
      </c>
      <c r="D506" t="s">
        <v>64</v>
      </c>
      <c r="E506" t="s">
        <v>22</v>
      </c>
      <c r="F506" t="s">
        <v>23</v>
      </c>
      <c r="G506">
        <v>1</v>
      </c>
      <c r="H506">
        <v>9791166300110</v>
      </c>
      <c r="I506" t="s">
        <v>24</v>
      </c>
      <c r="J506" t="s">
        <v>121</v>
      </c>
      <c r="K506" t="s">
        <v>119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  <c r="V506" s="7" t="str">
        <f>IF(ISERROR(VLOOKUP(K506,[1]작가별정산률!$R:$S,2,0)),"스토리위즈",VLOOKUP(K506,[1]작가별정산률!$R:$S,2,0))</f>
        <v>스토리위즈</v>
      </c>
      <c r="W506" s="7" t="str">
        <f>IF(V506="스토리위즈",VLOOKUP(K506,[1]작가별정산률!$A:$B,2,0),V506)</f>
        <v>김광수</v>
      </c>
    </row>
    <row r="507" spans="1:23" x14ac:dyDescent="0.4">
      <c r="A507" t="s">
        <v>262</v>
      </c>
      <c r="B507" t="s">
        <v>722</v>
      </c>
      <c r="C507" t="s">
        <v>782</v>
      </c>
      <c r="D507" t="s">
        <v>64</v>
      </c>
      <c r="E507" t="s">
        <v>22</v>
      </c>
      <c r="F507" t="s">
        <v>23</v>
      </c>
      <c r="G507">
        <v>1</v>
      </c>
      <c r="H507">
        <v>9791166300226</v>
      </c>
      <c r="I507" t="s">
        <v>24</v>
      </c>
      <c r="J507" t="s">
        <v>131</v>
      </c>
      <c r="K507" t="s">
        <v>119</v>
      </c>
      <c r="L507" t="s">
        <v>27</v>
      </c>
      <c r="M507">
        <v>630</v>
      </c>
      <c r="N507" t="s">
        <v>27</v>
      </c>
      <c r="O507">
        <v>630</v>
      </c>
      <c r="P507">
        <v>630</v>
      </c>
      <c r="Q507" t="s">
        <v>30</v>
      </c>
      <c r="R507" s="2">
        <v>0.7</v>
      </c>
      <c r="S507">
        <v>441</v>
      </c>
      <c r="T507" t="s">
        <v>27</v>
      </c>
      <c r="U507">
        <v>441</v>
      </c>
      <c r="V507" s="7" t="str">
        <f>IF(ISERROR(VLOOKUP(K507,[1]작가별정산률!$R:$S,2,0)),"스토리위즈",VLOOKUP(K507,[1]작가별정산률!$R:$S,2,0))</f>
        <v>스토리위즈</v>
      </c>
      <c r="W507" s="7" t="str">
        <f>IF(V507="스토리위즈",VLOOKUP(K507,[1]작가별정산률!$A:$B,2,0),V507)</f>
        <v>김광수</v>
      </c>
    </row>
    <row r="508" spans="1:23" x14ac:dyDescent="0.4">
      <c r="A508" t="s">
        <v>262</v>
      </c>
      <c r="B508" t="s">
        <v>722</v>
      </c>
      <c r="C508" t="s">
        <v>783</v>
      </c>
      <c r="D508" t="s">
        <v>64</v>
      </c>
      <c r="E508" t="s">
        <v>22</v>
      </c>
      <c r="F508" t="s">
        <v>23</v>
      </c>
      <c r="G508">
        <v>1</v>
      </c>
      <c r="H508">
        <v>9791166300158</v>
      </c>
      <c r="I508" t="s">
        <v>24</v>
      </c>
      <c r="J508" t="s">
        <v>125</v>
      </c>
      <c r="K508" t="s">
        <v>119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  <c r="V508" s="7" t="str">
        <f>IF(ISERROR(VLOOKUP(K508,[1]작가별정산률!$R:$S,2,0)),"스토리위즈",VLOOKUP(K508,[1]작가별정산률!$R:$S,2,0))</f>
        <v>스토리위즈</v>
      </c>
      <c r="W508" s="7" t="str">
        <f>IF(V508="스토리위즈",VLOOKUP(K508,[1]작가별정산률!$A:$B,2,0),V508)</f>
        <v>김광수</v>
      </c>
    </row>
    <row r="509" spans="1:23" x14ac:dyDescent="0.4">
      <c r="A509" t="s">
        <v>262</v>
      </c>
      <c r="B509" t="s">
        <v>722</v>
      </c>
      <c r="C509" t="s">
        <v>784</v>
      </c>
      <c r="D509" t="s">
        <v>64</v>
      </c>
      <c r="E509" t="s">
        <v>22</v>
      </c>
      <c r="F509" t="s">
        <v>23</v>
      </c>
      <c r="G509">
        <v>1</v>
      </c>
      <c r="H509">
        <v>9791166300233</v>
      </c>
      <c r="I509" t="s">
        <v>24</v>
      </c>
      <c r="J509" t="s">
        <v>132</v>
      </c>
      <c r="K509" t="s">
        <v>119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  <c r="V509" s="7" t="str">
        <f>IF(ISERROR(VLOOKUP(K509,[1]작가별정산률!$R:$S,2,0)),"스토리위즈",VLOOKUP(K509,[1]작가별정산률!$R:$S,2,0))</f>
        <v>스토리위즈</v>
      </c>
      <c r="W509" s="7" t="str">
        <f>IF(V509="스토리위즈",VLOOKUP(K509,[1]작가별정산률!$A:$B,2,0),V509)</f>
        <v>김광수</v>
      </c>
    </row>
    <row r="510" spans="1:23" x14ac:dyDescent="0.4">
      <c r="A510" t="s">
        <v>262</v>
      </c>
      <c r="B510" t="s">
        <v>722</v>
      </c>
      <c r="C510" t="s">
        <v>785</v>
      </c>
      <c r="D510" t="s">
        <v>21</v>
      </c>
      <c r="E510" t="s">
        <v>22</v>
      </c>
      <c r="F510" t="s">
        <v>23</v>
      </c>
      <c r="G510">
        <v>1</v>
      </c>
      <c r="H510">
        <v>9791191562286</v>
      </c>
      <c r="I510" t="s">
        <v>143</v>
      </c>
      <c r="J510" t="s">
        <v>238</v>
      </c>
      <c r="K510" t="s">
        <v>239</v>
      </c>
      <c r="L510" t="s">
        <v>27</v>
      </c>
      <c r="M510" s="3">
        <v>2000</v>
      </c>
      <c r="N510" t="s">
        <v>27</v>
      </c>
      <c r="O510" s="3">
        <v>2000</v>
      </c>
      <c r="P510" s="3">
        <v>2000</v>
      </c>
      <c r="Q510" t="s">
        <v>30</v>
      </c>
      <c r="R510" s="2">
        <v>0.7</v>
      </c>
      <c r="S510" s="3">
        <v>1400</v>
      </c>
      <c r="T510" t="s">
        <v>27</v>
      </c>
      <c r="U510" s="3">
        <v>1400</v>
      </c>
      <c r="V510" s="7" t="str">
        <f>IF(ISERROR(VLOOKUP(K510,[1]작가별정산률!$R:$S,2,0)),"스토리위즈",VLOOKUP(K510,[1]작가별정산률!$R:$S,2,0))</f>
        <v>밀리의 서재</v>
      </c>
      <c r="W510" s="7" t="str">
        <f>IF(V510="스토리위즈",VLOOKUP(K510,[1]작가별정산률!$A:$B,2,0),V510)</f>
        <v>밀리의 서재</v>
      </c>
    </row>
    <row r="511" spans="1:23" x14ac:dyDescent="0.4">
      <c r="A511" t="s">
        <v>262</v>
      </c>
      <c r="B511" t="s">
        <v>722</v>
      </c>
      <c r="C511" t="s">
        <v>786</v>
      </c>
      <c r="D511" t="s">
        <v>64</v>
      </c>
      <c r="E511" t="s">
        <v>22</v>
      </c>
      <c r="F511" t="s">
        <v>23</v>
      </c>
      <c r="G511">
        <v>1</v>
      </c>
      <c r="H511">
        <v>9791166061110</v>
      </c>
      <c r="I511" t="s">
        <v>24</v>
      </c>
      <c r="J511" t="s">
        <v>97</v>
      </c>
      <c r="K511" t="s">
        <v>37</v>
      </c>
      <c r="L511" t="s">
        <v>27</v>
      </c>
      <c r="M511">
        <v>900</v>
      </c>
      <c r="N511" t="s">
        <v>27</v>
      </c>
      <c r="O511">
        <v>900</v>
      </c>
      <c r="P511">
        <v>900</v>
      </c>
      <c r="Q511" t="s">
        <v>30</v>
      </c>
      <c r="R511" s="2">
        <v>0.7</v>
      </c>
      <c r="S511">
        <v>630</v>
      </c>
      <c r="T511" t="s">
        <v>27</v>
      </c>
      <c r="U511">
        <v>630</v>
      </c>
      <c r="V511" s="7" t="str">
        <f>IF(ISERROR(VLOOKUP(K511,[1]작가별정산률!$R:$S,2,0)),"스토리위즈",VLOOKUP(K511,[1]작가별정산률!$R:$S,2,0))</f>
        <v>스토리위즈</v>
      </c>
      <c r="W511" s="7" t="str">
        <f>IF(V511="스토리위즈",VLOOKUP(K511,[1]작가별정산률!$A:$B,2,0),V511)</f>
        <v>권용찬</v>
      </c>
    </row>
    <row r="512" spans="1:23" x14ac:dyDescent="0.4">
      <c r="A512" t="s">
        <v>262</v>
      </c>
      <c r="B512" t="s">
        <v>722</v>
      </c>
      <c r="C512" t="s">
        <v>787</v>
      </c>
      <c r="D512" t="s">
        <v>64</v>
      </c>
      <c r="E512" t="s">
        <v>22</v>
      </c>
      <c r="F512" t="s">
        <v>23</v>
      </c>
      <c r="G512">
        <v>1</v>
      </c>
      <c r="H512">
        <v>9791159283093</v>
      </c>
      <c r="I512" t="s">
        <v>24</v>
      </c>
      <c r="J512" t="s">
        <v>73</v>
      </c>
      <c r="K512" t="s">
        <v>37</v>
      </c>
      <c r="L512" t="s">
        <v>27</v>
      </c>
      <c r="M512">
        <v>900</v>
      </c>
      <c r="N512" t="s">
        <v>27</v>
      </c>
      <c r="O512">
        <v>900</v>
      </c>
      <c r="P512">
        <v>900</v>
      </c>
      <c r="Q512" t="s">
        <v>30</v>
      </c>
      <c r="R512" s="2">
        <v>0.7</v>
      </c>
      <c r="S512">
        <v>630</v>
      </c>
      <c r="T512" t="s">
        <v>27</v>
      </c>
      <c r="U512">
        <v>630</v>
      </c>
      <c r="V512" s="7" t="str">
        <f>IF(ISERROR(VLOOKUP(K512,[1]작가별정산률!$R:$S,2,0)),"스토리위즈",VLOOKUP(K512,[1]작가별정산률!$R:$S,2,0))</f>
        <v>스토리위즈</v>
      </c>
      <c r="W512" s="7" t="str">
        <f>IF(V512="스토리위즈",VLOOKUP(K512,[1]작가별정산률!$A:$B,2,0),V512)</f>
        <v>권용찬</v>
      </c>
    </row>
    <row r="513" spans="1:23" x14ac:dyDescent="0.4">
      <c r="A513" t="s">
        <v>262</v>
      </c>
      <c r="B513" t="s">
        <v>722</v>
      </c>
      <c r="C513" t="s">
        <v>788</v>
      </c>
      <c r="D513" t="s">
        <v>64</v>
      </c>
      <c r="E513" t="s">
        <v>22</v>
      </c>
      <c r="F513" t="s">
        <v>23</v>
      </c>
      <c r="G513">
        <v>1</v>
      </c>
      <c r="H513">
        <v>9791166300172</v>
      </c>
      <c r="I513" t="s">
        <v>24</v>
      </c>
      <c r="J513" t="s">
        <v>127</v>
      </c>
      <c r="K513" t="s">
        <v>119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2">
        <v>0.7</v>
      </c>
      <c r="S513">
        <v>441</v>
      </c>
      <c r="T513" t="s">
        <v>27</v>
      </c>
      <c r="U513">
        <v>441</v>
      </c>
      <c r="V513" s="7" t="str">
        <f>IF(ISERROR(VLOOKUP(K513,[1]작가별정산률!$R:$S,2,0)),"스토리위즈",VLOOKUP(K513,[1]작가별정산률!$R:$S,2,0))</f>
        <v>스토리위즈</v>
      </c>
      <c r="W513" s="7" t="str">
        <f>IF(V513="스토리위즈",VLOOKUP(K513,[1]작가별정산률!$A:$B,2,0),V513)</f>
        <v>김광수</v>
      </c>
    </row>
    <row r="514" spans="1:23" x14ac:dyDescent="0.4">
      <c r="A514" t="s">
        <v>262</v>
      </c>
      <c r="B514" t="s">
        <v>722</v>
      </c>
      <c r="C514" t="s">
        <v>789</v>
      </c>
      <c r="D514" t="s">
        <v>64</v>
      </c>
      <c r="E514" t="s">
        <v>22</v>
      </c>
      <c r="F514" t="s">
        <v>23</v>
      </c>
      <c r="G514">
        <v>1</v>
      </c>
      <c r="H514">
        <v>9791166300127</v>
      </c>
      <c r="I514" t="s">
        <v>24</v>
      </c>
      <c r="J514" t="s">
        <v>122</v>
      </c>
      <c r="K514" t="s">
        <v>119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  <c r="V514" s="7" t="str">
        <f>IF(ISERROR(VLOOKUP(K514,[1]작가별정산률!$R:$S,2,0)),"스토리위즈",VLOOKUP(K514,[1]작가별정산률!$R:$S,2,0))</f>
        <v>스토리위즈</v>
      </c>
      <c r="W514" s="7" t="str">
        <f>IF(V514="스토리위즈",VLOOKUP(K514,[1]작가별정산률!$A:$B,2,0),V514)</f>
        <v>김광수</v>
      </c>
    </row>
    <row r="515" spans="1:23" x14ac:dyDescent="0.4">
      <c r="A515" t="s">
        <v>262</v>
      </c>
      <c r="B515" t="s">
        <v>722</v>
      </c>
      <c r="C515" t="s">
        <v>790</v>
      </c>
      <c r="D515" t="s">
        <v>21</v>
      </c>
      <c r="E515" t="s">
        <v>22</v>
      </c>
      <c r="F515" t="s">
        <v>23</v>
      </c>
      <c r="G515">
        <v>1</v>
      </c>
      <c r="H515">
        <v>9791166300271</v>
      </c>
      <c r="I515" t="s">
        <v>24</v>
      </c>
      <c r="J515" t="s">
        <v>136</v>
      </c>
      <c r="K515" t="s">
        <v>119</v>
      </c>
      <c r="L515" t="s">
        <v>27</v>
      </c>
      <c r="M515" s="3">
        <v>3200</v>
      </c>
      <c r="N515" t="s">
        <v>27</v>
      </c>
      <c r="O515" s="3">
        <v>3200</v>
      </c>
      <c r="P515" s="3">
        <v>3200</v>
      </c>
      <c r="Q515" t="s">
        <v>30</v>
      </c>
      <c r="R515" s="2">
        <v>0.7</v>
      </c>
      <c r="S515" s="3">
        <v>2240</v>
      </c>
      <c r="T515" t="s">
        <v>27</v>
      </c>
      <c r="U515" s="3">
        <v>2240</v>
      </c>
      <c r="V515" s="7" t="str">
        <f>IF(ISERROR(VLOOKUP(K515,[1]작가별정산률!$R:$S,2,0)),"스토리위즈",VLOOKUP(K515,[1]작가별정산률!$R:$S,2,0))</f>
        <v>스토리위즈</v>
      </c>
      <c r="W515" s="7" t="str">
        <f>IF(V515="스토리위즈",VLOOKUP(K515,[1]작가별정산률!$A:$B,2,0),V515)</f>
        <v>김광수</v>
      </c>
    </row>
    <row r="516" spans="1:23" x14ac:dyDescent="0.4">
      <c r="A516" t="s">
        <v>262</v>
      </c>
      <c r="B516" t="s">
        <v>722</v>
      </c>
      <c r="C516" t="s">
        <v>791</v>
      </c>
      <c r="D516" t="s">
        <v>64</v>
      </c>
      <c r="E516" t="s">
        <v>22</v>
      </c>
      <c r="F516" t="s">
        <v>23</v>
      </c>
      <c r="G516">
        <v>1</v>
      </c>
      <c r="H516">
        <v>9791166300288</v>
      </c>
      <c r="I516" t="s">
        <v>24</v>
      </c>
      <c r="J516" t="s">
        <v>137</v>
      </c>
      <c r="K516" t="s">
        <v>119</v>
      </c>
      <c r="L516" t="s">
        <v>27</v>
      </c>
      <c r="M516">
        <v>630</v>
      </c>
      <c r="N516" t="s">
        <v>27</v>
      </c>
      <c r="O516">
        <v>630</v>
      </c>
      <c r="P516">
        <v>630</v>
      </c>
      <c r="Q516" t="s">
        <v>30</v>
      </c>
      <c r="R516" s="2">
        <v>0.7</v>
      </c>
      <c r="S516">
        <v>441</v>
      </c>
      <c r="T516" t="s">
        <v>27</v>
      </c>
      <c r="U516">
        <v>441</v>
      </c>
      <c r="V516" s="7" t="str">
        <f>IF(ISERROR(VLOOKUP(K516,[1]작가별정산률!$R:$S,2,0)),"스토리위즈",VLOOKUP(K516,[1]작가별정산률!$R:$S,2,0))</f>
        <v>스토리위즈</v>
      </c>
      <c r="W516" s="7" t="str">
        <f>IF(V516="스토리위즈",VLOOKUP(K516,[1]작가별정산률!$A:$B,2,0),V516)</f>
        <v>김광수</v>
      </c>
    </row>
    <row r="517" spans="1:23" x14ac:dyDescent="0.4">
      <c r="A517" t="s">
        <v>262</v>
      </c>
      <c r="B517" t="s">
        <v>722</v>
      </c>
      <c r="C517" t="s">
        <v>792</v>
      </c>
      <c r="D517" t="s">
        <v>64</v>
      </c>
      <c r="E517" t="s">
        <v>22</v>
      </c>
      <c r="F517" t="s">
        <v>23</v>
      </c>
      <c r="G517">
        <v>1</v>
      </c>
      <c r="H517">
        <v>9791166064098</v>
      </c>
      <c r="I517" t="s">
        <v>24</v>
      </c>
      <c r="J517" t="s">
        <v>92</v>
      </c>
      <c r="K517" t="s">
        <v>37</v>
      </c>
      <c r="L517" t="s">
        <v>27</v>
      </c>
      <c r="M517">
        <v>900</v>
      </c>
      <c r="N517" t="s">
        <v>27</v>
      </c>
      <c r="O517">
        <v>900</v>
      </c>
      <c r="P517">
        <v>900</v>
      </c>
      <c r="Q517" t="s">
        <v>30</v>
      </c>
      <c r="R517" s="2">
        <v>0.7</v>
      </c>
      <c r="S517">
        <v>630</v>
      </c>
      <c r="T517" t="s">
        <v>27</v>
      </c>
      <c r="U517">
        <v>630</v>
      </c>
      <c r="V517" s="7" t="str">
        <f>IF(ISERROR(VLOOKUP(K517,[1]작가별정산률!$R:$S,2,0)),"스토리위즈",VLOOKUP(K517,[1]작가별정산률!$R:$S,2,0))</f>
        <v>스토리위즈</v>
      </c>
      <c r="W517" s="7" t="str">
        <f>IF(V517="스토리위즈",VLOOKUP(K517,[1]작가별정산률!$A:$B,2,0),V517)</f>
        <v>권용찬</v>
      </c>
    </row>
    <row r="518" spans="1:23" x14ac:dyDescent="0.4">
      <c r="A518" t="s">
        <v>262</v>
      </c>
      <c r="B518" t="s">
        <v>722</v>
      </c>
      <c r="C518" t="s">
        <v>793</v>
      </c>
      <c r="D518" t="s">
        <v>21</v>
      </c>
      <c r="E518" t="s">
        <v>22</v>
      </c>
      <c r="F518" t="s">
        <v>23</v>
      </c>
      <c r="G518">
        <v>1</v>
      </c>
      <c r="H518">
        <v>9791191562286</v>
      </c>
      <c r="I518" t="s">
        <v>143</v>
      </c>
      <c r="J518" t="s">
        <v>238</v>
      </c>
      <c r="K518" t="s">
        <v>239</v>
      </c>
      <c r="L518" t="s">
        <v>27</v>
      </c>
      <c r="M518" s="3">
        <v>2000</v>
      </c>
      <c r="N518" t="s">
        <v>27</v>
      </c>
      <c r="O518" s="3">
        <v>2000</v>
      </c>
      <c r="P518" s="3">
        <v>2000</v>
      </c>
      <c r="Q518" t="s">
        <v>30</v>
      </c>
      <c r="R518" s="2">
        <v>0.7</v>
      </c>
      <c r="S518" s="3">
        <v>1400</v>
      </c>
      <c r="T518" t="s">
        <v>27</v>
      </c>
      <c r="U518" s="3">
        <v>1400</v>
      </c>
      <c r="V518" s="7" t="str">
        <f>IF(ISERROR(VLOOKUP(K518,[1]작가별정산률!$R:$S,2,0)),"스토리위즈",VLOOKUP(K518,[1]작가별정산률!$R:$S,2,0))</f>
        <v>밀리의 서재</v>
      </c>
      <c r="W518" s="7" t="str">
        <f>IF(V518="스토리위즈",VLOOKUP(K518,[1]작가별정산률!$A:$B,2,0),V518)</f>
        <v>밀리의 서재</v>
      </c>
    </row>
    <row r="519" spans="1:23" x14ac:dyDescent="0.4">
      <c r="A519" t="s">
        <v>262</v>
      </c>
      <c r="B519" t="s">
        <v>722</v>
      </c>
      <c r="C519" t="s">
        <v>794</v>
      </c>
      <c r="D519" t="s">
        <v>64</v>
      </c>
      <c r="E519" t="s">
        <v>22</v>
      </c>
      <c r="F519" t="s">
        <v>23</v>
      </c>
      <c r="G519">
        <v>1</v>
      </c>
      <c r="H519">
        <v>9791159282232</v>
      </c>
      <c r="I519" t="s">
        <v>24</v>
      </c>
      <c r="J519" t="s">
        <v>109</v>
      </c>
      <c r="K519" t="s">
        <v>37</v>
      </c>
      <c r="L519" t="s">
        <v>27</v>
      </c>
      <c r="M519">
        <v>900</v>
      </c>
      <c r="N519" t="s">
        <v>27</v>
      </c>
      <c r="O519">
        <v>900</v>
      </c>
      <c r="P519">
        <v>900</v>
      </c>
      <c r="Q519" t="s">
        <v>30</v>
      </c>
      <c r="R519" s="2">
        <v>0.7</v>
      </c>
      <c r="S519">
        <v>630</v>
      </c>
      <c r="T519" t="s">
        <v>27</v>
      </c>
      <c r="U519">
        <v>630</v>
      </c>
      <c r="V519" s="7" t="str">
        <f>IF(ISERROR(VLOOKUP(K519,[1]작가별정산률!$R:$S,2,0)),"스토리위즈",VLOOKUP(K519,[1]작가별정산률!$R:$S,2,0))</f>
        <v>스토리위즈</v>
      </c>
      <c r="W519" s="7" t="str">
        <f>IF(V519="스토리위즈",VLOOKUP(K519,[1]작가별정산률!$A:$B,2,0),V519)</f>
        <v>권용찬</v>
      </c>
    </row>
    <row r="520" spans="1:23" x14ac:dyDescent="0.4">
      <c r="A520" t="s">
        <v>262</v>
      </c>
      <c r="B520" t="s">
        <v>722</v>
      </c>
      <c r="C520" t="s">
        <v>795</v>
      </c>
      <c r="D520" t="s">
        <v>64</v>
      </c>
      <c r="E520" t="s">
        <v>22</v>
      </c>
      <c r="F520" t="s">
        <v>23</v>
      </c>
      <c r="G520">
        <v>1</v>
      </c>
      <c r="H520">
        <v>9791166300462</v>
      </c>
      <c r="I520" t="s">
        <v>24</v>
      </c>
      <c r="J520" t="s">
        <v>144</v>
      </c>
      <c r="K520" t="s">
        <v>119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  <c r="V520" s="7" t="str">
        <f>IF(ISERROR(VLOOKUP(K520,[1]작가별정산률!$R:$S,2,0)),"스토리위즈",VLOOKUP(K520,[1]작가별정산률!$R:$S,2,0))</f>
        <v>스토리위즈</v>
      </c>
      <c r="W520" s="7" t="str">
        <f>IF(V520="스토리위즈",VLOOKUP(K520,[1]작가별정산률!$A:$B,2,0),V520)</f>
        <v>김광수</v>
      </c>
    </row>
    <row r="521" spans="1:23" x14ac:dyDescent="0.4">
      <c r="A521" t="s">
        <v>262</v>
      </c>
      <c r="B521" t="s">
        <v>722</v>
      </c>
      <c r="C521" t="s">
        <v>796</v>
      </c>
      <c r="D521" t="s">
        <v>64</v>
      </c>
      <c r="E521" t="s">
        <v>22</v>
      </c>
      <c r="F521" t="s">
        <v>23</v>
      </c>
      <c r="G521">
        <v>1</v>
      </c>
      <c r="H521">
        <v>9791166300240</v>
      </c>
      <c r="I521" t="s">
        <v>24</v>
      </c>
      <c r="J521" t="s">
        <v>133</v>
      </c>
      <c r="K521" t="s">
        <v>119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  <c r="V521" s="7" t="str">
        <f>IF(ISERROR(VLOOKUP(K521,[1]작가별정산률!$R:$S,2,0)),"스토리위즈",VLOOKUP(K521,[1]작가별정산률!$R:$S,2,0))</f>
        <v>스토리위즈</v>
      </c>
      <c r="W521" s="7" t="str">
        <f>IF(V521="스토리위즈",VLOOKUP(K521,[1]작가별정산률!$A:$B,2,0),V521)</f>
        <v>김광수</v>
      </c>
    </row>
    <row r="522" spans="1:23" x14ac:dyDescent="0.4">
      <c r="A522" t="s">
        <v>262</v>
      </c>
      <c r="B522" t="s">
        <v>722</v>
      </c>
      <c r="C522" t="s">
        <v>797</v>
      </c>
      <c r="D522" t="s">
        <v>64</v>
      </c>
      <c r="E522" t="s">
        <v>22</v>
      </c>
      <c r="F522" t="s">
        <v>23</v>
      </c>
      <c r="G522">
        <v>1</v>
      </c>
      <c r="H522">
        <v>9791159283277</v>
      </c>
      <c r="I522" t="s">
        <v>24</v>
      </c>
      <c r="J522" t="s">
        <v>118</v>
      </c>
      <c r="K522" t="s">
        <v>37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  <c r="V522" s="7" t="str">
        <f>IF(ISERROR(VLOOKUP(K522,[1]작가별정산률!$R:$S,2,0)),"스토리위즈",VLOOKUP(K522,[1]작가별정산률!$R:$S,2,0))</f>
        <v>스토리위즈</v>
      </c>
      <c r="W522" s="7" t="str">
        <f>IF(V522="스토리위즈",VLOOKUP(K522,[1]작가별정산률!$A:$B,2,0),V522)</f>
        <v>권용찬</v>
      </c>
    </row>
    <row r="523" spans="1:23" x14ac:dyDescent="0.4">
      <c r="A523" t="s">
        <v>262</v>
      </c>
      <c r="B523" t="s">
        <v>722</v>
      </c>
      <c r="C523" t="s">
        <v>798</v>
      </c>
      <c r="D523" t="s">
        <v>64</v>
      </c>
      <c r="E523" t="s">
        <v>22</v>
      </c>
      <c r="F523" t="s">
        <v>23</v>
      </c>
      <c r="G523">
        <v>1</v>
      </c>
      <c r="H523">
        <v>9791159283215</v>
      </c>
      <c r="I523" t="s">
        <v>24</v>
      </c>
      <c r="J523" t="s">
        <v>103</v>
      </c>
      <c r="K523" t="s">
        <v>37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2">
        <v>0.7</v>
      </c>
      <c r="S523">
        <v>441</v>
      </c>
      <c r="T523" t="s">
        <v>27</v>
      </c>
      <c r="U523">
        <v>441</v>
      </c>
      <c r="V523" s="7" t="str">
        <f>IF(ISERROR(VLOOKUP(K523,[1]작가별정산률!$R:$S,2,0)),"스토리위즈",VLOOKUP(K523,[1]작가별정산률!$R:$S,2,0))</f>
        <v>스토리위즈</v>
      </c>
      <c r="W523" s="7" t="str">
        <f>IF(V523="스토리위즈",VLOOKUP(K523,[1]작가별정산률!$A:$B,2,0),V523)</f>
        <v>권용찬</v>
      </c>
    </row>
    <row r="524" spans="1:23" x14ac:dyDescent="0.4">
      <c r="A524" t="s">
        <v>262</v>
      </c>
      <c r="B524" t="s">
        <v>722</v>
      </c>
      <c r="C524" t="s">
        <v>799</v>
      </c>
      <c r="D524" t="s">
        <v>64</v>
      </c>
      <c r="E524" t="s">
        <v>22</v>
      </c>
      <c r="F524" t="s">
        <v>23</v>
      </c>
      <c r="G524">
        <v>1</v>
      </c>
      <c r="H524">
        <v>9791166300233</v>
      </c>
      <c r="I524" t="s">
        <v>24</v>
      </c>
      <c r="J524" t="s">
        <v>132</v>
      </c>
      <c r="K524" t="s">
        <v>119</v>
      </c>
      <c r="L524" t="s">
        <v>27</v>
      </c>
      <c r="M524">
        <v>630</v>
      </c>
      <c r="N524" t="s">
        <v>27</v>
      </c>
      <c r="O524">
        <v>630</v>
      </c>
      <c r="P524">
        <v>630</v>
      </c>
      <c r="Q524" t="s">
        <v>30</v>
      </c>
      <c r="R524" s="2">
        <v>0.7</v>
      </c>
      <c r="S524">
        <v>441</v>
      </c>
      <c r="T524" t="s">
        <v>27</v>
      </c>
      <c r="U524">
        <v>441</v>
      </c>
      <c r="V524" s="7" t="str">
        <f>IF(ISERROR(VLOOKUP(K524,[1]작가별정산률!$R:$S,2,0)),"스토리위즈",VLOOKUP(K524,[1]작가별정산률!$R:$S,2,0))</f>
        <v>스토리위즈</v>
      </c>
      <c r="W524" s="7" t="str">
        <f>IF(V524="스토리위즈",VLOOKUP(K524,[1]작가별정산률!$A:$B,2,0),V524)</f>
        <v>김광수</v>
      </c>
    </row>
    <row r="525" spans="1:23" x14ac:dyDescent="0.4">
      <c r="A525" t="s">
        <v>262</v>
      </c>
      <c r="B525" t="s">
        <v>722</v>
      </c>
      <c r="C525" t="s">
        <v>800</v>
      </c>
      <c r="D525" t="s">
        <v>64</v>
      </c>
      <c r="E525" t="s">
        <v>22</v>
      </c>
      <c r="F525" t="s">
        <v>23</v>
      </c>
      <c r="G525">
        <v>1</v>
      </c>
      <c r="H525">
        <v>9791166300240</v>
      </c>
      <c r="I525" t="s">
        <v>24</v>
      </c>
      <c r="J525" t="s">
        <v>133</v>
      </c>
      <c r="K525" t="s">
        <v>119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  <c r="V525" s="7" t="str">
        <f>IF(ISERROR(VLOOKUP(K525,[1]작가별정산률!$R:$S,2,0)),"스토리위즈",VLOOKUP(K525,[1]작가별정산률!$R:$S,2,0))</f>
        <v>스토리위즈</v>
      </c>
      <c r="W525" s="7" t="str">
        <f>IF(V525="스토리위즈",VLOOKUP(K525,[1]작가별정산률!$A:$B,2,0),V525)</f>
        <v>김광수</v>
      </c>
    </row>
    <row r="526" spans="1:23" x14ac:dyDescent="0.4">
      <c r="A526" t="s">
        <v>262</v>
      </c>
      <c r="B526" t="s">
        <v>722</v>
      </c>
      <c r="C526" t="s">
        <v>801</v>
      </c>
      <c r="D526" t="s">
        <v>21</v>
      </c>
      <c r="E526" t="s">
        <v>22</v>
      </c>
      <c r="F526" t="s">
        <v>23</v>
      </c>
      <c r="G526">
        <v>1</v>
      </c>
      <c r="H526">
        <v>9791191562125</v>
      </c>
      <c r="I526" t="s">
        <v>143</v>
      </c>
      <c r="J526" t="s">
        <v>212</v>
      </c>
      <c r="K526" t="s">
        <v>213</v>
      </c>
      <c r="L526" t="s">
        <v>27</v>
      </c>
      <c r="M526" s="3">
        <v>2500</v>
      </c>
      <c r="N526" t="s">
        <v>27</v>
      </c>
      <c r="O526" s="3">
        <v>2500</v>
      </c>
      <c r="P526" s="3">
        <v>2500</v>
      </c>
      <c r="Q526" t="s">
        <v>30</v>
      </c>
      <c r="R526" s="2">
        <v>0.7</v>
      </c>
      <c r="S526" s="3">
        <v>1750</v>
      </c>
      <c r="T526" t="s">
        <v>27</v>
      </c>
      <c r="U526" s="3">
        <v>1750</v>
      </c>
      <c r="V526" s="7" t="str">
        <f>IF(ISERROR(VLOOKUP(K526,[1]작가별정산률!$R:$S,2,0)),"스토리위즈",VLOOKUP(K526,[1]작가별정산률!$R:$S,2,0))</f>
        <v>밀리의 서재</v>
      </c>
      <c r="W526" s="7" t="str">
        <f>IF(V526="스토리위즈",VLOOKUP(K526,[1]작가별정산률!$A:$B,2,0),V526)</f>
        <v>밀리의 서재</v>
      </c>
    </row>
    <row r="527" spans="1:23" x14ac:dyDescent="0.4">
      <c r="A527" t="s">
        <v>262</v>
      </c>
      <c r="B527" t="s">
        <v>722</v>
      </c>
      <c r="C527" t="s">
        <v>802</v>
      </c>
      <c r="D527" t="s">
        <v>64</v>
      </c>
      <c r="E527" t="s">
        <v>22</v>
      </c>
      <c r="F527" t="s">
        <v>23</v>
      </c>
      <c r="G527">
        <v>1</v>
      </c>
      <c r="H527">
        <v>9791166300134</v>
      </c>
      <c r="I527" t="s">
        <v>24</v>
      </c>
      <c r="J527" t="s">
        <v>123</v>
      </c>
      <c r="K527" t="s">
        <v>119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  <c r="V527" s="7" t="str">
        <f>IF(ISERROR(VLOOKUP(K527,[1]작가별정산률!$R:$S,2,0)),"스토리위즈",VLOOKUP(K527,[1]작가별정산률!$R:$S,2,0))</f>
        <v>스토리위즈</v>
      </c>
      <c r="W527" s="7" t="str">
        <f>IF(V527="스토리위즈",VLOOKUP(K527,[1]작가별정산률!$A:$B,2,0),V527)</f>
        <v>김광수</v>
      </c>
    </row>
    <row r="528" spans="1:23" x14ac:dyDescent="0.4">
      <c r="A528" t="s">
        <v>262</v>
      </c>
      <c r="B528" t="s">
        <v>722</v>
      </c>
      <c r="C528" t="s">
        <v>803</v>
      </c>
      <c r="D528" t="s">
        <v>21</v>
      </c>
      <c r="E528" t="s">
        <v>22</v>
      </c>
      <c r="F528" t="s">
        <v>23</v>
      </c>
      <c r="G528">
        <v>1</v>
      </c>
      <c r="H528">
        <v>9791191562248</v>
      </c>
      <c r="I528" t="s">
        <v>143</v>
      </c>
      <c r="J528" t="s">
        <v>231</v>
      </c>
      <c r="K528" t="s">
        <v>232</v>
      </c>
      <c r="L528" t="s">
        <v>27</v>
      </c>
      <c r="M528" s="3">
        <v>2000</v>
      </c>
      <c r="N528" t="s">
        <v>27</v>
      </c>
      <c r="O528" s="3">
        <v>2000</v>
      </c>
      <c r="P528" s="3">
        <v>2000</v>
      </c>
      <c r="Q528" t="s">
        <v>30</v>
      </c>
      <c r="R528" s="2">
        <v>0.7</v>
      </c>
      <c r="S528" s="3">
        <v>1400</v>
      </c>
      <c r="T528" t="s">
        <v>27</v>
      </c>
      <c r="U528" s="3">
        <v>1400</v>
      </c>
      <c r="V528" s="7" t="str">
        <f>IF(ISERROR(VLOOKUP(K528,[1]작가별정산률!$R:$S,2,0)),"스토리위즈",VLOOKUP(K528,[1]작가별정산률!$R:$S,2,0))</f>
        <v>밀리의 서재</v>
      </c>
      <c r="W528" s="7" t="str">
        <f>IF(V528="스토리위즈",VLOOKUP(K528,[1]작가별정산률!$A:$B,2,0),V528)</f>
        <v>밀리의 서재</v>
      </c>
    </row>
    <row r="529" spans="1:23" x14ac:dyDescent="0.4">
      <c r="A529" t="s">
        <v>262</v>
      </c>
      <c r="B529" t="s">
        <v>722</v>
      </c>
      <c r="C529" t="s">
        <v>804</v>
      </c>
      <c r="D529" t="s">
        <v>64</v>
      </c>
      <c r="E529" t="s">
        <v>22</v>
      </c>
      <c r="F529" t="s">
        <v>23</v>
      </c>
      <c r="G529">
        <v>1</v>
      </c>
      <c r="H529">
        <v>9791166300110</v>
      </c>
      <c r="I529" t="s">
        <v>24</v>
      </c>
      <c r="J529" t="s">
        <v>121</v>
      </c>
      <c r="K529" t="s">
        <v>119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  <c r="V529" s="7" t="str">
        <f>IF(ISERROR(VLOOKUP(K529,[1]작가별정산률!$R:$S,2,0)),"스토리위즈",VLOOKUP(K529,[1]작가별정산률!$R:$S,2,0))</f>
        <v>스토리위즈</v>
      </c>
      <c r="W529" s="7" t="str">
        <f>IF(V529="스토리위즈",VLOOKUP(K529,[1]작가별정산률!$A:$B,2,0),V529)</f>
        <v>김광수</v>
      </c>
    </row>
    <row r="530" spans="1:23" x14ac:dyDescent="0.4">
      <c r="A530" t="s">
        <v>262</v>
      </c>
      <c r="B530" t="s">
        <v>722</v>
      </c>
      <c r="C530" t="s">
        <v>805</v>
      </c>
      <c r="D530" t="s">
        <v>64</v>
      </c>
      <c r="E530" t="s">
        <v>22</v>
      </c>
      <c r="F530" t="s">
        <v>23</v>
      </c>
      <c r="G530">
        <v>1</v>
      </c>
      <c r="H530">
        <v>9791166300134</v>
      </c>
      <c r="I530" t="s">
        <v>24</v>
      </c>
      <c r="J530" t="s">
        <v>123</v>
      </c>
      <c r="K530" t="s">
        <v>119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  <c r="V530" s="7" t="str">
        <f>IF(ISERROR(VLOOKUP(K530,[1]작가별정산률!$R:$S,2,0)),"스토리위즈",VLOOKUP(K530,[1]작가별정산률!$R:$S,2,0))</f>
        <v>스토리위즈</v>
      </c>
      <c r="W530" s="7" t="str">
        <f>IF(V530="스토리위즈",VLOOKUP(K530,[1]작가별정산률!$A:$B,2,0),V530)</f>
        <v>김광수</v>
      </c>
    </row>
    <row r="531" spans="1:23" x14ac:dyDescent="0.4">
      <c r="A531" t="s">
        <v>262</v>
      </c>
      <c r="B531" t="s">
        <v>722</v>
      </c>
      <c r="C531" t="s">
        <v>806</v>
      </c>
      <c r="D531" t="s">
        <v>64</v>
      </c>
      <c r="E531" t="s">
        <v>22</v>
      </c>
      <c r="F531" t="s">
        <v>23</v>
      </c>
      <c r="G531">
        <v>1</v>
      </c>
      <c r="H531">
        <v>9791166300158</v>
      </c>
      <c r="I531" t="s">
        <v>24</v>
      </c>
      <c r="J531" t="s">
        <v>125</v>
      </c>
      <c r="K531" t="s">
        <v>119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  <c r="V531" s="7" t="str">
        <f>IF(ISERROR(VLOOKUP(K531,[1]작가별정산률!$R:$S,2,0)),"스토리위즈",VLOOKUP(K531,[1]작가별정산률!$R:$S,2,0))</f>
        <v>스토리위즈</v>
      </c>
      <c r="W531" s="7" t="str">
        <f>IF(V531="스토리위즈",VLOOKUP(K531,[1]작가별정산률!$A:$B,2,0),V531)</f>
        <v>김광수</v>
      </c>
    </row>
    <row r="532" spans="1:23" x14ac:dyDescent="0.4">
      <c r="A532" t="s">
        <v>262</v>
      </c>
      <c r="B532" t="s">
        <v>722</v>
      </c>
      <c r="C532" t="s">
        <v>807</v>
      </c>
      <c r="D532" t="s">
        <v>64</v>
      </c>
      <c r="E532" t="s">
        <v>22</v>
      </c>
      <c r="F532" t="s">
        <v>23</v>
      </c>
      <c r="G532">
        <v>1</v>
      </c>
      <c r="H532">
        <v>9791166300172</v>
      </c>
      <c r="I532" t="s">
        <v>24</v>
      </c>
      <c r="J532" t="s">
        <v>127</v>
      </c>
      <c r="K532" t="s">
        <v>119</v>
      </c>
      <c r="L532" t="s">
        <v>27</v>
      </c>
      <c r="M532">
        <v>630</v>
      </c>
      <c r="N532" t="s">
        <v>27</v>
      </c>
      <c r="O532">
        <v>630</v>
      </c>
      <c r="P532">
        <v>630</v>
      </c>
      <c r="Q532" t="s">
        <v>30</v>
      </c>
      <c r="R532" s="2">
        <v>0.7</v>
      </c>
      <c r="S532">
        <v>441</v>
      </c>
      <c r="T532" t="s">
        <v>27</v>
      </c>
      <c r="U532">
        <v>441</v>
      </c>
      <c r="V532" s="7" t="str">
        <f>IF(ISERROR(VLOOKUP(K532,[1]작가별정산률!$R:$S,2,0)),"스토리위즈",VLOOKUP(K532,[1]작가별정산률!$R:$S,2,0))</f>
        <v>스토리위즈</v>
      </c>
      <c r="W532" s="7" t="str">
        <f>IF(V532="스토리위즈",VLOOKUP(K532,[1]작가별정산률!$A:$B,2,0),V532)</f>
        <v>김광수</v>
      </c>
    </row>
    <row r="533" spans="1:23" x14ac:dyDescent="0.4">
      <c r="A533" t="s">
        <v>262</v>
      </c>
      <c r="B533" t="s">
        <v>722</v>
      </c>
      <c r="C533" t="s">
        <v>808</v>
      </c>
      <c r="D533" t="s">
        <v>64</v>
      </c>
      <c r="E533" t="s">
        <v>22</v>
      </c>
      <c r="F533" t="s">
        <v>23</v>
      </c>
      <c r="G533">
        <v>1</v>
      </c>
      <c r="H533">
        <v>9791166061127</v>
      </c>
      <c r="I533" t="s">
        <v>24</v>
      </c>
      <c r="J533" t="s">
        <v>100</v>
      </c>
      <c r="K533" t="s">
        <v>37</v>
      </c>
      <c r="L533" t="s">
        <v>27</v>
      </c>
      <c r="M533">
        <v>900</v>
      </c>
      <c r="N533" t="s">
        <v>27</v>
      </c>
      <c r="O533">
        <v>900</v>
      </c>
      <c r="P533">
        <v>900</v>
      </c>
      <c r="Q533" t="s">
        <v>30</v>
      </c>
      <c r="R533" s="2">
        <v>0.7</v>
      </c>
      <c r="S533">
        <v>630</v>
      </c>
      <c r="T533" t="s">
        <v>27</v>
      </c>
      <c r="U533">
        <v>630</v>
      </c>
      <c r="V533" s="7" t="str">
        <f>IF(ISERROR(VLOOKUP(K533,[1]작가별정산률!$R:$S,2,0)),"스토리위즈",VLOOKUP(K533,[1]작가별정산률!$R:$S,2,0))</f>
        <v>스토리위즈</v>
      </c>
      <c r="W533" s="7" t="str">
        <f>IF(V533="스토리위즈",VLOOKUP(K533,[1]작가별정산률!$A:$B,2,0),V533)</f>
        <v>권용찬</v>
      </c>
    </row>
    <row r="534" spans="1:23" x14ac:dyDescent="0.4">
      <c r="A534" t="s">
        <v>262</v>
      </c>
      <c r="B534" t="s">
        <v>722</v>
      </c>
      <c r="C534" t="s">
        <v>809</v>
      </c>
      <c r="D534" t="s">
        <v>64</v>
      </c>
      <c r="E534" t="s">
        <v>22</v>
      </c>
      <c r="F534" t="s">
        <v>23</v>
      </c>
      <c r="G534">
        <v>1</v>
      </c>
      <c r="H534">
        <v>9791166300110</v>
      </c>
      <c r="I534" t="s">
        <v>24</v>
      </c>
      <c r="J534" t="s">
        <v>121</v>
      </c>
      <c r="K534" t="s">
        <v>119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  <c r="V534" s="7" t="str">
        <f>IF(ISERROR(VLOOKUP(K534,[1]작가별정산률!$R:$S,2,0)),"스토리위즈",VLOOKUP(K534,[1]작가별정산률!$R:$S,2,0))</f>
        <v>스토리위즈</v>
      </c>
      <c r="W534" s="7" t="str">
        <f>IF(V534="스토리위즈",VLOOKUP(K534,[1]작가별정산률!$A:$B,2,0),V534)</f>
        <v>김광수</v>
      </c>
    </row>
    <row r="535" spans="1:23" x14ac:dyDescent="0.4">
      <c r="A535" t="s">
        <v>262</v>
      </c>
      <c r="B535" t="s">
        <v>810</v>
      </c>
      <c r="C535" t="s">
        <v>811</v>
      </c>
      <c r="D535" t="s">
        <v>64</v>
      </c>
      <c r="E535" t="s">
        <v>22</v>
      </c>
      <c r="F535" t="s">
        <v>23</v>
      </c>
      <c r="G535">
        <v>1</v>
      </c>
      <c r="H535">
        <v>9791159283093</v>
      </c>
      <c r="I535" t="s">
        <v>24</v>
      </c>
      <c r="J535" t="s">
        <v>73</v>
      </c>
      <c r="K535" t="s">
        <v>37</v>
      </c>
      <c r="L535" t="s">
        <v>27</v>
      </c>
      <c r="M535">
        <v>900</v>
      </c>
      <c r="N535" t="s">
        <v>27</v>
      </c>
      <c r="O535">
        <v>900</v>
      </c>
      <c r="P535">
        <v>900</v>
      </c>
      <c r="Q535" t="s">
        <v>30</v>
      </c>
      <c r="R535" s="2">
        <v>0.7</v>
      </c>
      <c r="S535">
        <v>630</v>
      </c>
      <c r="T535" t="s">
        <v>27</v>
      </c>
      <c r="U535">
        <v>630</v>
      </c>
      <c r="V535" s="7" t="str">
        <f>IF(ISERROR(VLOOKUP(K535,[1]작가별정산률!$R:$S,2,0)),"스토리위즈",VLOOKUP(K535,[1]작가별정산률!$R:$S,2,0))</f>
        <v>스토리위즈</v>
      </c>
      <c r="W535" s="7" t="str">
        <f>IF(V535="스토리위즈",VLOOKUP(K535,[1]작가별정산률!$A:$B,2,0),V535)</f>
        <v>권용찬</v>
      </c>
    </row>
    <row r="536" spans="1:23" x14ac:dyDescent="0.4">
      <c r="A536" t="s">
        <v>262</v>
      </c>
      <c r="B536" t="s">
        <v>810</v>
      </c>
      <c r="C536" t="s">
        <v>812</v>
      </c>
      <c r="D536" t="s">
        <v>21</v>
      </c>
      <c r="E536" t="s">
        <v>22</v>
      </c>
      <c r="F536" t="s">
        <v>23</v>
      </c>
      <c r="G536">
        <v>1</v>
      </c>
      <c r="H536">
        <v>9791191562286</v>
      </c>
      <c r="I536" t="s">
        <v>143</v>
      </c>
      <c r="J536" t="s">
        <v>238</v>
      </c>
      <c r="K536" t="s">
        <v>239</v>
      </c>
      <c r="L536" t="s">
        <v>27</v>
      </c>
      <c r="M536" s="3">
        <v>2000</v>
      </c>
      <c r="N536" t="s">
        <v>27</v>
      </c>
      <c r="O536" s="3">
        <v>2000</v>
      </c>
      <c r="P536" s="3">
        <v>2000</v>
      </c>
      <c r="Q536" t="s">
        <v>30</v>
      </c>
      <c r="R536" s="2">
        <v>0.7</v>
      </c>
      <c r="S536" s="3">
        <v>1400</v>
      </c>
      <c r="T536" t="s">
        <v>27</v>
      </c>
      <c r="U536" s="3">
        <v>1400</v>
      </c>
      <c r="V536" s="7" t="str">
        <f>IF(ISERROR(VLOOKUP(K536,[1]작가별정산률!$R:$S,2,0)),"스토리위즈",VLOOKUP(K536,[1]작가별정산률!$R:$S,2,0))</f>
        <v>밀리의 서재</v>
      </c>
      <c r="W536" s="7" t="str">
        <f>IF(V536="스토리위즈",VLOOKUP(K536,[1]작가별정산률!$A:$B,2,0),V536)</f>
        <v>밀리의 서재</v>
      </c>
    </row>
    <row r="537" spans="1:23" x14ac:dyDescent="0.4">
      <c r="A537" t="s">
        <v>262</v>
      </c>
      <c r="B537" t="s">
        <v>810</v>
      </c>
      <c r="C537" t="s">
        <v>813</v>
      </c>
      <c r="D537" t="s">
        <v>64</v>
      </c>
      <c r="E537" t="s">
        <v>22</v>
      </c>
      <c r="F537" t="s">
        <v>23</v>
      </c>
      <c r="G537">
        <v>1</v>
      </c>
      <c r="H537">
        <v>9791159282843</v>
      </c>
      <c r="I537" t="s">
        <v>24</v>
      </c>
      <c r="J537" t="s">
        <v>25</v>
      </c>
      <c r="K537" t="s">
        <v>26</v>
      </c>
      <c r="L537" t="s">
        <v>27</v>
      </c>
      <c r="M537">
        <v>630</v>
      </c>
      <c r="N537" t="s">
        <v>27</v>
      </c>
      <c r="O537">
        <v>630</v>
      </c>
      <c r="P537">
        <v>630</v>
      </c>
      <c r="Q537" t="s">
        <v>30</v>
      </c>
      <c r="R537" s="2">
        <v>0.7</v>
      </c>
      <c r="S537">
        <v>441</v>
      </c>
      <c r="T537" t="s">
        <v>27</v>
      </c>
      <c r="U537">
        <v>441</v>
      </c>
      <c r="V537" s="7" t="str">
        <f>IF(ISERROR(VLOOKUP(K537,[1]작가별정산률!$R:$S,2,0)),"스토리위즈",VLOOKUP(K537,[1]작가별정산률!$R:$S,2,0))</f>
        <v>스토리위즈</v>
      </c>
      <c r="W537" s="7" t="str">
        <f>IF(V537="스토리위즈",VLOOKUP(K537,[1]작가별정산률!$A:$B,2,0),V537)</f>
        <v>독고진</v>
      </c>
    </row>
    <row r="538" spans="1:23" x14ac:dyDescent="0.4">
      <c r="A538" t="s">
        <v>262</v>
      </c>
      <c r="B538" t="s">
        <v>810</v>
      </c>
      <c r="C538" t="s">
        <v>814</v>
      </c>
      <c r="D538" t="s">
        <v>21</v>
      </c>
      <c r="E538" t="s">
        <v>22</v>
      </c>
      <c r="F538" t="s">
        <v>23</v>
      </c>
      <c r="G538">
        <v>1</v>
      </c>
      <c r="H538">
        <v>9791191562187</v>
      </c>
      <c r="I538" t="s">
        <v>143</v>
      </c>
      <c r="J538" t="s">
        <v>217</v>
      </c>
      <c r="K538" t="s">
        <v>218</v>
      </c>
      <c r="L538" t="s">
        <v>27</v>
      </c>
      <c r="M538" s="3">
        <v>2000</v>
      </c>
      <c r="N538" t="s">
        <v>28</v>
      </c>
      <c r="O538">
        <v>1.65</v>
      </c>
      <c r="P538">
        <v>1.65</v>
      </c>
      <c r="Q538" t="s">
        <v>29</v>
      </c>
      <c r="R538" s="2">
        <v>0.7</v>
      </c>
      <c r="S538">
        <v>1.1499999999999999</v>
      </c>
      <c r="T538" t="s">
        <v>27</v>
      </c>
      <c r="U538" s="3">
        <v>1464</v>
      </c>
      <c r="V538" s="7" t="str">
        <f>IF(ISERROR(VLOOKUP(K538,[1]작가별정산률!$R:$S,2,0)),"스토리위즈",VLOOKUP(K538,[1]작가별정산률!$R:$S,2,0))</f>
        <v>밀리의 서재</v>
      </c>
      <c r="W538" s="7" t="str">
        <f>IF(V538="스토리위즈",VLOOKUP(K538,[1]작가별정산률!$A:$B,2,0),V538)</f>
        <v>밀리의 서재</v>
      </c>
    </row>
    <row r="539" spans="1:23" x14ac:dyDescent="0.4">
      <c r="A539" t="s">
        <v>262</v>
      </c>
      <c r="B539" t="s">
        <v>810</v>
      </c>
      <c r="C539" t="s">
        <v>815</v>
      </c>
      <c r="D539" t="s">
        <v>64</v>
      </c>
      <c r="E539" t="s">
        <v>22</v>
      </c>
      <c r="F539" t="s">
        <v>23</v>
      </c>
      <c r="G539">
        <v>1</v>
      </c>
      <c r="H539">
        <v>9791166300295</v>
      </c>
      <c r="I539" t="s">
        <v>24</v>
      </c>
      <c r="J539" t="s">
        <v>138</v>
      </c>
      <c r="K539" t="s">
        <v>119</v>
      </c>
      <c r="L539" t="s">
        <v>27</v>
      </c>
      <c r="M539">
        <v>630</v>
      </c>
      <c r="N539" t="s">
        <v>27</v>
      </c>
      <c r="O539">
        <v>630</v>
      </c>
      <c r="P539">
        <v>630</v>
      </c>
      <c r="Q539" t="s">
        <v>30</v>
      </c>
      <c r="R539" s="2">
        <v>0.7</v>
      </c>
      <c r="S539">
        <v>441</v>
      </c>
      <c r="T539" t="s">
        <v>27</v>
      </c>
      <c r="U539">
        <v>441</v>
      </c>
      <c r="V539" s="7" t="str">
        <f>IF(ISERROR(VLOOKUP(K539,[1]작가별정산률!$R:$S,2,0)),"스토리위즈",VLOOKUP(K539,[1]작가별정산률!$R:$S,2,0))</f>
        <v>스토리위즈</v>
      </c>
      <c r="W539" s="7" t="str">
        <f>IF(V539="스토리위즈",VLOOKUP(K539,[1]작가별정산률!$A:$B,2,0),V539)</f>
        <v>김광수</v>
      </c>
    </row>
    <row r="540" spans="1:23" x14ac:dyDescent="0.4">
      <c r="A540" t="s">
        <v>262</v>
      </c>
      <c r="B540" t="s">
        <v>810</v>
      </c>
      <c r="C540" t="s">
        <v>816</v>
      </c>
      <c r="D540" t="s">
        <v>64</v>
      </c>
      <c r="E540" t="s">
        <v>22</v>
      </c>
      <c r="F540" t="s">
        <v>23</v>
      </c>
      <c r="G540">
        <v>1</v>
      </c>
      <c r="H540">
        <v>9791166300127</v>
      </c>
      <c r="I540" t="s">
        <v>24</v>
      </c>
      <c r="J540" t="s">
        <v>122</v>
      </c>
      <c r="K540" t="s">
        <v>119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2">
        <v>0.7</v>
      </c>
      <c r="S540">
        <v>441</v>
      </c>
      <c r="T540" t="s">
        <v>27</v>
      </c>
      <c r="U540">
        <v>441</v>
      </c>
      <c r="V540" s="7" t="str">
        <f>IF(ISERROR(VLOOKUP(K540,[1]작가별정산률!$R:$S,2,0)),"스토리위즈",VLOOKUP(K540,[1]작가별정산률!$R:$S,2,0))</f>
        <v>스토리위즈</v>
      </c>
      <c r="W540" s="7" t="str">
        <f>IF(V540="스토리위즈",VLOOKUP(K540,[1]작가별정산률!$A:$B,2,0),V540)</f>
        <v>김광수</v>
      </c>
    </row>
    <row r="541" spans="1:23" x14ac:dyDescent="0.4">
      <c r="A541" t="s">
        <v>262</v>
      </c>
      <c r="B541" t="s">
        <v>810</v>
      </c>
      <c r="C541" t="s">
        <v>817</v>
      </c>
      <c r="D541" t="s">
        <v>64</v>
      </c>
      <c r="E541" t="s">
        <v>22</v>
      </c>
      <c r="F541" t="s">
        <v>23</v>
      </c>
      <c r="G541">
        <v>1</v>
      </c>
      <c r="H541">
        <v>9791166300257</v>
      </c>
      <c r="I541" t="s">
        <v>24</v>
      </c>
      <c r="J541" t="s">
        <v>134</v>
      </c>
      <c r="K541" t="s">
        <v>119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2">
        <v>0.7</v>
      </c>
      <c r="S541">
        <v>441</v>
      </c>
      <c r="T541" t="s">
        <v>27</v>
      </c>
      <c r="U541">
        <v>441</v>
      </c>
      <c r="V541" s="7" t="str">
        <f>IF(ISERROR(VLOOKUP(K541,[1]작가별정산률!$R:$S,2,0)),"스토리위즈",VLOOKUP(K541,[1]작가별정산률!$R:$S,2,0))</f>
        <v>스토리위즈</v>
      </c>
      <c r="W541" s="7" t="str">
        <f>IF(V541="스토리위즈",VLOOKUP(K541,[1]작가별정산률!$A:$B,2,0),V541)</f>
        <v>김광수</v>
      </c>
    </row>
    <row r="542" spans="1:23" x14ac:dyDescent="0.4">
      <c r="A542" t="s">
        <v>262</v>
      </c>
      <c r="B542" t="s">
        <v>810</v>
      </c>
      <c r="C542" t="s">
        <v>818</v>
      </c>
      <c r="D542" t="s">
        <v>64</v>
      </c>
      <c r="E542" t="s">
        <v>22</v>
      </c>
      <c r="F542" t="s">
        <v>23</v>
      </c>
      <c r="G542">
        <v>1</v>
      </c>
      <c r="H542">
        <v>9791166300523</v>
      </c>
      <c r="I542" t="s">
        <v>24</v>
      </c>
      <c r="J542" t="s">
        <v>150</v>
      </c>
      <c r="K542" t="s">
        <v>119</v>
      </c>
      <c r="L542" t="s">
        <v>27</v>
      </c>
      <c r="M542">
        <v>630</v>
      </c>
      <c r="N542" t="s">
        <v>27</v>
      </c>
      <c r="O542">
        <v>630</v>
      </c>
      <c r="P542">
        <v>630</v>
      </c>
      <c r="Q542" t="s">
        <v>30</v>
      </c>
      <c r="R542" s="2">
        <v>0.7</v>
      </c>
      <c r="S542">
        <v>441</v>
      </c>
      <c r="T542" t="s">
        <v>27</v>
      </c>
      <c r="U542">
        <v>441</v>
      </c>
      <c r="V542" s="7" t="str">
        <f>IF(ISERROR(VLOOKUP(K542,[1]작가별정산률!$R:$S,2,0)),"스토리위즈",VLOOKUP(K542,[1]작가별정산률!$R:$S,2,0))</f>
        <v>스토리위즈</v>
      </c>
      <c r="W542" s="7" t="str">
        <f>IF(V542="스토리위즈",VLOOKUP(K542,[1]작가별정산률!$A:$B,2,0),V542)</f>
        <v>김광수</v>
      </c>
    </row>
    <row r="543" spans="1:23" x14ac:dyDescent="0.4">
      <c r="A543" t="s">
        <v>262</v>
      </c>
      <c r="B543" t="s">
        <v>810</v>
      </c>
      <c r="C543" t="s">
        <v>819</v>
      </c>
      <c r="D543" t="s">
        <v>64</v>
      </c>
      <c r="E543" t="s">
        <v>22</v>
      </c>
      <c r="F543" t="s">
        <v>23</v>
      </c>
      <c r="G543">
        <v>1</v>
      </c>
      <c r="H543">
        <v>9791166300134</v>
      </c>
      <c r="I543" t="s">
        <v>24</v>
      </c>
      <c r="J543" t="s">
        <v>123</v>
      </c>
      <c r="K543" t="s">
        <v>119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2">
        <v>0.7</v>
      </c>
      <c r="S543">
        <v>441</v>
      </c>
      <c r="T543" t="s">
        <v>27</v>
      </c>
      <c r="U543">
        <v>441</v>
      </c>
      <c r="V543" s="7" t="str">
        <f>IF(ISERROR(VLOOKUP(K543,[1]작가별정산률!$R:$S,2,0)),"스토리위즈",VLOOKUP(K543,[1]작가별정산률!$R:$S,2,0))</f>
        <v>스토리위즈</v>
      </c>
      <c r="W543" s="7" t="str">
        <f>IF(V543="스토리위즈",VLOOKUP(K543,[1]작가별정산률!$A:$B,2,0),V543)</f>
        <v>김광수</v>
      </c>
    </row>
    <row r="544" spans="1:23" x14ac:dyDescent="0.4">
      <c r="A544" t="s">
        <v>262</v>
      </c>
      <c r="B544" t="s">
        <v>810</v>
      </c>
      <c r="C544" t="s">
        <v>820</v>
      </c>
      <c r="D544" t="s">
        <v>64</v>
      </c>
      <c r="E544" t="s">
        <v>22</v>
      </c>
      <c r="F544" t="s">
        <v>23</v>
      </c>
      <c r="G544">
        <v>1</v>
      </c>
      <c r="H544">
        <v>9791166064395</v>
      </c>
      <c r="I544" t="s">
        <v>24</v>
      </c>
      <c r="J544" t="s">
        <v>104</v>
      </c>
      <c r="K544" t="s">
        <v>102</v>
      </c>
      <c r="L544" t="s">
        <v>27</v>
      </c>
      <c r="M544">
        <v>720</v>
      </c>
      <c r="N544" t="s">
        <v>27</v>
      </c>
      <c r="O544">
        <v>720</v>
      </c>
      <c r="P544">
        <v>720</v>
      </c>
      <c r="Q544" t="s">
        <v>30</v>
      </c>
      <c r="R544" s="2">
        <v>0.7</v>
      </c>
      <c r="S544">
        <v>504</v>
      </c>
      <c r="T544" t="s">
        <v>27</v>
      </c>
      <c r="U544">
        <v>504</v>
      </c>
      <c r="V544" s="7" t="str">
        <f>IF(ISERROR(VLOOKUP(K544,[1]작가별정산률!$R:$S,2,0)),"스토리위즈",VLOOKUP(K544,[1]작가별정산률!$R:$S,2,0))</f>
        <v>스토리위즈</v>
      </c>
      <c r="W544" s="7" t="str">
        <f>IF(V544="스토리위즈",VLOOKUP(K544,[1]작가별정산률!$A:$B,2,0),V544)</f>
        <v>예로나</v>
      </c>
    </row>
    <row r="545" spans="1:23" x14ac:dyDescent="0.4">
      <c r="A545" t="s">
        <v>262</v>
      </c>
      <c r="B545" t="s">
        <v>810</v>
      </c>
      <c r="C545" t="s">
        <v>821</v>
      </c>
      <c r="D545" t="s">
        <v>21</v>
      </c>
      <c r="E545" t="s">
        <v>22</v>
      </c>
      <c r="F545" t="s">
        <v>23</v>
      </c>
      <c r="G545">
        <v>1</v>
      </c>
      <c r="H545">
        <v>9791197098468</v>
      </c>
      <c r="I545" t="s">
        <v>24</v>
      </c>
      <c r="J545" t="s">
        <v>261</v>
      </c>
      <c r="K545" t="s">
        <v>37</v>
      </c>
      <c r="L545" t="s">
        <v>27</v>
      </c>
      <c r="M545" s="3">
        <v>3200</v>
      </c>
      <c r="N545" t="s">
        <v>219</v>
      </c>
      <c r="O545">
        <v>3.8</v>
      </c>
      <c r="P545">
        <v>3.3</v>
      </c>
      <c r="Q545" t="s">
        <v>220</v>
      </c>
      <c r="R545" s="2">
        <v>0.7</v>
      </c>
      <c r="S545">
        <v>2.31</v>
      </c>
      <c r="T545" t="s">
        <v>27</v>
      </c>
      <c r="U545" s="3">
        <v>1883</v>
      </c>
      <c r="V545" s="7" t="str">
        <f>IF(ISERROR(VLOOKUP(K545,[1]작가별정산률!$R:$S,2,0)),"스토리위즈",VLOOKUP(K545,[1]작가별정산률!$R:$S,2,0))</f>
        <v>스토리위즈</v>
      </c>
      <c r="W545" s="7" t="str">
        <f>IF(V545="스토리위즈",VLOOKUP(K545,[1]작가별정산률!$A:$B,2,0),V545)</f>
        <v>권용찬</v>
      </c>
    </row>
    <row r="546" spans="1:23" x14ac:dyDescent="0.4">
      <c r="A546" t="s">
        <v>262</v>
      </c>
      <c r="B546" t="s">
        <v>810</v>
      </c>
      <c r="C546" t="s">
        <v>822</v>
      </c>
      <c r="D546" t="s">
        <v>64</v>
      </c>
      <c r="E546" t="s">
        <v>22</v>
      </c>
      <c r="F546" t="s">
        <v>23</v>
      </c>
      <c r="G546">
        <v>1</v>
      </c>
      <c r="H546">
        <v>9791166300653</v>
      </c>
      <c r="I546" t="s">
        <v>24</v>
      </c>
      <c r="J546" t="s">
        <v>157</v>
      </c>
      <c r="K546" t="s">
        <v>119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  <c r="V546" s="7" t="str">
        <f>IF(ISERROR(VLOOKUP(K546,[1]작가별정산률!$R:$S,2,0)),"스토리위즈",VLOOKUP(K546,[1]작가별정산률!$R:$S,2,0))</f>
        <v>스토리위즈</v>
      </c>
      <c r="W546" s="7" t="str">
        <f>IF(V546="스토리위즈",VLOOKUP(K546,[1]작가별정산률!$A:$B,2,0),V546)</f>
        <v>김광수</v>
      </c>
    </row>
    <row r="547" spans="1:23" x14ac:dyDescent="0.4">
      <c r="A547" t="s">
        <v>262</v>
      </c>
      <c r="B547" t="s">
        <v>810</v>
      </c>
      <c r="C547" t="s">
        <v>823</v>
      </c>
      <c r="D547" t="s">
        <v>64</v>
      </c>
      <c r="E547" t="s">
        <v>22</v>
      </c>
      <c r="F547" t="s">
        <v>23</v>
      </c>
      <c r="G547">
        <v>1</v>
      </c>
      <c r="H547">
        <v>9791166300141</v>
      </c>
      <c r="I547" t="s">
        <v>24</v>
      </c>
      <c r="J547" t="s">
        <v>124</v>
      </c>
      <c r="K547" t="s">
        <v>119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  <c r="V547" s="7" t="str">
        <f>IF(ISERROR(VLOOKUP(K547,[1]작가별정산률!$R:$S,2,0)),"스토리위즈",VLOOKUP(K547,[1]작가별정산률!$R:$S,2,0))</f>
        <v>스토리위즈</v>
      </c>
      <c r="W547" s="7" t="str">
        <f>IF(V547="스토리위즈",VLOOKUP(K547,[1]작가별정산률!$A:$B,2,0),V547)</f>
        <v>김광수</v>
      </c>
    </row>
    <row r="548" spans="1:23" x14ac:dyDescent="0.4">
      <c r="A548" t="s">
        <v>262</v>
      </c>
      <c r="B548" t="s">
        <v>810</v>
      </c>
      <c r="C548" t="s">
        <v>824</v>
      </c>
      <c r="D548" t="s">
        <v>64</v>
      </c>
      <c r="E548" t="s">
        <v>22</v>
      </c>
      <c r="F548" t="s">
        <v>23</v>
      </c>
      <c r="G548">
        <v>1</v>
      </c>
      <c r="H548">
        <v>9791159282850</v>
      </c>
      <c r="I548" t="s">
        <v>24</v>
      </c>
      <c r="J548" t="s">
        <v>31</v>
      </c>
      <c r="K548" t="s">
        <v>26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  <c r="V548" s="7" t="str">
        <f>IF(ISERROR(VLOOKUP(K548,[1]작가별정산률!$R:$S,2,0)),"스토리위즈",VLOOKUP(K548,[1]작가별정산률!$R:$S,2,0))</f>
        <v>스토리위즈</v>
      </c>
      <c r="W548" s="7" t="str">
        <f>IF(V548="스토리위즈",VLOOKUP(K548,[1]작가별정산률!$A:$B,2,0),V548)</f>
        <v>독고진</v>
      </c>
    </row>
    <row r="549" spans="1:23" x14ac:dyDescent="0.4">
      <c r="A549" t="s">
        <v>262</v>
      </c>
      <c r="B549" t="s">
        <v>810</v>
      </c>
      <c r="C549" t="s">
        <v>825</v>
      </c>
      <c r="D549" t="s">
        <v>21</v>
      </c>
      <c r="E549" t="s">
        <v>22</v>
      </c>
      <c r="F549" t="s">
        <v>23</v>
      </c>
      <c r="G549">
        <v>1</v>
      </c>
      <c r="H549">
        <v>9791166300103</v>
      </c>
      <c r="I549" t="s">
        <v>24</v>
      </c>
      <c r="J549" t="s">
        <v>120</v>
      </c>
      <c r="K549" t="s">
        <v>119</v>
      </c>
      <c r="L549" t="s">
        <v>27</v>
      </c>
      <c r="M549" s="3">
        <v>3200</v>
      </c>
      <c r="N549" t="s">
        <v>27</v>
      </c>
      <c r="O549" s="3">
        <v>3200</v>
      </c>
      <c r="P549" s="3">
        <v>3200</v>
      </c>
      <c r="Q549" t="s">
        <v>30</v>
      </c>
      <c r="R549" s="2">
        <v>0.7</v>
      </c>
      <c r="S549" s="3">
        <v>2240</v>
      </c>
      <c r="T549" t="s">
        <v>27</v>
      </c>
      <c r="U549" s="3">
        <v>2240</v>
      </c>
      <c r="V549" s="7" t="str">
        <f>IF(ISERROR(VLOOKUP(K549,[1]작가별정산률!$R:$S,2,0)),"스토리위즈",VLOOKUP(K549,[1]작가별정산률!$R:$S,2,0))</f>
        <v>스토리위즈</v>
      </c>
      <c r="W549" s="7" t="str">
        <f>IF(V549="스토리위즈",VLOOKUP(K549,[1]작가별정산률!$A:$B,2,0),V549)</f>
        <v>김광수</v>
      </c>
    </row>
    <row r="550" spans="1:23" x14ac:dyDescent="0.4">
      <c r="A550" t="s">
        <v>262</v>
      </c>
      <c r="B550" t="s">
        <v>810</v>
      </c>
      <c r="C550" t="s">
        <v>826</v>
      </c>
      <c r="D550" t="s">
        <v>64</v>
      </c>
      <c r="E550" t="s">
        <v>22</v>
      </c>
      <c r="F550" t="s">
        <v>23</v>
      </c>
      <c r="G550">
        <v>1</v>
      </c>
      <c r="H550">
        <v>9791159282256</v>
      </c>
      <c r="I550" t="s">
        <v>24</v>
      </c>
      <c r="J550" t="s">
        <v>117</v>
      </c>
      <c r="K550" t="s">
        <v>37</v>
      </c>
      <c r="L550" t="s">
        <v>27</v>
      </c>
      <c r="M550">
        <v>900</v>
      </c>
      <c r="N550" t="s">
        <v>27</v>
      </c>
      <c r="O550">
        <v>900</v>
      </c>
      <c r="P550">
        <v>900</v>
      </c>
      <c r="Q550" t="s">
        <v>30</v>
      </c>
      <c r="R550" s="2">
        <v>0.7</v>
      </c>
      <c r="S550">
        <v>630</v>
      </c>
      <c r="T550" t="s">
        <v>27</v>
      </c>
      <c r="U550">
        <v>630</v>
      </c>
      <c r="V550" s="7" t="str">
        <f>IF(ISERROR(VLOOKUP(K550,[1]작가별정산률!$R:$S,2,0)),"스토리위즈",VLOOKUP(K550,[1]작가별정산률!$R:$S,2,0))</f>
        <v>스토리위즈</v>
      </c>
      <c r="W550" s="7" t="str">
        <f>IF(V550="스토리위즈",VLOOKUP(K550,[1]작가별정산률!$A:$B,2,0),V550)</f>
        <v>권용찬</v>
      </c>
    </row>
    <row r="551" spans="1:23" x14ac:dyDescent="0.4">
      <c r="A551" t="s">
        <v>262</v>
      </c>
      <c r="B551" t="s">
        <v>810</v>
      </c>
      <c r="C551" t="s">
        <v>827</v>
      </c>
      <c r="D551" t="s">
        <v>64</v>
      </c>
      <c r="E551" t="s">
        <v>22</v>
      </c>
      <c r="F551" t="s">
        <v>23</v>
      </c>
      <c r="G551">
        <v>1</v>
      </c>
      <c r="H551">
        <v>9791166300127</v>
      </c>
      <c r="I551" t="s">
        <v>24</v>
      </c>
      <c r="J551" t="s">
        <v>122</v>
      </c>
      <c r="K551" t="s">
        <v>119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  <c r="V551" s="7" t="str">
        <f>IF(ISERROR(VLOOKUP(K551,[1]작가별정산률!$R:$S,2,0)),"스토리위즈",VLOOKUP(K551,[1]작가별정산률!$R:$S,2,0))</f>
        <v>스토리위즈</v>
      </c>
      <c r="W551" s="7" t="str">
        <f>IF(V551="스토리위즈",VLOOKUP(K551,[1]작가별정산률!$A:$B,2,0),V551)</f>
        <v>김광수</v>
      </c>
    </row>
    <row r="552" spans="1:23" x14ac:dyDescent="0.4">
      <c r="A552" t="s">
        <v>262</v>
      </c>
      <c r="B552" t="s">
        <v>810</v>
      </c>
      <c r="C552" t="s">
        <v>828</v>
      </c>
      <c r="D552" t="s">
        <v>64</v>
      </c>
      <c r="E552" t="s">
        <v>22</v>
      </c>
      <c r="F552" t="s">
        <v>23</v>
      </c>
      <c r="G552">
        <v>1</v>
      </c>
      <c r="H552">
        <v>9791166300257</v>
      </c>
      <c r="I552" t="s">
        <v>24</v>
      </c>
      <c r="J552" t="s">
        <v>134</v>
      </c>
      <c r="K552" t="s">
        <v>119</v>
      </c>
      <c r="L552" t="s">
        <v>27</v>
      </c>
      <c r="M552">
        <v>630</v>
      </c>
      <c r="N552" t="s">
        <v>27</v>
      </c>
      <c r="O552">
        <v>630</v>
      </c>
      <c r="P552">
        <v>630</v>
      </c>
      <c r="Q552" t="s">
        <v>30</v>
      </c>
      <c r="R552" s="2">
        <v>0.7</v>
      </c>
      <c r="S552">
        <v>441</v>
      </c>
      <c r="T552" t="s">
        <v>27</v>
      </c>
      <c r="U552">
        <v>441</v>
      </c>
      <c r="V552" s="7" t="str">
        <f>IF(ISERROR(VLOOKUP(K552,[1]작가별정산률!$R:$S,2,0)),"스토리위즈",VLOOKUP(K552,[1]작가별정산률!$R:$S,2,0))</f>
        <v>스토리위즈</v>
      </c>
      <c r="W552" s="7" t="str">
        <f>IF(V552="스토리위즈",VLOOKUP(K552,[1]작가별정산률!$A:$B,2,0),V552)</f>
        <v>김광수</v>
      </c>
    </row>
    <row r="553" spans="1:23" x14ac:dyDescent="0.4">
      <c r="A553" t="s">
        <v>262</v>
      </c>
      <c r="B553" t="s">
        <v>810</v>
      </c>
      <c r="C553" t="s">
        <v>829</v>
      </c>
      <c r="D553" t="s">
        <v>64</v>
      </c>
      <c r="E553" t="s">
        <v>22</v>
      </c>
      <c r="F553" t="s">
        <v>23</v>
      </c>
      <c r="G553">
        <v>1</v>
      </c>
      <c r="H553">
        <v>9791166300301</v>
      </c>
      <c r="I553" t="s">
        <v>24</v>
      </c>
      <c r="J553" t="s">
        <v>139</v>
      </c>
      <c r="K553" t="s">
        <v>119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  <c r="V553" s="7" t="str">
        <f>IF(ISERROR(VLOOKUP(K553,[1]작가별정산률!$R:$S,2,0)),"스토리위즈",VLOOKUP(K553,[1]작가별정산률!$R:$S,2,0))</f>
        <v>스토리위즈</v>
      </c>
      <c r="W553" s="7" t="str">
        <f>IF(V553="스토리위즈",VLOOKUP(K553,[1]작가별정산률!$A:$B,2,0),V553)</f>
        <v>김광수</v>
      </c>
    </row>
    <row r="554" spans="1:23" x14ac:dyDescent="0.4">
      <c r="A554" t="s">
        <v>262</v>
      </c>
      <c r="B554" t="s">
        <v>810</v>
      </c>
      <c r="C554" t="s">
        <v>830</v>
      </c>
      <c r="D554" t="s">
        <v>64</v>
      </c>
      <c r="E554" t="s">
        <v>22</v>
      </c>
      <c r="F554" t="s">
        <v>23</v>
      </c>
      <c r="G554">
        <v>1</v>
      </c>
      <c r="H554">
        <v>9791166300110</v>
      </c>
      <c r="I554" t="s">
        <v>24</v>
      </c>
      <c r="J554" t="s">
        <v>121</v>
      </c>
      <c r="K554" t="s">
        <v>119</v>
      </c>
      <c r="L554" t="s">
        <v>27</v>
      </c>
      <c r="M554">
        <v>630</v>
      </c>
      <c r="N554" t="s">
        <v>27</v>
      </c>
      <c r="O554">
        <v>630</v>
      </c>
      <c r="P554">
        <v>630</v>
      </c>
      <c r="Q554" t="s">
        <v>30</v>
      </c>
      <c r="R554" s="2">
        <v>0.7</v>
      </c>
      <c r="S554">
        <v>441</v>
      </c>
      <c r="T554" t="s">
        <v>27</v>
      </c>
      <c r="U554">
        <v>441</v>
      </c>
      <c r="V554" s="7" t="str">
        <f>IF(ISERROR(VLOOKUP(K554,[1]작가별정산률!$R:$S,2,0)),"스토리위즈",VLOOKUP(K554,[1]작가별정산률!$R:$S,2,0))</f>
        <v>스토리위즈</v>
      </c>
      <c r="W554" s="7" t="str">
        <f>IF(V554="스토리위즈",VLOOKUP(K554,[1]작가별정산률!$A:$B,2,0),V554)</f>
        <v>김광수</v>
      </c>
    </row>
    <row r="555" spans="1:23" x14ac:dyDescent="0.4">
      <c r="A555" t="s">
        <v>262</v>
      </c>
      <c r="B555" t="s">
        <v>810</v>
      </c>
      <c r="C555" t="s">
        <v>831</v>
      </c>
      <c r="D555" t="s">
        <v>64</v>
      </c>
      <c r="E555" t="s">
        <v>22</v>
      </c>
      <c r="F555" t="s">
        <v>23</v>
      </c>
      <c r="G555">
        <v>1</v>
      </c>
      <c r="H555">
        <v>9791166300165</v>
      </c>
      <c r="I555" t="s">
        <v>24</v>
      </c>
      <c r="J555" t="s">
        <v>126</v>
      </c>
      <c r="K555" t="s">
        <v>119</v>
      </c>
      <c r="L555" t="s">
        <v>27</v>
      </c>
      <c r="M555">
        <v>630</v>
      </c>
      <c r="N555" t="s">
        <v>27</v>
      </c>
      <c r="O555">
        <v>630</v>
      </c>
      <c r="P555">
        <v>630</v>
      </c>
      <c r="Q555" t="s">
        <v>30</v>
      </c>
      <c r="R555" s="2">
        <v>0.7</v>
      </c>
      <c r="S555">
        <v>441</v>
      </c>
      <c r="T555" t="s">
        <v>27</v>
      </c>
      <c r="U555">
        <v>441</v>
      </c>
      <c r="V555" s="7" t="str">
        <f>IF(ISERROR(VLOOKUP(K555,[1]작가별정산률!$R:$S,2,0)),"스토리위즈",VLOOKUP(K555,[1]작가별정산률!$R:$S,2,0))</f>
        <v>스토리위즈</v>
      </c>
      <c r="W555" s="7" t="str">
        <f>IF(V555="스토리위즈",VLOOKUP(K555,[1]작가별정산률!$A:$B,2,0),V555)</f>
        <v>김광수</v>
      </c>
    </row>
    <row r="556" spans="1:23" x14ac:dyDescent="0.4">
      <c r="A556" t="s">
        <v>262</v>
      </c>
      <c r="B556" t="s">
        <v>810</v>
      </c>
      <c r="C556" t="s">
        <v>832</v>
      </c>
      <c r="D556" t="s">
        <v>64</v>
      </c>
      <c r="E556" t="s">
        <v>22</v>
      </c>
      <c r="F556" t="s">
        <v>23</v>
      </c>
      <c r="G556">
        <v>1</v>
      </c>
      <c r="H556">
        <v>9791166300141</v>
      </c>
      <c r="I556" t="s">
        <v>24</v>
      </c>
      <c r="J556" t="s">
        <v>124</v>
      </c>
      <c r="K556" t="s">
        <v>119</v>
      </c>
      <c r="L556" t="s">
        <v>27</v>
      </c>
      <c r="M556">
        <v>630</v>
      </c>
      <c r="N556" t="s">
        <v>27</v>
      </c>
      <c r="O556">
        <v>630</v>
      </c>
      <c r="P556">
        <v>630</v>
      </c>
      <c r="Q556" t="s">
        <v>30</v>
      </c>
      <c r="R556" s="2">
        <v>0.7</v>
      </c>
      <c r="S556">
        <v>441</v>
      </c>
      <c r="T556" t="s">
        <v>27</v>
      </c>
      <c r="U556">
        <v>441</v>
      </c>
      <c r="V556" s="7" t="str">
        <f>IF(ISERROR(VLOOKUP(K556,[1]작가별정산률!$R:$S,2,0)),"스토리위즈",VLOOKUP(K556,[1]작가별정산률!$R:$S,2,0))</f>
        <v>스토리위즈</v>
      </c>
      <c r="W556" s="7" t="str">
        <f>IF(V556="스토리위즈",VLOOKUP(K556,[1]작가별정산률!$A:$B,2,0),V556)</f>
        <v>김광수</v>
      </c>
    </row>
    <row r="557" spans="1:23" x14ac:dyDescent="0.4">
      <c r="A557" t="s">
        <v>262</v>
      </c>
      <c r="B557" t="s">
        <v>810</v>
      </c>
      <c r="C557" t="s">
        <v>833</v>
      </c>
      <c r="D557" t="s">
        <v>64</v>
      </c>
      <c r="E557" t="s">
        <v>22</v>
      </c>
      <c r="F557" t="s">
        <v>23</v>
      </c>
      <c r="G557">
        <v>1</v>
      </c>
      <c r="H557">
        <v>9791166300196</v>
      </c>
      <c r="I557" t="s">
        <v>24</v>
      </c>
      <c r="J557" t="s">
        <v>128</v>
      </c>
      <c r="K557" t="s">
        <v>119</v>
      </c>
      <c r="L557" t="s">
        <v>27</v>
      </c>
      <c r="M557">
        <v>630</v>
      </c>
      <c r="N557" t="s">
        <v>27</v>
      </c>
      <c r="O557">
        <v>630</v>
      </c>
      <c r="P557">
        <v>630</v>
      </c>
      <c r="Q557" t="s">
        <v>30</v>
      </c>
      <c r="R557" s="2">
        <v>0.7</v>
      </c>
      <c r="S557">
        <v>441</v>
      </c>
      <c r="T557" t="s">
        <v>27</v>
      </c>
      <c r="U557">
        <v>441</v>
      </c>
      <c r="V557" s="7" t="str">
        <f>IF(ISERROR(VLOOKUP(K557,[1]작가별정산률!$R:$S,2,0)),"스토리위즈",VLOOKUP(K557,[1]작가별정산률!$R:$S,2,0))</f>
        <v>스토리위즈</v>
      </c>
      <c r="W557" s="7" t="str">
        <f>IF(V557="스토리위즈",VLOOKUP(K557,[1]작가별정산률!$A:$B,2,0),V557)</f>
        <v>김광수</v>
      </c>
    </row>
    <row r="558" spans="1:23" x14ac:dyDescent="0.4">
      <c r="A558" t="s">
        <v>262</v>
      </c>
      <c r="B558" t="s">
        <v>810</v>
      </c>
      <c r="C558" t="s">
        <v>834</v>
      </c>
      <c r="D558" t="s">
        <v>64</v>
      </c>
      <c r="E558" t="s">
        <v>22</v>
      </c>
      <c r="F558" t="s">
        <v>23</v>
      </c>
      <c r="G558">
        <v>1</v>
      </c>
      <c r="H558">
        <v>9791166061134</v>
      </c>
      <c r="I558" t="s">
        <v>24</v>
      </c>
      <c r="J558" t="s">
        <v>98</v>
      </c>
      <c r="K558" t="s">
        <v>37</v>
      </c>
      <c r="L558" t="s">
        <v>27</v>
      </c>
      <c r="M558">
        <v>900</v>
      </c>
      <c r="N558" t="s">
        <v>27</v>
      </c>
      <c r="O558">
        <v>900</v>
      </c>
      <c r="P558">
        <v>900</v>
      </c>
      <c r="Q558" t="s">
        <v>30</v>
      </c>
      <c r="R558" s="2">
        <v>0.7</v>
      </c>
      <c r="S558">
        <v>630</v>
      </c>
      <c r="T558" t="s">
        <v>27</v>
      </c>
      <c r="U558">
        <v>630</v>
      </c>
      <c r="V558" s="7" t="str">
        <f>IF(ISERROR(VLOOKUP(K558,[1]작가별정산률!$R:$S,2,0)),"스토리위즈",VLOOKUP(K558,[1]작가별정산률!$R:$S,2,0))</f>
        <v>스토리위즈</v>
      </c>
      <c r="W558" s="7" t="str">
        <f>IF(V558="스토리위즈",VLOOKUP(K558,[1]작가별정산률!$A:$B,2,0),V558)</f>
        <v>권용찬</v>
      </c>
    </row>
    <row r="559" spans="1:23" x14ac:dyDescent="0.4">
      <c r="A559" t="s">
        <v>262</v>
      </c>
      <c r="B559" t="s">
        <v>810</v>
      </c>
      <c r="C559" t="s">
        <v>835</v>
      </c>
      <c r="D559" t="s">
        <v>64</v>
      </c>
      <c r="E559" t="s">
        <v>22</v>
      </c>
      <c r="F559" t="s">
        <v>23</v>
      </c>
      <c r="G559">
        <v>1</v>
      </c>
      <c r="H559">
        <v>9791159283109</v>
      </c>
      <c r="I559" t="s">
        <v>24</v>
      </c>
      <c r="J559" t="s">
        <v>75</v>
      </c>
      <c r="K559" t="s">
        <v>37</v>
      </c>
      <c r="L559" t="s">
        <v>27</v>
      </c>
      <c r="M559">
        <v>900</v>
      </c>
      <c r="N559" t="s">
        <v>27</v>
      </c>
      <c r="O559">
        <v>900</v>
      </c>
      <c r="P559">
        <v>900</v>
      </c>
      <c r="Q559" t="s">
        <v>30</v>
      </c>
      <c r="R559" s="2">
        <v>0.7</v>
      </c>
      <c r="S559">
        <v>630</v>
      </c>
      <c r="T559" t="s">
        <v>27</v>
      </c>
      <c r="U559">
        <v>630</v>
      </c>
      <c r="V559" s="7" t="str">
        <f>IF(ISERROR(VLOOKUP(K559,[1]작가별정산률!$R:$S,2,0)),"스토리위즈",VLOOKUP(K559,[1]작가별정산률!$R:$S,2,0))</f>
        <v>스토리위즈</v>
      </c>
      <c r="W559" s="7" t="str">
        <f>IF(V559="스토리위즈",VLOOKUP(K559,[1]작가별정산률!$A:$B,2,0),V559)</f>
        <v>권용찬</v>
      </c>
    </row>
    <row r="560" spans="1:23" x14ac:dyDescent="0.4">
      <c r="A560" t="s">
        <v>262</v>
      </c>
      <c r="B560" t="s">
        <v>810</v>
      </c>
      <c r="C560" t="s">
        <v>836</v>
      </c>
      <c r="D560" t="s">
        <v>64</v>
      </c>
      <c r="E560" t="s">
        <v>22</v>
      </c>
      <c r="F560" t="s">
        <v>23</v>
      </c>
      <c r="G560">
        <v>1</v>
      </c>
      <c r="H560">
        <v>9791166300110</v>
      </c>
      <c r="I560" t="s">
        <v>24</v>
      </c>
      <c r="J560" t="s">
        <v>121</v>
      </c>
      <c r="K560" t="s">
        <v>119</v>
      </c>
      <c r="L560" t="s">
        <v>27</v>
      </c>
      <c r="M560">
        <v>630</v>
      </c>
      <c r="N560" t="s">
        <v>27</v>
      </c>
      <c r="O560">
        <v>630</v>
      </c>
      <c r="P560">
        <v>630</v>
      </c>
      <c r="Q560" t="s">
        <v>30</v>
      </c>
      <c r="R560" s="2">
        <v>0.7</v>
      </c>
      <c r="S560">
        <v>441</v>
      </c>
      <c r="T560" t="s">
        <v>27</v>
      </c>
      <c r="U560">
        <v>441</v>
      </c>
      <c r="V560" s="7" t="str">
        <f>IF(ISERROR(VLOOKUP(K560,[1]작가별정산률!$R:$S,2,0)),"스토리위즈",VLOOKUP(K560,[1]작가별정산률!$R:$S,2,0))</f>
        <v>스토리위즈</v>
      </c>
      <c r="W560" s="7" t="str">
        <f>IF(V560="스토리위즈",VLOOKUP(K560,[1]작가별정산률!$A:$B,2,0),V560)</f>
        <v>김광수</v>
      </c>
    </row>
    <row r="561" spans="1:23" x14ac:dyDescent="0.4">
      <c r="A561" t="s">
        <v>262</v>
      </c>
      <c r="B561" t="s">
        <v>810</v>
      </c>
      <c r="C561" t="s">
        <v>837</v>
      </c>
      <c r="D561" t="s">
        <v>64</v>
      </c>
      <c r="E561" t="s">
        <v>22</v>
      </c>
      <c r="F561" t="s">
        <v>23</v>
      </c>
      <c r="G561">
        <v>1</v>
      </c>
      <c r="H561">
        <v>9791159282935</v>
      </c>
      <c r="I561" t="s">
        <v>24</v>
      </c>
      <c r="J561" t="s">
        <v>182</v>
      </c>
      <c r="K561" t="s">
        <v>26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  <c r="V561" s="7" t="str">
        <f>IF(ISERROR(VLOOKUP(K561,[1]작가별정산률!$R:$S,2,0)),"스토리위즈",VLOOKUP(K561,[1]작가별정산률!$R:$S,2,0))</f>
        <v>스토리위즈</v>
      </c>
      <c r="W561" s="7" t="str">
        <f>IF(V561="스토리위즈",VLOOKUP(K561,[1]작가별정산률!$A:$B,2,0),V561)</f>
        <v>독고진</v>
      </c>
    </row>
    <row r="562" spans="1:23" x14ac:dyDescent="0.4">
      <c r="A562" t="s">
        <v>262</v>
      </c>
      <c r="B562" t="s">
        <v>810</v>
      </c>
      <c r="C562" t="s">
        <v>838</v>
      </c>
      <c r="D562" t="s">
        <v>64</v>
      </c>
      <c r="E562" t="s">
        <v>22</v>
      </c>
      <c r="F562" t="s">
        <v>23</v>
      </c>
      <c r="G562">
        <v>1</v>
      </c>
      <c r="H562">
        <v>9791166300110</v>
      </c>
      <c r="I562" t="s">
        <v>24</v>
      </c>
      <c r="J562" t="s">
        <v>121</v>
      </c>
      <c r="K562" t="s">
        <v>119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2">
        <v>0.7</v>
      </c>
      <c r="S562">
        <v>441</v>
      </c>
      <c r="T562" t="s">
        <v>27</v>
      </c>
      <c r="U562">
        <v>441</v>
      </c>
      <c r="V562" s="7" t="str">
        <f>IF(ISERROR(VLOOKUP(K562,[1]작가별정산률!$R:$S,2,0)),"스토리위즈",VLOOKUP(K562,[1]작가별정산률!$R:$S,2,0))</f>
        <v>스토리위즈</v>
      </c>
      <c r="W562" s="7" t="str">
        <f>IF(V562="스토리위즈",VLOOKUP(K562,[1]작가별정산률!$A:$B,2,0),V562)</f>
        <v>김광수</v>
      </c>
    </row>
    <row r="563" spans="1:23" x14ac:dyDescent="0.4">
      <c r="A563" t="s">
        <v>262</v>
      </c>
      <c r="B563" t="s">
        <v>810</v>
      </c>
      <c r="C563" t="s">
        <v>839</v>
      </c>
      <c r="D563" t="s">
        <v>21</v>
      </c>
      <c r="E563" t="s">
        <v>22</v>
      </c>
      <c r="F563" t="s">
        <v>23</v>
      </c>
      <c r="G563">
        <v>1</v>
      </c>
      <c r="H563">
        <v>9791159283086</v>
      </c>
      <c r="I563" t="s">
        <v>24</v>
      </c>
      <c r="J563" t="s">
        <v>72</v>
      </c>
      <c r="K563" t="s">
        <v>37</v>
      </c>
      <c r="L563" t="s">
        <v>27</v>
      </c>
      <c r="M563" s="3">
        <v>3200</v>
      </c>
      <c r="N563" t="s">
        <v>27</v>
      </c>
      <c r="O563" s="3">
        <v>3200</v>
      </c>
      <c r="P563" s="3">
        <v>3200</v>
      </c>
      <c r="Q563" t="s">
        <v>30</v>
      </c>
      <c r="R563" s="2">
        <v>0.7</v>
      </c>
      <c r="S563" s="3">
        <v>2240</v>
      </c>
      <c r="T563" t="s">
        <v>27</v>
      </c>
      <c r="U563" s="3">
        <v>2240</v>
      </c>
      <c r="V563" s="7" t="str">
        <f>IF(ISERROR(VLOOKUP(K563,[1]작가별정산률!$R:$S,2,0)),"스토리위즈",VLOOKUP(K563,[1]작가별정산률!$R:$S,2,0))</f>
        <v>스토리위즈</v>
      </c>
      <c r="W563" s="7" t="str">
        <f>IF(V563="스토리위즈",VLOOKUP(K563,[1]작가별정산률!$A:$B,2,0),V563)</f>
        <v>권용찬</v>
      </c>
    </row>
    <row r="564" spans="1:23" x14ac:dyDescent="0.4">
      <c r="A564" t="s">
        <v>262</v>
      </c>
      <c r="B564" t="s">
        <v>810</v>
      </c>
      <c r="C564" t="s">
        <v>840</v>
      </c>
      <c r="D564" t="s">
        <v>64</v>
      </c>
      <c r="E564" t="s">
        <v>22</v>
      </c>
      <c r="F564" t="s">
        <v>23</v>
      </c>
      <c r="G564">
        <v>1</v>
      </c>
      <c r="H564">
        <v>9791166300479</v>
      </c>
      <c r="I564" t="s">
        <v>24</v>
      </c>
      <c r="J564" t="s">
        <v>145</v>
      </c>
      <c r="K564" t="s">
        <v>119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2">
        <v>0.7</v>
      </c>
      <c r="S564">
        <v>441</v>
      </c>
      <c r="T564" t="s">
        <v>27</v>
      </c>
      <c r="U564">
        <v>441</v>
      </c>
      <c r="V564" s="7" t="str">
        <f>IF(ISERROR(VLOOKUP(K564,[1]작가별정산률!$R:$S,2,0)),"스토리위즈",VLOOKUP(K564,[1]작가별정산률!$R:$S,2,0))</f>
        <v>스토리위즈</v>
      </c>
      <c r="W564" s="7" t="str">
        <f>IF(V564="스토리위즈",VLOOKUP(K564,[1]작가별정산률!$A:$B,2,0),V564)</f>
        <v>김광수</v>
      </c>
    </row>
    <row r="565" spans="1:23" x14ac:dyDescent="0.4">
      <c r="A565" t="s">
        <v>262</v>
      </c>
      <c r="B565" t="s">
        <v>810</v>
      </c>
      <c r="C565" t="s">
        <v>841</v>
      </c>
      <c r="D565" t="s">
        <v>21</v>
      </c>
      <c r="E565" t="s">
        <v>22</v>
      </c>
      <c r="F565" t="s">
        <v>23</v>
      </c>
      <c r="G565">
        <v>1</v>
      </c>
      <c r="H565">
        <v>9791191562286</v>
      </c>
      <c r="I565" t="s">
        <v>143</v>
      </c>
      <c r="J565" t="s">
        <v>238</v>
      </c>
      <c r="K565" t="s">
        <v>239</v>
      </c>
      <c r="L565" t="s">
        <v>27</v>
      </c>
      <c r="M565" s="3">
        <v>2000</v>
      </c>
      <c r="N565" t="s">
        <v>27</v>
      </c>
      <c r="O565" s="3">
        <v>2000</v>
      </c>
      <c r="P565" s="3">
        <v>2000</v>
      </c>
      <c r="Q565" t="s">
        <v>30</v>
      </c>
      <c r="R565" s="2">
        <v>0.7</v>
      </c>
      <c r="S565" s="3">
        <v>1400</v>
      </c>
      <c r="T565" t="s">
        <v>27</v>
      </c>
      <c r="U565" s="3">
        <v>1400</v>
      </c>
      <c r="V565" s="7" t="str">
        <f>IF(ISERROR(VLOOKUP(K565,[1]작가별정산률!$R:$S,2,0)),"스토리위즈",VLOOKUP(K565,[1]작가별정산률!$R:$S,2,0))</f>
        <v>밀리의 서재</v>
      </c>
      <c r="W565" s="7" t="str">
        <f>IF(V565="스토리위즈",VLOOKUP(K565,[1]작가별정산률!$A:$B,2,0),V565)</f>
        <v>밀리의 서재</v>
      </c>
    </row>
    <row r="566" spans="1:23" x14ac:dyDescent="0.4">
      <c r="A566" t="s">
        <v>262</v>
      </c>
      <c r="B566" t="s">
        <v>810</v>
      </c>
      <c r="C566" t="s">
        <v>842</v>
      </c>
      <c r="D566" t="s">
        <v>64</v>
      </c>
      <c r="E566" t="s">
        <v>22</v>
      </c>
      <c r="F566" t="s">
        <v>23</v>
      </c>
      <c r="G566">
        <v>1</v>
      </c>
      <c r="H566">
        <v>9791166300134</v>
      </c>
      <c r="I566" t="s">
        <v>24</v>
      </c>
      <c r="J566" t="s">
        <v>123</v>
      </c>
      <c r="K566" t="s">
        <v>119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  <c r="V566" s="7" t="str">
        <f>IF(ISERROR(VLOOKUP(K566,[1]작가별정산률!$R:$S,2,0)),"스토리위즈",VLOOKUP(K566,[1]작가별정산률!$R:$S,2,0))</f>
        <v>스토리위즈</v>
      </c>
      <c r="W566" s="7" t="str">
        <f>IF(V566="스토리위즈",VLOOKUP(K566,[1]작가별정산률!$A:$B,2,0),V566)</f>
        <v>김광수</v>
      </c>
    </row>
    <row r="567" spans="1:23" x14ac:dyDescent="0.4">
      <c r="A567" t="s">
        <v>262</v>
      </c>
      <c r="B567" t="s">
        <v>810</v>
      </c>
      <c r="C567" t="s">
        <v>843</v>
      </c>
      <c r="D567" t="s">
        <v>21</v>
      </c>
      <c r="E567" t="s">
        <v>22</v>
      </c>
      <c r="F567" t="s">
        <v>23</v>
      </c>
      <c r="G567">
        <v>1</v>
      </c>
      <c r="H567">
        <v>9791166300110</v>
      </c>
      <c r="I567" t="s">
        <v>24</v>
      </c>
      <c r="J567" t="s">
        <v>121</v>
      </c>
      <c r="K567" t="s">
        <v>119</v>
      </c>
      <c r="L567" t="s">
        <v>27</v>
      </c>
      <c r="M567" s="3">
        <v>3200</v>
      </c>
      <c r="N567" t="s">
        <v>27</v>
      </c>
      <c r="O567" s="3">
        <v>3200</v>
      </c>
      <c r="P567" s="3">
        <v>3200</v>
      </c>
      <c r="Q567" t="s">
        <v>30</v>
      </c>
      <c r="R567" s="2">
        <v>0.7</v>
      </c>
      <c r="S567" s="3">
        <v>2240</v>
      </c>
      <c r="T567" t="s">
        <v>27</v>
      </c>
      <c r="U567" s="3">
        <v>2240</v>
      </c>
      <c r="V567" s="7" t="str">
        <f>IF(ISERROR(VLOOKUP(K567,[1]작가별정산률!$R:$S,2,0)),"스토리위즈",VLOOKUP(K567,[1]작가별정산률!$R:$S,2,0))</f>
        <v>스토리위즈</v>
      </c>
      <c r="W567" s="7" t="str">
        <f>IF(V567="스토리위즈",VLOOKUP(K567,[1]작가별정산률!$A:$B,2,0),V567)</f>
        <v>김광수</v>
      </c>
    </row>
    <row r="568" spans="1:23" x14ac:dyDescent="0.4">
      <c r="A568" t="s">
        <v>262</v>
      </c>
      <c r="B568" t="s">
        <v>810</v>
      </c>
      <c r="C568" t="s">
        <v>844</v>
      </c>
      <c r="D568" t="s">
        <v>21</v>
      </c>
      <c r="E568" t="s">
        <v>22</v>
      </c>
      <c r="F568" t="s">
        <v>23</v>
      </c>
      <c r="G568">
        <v>1</v>
      </c>
      <c r="H568">
        <v>9791191562033</v>
      </c>
      <c r="I568" t="s">
        <v>143</v>
      </c>
      <c r="J568" t="s">
        <v>189</v>
      </c>
      <c r="K568" t="s">
        <v>187</v>
      </c>
      <c r="L568" t="s">
        <v>27</v>
      </c>
      <c r="M568" s="3">
        <v>2000</v>
      </c>
      <c r="N568" t="s">
        <v>27</v>
      </c>
      <c r="O568" s="3">
        <v>2000</v>
      </c>
      <c r="P568" s="3">
        <v>2000</v>
      </c>
      <c r="Q568" t="s">
        <v>30</v>
      </c>
      <c r="R568" s="2">
        <v>0.7</v>
      </c>
      <c r="S568" s="3">
        <v>1400</v>
      </c>
      <c r="T568" t="s">
        <v>27</v>
      </c>
      <c r="U568" s="3">
        <v>1400</v>
      </c>
      <c r="V568" s="7" t="str">
        <f>IF(ISERROR(VLOOKUP(K568,[1]작가별정산률!$R:$S,2,0)),"스토리위즈",VLOOKUP(K568,[1]작가별정산률!$R:$S,2,0))</f>
        <v>밀리의 서재</v>
      </c>
      <c r="W568" s="7" t="str">
        <f>IF(V568="스토리위즈",VLOOKUP(K568,[1]작가별정산률!$A:$B,2,0),V568)</f>
        <v>밀리의 서재</v>
      </c>
    </row>
    <row r="569" spans="1:23" x14ac:dyDescent="0.4">
      <c r="A569" t="s">
        <v>262</v>
      </c>
      <c r="B569" t="s">
        <v>810</v>
      </c>
      <c r="C569" t="s">
        <v>845</v>
      </c>
      <c r="D569" t="s">
        <v>64</v>
      </c>
      <c r="E569" t="s">
        <v>22</v>
      </c>
      <c r="F569" t="s">
        <v>23</v>
      </c>
      <c r="G569">
        <v>1</v>
      </c>
      <c r="H569">
        <v>9791166064135</v>
      </c>
      <c r="I569" t="s">
        <v>24</v>
      </c>
      <c r="J569" t="s">
        <v>77</v>
      </c>
      <c r="K569" t="s">
        <v>37</v>
      </c>
      <c r="L569" t="s">
        <v>27</v>
      </c>
      <c r="M569">
        <v>900</v>
      </c>
      <c r="N569" t="s">
        <v>27</v>
      </c>
      <c r="O569">
        <v>900</v>
      </c>
      <c r="P569">
        <v>900</v>
      </c>
      <c r="Q569" t="s">
        <v>30</v>
      </c>
      <c r="R569" s="2">
        <v>0.7</v>
      </c>
      <c r="S569">
        <v>630</v>
      </c>
      <c r="T569" t="s">
        <v>27</v>
      </c>
      <c r="U569">
        <v>630</v>
      </c>
      <c r="V569" s="7" t="str">
        <f>IF(ISERROR(VLOOKUP(K569,[1]작가별정산률!$R:$S,2,0)),"스토리위즈",VLOOKUP(K569,[1]작가별정산률!$R:$S,2,0))</f>
        <v>스토리위즈</v>
      </c>
      <c r="W569" s="7" t="str">
        <f>IF(V569="스토리위즈",VLOOKUP(K569,[1]작가별정산률!$A:$B,2,0),V569)</f>
        <v>권용찬</v>
      </c>
    </row>
    <row r="570" spans="1:23" x14ac:dyDescent="0.4">
      <c r="A570" t="s">
        <v>262</v>
      </c>
      <c r="B570" t="s">
        <v>810</v>
      </c>
      <c r="C570" t="s">
        <v>846</v>
      </c>
      <c r="D570" t="s">
        <v>64</v>
      </c>
      <c r="E570" t="s">
        <v>22</v>
      </c>
      <c r="F570" t="s">
        <v>23</v>
      </c>
      <c r="G570">
        <v>1</v>
      </c>
      <c r="H570">
        <v>9791166300158</v>
      </c>
      <c r="I570" t="s">
        <v>24</v>
      </c>
      <c r="J570" t="s">
        <v>125</v>
      </c>
      <c r="K570" t="s">
        <v>119</v>
      </c>
      <c r="L570" t="s">
        <v>27</v>
      </c>
      <c r="M570">
        <v>630</v>
      </c>
      <c r="N570" t="s">
        <v>27</v>
      </c>
      <c r="O570">
        <v>630</v>
      </c>
      <c r="P570">
        <v>630</v>
      </c>
      <c r="Q570" t="s">
        <v>30</v>
      </c>
      <c r="R570" s="2">
        <v>0.7</v>
      </c>
      <c r="S570">
        <v>441</v>
      </c>
      <c r="T570" t="s">
        <v>27</v>
      </c>
      <c r="U570">
        <v>441</v>
      </c>
      <c r="V570" s="7" t="str">
        <f>IF(ISERROR(VLOOKUP(K570,[1]작가별정산률!$R:$S,2,0)),"스토리위즈",VLOOKUP(K570,[1]작가별정산률!$R:$S,2,0))</f>
        <v>스토리위즈</v>
      </c>
      <c r="W570" s="7" t="str">
        <f>IF(V570="스토리위즈",VLOOKUP(K570,[1]작가별정산률!$A:$B,2,0),V570)</f>
        <v>김광수</v>
      </c>
    </row>
    <row r="571" spans="1:23" x14ac:dyDescent="0.4">
      <c r="A571" t="s">
        <v>262</v>
      </c>
      <c r="B571" t="s">
        <v>810</v>
      </c>
      <c r="C571" t="s">
        <v>847</v>
      </c>
      <c r="D571" t="s">
        <v>64</v>
      </c>
      <c r="E571" t="s">
        <v>22</v>
      </c>
      <c r="F571" t="s">
        <v>23</v>
      </c>
      <c r="G571">
        <v>1</v>
      </c>
      <c r="H571">
        <v>9791166300165</v>
      </c>
      <c r="I571" t="s">
        <v>24</v>
      </c>
      <c r="J571" t="s">
        <v>126</v>
      </c>
      <c r="K571" t="s">
        <v>119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  <c r="V571" s="7" t="str">
        <f>IF(ISERROR(VLOOKUP(K571,[1]작가별정산률!$R:$S,2,0)),"스토리위즈",VLOOKUP(K571,[1]작가별정산률!$R:$S,2,0))</f>
        <v>스토리위즈</v>
      </c>
      <c r="W571" s="7" t="str">
        <f>IF(V571="스토리위즈",VLOOKUP(K571,[1]작가별정산률!$A:$B,2,0),V571)</f>
        <v>김광수</v>
      </c>
    </row>
    <row r="572" spans="1:23" x14ac:dyDescent="0.4">
      <c r="A572" t="s">
        <v>262</v>
      </c>
      <c r="B572" t="s">
        <v>810</v>
      </c>
      <c r="C572" t="s">
        <v>848</v>
      </c>
      <c r="D572" t="s">
        <v>64</v>
      </c>
      <c r="E572" t="s">
        <v>22</v>
      </c>
      <c r="F572" t="s">
        <v>23</v>
      </c>
      <c r="G572">
        <v>1</v>
      </c>
      <c r="H572">
        <v>9791166300530</v>
      </c>
      <c r="I572" t="s">
        <v>24</v>
      </c>
      <c r="J572" t="s">
        <v>151</v>
      </c>
      <c r="K572" t="s">
        <v>119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  <c r="V572" s="7" t="str">
        <f>IF(ISERROR(VLOOKUP(K572,[1]작가별정산률!$R:$S,2,0)),"스토리위즈",VLOOKUP(K572,[1]작가별정산률!$R:$S,2,0))</f>
        <v>스토리위즈</v>
      </c>
      <c r="W572" s="7" t="str">
        <f>IF(V572="스토리위즈",VLOOKUP(K572,[1]작가별정산률!$A:$B,2,0),V572)</f>
        <v>김광수</v>
      </c>
    </row>
    <row r="573" spans="1:23" x14ac:dyDescent="0.4">
      <c r="A573" t="s">
        <v>262</v>
      </c>
      <c r="B573" t="s">
        <v>810</v>
      </c>
      <c r="C573" t="s">
        <v>849</v>
      </c>
      <c r="D573" t="s">
        <v>21</v>
      </c>
      <c r="E573" t="s">
        <v>22</v>
      </c>
      <c r="F573" t="s">
        <v>23</v>
      </c>
      <c r="G573">
        <v>1</v>
      </c>
      <c r="H573">
        <v>9791191562163</v>
      </c>
      <c r="I573" t="s">
        <v>143</v>
      </c>
      <c r="J573" t="s">
        <v>214</v>
      </c>
      <c r="K573" t="s">
        <v>215</v>
      </c>
      <c r="L573" t="s">
        <v>27</v>
      </c>
      <c r="M573" s="3">
        <v>2000</v>
      </c>
      <c r="N573" t="s">
        <v>27</v>
      </c>
      <c r="O573" s="3">
        <v>2000</v>
      </c>
      <c r="P573" s="3">
        <v>2000</v>
      </c>
      <c r="Q573" t="s">
        <v>30</v>
      </c>
      <c r="R573" s="2">
        <v>0.7</v>
      </c>
      <c r="S573" s="3">
        <v>1400</v>
      </c>
      <c r="T573" t="s">
        <v>27</v>
      </c>
      <c r="U573" s="3">
        <v>1400</v>
      </c>
      <c r="V573" s="7" t="str">
        <f>IF(ISERROR(VLOOKUP(K573,[1]작가별정산률!$R:$S,2,0)),"스토리위즈",VLOOKUP(K573,[1]작가별정산률!$R:$S,2,0))</f>
        <v>밀리의 서재</v>
      </c>
      <c r="W573" s="7" t="str">
        <f>IF(V573="스토리위즈",VLOOKUP(K573,[1]작가별정산률!$A:$B,2,0),V573)</f>
        <v>밀리의 서재</v>
      </c>
    </row>
    <row r="574" spans="1:23" x14ac:dyDescent="0.4">
      <c r="A574" t="s">
        <v>262</v>
      </c>
      <c r="B574" t="s">
        <v>810</v>
      </c>
      <c r="C574" t="s">
        <v>850</v>
      </c>
      <c r="D574" t="s">
        <v>21</v>
      </c>
      <c r="E574" t="s">
        <v>22</v>
      </c>
      <c r="F574" t="s">
        <v>23</v>
      </c>
      <c r="G574">
        <v>1</v>
      </c>
      <c r="H574">
        <v>9791191562224</v>
      </c>
      <c r="I574" t="s">
        <v>143</v>
      </c>
      <c r="J574" t="s">
        <v>221</v>
      </c>
      <c r="K574" t="s">
        <v>222</v>
      </c>
      <c r="L574" t="s">
        <v>27</v>
      </c>
      <c r="M574" s="3">
        <v>2500</v>
      </c>
      <c r="N574" t="s">
        <v>27</v>
      </c>
      <c r="O574" s="3">
        <v>2500</v>
      </c>
      <c r="P574" s="3">
        <v>2500</v>
      </c>
      <c r="Q574" t="s">
        <v>30</v>
      </c>
      <c r="R574" s="2">
        <v>0.7</v>
      </c>
      <c r="S574" s="3">
        <v>1750</v>
      </c>
      <c r="T574" t="s">
        <v>27</v>
      </c>
      <c r="U574" s="3">
        <v>1750</v>
      </c>
      <c r="V574" s="7" t="str">
        <f>IF(ISERROR(VLOOKUP(K574,[1]작가별정산률!$R:$S,2,0)),"스토리위즈",VLOOKUP(K574,[1]작가별정산률!$R:$S,2,0))</f>
        <v>밀리의 서재</v>
      </c>
      <c r="W574" s="7" t="str">
        <f>IF(V574="스토리위즈",VLOOKUP(K574,[1]작가별정산률!$A:$B,2,0),V574)</f>
        <v>밀리의 서재</v>
      </c>
    </row>
    <row r="575" spans="1:23" x14ac:dyDescent="0.4">
      <c r="A575" t="s">
        <v>262</v>
      </c>
      <c r="B575" t="s">
        <v>810</v>
      </c>
      <c r="C575" t="s">
        <v>851</v>
      </c>
      <c r="D575" t="s">
        <v>21</v>
      </c>
      <c r="E575" t="s">
        <v>22</v>
      </c>
      <c r="F575" t="s">
        <v>23</v>
      </c>
      <c r="G575">
        <v>1</v>
      </c>
      <c r="H575">
        <v>9791191562286</v>
      </c>
      <c r="I575" t="s">
        <v>143</v>
      </c>
      <c r="J575" t="s">
        <v>238</v>
      </c>
      <c r="K575" t="s">
        <v>239</v>
      </c>
      <c r="L575" t="s">
        <v>27</v>
      </c>
      <c r="M575" s="3">
        <v>2000</v>
      </c>
      <c r="N575" t="s">
        <v>27</v>
      </c>
      <c r="O575" s="3">
        <v>2000</v>
      </c>
      <c r="P575" s="3">
        <v>2000</v>
      </c>
      <c r="Q575" t="s">
        <v>30</v>
      </c>
      <c r="R575" s="2">
        <v>0.7</v>
      </c>
      <c r="S575" s="3">
        <v>1400</v>
      </c>
      <c r="T575" t="s">
        <v>27</v>
      </c>
      <c r="U575" s="3">
        <v>1400</v>
      </c>
      <c r="V575" s="7" t="str">
        <f>IF(ISERROR(VLOOKUP(K575,[1]작가별정산률!$R:$S,2,0)),"스토리위즈",VLOOKUP(K575,[1]작가별정산률!$R:$S,2,0))</f>
        <v>밀리의 서재</v>
      </c>
      <c r="W575" s="7" t="str">
        <f>IF(V575="스토리위즈",VLOOKUP(K575,[1]작가별정산률!$A:$B,2,0),V575)</f>
        <v>밀리의 서재</v>
      </c>
    </row>
    <row r="576" spans="1:23" x14ac:dyDescent="0.4">
      <c r="A576" t="s">
        <v>262</v>
      </c>
      <c r="B576" t="s">
        <v>810</v>
      </c>
      <c r="C576" t="s">
        <v>851</v>
      </c>
      <c r="D576" t="s">
        <v>21</v>
      </c>
      <c r="E576" t="s">
        <v>22</v>
      </c>
      <c r="F576" t="s">
        <v>23</v>
      </c>
      <c r="G576">
        <v>1</v>
      </c>
      <c r="H576">
        <v>9791191562248</v>
      </c>
      <c r="I576" t="s">
        <v>143</v>
      </c>
      <c r="J576" t="s">
        <v>231</v>
      </c>
      <c r="K576" t="s">
        <v>232</v>
      </c>
      <c r="L576" t="s">
        <v>27</v>
      </c>
      <c r="M576" s="3">
        <v>2000</v>
      </c>
      <c r="N576" t="s">
        <v>27</v>
      </c>
      <c r="O576" s="3">
        <v>2000</v>
      </c>
      <c r="P576" s="3">
        <v>2000</v>
      </c>
      <c r="Q576" t="s">
        <v>30</v>
      </c>
      <c r="R576" s="2">
        <v>0.7</v>
      </c>
      <c r="S576" s="3">
        <v>1400</v>
      </c>
      <c r="T576" t="s">
        <v>27</v>
      </c>
      <c r="U576" s="3">
        <v>1400</v>
      </c>
      <c r="V576" s="7" t="str">
        <f>IF(ISERROR(VLOOKUP(K576,[1]작가별정산률!$R:$S,2,0)),"스토리위즈",VLOOKUP(K576,[1]작가별정산률!$R:$S,2,0))</f>
        <v>밀리의 서재</v>
      </c>
      <c r="W576" s="7" t="str">
        <f>IF(V576="스토리위즈",VLOOKUP(K576,[1]작가별정산률!$A:$B,2,0),V576)</f>
        <v>밀리의 서재</v>
      </c>
    </row>
    <row r="577" spans="1:23" x14ac:dyDescent="0.4">
      <c r="A577" t="s">
        <v>262</v>
      </c>
      <c r="B577" t="s">
        <v>810</v>
      </c>
      <c r="C577" t="s">
        <v>851</v>
      </c>
      <c r="D577" t="s">
        <v>21</v>
      </c>
      <c r="E577" t="s">
        <v>22</v>
      </c>
      <c r="F577" t="s">
        <v>23</v>
      </c>
      <c r="G577">
        <v>1</v>
      </c>
      <c r="H577">
        <v>9791191562224</v>
      </c>
      <c r="I577" t="s">
        <v>143</v>
      </c>
      <c r="J577" t="s">
        <v>221</v>
      </c>
      <c r="K577" t="s">
        <v>222</v>
      </c>
      <c r="L577" t="s">
        <v>27</v>
      </c>
      <c r="M577" s="3">
        <v>2500</v>
      </c>
      <c r="N577" t="s">
        <v>27</v>
      </c>
      <c r="O577" s="3">
        <v>2500</v>
      </c>
      <c r="P577" s="3">
        <v>2500</v>
      </c>
      <c r="Q577" t="s">
        <v>30</v>
      </c>
      <c r="R577" s="2">
        <v>0.7</v>
      </c>
      <c r="S577" s="3">
        <v>1750</v>
      </c>
      <c r="T577" t="s">
        <v>27</v>
      </c>
      <c r="U577" s="3">
        <v>1750</v>
      </c>
      <c r="V577" s="7" t="str">
        <f>IF(ISERROR(VLOOKUP(K577,[1]작가별정산률!$R:$S,2,0)),"스토리위즈",VLOOKUP(K577,[1]작가별정산률!$R:$S,2,0))</f>
        <v>밀리의 서재</v>
      </c>
      <c r="W577" s="7" t="str">
        <f>IF(V577="스토리위즈",VLOOKUP(K577,[1]작가별정산률!$A:$B,2,0),V577)</f>
        <v>밀리의 서재</v>
      </c>
    </row>
    <row r="578" spans="1:23" x14ac:dyDescent="0.4">
      <c r="A578" t="s">
        <v>262</v>
      </c>
      <c r="B578" t="s">
        <v>810</v>
      </c>
      <c r="C578" t="s">
        <v>852</v>
      </c>
      <c r="D578" t="s">
        <v>64</v>
      </c>
      <c r="E578" t="s">
        <v>22</v>
      </c>
      <c r="F578" t="s">
        <v>23</v>
      </c>
      <c r="G578">
        <v>1</v>
      </c>
      <c r="H578">
        <v>9791166300264</v>
      </c>
      <c r="I578" t="s">
        <v>24</v>
      </c>
      <c r="J578" t="s">
        <v>135</v>
      </c>
      <c r="K578" t="s">
        <v>119</v>
      </c>
      <c r="L578" t="s">
        <v>27</v>
      </c>
      <c r="M578">
        <v>630</v>
      </c>
      <c r="N578" t="s">
        <v>27</v>
      </c>
      <c r="O578">
        <v>630</v>
      </c>
      <c r="P578">
        <v>630</v>
      </c>
      <c r="Q578" t="s">
        <v>30</v>
      </c>
      <c r="R578" s="2">
        <v>0.7</v>
      </c>
      <c r="S578">
        <v>441</v>
      </c>
      <c r="T578" t="s">
        <v>27</v>
      </c>
      <c r="U578">
        <v>441</v>
      </c>
      <c r="V578" s="7" t="str">
        <f>IF(ISERROR(VLOOKUP(K578,[1]작가별정산률!$R:$S,2,0)),"스토리위즈",VLOOKUP(K578,[1]작가별정산률!$R:$S,2,0))</f>
        <v>스토리위즈</v>
      </c>
      <c r="W578" s="7" t="str">
        <f>IF(V578="스토리위즈",VLOOKUP(K578,[1]작가별정산률!$A:$B,2,0),V578)</f>
        <v>김광수</v>
      </c>
    </row>
    <row r="579" spans="1:23" x14ac:dyDescent="0.4">
      <c r="A579" t="s">
        <v>262</v>
      </c>
      <c r="B579" t="s">
        <v>810</v>
      </c>
      <c r="C579" t="s">
        <v>853</v>
      </c>
      <c r="D579" t="s">
        <v>64</v>
      </c>
      <c r="E579" t="s">
        <v>22</v>
      </c>
      <c r="F579" t="s">
        <v>23</v>
      </c>
      <c r="G579">
        <v>1</v>
      </c>
      <c r="H579">
        <v>9791166300172</v>
      </c>
      <c r="I579" t="s">
        <v>24</v>
      </c>
      <c r="J579" t="s">
        <v>127</v>
      </c>
      <c r="K579" t="s">
        <v>119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2">
        <v>0.7</v>
      </c>
      <c r="S579">
        <v>441</v>
      </c>
      <c r="T579" t="s">
        <v>27</v>
      </c>
      <c r="U579">
        <v>441</v>
      </c>
      <c r="V579" s="7" t="str">
        <f>IF(ISERROR(VLOOKUP(K579,[1]작가별정산률!$R:$S,2,0)),"스토리위즈",VLOOKUP(K579,[1]작가별정산률!$R:$S,2,0))</f>
        <v>스토리위즈</v>
      </c>
      <c r="W579" s="7" t="str">
        <f>IF(V579="스토리위즈",VLOOKUP(K579,[1]작가별정산률!$A:$B,2,0),V579)</f>
        <v>김광수</v>
      </c>
    </row>
    <row r="580" spans="1:23" x14ac:dyDescent="0.4">
      <c r="A580" t="s">
        <v>262</v>
      </c>
      <c r="B580" t="s">
        <v>810</v>
      </c>
      <c r="C580" t="s">
        <v>854</v>
      </c>
      <c r="D580" t="s">
        <v>64</v>
      </c>
      <c r="E580" t="s">
        <v>22</v>
      </c>
      <c r="F580" t="s">
        <v>23</v>
      </c>
      <c r="G580">
        <v>1</v>
      </c>
      <c r="H580">
        <v>9791166300196</v>
      </c>
      <c r="I580" t="s">
        <v>24</v>
      </c>
      <c r="J580" t="s">
        <v>128</v>
      </c>
      <c r="K580" t="s">
        <v>119</v>
      </c>
      <c r="L580" t="s">
        <v>27</v>
      </c>
      <c r="M580">
        <v>630</v>
      </c>
      <c r="N580" t="s">
        <v>27</v>
      </c>
      <c r="O580">
        <v>630</v>
      </c>
      <c r="P580">
        <v>630</v>
      </c>
      <c r="Q580" t="s">
        <v>30</v>
      </c>
      <c r="R580" s="2">
        <v>0.7</v>
      </c>
      <c r="S580">
        <v>441</v>
      </c>
      <c r="T580" t="s">
        <v>27</v>
      </c>
      <c r="U580">
        <v>441</v>
      </c>
      <c r="V580" s="7" t="str">
        <f>IF(ISERROR(VLOOKUP(K580,[1]작가별정산률!$R:$S,2,0)),"스토리위즈",VLOOKUP(K580,[1]작가별정산률!$R:$S,2,0))</f>
        <v>스토리위즈</v>
      </c>
      <c r="W580" s="7" t="str">
        <f>IF(V580="스토리위즈",VLOOKUP(K580,[1]작가별정산률!$A:$B,2,0),V580)</f>
        <v>김광수</v>
      </c>
    </row>
    <row r="581" spans="1:23" x14ac:dyDescent="0.4">
      <c r="A581" t="s">
        <v>262</v>
      </c>
      <c r="B581" t="s">
        <v>810</v>
      </c>
      <c r="C581" t="s">
        <v>855</v>
      </c>
      <c r="D581" t="s">
        <v>64</v>
      </c>
      <c r="E581" t="s">
        <v>22</v>
      </c>
      <c r="F581" t="s">
        <v>23</v>
      </c>
      <c r="G581">
        <v>1</v>
      </c>
      <c r="H581">
        <v>9791166300271</v>
      </c>
      <c r="I581" t="s">
        <v>24</v>
      </c>
      <c r="J581" t="s">
        <v>136</v>
      </c>
      <c r="K581" t="s">
        <v>119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  <c r="V581" s="7" t="str">
        <f>IF(ISERROR(VLOOKUP(K581,[1]작가별정산률!$R:$S,2,0)),"스토리위즈",VLOOKUP(K581,[1]작가별정산률!$R:$S,2,0))</f>
        <v>스토리위즈</v>
      </c>
      <c r="W581" s="7" t="str">
        <f>IF(V581="스토리위즈",VLOOKUP(K581,[1]작가별정산률!$A:$B,2,0),V581)</f>
        <v>김광수</v>
      </c>
    </row>
    <row r="582" spans="1:23" x14ac:dyDescent="0.4">
      <c r="A582" t="s">
        <v>262</v>
      </c>
      <c r="B582" t="s">
        <v>810</v>
      </c>
      <c r="C582" t="s">
        <v>856</v>
      </c>
      <c r="D582" t="s">
        <v>64</v>
      </c>
      <c r="E582" t="s">
        <v>22</v>
      </c>
      <c r="F582" t="s">
        <v>23</v>
      </c>
      <c r="G582">
        <v>1</v>
      </c>
      <c r="H582">
        <v>9791166300264</v>
      </c>
      <c r="I582" t="s">
        <v>24</v>
      </c>
      <c r="J582" t="s">
        <v>135</v>
      </c>
      <c r="K582" t="s">
        <v>119</v>
      </c>
      <c r="L582" t="s">
        <v>27</v>
      </c>
      <c r="M582">
        <v>630</v>
      </c>
      <c r="N582" t="s">
        <v>27</v>
      </c>
      <c r="O582">
        <v>630</v>
      </c>
      <c r="P582">
        <v>630</v>
      </c>
      <c r="Q582" t="s">
        <v>30</v>
      </c>
      <c r="R582" s="2">
        <v>0.7</v>
      </c>
      <c r="S582">
        <v>441</v>
      </c>
      <c r="T582" t="s">
        <v>27</v>
      </c>
      <c r="U582">
        <v>441</v>
      </c>
      <c r="V582" s="7" t="str">
        <f>IF(ISERROR(VLOOKUP(K582,[1]작가별정산률!$R:$S,2,0)),"스토리위즈",VLOOKUP(K582,[1]작가별정산률!$R:$S,2,0))</f>
        <v>스토리위즈</v>
      </c>
      <c r="W582" s="7" t="str">
        <f>IF(V582="스토리위즈",VLOOKUP(K582,[1]작가별정산률!$A:$B,2,0),V582)</f>
        <v>김광수</v>
      </c>
    </row>
    <row r="583" spans="1:23" x14ac:dyDescent="0.4">
      <c r="A583" t="s">
        <v>262</v>
      </c>
      <c r="B583" t="s">
        <v>810</v>
      </c>
      <c r="C583" t="s">
        <v>857</v>
      </c>
      <c r="D583" t="s">
        <v>64</v>
      </c>
      <c r="E583" t="s">
        <v>22</v>
      </c>
      <c r="F583" t="s">
        <v>23</v>
      </c>
      <c r="G583">
        <v>1</v>
      </c>
      <c r="H583">
        <v>9791166061141</v>
      </c>
      <c r="I583" t="s">
        <v>24</v>
      </c>
      <c r="J583" t="s">
        <v>99</v>
      </c>
      <c r="K583" t="s">
        <v>37</v>
      </c>
      <c r="L583" t="s">
        <v>27</v>
      </c>
      <c r="M583">
        <v>900</v>
      </c>
      <c r="N583" t="s">
        <v>27</v>
      </c>
      <c r="O583">
        <v>900</v>
      </c>
      <c r="P583">
        <v>900</v>
      </c>
      <c r="Q583" t="s">
        <v>30</v>
      </c>
      <c r="R583" s="2">
        <v>0.7</v>
      </c>
      <c r="S583">
        <v>630</v>
      </c>
      <c r="T583" t="s">
        <v>27</v>
      </c>
      <c r="U583">
        <v>630</v>
      </c>
      <c r="V583" s="7" t="str">
        <f>IF(ISERROR(VLOOKUP(K583,[1]작가별정산률!$R:$S,2,0)),"스토리위즈",VLOOKUP(K583,[1]작가별정산률!$R:$S,2,0))</f>
        <v>스토리위즈</v>
      </c>
      <c r="W583" s="7" t="str">
        <f>IF(V583="스토리위즈",VLOOKUP(K583,[1]작가별정산률!$A:$B,2,0),V583)</f>
        <v>권용찬</v>
      </c>
    </row>
    <row r="584" spans="1:23" x14ac:dyDescent="0.4">
      <c r="A584" t="s">
        <v>262</v>
      </c>
      <c r="B584" t="s">
        <v>810</v>
      </c>
      <c r="C584" t="s">
        <v>858</v>
      </c>
      <c r="D584" t="s">
        <v>64</v>
      </c>
      <c r="E584" t="s">
        <v>22</v>
      </c>
      <c r="F584" t="s">
        <v>23</v>
      </c>
      <c r="G584">
        <v>1</v>
      </c>
      <c r="H584">
        <v>9791159282867</v>
      </c>
      <c r="I584" t="s">
        <v>24</v>
      </c>
      <c r="J584" t="s">
        <v>32</v>
      </c>
      <c r="K584" t="s">
        <v>26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  <c r="V584" s="7" t="str">
        <f>IF(ISERROR(VLOOKUP(K584,[1]작가별정산률!$R:$S,2,0)),"스토리위즈",VLOOKUP(K584,[1]작가별정산률!$R:$S,2,0))</f>
        <v>스토리위즈</v>
      </c>
      <c r="W584" s="7" t="str">
        <f>IF(V584="스토리위즈",VLOOKUP(K584,[1]작가별정산률!$A:$B,2,0),V584)</f>
        <v>독고진</v>
      </c>
    </row>
    <row r="585" spans="1:23" x14ac:dyDescent="0.4">
      <c r="A585" t="s">
        <v>262</v>
      </c>
      <c r="B585" t="s">
        <v>810</v>
      </c>
      <c r="C585" t="s">
        <v>859</v>
      </c>
      <c r="D585" t="s">
        <v>64</v>
      </c>
      <c r="E585" t="s">
        <v>22</v>
      </c>
      <c r="F585" t="s">
        <v>23</v>
      </c>
      <c r="G585">
        <v>1</v>
      </c>
      <c r="H585">
        <v>9791159282874</v>
      </c>
      <c r="I585" t="s">
        <v>24</v>
      </c>
      <c r="J585" t="s">
        <v>33</v>
      </c>
      <c r="K585" t="s">
        <v>26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2">
        <v>0.7</v>
      </c>
      <c r="S585">
        <v>441</v>
      </c>
      <c r="T585" t="s">
        <v>27</v>
      </c>
      <c r="U585">
        <v>441</v>
      </c>
      <c r="V585" s="7" t="str">
        <f>IF(ISERROR(VLOOKUP(K585,[1]작가별정산률!$R:$S,2,0)),"스토리위즈",VLOOKUP(K585,[1]작가별정산률!$R:$S,2,0))</f>
        <v>스토리위즈</v>
      </c>
      <c r="W585" s="7" t="str">
        <f>IF(V585="스토리위즈",VLOOKUP(K585,[1]작가별정산률!$A:$B,2,0),V585)</f>
        <v>독고진</v>
      </c>
    </row>
    <row r="586" spans="1:23" x14ac:dyDescent="0.4">
      <c r="A586" t="s">
        <v>262</v>
      </c>
      <c r="B586" t="s">
        <v>810</v>
      </c>
      <c r="C586" t="s">
        <v>860</v>
      </c>
      <c r="D586" t="s">
        <v>64</v>
      </c>
      <c r="E586" t="s">
        <v>22</v>
      </c>
      <c r="F586" t="s">
        <v>23</v>
      </c>
      <c r="G586">
        <v>1</v>
      </c>
      <c r="H586">
        <v>9791159282881</v>
      </c>
      <c r="I586" t="s">
        <v>24</v>
      </c>
      <c r="J586" t="s">
        <v>34</v>
      </c>
      <c r="K586" t="s">
        <v>26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  <c r="V586" s="7" t="str">
        <f>IF(ISERROR(VLOOKUP(K586,[1]작가별정산률!$R:$S,2,0)),"스토리위즈",VLOOKUP(K586,[1]작가별정산률!$R:$S,2,0))</f>
        <v>스토리위즈</v>
      </c>
      <c r="W586" s="7" t="str">
        <f>IF(V586="스토리위즈",VLOOKUP(K586,[1]작가별정산률!$A:$B,2,0),V586)</f>
        <v>독고진</v>
      </c>
    </row>
    <row r="587" spans="1:23" x14ac:dyDescent="0.4">
      <c r="A587" t="s">
        <v>262</v>
      </c>
      <c r="B587" t="s">
        <v>810</v>
      </c>
      <c r="C587" t="s">
        <v>861</v>
      </c>
      <c r="D587" t="s">
        <v>64</v>
      </c>
      <c r="E587" t="s">
        <v>22</v>
      </c>
      <c r="F587" t="s">
        <v>23</v>
      </c>
      <c r="G587">
        <v>1</v>
      </c>
      <c r="H587">
        <v>9791159282898</v>
      </c>
      <c r="I587" t="s">
        <v>24</v>
      </c>
      <c r="J587" t="s">
        <v>35</v>
      </c>
      <c r="K587" t="s">
        <v>26</v>
      </c>
      <c r="L587" t="s">
        <v>27</v>
      </c>
      <c r="M587">
        <v>630</v>
      </c>
      <c r="N587" t="s">
        <v>27</v>
      </c>
      <c r="O587">
        <v>630</v>
      </c>
      <c r="P587">
        <v>630</v>
      </c>
      <c r="Q587" t="s">
        <v>30</v>
      </c>
      <c r="R587" s="2">
        <v>0.7</v>
      </c>
      <c r="S587">
        <v>441</v>
      </c>
      <c r="T587" t="s">
        <v>27</v>
      </c>
      <c r="U587">
        <v>441</v>
      </c>
      <c r="V587" s="7" t="str">
        <f>IF(ISERROR(VLOOKUP(K587,[1]작가별정산률!$R:$S,2,0)),"스토리위즈",VLOOKUP(K587,[1]작가별정산률!$R:$S,2,0))</f>
        <v>스토리위즈</v>
      </c>
      <c r="W587" s="7" t="str">
        <f>IF(V587="스토리위즈",VLOOKUP(K587,[1]작가별정산률!$A:$B,2,0),V587)</f>
        <v>독고진</v>
      </c>
    </row>
    <row r="588" spans="1:23" x14ac:dyDescent="0.4">
      <c r="A588" t="s">
        <v>262</v>
      </c>
      <c r="B588" t="s">
        <v>810</v>
      </c>
      <c r="C588" t="s">
        <v>862</v>
      </c>
      <c r="D588" t="s">
        <v>64</v>
      </c>
      <c r="E588" t="s">
        <v>22</v>
      </c>
      <c r="F588" t="s">
        <v>23</v>
      </c>
      <c r="G588">
        <v>1</v>
      </c>
      <c r="H588">
        <v>9791159282904</v>
      </c>
      <c r="I588" t="s">
        <v>24</v>
      </c>
      <c r="J588" t="s">
        <v>38</v>
      </c>
      <c r="K588" t="s">
        <v>26</v>
      </c>
      <c r="L588" t="s">
        <v>27</v>
      </c>
      <c r="M588">
        <v>630</v>
      </c>
      <c r="N588" t="s">
        <v>27</v>
      </c>
      <c r="O588">
        <v>630</v>
      </c>
      <c r="P588">
        <v>630</v>
      </c>
      <c r="Q588" t="s">
        <v>30</v>
      </c>
      <c r="R588" s="2">
        <v>0.7</v>
      </c>
      <c r="S588">
        <v>441</v>
      </c>
      <c r="T588" t="s">
        <v>27</v>
      </c>
      <c r="U588">
        <v>441</v>
      </c>
      <c r="V588" s="7" t="str">
        <f>IF(ISERROR(VLOOKUP(K588,[1]작가별정산률!$R:$S,2,0)),"스토리위즈",VLOOKUP(K588,[1]작가별정산률!$R:$S,2,0))</f>
        <v>스토리위즈</v>
      </c>
      <c r="W588" s="7" t="str">
        <f>IF(V588="스토리위즈",VLOOKUP(K588,[1]작가별정산률!$A:$B,2,0),V588)</f>
        <v>독고진</v>
      </c>
    </row>
    <row r="589" spans="1:23" x14ac:dyDescent="0.4">
      <c r="A589" t="s">
        <v>262</v>
      </c>
      <c r="B589" t="s">
        <v>810</v>
      </c>
      <c r="C589" t="s">
        <v>863</v>
      </c>
      <c r="D589" t="s">
        <v>21</v>
      </c>
      <c r="E589" t="s">
        <v>22</v>
      </c>
      <c r="F589" t="s">
        <v>23</v>
      </c>
      <c r="G589">
        <v>1</v>
      </c>
      <c r="H589">
        <v>9791191562392</v>
      </c>
      <c r="I589" t="s">
        <v>143</v>
      </c>
      <c r="J589" t="s">
        <v>864</v>
      </c>
      <c r="K589" t="s">
        <v>2555</v>
      </c>
      <c r="L589" t="s">
        <v>27</v>
      </c>
      <c r="M589" s="3">
        <v>2000</v>
      </c>
      <c r="N589" t="s">
        <v>200</v>
      </c>
      <c r="O589">
        <v>1.5</v>
      </c>
      <c r="P589">
        <v>1.4</v>
      </c>
      <c r="Q589" t="s">
        <v>202</v>
      </c>
      <c r="R589" s="2">
        <v>0.7</v>
      </c>
      <c r="S589">
        <v>0.98</v>
      </c>
      <c r="T589" t="s">
        <v>27</v>
      </c>
      <c r="U589" s="3">
        <v>1316</v>
      </c>
      <c r="V589" s="7" t="str">
        <f>IF(ISERROR(VLOOKUP(K589,[1]작가별정산률!$R:$S,2,0)),"스토리위즈",VLOOKUP(K589,[1]작가별정산률!$R:$S,2,0))</f>
        <v>밀리의 서재</v>
      </c>
      <c r="W589" s="7" t="str">
        <f>IF(V589="스토리위즈",VLOOKUP(K589,[1]작가별정산률!$A:$B,2,0),V589)</f>
        <v>밀리의 서재</v>
      </c>
    </row>
    <row r="590" spans="1:23" x14ac:dyDescent="0.4">
      <c r="A590" t="s">
        <v>262</v>
      </c>
      <c r="B590" t="s">
        <v>810</v>
      </c>
      <c r="C590" t="s">
        <v>865</v>
      </c>
      <c r="D590" t="s">
        <v>64</v>
      </c>
      <c r="E590" t="s">
        <v>22</v>
      </c>
      <c r="F590" t="s">
        <v>23</v>
      </c>
      <c r="G590">
        <v>1</v>
      </c>
      <c r="H590">
        <v>9791159282911</v>
      </c>
      <c r="I590" t="s">
        <v>24</v>
      </c>
      <c r="J590" t="s">
        <v>39</v>
      </c>
      <c r="K590" t="s">
        <v>26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  <c r="V590" s="7" t="str">
        <f>IF(ISERROR(VLOOKUP(K590,[1]작가별정산률!$R:$S,2,0)),"스토리위즈",VLOOKUP(K590,[1]작가별정산률!$R:$S,2,0))</f>
        <v>스토리위즈</v>
      </c>
      <c r="W590" s="7" t="str">
        <f>IF(V590="스토리위즈",VLOOKUP(K590,[1]작가별정산률!$A:$B,2,0),V590)</f>
        <v>독고진</v>
      </c>
    </row>
    <row r="591" spans="1:23" x14ac:dyDescent="0.4">
      <c r="A591" t="s">
        <v>262</v>
      </c>
      <c r="B591" t="s">
        <v>810</v>
      </c>
      <c r="C591" t="s">
        <v>866</v>
      </c>
      <c r="D591" t="s">
        <v>64</v>
      </c>
      <c r="E591" t="s">
        <v>22</v>
      </c>
      <c r="F591" t="s">
        <v>23</v>
      </c>
      <c r="G591">
        <v>1</v>
      </c>
      <c r="H591">
        <v>9791159282928</v>
      </c>
      <c r="I591" t="s">
        <v>24</v>
      </c>
      <c r="J591" t="s">
        <v>178</v>
      </c>
      <c r="K591" t="s">
        <v>26</v>
      </c>
      <c r="L591" t="s">
        <v>27</v>
      </c>
      <c r="M591">
        <v>630</v>
      </c>
      <c r="N591" t="s">
        <v>27</v>
      </c>
      <c r="O591">
        <v>630</v>
      </c>
      <c r="P591">
        <v>630</v>
      </c>
      <c r="Q591" t="s">
        <v>30</v>
      </c>
      <c r="R591" s="2">
        <v>0.7</v>
      </c>
      <c r="S591">
        <v>441</v>
      </c>
      <c r="T591" t="s">
        <v>27</v>
      </c>
      <c r="U591">
        <v>441</v>
      </c>
      <c r="V591" s="7" t="str">
        <f>IF(ISERROR(VLOOKUP(K591,[1]작가별정산률!$R:$S,2,0)),"스토리위즈",VLOOKUP(K591,[1]작가별정산률!$R:$S,2,0))</f>
        <v>스토리위즈</v>
      </c>
      <c r="W591" s="7" t="str">
        <f>IF(V591="스토리위즈",VLOOKUP(K591,[1]작가별정산률!$A:$B,2,0),V591)</f>
        <v>독고진</v>
      </c>
    </row>
    <row r="592" spans="1:23" x14ac:dyDescent="0.4">
      <c r="A592" t="s">
        <v>262</v>
      </c>
      <c r="B592" t="s">
        <v>810</v>
      </c>
      <c r="C592" t="s">
        <v>867</v>
      </c>
      <c r="D592" t="s">
        <v>64</v>
      </c>
      <c r="E592" t="s">
        <v>22</v>
      </c>
      <c r="F592" t="s">
        <v>23</v>
      </c>
      <c r="G592">
        <v>1</v>
      </c>
      <c r="H592">
        <v>9791166300202</v>
      </c>
      <c r="I592" t="s">
        <v>24</v>
      </c>
      <c r="J592" t="s">
        <v>129</v>
      </c>
      <c r="K592" t="s">
        <v>119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2">
        <v>0.7</v>
      </c>
      <c r="S592">
        <v>441</v>
      </c>
      <c r="T592" t="s">
        <v>27</v>
      </c>
      <c r="U592">
        <v>441</v>
      </c>
      <c r="V592" s="7" t="str">
        <f>IF(ISERROR(VLOOKUP(K592,[1]작가별정산률!$R:$S,2,0)),"스토리위즈",VLOOKUP(K592,[1]작가별정산률!$R:$S,2,0))</f>
        <v>스토리위즈</v>
      </c>
      <c r="W592" s="7" t="str">
        <f>IF(V592="스토리위즈",VLOOKUP(K592,[1]작가별정산률!$A:$B,2,0),V592)</f>
        <v>김광수</v>
      </c>
    </row>
    <row r="593" spans="1:23" x14ac:dyDescent="0.4">
      <c r="A593" t="s">
        <v>262</v>
      </c>
      <c r="B593" t="s">
        <v>810</v>
      </c>
      <c r="C593" t="s">
        <v>868</v>
      </c>
      <c r="D593" t="s">
        <v>64</v>
      </c>
      <c r="E593" t="s">
        <v>22</v>
      </c>
      <c r="F593" t="s">
        <v>23</v>
      </c>
      <c r="G593">
        <v>1</v>
      </c>
      <c r="H593">
        <v>9791159283116</v>
      </c>
      <c r="I593" t="s">
        <v>24</v>
      </c>
      <c r="J593" t="s">
        <v>76</v>
      </c>
      <c r="K593" t="s">
        <v>37</v>
      </c>
      <c r="L593" t="s">
        <v>27</v>
      </c>
      <c r="M593">
        <v>900</v>
      </c>
      <c r="N593" t="s">
        <v>27</v>
      </c>
      <c r="O593">
        <v>900</v>
      </c>
      <c r="P593">
        <v>900</v>
      </c>
      <c r="Q593" t="s">
        <v>30</v>
      </c>
      <c r="R593" s="2">
        <v>0.7</v>
      </c>
      <c r="S593">
        <v>630</v>
      </c>
      <c r="T593" t="s">
        <v>27</v>
      </c>
      <c r="U593">
        <v>630</v>
      </c>
      <c r="V593" s="7" t="str">
        <f>IF(ISERROR(VLOOKUP(K593,[1]작가별정산률!$R:$S,2,0)),"스토리위즈",VLOOKUP(K593,[1]작가별정산률!$R:$S,2,0))</f>
        <v>스토리위즈</v>
      </c>
      <c r="W593" s="7" t="str">
        <f>IF(V593="스토리위즈",VLOOKUP(K593,[1]작가별정산률!$A:$B,2,0),V593)</f>
        <v>권용찬</v>
      </c>
    </row>
    <row r="594" spans="1:23" x14ac:dyDescent="0.4">
      <c r="A594" t="s">
        <v>262</v>
      </c>
      <c r="B594" t="s">
        <v>810</v>
      </c>
      <c r="C594" t="s">
        <v>869</v>
      </c>
      <c r="D594" t="s">
        <v>64</v>
      </c>
      <c r="E594" t="s">
        <v>22</v>
      </c>
      <c r="F594" t="s">
        <v>23</v>
      </c>
      <c r="G594">
        <v>1</v>
      </c>
      <c r="H594">
        <v>9791166300202</v>
      </c>
      <c r="I594" t="s">
        <v>24</v>
      </c>
      <c r="J594" t="s">
        <v>129</v>
      </c>
      <c r="K594" t="s">
        <v>119</v>
      </c>
      <c r="L594" t="s">
        <v>27</v>
      </c>
      <c r="M594">
        <v>630</v>
      </c>
      <c r="N594" t="s">
        <v>27</v>
      </c>
      <c r="O594">
        <v>630</v>
      </c>
      <c r="P594">
        <v>630</v>
      </c>
      <c r="Q594" t="s">
        <v>30</v>
      </c>
      <c r="R594" s="2">
        <v>0.7</v>
      </c>
      <c r="S594">
        <v>441</v>
      </c>
      <c r="T594" t="s">
        <v>27</v>
      </c>
      <c r="U594">
        <v>441</v>
      </c>
      <c r="V594" s="7" t="str">
        <f>IF(ISERROR(VLOOKUP(K594,[1]작가별정산률!$R:$S,2,0)),"스토리위즈",VLOOKUP(K594,[1]작가별정산률!$R:$S,2,0))</f>
        <v>스토리위즈</v>
      </c>
      <c r="W594" s="7" t="str">
        <f>IF(V594="스토리위즈",VLOOKUP(K594,[1]작가별정산률!$A:$B,2,0),V594)</f>
        <v>김광수</v>
      </c>
    </row>
    <row r="595" spans="1:23" x14ac:dyDescent="0.4">
      <c r="A595" t="s">
        <v>262</v>
      </c>
      <c r="B595" t="s">
        <v>810</v>
      </c>
      <c r="C595" t="s">
        <v>870</v>
      </c>
      <c r="D595" t="s">
        <v>21</v>
      </c>
      <c r="E595" t="s">
        <v>22</v>
      </c>
      <c r="F595" t="s">
        <v>23</v>
      </c>
      <c r="G595">
        <v>1</v>
      </c>
      <c r="H595">
        <v>9791191562125</v>
      </c>
      <c r="I595" t="s">
        <v>143</v>
      </c>
      <c r="J595" t="s">
        <v>212</v>
      </c>
      <c r="K595" t="s">
        <v>213</v>
      </c>
      <c r="L595" t="s">
        <v>27</v>
      </c>
      <c r="M595" s="3">
        <v>2500</v>
      </c>
      <c r="N595" t="s">
        <v>27</v>
      </c>
      <c r="O595" s="3">
        <v>2500</v>
      </c>
      <c r="P595" s="3">
        <v>2500</v>
      </c>
      <c r="Q595" t="s">
        <v>30</v>
      </c>
      <c r="R595" s="2">
        <v>0.7</v>
      </c>
      <c r="S595" s="3">
        <v>1750</v>
      </c>
      <c r="T595" t="s">
        <v>27</v>
      </c>
      <c r="U595" s="3">
        <v>1750</v>
      </c>
      <c r="V595" s="7" t="str">
        <f>IF(ISERROR(VLOOKUP(K595,[1]작가별정산률!$R:$S,2,0)),"스토리위즈",VLOOKUP(K595,[1]작가별정산률!$R:$S,2,0))</f>
        <v>밀리의 서재</v>
      </c>
      <c r="W595" s="7" t="str">
        <f>IF(V595="스토리위즈",VLOOKUP(K595,[1]작가별정산률!$A:$B,2,0),V595)</f>
        <v>밀리의 서재</v>
      </c>
    </row>
    <row r="596" spans="1:23" x14ac:dyDescent="0.4">
      <c r="A596" t="s">
        <v>262</v>
      </c>
      <c r="B596" t="s">
        <v>810</v>
      </c>
      <c r="C596" t="s">
        <v>871</v>
      </c>
      <c r="D596" t="s">
        <v>64</v>
      </c>
      <c r="E596" t="s">
        <v>22</v>
      </c>
      <c r="F596" t="s">
        <v>23</v>
      </c>
      <c r="G596">
        <v>1</v>
      </c>
      <c r="H596">
        <v>9791166300219</v>
      </c>
      <c r="I596" t="s">
        <v>24</v>
      </c>
      <c r="J596" t="s">
        <v>130</v>
      </c>
      <c r="K596" t="s">
        <v>119</v>
      </c>
      <c r="L596" t="s">
        <v>27</v>
      </c>
      <c r="M596">
        <v>630</v>
      </c>
      <c r="N596" t="s">
        <v>27</v>
      </c>
      <c r="O596">
        <v>630</v>
      </c>
      <c r="P596">
        <v>630</v>
      </c>
      <c r="Q596" t="s">
        <v>30</v>
      </c>
      <c r="R596" s="2">
        <v>0.7</v>
      </c>
      <c r="S596">
        <v>441</v>
      </c>
      <c r="T596" t="s">
        <v>27</v>
      </c>
      <c r="U596">
        <v>441</v>
      </c>
      <c r="V596" s="7" t="str">
        <f>IF(ISERROR(VLOOKUP(K596,[1]작가별정산률!$R:$S,2,0)),"스토리위즈",VLOOKUP(K596,[1]작가별정산률!$R:$S,2,0))</f>
        <v>스토리위즈</v>
      </c>
      <c r="W596" s="7" t="str">
        <f>IF(V596="스토리위즈",VLOOKUP(K596,[1]작가별정산률!$A:$B,2,0),V596)</f>
        <v>김광수</v>
      </c>
    </row>
    <row r="597" spans="1:23" x14ac:dyDescent="0.4">
      <c r="A597" t="s">
        <v>262</v>
      </c>
      <c r="B597" t="s">
        <v>810</v>
      </c>
      <c r="C597" t="s">
        <v>872</v>
      </c>
      <c r="D597" t="s">
        <v>64</v>
      </c>
      <c r="E597" t="s">
        <v>22</v>
      </c>
      <c r="F597" t="s">
        <v>23</v>
      </c>
      <c r="G597">
        <v>1</v>
      </c>
      <c r="H597">
        <v>9791166300288</v>
      </c>
      <c r="I597" t="s">
        <v>24</v>
      </c>
      <c r="J597" t="s">
        <v>137</v>
      </c>
      <c r="K597" t="s">
        <v>119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  <c r="V597" s="7" t="str">
        <f>IF(ISERROR(VLOOKUP(K597,[1]작가별정산률!$R:$S,2,0)),"스토리위즈",VLOOKUP(K597,[1]작가별정산률!$R:$S,2,0))</f>
        <v>스토리위즈</v>
      </c>
      <c r="W597" s="7" t="str">
        <f>IF(V597="스토리위즈",VLOOKUP(K597,[1]작가별정산률!$A:$B,2,0),V597)</f>
        <v>김광수</v>
      </c>
    </row>
    <row r="598" spans="1:23" x14ac:dyDescent="0.4">
      <c r="A598" t="s">
        <v>262</v>
      </c>
      <c r="B598" t="s">
        <v>810</v>
      </c>
      <c r="C598" t="s">
        <v>873</v>
      </c>
      <c r="D598" t="s">
        <v>64</v>
      </c>
      <c r="E598" t="s">
        <v>22</v>
      </c>
      <c r="F598" t="s">
        <v>23</v>
      </c>
      <c r="G598">
        <v>1</v>
      </c>
      <c r="H598">
        <v>9791166300165</v>
      </c>
      <c r="I598" t="s">
        <v>24</v>
      </c>
      <c r="J598" t="s">
        <v>126</v>
      </c>
      <c r="K598" t="s">
        <v>119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  <c r="V598" s="7" t="str">
        <f>IF(ISERROR(VLOOKUP(K598,[1]작가별정산률!$R:$S,2,0)),"스토리위즈",VLOOKUP(K598,[1]작가별정산률!$R:$S,2,0))</f>
        <v>스토리위즈</v>
      </c>
      <c r="W598" s="7" t="str">
        <f>IF(V598="스토리위즈",VLOOKUP(K598,[1]작가별정산률!$A:$B,2,0),V598)</f>
        <v>김광수</v>
      </c>
    </row>
    <row r="599" spans="1:23" x14ac:dyDescent="0.4">
      <c r="A599" t="s">
        <v>262</v>
      </c>
      <c r="B599" t="s">
        <v>810</v>
      </c>
      <c r="C599" t="s">
        <v>874</v>
      </c>
      <c r="D599" t="s">
        <v>64</v>
      </c>
      <c r="E599" t="s">
        <v>22</v>
      </c>
      <c r="F599" t="s">
        <v>23</v>
      </c>
      <c r="G599">
        <v>1</v>
      </c>
      <c r="H599">
        <v>9791166300288</v>
      </c>
      <c r="I599" t="s">
        <v>24</v>
      </c>
      <c r="J599" t="s">
        <v>137</v>
      </c>
      <c r="K599" t="s">
        <v>119</v>
      </c>
      <c r="L599" t="s">
        <v>27</v>
      </c>
      <c r="M599">
        <v>630</v>
      </c>
      <c r="N599" t="s">
        <v>27</v>
      </c>
      <c r="O599">
        <v>630</v>
      </c>
      <c r="P599">
        <v>630</v>
      </c>
      <c r="Q599" t="s">
        <v>30</v>
      </c>
      <c r="R599" s="2">
        <v>0.7</v>
      </c>
      <c r="S599">
        <v>441</v>
      </c>
      <c r="T599" t="s">
        <v>27</v>
      </c>
      <c r="U599">
        <v>441</v>
      </c>
      <c r="V599" s="7" t="str">
        <f>IF(ISERROR(VLOOKUP(K599,[1]작가별정산률!$R:$S,2,0)),"스토리위즈",VLOOKUP(K599,[1]작가별정산률!$R:$S,2,0))</f>
        <v>스토리위즈</v>
      </c>
      <c r="W599" s="7" t="str">
        <f>IF(V599="스토리위즈",VLOOKUP(K599,[1]작가별정산률!$A:$B,2,0),V599)</f>
        <v>김광수</v>
      </c>
    </row>
    <row r="600" spans="1:23" x14ac:dyDescent="0.4">
      <c r="A600" t="s">
        <v>262</v>
      </c>
      <c r="B600" t="s">
        <v>810</v>
      </c>
      <c r="C600" t="s">
        <v>875</v>
      </c>
      <c r="D600" t="s">
        <v>64</v>
      </c>
      <c r="E600" t="s">
        <v>22</v>
      </c>
      <c r="F600" t="s">
        <v>23</v>
      </c>
      <c r="G600">
        <v>1</v>
      </c>
      <c r="H600">
        <v>9791166300257</v>
      </c>
      <c r="I600" t="s">
        <v>24</v>
      </c>
      <c r="J600" t="s">
        <v>134</v>
      </c>
      <c r="K600" t="s">
        <v>119</v>
      </c>
      <c r="L600" t="s">
        <v>27</v>
      </c>
      <c r="M600">
        <v>630</v>
      </c>
      <c r="N600" t="s">
        <v>27</v>
      </c>
      <c r="O600">
        <v>630</v>
      </c>
      <c r="P600">
        <v>630</v>
      </c>
      <c r="Q600" t="s">
        <v>30</v>
      </c>
      <c r="R600" s="2">
        <v>0.7</v>
      </c>
      <c r="S600">
        <v>441</v>
      </c>
      <c r="T600" t="s">
        <v>27</v>
      </c>
      <c r="U600">
        <v>441</v>
      </c>
      <c r="V600" s="7" t="str">
        <f>IF(ISERROR(VLOOKUP(K600,[1]작가별정산률!$R:$S,2,0)),"스토리위즈",VLOOKUP(K600,[1]작가별정산률!$R:$S,2,0))</f>
        <v>스토리위즈</v>
      </c>
      <c r="W600" s="7" t="str">
        <f>IF(V600="스토리위즈",VLOOKUP(K600,[1]작가별정산률!$A:$B,2,0),V600)</f>
        <v>김광수</v>
      </c>
    </row>
    <row r="601" spans="1:23" x14ac:dyDescent="0.4">
      <c r="A601" t="s">
        <v>262</v>
      </c>
      <c r="B601" t="s">
        <v>810</v>
      </c>
      <c r="C601" t="s">
        <v>876</v>
      </c>
      <c r="D601" t="s">
        <v>64</v>
      </c>
      <c r="E601" t="s">
        <v>22</v>
      </c>
      <c r="F601" t="s">
        <v>23</v>
      </c>
      <c r="G601">
        <v>1</v>
      </c>
      <c r="H601">
        <v>9791159283123</v>
      </c>
      <c r="I601" t="s">
        <v>24</v>
      </c>
      <c r="J601" t="s">
        <v>78</v>
      </c>
      <c r="K601" t="s">
        <v>37</v>
      </c>
      <c r="L601" t="s">
        <v>27</v>
      </c>
      <c r="M601">
        <v>900</v>
      </c>
      <c r="N601" t="s">
        <v>27</v>
      </c>
      <c r="O601">
        <v>900</v>
      </c>
      <c r="P601">
        <v>900</v>
      </c>
      <c r="Q601" t="s">
        <v>30</v>
      </c>
      <c r="R601" s="2">
        <v>0.7</v>
      </c>
      <c r="S601">
        <v>630</v>
      </c>
      <c r="T601" t="s">
        <v>27</v>
      </c>
      <c r="U601">
        <v>630</v>
      </c>
      <c r="V601" s="7" t="str">
        <f>IF(ISERROR(VLOOKUP(K601,[1]작가별정산률!$R:$S,2,0)),"스토리위즈",VLOOKUP(K601,[1]작가별정산률!$R:$S,2,0))</f>
        <v>스토리위즈</v>
      </c>
      <c r="W601" s="7" t="str">
        <f>IF(V601="스토리위즈",VLOOKUP(K601,[1]작가별정산률!$A:$B,2,0),V601)</f>
        <v>권용찬</v>
      </c>
    </row>
    <row r="602" spans="1:23" x14ac:dyDescent="0.4">
      <c r="A602" t="s">
        <v>262</v>
      </c>
      <c r="B602" t="s">
        <v>810</v>
      </c>
      <c r="C602" t="s">
        <v>877</v>
      </c>
      <c r="D602" t="s">
        <v>21</v>
      </c>
      <c r="E602" t="s">
        <v>22</v>
      </c>
      <c r="F602" t="s">
        <v>23</v>
      </c>
      <c r="G602">
        <v>1</v>
      </c>
      <c r="H602">
        <v>9791191562408</v>
      </c>
      <c r="I602" t="s">
        <v>143</v>
      </c>
      <c r="J602" t="s">
        <v>698</v>
      </c>
      <c r="K602" t="s">
        <v>215</v>
      </c>
      <c r="L602" t="s">
        <v>27</v>
      </c>
      <c r="M602" s="3">
        <v>2000</v>
      </c>
      <c r="N602" t="s">
        <v>27</v>
      </c>
      <c r="O602" s="3">
        <v>2000</v>
      </c>
      <c r="P602" s="3">
        <v>2000</v>
      </c>
      <c r="Q602" t="s">
        <v>30</v>
      </c>
      <c r="R602" s="2">
        <v>0.7</v>
      </c>
      <c r="S602" s="3">
        <v>1400</v>
      </c>
      <c r="T602" t="s">
        <v>27</v>
      </c>
      <c r="U602" s="3">
        <v>1400</v>
      </c>
      <c r="V602" s="7" t="str">
        <f>IF(ISERROR(VLOOKUP(K602,[1]작가별정산률!$R:$S,2,0)),"스토리위즈",VLOOKUP(K602,[1]작가별정산률!$R:$S,2,0))</f>
        <v>밀리의 서재</v>
      </c>
      <c r="W602" s="7" t="str">
        <f>IF(V602="스토리위즈",VLOOKUP(K602,[1]작가별정산률!$A:$B,2,0),V602)</f>
        <v>밀리의 서재</v>
      </c>
    </row>
    <row r="603" spans="1:23" x14ac:dyDescent="0.4">
      <c r="A603" t="s">
        <v>262</v>
      </c>
      <c r="B603" t="s">
        <v>810</v>
      </c>
      <c r="C603" t="s">
        <v>878</v>
      </c>
      <c r="D603" t="s">
        <v>21</v>
      </c>
      <c r="E603" t="s">
        <v>22</v>
      </c>
      <c r="F603" t="s">
        <v>23</v>
      </c>
      <c r="G603">
        <v>1</v>
      </c>
      <c r="H603">
        <v>9791191562224</v>
      </c>
      <c r="I603" t="s">
        <v>143</v>
      </c>
      <c r="J603" t="s">
        <v>221</v>
      </c>
      <c r="K603" t="s">
        <v>222</v>
      </c>
      <c r="L603" t="s">
        <v>27</v>
      </c>
      <c r="M603" s="3">
        <v>2500</v>
      </c>
      <c r="N603" t="s">
        <v>27</v>
      </c>
      <c r="O603" s="3">
        <v>2500</v>
      </c>
      <c r="P603" s="3">
        <v>2500</v>
      </c>
      <c r="Q603" t="s">
        <v>30</v>
      </c>
      <c r="R603" s="2">
        <v>0.7</v>
      </c>
      <c r="S603" s="3">
        <v>1750</v>
      </c>
      <c r="T603" t="s">
        <v>27</v>
      </c>
      <c r="U603" s="3">
        <v>1750</v>
      </c>
      <c r="V603" s="7" t="str">
        <f>IF(ISERROR(VLOOKUP(K603,[1]작가별정산률!$R:$S,2,0)),"스토리위즈",VLOOKUP(K603,[1]작가별정산률!$R:$S,2,0))</f>
        <v>밀리의 서재</v>
      </c>
      <c r="W603" s="7" t="str">
        <f>IF(V603="스토리위즈",VLOOKUP(K603,[1]작가별정산률!$A:$B,2,0),V603)</f>
        <v>밀리의 서재</v>
      </c>
    </row>
    <row r="604" spans="1:23" x14ac:dyDescent="0.4">
      <c r="A604" t="s">
        <v>262</v>
      </c>
      <c r="B604" t="s">
        <v>810</v>
      </c>
      <c r="C604" t="s">
        <v>879</v>
      </c>
      <c r="D604" t="s">
        <v>64</v>
      </c>
      <c r="E604" t="s">
        <v>22</v>
      </c>
      <c r="F604" t="s">
        <v>23</v>
      </c>
      <c r="G604">
        <v>1</v>
      </c>
      <c r="H604">
        <v>9791166061158</v>
      </c>
      <c r="I604" t="s">
        <v>24</v>
      </c>
      <c r="J604" t="s">
        <v>101</v>
      </c>
      <c r="K604" t="s">
        <v>37</v>
      </c>
      <c r="L604" t="s">
        <v>27</v>
      </c>
      <c r="M604">
        <v>900</v>
      </c>
      <c r="N604" t="s">
        <v>27</v>
      </c>
      <c r="O604">
        <v>900</v>
      </c>
      <c r="P604">
        <v>900</v>
      </c>
      <c r="Q604" t="s">
        <v>30</v>
      </c>
      <c r="R604" s="2">
        <v>0.7</v>
      </c>
      <c r="S604">
        <v>630</v>
      </c>
      <c r="T604" t="s">
        <v>27</v>
      </c>
      <c r="U604">
        <v>630</v>
      </c>
      <c r="V604" s="7" t="str">
        <f>IF(ISERROR(VLOOKUP(K604,[1]작가별정산률!$R:$S,2,0)),"스토리위즈",VLOOKUP(K604,[1]작가별정산률!$R:$S,2,0))</f>
        <v>스토리위즈</v>
      </c>
      <c r="W604" s="7" t="str">
        <f>IF(V604="스토리위즈",VLOOKUP(K604,[1]작가별정산률!$A:$B,2,0),V604)</f>
        <v>권용찬</v>
      </c>
    </row>
    <row r="605" spans="1:23" x14ac:dyDescent="0.4">
      <c r="A605" t="s">
        <v>262</v>
      </c>
      <c r="B605" t="s">
        <v>810</v>
      </c>
      <c r="C605" t="s">
        <v>880</v>
      </c>
      <c r="D605" t="s">
        <v>64</v>
      </c>
      <c r="E605" t="s">
        <v>22</v>
      </c>
      <c r="F605" t="s">
        <v>23</v>
      </c>
      <c r="G605">
        <v>1</v>
      </c>
      <c r="H605">
        <v>9791166300127</v>
      </c>
      <c r="I605" t="s">
        <v>24</v>
      </c>
      <c r="J605" t="s">
        <v>122</v>
      </c>
      <c r="K605" t="s">
        <v>119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  <c r="V605" s="7" t="str">
        <f>IF(ISERROR(VLOOKUP(K605,[1]작가별정산률!$R:$S,2,0)),"스토리위즈",VLOOKUP(K605,[1]작가별정산률!$R:$S,2,0))</f>
        <v>스토리위즈</v>
      </c>
      <c r="W605" s="7" t="str">
        <f>IF(V605="스토리위즈",VLOOKUP(K605,[1]작가별정산률!$A:$B,2,0),V605)</f>
        <v>김광수</v>
      </c>
    </row>
    <row r="606" spans="1:23" x14ac:dyDescent="0.4">
      <c r="A606" t="s">
        <v>262</v>
      </c>
      <c r="B606" t="s">
        <v>810</v>
      </c>
      <c r="C606" t="s">
        <v>881</v>
      </c>
      <c r="D606" t="s">
        <v>64</v>
      </c>
      <c r="E606" t="s">
        <v>22</v>
      </c>
      <c r="F606" t="s">
        <v>23</v>
      </c>
      <c r="G606">
        <v>1</v>
      </c>
      <c r="H606">
        <v>9791166300226</v>
      </c>
      <c r="I606" t="s">
        <v>24</v>
      </c>
      <c r="J606" t="s">
        <v>131</v>
      </c>
      <c r="K606" t="s">
        <v>119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2">
        <v>0.7</v>
      </c>
      <c r="S606">
        <v>441</v>
      </c>
      <c r="T606" t="s">
        <v>27</v>
      </c>
      <c r="U606">
        <v>441</v>
      </c>
      <c r="V606" s="7" t="str">
        <f>IF(ISERROR(VLOOKUP(K606,[1]작가별정산률!$R:$S,2,0)),"스토리위즈",VLOOKUP(K606,[1]작가별정산률!$R:$S,2,0))</f>
        <v>스토리위즈</v>
      </c>
      <c r="W606" s="7" t="str">
        <f>IF(V606="스토리위즈",VLOOKUP(K606,[1]작가별정산률!$A:$B,2,0),V606)</f>
        <v>김광수</v>
      </c>
    </row>
    <row r="607" spans="1:23" x14ac:dyDescent="0.4">
      <c r="A607" t="s">
        <v>262</v>
      </c>
      <c r="B607" t="s">
        <v>810</v>
      </c>
      <c r="C607" t="s">
        <v>882</v>
      </c>
      <c r="D607" t="s">
        <v>64</v>
      </c>
      <c r="E607" t="s">
        <v>22</v>
      </c>
      <c r="F607" t="s">
        <v>23</v>
      </c>
      <c r="G607">
        <v>1</v>
      </c>
      <c r="H607">
        <v>9791166064401</v>
      </c>
      <c r="I607" t="s">
        <v>24</v>
      </c>
      <c r="J607" t="s">
        <v>111</v>
      </c>
      <c r="K607" t="s">
        <v>102</v>
      </c>
      <c r="L607" t="s">
        <v>27</v>
      </c>
      <c r="M607">
        <v>720</v>
      </c>
      <c r="N607" t="s">
        <v>27</v>
      </c>
      <c r="O607">
        <v>720</v>
      </c>
      <c r="P607">
        <v>720</v>
      </c>
      <c r="Q607" t="s">
        <v>30</v>
      </c>
      <c r="R607" s="2">
        <v>0.7</v>
      </c>
      <c r="S607">
        <v>504</v>
      </c>
      <c r="T607" t="s">
        <v>27</v>
      </c>
      <c r="U607">
        <v>504</v>
      </c>
      <c r="V607" s="7" t="str">
        <f>IF(ISERROR(VLOOKUP(K607,[1]작가별정산률!$R:$S,2,0)),"스토리위즈",VLOOKUP(K607,[1]작가별정산률!$R:$S,2,0))</f>
        <v>스토리위즈</v>
      </c>
      <c r="W607" s="7" t="str">
        <f>IF(V607="스토리위즈",VLOOKUP(K607,[1]작가별정산률!$A:$B,2,0),V607)</f>
        <v>예로나</v>
      </c>
    </row>
    <row r="608" spans="1:23" x14ac:dyDescent="0.4">
      <c r="A608" t="s">
        <v>262</v>
      </c>
      <c r="B608" t="s">
        <v>810</v>
      </c>
      <c r="C608" t="s">
        <v>883</v>
      </c>
      <c r="D608" t="s">
        <v>21</v>
      </c>
      <c r="E608" t="s">
        <v>22</v>
      </c>
      <c r="F608" t="s">
        <v>23</v>
      </c>
      <c r="G608">
        <v>1</v>
      </c>
      <c r="H608">
        <v>9791197098413</v>
      </c>
      <c r="I608" t="s">
        <v>24</v>
      </c>
      <c r="J608" t="s">
        <v>233</v>
      </c>
      <c r="K608" t="s">
        <v>37</v>
      </c>
      <c r="L608" t="s">
        <v>27</v>
      </c>
      <c r="M608" s="3">
        <v>3200</v>
      </c>
      <c r="N608" t="s">
        <v>27</v>
      </c>
      <c r="O608" s="3">
        <v>3200</v>
      </c>
      <c r="P608" s="3">
        <v>3200</v>
      </c>
      <c r="Q608" t="s">
        <v>30</v>
      </c>
      <c r="R608" s="2">
        <v>0.7</v>
      </c>
      <c r="S608" s="3">
        <v>2240</v>
      </c>
      <c r="T608" t="s">
        <v>27</v>
      </c>
      <c r="U608" s="3">
        <v>2240</v>
      </c>
      <c r="V608" s="7" t="str">
        <f>IF(ISERROR(VLOOKUP(K608,[1]작가별정산률!$R:$S,2,0)),"스토리위즈",VLOOKUP(K608,[1]작가별정산률!$R:$S,2,0))</f>
        <v>스토리위즈</v>
      </c>
      <c r="W608" s="7" t="str">
        <f>IF(V608="스토리위즈",VLOOKUP(K608,[1]작가별정산률!$A:$B,2,0),V608)</f>
        <v>권용찬</v>
      </c>
    </row>
    <row r="609" spans="1:23" x14ac:dyDescent="0.4">
      <c r="A609" t="s">
        <v>262</v>
      </c>
      <c r="B609" t="s">
        <v>810</v>
      </c>
      <c r="C609" t="s">
        <v>884</v>
      </c>
      <c r="D609" t="s">
        <v>21</v>
      </c>
      <c r="E609" t="s">
        <v>22</v>
      </c>
      <c r="F609" t="s">
        <v>23</v>
      </c>
      <c r="G609">
        <v>1</v>
      </c>
      <c r="H609">
        <v>9791191562262</v>
      </c>
      <c r="I609" t="s">
        <v>143</v>
      </c>
      <c r="J609" t="s">
        <v>250</v>
      </c>
      <c r="K609" t="s">
        <v>251</v>
      </c>
      <c r="L609" t="s">
        <v>27</v>
      </c>
      <c r="M609" s="3">
        <v>2000</v>
      </c>
      <c r="N609" t="s">
        <v>27</v>
      </c>
      <c r="O609" s="3">
        <v>2000</v>
      </c>
      <c r="P609" s="3">
        <v>2000</v>
      </c>
      <c r="Q609" t="s">
        <v>30</v>
      </c>
      <c r="R609" s="2">
        <v>0.7</v>
      </c>
      <c r="S609" s="3">
        <v>1400</v>
      </c>
      <c r="T609" t="s">
        <v>27</v>
      </c>
      <c r="U609" s="3">
        <v>1400</v>
      </c>
      <c r="V609" s="7" t="str">
        <f>IF(ISERROR(VLOOKUP(K609,[1]작가별정산률!$R:$S,2,0)),"스토리위즈",VLOOKUP(K609,[1]작가별정산률!$R:$S,2,0))</f>
        <v>밀리의 서재</v>
      </c>
      <c r="W609" s="7" t="str">
        <f>IF(V609="스토리위즈",VLOOKUP(K609,[1]작가별정산률!$A:$B,2,0),V609)</f>
        <v>밀리의 서재</v>
      </c>
    </row>
    <row r="610" spans="1:23" x14ac:dyDescent="0.4">
      <c r="A610" t="s">
        <v>262</v>
      </c>
      <c r="B610" t="s">
        <v>810</v>
      </c>
      <c r="C610" t="s">
        <v>885</v>
      </c>
      <c r="D610" t="s">
        <v>64</v>
      </c>
      <c r="E610" t="s">
        <v>22</v>
      </c>
      <c r="F610" t="s">
        <v>23</v>
      </c>
      <c r="G610">
        <v>1</v>
      </c>
      <c r="H610">
        <v>9791166300271</v>
      </c>
      <c r="I610" t="s">
        <v>24</v>
      </c>
      <c r="J610" t="s">
        <v>136</v>
      </c>
      <c r="K610" t="s">
        <v>119</v>
      </c>
      <c r="L610" t="s">
        <v>27</v>
      </c>
      <c r="M610">
        <v>630</v>
      </c>
      <c r="N610" t="s">
        <v>27</v>
      </c>
      <c r="O610">
        <v>630</v>
      </c>
      <c r="P610">
        <v>630</v>
      </c>
      <c r="Q610" t="s">
        <v>30</v>
      </c>
      <c r="R610" s="2">
        <v>0.7</v>
      </c>
      <c r="S610">
        <v>441</v>
      </c>
      <c r="T610" t="s">
        <v>27</v>
      </c>
      <c r="U610">
        <v>441</v>
      </c>
      <c r="V610" s="7" t="str">
        <f>IF(ISERROR(VLOOKUP(K610,[1]작가별정산률!$R:$S,2,0)),"스토리위즈",VLOOKUP(K610,[1]작가별정산률!$R:$S,2,0))</f>
        <v>스토리위즈</v>
      </c>
      <c r="W610" s="7" t="str">
        <f>IF(V610="스토리위즈",VLOOKUP(K610,[1]작가별정산률!$A:$B,2,0),V610)</f>
        <v>김광수</v>
      </c>
    </row>
    <row r="611" spans="1:23" x14ac:dyDescent="0.4">
      <c r="A611" t="s">
        <v>262</v>
      </c>
      <c r="B611" t="s">
        <v>810</v>
      </c>
      <c r="C611" t="s">
        <v>886</v>
      </c>
      <c r="D611" t="s">
        <v>64</v>
      </c>
      <c r="E611" t="s">
        <v>22</v>
      </c>
      <c r="F611" t="s">
        <v>23</v>
      </c>
      <c r="G611">
        <v>1</v>
      </c>
      <c r="H611">
        <v>9791166300295</v>
      </c>
      <c r="I611" t="s">
        <v>24</v>
      </c>
      <c r="J611" t="s">
        <v>138</v>
      </c>
      <c r="K611" t="s">
        <v>119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2">
        <v>0.7</v>
      </c>
      <c r="S611">
        <v>441</v>
      </c>
      <c r="T611" t="s">
        <v>27</v>
      </c>
      <c r="U611">
        <v>441</v>
      </c>
      <c r="V611" s="7" t="str">
        <f>IF(ISERROR(VLOOKUP(K611,[1]작가별정산률!$R:$S,2,0)),"스토리위즈",VLOOKUP(K611,[1]작가별정산률!$R:$S,2,0))</f>
        <v>스토리위즈</v>
      </c>
      <c r="W611" s="7" t="str">
        <f>IF(V611="스토리위즈",VLOOKUP(K611,[1]작가별정산률!$A:$B,2,0),V611)</f>
        <v>김광수</v>
      </c>
    </row>
    <row r="612" spans="1:23" x14ac:dyDescent="0.4">
      <c r="A612" t="s">
        <v>262</v>
      </c>
      <c r="B612" t="s">
        <v>810</v>
      </c>
      <c r="C612" t="s">
        <v>887</v>
      </c>
      <c r="D612" t="s">
        <v>64</v>
      </c>
      <c r="E612" t="s">
        <v>22</v>
      </c>
      <c r="F612" t="s">
        <v>23</v>
      </c>
      <c r="G612">
        <v>1</v>
      </c>
      <c r="H612">
        <v>9791166300295</v>
      </c>
      <c r="I612" t="s">
        <v>24</v>
      </c>
      <c r="J612" t="s">
        <v>138</v>
      </c>
      <c r="K612" t="s">
        <v>119</v>
      </c>
      <c r="L612" t="s">
        <v>27</v>
      </c>
      <c r="M612">
        <v>630</v>
      </c>
      <c r="N612" t="s">
        <v>27</v>
      </c>
      <c r="O612">
        <v>630</v>
      </c>
      <c r="P612">
        <v>630</v>
      </c>
      <c r="Q612" t="s">
        <v>30</v>
      </c>
      <c r="R612" s="2">
        <v>0.7</v>
      </c>
      <c r="S612">
        <v>441</v>
      </c>
      <c r="T612" t="s">
        <v>27</v>
      </c>
      <c r="U612">
        <v>441</v>
      </c>
      <c r="V612" s="7" t="str">
        <f>IF(ISERROR(VLOOKUP(K612,[1]작가별정산률!$R:$S,2,0)),"스토리위즈",VLOOKUP(K612,[1]작가별정산률!$R:$S,2,0))</f>
        <v>스토리위즈</v>
      </c>
      <c r="W612" s="7" t="str">
        <f>IF(V612="스토리위즈",VLOOKUP(K612,[1]작가별정산률!$A:$B,2,0),V612)</f>
        <v>김광수</v>
      </c>
    </row>
    <row r="613" spans="1:23" x14ac:dyDescent="0.4">
      <c r="A613" t="s">
        <v>262</v>
      </c>
      <c r="B613" t="s">
        <v>810</v>
      </c>
      <c r="C613" t="s">
        <v>888</v>
      </c>
      <c r="D613" t="s">
        <v>64</v>
      </c>
      <c r="E613" t="s">
        <v>22</v>
      </c>
      <c r="F613" t="s">
        <v>23</v>
      </c>
      <c r="G613">
        <v>1</v>
      </c>
      <c r="H613">
        <v>9791166300233</v>
      </c>
      <c r="I613" t="s">
        <v>24</v>
      </c>
      <c r="J613" t="s">
        <v>132</v>
      </c>
      <c r="K613" t="s">
        <v>119</v>
      </c>
      <c r="L613" t="s">
        <v>27</v>
      </c>
      <c r="M613">
        <v>630</v>
      </c>
      <c r="N613" t="s">
        <v>27</v>
      </c>
      <c r="O613">
        <v>630</v>
      </c>
      <c r="P613">
        <v>630</v>
      </c>
      <c r="Q613" t="s">
        <v>30</v>
      </c>
      <c r="R613" s="2">
        <v>0.7</v>
      </c>
      <c r="S613">
        <v>441</v>
      </c>
      <c r="T613" t="s">
        <v>27</v>
      </c>
      <c r="U613">
        <v>441</v>
      </c>
      <c r="V613" s="7" t="str">
        <f>IF(ISERROR(VLOOKUP(K613,[1]작가별정산률!$R:$S,2,0)),"스토리위즈",VLOOKUP(K613,[1]작가별정산률!$R:$S,2,0))</f>
        <v>스토리위즈</v>
      </c>
      <c r="W613" s="7" t="str">
        <f>IF(V613="스토리위즈",VLOOKUP(K613,[1]작가별정산률!$A:$B,2,0),V613)</f>
        <v>김광수</v>
      </c>
    </row>
    <row r="614" spans="1:23" x14ac:dyDescent="0.4">
      <c r="A614" t="s">
        <v>262</v>
      </c>
      <c r="B614" t="s">
        <v>810</v>
      </c>
      <c r="C614" t="s">
        <v>889</v>
      </c>
      <c r="D614" t="s">
        <v>21</v>
      </c>
      <c r="E614" t="s">
        <v>22</v>
      </c>
      <c r="F614" t="s">
        <v>23</v>
      </c>
      <c r="G614">
        <v>1</v>
      </c>
      <c r="H614">
        <v>9791166300127</v>
      </c>
      <c r="I614" t="s">
        <v>24</v>
      </c>
      <c r="J614" t="s">
        <v>122</v>
      </c>
      <c r="K614" t="s">
        <v>119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  <c r="V614" s="7" t="str">
        <f>IF(ISERROR(VLOOKUP(K614,[1]작가별정산률!$R:$S,2,0)),"스토리위즈",VLOOKUP(K614,[1]작가별정산률!$R:$S,2,0))</f>
        <v>스토리위즈</v>
      </c>
      <c r="W614" s="7" t="str">
        <f>IF(V614="스토리위즈",VLOOKUP(K614,[1]작가별정산률!$A:$B,2,0),V614)</f>
        <v>김광수</v>
      </c>
    </row>
    <row r="615" spans="1:23" x14ac:dyDescent="0.4">
      <c r="A615" t="s">
        <v>262</v>
      </c>
      <c r="B615" t="s">
        <v>810</v>
      </c>
      <c r="C615" t="s">
        <v>890</v>
      </c>
      <c r="D615" t="s">
        <v>64</v>
      </c>
      <c r="E615" t="s">
        <v>22</v>
      </c>
      <c r="F615" t="s">
        <v>23</v>
      </c>
      <c r="G615">
        <v>1</v>
      </c>
      <c r="H615">
        <v>9791166300462</v>
      </c>
      <c r="I615" t="s">
        <v>24</v>
      </c>
      <c r="J615" t="s">
        <v>144</v>
      </c>
      <c r="K615" t="s">
        <v>119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  <c r="V615" s="7" t="str">
        <f>IF(ISERROR(VLOOKUP(K615,[1]작가별정산률!$R:$S,2,0)),"스토리위즈",VLOOKUP(K615,[1]작가별정산률!$R:$S,2,0))</f>
        <v>스토리위즈</v>
      </c>
      <c r="W615" s="7" t="str">
        <f>IF(V615="스토리위즈",VLOOKUP(K615,[1]작가별정산률!$A:$B,2,0),V615)</f>
        <v>김광수</v>
      </c>
    </row>
    <row r="616" spans="1:23" x14ac:dyDescent="0.4">
      <c r="A616" t="s">
        <v>262</v>
      </c>
      <c r="B616" t="s">
        <v>810</v>
      </c>
      <c r="C616" t="s">
        <v>891</v>
      </c>
      <c r="D616" t="s">
        <v>21</v>
      </c>
      <c r="E616" t="s">
        <v>22</v>
      </c>
      <c r="F616" t="s">
        <v>23</v>
      </c>
      <c r="G616">
        <v>1</v>
      </c>
      <c r="H616">
        <v>9791196945268</v>
      </c>
      <c r="I616" t="s">
        <v>143</v>
      </c>
      <c r="J616" t="s">
        <v>185</v>
      </c>
      <c r="K616" t="s">
        <v>188</v>
      </c>
      <c r="L616" t="s">
        <v>27</v>
      </c>
      <c r="M616" s="3">
        <v>2500</v>
      </c>
      <c r="N616" t="s">
        <v>28</v>
      </c>
      <c r="O616">
        <v>2.06</v>
      </c>
      <c r="P616">
        <v>2.06</v>
      </c>
      <c r="Q616" t="s">
        <v>29</v>
      </c>
      <c r="R616" s="2">
        <v>0.7</v>
      </c>
      <c r="S616">
        <v>1.44</v>
      </c>
      <c r="T616" t="s">
        <v>27</v>
      </c>
      <c r="U616" s="3">
        <v>1835</v>
      </c>
      <c r="V616" s="7" t="str">
        <f>IF(ISERROR(VLOOKUP(K616,[1]작가별정산률!$R:$S,2,0)),"스토리위즈",VLOOKUP(K616,[1]작가별정산률!$R:$S,2,0))</f>
        <v>밀리의 서재</v>
      </c>
      <c r="W616" s="7" t="str">
        <f>IF(V616="스토리위즈",VLOOKUP(K616,[1]작가별정산률!$A:$B,2,0),V616)</f>
        <v>밀리의 서재</v>
      </c>
    </row>
    <row r="617" spans="1:23" x14ac:dyDescent="0.4">
      <c r="A617" t="s">
        <v>262</v>
      </c>
      <c r="B617" t="s">
        <v>810</v>
      </c>
      <c r="C617" t="s">
        <v>892</v>
      </c>
      <c r="D617" t="s">
        <v>21</v>
      </c>
      <c r="E617" t="s">
        <v>22</v>
      </c>
      <c r="F617" t="s">
        <v>23</v>
      </c>
      <c r="G617">
        <v>1</v>
      </c>
      <c r="H617">
        <v>9791189084813</v>
      </c>
      <c r="I617" t="s">
        <v>143</v>
      </c>
      <c r="J617" t="s">
        <v>563</v>
      </c>
      <c r="K617" t="s">
        <v>564</v>
      </c>
      <c r="L617" t="s">
        <v>27</v>
      </c>
      <c r="M617" s="3">
        <v>4000</v>
      </c>
      <c r="N617" t="s">
        <v>27</v>
      </c>
      <c r="O617" s="3">
        <v>4000</v>
      </c>
      <c r="P617" s="3">
        <v>4000</v>
      </c>
      <c r="Q617" t="s">
        <v>30</v>
      </c>
      <c r="R617" s="2">
        <v>0.7</v>
      </c>
      <c r="S617" s="3">
        <v>2800</v>
      </c>
      <c r="T617" t="s">
        <v>27</v>
      </c>
      <c r="U617" s="3">
        <v>2800</v>
      </c>
      <c r="V617" s="7" t="str">
        <f>IF(ISERROR(VLOOKUP(K617,[1]작가별정산률!$R:$S,2,0)),"스토리위즈",VLOOKUP(K617,[1]작가별정산률!$R:$S,2,0))</f>
        <v>스토리위즈</v>
      </c>
      <c r="W617" s="7" t="str">
        <f>IF(V617="스토리위즈",VLOOKUP(K617,[1]작가별정산률!$A:$B,2,0),V617)</f>
        <v>셔틀</v>
      </c>
    </row>
    <row r="618" spans="1:23" x14ac:dyDescent="0.4">
      <c r="A618" t="s">
        <v>262</v>
      </c>
      <c r="B618" t="s">
        <v>810</v>
      </c>
      <c r="C618" t="s">
        <v>893</v>
      </c>
      <c r="D618" t="s">
        <v>64</v>
      </c>
      <c r="E618" t="s">
        <v>22</v>
      </c>
      <c r="F618" t="s">
        <v>23</v>
      </c>
      <c r="G618">
        <v>1</v>
      </c>
      <c r="H618">
        <v>9791166300301</v>
      </c>
      <c r="I618" t="s">
        <v>24</v>
      </c>
      <c r="J618" t="s">
        <v>139</v>
      </c>
      <c r="K618" t="s">
        <v>119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2">
        <v>0.7</v>
      </c>
      <c r="S618">
        <v>441</v>
      </c>
      <c r="T618" t="s">
        <v>27</v>
      </c>
      <c r="U618">
        <v>441</v>
      </c>
      <c r="V618" s="7" t="str">
        <f>IF(ISERROR(VLOOKUP(K618,[1]작가별정산률!$R:$S,2,0)),"스토리위즈",VLOOKUP(K618,[1]작가별정산률!$R:$S,2,0))</f>
        <v>스토리위즈</v>
      </c>
      <c r="W618" s="7" t="str">
        <f>IF(V618="스토리위즈",VLOOKUP(K618,[1]작가별정산률!$A:$B,2,0),V618)</f>
        <v>김광수</v>
      </c>
    </row>
    <row r="619" spans="1:23" x14ac:dyDescent="0.4">
      <c r="A619" t="s">
        <v>262</v>
      </c>
      <c r="B619" t="s">
        <v>810</v>
      </c>
      <c r="C619" t="s">
        <v>894</v>
      </c>
      <c r="D619" t="s">
        <v>64</v>
      </c>
      <c r="E619" t="s">
        <v>22</v>
      </c>
      <c r="F619" t="s">
        <v>23</v>
      </c>
      <c r="G619">
        <v>1</v>
      </c>
      <c r="H619">
        <v>9791166300240</v>
      </c>
      <c r="I619" t="s">
        <v>24</v>
      </c>
      <c r="J619" t="s">
        <v>133</v>
      </c>
      <c r="K619" t="s">
        <v>119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2">
        <v>0.7</v>
      </c>
      <c r="S619">
        <v>441</v>
      </c>
      <c r="T619" t="s">
        <v>27</v>
      </c>
      <c r="U619">
        <v>441</v>
      </c>
      <c r="V619" s="7" t="str">
        <f>IF(ISERROR(VLOOKUP(K619,[1]작가별정산률!$R:$S,2,0)),"스토리위즈",VLOOKUP(K619,[1]작가별정산률!$R:$S,2,0))</f>
        <v>스토리위즈</v>
      </c>
      <c r="W619" s="7" t="str">
        <f>IF(V619="스토리위즈",VLOOKUP(K619,[1]작가별정산률!$A:$B,2,0),V619)</f>
        <v>김광수</v>
      </c>
    </row>
    <row r="620" spans="1:23" x14ac:dyDescent="0.4">
      <c r="A620" t="s">
        <v>262</v>
      </c>
      <c r="B620" t="s">
        <v>810</v>
      </c>
      <c r="C620" t="s">
        <v>895</v>
      </c>
      <c r="D620" t="s">
        <v>64</v>
      </c>
      <c r="E620" t="s">
        <v>22</v>
      </c>
      <c r="F620" t="s">
        <v>23</v>
      </c>
      <c r="G620">
        <v>1</v>
      </c>
      <c r="H620">
        <v>9791166300219</v>
      </c>
      <c r="I620" t="s">
        <v>24</v>
      </c>
      <c r="J620" t="s">
        <v>130</v>
      </c>
      <c r="K620" t="s">
        <v>119</v>
      </c>
      <c r="L620" t="s">
        <v>27</v>
      </c>
      <c r="M620">
        <v>630</v>
      </c>
      <c r="N620" t="s">
        <v>27</v>
      </c>
      <c r="O620">
        <v>630</v>
      </c>
      <c r="P620">
        <v>630</v>
      </c>
      <c r="Q620" t="s">
        <v>30</v>
      </c>
      <c r="R620" s="2">
        <v>0.7</v>
      </c>
      <c r="S620">
        <v>441</v>
      </c>
      <c r="T620" t="s">
        <v>27</v>
      </c>
      <c r="U620">
        <v>441</v>
      </c>
      <c r="V620" s="7" t="str">
        <f>IF(ISERROR(VLOOKUP(K620,[1]작가별정산률!$R:$S,2,0)),"스토리위즈",VLOOKUP(K620,[1]작가별정산률!$R:$S,2,0))</f>
        <v>스토리위즈</v>
      </c>
      <c r="W620" s="7" t="str">
        <f>IF(V620="스토리위즈",VLOOKUP(K620,[1]작가별정산률!$A:$B,2,0),V620)</f>
        <v>김광수</v>
      </c>
    </row>
    <row r="621" spans="1:23" x14ac:dyDescent="0.4">
      <c r="A621" t="s">
        <v>262</v>
      </c>
      <c r="B621" t="s">
        <v>810</v>
      </c>
      <c r="C621" t="s">
        <v>896</v>
      </c>
      <c r="D621" t="s">
        <v>64</v>
      </c>
      <c r="E621" t="s">
        <v>22</v>
      </c>
      <c r="F621" t="s">
        <v>23</v>
      </c>
      <c r="G621">
        <v>1</v>
      </c>
      <c r="H621">
        <v>9791166300158</v>
      </c>
      <c r="I621" t="s">
        <v>24</v>
      </c>
      <c r="J621" t="s">
        <v>125</v>
      </c>
      <c r="K621" t="s">
        <v>119</v>
      </c>
      <c r="L621" t="s">
        <v>27</v>
      </c>
      <c r="M621">
        <v>630</v>
      </c>
      <c r="N621" t="s">
        <v>27</v>
      </c>
      <c r="O621">
        <v>630</v>
      </c>
      <c r="P621">
        <v>630</v>
      </c>
      <c r="Q621" t="s">
        <v>30</v>
      </c>
      <c r="R621" s="2">
        <v>0.7</v>
      </c>
      <c r="S621">
        <v>441</v>
      </c>
      <c r="T621" t="s">
        <v>27</v>
      </c>
      <c r="U621">
        <v>441</v>
      </c>
      <c r="V621" s="7" t="str">
        <f>IF(ISERROR(VLOOKUP(K621,[1]작가별정산률!$R:$S,2,0)),"스토리위즈",VLOOKUP(K621,[1]작가별정산률!$R:$S,2,0))</f>
        <v>스토리위즈</v>
      </c>
      <c r="W621" s="7" t="str">
        <f>IF(V621="스토리위즈",VLOOKUP(K621,[1]작가별정산률!$A:$B,2,0),V621)</f>
        <v>김광수</v>
      </c>
    </row>
    <row r="622" spans="1:23" x14ac:dyDescent="0.4">
      <c r="A622" t="s">
        <v>262</v>
      </c>
      <c r="B622" t="s">
        <v>810</v>
      </c>
      <c r="C622" t="s">
        <v>897</v>
      </c>
      <c r="D622" t="s">
        <v>64</v>
      </c>
      <c r="E622" t="s">
        <v>22</v>
      </c>
      <c r="F622" t="s">
        <v>23</v>
      </c>
      <c r="G622">
        <v>1</v>
      </c>
      <c r="H622">
        <v>9791166300301</v>
      </c>
      <c r="I622" t="s">
        <v>24</v>
      </c>
      <c r="J622" t="s">
        <v>139</v>
      </c>
      <c r="K622" t="s">
        <v>119</v>
      </c>
      <c r="L622" t="s">
        <v>27</v>
      </c>
      <c r="M622">
        <v>630</v>
      </c>
      <c r="N622" t="s">
        <v>27</v>
      </c>
      <c r="O622">
        <v>630</v>
      </c>
      <c r="P622">
        <v>630</v>
      </c>
      <c r="Q622" t="s">
        <v>30</v>
      </c>
      <c r="R622" s="2">
        <v>0.7</v>
      </c>
      <c r="S622">
        <v>441</v>
      </c>
      <c r="T622" t="s">
        <v>27</v>
      </c>
      <c r="U622">
        <v>441</v>
      </c>
      <c r="V622" s="7" t="str">
        <f>IF(ISERROR(VLOOKUP(K622,[1]작가별정산률!$R:$S,2,0)),"스토리위즈",VLOOKUP(K622,[1]작가별정산률!$R:$S,2,0))</f>
        <v>스토리위즈</v>
      </c>
      <c r="W622" s="7" t="str">
        <f>IF(V622="스토리위즈",VLOOKUP(K622,[1]작가별정산률!$A:$B,2,0),V622)</f>
        <v>김광수</v>
      </c>
    </row>
    <row r="623" spans="1:23" x14ac:dyDescent="0.4">
      <c r="A623" t="s">
        <v>262</v>
      </c>
      <c r="B623" t="s">
        <v>810</v>
      </c>
      <c r="C623" t="s">
        <v>898</v>
      </c>
      <c r="D623" t="s">
        <v>64</v>
      </c>
      <c r="E623" t="s">
        <v>22</v>
      </c>
      <c r="F623" t="s">
        <v>23</v>
      </c>
      <c r="G623">
        <v>1</v>
      </c>
      <c r="H623">
        <v>9791166064104</v>
      </c>
      <c r="I623" t="s">
        <v>24</v>
      </c>
      <c r="J623" t="s">
        <v>93</v>
      </c>
      <c r="K623" t="s">
        <v>37</v>
      </c>
      <c r="L623" t="s">
        <v>27</v>
      </c>
      <c r="M623">
        <v>900</v>
      </c>
      <c r="N623" t="s">
        <v>27</v>
      </c>
      <c r="O623">
        <v>900</v>
      </c>
      <c r="P623">
        <v>900</v>
      </c>
      <c r="Q623" t="s">
        <v>30</v>
      </c>
      <c r="R623" s="2">
        <v>0.7</v>
      </c>
      <c r="S623">
        <v>630</v>
      </c>
      <c r="T623" t="s">
        <v>27</v>
      </c>
      <c r="U623">
        <v>630</v>
      </c>
      <c r="V623" s="7" t="str">
        <f>IF(ISERROR(VLOOKUP(K623,[1]작가별정산률!$R:$S,2,0)),"스토리위즈",VLOOKUP(K623,[1]작가별정산률!$R:$S,2,0))</f>
        <v>스토리위즈</v>
      </c>
      <c r="W623" s="7" t="str">
        <f>IF(V623="스토리위즈",VLOOKUP(K623,[1]작가별정산률!$A:$B,2,0),V623)</f>
        <v>권용찬</v>
      </c>
    </row>
    <row r="624" spans="1:23" x14ac:dyDescent="0.4">
      <c r="A624" t="s">
        <v>262</v>
      </c>
      <c r="B624" t="s">
        <v>899</v>
      </c>
      <c r="C624" t="s">
        <v>900</v>
      </c>
      <c r="D624" t="s">
        <v>64</v>
      </c>
      <c r="E624" t="s">
        <v>22</v>
      </c>
      <c r="F624" t="s">
        <v>23</v>
      </c>
      <c r="G624">
        <v>1</v>
      </c>
      <c r="H624">
        <v>9791166064418</v>
      </c>
      <c r="I624" t="s">
        <v>24</v>
      </c>
      <c r="J624" t="s">
        <v>112</v>
      </c>
      <c r="K624" t="s">
        <v>102</v>
      </c>
      <c r="L624" t="s">
        <v>27</v>
      </c>
      <c r="M624">
        <v>720</v>
      </c>
      <c r="N624" t="s">
        <v>27</v>
      </c>
      <c r="O624">
        <v>720</v>
      </c>
      <c r="P624">
        <v>720</v>
      </c>
      <c r="Q624" t="s">
        <v>30</v>
      </c>
      <c r="R624" s="2">
        <v>0.7</v>
      </c>
      <c r="S624">
        <v>504</v>
      </c>
      <c r="T624" t="s">
        <v>27</v>
      </c>
      <c r="U624">
        <v>504</v>
      </c>
      <c r="V624" s="7" t="str">
        <f>IF(ISERROR(VLOOKUP(K624,[1]작가별정산률!$R:$S,2,0)),"스토리위즈",VLOOKUP(K624,[1]작가별정산률!$R:$S,2,0))</f>
        <v>스토리위즈</v>
      </c>
      <c r="W624" s="7" t="str">
        <f>IF(V624="스토리위즈",VLOOKUP(K624,[1]작가별정산률!$A:$B,2,0),V624)</f>
        <v>예로나</v>
      </c>
    </row>
    <row r="625" spans="1:23" x14ac:dyDescent="0.4">
      <c r="A625" t="s">
        <v>262</v>
      </c>
      <c r="B625" t="s">
        <v>899</v>
      </c>
      <c r="C625" t="s">
        <v>901</v>
      </c>
      <c r="D625" t="s">
        <v>64</v>
      </c>
      <c r="E625" t="s">
        <v>22</v>
      </c>
      <c r="F625" t="s">
        <v>23</v>
      </c>
      <c r="G625">
        <v>1</v>
      </c>
      <c r="H625">
        <v>9791159283130</v>
      </c>
      <c r="I625" t="s">
        <v>24</v>
      </c>
      <c r="J625" t="s">
        <v>82</v>
      </c>
      <c r="K625" t="s">
        <v>37</v>
      </c>
      <c r="L625" t="s">
        <v>27</v>
      </c>
      <c r="M625">
        <v>900</v>
      </c>
      <c r="N625" t="s">
        <v>27</v>
      </c>
      <c r="O625">
        <v>900</v>
      </c>
      <c r="P625">
        <v>900</v>
      </c>
      <c r="Q625" t="s">
        <v>30</v>
      </c>
      <c r="R625" s="2">
        <v>0.7</v>
      </c>
      <c r="S625">
        <v>630</v>
      </c>
      <c r="T625" t="s">
        <v>27</v>
      </c>
      <c r="U625">
        <v>630</v>
      </c>
      <c r="V625" s="7" t="str">
        <f>IF(ISERROR(VLOOKUP(K625,[1]작가별정산률!$R:$S,2,0)),"스토리위즈",VLOOKUP(K625,[1]작가별정산률!$R:$S,2,0))</f>
        <v>스토리위즈</v>
      </c>
      <c r="W625" s="7" t="str">
        <f>IF(V625="스토리위즈",VLOOKUP(K625,[1]작가별정산률!$A:$B,2,0),V625)</f>
        <v>권용찬</v>
      </c>
    </row>
    <row r="626" spans="1:23" x14ac:dyDescent="0.4">
      <c r="A626" t="s">
        <v>262</v>
      </c>
      <c r="B626" t="s">
        <v>899</v>
      </c>
      <c r="C626" t="s">
        <v>902</v>
      </c>
      <c r="D626" t="s">
        <v>64</v>
      </c>
      <c r="E626" t="s">
        <v>22</v>
      </c>
      <c r="F626" t="s">
        <v>23</v>
      </c>
      <c r="G626">
        <v>1</v>
      </c>
      <c r="H626">
        <v>9791166300660</v>
      </c>
      <c r="I626" t="s">
        <v>24</v>
      </c>
      <c r="J626" t="s">
        <v>156</v>
      </c>
      <c r="K626" t="s">
        <v>119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  <c r="V626" s="7" t="str">
        <f>IF(ISERROR(VLOOKUP(K626,[1]작가별정산률!$R:$S,2,0)),"스토리위즈",VLOOKUP(K626,[1]작가별정산률!$R:$S,2,0))</f>
        <v>스토리위즈</v>
      </c>
      <c r="W626" s="7" t="str">
        <f>IF(V626="스토리위즈",VLOOKUP(K626,[1]작가별정산률!$A:$B,2,0),V626)</f>
        <v>김광수</v>
      </c>
    </row>
    <row r="627" spans="1:23" x14ac:dyDescent="0.4">
      <c r="A627" t="s">
        <v>262</v>
      </c>
      <c r="B627" t="s">
        <v>899</v>
      </c>
      <c r="C627" t="s">
        <v>903</v>
      </c>
      <c r="D627" t="s">
        <v>64</v>
      </c>
      <c r="E627" t="s">
        <v>22</v>
      </c>
      <c r="F627" t="s">
        <v>23</v>
      </c>
      <c r="G627">
        <v>1</v>
      </c>
      <c r="H627">
        <v>9791166300141</v>
      </c>
      <c r="I627" t="s">
        <v>24</v>
      </c>
      <c r="J627" t="s">
        <v>124</v>
      </c>
      <c r="K627" t="s">
        <v>119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2">
        <v>0.7</v>
      </c>
      <c r="S627">
        <v>441</v>
      </c>
      <c r="T627" t="s">
        <v>27</v>
      </c>
      <c r="U627">
        <v>441</v>
      </c>
      <c r="V627" s="7" t="str">
        <f>IF(ISERROR(VLOOKUP(K627,[1]작가별정산률!$R:$S,2,0)),"스토리위즈",VLOOKUP(K627,[1]작가별정산률!$R:$S,2,0))</f>
        <v>스토리위즈</v>
      </c>
      <c r="W627" s="7" t="str">
        <f>IF(V627="스토리위즈",VLOOKUP(K627,[1]작가별정산률!$A:$B,2,0),V627)</f>
        <v>김광수</v>
      </c>
    </row>
    <row r="628" spans="1:23" x14ac:dyDescent="0.4">
      <c r="A628" t="s">
        <v>262</v>
      </c>
      <c r="B628" t="s">
        <v>899</v>
      </c>
      <c r="C628" t="s">
        <v>904</v>
      </c>
      <c r="D628" t="s">
        <v>64</v>
      </c>
      <c r="E628" t="s">
        <v>22</v>
      </c>
      <c r="F628" t="s">
        <v>23</v>
      </c>
      <c r="G628">
        <v>1</v>
      </c>
      <c r="H628">
        <v>9791166300301</v>
      </c>
      <c r="I628" t="s">
        <v>24</v>
      </c>
      <c r="J628" t="s">
        <v>139</v>
      </c>
      <c r="K628" t="s">
        <v>119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  <c r="V628" s="7" t="str">
        <f>IF(ISERROR(VLOOKUP(K628,[1]작가별정산률!$R:$S,2,0)),"스토리위즈",VLOOKUP(K628,[1]작가별정산률!$R:$S,2,0))</f>
        <v>스토리위즈</v>
      </c>
      <c r="W628" s="7" t="str">
        <f>IF(V628="스토리위즈",VLOOKUP(K628,[1]작가별정산률!$A:$B,2,0),V628)</f>
        <v>김광수</v>
      </c>
    </row>
    <row r="629" spans="1:23" x14ac:dyDescent="0.4">
      <c r="A629" t="s">
        <v>262</v>
      </c>
      <c r="B629" t="s">
        <v>899</v>
      </c>
      <c r="C629" t="s">
        <v>905</v>
      </c>
      <c r="D629" t="s">
        <v>64</v>
      </c>
      <c r="E629" t="s">
        <v>22</v>
      </c>
      <c r="F629" t="s">
        <v>23</v>
      </c>
      <c r="G629">
        <v>1</v>
      </c>
      <c r="H629">
        <v>9791159283208</v>
      </c>
      <c r="I629" t="s">
        <v>24</v>
      </c>
      <c r="J629" t="s">
        <v>105</v>
      </c>
      <c r="K629" t="s">
        <v>37</v>
      </c>
      <c r="L629" t="s">
        <v>27</v>
      </c>
      <c r="M629">
        <v>630</v>
      </c>
      <c r="N629" t="s">
        <v>27</v>
      </c>
      <c r="O629">
        <v>630</v>
      </c>
      <c r="P629">
        <v>630</v>
      </c>
      <c r="Q629" t="s">
        <v>30</v>
      </c>
      <c r="R629" s="2">
        <v>0.7</v>
      </c>
      <c r="S629">
        <v>441</v>
      </c>
      <c r="T629" t="s">
        <v>27</v>
      </c>
      <c r="U629">
        <v>441</v>
      </c>
      <c r="V629" s="7" t="str">
        <f>IF(ISERROR(VLOOKUP(K629,[1]작가별정산률!$R:$S,2,0)),"스토리위즈",VLOOKUP(K629,[1]작가별정산률!$R:$S,2,0))</f>
        <v>스토리위즈</v>
      </c>
      <c r="W629" s="7" t="str">
        <f>IF(V629="스토리위즈",VLOOKUP(K629,[1]작가별정산률!$A:$B,2,0),V629)</f>
        <v>권용찬</v>
      </c>
    </row>
    <row r="630" spans="1:23" x14ac:dyDescent="0.4">
      <c r="A630" t="s">
        <v>262</v>
      </c>
      <c r="B630" t="s">
        <v>899</v>
      </c>
      <c r="C630" t="s">
        <v>906</v>
      </c>
      <c r="D630" t="s">
        <v>64</v>
      </c>
      <c r="E630" t="s">
        <v>22</v>
      </c>
      <c r="F630" t="s">
        <v>23</v>
      </c>
      <c r="G630">
        <v>1</v>
      </c>
      <c r="H630">
        <v>9791159283215</v>
      </c>
      <c r="I630" t="s">
        <v>24</v>
      </c>
      <c r="J630" t="s">
        <v>103</v>
      </c>
      <c r="K630" t="s">
        <v>37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  <c r="V630" s="7" t="str">
        <f>IF(ISERROR(VLOOKUP(K630,[1]작가별정산률!$R:$S,2,0)),"스토리위즈",VLOOKUP(K630,[1]작가별정산률!$R:$S,2,0))</f>
        <v>스토리위즈</v>
      </c>
      <c r="W630" s="7" t="str">
        <f>IF(V630="스토리위즈",VLOOKUP(K630,[1]작가별정산률!$A:$B,2,0),V630)</f>
        <v>권용찬</v>
      </c>
    </row>
    <row r="631" spans="1:23" x14ac:dyDescent="0.4">
      <c r="A631" t="s">
        <v>262</v>
      </c>
      <c r="B631" t="s">
        <v>899</v>
      </c>
      <c r="C631" t="s">
        <v>907</v>
      </c>
      <c r="D631" t="s">
        <v>64</v>
      </c>
      <c r="E631" t="s">
        <v>22</v>
      </c>
      <c r="F631" t="s">
        <v>23</v>
      </c>
      <c r="G631">
        <v>1</v>
      </c>
      <c r="H631">
        <v>9791159282232</v>
      </c>
      <c r="I631" t="s">
        <v>24</v>
      </c>
      <c r="J631" t="s">
        <v>109</v>
      </c>
      <c r="K631" t="s">
        <v>37</v>
      </c>
      <c r="L631" t="s">
        <v>27</v>
      </c>
      <c r="M631">
        <v>900</v>
      </c>
      <c r="N631" t="s">
        <v>27</v>
      </c>
      <c r="O631">
        <v>900</v>
      </c>
      <c r="P631">
        <v>900</v>
      </c>
      <c r="Q631" t="s">
        <v>30</v>
      </c>
      <c r="R631" s="2">
        <v>0.7</v>
      </c>
      <c r="S631">
        <v>630</v>
      </c>
      <c r="T631" t="s">
        <v>27</v>
      </c>
      <c r="U631">
        <v>630</v>
      </c>
      <c r="V631" s="7" t="str">
        <f>IF(ISERROR(VLOOKUP(K631,[1]작가별정산률!$R:$S,2,0)),"스토리위즈",VLOOKUP(K631,[1]작가별정산률!$R:$S,2,0))</f>
        <v>스토리위즈</v>
      </c>
      <c r="W631" s="7" t="str">
        <f>IF(V631="스토리위즈",VLOOKUP(K631,[1]작가별정산률!$A:$B,2,0),V631)</f>
        <v>권용찬</v>
      </c>
    </row>
    <row r="632" spans="1:23" x14ac:dyDescent="0.4">
      <c r="A632" t="s">
        <v>262</v>
      </c>
      <c r="B632" t="s">
        <v>899</v>
      </c>
      <c r="C632" t="s">
        <v>908</v>
      </c>
      <c r="D632" t="s">
        <v>64</v>
      </c>
      <c r="E632" t="s">
        <v>22</v>
      </c>
      <c r="F632" t="s">
        <v>23</v>
      </c>
      <c r="G632">
        <v>1</v>
      </c>
      <c r="H632">
        <v>9791166300561</v>
      </c>
      <c r="I632" t="s">
        <v>24</v>
      </c>
      <c r="J632" t="s">
        <v>158</v>
      </c>
      <c r="K632" t="s">
        <v>119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  <c r="V632" s="7" t="str">
        <f>IF(ISERROR(VLOOKUP(K632,[1]작가별정산률!$R:$S,2,0)),"스토리위즈",VLOOKUP(K632,[1]작가별정산률!$R:$S,2,0))</f>
        <v>스토리위즈</v>
      </c>
      <c r="W632" s="7" t="str">
        <f>IF(V632="스토리위즈",VLOOKUP(K632,[1]작가별정산률!$A:$B,2,0),V632)</f>
        <v>김광수</v>
      </c>
    </row>
    <row r="633" spans="1:23" x14ac:dyDescent="0.4">
      <c r="A633" t="s">
        <v>262</v>
      </c>
      <c r="B633" t="s">
        <v>899</v>
      </c>
      <c r="C633" t="s">
        <v>909</v>
      </c>
      <c r="D633" t="s">
        <v>64</v>
      </c>
      <c r="E633" t="s">
        <v>22</v>
      </c>
      <c r="F633" t="s">
        <v>23</v>
      </c>
      <c r="G633">
        <v>1</v>
      </c>
      <c r="H633">
        <v>9791166300226</v>
      </c>
      <c r="I633" t="s">
        <v>24</v>
      </c>
      <c r="J633" t="s">
        <v>131</v>
      </c>
      <c r="K633" t="s">
        <v>119</v>
      </c>
      <c r="L633" t="s">
        <v>27</v>
      </c>
      <c r="M633">
        <v>630</v>
      </c>
      <c r="N633" t="s">
        <v>27</v>
      </c>
      <c r="O633">
        <v>630</v>
      </c>
      <c r="P633">
        <v>630</v>
      </c>
      <c r="Q633" t="s">
        <v>30</v>
      </c>
      <c r="R633" s="2">
        <v>0.7</v>
      </c>
      <c r="S633">
        <v>441</v>
      </c>
      <c r="T633" t="s">
        <v>27</v>
      </c>
      <c r="U633">
        <v>441</v>
      </c>
      <c r="V633" s="7" t="str">
        <f>IF(ISERROR(VLOOKUP(K633,[1]작가별정산률!$R:$S,2,0)),"스토리위즈",VLOOKUP(K633,[1]작가별정산률!$R:$S,2,0))</f>
        <v>스토리위즈</v>
      </c>
      <c r="W633" s="7" t="str">
        <f>IF(V633="스토리위즈",VLOOKUP(K633,[1]작가별정산률!$A:$B,2,0),V633)</f>
        <v>김광수</v>
      </c>
    </row>
    <row r="634" spans="1:23" x14ac:dyDescent="0.4">
      <c r="A634" t="s">
        <v>262</v>
      </c>
      <c r="B634" t="s">
        <v>899</v>
      </c>
      <c r="C634" t="s">
        <v>910</v>
      </c>
      <c r="D634" t="s">
        <v>21</v>
      </c>
      <c r="E634" t="s">
        <v>22</v>
      </c>
      <c r="F634" t="s">
        <v>23</v>
      </c>
      <c r="G634">
        <v>1</v>
      </c>
      <c r="H634">
        <v>9791166064395</v>
      </c>
      <c r="I634" t="s">
        <v>24</v>
      </c>
      <c r="J634" t="s">
        <v>104</v>
      </c>
      <c r="K634" t="s">
        <v>102</v>
      </c>
      <c r="L634" t="s">
        <v>27</v>
      </c>
      <c r="M634" s="3">
        <v>3200</v>
      </c>
      <c r="N634" t="s">
        <v>27</v>
      </c>
      <c r="O634" s="3">
        <v>3200</v>
      </c>
      <c r="P634" s="3">
        <v>3200</v>
      </c>
      <c r="Q634" t="s">
        <v>30</v>
      </c>
      <c r="R634" s="2">
        <v>0.7</v>
      </c>
      <c r="S634" s="3">
        <v>2240</v>
      </c>
      <c r="T634" t="s">
        <v>27</v>
      </c>
      <c r="U634" s="3">
        <v>2240</v>
      </c>
      <c r="V634" s="7" t="str">
        <f>IF(ISERROR(VLOOKUP(K634,[1]작가별정산률!$R:$S,2,0)),"스토리위즈",VLOOKUP(K634,[1]작가별정산률!$R:$S,2,0))</f>
        <v>스토리위즈</v>
      </c>
      <c r="W634" s="7" t="str">
        <f>IF(V634="스토리위즈",VLOOKUP(K634,[1]작가별정산률!$A:$B,2,0),V634)</f>
        <v>예로나</v>
      </c>
    </row>
    <row r="635" spans="1:23" x14ac:dyDescent="0.4">
      <c r="A635" t="s">
        <v>262</v>
      </c>
      <c r="B635" t="s">
        <v>899</v>
      </c>
      <c r="C635" t="s">
        <v>910</v>
      </c>
      <c r="D635" t="s">
        <v>21</v>
      </c>
      <c r="E635" t="s">
        <v>22</v>
      </c>
      <c r="F635" t="s">
        <v>23</v>
      </c>
      <c r="G635">
        <v>1</v>
      </c>
      <c r="H635">
        <v>9791166064401</v>
      </c>
      <c r="I635" t="s">
        <v>24</v>
      </c>
      <c r="J635" t="s">
        <v>111</v>
      </c>
      <c r="K635" t="s">
        <v>102</v>
      </c>
      <c r="L635" t="s">
        <v>27</v>
      </c>
      <c r="M635" s="3">
        <v>3200</v>
      </c>
      <c r="N635" t="s">
        <v>27</v>
      </c>
      <c r="O635" s="3">
        <v>3200</v>
      </c>
      <c r="P635" s="3">
        <v>3200</v>
      </c>
      <c r="Q635" t="s">
        <v>30</v>
      </c>
      <c r="R635" s="2">
        <v>0.7</v>
      </c>
      <c r="S635" s="3">
        <v>2240</v>
      </c>
      <c r="T635" t="s">
        <v>27</v>
      </c>
      <c r="U635" s="3">
        <v>2240</v>
      </c>
      <c r="V635" s="7" t="str">
        <f>IF(ISERROR(VLOOKUP(K635,[1]작가별정산률!$R:$S,2,0)),"스토리위즈",VLOOKUP(K635,[1]작가별정산률!$R:$S,2,0))</f>
        <v>스토리위즈</v>
      </c>
      <c r="W635" s="7" t="str">
        <f>IF(V635="스토리위즈",VLOOKUP(K635,[1]작가별정산률!$A:$B,2,0),V635)</f>
        <v>예로나</v>
      </c>
    </row>
    <row r="636" spans="1:23" x14ac:dyDescent="0.4">
      <c r="A636" t="s">
        <v>262</v>
      </c>
      <c r="B636" t="s">
        <v>899</v>
      </c>
      <c r="C636" t="s">
        <v>910</v>
      </c>
      <c r="D636" t="s">
        <v>21</v>
      </c>
      <c r="E636" t="s">
        <v>22</v>
      </c>
      <c r="F636" t="s">
        <v>23</v>
      </c>
      <c r="G636">
        <v>1</v>
      </c>
      <c r="H636">
        <v>9791166064418</v>
      </c>
      <c r="I636" t="s">
        <v>24</v>
      </c>
      <c r="J636" t="s">
        <v>112</v>
      </c>
      <c r="K636" t="s">
        <v>102</v>
      </c>
      <c r="L636" t="s">
        <v>27</v>
      </c>
      <c r="M636" s="3">
        <v>3200</v>
      </c>
      <c r="N636" t="s">
        <v>27</v>
      </c>
      <c r="O636" s="3">
        <v>3200</v>
      </c>
      <c r="P636" s="3">
        <v>3200</v>
      </c>
      <c r="Q636" t="s">
        <v>30</v>
      </c>
      <c r="R636" s="2">
        <v>0.7</v>
      </c>
      <c r="S636" s="3">
        <v>2240</v>
      </c>
      <c r="T636" t="s">
        <v>27</v>
      </c>
      <c r="U636" s="3">
        <v>2240</v>
      </c>
      <c r="V636" s="7" t="str">
        <f>IF(ISERROR(VLOOKUP(K636,[1]작가별정산률!$R:$S,2,0)),"스토리위즈",VLOOKUP(K636,[1]작가별정산률!$R:$S,2,0))</f>
        <v>스토리위즈</v>
      </c>
      <c r="W636" s="7" t="str">
        <f>IF(V636="스토리위즈",VLOOKUP(K636,[1]작가별정산률!$A:$B,2,0),V636)</f>
        <v>예로나</v>
      </c>
    </row>
    <row r="637" spans="1:23" x14ac:dyDescent="0.4">
      <c r="A637" t="s">
        <v>262</v>
      </c>
      <c r="B637" t="s">
        <v>899</v>
      </c>
      <c r="C637" t="s">
        <v>911</v>
      </c>
      <c r="D637" t="s">
        <v>64</v>
      </c>
      <c r="E637" t="s">
        <v>22</v>
      </c>
      <c r="F637" t="s">
        <v>23</v>
      </c>
      <c r="G637">
        <v>1</v>
      </c>
      <c r="H637">
        <v>9791166300264</v>
      </c>
      <c r="I637" t="s">
        <v>24</v>
      </c>
      <c r="J637" t="s">
        <v>135</v>
      </c>
      <c r="K637" t="s">
        <v>119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  <c r="V637" s="7" t="str">
        <f>IF(ISERROR(VLOOKUP(K637,[1]작가별정산률!$R:$S,2,0)),"스토리위즈",VLOOKUP(K637,[1]작가별정산률!$R:$S,2,0))</f>
        <v>스토리위즈</v>
      </c>
      <c r="W637" s="7" t="str">
        <f>IF(V637="스토리위즈",VLOOKUP(K637,[1]작가별정산률!$A:$B,2,0),V637)</f>
        <v>김광수</v>
      </c>
    </row>
    <row r="638" spans="1:23" x14ac:dyDescent="0.4">
      <c r="A638" t="s">
        <v>262</v>
      </c>
      <c r="B638" t="s">
        <v>899</v>
      </c>
      <c r="C638" t="s">
        <v>912</v>
      </c>
      <c r="D638" t="s">
        <v>64</v>
      </c>
      <c r="E638" t="s">
        <v>22</v>
      </c>
      <c r="F638" t="s">
        <v>23</v>
      </c>
      <c r="G638">
        <v>1</v>
      </c>
      <c r="H638">
        <v>9791159282249</v>
      </c>
      <c r="I638" t="s">
        <v>24</v>
      </c>
      <c r="J638" t="s">
        <v>110</v>
      </c>
      <c r="K638" t="s">
        <v>37</v>
      </c>
      <c r="L638" t="s">
        <v>27</v>
      </c>
      <c r="M638">
        <v>900</v>
      </c>
      <c r="N638" t="s">
        <v>27</v>
      </c>
      <c r="O638">
        <v>900</v>
      </c>
      <c r="P638">
        <v>900</v>
      </c>
      <c r="Q638" t="s">
        <v>30</v>
      </c>
      <c r="R638" s="2">
        <v>0.7</v>
      </c>
      <c r="S638">
        <v>630</v>
      </c>
      <c r="T638" t="s">
        <v>27</v>
      </c>
      <c r="U638">
        <v>630</v>
      </c>
      <c r="V638" s="7" t="str">
        <f>IF(ISERROR(VLOOKUP(K638,[1]작가별정산률!$R:$S,2,0)),"스토리위즈",VLOOKUP(K638,[1]작가별정산률!$R:$S,2,0))</f>
        <v>스토리위즈</v>
      </c>
      <c r="W638" s="7" t="str">
        <f>IF(V638="스토리위즈",VLOOKUP(K638,[1]작가별정산률!$A:$B,2,0),V638)</f>
        <v>권용찬</v>
      </c>
    </row>
    <row r="639" spans="1:23" x14ac:dyDescent="0.4">
      <c r="A639" t="s">
        <v>262</v>
      </c>
      <c r="B639" t="s">
        <v>899</v>
      </c>
      <c r="C639" t="s">
        <v>913</v>
      </c>
      <c r="D639" t="s">
        <v>64</v>
      </c>
      <c r="E639" t="s">
        <v>22</v>
      </c>
      <c r="F639" t="s">
        <v>23</v>
      </c>
      <c r="G639">
        <v>1</v>
      </c>
      <c r="H639">
        <v>9791166300127</v>
      </c>
      <c r="I639" t="s">
        <v>24</v>
      </c>
      <c r="J639" t="s">
        <v>122</v>
      </c>
      <c r="K639" t="s">
        <v>119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2">
        <v>0.7</v>
      </c>
      <c r="S639">
        <v>441</v>
      </c>
      <c r="T639" t="s">
        <v>27</v>
      </c>
      <c r="U639">
        <v>441</v>
      </c>
      <c r="V639" s="7" t="str">
        <f>IF(ISERROR(VLOOKUP(K639,[1]작가별정산률!$R:$S,2,0)),"스토리위즈",VLOOKUP(K639,[1]작가별정산률!$R:$S,2,0))</f>
        <v>스토리위즈</v>
      </c>
      <c r="W639" s="7" t="str">
        <f>IF(V639="스토리위즈",VLOOKUP(K639,[1]작가별정산률!$A:$B,2,0),V639)</f>
        <v>김광수</v>
      </c>
    </row>
    <row r="640" spans="1:23" x14ac:dyDescent="0.4">
      <c r="A640" t="s">
        <v>262</v>
      </c>
      <c r="B640" t="s">
        <v>899</v>
      </c>
      <c r="C640" t="s">
        <v>914</v>
      </c>
      <c r="D640" t="s">
        <v>64</v>
      </c>
      <c r="E640" t="s">
        <v>22</v>
      </c>
      <c r="F640" t="s">
        <v>23</v>
      </c>
      <c r="G640">
        <v>1</v>
      </c>
      <c r="H640">
        <v>9791166300691</v>
      </c>
      <c r="I640" t="s">
        <v>24</v>
      </c>
      <c r="J640" t="s">
        <v>152</v>
      </c>
      <c r="K640" t="s">
        <v>119</v>
      </c>
      <c r="L640" t="s">
        <v>27</v>
      </c>
      <c r="M640">
        <v>630</v>
      </c>
      <c r="N640" t="s">
        <v>27</v>
      </c>
      <c r="O640">
        <v>630</v>
      </c>
      <c r="P640">
        <v>630</v>
      </c>
      <c r="Q640" t="s">
        <v>30</v>
      </c>
      <c r="R640" s="2">
        <v>0.7</v>
      </c>
      <c r="S640">
        <v>441</v>
      </c>
      <c r="T640" t="s">
        <v>27</v>
      </c>
      <c r="U640">
        <v>441</v>
      </c>
      <c r="V640" s="7" t="str">
        <f>IF(ISERROR(VLOOKUP(K640,[1]작가별정산률!$R:$S,2,0)),"스토리위즈",VLOOKUP(K640,[1]작가별정산률!$R:$S,2,0))</f>
        <v>스토리위즈</v>
      </c>
      <c r="W640" s="7" t="str">
        <f>IF(V640="스토리위즈",VLOOKUP(K640,[1]작가별정산률!$A:$B,2,0),V640)</f>
        <v>김광수</v>
      </c>
    </row>
    <row r="641" spans="1:23" x14ac:dyDescent="0.4">
      <c r="A641" t="s">
        <v>262</v>
      </c>
      <c r="B641" t="s">
        <v>899</v>
      </c>
      <c r="C641" t="s">
        <v>915</v>
      </c>
      <c r="D641" t="s">
        <v>21</v>
      </c>
      <c r="E641" t="s">
        <v>22</v>
      </c>
      <c r="F641" t="s">
        <v>216</v>
      </c>
      <c r="G641">
        <v>1</v>
      </c>
      <c r="H641">
        <v>9791191562361</v>
      </c>
      <c r="I641" t="s">
        <v>143</v>
      </c>
      <c r="J641" t="s">
        <v>916</v>
      </c>
      <c r="K641" t="s">
        <v>186</v>
      </c>
      <c r="L641" t="s">
        <v>27</v>
      </c>
      <c r="M641" s="3">
        <v>2000</v>
      </c>
      <c r="N641" t="s">
        <v>27</v>
      </c>
      <c r="O641" s="3">
        <v>2000</v>
      </c>
      <c r="P641" s="3">
        <v>2000</v>
      </c>
      <c r="Q641" t="s">
        <v>30</v>
      </c>
      <c r="R641" s="2">
        <v>0.7</v>
      </c>
      <c r="S641" s="3">
        <v>1400</v>
      </c>
      <c r="T641" t="s">
        <v>27</v>
      </c>
      <c r="U641" s="3">
        <v>1400</v>
      </c>
      <c r="V641" s="7" t="str">
        <f>IF(ISERROR(VLOOKUP(K641,[1]작가별정산률!$R:$S,2,0)),"스토리위즈",VLOOKUP(K641,[1]작가별정산률!$R:$S,2,0))</f>
        <v>밀리의 서재</v>
      </c>
      <c r="W641" s="7" t="str">
        <f>IF(V641="스토리위즈",VLOOKUP(K641,[1]작가별정산률!$A:$B,2,0),V641)</f>
        <v>밀리의 서재</v>
      </c>
    </row>
    <row r="642" spans="1:23" x14ac:dyDescent="0.4">
      <c r="A642" t="s">
        <v>262</v>
      </c>
      <c r="B642" t="s">
        <v>899</v>
      </c>
      <c r="C642" t="s">
        <v>917</v>
      </c>
      <c r="D642" t="s">
        <v>64</v>
      </c>
      <c r="E642" t="s">
        <v>22</v>
      </c>
      <c r="F642" t="s">
        <v>23</v>
      </c>
      <c r="G642">
        <v>1</v>
      </c>
      <c r="H642">
        <v>9791166300486</v>
      </c>
      <c r="I642" t="s">
        <v>24</v>
      </c>
      <c r="J642" t="s">
        <v>146</v>
      </c>
      <c r="K642" t="s">
        <v>119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  <c r="V642" s="7" t="str">
        <f>IF(ISERROR(VLOOKUP(K642,[1]작가별정산률!$R:$S,2,0)),"스토리위즈",VLOOKUP(K642,[1]작가별정산률!$R:$S,2,0))</f>
        <v>스토리위즈</v>
      </c>
      <c r="W642" s="7" t="str">
        <f>IF(V642="스토리위즈",VLOOKUP(K642,[1]작가별정산률!$A:$B,2,0),V642)</f>
        <v>김광수</v>
      </c>
    </row>
    <row r="643" spans="1:23" x14ac:dyDescent="0.4">
      <c r="A643" t="s">
        <v>262</v>
      </c>
      <c r="B643" t="s">
        <v>899</v>
      </c>
      <c r="C643" t="s">
        <v>918</v>
      </c>
      <c r="D643" t="s">
        <v>64</v>
      </c>
      <c r="E643" t="s">
        <v>22</v>
      </c>
      <c r="F643" t="s">
        <v>23</v>
      </c>
      <c r="G643">
        <v>1</v>
      </c>
      <c r="H643">
        <v>9791166300110</v>
      </c>
      <c r="I643" t="s">
        <v>24</v>
      </c>
      <c r="J643" t="s">
        <v>121</v>
      </c>
      <c r="K643" t="s">
        <v>119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  <c r="V643" s="7" t="str">
        <f>IF(ISERROR(VLOOKUP(K643,[1]작가별정산률!$R:$S,2,0)),"스토리위즈",VLOOKUP(K643,[1]작가별정산률!$R:$S,2,0))</f>
        <v>스토리위즈</v>
      </c>
      <c r="W643" s="7" t="str">
        <f>IF(V643="스토리위즈",VLOOKUP(K643,[1]작가별정산률!$A:$B,2,0),V643)</f>
        <v>김광수</v>
      </c>
    </row>
    <row r="644" spans="1:23" x14ac:dyDescent="0.4">
      <c r="A644" t="s">
        <v>262</v>
      </c>
      <c r="B644" t="s">
        <v>899</v>
      </c>
      <c r="C644" t="s">
        <v>919</v>
      </c>
      <c r="D644" t="s">
        <v>64</v>
      </c>
      <c r="E644" t="s">
        <v>22</v>
      </c>
      <c r="F644" t="s">
        <v>23</v>
      </c>
      <c r="G644">
        <v>1</v>
      </c>
      <c r="H644">
        <v>9791166300158</v>
      </c>
      <c r="I644" t="s">
        <v>24</v>
      </c>
      <c r="J644" t="s">
        <v>125</v>
      </c>
      <c r="K644" t="s">
        <v>119</v>
      </c>
      <c r="L644" t="s">
        <v>27</v>
      </c>
      <c r="M644">
        <v>630</v>
      </c>
      <c r="N644" t="s">
        <v>27</v>
      </c>
      <c r="O644">
        <v>630</v>
      </c>
      <c r="P644">
        <v>630</v>
      </c>
      <c r="Q644" t="s">
        <v>30</v>
      </c>
      <c r="R644" s="2">
        <v>0.7</v>
      </c>
      <c r="S644">
        <v>441</v>
      </c>
      <c r="T644" t="s">
        <v>27</v>
      </c>
      <c r="U644">
        <v>441</v>
      </c>
      <c r="V644" s="7" t="str">
        <f>IF(ISERROR(VLOOKUP(K644,[1]작가별정산률!$R:$S,2,0)),"스토리위즈",VLOOKUP(K644,[1]작가별정산률!$R:$S,2,0))</f>
        <v>스토리위즈</v>
      </c>
      <c r="W644" s="7" t="str">
        <f>IF(V644="스토리위즈",VLOOKUP(K644,[1]작가별정산률!$A:$B,2,0),V644)</f>
        <v>김광수</v>
      </c>
    </row>
    <row r="645" spans="1:23" x14ac:dyDescent="0.4">
      <c r="A645" t="s">
        <v>262</v>
      </c>
      <c r="B645" t="s">
        <v>899</v>
      </c>
      <c r="C645" t="s">
        <v>920</v>
      </c>
      <c r="D645" t="s">
        <v>64</v>
      </c>
      <c r="E645" t="s">
        <v>22</v>
      </c>
      <c r="F645" t="s">
        <v>23</v>
      </c>
      <c r="G645">
        <v>1</v>
      </c>
      <c r="H645">
        <v>9791166300554</v>
      </c>
      <c r="I645" t="s">
        <v>24</v>
      </c>
      <c r="J645" t="s">
        <v>154</v>
      </c>
      <c r="K645" t="s">
        <v>119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  <c r="V645" s="7" t="str">
        <f>IF(ISERROR(VLOOKUP(K645,[1]작가별정산률!$R:$S,2,0)),"스토리위즈",VLOOKUP(K645,[1]작가별정산률!$R:$S,2,0))</f>
        <v>스토리위즈</v>
      </c>
      <c r="W645" s="7" t="str">
        <f>IF(V645="스토리위즈",VLOOKUP(K645,[1]작가별정산률!$A:$B,2,0),V645)</f>
        <v>김광수</v>
      </c>
    </row>
    <row r="646" spans="1:23" x14ac:dyDescent="0.4">
      <c r="A646" t="s">
        <v>262</v>
      </c>
      <c r="B646" t="s">
        <v>899</v>
      </c>
      <c r="C646" t="s">
        <v>921</v>
      </c>
      <c r="D646" t="s">
        <v>21</v>
      </c>
      <c r="E646" t="s">
        <v>22</v>
      </c>
      <c r="F646" t="s">
        <v>23</v>
      </c>
      <c r="G646">
        <v>1</v>
      </c>
      <c r="H646">
        <v>9791166300134</v>
      </c>
      <c r="I646" t="s">
        <v>24</v>
      </c>
      <c r="J646" t="s">
        <v>123</v>
      </c>
      <c r="K646" t="s">
        <v>119</v>
      </c>
      <c r="L646" t="s">
        <v>27</v>
      </c>
      <c r="M646" s="3">
        <v>3200</v>
      </c>
      <c r="N646" t="s">
        <v>27</v>
      </c>
      <c r="O646" s="3">
        <v>3200</v>
      </c>
      <c r="P646" s="3">
        <v>3200</v>
      </c>
      <c r="Q646" t="s">
        <v>30</v>
      </c>
      <c r="R646" s="2">
        <v>0.7</v>
      </c>
      <c r="S646" s="3">
        <v>2240</v>
      </c>
      <c r="T646" t="s">
        <v>27</v>
      </c>
      <c r="U646" s="3">
        <v>2240</v>
      </c>
      <c r="V646" s="7" t="str">
        <f>IF(ISERROR(VLOOKUP(K646,[1]작가별정산률!$R:$S,2,0)),"스토리위즈",VLOOKUP(K646,[1]작가별정산률!$R:$S,2,0))</f>
        <v>스토리위즈</v>
      </c>
      <c r="W646" s="7" t="str">
        <f>IF(V646="스토리위즈",VLOOKUP(K646,[1]작가별정산률!$A:$B,2,0),V646)</f>
        <v>김광수</v>
      </c>
    </row>
    <row r="647" spans="1:23" x14ac:dyDescent="0.4">
      <c r="A647" t="s">
        <v>262</v>
      </c>
      <c r="B647" t="s">
        <v>899</v>
      </c>
      <c r="C647" t="s">
        <v>922</v>
      </c>
      <c r="D647" t="s">
        <v>64</v>
      </c>
      <c r="E647" t="s">
        <v>22</v>
      </c>
      <c r="F647" t="s">
        <v>23</v>
      </c>
      <c r="G647">
        <v>1</v>
      </c>
      <c r="H647">
        <v>9791166300288</v>
      </c>
      <c r="I647" t="s">
        <v>24</v>
      </c>
      <c r="J647" t="s">
        <v>137</v>
      </c>
      <c r="K647" t="s">
        <v>119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  <c r="V647" s="7" t="str">
        <f>IF(ISERROR(VLOOKUP(K647,[1]작가별정산률!$R:$S,2,0)),"스토리위즈",VLOOKUP(K647,[1]작가별정산률!$R:$S,2,0))</f>
        <v>스토리위즈</v>
      </c>
      <c r="W647" s="7" t="str">
        <f>IF(V647="스토리위즈",VLOOKUP(K647,[1]작가별정산률!$A:$B,2,0),V647)</f>
        <v>김광수</v>
      </c>
    </row>
    <row r="648" spans="1:23" x14ac:dyDescent="0.4">
      <c r="A648" t="s">
        <v>262</v>
      </c>
      <c r="B648" t="s">
        <v>899</v>
      </c>
      <c r="C648" t="s">
        <v>923</v>
      </c>
      <c r="D648" t="s">
        <v>21</v>
      </c>
      <c r="E648" t="s">
        <v>22</v>
      </c>
      <c r="F648" t="s">
        <v>23</v>
      </c>
      <c r="G648">
        <v>1</v>
      </c>
      <c r="H648">
        <v>9791159289583</v>
      </c>
      <c r="I648" t="s">
        <v>24</v>
      </c>
      <c r="J648" t="s">
        <v>141</v>
      </c>
      <c r="K648" t="s">
        <v>140</v>
      </c>
      <c r="L648" t="s">
        <v>27</v>
      </c>
      <c r="M648" s="3">
        <v>3200</v>
      </c>
      <c r="N648" t="s">
        <v>27</v>
      </c>
      <c r="O648" s="3">
        <v>3200</v>
      </c>
      <c r="P648" s="3">
        <v>3200</v>
      </c>
      <c r="Q648" t="s">
        <v>30</v>
      </c>
      <c r="R648" s="2">
        <v>0.7</v>
      </c>
      <c r="S648" s="3">
        <v>2240</v>
      </c>
      <c r="T648" t="s">
        <v>27</v>
      </c>
      <c r="U648" s="3">
        <v>2240</v>
      </c>
      <c r="V648" s="7" t="str">
        <f>IF(ISERROR(VLOOKUP(K648,[1]작가별정산률!$R:$S,2,0)),"스토리위즈",VLOOKUP(K648,[1]작가별정산률!$R:$S,2,0))</f>
        <v>스토리위즈</v>
      </c>
      <c r="W648" s="7" t="str">
        <f>IF(V648="스토리위즈",VLOOKUP(K648,[1]작가별정산률!$A:$B,2,0),V648)</f>
        <v>이동열</v>
      </c>
    </row>
    <row r="649" spans="1:23" x14ac:dyDescent="0.4">
      <c r="A649" t="s">
        <v>262</v>
      </c>
      <c r="B649" t="s">
        <v>899</v>
      </c>
      <c r="C649" t="s">
        <v>924</v>
      </c>
      <c r="D649" t="s">
        <v>64</v>
      </c>
      <c r="E649" t="s">
        <v>22</v>
      </c>
      <c r="F649" t="s">
        <v>23</v>
      </c>
      <c r="G649">
        <v>1</v>
      </c>
      <c r="H649">
        <v>9791159283215</v>
      </c>
      <c r="I649" t="s">
        <v>24</v>
      </c>
      <c r="J649" t="s">
        <v>103</v>
      </c>
      <c r="K649" t="s">
        <v>37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  <c r="V649" s="7" t="str">
        <f>IF(ISERROR(VLOOKUP(K649,[1]작가별정산률!$R:$S,2,0)),"스토리위즈",VLOOKUP(K649,[1]작가별정산률!$R:$S,2,0))</f>
        <v>스토리위즈</v>
      </c>
      <c r="W649" s="7" t="str">
        <f>IF(V649="스토리위즈",VLOOKUP(K649,[1]작가별정산률!$A:$B,2,0),V649)</f>
        <v>권용찬</v>
      </c>
    </row>
    <row r="650" spans="1:23" x14ac:dyDescent="0.4">
      <c r="A650" t="s">
        <v>262</v>
      </c>
      <c r="B650" t="s">
        <v>899</v>
      </c>
      <c r="C650" t="s">
        <v>925</v>
      </c>
      <c r="D650" t="s">
        <v>64</v>
      </c>
      <c r="E650" t="s">
        <v>22</v>
      </c>
      <c r="F650" t="s">
        <v>23</v>
      </c>
      <c r="G650">
        <v>1</v>
      </c>
      <c r="H650">
        <v>9791166300547</v>
      </c>
      <c r="I650" t="s">
        <v>24</v>
      </c>
      <c r="J650" t="s">
        <v>153</v>
      </c>
      <c r="K650" t="s">
        <v>119</v>
      </c>
      <c r="L650" t="s">
        <v>27</v>
      </c>
      <c r="M650">
        <v>630</v>
      </c>
      <c r="N650" t="s">
        <v>27</v>
      </c>
      <c r="O650">
        <v>630</v>
      </c>
      <c r="P650">
        <v>630</v>
      </c>
      <c r="Q650" t="s">
        <v>30</v>
      </c>
      <c r="R650" s="2">
        <v>0.7</v>
      </c>
      <c r="S650">
        <v>441</v>
      </c>
      <c r="T650" t="s">
        <v>27</v>
      </c>
      <c r="U650">
        <v>441</v>
      </c>
      <c r="V650" s="7" t="str">
        <f>IF(ISERROR(VLOOKUP(K650,[1]작가별정산률!$R:$S,2,0)),"스토리위즈",VLOOKUP(K650,[1]작가별정산률!$R:$S,2,0))</f>
        <v>스토리위즈</v>
      </c>
      <c r="W650" s="7" t="str">
        <f>IF(V650="스토리위즈",VLOOKUP(K650,[1]작가별정산률!$A:$B,2,0),V650)</f>
        <v>김광수</v>
      </c>
    </row>
    <row r="651" spans="1:23" x14ac:dyDescent="0.4">
      <c r="A651" t="s">
        <v>262</v>
      </c>
      <c r="B651" t="s">
        <v>899</v>
      </c>
      <c r="C651" t="s">
        <v>926</v>
      </c>
      <c r="D651" t="s">
        <v>64</v>
      </c>
      <c r="E651" t="s">
        <v>22</v>
      </c>
      <c r="F651" t="s">
        <v>23</v>
      </c>
      <c r="G651">
        <v>1</v>
      </c>
      <c r="H651">
        <v>9791166300479</v>
      </c>
      <c r="I651" t="s">
        <v>24</v>
      </c>
      <c r="J651" t="s">
        <v>145</v>
      </c>
      <c r="K651" t="s">
        <v>119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2">
        <v>0.7</v>
      </c>
      <c r="S651">
        <v>441</v>
      </c>
      <c r="T651" t="s">
        <v>27</v>
      </c>
      <c r="U651">
        <v>441</v>
      </c>
      <c r="V651" s="7" t="str">
        <f>IF(ISERROR(VLOOKUP(K651,[1]작가별정산률!$R:$S,2,0)),"스토리위즈",VLOOKUP(K651,[1]작가별정산률!$R:$S,2,0))</f>
        <v>스토리위즈</v>
      </c>
      <c r="W651" s="7" t="str">
        <f>IF(V651="스토리위즈",VLOOKUP(K651,[1]작가별정산률!$A:$B,2,0),V651)</f>
        <v>김광수</v>
      </c>
    </row>
    <row r="652" spans="1:23" x14ac:dyDescent="0.4">
      <c r="A652" t="s">
        <v>262</v>
      </c>
      <c r="B652" t="s">
        <v>899</v>
      </c>
      <c r="C652" t="s">
        <v>927</v>
      </c>
      <c r="D652" t="s">
        <v>64</v>
      </c>
      <c r="E652" t="s">
        <v>22</v>
      </c>
      <c r="F652" t="s">
        <v>23</v>
      </c>
      <c r="G652">
        <v>1</v>
      </c>
      <c r="H652">
        <v>9791166300516</v>
      </c>
      <c r="I652" t="s">
        <v>24</v>
      </c>
      <c r="J652" t="s">
        <v>149</v>
      </c>
      <c r="K652" t="s">
        <v>119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2">
        <v>0.7</v>
      </c>
      <c r="S652">
        <v>441</v>
      </c>
      <c r="T652" t="s">
        <v>27</v>
      </c>
      <c r="U652">
        <v>441</v>
      </c>
      <c r="V652" s="7" t="str">
        <f>IF(ISERROR(VLOOKUP(K652,[1]작가별정산률!$R:$S,2,0)),"스토리위즈",VLOOKUP(K652,[1]작가별정산률!$R:$S,2,0))</f>
        <v>스토리위즈</v>
      </c>
      <c r="W652" s="7" t="str">
        <f>IF(V652="스토리위즈",VLOOKUP(K652,[1]작가별정산률!$A:$B,2,0),V652)</f>
        <v>김광수</v>
      </c>
    </row>
    <row r="653" spans="1:23" x14ac:dyDescent="0.4">
      <c r="A653" t="s">
        <v>262</v>
      </c>
      <c r="B653" t="s">
        <v>899</v>
      </c>
      <c r="C653" t="s">
        <v>928</v>
      </c>
      <c r="D653" t="s">
        <v>64</v>
      </c>
      <c r="E653" t="s">
        <v>22</v>
      </c>
      <c r="F653" t="s">
        <v>23</v>
      </c>
      <c r="G653">
        <v>1</v>
      </c>
      <c r="H653">
        <v>9791166300165</v>
      </c>
      <c r="I653" t="s">
        <v>24</v>
      </c>
      <c r="J653" t="s">
        <v>126</v>
      </c>
      <c r="K653" t="s">
        <v>119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2">
        <v>0.7</v>
      </c>
      <c r="S653">
        <v>441</v>
      </c>
      <c r="T653" t="s">
        <v>27</v>
      </c>
      <c r="U653">
        <v>441</v>
      </c>
      <c r="V653" s="7" t="str">
        <f>IF(ISERROR(VLOOKUP(K653,[1]작가별정산률!$R:$S,2,0)),"스토리위즈",VLOOKUP(K653,[1]작가별정산률!$R:$S,2,0))</f>
        <v>스토리위즈</v>
      </c>
      <c r="W653" s="7" t="str">
        <f>IF(V653="스토리위즈",VLOOKUP(K653,[1]작가별정산률!$A:$B,2,0),V653)</f>
        <v>김광수</v>
      </c>
    </row>
    <row r="654" spans="1:23" x14ac:dyDescent="0.4">
      <c r="A654" t="s">
        <v>262</v>
      </c>
      <c r="B654" t="s">
        <v>899</v>
      </c>
      <c r="C654" t="s">
        <v>929</v>
      </c>
      <c r="D654" t="s">
        <v>21</v>
      </c>
      <c r="E654" t="s">
        <v>22</v>
      </c>
      <c r="F654" t="s">
        <v>23</v>
      </c>
      <c r="G654">
        <v>1</v>
      </c>
      <c r="H654">
        <v>9791197098420</v>
      </c>
      <c r="I654" t="s">
        <v>24</v>
      </c>
      <c r="J654" t="s">
        <v>236</v>
      </c>
      <c r="K654" t="s">
        <v>37</v>
      </c>
      <c r="L654" t="s">
        <v>27</v>
      </c>
      <c r="M654" s="3">
        <v>3200</v>
      </c>
      <c r="N654" t="s">
        <v>27</v>
      </c>
      <c r="O654" s="3">
        <v>3200</v>
      </c>
      <c r="P654" s="3">
        <v>3200</v>
      </c>
      <c r="Q654" t="s">
        <v>30</v>
      </c>
      <c r="R654" s="2">
        <v>0.7</v>
      </c>
      <c r="S654" s="3">
        <v>2240</v>
      </c>
      <c r="T654" t="s">
        <v>27</v>
      </c>
      <c r="U654" s="3">
        <v>2240</v>
      </c>
      <c r="V654" s="7" t="str">
        <f>IF(ISERROR(VLOOKUP(K654,[1]작가별정산률!$R:$S,2,0)),"스토리위즈",VLOOKUP(K654,[1]작가별정산률!$R:$S,2,0))</f>
        <v>스토리위즈</v>
      </c>
      <c r="W654" s="7" t="str">
        <f>IF(V654="스토리위즈",VLOOKUP(K654,[1]작가별정산률!$A:$B,2,0),V654)</f>
        <v>권용찬</v>
      </c>
    </row>
    <row r="655" spans="1:23" x14ac:dyDescent="0.4">
      <c r="A655" t="s">
        <v>262</v>
      </c>
      <c r="B655" t="s">
        <v>899</v>
      </c>
      <c r="C655" t="s">
        <v>930</v>
      </c>
      <c r="D655" t="s">
        <v>64</v>
      </c>
      <c r="E655" t="s">
        <v>22</v>
      </c>
      <c r="F655" t="s">
        <v>23</v>
      </c>
      <c r="G655">
        <v>1</v>
      </c>
      <c r="H655">
        <v>9791166064425</v>
      </c>
      <c r="I655" t="s">
        <v>24</v>
      </c>
      <c r="J655" t="s">
        <v>113</v>
      </c>
      <c r="K655" t="s">
        <v>102</v>
      </c>
      <c r="L655" t="s">
        <v>27</v>
      </c>
      <c r="M655">
        <v>720</v>
      </c>
      <c r="N655" t="s">
        <v>27</v>
      </c>
      <c r="O655">
        <v>720</v>
      </c>
      <c r="P655">
        <v>720</v>
      </c>
      <c r="Q655" t="s">
        <v>30</v>
      </c>
      <c r="R655" s="2">
        <v>0.7</v>
      </c>
      <c r="S655">
        <v>504</v>
      </c>
      <c r="T655" t="s">
        <v>27</v>
      </c>
      <c r="U655">
        <v>504</v>
      </c>
      <c r="V655" s="7" t="str">
        <f>IF(ISERROR(VLOOKUP(K655,[1]작가별정산률!$R:$S,2,0)),"스토리위즈",VLOOKUP(K655,[1]작가별정산률!$R:$S,2,0))</f>
        <v>스토리위즈</v>
      </c>
      <c r="W655" s="7" t="str">
        <f>IF(V655="스토리위즈",VLOOKUP(K655,[1]작가별정산률!$A:$B,2,0),V655)</f>
        <v>예로나</v>
      </c>
    </row>
    <row r="656" spans="1:23" x14ac:dyDescent="0.4">
      <c r="A656" t="s">
        <v>262</v>
      </c>
      <c r="B656" t="s">
        <v>899</v>
      </c>
      <c r="C656" t="s">
        <v>931</v>
      </c>
      <c r="D656" t="s">
        <v>64</v>
      </c>
      <c r="E656" t="s">
        <v>22</v>
      </c>
      <c r="F656" t="s">
        <v>23</v>
      </c>
      <c r="G656">
        <v>1</v>
      </c>
      <c r="H656">
        <v>9791166300165</v>
      </c>
      <c r="I656" t="s">
        <v>24</v>
      </c>
      <c r="J656" t="s">
        <v>126</v>
      </c>
      <c r="K656" t="s">
        <v>119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2">
        <v>0.7</v>
      </c>
      <c r="S656">
        <v>441</v>
      </c>
      <c r="T656" t="s">
        <v>27</v>
      </c>
      <c r="U656">
        <v>441</v>
      </c>
      <c r="V656" s="7" t="str">
        <f>IF(ISERROR(VLOOKUP(K656,[1]작가별정산률!$R:$S,2,0)),"스토리위즈",VLOOKUP(K656,[1]작가별정산률!$R:$S,2,0))</f>
        <v>스토리위즈</v>
      </c>
      <c r="W656" s="7" t="str">
        <f>IF(V656="스토리위즈",VLOOKUP(K656,[1]작가별정산률!$A:$B,2,0),V656)</f>
        <v>김광수</v>
      </c>
    </row>
    <row r="657" spans="1:23" x14ac:dyDescent="0.4">
      <c r="A657" t="s">
        <v>262</v>
      </c>
      <c r="B657" t="s">
        <v>899</v>
      </c>
      <c r="C657" t="s">
        <v>932</v>
      </c>
      <c r="D657" t="s">
        <v>64</v>
      </c>
      <c r="E657" t="s">
        <v>22</v>
      </c>
      <c r="F657" t="s">
        <v>23</v>
      </c>
      <c r="G657">
        <v>1</v>
      </c>
      <c r="H657">
        <v>9791166300462</v>
      </c>
      <c r="I657" t="s">
        <v>24</v>
      </c>
      <c r="J657" t="s">
        <v>144</v>
      </c>
      <c r="K657" t="s">
        <v>119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2">
        <v>0.7</v>
      </c>
      <c r="S657">
        <v>441</v>
      </c>
      <c r="T657" t="s">
        <v>27</v>
      </c>
      <c r="U657">
        <v>441</v>
      </c>
      <c r="V657" s="7" t="str">
        <f>IF(ISERROR(VLOOKUP(K657,[1]작가별정산률!$R:$S,2,0)),"스토리위즈",VLOOKUP(K657,[1]작가별정산률!$R:$S,2,0))</f>
        <v>스토리위즈</v>
      </c>
      <c r="W657" s="7" t="str">
        <f>IF(V657="스토리위즈",VLOOKUP(K657,[1]작가별정산률!$A:$B,2,0),V657)</f>
        <v>김광수</v>
      </c>
    </row>
    <row r="658" spans="1:23" x14ac:dyDescent="0.4">
      <c r="A658" t="s">
        <v>262</v>
      </c>
      <c r="B658" t="s">
        <v>899</v>
      </c>
      <c r="C658" t="s">
        <v>933</v>
      </c>
      <c r="D658" t="s">
        <v>64</v>
      </c>
      <c r="E658" t="s">
        <v>22</v>
      </c>
      <c r="F658" t="s">
        <v>23</v>
      </c>
      <c r="G658">
        <v>1</v>
      </c>
      <c r="H658">
        <v>9791166300271</v>
      </c>
      <c r="I658" t="s">
        <v>24</v>
      </c>
      <c r="J658" t="s">
        <v>136</v>
      </c>
      <c r="K658" t="s">
        <v>119</v>
      </c>
      <c r="L658" t="s">
        <v>27</v>
      </c>
      <c r="M658">
        <v>630</v>
      </c>
      <c r="N658" t="s">
        <v>27</v>
      </c>
      <c r="O658">
        <v>630</v>
      </c>
      <c r="P658">
        <v>630</v>
      </c>
      <c r="Q658" t="s">
        <v>30</v>
      </c>
      <c r="R658" s="2">
        <v>0.7</v>
      </c>
      <c r="S658">
        <v>441</v>
      </c>
      <c r="T658" t="s">
        <v>27</v>
      </c>
      <c r="U658">
        <v>441</v>
      </c>
      <c r="V658" s="7" t="str">
        <f>IF(ISERROR(VLOOKUP(K658,[1]작가별정산률!$R:$S,2,0)),"스토리위즈",VLOOKUP(K658,[1]작가별정산률!$R:$S,2,0))</f>
        <v>스토리위즈</v>
      </c>
      <c r="W658" s="7" t="str">
        <f>IF(V658="스토리위즈",VLOOKUP(K658,[1]작가별정산률!$A:$B,2,0),V658)</f>
        <v>김광수</v>
      </c>
    </row>
    <row r="659" spans="1:23" x14ac:dyDescent="0.4">
      <c r="A659" t="s">
        <v>262</v>
      </c>
      <c r="B659" t="s">
        <v>899</v>
      </c>
      <c r="C659" t="s">
        <v>934</v>
      </c>
      <c r="D659" t="s">
        <v>64</v>
      </c>
      <c r="E659" t="s">
        <v>22</v>
      </c>
      <c r="F659" t="s">
        <v>23</v>
      </c>
      <c r="G659">
        <v>1</v>
      </c>
      <c r="H659">
        <v>9791166300172</v>
      </c>
      <c r="I659" t="s">
        <v>24</v>
      </c>
      <c r="J659" t="s">
        <v>127</v>
      </c>
      <c r="K659" t="s">
        <v>119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  <c r="V659" s="7" t="str">
        <f>IF(ISERROR(VLOOKUP(K659,[1]작가별정산률!$R:$S,2,0)),"스토리위즈",VLOOKUP(K659,[1]작가별정산률!$R:$S,2,0))</f>
        <v>스토리위즈</v>
      </c>
      <c r="W659" s="7" t="str">
        <f>IF(V659="스토리위즈",VLOOKUP(K659,[1]작가별정산률!$A:$B,2,0),V659)</f>
        <v>김광수</v>
      </c>
    </row>
    <row r="660" spans="1:23" x14ac:dyDescent="0.4">
      <c r="A660" t="s">
        <v>262</v>
      </c>
      <c r="B660" t="s">
        <v>899</v>
      </c>
      <c r="C660" t="s">
        <v>935</v>
      </c>
      <c r="D660" t="s">
        <v>21</v>
      </c>
      <c r="E660" t="s">
        <v>22</v>
      </c>
      <c r="F660" t="s">
        <v>216</v>
      </c>
      <c r="G660">
        <v>1</v>
      </c>
      <c r="H660">
        <v>9791191562385</v>
      </c>
      <c r="I660" t="s">
        <v>143</v>
      </c>
      <c r="J660" t="s">
        <v>936</v>
      </c>
      <c r="K660" t="s">
        <v>937</v>
      </c>
      <c r="L660" t="s">
        <v>27</v>
      </c>
      <c r="M660" s="3">
        <v>2000</v>
      </c>
      <c r="N660" t="s">
        <v>27</v>
      </c>
      <c r="O660" s="3">
        <v>2000</v>
      </c>
      <c r="P660" s="3">
        <v>2000</v>
      </c>
      <c r="Q660" t="s">
        <v>30</v>
      </c>
      <c r="R660" s="2">
        <v>0.7</v>
      </c>
      <c r="S660" s="3">
        <v>1400</v>
      </c>
      <c r="T660" t="s">
        <v>27</v>
      </c>
      <c r="U660" s="3">
        <v>1400</v>
      </c>
      <c r="V660" s="7" t="str">
        <f>IF(ISERROR(VLOOKUP(K660,[1]작가별정산률!$R:$S,2,0)),"스토리위즈",VLOOKUP(K660,[1]작가별정산률!$R:$S,2,0))</f>
        <v>밀리의 서재</v>
      </c>
      <c r="W660" s="7" t="str">
        <f>IF(V660="스토리위즈",VLOOKUP(K660,[1]작가별정산률!$A:$B,2,0),V660)</f>
        <v>밀리의 서재</v>
      </c>
    </row>
    <row r="661" spans="1:23" x14ac:dyDescent="0.4">
      <c r="A661" t="s">
        <v>262</v>
      </c>
      <c r="B661" t="s">
        <v>899</v>
      </c>
      <c r="C661" t="s">
        <v>938</v>
      </c>
      <c r="D661" t="s">
        <v>64</v>
      </c>
      <c r="E661" t="s">
        <v>22</v>
      </c>
      <c r="F661" t="s">
        <v>23</v>
      </c>
      <c r="G661">
        <v>1</v>
      </c>
      <c r="H661">
        <v>9791159283222</v>
      </c>
      <c r="I661" t="s">
        <v>24</v>
      </c>
      <c r="J661" t="s">
        <v>65</v>
      </c>
      <c r="K661" t="s">
        <v>37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2">
        <v>0.7</v>
      </c>
      <c r="S661">
        <v>441</v>
      </c>
      <c r="T661" t="s">
        <v>27</v>
      </c>
      <c r="U661">
        <v>441</v>
      </c>
      <c r="V661" s="7" t="str">
        <f>IF(ISERROR(VLOOKUP(K661,[1]작가별정산률!$R:$S,2,0)),"스토리위즈",VLOOKUP(K661,[1]작가별정산률!$R:$S,2,0))</f>
        <v>스토리위즈</v>
      </c>
      <c r="W661" s="7" t="str">
        <f>IF(V661="스토리위즈",VLOOKUP(K661,[1]작가별정산률!$A:$B,2,0),V661)</f>
        <v>권용찬</v>
      </c>
    </row>
    <row r="662" spans="1:23" x14ac:dyDescent="0.4">
      <c r="A662" t="s">
        <v>262</v>
      </c>
      <c r="B662" t="s">
        <v>899</v>
      </c>
      <c r="C662" t="s">
        <v>939</v>
      </c>
      <c r="D662" t="s">
        <v>64</v>
      </c>
      <c r="E662" t="s">
        <v>22</v>
      </c>
      <c r="F662" t="s">
        <v>23</v>
      </c>
      <c r="G662">
        <v>1</v>
      </c>
      <c r="H662">
        <v>9791166300134</v>
      </c>
      <c r="I662" t="s">
        <v>24</v>
      </c>
      <c r="J662" t="s">
        <v>123</v>
      </c>
      <c r="K662" t="s">
        <v>119</v>
      </c>
      <c r="L662" t="s">
        <v>27</v>
      </c>
      <c r="M662">
        <v>630</v>
      </c>
      <c r="N662" t="s">
        <v>27</v>
      </c>
      <c r="O662">
        <v>630</v>
      </c>
      <c r="P662">
        <v>630</v>
      </c>
      <c r="Q662" t="s">
        <v>30</v>
      </c>
      <c r="R662" s="2">
        <v>0.7</v>
      </c>
      <c r="S662">
        <v>441</v>
      </c>
      <c r="T662" t="s">
        <v>27</v>
      </c>
      <c r="U662">
        <v>441</v>
      </c>
      <c r="V662" s="7" t="str">
        <f>IF(ISERROR(VLOOKUP(K662,[1]작가별정산률!$R:$S,2,0)),"스토리위즈",VLOOKUP(K662,[1]작가별정산률!$R:$S,2,0))</f>
        <v>스토리위즈</v>
      </c>
      <c r="W662" s="7" t="str">
        <f>IF(V662="스토리위즈",VLOOKUP(K662,[1]작가별정산률!$A:$B,2,0),V662)</f>
        <v>김광수</v>
      </c>
    </row>
    <row r="663" spans="1:23" x14ac:dyDescent="0.4">
      <c r="A663" t="s">
        <v>262</v>
      </c>
      <c r="B663" t="s">
        <v>899</v>
      </c>
      <c r="C663" t="s">
        <v>940</v>
      </c>
      <c r="D663" t="s">
        <v>64</v>
      </c>
      <c r="E663" t="s">
        <v>22</v>
      </c>
      <c r="F663" t="s">
        <v>23</v>
      </c>
      <c r="G663">
        <v>1</v>
      </c>
      <c r="H663">
        <v>9791166300486</v>
      </c>
      <c r="I663" t="s">
        <v>24</v>
      </c>
      <c r="J663" t="s">
        <v>146</v>
      </c>
      <c r="K663" t="s">
        <v>119</v>
      </c>
      <c r="L663" t="s">
        <v>27</v>
      </c>
      <c r="M663">
        <v>630</v>
      </c>
      <c r="N663" t="s">
        <v>27</v>
      </c>
      <c r="O663">
        <v>630</v>
      </c>
      <c r="P663">
        <v>630</v>
      </c>
      <c r="Q663" t="s">
        <v>30</v>
      </c>
      <c r="R663" s="2">
        <v>0.7</v>
      </c>
      <c r="S663">
        <v>441</v>
      </c>
      <c r="T663" t="s">
        <v>27</v>
      </c>
      <c r="U663">
        <v>441</v>
      </c>
      <c r="V663" s="7" t="str">
        <f>IF(ISERROR(VLOOKUP(K663,[1]작가별정산률!$R:$S,2,0)),"스토리위즈",VLOOKUP(K663,[1]작가별정산률!$R:$S,2,0))</f>
        <v>스토리위즈</v>
      </c>
      <c r="W663" s="7" t="str">
        <f>IF(V663="스토리위즈",VLOOKUP(K663,[1]작가별정산률!$A:$B,2,0),V663)</f>
        <v>김광수</v>
      </c>
    </row>
    <row r="664" spans="1:23" x14ac:dyDescent="0.4">
      <c r="A664" t="s">
        <v>262</v>
      </c>
      <c r="B664" t="s">
        <v>899</v>
      </c>
      <c r="C664" t="s">
        <v>941</v>
      </c>
      <c r="D664" t="s">
        <v>21</v>
      </c>
      <c r="E664" t="s">
        <v>22</v>
      </c>
      <c r="F664" t="s">
        <v>23</v>
      </c>
      <c r="G664">
        <v>1</v>
      </c>
      <c r="H664">
        <v>9791166300141</v>
      </c>
      <c r="I664" t="s">
        <v>24</v>
      </c>
      <c r="J664" t="s">
        <v>124</v>
      </c>
      <c r="K664" t="s">
        <v>119</v>
      </c>
      <c r="L664" t="s">
        <v>27</v>
      </c>
      <c r="M664" s="3">
        <v>3200</v>
      </c>
      <c r="N664" t="s">
        <v>27</v>
      </c>
      <c r="O664" s="3">
        <v>3200</v>
      </c>
      <c r="P664" s="3">
        <v>3200</v>
      </c>
      <c r="Q664" t="s">
        <v>30</v>
      </c>
      <c r="R664" s="2">
        <v>0.7</v>
      </c>
      <c r="S664" s="3">
        <v>2240</v>
      </c>
      <c r="T664" t="s">
        <v>27</v>
      </c>
      <c r="U664" s="3">
        <v>2240</v>
      </c>
      <c r="V664" s="7" t="str">
        <f>IF(ISERROR(VLOOKUP(K664,[1]작가별정산률!$R:$S,2,0)),"스토리위즈",VLOOKUP(K664,[1]작가별정산률!$R:$S,2,0))</f>
        <v>스토리위즈</v>
      </c>
      <c r="W664" s="7" t="str">
        <f>IF(V664="스토리위즈",VLOOKUP(K664,[1]작가별정산률!$A:$B,2,0),V664)</f>
        <v>김광수</v>
      </c>
    </row>
    <row r="665" spans="1:23" x14ac:dyDescent="0.4">
      <c r="A665" t="s">
        <v>262</v>
      </c>
      <c r="B665" t="s">
        <v>899</v>
      </c>
      <c r="C665" t="s">
        <v>942</v>
      </c>
      <c r="D665" t="s">
        <v>64</v>
      </c>
      <c r="E665" t="s">
        <v>22</v>
      </c>
      <c r="F665" t="s">
        <v>23</v>
      </c>
      <c r="G665">
        <v>1</v>
      </c>
      <c r="H665">
        <v>9791166300196</v>
      </c>
      <c r="I665" t="s">
        <v>24</v>
      </c>
      <c r="J665" t="s">
        <v>128</v>
      </c>
      <c r="K665" t="s">
        <v>119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  <c r="V665" s="7" t="str">
        <f>IF(ISERROR(VLOOKUP(K665,[1]작가별정산률!$R:$S,2,0)),"스토리위즈",VLOOKUP(K665,[1]작가별정산률!$R:$S,2,0))</f>
        <v>스토리위즈</v>
      </c>
      <c r="W665" s="7" t="str">
        <f>IF(V665="스토리위즈",VLOOKUP(K665,[1]작가별정산률!$A:$B,2,0),V665)</f>
        <v>김광수</v>
      </c>
    </row>
    <row r="666" spans="1:23" x14ac:dyDescent="0.4">
      <c r="A666" t="s">
        <v>262</v>
      </c>
      <c r="B666" t="s">
        <v>899</v>
      </c>
      <c r="C666" t="s">
        <v>943</v>
      </c>
      <c r="D666" t="s">
        <v>21</v>
      </c>
      <c r="E666" t="s">
        <v>22</v>
      </c>
      <c r="F666" t="s">
        <v>23</v>
      </c>
      <c r="G666">
        <v>1</v>
      </c>
      <c r="H666">
        <v>9791189084813</v>
      </c>
      <c r="I666" t="s">
        <v>143</v>
      </c>
      <c r="J666" t="s">
        <v>563</v>
      </c>
      <c r="K666" t="s">
        <v>564</v>
      </c>
      <c r="L666" t="s">
        <v>27</v>
      </c>
      <c r="M666" s="3">
        <v>4000</v>
      </c>
      <c r="N666" t="s">
        <v>27</v>
      </c>
      <c r="O666" s="3">
        <v>4000</v>
      </c>
      <c r="P666" s="3">
        <v>4000</v>
      </c>
      <c r="Q666" t="s">
        <v>30</v>
      </c>
      <c r="R666" s="2">
        <v>0.7</v>
      </c>
      <c r="S666" s="3">
        <v>2800</v>
      </c>
      <c r="T666" t="s">
        <v>27</v>
      </c>
      <c r="U666" s="3">
        <v>2800</v>
      </c>
      <c r="V666" s="7" t="str">
        <f>IF(ISERROR(VLOOKUP(K666,[1]작가별정산률!$R:$S,2,0)),"스토리위즈",VLOOKUP(K666,[1]작가별정산률!$R:$S,2,0))</f>
        <v>스토리위즈</v>
      </c>
      <c r="W666" s="7" t="str">
        <f>IF(V666="스토리위즈",VLOOKUP(K666,[1]작가별정산률!$A:$B,2,0),V666)</f>
        <v>셔틀</v>
      </c>
    </row>
    <row r="667" spans="1:23" x14ac:dyDescent="0.4">
      <c r="A667" t="s">
        <v>262</v>
      </c>
      <c r="B667" t="s">
        <v>899</v>
      </c>
      <c r="C667" t="s">
        <v>944</v>
      </c>
      <c r="D667" t="s">
        <v>21</v>
      </c>
      <c r="E667" t="s">
        <v>22</v>
      </c>
      <c r="F667" t="s">
        <v>23</v>
      </c>
      <c r="G667">
        <v>1</v>
      </c>
      <c r="H667">
        <v>9791191562125</v>
      </c>
      <c r="I667" t="s">
        <v>143</v>
      </c>
      <c r="J667" t="s">
        <v>212</v>
      </c>
      <c r="K667" t="s">
        <v>213</v>
      </c>
      <c r="L667" t="s">
        <v>27</v>
      </c>
      <c r="M667" s="3">
        <v>2500</v>
      </c>
      <c r="N667" t="s">
        <v>27</v>
      </c>
      <c r="O667" s="3">
        <v>2500</v>
      </c>
      <c r="P667" s="3">
        <v>2500</v>
      </c>
      <c r="Q667" t="s">
        <v>30</v>
      </c>
      <c r="R667" s="2">
        <v>0.7</v>
      </c>
      <c r="S667" s="3">
        <v>1750</v>
      </c>
      <c r="T667" t="s">
        <v>27</v>
      </c>
      <c r="U667" s="3">
        <v>1750</v>
      </c>
      <c r="V667" s="7" t="str">
        <f>IF(ISERROR(VLOOKUP(K667,[1]작가별정산률!$R:$S,2,0)),"스토리위즈",VLOOKUP(K667,[1]작가별정산률!$R:$S,2,0))</f>
        <v>밀리의 서재</v>
      </c>
      <c r="W667" s="7" t="str">
        <f>IF(V667="스토리위즈",VLOOKUP(K667,[1]작가별정산률!$A:$B,2,0),V667)</f>
        <v>밀리의 서재</v>
      </c>
    </row>
    <row r="668" spans="1:23" x14ac:dyDescent="0.4">
      <c r="A668" t="s">
        <v>262</v>
      </c>
      <c r="B668" t="s">
        <v>899</v>
      </c>
      <c r="C668" t="s">
        <v>945</v>
      </c>
      <c r="D668" t="s">
        <v>64</v>
      </c>
      <c r="E668" t="s">
        <v>22</v>
      </c>
      <c r="F668" t="s">
        <v>23</v>
      </c>
      <c r="G668">
        <v>1</v>
      </c>
      <c r="H668">
        <v>9791166300479</v>
      </c>
      <c r="I668" t="s">
        <v>24</v>
      </c>
      <c r="J668" t="s">
        <v>145</v>
      </c>
      <c r="K668" t="s">
        <v>119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  <c r="V668" s="7" t="str">
        <f>IF(ISERROR(VLOOKUP(K668,[1]작가별정산률!$R:$S,2,0)),"스토리위즈",VLOOKUP(K668,[1]작가별정산률!$R:$S,2,0))</f>
        <v>스토리위즈</v>
      </c>
      <c r="W668" s="7" t="str">
        <f>IF(V668="스토리위즈",VLOOKUP(K668,[1]작가별정산률!$A:$B,2,0),V668)</f>
        <v>김광수</v>
      </c>
    </row>
    <row r="669" spans="1:23" x14ac:dyDescent="0.4">
      <c r="A669" t="s">
        <v>262</v>
      </c>
      <c r="B669" t="s">
        <v>899</v>
      </c>
      <c r="C669" t="s">
        <v>946</v>
      </c>
      <c r="D669" t="s">
        <v>64</v>
      </c>
      <c r="E669" t="s">
        <v>22</v>
      </c>
      <c r="F669" t="s">
        <v>23</v>
      </c>
      <c r="G669">
        <v>1</v>
      </c>
      <c r="H669">
        <v>9791166300141</v>
      </c>
      <c r="I669" t="s">
        <v>24</v>
      </c>
      <c r="J669" t="s">
        <v>124</v>
      </c>
      <c r="K669" t="s">
        <v>119</v>
      </c>
      <c r="L669" t="s">
        <v>27</v>
      </c>
      <c r="M669">
        <v>630</v>
      </c>
      <c r="N669" t="s">
        <v>27</v>
      </c>
      <c r="O669">
        <v>630</v>
      </c>
      <c r="P669">
        <v>630</v>
      </c>
      <c r="Q669" t="s">
        <v>30</v>
      </c>
      <c r="R669" s="2">
        <v>0.7</v>
      </c>
      <c r="S669">
        <v>441</v>
      </c>
      <c r="T669" t="s">
        <v>27</v>
      </c>
      <c r="U669">
        <v>441</v>
      </c>
      <c r="V669" s="7" t="str">
        <f>IF(ISERROR(VLOOKUP(K669,[1]작가별정산률!$R:$S,2,0)),"스토리위즈",VLOOKUP(K669,[1]작가별정산률!$R:$S,2,0))</f>
        <v>스토리위즈</v>
      </c>
      <c r="W669" s="7" t="str">
        <f>IF(V669="스토리위즈",VLOOKUP(K669,[1]작가별정산률!$A:$B,2,0),V669)</f>
        <v>김광수</v>
      </c>
    </row>
    <row r="670" spans="1:23" x14ac:dyDescent="0.4">
      <c r="A670" t="s">
        <v>262</v>
      </c>
      <c r="B670" t="s">
        <v>899</v>
      </c>
      <c r="C670" t="s">
        <v>947</v>
      </c>
      <c r="D670" t="s">
        <v>64</v>
      </c>
      <c r="E670" t="s">
        <v>22</v>
      </c>
      <c r="F670" t="s">
        <v>23</v>
      </c>
      <c r="G670">
        <v>1</v>
      </c>
      <c r="H670">
        <v>9791166300288</v>
      </c>
      <c r="I670" t="s">
        <v>24</v>
      </c>
      <c r="J670" t="s">
        <v>137</v>
      </c>
      <c r="K670" t="s">
        <v>119</v>
      </c>
      <c r="L670" t="s">
        <v>27</v>
      </c>
      <c r="M670">
        <v>630</v>
      </c>
      <c r="N670" t="s">
        <v>27</v>
      </c>
      <c r="O670">
        <v>630</v>
      </c>
      <c r="P670">
        <v>630</v>
      </c>
      <c r="Q670" t="s">
        <v>30</v>
      </c>
      <c r="R670" s="2">
        <v>0.7</v>
      </c>
      <c r="S670">
        <v>441</v>
      </c>
      <c r="T670" t="s">
        <v>27</v>
      </c>
      <c r="U670">
        <v>441</v>
      </c>
      <c r="V670" s="7" t="str">
        <f>IF(ISERROR(VLOOKUP(K670,[1]작가별정산률!$R:$S,2,0)),"스토리위즈",VLOOKUP(K670,[1]작가별정산률!$R:$S,2,0))</f>
        <v>스토리위즈</v>
      </c>
      <c r="W670" s="7" t="str">
        <f>IF(V670="스토리위즈",VLOOKUP(K670,[1]작가별정산률!$A:$B,2,0),V670)</f>
        <v>김광수</v>
      </c>
    </row>
    <row r="671" spans="1:23" x14ac:dyDescent="0.4">
      <c r="A671" t="s">
        <v>262</v>
      </c>
      <c r="B671" t="s">
        <v>899</v>
      </c>
      <c r="C671" t="s">
        <v>948</v>
      </c>
      <c r="D671" t="s">
        <v>21</v>
      </c>
      <c r="E671" t="s">
        <v>22</v>
      </c>
      <c r="F671" t="s">
        <v>23</v>
      </c>
      <c r="G671">
        <v>1</v>
      </c>
      <c r="H671">
        <v>9791191562101</v>
      </c>
      <c r="I671" t="s">
        <v>143</v>
      </c>
      <c r="J671" t="s">
        <v>196</v>
      </c>
      <c r="K671" t="s">
        <v>201</v>
      </c>
      <c r="L671" t="s">
        <v>27</v>
      </c>
      <c r="M671" s="3">
        <v>3000</v>
      </c>
      <c r="N671" t="s">
        <v>27</v>
      </c>
      <c r="O671" s="3">
        <v>3000</v>
      </c>
      <c r="P671" s="3">
        <v>3000</v>
      </c>
      <c r="Q671" t="s">
        <v>30</v>
      </c>
      <c r="R671" s="2">
        <v>0.7</v>
      </c>
      <c r="S671" s="3">
        <v>2100</v>
      </c>
      <c r="T671" t="s">
        <v>27</v>
      </c>
      <c r="U671" s="3">
        <v>2100</v>
      </c>
      <c r="V671" s="7" t="str">
        <f>IF(ISERROR(VLOOKUP(K671,[1]작가별정산률!$R:$S,2,0)),"스토리위즈",VLOOKUP(K671,[1]작가별정산률!$R:$S,2,0))</f>
        <v>밀리의 서재</v>
      </c>
      <c r="W671" s="7" t="str">
        <f>IF(V671="스토리위즈",VLOOKUP(K671,[1]작가별정산률!$A:$B,2,0),V671)</f>
        <v>밀리의 서재</v>
      </c>
    </row>
    <row r="672" spans="1:23" x14ac:dyDescent="0.4">
      <c r="A672" t="s">
        <v>262</v>
      </c>
      <c r="B672" t="s">
        <v>899</v>
      </c>
      <c r="C672" t="s">
        <v>949</v>
      </c>
      <c r="D672" t="s">
        <v>64</v>
      </c>
      <c r="E672" t="s">
        <v>22</v>
      </c>
      <c r="F672" t="s">
        <v>23</v>
      </c>
      <c r="G672">
        <v>1</v>
      </c>
      <c r="H672">
        <v>9791166300554</v>
      </c>
      <c r="I672" t="s">
        <v>24</v>
      </c>
      <c r="J672" t="s">
        <v>154</v>
      </c>
      <c r="K672" t="s">
        <v>119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2">
        <v>0.7</v>
      </c>
      <c r="S672">
        <v>441</v>
      </c>
      <c r="T672" t="s">
        <v>27</v>
      </c>
      <c r="U672">
        <v>441</v>
      </c>
      <c r="V672" s="7" t="str">
        <f>IF(ISERROR(VLOOKUP(K672,[1]작가별정산률!$R:$S,2,0)),"스토리위즈",VLOOKUP(K672,[1]작가별정산률!$R:$S,2,0))</f>
        <v>스토리위즈</v>
      </c>
      <c r="W672" s="7" t="str">
        <f>IF(V672="스토리위즈",VLOOKUP(K672,[1]작가별정산률!$A:$B,2,0),V672)</f>
        <v>김광수</v>
      </c>
    </row>
    <row r="673" spans="1:23" x14ac:dyDescent="0.4">
      <c r="A673" t="s">
        <v>262</v>
      </c>
      <c r="B673" t="s">
        <v>899</v>
      </c>
      <c r="C673" t="s">
        <v>950</v>
      </c>
      <c r="D673" t="s">
        <v>21</v>
      </c>
      <c r="E673" t="s">
        <v>22</v>
      </c>
      <c r="F673" t="s">
        <v>23</v>
      </c>
      <c r="G673">
        <v>1</v>
      </c>
      <c r="H673">
        <v>9791191562125</v>
      </c>
      <c r="I673" t="s">
        <v>143</v>
      </c>
      <c r="J673" t="s">
        <v>212</v>
      </c>
      <c r="K673" t="s">
        <v>213</v>
      </c>
      <c r="L673" t="s">
        <v>27</v>
      </c>
      <c r="M673" s="3">
        <v>2500</v>
      </c>
      <c r="N673" t="s">
        <v>27</v>
      </c>
      <c r="O673" s="3">
        <v>2500</v>
      </c>
      <c r="P673" s="3">
        <v>2500</v>
      </c>
      <c r="Q673" t="s">
        <v>30</v>
      </c>
      <c r="R673" s="2">
        <v>0.7</v>
      </c>
      <c r="S673" s="3">
        <v>1750</v>
      </c>
      <c r="T673" t="s">
        <v>27</v>
      </c>
      <c r="U673" s="3">
        <v>1750</v>
      </c>
      <c r="V673" s="7" t="str">
        <f>IF(ISERROR(VLOOKUP(K673,[1]작가별정산률!$R:$S,2,0)),"스토리위즈",VLOOKUP(K673,[1]작가별정산률!$R:$S,2,0))</f>
        <v>밀리의 서재</v>
      </c>
      <c r="W673" s="7" t="str">
        <f>IF(V673="스토리위즈",VLOOKUP(K673,[1]작가별정산률!$A:$B,2,0),V673)</f>
        <v>밀리의 서재</v>
      </c>
    </row>
    <row r="674" spans="1:23" x14ac:dyDescent="0.4">
      <c r="A674" t="s">
        <v>262</v>
      </c>
      <c r="B674" t="s">
        <v>899</v>
      </c>
      <c r="C674" t="s">
        <v>951</v>
      </c>
      <c r="D674" t="s">
        <v>64</v>
      </c>
      <c r="E674" t="s">
        <v>22</v>
      </c>
      <c r="F674" t="s">
        <v>23</v>
      </c>
      <c r="G674">
        <v>1</v>
      </c>
      <c r="H674">
        <v>9791159283147</v>
      </c>
      <c r="I674" t="s">
        <v>24</v>
      </c>
      <c r="J674" t="s">
        <v>83</v>
      </c>
      <c r="K674" t="s">
        <v>37</v>
      </c>
      <c r="L674" t="s">
        <v>27</v>
      </c>
      <c r="M674">
        <v>900</v>
      </c>
      <c r="N674" t="s">
        <v>27</v>
      </c>
      <c r="O674">
        <v>900</v>
      </c>
      <c r="P674">
        <v>900</v>
      </c>
      <c r="Q674" t="s">
        <v>30</v>
      </c>
      <c r="R674" s="2">
        <v>0.7</v>
      </c>
      <c r="S674">
        <v>630</v>
      </c>
      <c r="T674" t="s">
        <v>27</v>
      </c>
      <c r="U674">
        <v>630</v>
      </c>
      <c r="V674" s="7" t="str">
        <f>IF(ISERROR(VLOOKUP(K674,[1]작가별정산률!$R:$S,2,0)),"스토리위즈",VLOOKUP(K674,[1]작가별정산률!$R:$S,2,0))</f>
        <v>스토리위즈</v>
      </c>
      <c r="W674" s="7" t="str">
        <f>IF(V674="스토리위즈",VLOOKUP(K674,[1]작가별정산률!$A:$B,2,0),V674)</f>
        <v>권용찬</v>
      </c>
    </row>
    <row r="675" spans="1:23" x14ac:dyDescent="0.4">
      <c r="A675" t="s">
        <v>262</v>
      </c>
      <c r="B675" t="s">
        <v>899</v>
      </c>
      <c r="C675" t="s">
        <v>952</v>
      </c>
      <c r="D675" t="s">
        <v>64</v>
      </c>
      <c r="E675" t="s">
        <v>22</v>
      </c>
      <c r="F675" t="s">
        <v>23</v>
      </c>
      <c r="G675">
        <v>1</v>
      </c>
      <c r="H675">
        <v>9791159283239</v>
      </c>
      <c r="I675" t="s">
        <v>24</v>
      </c>
      <c r="J675" t="s">
        <v>66</v>
      </c>
      <c r="K675" t="s">
        <v>37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  <c r="V675" s="7" t="str">
        <f>IF(ISERROR(VLOOKUP(K675,[1]작가별정산률!$R:$S,2,0)),"스토리위즈",VLOOKUP(K675,[1]작가별정산률!$R:$S,2,0))</f>
        <v>스토리위즈</v>
      </c>
      <c r="W675" s="7" t="str">
        <f>IF(V675="스토리위즈",VLOOKUP(K675,[1]작가별정산률!$A:$B,2,0),V675)</f>
        <v>권용찬</v>
      </c>
    </row>
    <row r="676" spans="1:23" x14ac:dyDescent="0.4">
      <c r="A676" t="s">
        <v>262</v>
      </c>
      <c r="B676" t="s">
        <v>899</v>
      </c>
      <c r="C676" t="s">
        <v>953</v>
      </c>
      <c r="D676" t="s">
        <v>64</v>
      </c>
      <c r="E676" t="s">
        <v>22</v>
      </c>
      <c r="F676" t="s">
        <v>23</v>
      </c>
      <c r="G676">
        <v>1</v>
      </c>
      <c r="H676">
        <v>9791166300257</v>
      </c>
      <c r="I676" t="s">
        <v>24</v>
      </c>
      <c r="J676" t="s">
        <v>134</v>
      </c>
      <c r="K676" t="s">
        <v>119</v>
      </c>
      <c r="L676" t="s">
        <v>27</v>
      </c>
      <c r="M676">
        <v>630</v>
      </c>
      <c r="N676" t="s">
        <v>27</v>
      </c>
      <c r="O676">
        <v>630</v>
      </c>
      <c r="P676">
        <v>630</v>
      </c>
      <c r="Q676" t="s">
        <v>30</v>
      </c>
      <c r="R676" s="2">
        <v>0.7</v>
      </c>
      <c r="S676">
        <v>441</v>
      </c>
      <c r="T676" t="s">
        <v>27</v>
      </c>
      <c r="U676">
        <v>441</v>
      </c>
      <c r="V676" s="7" t="str">
        <f>IF(ISERROR(VLOOKUP(K676,[1]작가별정산률!$R:$S,2,0)),"스토리위즈",VLOOKUP(K676,[1]작가별정산률!$R:$S,2,0))</f>
        <v>스토리위즈</v>
      </c>
      <c r="W676" s="7" t="str">
        <f>IF(V676="스토리위즈",VLOOKUP(K676,[1]작가별정산률!$A:$B,2,0),V676)</f>
        <v>김광수</v>
      </c>
    </row>
    <row r="677" spans="1:23" x14ac:dyDescent="0.4">
      <c r="A677" t="s">
        <v>262</v>
      </c>
      <c r="B677" t="s">
        <v>899</v>
      </c>
      <c r="C677" t="s">
        <v>954</v>
      </c>
      <c r="D677" t="s">
        <v>64</v>
      </c>
      <c r="E677" t="s">
        <v>22</v>
      </c>
      <c r="F677" t="s">
        <v>23</v>
      </c>
      <c r="G677">
        <v>1</v>
      </c>
      <c r="H677">
        <v>9791159283208</v>
      </c>
      <c r="I677" t="s">
        <v>24</v>
      </c>
      <c r="J677" t="s">
        <v>105</v>
      </c>
      <c r="K677" t="s">
        <v>37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  <c r="V677" s="7" t="str">
        <f>IF(ISERROR(VLOOKUP(K677,[1]작가별정산률!$R:$S,2,0)),"스토리위즈",VLOOKUP(K677,[1]작가별정산률!$R:$S,2,0))</f>
        <v>스토리위즈</v>
      </c>
      <c r="W677" s="7" t="str">
        <f>IF(V677="스토리위즈",VLOOKUP(K677,[1]작가별정산률!$A:$B,2,0),V677)</f>
        <v>권용찬</v>
      </c>
    </row>
    <row r="678" spans="1:23" x14ac:dyDescent="0.4">
      <c r="A678" t="s">
        <v>262</v>
      </c>
      <c r="B678" t="s">
        <v>899</v>
      </c>
      <c r="C678" t="s">
        <v>955</v>
      </c>
      <c r="D678" t="s">
        <v>64</v>
      </c>
      <c r="E678" t="s">
        <v>22</v>
      </c>
      <c r="F678" t="s">
        <v>23</v>
      </c>
      <c r="G678">
        <v>1</v>
      </c>
      <c r="H678">
        <v>9791166300486</v>
      </c>
      <c r="I678" t="s">
        <v>24</v>
      </c>
      <c r="J678" t="s">
        <v>146</v>
      </c>
      <c r="K678" t="s">
        <v>119</v>
      </c>
      <c r="L678" t="s">
        <v>27</v>
      </c>
      <c r="M678">
        <v>630</v>
      </c>
      <c r="N678" t="s">
        <v>27</v>
      </c>
      <c r="O678">
        <v>630</v>
      </c>
      <c r="P678">
        <v>630</v>
      </c>
      <c r="Q678" t="s">
        <v>30</v>
      </c>
      <c r="R678" s="2">
        <v>0.7</v>
      </c>
      <c r="S678">
        <v>441</v>
      </c>
      <c r="T678" t="s">
        <v>27</v>
      </c>
      <c r="U678">
        <v>441</v>
      </c>
      <c r="V678" s="7" t="str">
        <f>IF(ISERROR(VLOOKUP(K678,[1]작가별정산률!$R:$S,2,0)),"스토리위즈",VLOOKUP(K678,[1]작가별정산률!$R:$S,2,0))</f>
        <v>스토리위즈</v>
      </c>
      <c r="W678" s="7" t="str">
        <f>IF(V678="스토리위즈",VLOOKUP(K678,[1]작가별정산률!$A:$B,2,0),V678)</f>
        <v>김광수</v>
      </c>
    </row>
    <row r="679" spans="1:23" x14ac:dyDescent="0.4">
      <c r="A679" t="s">
        <v>262</v>
      </c>
      <c r="B679" t="s">
        <v>899</v>
      </c>
      <c r="C679" t="s">
        <v>956</v>
      </c>
      <c r="D679" t="s">
        <v>64</v>
      </c>
      <c r="E679" t="s">
        <v>22</v>
      </c>
      <c r="F679" t="s">
        <v>23</v>
      </c>
      <c r="G679">
        <v>1</v>
      </c>
      <c r="H679">
        <v>9791166300233</v>
      </c>
      <c r="I679" t="s">
        <v>24</v>
      </c>
      <c r="J679" t="s">
        <v>132</v>
      </c>
      <c r="K679" t="s">
        <v>119</v>
      </c>
      <c r="L679" t="s">
        <v>27</v>
      </c>
      <c r="M679">
        <v>630</v>
      </c>
      <c r="N679" t="s">
        <v>27</v>
      </c>
      <c r="O679">
        <v>630</v>
      </c>
      <c r="P679">
        <v>630</v>
      </c>
      <c r="Q679" t="s">
        <v>30</v>
      </c>
      <c r="R679" s="2">
        <v>0.7</v>
      </c>
      <c r="S679">
        <v>441</v>
      </c>
      <c r="T679" t="s">
        <v>27</v>
      </c>
      <c r="U679">
        <v>441</v>
      </c>
      <c r="V679" s="7" t="str">
        <f>IF(ISERROR(VLOOKUP(K679,[1]작가별정산률!$R:$S,2,0)),"스토리위즈",VLOOKUP(K679,[1]작가별정산률!$R:$S,2,0))</f>
        <v>스토리위즈</v>
      </c>
      <c r="W679" s="7" t="str">
        <f>IF(V679="스토리위즈",VLOOKUP(K679,[1]작가별정산률!$A:$B,2,0),V679)</f>
        <v>김광수</v>
      </c>
    </row>
    <row r="680" spans="1:23" x14ac:dyDescent="0.4">
      <c r="A680" t="s">
        <v>262</v>
      </c>
      <c r="B680" t="s">
        <v>899</v>
      </c>
      <c r="C680" t="s">
        <v>957</v>
      </c>
      <c r="D680" t="s">
        <v>64</v>
      </c>
      <c r="E680" t="s">
        <v>22</v>
      </c>
      <c r="F680" t="s">
        <v>23</v>
      </c>
      <c r="G680">
        <v>1</v>
      </c>
      <c r="H680">
        <v>9791166300165</v>
      </c>
      <c r="I680" t="s">
        <v>24</v>
      </c>
      <c r="J680" t="s">
        <v>126</v>
      </c>
      <c r="K680" t="s">
        <v>119</v>
      </c>
      <c r="L680" t="s">
        <v>27</v>
      </c>
      <c r="M680">
        <v>630</v>
      </c>
      <c r="N680" t="s">
        <v>27</v>
      </c>
      <c r="O680">
        <v>630</v>
      </c>
      <c r="P680">
        <v>630</v>
      </c>
      <c r="Q680" t="s">
        <v>30</v>
      </c>
      <c r="R680" s="2">
        <v>0.7</v>
      </c>
      <c r="S680">
        <v>441</v>
      </c>
      <c r="T680" t="s">
        <v>27</v>
      </c>
      <c r="U680">
        <v>441</v>
      </c>
      <c r="V680" s="7" t="str">
        <f>IF(ISERROR(VLOOKUP(K680,[1]작가별정산률!$R:$S,2,0)),"스토리위즈",VLOOKUP(K680,[1]작가별정산률!$R:$S,2,0))</f>
        <v>스토리위즈</v>
      </c>
      <c r="W680" s="7" t="str">
        <f>IF(V680="스토리위즈",VLOOKUP(K680,[1]작가별정산률!$A:$B,2,0),V680)</f>
        <v>김광수</v>
      </c>
    </row>
    <row r="681" spans="1:23" x14ac:dyDescent="0.4">
      <c r="A681" t="s">
        <v>262</v>
      </c>
      <c r="B681" t="s">
        <v>899</v>
      </c>
      <c r="C681" t="s">
        <v>958</v>
      </c>
      <c r="D681" t="s">
        <v>64</v>
      </c>
      <c r="E681" t="s">
        <v>22</v>
      </c>
      <c r="F681" t="s">
        <v>23</v>
      </c>
      <c r="G681">
        <v>1</v>
      </c>
      <c r="H681">
        <v>9791166300561</v>
      </c>
      <c r="I681" t="s">
        <v>24</v>
      </c>
      <c r="J681" t="s">
        <v>158</v>
      </c>
      <c r="K681" t="s">
        <v>119</v>
      </c>
      <c r="L681" t="s">
        <v>27</v>
      </c>
      <c r="M681">
        <v>630</v>
      </c>
      <c r="N681" t="s">
        <v>27</v>
      </c>
      <c r="O681">
        <v>630</v>
      </c>
      <c r="P681">
        <v>630</v>
      </c>
      <c r="Q681" t="s">
        <v>30</v>
      </c>
      <c r="R681" s="2">
        <v>0.7</v>
      </c>
      <c r="S681">
        <v>441</v>
      </c>
      <c r="T681" t="s">
        <v>27</v>
      </c>
      <c r="U681">
        <v>441</v>
      </c>
      <c r="V681" s="7" t="str">
        <f>IF(ISERROR(VLOOKUP(K681,[1]작가별정산률!$R:$S,2,0)),"스토리위즈",VLOOKUP(K681,[1]작가별정산률!$R:$S,2,0))</f>
        <v>스토리위즈</v>
      </c>
      <c r="W681" s="7" t="str">
        <f>IF(V681="스토리위즈",VLOOKUP(K681,[1]작가별정산률!$A:$B,2,0),V681)</f>
        <v>김광수</v>
      </c>
    </row>
    <row r="682" spans="1:23" x14ac:dyDescent="0.4">
      <c r="A682" t="s">
        <v>262</v>
      </c>
      <c r="B682" t="s">
        <v>899</v>
      </c>
      <c r="C682" t="s">
        <v>959</v>
      </c>
      <c r="D682" t="s">
        <v>64</v>
      </c>
      <c r="E682" t="s">
        <v>22</v>
      </c>
      <c r="F682" t="s">
        <v>23</v>
      </c>
      <c r="G682">
        <v>1</v>
      </c>
      <c r="H682">
        <v>9791166300202</v>
      </c>
      <c r="I682" t="s">
        <v>24</v>
      </c>
      <c r="J682" t="s">
        <v>129</v>
      </c>
      <c r="K682" t="s">
        <v>119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2">
        <v>0.7</v>
      </c>
      <c r="S682">
        <v>441</v>
      </c>
      <c r="T682" t="s">
        <v>27</v>
      </c>
      <c r="U682">
        <v>441</v>
      </c>
      <c r="V682" s="7" t="str">
        <f>IF(ISERROR(VLOOKUP(K682,[1]작가별정산률!$R:$S,2,0)),"스토리위즈",VLOOKUP(K682,[1]작가별정산률!$R:$S,2,0))</f>
        <v>스토리위즈</v>
      </c>
      <c r="W682" s="7" t="str">
        <f>IF(V682="스토리위즈",VLOOKUP(K682,[1]작가별정산률!$A:$B,2,0),V682)</f>
        <v>김광수</v>
      </c>
    </row>
    <row r="683" spans="1:23" x14ac:dyDescent="0.4">
      <c r="A683" t="s">
        <v>262</v>
      </c>
      <c r="B683" t="s">
        <v>899</v>
      </c>
      <c r="C683" t="s">
        <v>960</v>
      </c>
      <c r="D683" t="s">
        <v>64</v>
      </c>
      <c r="E683" t="s">
        <v>22</v>
      </c>
      <c r="F683" t="s">
        <v>23</v>
      </c>
      <c r="G683">
        <v>1</v>
      </c>
      <c r="H683">
        <v>9791159282928</v>
      </c>
      <c r="I683" t="s">
        <v>24</v>
      </c>
      <c r="J683" t="s">
        <v>178</v>
      </c>
      <c r="K683" t="s">
        <v>26</v>
      </c>
      <c r="L683" t="s">
        <v>27</v>
      </c>
      <c r="M683">
        <v>630</v>
      </c>
      <c r="N683" t="s">
        <v>27</v>
      </c>
      <c r="O683">
        <v>630</v>
      </c>
      <c r="P683">
        <v>630</v>
      </c>
      <c r="Q683" t="s">
        <v>30</v>
      </c>
      <c r="R683" s="2">
        <v>0.7</v>
      </c>
      <c r="S683">
        <v>441</v>
      </c>
      <c r="T683" t="s">
        <v>27</v>
      </c>
      <c r="U683">
        <v>441</v>
      </c>
      <c r="V683" s="7" t="str">
        <f>IF(ISERROR(VLOOKUP(K683,[1]작가별정산률!$R:$S,2,0)),"스토리위즈",VLOOKUP(K683,[1]작가별정산률!$R:$S,2,0))</f>
        <v>스토리위즈</v>
      </c>
      <c r="W683" s="7" t="str">
        <f>IF(V683="스토리위즈",VLOOKUP(K683,[1]작가별정산률!$A:$B,2,0),V683)</f>
        <v>독고진</v>
      </c>
    </row>
    <row r="684" spans="1:23" x14ac:dyDescent="0.4">
      <c r="A684" t="s">
        <v>262</v>
      </c>
      <c r="B684" t="s">
        <v>899</v>
      </c>
      <c r="C684" t="s">
        <v>961</v>
      </c>
      <c r="D684" t="s">
        <v>64</v>
      </c>
      <c r="E684" t="s">
        <v>22</v>
      </c>
      <c r="F684" t="s">
        <v>23</v>
      </c>
      <c r="G684">
        <v>1</v>
      </c>
      <c r="H684">
        <v>9791166300127</v>
      </c>
      <c r="I684" t="s">
        <v>24</v>
      </c>
      <c r="J684" t="s">
        <v>122</v>
      </c>
      <c r="K684" t="s">
        <v>119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2">
        <v>0.7</v>
      </c>
      <c r="S684">
        <v>441</v>
      </c>
      <c r="T684" t="s">
        <v>27</v>
      </c>
      <c r="U684">
        <v>441</v>
      </c>
      <c r="V684" s="7" t="str">
        <f>IF(ISERROR(VLOOKUP(K684,[1]작가별정산률!$R:$S,2,0)),"스토리위즈",VLOOKUP(K684,[1]작가별정산률!$R:$S,2,0))</f>
        <v>스토리위즈</v>
      </c>
      <c r="W684" s="7" t="str">
        <f>IF(V684="스토리위즈",VLOOKUP(K684,[1]작가별정산률!$A:$B,2,0),V684)</f>
        <v>김광수</v>
      </c>
    </row>
    <row r="685" spans="1:23" x14ac:dyDescent="0.4">
      <c r="A685" t="s">
        <v>262</v>
      </c>
      <c r="B685" t="s">
        <v>899</v>
      </c>
      <c r="C685" t="s">
        <v>962</v>
      </c>
      <c r="D685" t="s">
        <v>64</v>
      </c>
      <c r="E685" t="s">
        <v>22</v>
      </c>
      <c r="F685" t="s">
        <v>23</v>
      </c>
      <c r="G685">
        <v>1</v>
      </c>
      <c r="H685">
        <v>9791159283246</v>
      </c>
      <c r="I685" t="s">
        <v>24</v>
      </c>
      <c r="J685" t="s">
        <v>67</v>
      </c>
      <c r="K685" t="s">
        <v>37</v>
      </c>
      <c r="L685" t="s">
        <v>27</v>
      </c>
      <c r="M685">
        <v>630</v>
      </c>
      <c r="N685" t="s">
        <v>27</v>
      </c>
      <c r="O685">
        <v>630</v>
      </c>
      <c r="P685">
        <v>630</v>
      </c>
      <c r="Q685" t="s">
        <v>30</v>
      </c>
      <c r="R685" s="2">
        <v>0.7</v>
      </c>
      <c r="S685">
        <v>441</v>
      </c>
      <c r="T685" t="s">
        <v>27</v>
      </c>
      <c r="U685">
        <v>441</v>
      </c>
      <c r="V685" s="7" t="str">
        <f>IF(ISERROR(VLOOKUP(K685,[1]작가별정산률!$R:$S,2,0)),"스토리위즈",VLOOKUP(K685,[1]작가별정산률!$R:$S,2,0))</f>
        <v>스토리위즈</v>
      </c>
      <c r="W685" s="7" t="str">
        <f>IF(V685="스토리위즈",VLOOKUP(K685,[1]작가별정산률!$A:$B,2,0),V685)</f>
        <v>권용찬</v>
      </c>
    </row>
    <row r="686" spans="1:23" x14ac:dyDescent="0.4">
      <c r="A686" t="s">
        <v>262</v>
      </c>
      <c r="B686" t="s">
        <v>899</v>
      </c>
      <c r="C686" t="s">
        <v>963</v>
      </c>
      <c r="D686" t="s">
        <v>21</v>
      </c>
      <c r="E686" t="s">
        <v>22</v>
      </c>
      <c r="F686" t="s">
        <v>23</v>
      </c>
      <c r="G686">
        <v>1</v>
      </c>
      <c r="H686">
        <v>9791191562286</v>
      </c>
      <c r="I686" t="s">
        <v>143</v>
      </c>
      <c r="J686" t="s">
        <v>238</v>
      </c>
      <c r="K686" t="s">
        <v>239</v>
      </c>
      <c r="L686" t="s">
        <v>27</v>
      </c>
      <c r="M686" s="3">
        <v>2000</v>
      </c>
      <c r="N686" t="s">
        <v>27</v>
      </c>
      <c r="O686" s="3">
        <v>2000</v>
      </c>
      <c r="P686" s="3">
        <v>2000</v>
      </c>
      <c r="Q686" t="s">
        <v>30</v>
      </c>
      <c r="R686" s="2">
        <v>0.7</v>
      </c>
      <c r="S686" s="3">
        <v>1400</v>
      </c>
      <c r="T686" t="s">
        <v>27</v>
      </c>
      <c r="U686" s="3">
        <v>1400</v>
      </c>
      <c r="V686" s="7" t="str">
        <f>IF(ISERROR(VLOOKUP(K686,[1]작가별정산률!$R:$S,2,0)),"스토리위즈",VLOOKUP(K686,[1]작가별정산률!$R:$S,2,0))</f>
        <v>밀리의 서재</v>
      </c>
      <c r="W686" s="7" t="str">
        <f>IF(V686="스토리위즈",VLOOKUP(K686,[1]작가별정산률!$A:$B,2,0),V686)</f>
        <v>밀리의 서재</v>
      </c>
    </row>
    <row r="687" spans="1:23" x14ac:dyDescent="0.4">
      <c r="A687" t="s">
        <v>262</v>
      </c>
      <c r="B687" t="s">
        <v>899</v>
      </c>
      <c r="C687" t="s">
        <v>964</v>
      </c>
      <c r="D687" t="s">
        <v>21</v>
      </c>
      <c r="E687" t="s">
        <v>22</v>
      </c>
      <c r="F687" t="s">
        <v>23</v>
      </c>
      <c r="G687">
        <v>1</v>
      </c>
      <c r="H687">
        <v>9791159289583</v>
      </c>
      <c r="I687" t="s">
        <v>24</v>
      </c>
      <c r="J687" t="s">
        <v>141</v>
      </c>
      <c r="K687" t="s">
        <v>140</v>
      </c>
      <c r="L687" t="s">
        <v>27</v>
      </c>
      <c r="M687" s="3">
        <v>3200</v>
      </c>
      <c r="N687" t="s">
        <v>27</v>
      </c>
      <c r="O687" s="3">
        <v>3200</v>
      </c>
      <c r="P687" s="3">
        <v>3200</v>
      </c>
      <c r="Q687" t="s">
        <v>30</v>
      </c>
      <c r="R687" s="2">
        <v>0.7</v>
      </c>
      <c r="S687" s="3">
        <v>2240</v>
      </c>
      <c r="T687" t="s">
        <v>27</v>
      </c>
      <c r="U687" s="3">
        <v>2240</v>
      </c>
      <c r="V687" s="7" t="str">
        <f>IF(ISERROR(VLOOKUP(K687,[1]작가별정산률!$R:$S,2,0)),"스토리위즈",VLOOKUP(K687,[1]작가별정산률!$R:$S,2,0))</f>
        <v>스토리위즈</v>
      </c>
      <c r="W687" s="7" t="str">
        <f>IF(V687="스토리위즈",VLOOKUP(K687,[1]작가별정산률!$A:$B,2,0),V687)</f>
        <v>이동열</v>
      </c>
    </row>
    <row r="688" spans="1:23" x14ac:dyDescent="0.4">
      <c r="A688" t="s">
        <v>262</v>
      </c>
      <c r="B688" t="s">
        <v>899</v>
      </c>
      <c r="C688" t="s">
        <v>965</v>
      </c>
      <c r="D688" t="s">
        <v>64</v>
      </c>
      <c r="E688" t="s">
        <v>22</v>
      </c>
      <c r="F688" t="s">
        <v>23</v>
      </c>
      <c r="G688">
        <v>1</v>
      </c>
      <c r="H688">
        <v>9791166300172</v>
      </c>
      <c r="I688" t="s">
        <v>24</v>
      </c>
      <c r="J688" t="s">
        <v>127</v>
      </c>
      <c r="K688" t="s">
        <v>119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  <c r="V688" s="7" t="str">
        <f>IF(ISERROR(VLOOKUP(K688,[1]작가별정산률!$R:$S,2,0)),"스토리위즈",VLOOKUP(K688,[1]작가별정산률!$R:$S,2,0))</f>
        <v>스토리위즈</v>
      </c>
      <c r="W688" s="7" t="str">
        <f>IF(V688="스토리위즈",VLOOKUP(K688,[1]작가별정산률!$A:$B,2,0),V688)</f>
        <v>김광수</v>
      </c>
    </row>
    <row r="689" spans="1:23" x14ac:dyDescent="0.4">
      <c r="A689" t="s">
        <v>262</v>
      </c>
      <c r="B689" t="s">
        <v>899</v>
      </c>
      <c r="C689" t="s">
        <v>966</v>
      </c>
      <c r="D689" t="s">
        <v>64</v>
      </c>
      <c r="E689" t="s">
        <v>22</v>
      </c>
      <c r="F689" t="s">
        <v>23</v>
      </c>
      <c r="G689">
        <v>1</v>
      </c>
      <c r="H689">
        <v>9791166300660</v>
      </c>
      <c r="I689" t="s">
        <v>24</v>
      </c>
      <c r="J689" t="s">
        <v>156</v>
      </c>
      <c r="K689" t="s">
        <v>119</v>
      </c>
      <c r="L689" t="s">
        <v>27</v>
      </c>
      <c r="M689">
        <v>630</v>
      </c>
      <c r="N689" t="s">
        <v>27</v>
      </c>
      <c r="O689">
        <v>630</v>
      </c>
      <c r="P689">
        <v>630</v>
      </c>
      <c r="Q689" t="s">
        <v>30</v>
      </c>
      <c r="R689" s="2">
        <v>0.7</v>
      </c>
      <c r="S689">
        <v>441</v>
      </c>
      <c r="T689" t="s">
        <v>27</v>
      </c>
      <c r="U689">
        <v>441</v>
      </c>
      <c r="V689" s="7" t="str">
        <f>IF(ISERROR(VLOOKUP(K689,[1]작가별정산률!$R:$S,2,0)),"스토리위즈",VLOOKUP(K689,[1]작가별정산률!$R:$S,2,0))</f>
        <v>스토리위즈</v>
      </c>
      <c r="W689" s="7" t="str">
        <f>IF(V689="스토리위즈",VLOOKUP(K689,[1]작가별정산률!$A:$B,2,0),V689)</f>
        <v>김광수</v>
      </c>
    </row>
    <row r="690" spans="1:23" x14ac:dyDescent="0.4">
      <c r="A690" t="s">
        <v>262</v>
      </c>
      <c r="B690" t="s">
        <v>899</v>
      </c>
      <c r="C690" t="s">
        <v>967</v>
      </c>
      <c r="D690" t="s">
        <v>64</v>
      </c>
      <c r="E690" t="s">
        <v>22</v>
      </c>
      <c r="F690" t="s">
        <v>23</v>
      </c>
      <c r="G690">
        <v>1</v>
      </c>
      <c r="H690">
        <v>9791166300578</v>
      </c>
      <c r="I690" t="s">
        <v>24</v>
      </c>
      <c r="J690" t="s">
        <v>159</v>
      </c>
      <c r="K690" t="s">
        <v>119</v>
      </c>
      <c r="L690" t="s">
        <v>27</v>
      </c>
      <c r="M690">
        <v>630</v>
      </c>
      <c r="N690" t="s">
        <v>27</v>
      </c>
      <c r="O690">
        <v>630</v>
      </c>
      <c r="P690">
        <v>630</v>
      </c>
      <c r="Q690" t="s">
        <v>30</v>
      </c>
      <c r="R690" s="2">
        <v>0.7</v>
      </c>
      <c r="S690">
        <v>441</v>
      </c>
      <c r="T690" t="s">
        <v>27</v>
      </c>
      <c r="U690">
        <v>441</v>
      </c>
      <c r="V690" s="7" t="str">
        <f>IF(ISERROR(VLOOKUP(K690,[1]작가별정산률!$R:$S,2,0)),"스토리위즈",VLOOKUP(K690,[1]작가별정산률!$R:$S,2,0))</f>
        <v>스토리위즈</v>
      </c>
      <c r="W690" s="7" t="str">
        <f>IF(V690="스토리위즈",VLOOKUP(K690,[1]작가별정산률!$A:$B,2,0),V690)</f>
        <v>김광수</v>
      </c>
    </row>
    <row r="691" spans="1:23" x14ac:dyDescent="0.4">
      <c r="A691" t="s">
        <v>262</v>
      </c>
      <c r="B691" t="s">
        <v>899</v>
      </c>
      <c r="C691" t="s">
        <v>968</v>
      </c>
      <c r="D691" t="s">
        <v>21</v>
      </c>
      <c r="E691" t="s">
        <v>22</v>
      </c>
      <c r="F691" t="s">
        <v>23</v>
      </c>
      <c r="G691">
        <v>1</v>
      </c>
      <c r="H691">
        <v>9791191562347</v>
      </c>
      <c r="I691" t="s">
        <v>143</v>
      </c>
      <c r="J691" t="s">
        <v>307</v>
      </c>
      <c r="K691" t="s">
        <v>308</v>
      </c>
      <c r="L691" t="s">
        <v>27</v>
      </c>
      <c r="M691" s="3">
        <v>3200</v>
      </c>
      <c r="N691" t="s">
        <v>27</v>
      </c>
      <c r="O691" s="3">
        <v>3200</v>
      </c>
      <c r="P691" s="3">
        <v>3200</v>
      </c>
      <c r="Q691" t="s">
        <v>30</v>
      </c>
      <c r="R691" s="2">
        <v>0.7</v>
      </c>
      <c r="S691" s="3">
        <v>2240</v>
      </c>
      <c r="T691" t="s">
        <v>27</v>
      </c>
      <c r="U691" s="3">
        <v>2240</v>
      </c>
      <c r="V691" s="7" t="str">
        <f>IF(ISERROR(VLOOKUP(K691,[1]작가별정산률!$R:$S,2,0)),"스토리위즈",VLOOKUP(K691,[1]작가별정산률!$R:$S,2,0))</f>
        <v>밀리의 서재</v>
      </c>
      <c r="W691" s="7" t="str">
        <f>IF(V691="스토리위즈",VLOOKUP(K691,[1]작가별정산률!$A:$B,2,0),V691)</f>
        <v>밀리의 서재</v>
      </c>
    </row>
    <row r="692" spans="1:23" x14ac:dyDescent="0.4">
      <c r="A692" t="s">
        <v>262</v>
      </c>
      <c r="B692" t="s">
        <v>899</v>
      </c>
      <c r="C692" t="s">
        <v>969</v>
      </c>
      <c r="D692" t="s">
        <v>64</v>
      </c>
      <c r="E692" t="s">
        <v>22</v>
      </c>
      <c r="F692" t="s">
        <v>23</v>
      </c>
      <c r="G692">
        <v>1</v>
      </c>
      <c r="H692">
        <v>9791159283086</v>
      </c>
      <c r="I692" t="s">
        <v>24</v>
      </c>
      <c r="J692" t="s">
        <v>72</v>
      </c>
      <c r="K692" t="s">
        <v>37</v>
      </c>
      <c r="L692" t="s">
        <v>27</v>
      </c>
      <c r="M692">
        <v>900</v>
      </c>
      <c r="N692" t="s">
        <v>27</v>
      </c>
      <c r="O692">
        <v>900</v>
      </c>
      <c r="P692">
        <v>900</v>
      </c>
      <c r="Q692" t="s">
        <v>30</v>
      </c>
      <c r="R692" s="2">
        <v>0.7</v>
      </c>
      <c r="S692">
        <v>630</v>
      </c>
      <c r="T692" t="s">
        <v>27</v>
      </c>
      <c r="U692">
        <v>630</v>
      </c>
      <c r="V692" s="7" t="str">
        <f>IF(ISERROR(VLOOKUP(K692,[1]작가별정산률!$R:$S,2,0)),"스토리위즈",VLOOKUP(K692,[1]작가별정산률!$R:$S,2,0))</f>
        <v>스토리위즈</v>
      </c>
      <c r="W692" s="7" t="str">
        <f>IF(V692="스토리위즈",VLOOKUP(K692,[1]작가별정산률!$A:$B,2,0),V692)</f>
        <v>권용찬</v>
      </c>
    </row>
    <row r="693" spans="1:23" x14ac:dyDescent="0.4">
      <c r="A693" t="s">
        <v>262</v>
      </c>
      <c r="B693" t="s">
        <v>899</v>
      </c>
      <c r="C693" t="s">
        <v>970</v>
      </c>
      <c r="D693" t="s">
        <v>64</v>
      </c>
      <c r="E693" t="s">
        <v>22</v>
      </c>
      <c r="F693" t="s">
        <v>23</v>
      </c>
      <c r="G693">
        <v>1</v>
      </c>
      <c r="H693">
        <v>9791159283253</v>
      </c>
      <c r="I693" t="s">
        <v>24</v>
      </c>
      <c r="J693" t="s">
        <v>68</v>
      </c>
      <c r="K693" t="s">
        <v>37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  <c r="V693" s="7" t="str">
        <f>IF(ISERROR(VLOOKUP(K693,[1]작가별정산률!$R:$S,2,0)),"스토리위즈",VLOOKUP(K693,[1]작가별정산률!$R:$S,2,0))</f>
        <v>스토리위즈</v>
      </c>
      <c r="W693" s="7" t="str">
        <f>IF(V693="스토리위즈",VLOOKUP(K693,[1]작가별정산률!$A:$B,2,0),V693)</f>
        <v>권용찬</v>
      </c>
    </row>
    <row r="694" spans="1:23" x14ac:dyDescent="0.4">
      <c r="A694" t="s">
        <v>262</v>
      </c>
      <c r="B694" t="s">
        <v>899</v>
      </c>
      <c r="C694" t="s">
        <v>971</v>
      </c>
      <c r="D694" t="s">
        <v>21</v>
      </c>
      <c r="E694" t="s">
        <v>22</v>
      </c>
      <c r="F694" t="s">
        <v>23</v>
      </c>
      <c r="G694">
        <v>1</v>
      </c>
      <c r="H694">
        <v>9791191562408</v>
      </c>
      <c r="I694" t="s">
        <v>143</v>
      </c>
      <c r="J694" t="s">
        <v>698</v>
      </c>
      <c r="K694" t="s">
        <v>215</v>
      </c>
      <c r="L694" t="s">
        <v>27</v>
      </c>
      <c r="M694" s="3">
        <v>2000</v>
      </c>
      <c r="N694" t="s">
        <v>27</v>
      </c>
      <c r="O694" s="3">
        <v>2000</v>
      </c>
      <c r="P694" s="3">
        <v>2000</v>
      </c>
      <c r="Q694" t="s">
        <v>30</v>
      </c>
      <c r="R694" s="2">
        <v>0.7</v>
      </c>
      <c r="S694" s="3">
        <v>1400</v>
      </c>
      <c r="T694" t="s">
        <v>27</v>
      </c>
      <c r="U694" s="3">
        <v>1400</v>
      </c>
      <c r="V694" s="7" t="str">
        <f>IF(ISERROR(VLOOKUP(K694,[1]작가별정산률!$R:$S,2,0)),"스토리위즈",VLOOKUP(K694,[1]작가별정산률!$R:$S,2,0))</f>
        <v>밀리의 서재</v>
      </c>
      <c r="W694" s="7" t="str">
        <f>IF(V694="스토리위즈",VLOOKUP(K694,[1]작가별정산률!$A:$B,2,0),V694)</f>
        <v>밀리의 서재</v>
      </c>
    </row>
    <row r="695" spans="1:23" x14ac:dyDescent="0.4">
      <c r="A695" t="s">
        <v>262</v>
      </c>
      <c r="B695" t="s">
        <v>899</v>
      </c>
      <c r="C695" t="s">
        <v>972</v>
      </c>
      <c r="D695" t="s">
        <v>64</v>
      </c>
      <c r="E695" t="s">
        <v>22</v>
      </c>
      <c r="F695" t="s">
        <v>23</v>
      </c>
      <c r="G695">
        <v>1</v>
      </c>
      <c r="H695">
        <v>9791166300240</v>
      </c>
      <c r="I695" t="s">
        <v>24</v>
      </c>
      <c r="J695" t="s">
        <v>133</v>
      </c>
      <c r="K695" t="s">
        <v>119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  <c r="V695" s="7" t="str">
        <f>IF(ISERROR(VLOOKUP(K695,[1]작가별정산률!$R:$S,2,0)),"스토리위즈",VLOOKUP(K695,[1]작가별정산률!$R:$S,2,0))</f>
        <v>스토리위즈</v>
      </c>
      <c r="W695" s="7" t="str">
        <f>IF(V695="스토리위즈",VLOOKUP(K695,[1]작가별정산률!$A:$B,2,0),V695)</f>
        <v>김광수</v>
      </c>
    </row>
    <row r="696" spans="1:23" x14ac:dyDescent="0.4">
      <c r="A696" t="s">
        <v>262</v>
      </c>
      <c r="B696" t="s">
        <v>899</v>
      </c>
      <c r="C696" t="s">
        <v>973</v>
      </c>
      <c r="D696" t="s">
        <v>64</v>
      </c>
      <c r="E696" t="s">
        <v>22</v>
      </c>
      <c r="F696" t="s">
        <v>23</v>
      </c>
      <c r="G696">
        <v>1</v>
      </c>
      <c r="H696">
        <v>9791166300493</v>
      </c>
      <c r="I696" t="s">
        <v>24</v>
      </c>
      <c r="J696" t="s">
        <v>147</v>
      </c>
      <c r="K696" t="s">
        <v>119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  <c r="V696" s="7" t="str">
        <f>IF(ISERROR(VLOOKUP(K696,[1]작가별정산률!$R:$S,2,0)),"스토리위즈",VLOOKUP(K696,[1]작가별정산률!$R:$S,2,0))</f>
        <v>스토리위즈</v>
      </c>
      <c r="W696" s="7" t="str">
        <f>IF(V696="스토리위즈",VLOOKUP(K696,[1]작가별정산률!$A:$B,2,0),V696)</f>
        <v>김광수</v>
      </c>
    </row>
    <row r="697" spans="1:23" x14ac:dyDescent="0.4">
      <c r="A697" t="s">
        <v>262</v>
      </c>
      <c r="B697" t="s">
        <v>899</v>
      </c>
      <c r="C697" t="s">
        <v>974</v>
      </c>
      <c r="D697" t="s">
        <v>64</v>
      </c>
      <c r="E697" t="s">
        <v>22</v>
      </c>
      <c r="F697" t="s">
        <v>23</v>
      </c>
      <c r="G697">
        <v>1</v>
      </c>
      <c r="H697">
        <v>9791166300585</v>
      </c>
      <c r="I697" t="s">
        <v>24</v>
      </c>
      <c r="J697" t="s">
        <v>160</v>
      </c>
      <c r="K697" t="s">
        <v>119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  <c r="V697" s="7" t="str">
        <f>IF(ISERROR(VLOOKUP(K697,[1]작가별정산률!$R:$S,2,0)),"스토리위즈",VLOOKUP(K697,[1]작가별정산률!$R:$S,2,0))</f>
        <v>스토리위즈</v>
      </c>
      <c r="W697" s="7" t="str">
        <f>IF(V697="스토리위즈",VLOOKUP(K697,[1]작가별정산률!$A:$B,2,0),V697)</f>
        <v>김광수</v>
      </c>
    </row>
    <row r="698" spans="1:23" x14ac:dyDescent="0.4">
      <c r="A698" t="s">
        <v>262</v>
      </c>
      <c r="B698" t="s">
        <v>899</v>
      </c>
      <c r="C698" t="s">
        <v>975</v>
      </c>
      <c r="D698" t="s">
        <v>64</v>
      </c>
      <c r="E698" t="s">
        <v>22</v>
      </c>
      <c r="F698" t="s">
        <v>23</v>
      </c>
      <c r="G698">
        <v>1</v>
      </c>
      <c r="H698">
        <v>9791159282935</v>
      </c>
      <c r="I698" t="s">
        <v>24</v>
      </c>
      <c r="J698" t="s">
        <v>182</v>
      </c>
      <c r="K698" t="s">
        <v>26</v>
      </c>
      <c r="L698" t="s">
        <v>27</v>
      </c>
      <c r="M698">
        <v>630</v>
      </c>
      <c r="N698" t="s">
        <v>27</v>
      </c>
      <c r="O698">
        <v>630</v>
      </c>
      <c r="P698">
        <v>630</v>
      </c>
      <c r="Q698" t="s">
        <v>30</v>
      </c>
      <c r="R698" s="2">
        <v>0.7</v>
      </c>
      <c r="S698">
        <v>441</v>
      </c>
      <c r="T698" t="s">
        <v>27</v>
      </c>
      <c r="U698">
        <v>441</v>
      </c>
      <c r="V698" s="7" t="str">
        <f>IF(ISERROR(VLOOKUP(K698,[1]작가별정산률!$R:$S,2,0)),"스토리위즈",VLOOKUP(K698,[1]작가별정산률!$R:$S,2,0))</f>
        <v>스토리위즈</v>
      </c>
      <c r="W698" s="7" t="str">
        <f>IF(V698="스토리위즈",VLOOKUP(K698,[1]작가별정산률!$A:$B,2,0),V698)</f>
        <v>독고진</v>
      </c>
    </row>
    <row r="699" spans="1:23" x14ac:dyDescent="0.4">
      <c r="A699" t="s">
        <v>262</v>
      </c>
      <c r="B699" t="s">
        <v>899</v>
      </c>
      <c r="C699" t="s">
        <v>976</v>
      </c>
      <c r="D699" t="s">
        <v>64</v>
      </c>
      <c r="E699" t="s">
        <v>22</v>
      </c>
      <c r="F699" t="s">
        <v>23</v>
      </c>
      <c r="G699">
        <v>1</v>
      </c>
      <c r="H699">
        <v>9791159283260</v>
      </c>
      <c r="I699" t="s">
        <v>24</v>
      </c>
      <c r="J699" t="s">
        <v>69</v>
      </c>
      <c r="K699" t="s">
        <v>37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  <c r="V699" s="7" t="str">
        <f>IF(ISERROR(VLOOKUP(K699,[1]작가별정산률!$R:$S,2,0)),"스토리위즈",VLOOKUP(K699,[1]작가별정산률!$R:$S,2,0))</f>
        <v>스토리위즈</v>
      </c>
      <c r="W699" s="7" t="str">
        <f>IF(V699="스토리위즈",VLOOKUP(K699,[1]작가별정산률!$A:$B,2,0),V699)</f>
        <v>권용찬</v>
      </c>
    </row>
    <row r="700" spans="1:23" x14ac:dyDescent="0.4">
      <c r="A700" t="s">
        <v>262</v>
      </c>
      <c r="B700" t="s">
        <v>899</v>
      </c>
      <c r="C700" t="s">
        <v>977</v>
      </c>
      <c r="D700" t="s">
        <v>21</v>
      </c>
      <c r="E700" t="s">
        <v>22</v>
      </c>
      <c r="F700" t="s">
        <v>23</v>
      </c>
      <c r="G700">
        <v>1</v>
      </c>
      <c r="H700">
        <v>9791166481871</v>
      </c>
      <c r="I700" t="s">
        <v>199</v>
      </c>
      <c r="J700" t="s">
        <v>978</v>
      </c>
      <c r="K700" t="s">
        <v>979</v>
      </c>
      <c r="L700" t="s">
        <v>27</v>
      </c>
      <c r="M700" s="3">
        <v>2800</v>
      </c>
      <c r="N700" t="s">
        <v>27</v>
      </c>
      <c r="O700" s="3">
        <v>2800</v>
      </c>
      <c r="P700" s="3">
        <v>2800</v>
      </c>
      <c r="Q700" t="s">
        <v>30</v>
      </c>
      <c r="R700" s="2">
        <v>0.7</v>
      </c>
      <c r="S700" s="3">
        <v>1960</v>
      </c>
      <c r="T700" t="s">
        <v>27</v>
      </c>
      <c r="U700" s="3">
        <v>1960</v>
      </c>
      <c r="V700" s="7" t="str">
        <f>IF(ISERROR(VLOOKUP(K700,[1]작가별정산률!$R:$S,2,0)),"스토리위즈",VLOOKUP(K700,[1]작가별정산률!$R:$S,2,0))</f>
        <v>더컴퍼니</v>
      </c>
      <c r="W700" s="7" t="str">
        <f>IF(V700="스토리위즈",VLOOKUP(K700,[1]작가별정산률!$A:$B,2,0),V700)</f>
        <v>더컴퍼니</v>
      </c>
    </row>
    <row r="701" spans="1:23" x14ac:dyDescent="0.4">
      <c r="A701" t="s">
        <v>262</v>
      </c>
      <c r="B701" t="s">
        <v>899</v>
      </c>
      <c r="C701" t="s">
        <v>977</v>
      </c>
      <c r="D701" t="s">
        <v>21</v>
      </c>
      <c r="E701" t="s">
        <v>22</v>
      </c>
      <c r="F701" t="s">
        <v>23</v>
      </c>
      <c r="G701">
        <v>1</v>
      </c>
      <c r="H701">
        <v>9791166481888</v>
      </c>
      <c r="I701" t="s">
        <v>199</v>
      </c>
      <c r="J701" t="s">
        <v>980</v>
      </c>
      <c r="K701" t="s">
        <v>979</v>
      </c>
      <c r="L701" t="s">
        <v>27</v>
      </c>
      <c r="M701" s="3">
        <v>2800</v>
      </c>
      <c r="N701" t="s">
        <v>27</v>
      </c>
      <c r="O701" s="3">
        <v>2800</v>
      </c>
      <c r="P701" s="3">
        <v>2800</v>
      </c>
      <c r="Q701" t="s">
        <v>30</v>
      </c>
      <c r="R701" s="2">
        <v>0.7</v>
      </c>
      <c r="S701" s="3">
        <v>1960</v>
      </c>
      <c r="T701" t="s">
        <v>27</v>
      </c>
      <c r="U701" s="3">
        <v>1960</v>
      </c>
      <c r="V701" s="7" t="str">
        <f>IF(ISERROR(VLOOKUP(K701,[1]작가별정산률!$R:$S,2,0)),"스토리위즈",VLOOKUP(K701,[1]작가별정산률!$R:$S,2,0))</f>
        <v>더컴퍼니</v>
      </c>
      <c r="W701" s="7" t="str">
        <f>IF(V701="스토리위즈",VLOOKUP(K701,[1]작가별정산률!$A:$B,2,0),V701)</f>
        <v>더컴퍼니</v>
      </c>
    </row>
    <row r="702" spans="1:23" x14ac:dyDescent="0.4">
      <c r="A702" t="s">
        <v>262</v>
      </c>
      <c r="B702" t="s">
        <v>899</v>
      </c>
      <c r="C702" t="s">
        <v>981</v>
      </c>
      <c r="D702" t="s">
        <v>21</v>
      </c>
      <c r="E702" t="s">
        <v>22</v>
      </c>
      <c r="F702" t="s">
        <v>23</v>
      </c>
      <c r="G702">
        <v>1</v>
      </c>
      <c r="H702">
        <v>9791189084257</v>
      </c>
      <c r="I702" t="s">
        <v>143</v>
      </c>
      <c r="J702" t="s">
        <v>982</v>
      </c>
      <c r="K702" t="s">
        <v>983</v>
      </c>
      <c r="L702" t="s">
        <v>27</v>
      </c>
      <c r="M702" s="3">
        <v>3600</v>
      </c>
      <c r="N702" t="s">
        <v>27</v>
      </c>
      <c r="O702" s="3">
        <v>3600</v>
      </c>
      <c r="P702" s="3">
        <v>3600</v>
      </c>
      <c r="Q702" t="s">
        <v>30</v>
      </c>
      <c r="R702" s="2">
        <v>0.7</v>
      </c>
      <c r="S702" s="3">
        <v>2520</v>
      </c>
      <c r="T702" t="s">
        <v>27</v>
      </c>
      <c r="U702" s="3">
        <v>2520</v>
      </c>
      <c r="V702" s="7" t="str">
        <f>IF(ISERROR(VLOOKUP(K702,[1]작가별정산률!$R:$S,2,0)),"스토리위즈",VLOOKUP(K702,[1]작가별정산률!$R:$S,2,0))</f>
        <v>스토리위즈</v>
      </c>
      <c r="W702" s="7" t="str">
        <f>IF(V702="스토리위즈",VLOOKUP(K702,[1]작가별정산률!$A:$B,2,0),V702)</f>
        <v>스내치</v>
      </c>
    </row>
    <row r="703" spans="1:23" x14ac:dyDescent="0.4">
      <c r="A703" t="s">
        <v>262</v>
      </c>
      <c r="B703" t="s">
        <v>984</v>
      </c>
      <c r="C703" t="s">
        <v>985</v>
      </c>
      <c r="D703" t="s">
        <v>64</v>
      </c>
      <c r="E703" t="s">
        <v>22</v>
      </c>
      <c r="F703" t="s">
        <v>23</v>
      </c>
      <c r="G703">
        <v>1</v>
      </c>
      <c r="H703">
        <v>9791166300295</v>
      </c>
      <c r="I703" t="s">
        <v>24</v>
      </c>
      <c r="J703" t="s">
        <v>138</v>
      </c>
      <c r="K703" t="s">
        <v>119</v>
      </c>
      <c r="L703" t="s">
        <v>27</v>
      </c>
      <c r="M703">
        <v>630</v>
      </c>
      <c r="N703" t="s">
        <v>27</v>
      </c>
      <c r="O703">
        <v>630</v>
      </c>
      <c r="P703">
        <v>630</v>
      </c>
      <c r="Q703" t="s">
        <v>30</v>
      </c>
      <c r="R703" s="2">
        <v>0.7</v>
      </c>
      <c r="S703">
        <v>441</v>
      </c>
      <c r="T703" t="s">
        <v>27</v>
      </c>
      <c r="U703">
        <v>441</v>
      </c>
      <c r="V703" s="7" t="str">
        <f>IF(ISERROR(VLOOKUP(K703,[1]작가별정산률!$R:$S,2,0)),"스토리위즈",VLOOKUP(K703,[1]작가별정산률!$R:$S,2,0))</f>
        <v>스토리위즈</v>
      </c>
      <c r="W703" s="7" t="str">
        <f>IF(V703="스토리위즈",VLOOKUP(K703,[1]작가별정산률!$A:$B,2,0),V703)</f>
        <v>김광수</v>
      </c>
    </row>
    <row r="704" spans="1:23" x14ac:dyDescent="0.4">
      <c r="A704" t="s">
        <v>262</v>
      </c>
      <c r="B704" t="s">
        <v>984</v>
      </c>
      <c r="C704" t="s">
        <v>986</v>
      </c>
      <c r="D704" t="s">
        <v>21</v>
      </c>
      <c r="E704" t="s">
        <v>22</v>
      </c>
      <c r="F704" t="s">
        <v>23</v>
      </c>
      <c r="G704">
        <v>1</v>
      </c>
      <c r="H704">
        <v>9791191562125</v>
      </c>
      <c r="I704" t="s">
        <v>143</v>
      </c>
      <c r="J704" t="s">
        <v>212</v>
      </c>
      <c r="K704" t="s">
        <v>213</v>
      </c>
      <c r="L704" t="s">
        <v>27</v>
      </c>
      <c r="M704" s="3">
        <v>2500</v>
      </c>
      <c r="N704" t="s">
        <v>27</v>
      </c>
      <c r="O704" s="3">
        <v>2500</v>
      </c>
      <c r="P704" s="3">
        <v>2500</v>
      </c>
      <c r="Q704" t="s">
        <v>30</v>
      </c>
      <c r="R704" s="2">
        <v>0.7</v>
      </c>
      <c r="S704" s="3">
        <v>1750</v>
      </c>
      <c r="T704" t="s">
        <v>27</v>
      </c>
      <c r="U704" s="3">
        <v>1750</v>
      </c>
      <c r="V704" s="7" t="str">
        <f>IF(ISERROR(VLOOKUP(K704,[1]작가별정산률!$R:$S,2,0)),"스토리위즈",VLOOKUP(K704,[1]작가별정산률!$R:$S,2,0))</f>
        <v>밀리의 서재</v>
      </c>
      <c r="W704" s="7" t="str">
        <f>IF(V704="스토리위즈",VLOOKUP(K704,[1]작가별정산률!$A:$B,2,0),V704)</f>
        <v>밀리의 서재</v>
      </c>
    </row>
    <row r="705" spans="1:23" x14ac:dyDescent="0.4">
      <c r="A705" t="s">
        <v>262</v>
      </c>
      <c r="B705" t="s">
        <v>984</v>
      </c>
      <c r="C705" t="s">
        <v>987</v>
      </c>
      <c r="D705" t="s">
        <v>64</v>
      </c>
      <c r="E705" t="s">
        <v>22</v>
      </c>
      <c r="F705" t="s">
        <v>23</v>
      </c>
      <c r="G705">
        <v>1</v>
      </c>
      <c r="H705">
        <v>9791166300264</v>
      </c>
      <c r="I705" t="s">
        <v>24</v>
      </c>
      <c r="J705" t="s">
        <v>135</v>
      </c>
      <c r="K705" t="s">
        <v>119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2">
        <v>0.7</v>
      </c>
      <c r="S705">
        <v>441</v>
      </c>
      <c r="T705" t="s">
        <v>27</v>
      </c>
      <c r="U705">
        <v>441</v>
      </c>
      <c r="V705" s="7" t="str">
        <f>IF(ISERROR(VLOOKUP(K705,[1]작가별정산률!$R:$S,2,0)),"스토리위즈",VLOOKUP(K705,[1]작가별정산률!$R:$S,2,0))</f>
        <v>스토리위즈</v>
      </c>
      <c r="W705" s="7" t="str">
        <f>IF(V705="스토리위즈",VLOOKUP(K705,[1]작가별정산률!$A:$B,2,0),V705)</f>
        <v>김광수</v>
      </c>
    </row>
    <row r="706" spans="1:23" x14ac:dyDescent="0.4">
      <c r="A706" t="s">
        <v>262</v>
      </c>
      <c r="B706" t="s">
        <v>984</v>
      </c>
      <c r="C706" t="s">
        <v>988</v>
      </c>
      <c r="D706" t="s">
        <v>64</v>
      </c>
      <c r="E706" t="s">
        <v>22</v>
      </c>
      <c r="F706" t="s">
        <v>23</v>
      </c>
      <c r="G706">
        <v>1</v>
      </c>
      <c r="H706">
        <v>9791166300653</v>
      </c>
      <c r="I706" t="s">
        <v>24</v>
      </c>
      <c r="J706" t="s">
        <v>157</v>
      </c>
      <c r="K706" t="s">
        <v>119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  <c r="V706" s="7" t="str">
        <f>IF(ISERROR(VLOOKUP(K706,[1]작가별정산률!$R:$S,2,0)),"스토리위즈",VLOOKUP(K706,[1]작가별정산률!$R:$S,2,0))</f>
        <v>스토리위즈</v>
      </c>
      <c r="W706" s="7" t="str">
        <f>IF(V706="스토리위즈",VLOOKUP(K706,[1]작가별정산률!$A:$B,2,0),V706)</f>
        <v>김광수</v>
      </c>
    </row>
    <row r="707" spans="1:23" x14ac:dyDescent="0.4">
      <c r="A707" t="s">
        <v>262</v>
      </c>
      <c r="B707" t="s">
        <v>984</v>
      </c>
      <c r="C707" t="s">
        <v>989</v>
      </c>
      <c r="D707" t="s">
        <v>64</v>
      </c>
      <c r="E707" t="s">
        <v>22</v>
      </c>
      <c r="F707" t="s">
        <v>23</v>
      </c>
      <c r="G707">
        <v>1</v>
      </c>
      <c r="H707">
        <v>9791166300592</v>
      </c>
      <c r="I707" t="s">
        <v>24</v>
      </c>
      <c r="J707" t="s">
        <v>161</v>
      </c>
      <c r="K707" t="s">
        <v>119</v>
      </c>
      <c r="L707" t="s">
        <v>27</v>
      </c>
      <c r="M707">
        <v>630</v>
      </c>
      <c r="N707" t="s">
        <v>27</v>
      </c>
      <c r="O707">
        <v>630</v>
      </c>
      <c r="P707">
        <v>630</v>
      </c>
      <c r="Q707" t="s">
        <v>30</v>
      </c>
      <c r="R707" s="2">
        <v>0.7</v>
      </c>
      <c r="S707">
        <v>441</v>
      </c>
      <c r="T707" t="s">
        <v>27</v>
      </c>
      <c r="U707">
        <v>441</v>
      </c>
      <c r="V707" s="7" t="str">
        <f>IF(ISERROR(VLOOKUP(K707,[1]작가별정산률!$R:$S,2,0)),"스토리위즈",VLOOKUP(K707,[1]작가별정산률!$R:$S,2,0))</f>
        <v>스토리위즈</v>
      </c>
      <c r="W707" s="7" t="str">
        <f>IF(V707="스토리위즈",VLOOKUP(K707,[1]작가별정산률!$A:$B,2,0),V707)</f>
        <v>김광수</v>
      </c>
    </row>
    <row r="708" spans="1:23" x14ac:dyDescent="0.4">
      <c r="A708" t="s">
        <v>262</v>
      </c>
      <c r="B708" t="s">
        <v>984</v>
      </c>
      <c r="C708" t="s">
        <v>990</v>
      </c>
      <c r="D708" t="s">
        <v>64</v>
      </c>
      <c r="E708" t="s">
        <v>22</v>
      </c>
      <c r="F708" t="s">
        <v>23</v>
      </c>
      <c r="G708">
        <v>1</v>
      </c>
      <c r="H708">
        <v>9791166300493</v>
      </c>
      <c r="I708" t="s">
        <v>24</v>
      </c>
      <c r="J708" t="s">
        <v>147</v>
      </c>
      <c r="K708" t="s">
        <v>119</v>
      </c>
      <c r="L708" t="s">
        <v>27</v>
      </c>
      <c r="M708">
        <v>630</v>
      </c>
      <c r="N708" t="s">
        <v>27</v>
      </c>
      <c r="O708">
        <v>630</v>
      </c>
      <c r="P708">
        <v>630</v>
      </c>
      <c r="Q708" t="s">
        <v>30</v>
      </c>
      <c r="R708" s="2">
        <v>0.7</v>
      </c>
      <c r="S708">
        <v>441</v>
      </c>
      <c r="T708" t="s">
        <v>27</v>
      </c>
      <c r="U708">
        <v>441</v>
      </c>
      <c r="V708" s="7" t="str">
        <f>IF(ISERROR(VLOOKUP(K708,[1]작가별정산률!$R:$S,2,0)),"스토리위즈",VLOOKUP(K708,[1]작가별정산률!$R:$S,2,0))</f>
        <v>스토리위즈</v>
      </c>
      <c r="W708" s="7" t="str">
        <f>IF(V708="스토리위즈",VLOOKUP(K708,[1]작가별정산률!$A:$B,2,0),V708)</f>
        <v>김광수</v>
      </c>
    </row>
    <row r="709" spans="1:23" x14ac:dyDescent="0.4">
      <c r="A709" t="s">
        <v>262</v>
      </c>
      <c r="B709" t="s">
        <v>984</v>
      </c>
      <c r="C709" t="s">
        <v>991</v>
      </c>
      <c r="D709" t="s">
        <v>64</v>
      </c>
      <c r="E709" t="s">
        <v>22</v>
      </c>
      <c r="F709" t="s">
        <v>23</v>
      </c>
      <c r="G709">
        <v>1</v>
      </c>
      <c r="H709">
        <v>9791166300509</v>
      </c>
      <c r="I709" t="s">
        <v>24</v>
      </c>
      <c r="J709" t="s">
        <v>148</v>
      </c>
      <c r="K709" t="s">
        <v>119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  <c r="V709" s="7" t="str">
        <f>IF(ISERROR(VLOOKUP(K709,[1]작가별정산률!$R:$S,2,0)),"스토리위즈",VLOOKUP(K709,[1]작가별정산률!$R:$S,2,0))</f>
        <v>스토리위즈</v>
      </c>
      <c r="W709" s="7" t="str">
        <f>IF(V709="스토리위즈",VLOOKUP(K709,[1]작가별정산률!$A:$B,2,0),V709)</f>
        <v>김광수</v>
      </c>
    </row>
    <row r="710" spans="1:23" x14ac:dyDescent="0.4">
      <c r="A710" t="s">
        <v>262</v>
      </c>
      <c r="B710" t="s">
        <v>984</v>
      </c>
      <c r="C710" t="s">
        <v>992</v>
      </c>
      <c r="D710" t="s">
        <v>64</v>
      </c>
      <c r="E710" t="s">
        <v>22</v>
      </c>
      <c r="F710" t="s">
        <v>23</v>
      </c>
      <c r="G710">
        <v>1</v>
      </c>
      <c r="H710">
        <v>9791166300493</v>
      </c>
      <c r="I710" t="s">
        <v>24</v>
      </c>
      <c r="J710" t="s">
        <v>147</v>
      </c>
      <c r="K710" t="s">
        <v>119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2">
        <v>0.7</v>
      </c>
      <c r="S710">
        <v>441</v>
      </c>
      <c r="T710" t="s">
        <v>27</v>
      </c>
      <c r="U710">
        <v>441</v>
      </c>
      <c r="V710" s="7" t="str">
        <f>IF(ISERROR(VLOOKUP(K710,[1]작가별정산률!$R:$S,2,0)),"스토리위즈",VLOOKUP(K710,[1]작가별정산률!$R:$S,2,0))</f>
        <v>스토리위즈</v>
      </c>
      <c r="W710" s="7" t="str">
        <f>IF(V710="스토리위즈",VLOOKUP(K710,[1]작가별정산률!$A:$B,2,0),V710)</f>
        <v>김광수</v>
      </c>
    </row>
    <row r="711" spans="1:23" x14ac:dyDescent="0.4">
      <c r="A711" t="s">
        <v>262</v>
      </c>
      <c r="B711" t="s">
        <v>984</v>
      </c>
      <c r="C711" t="s">
        <v>993</v>
      </c>
      <c r="D711" t="s">
        <v>64</v>
      </c>
      <c r="E711" t="s">
        <v>22</v>
      </c>
      <c r="F711" t="s">
        <v>23</v>
      </c>
      <c r="G711">
        <v>1</v>
      </c>
      <c r="H711">
        <v>9791159283222</v>
      </c>
      <c r="I711" t="s">
        <v>24</v>
      </c>
      <c r="J711" t="s">
        <v>65</v>
      </c>
      <c r="K711" t="s">
        <v>37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  <c r="V711" s="7" t="str">
        <f>IF(ISERROR(VLOOKUP(K711,[1]작가별정산률!$R:$S,2,0)),"스토리위즈",VLOOKUP(K711,[1]작가별정산률!$R:$S,2,0))</f>
        <v>스토리위즈</v>
      </c>
      <c r="W711" s="7" t="str">
        <f>IF(V711="스토리위즈",VLOOKUP(K711,[1]작가별정산률!$A:$B,2,0),V711)</f>
        <v>권용찬</v>
      </c>
    </row>
    <row r="712" spans="1:23" x14ac:dyDescent="0.4">
      <c r="A712" t="s">
        <v>262</v>
      </c>
      <c r="B712" t="s">
        <v>984</v>
      </c>
      <c r="C712" t="s">
        <v>994</v>
      </c>
      <c r="D712" t="s">
        <v>64</v>
      </c>
      <c r="E712" t="s">
        <v>22</v>
      </c>
      <c r="F712" t="s">
        <v>23</v>
      </c>
      <c r="G712">
        <v>1</v>
      </c>
      <c r="H712">
        <v>9791166300219</v>
      </c>
      <c r="I712" t="s">
        <v>24</v>
      </c>
      <c r="J712" t="s">
        <v>130</v>
      </c>
      <c r="K712" t="s">
        <v>119</v>
      </c>
      <c r="L712" t="s">
        <v>27</v>
      </c>
      <c r="M712">
        <v>630</v>
      </c>
      <c r="N712" t="s">
        <v>27</v>
      </c>
      <c r="O712">
        <v>630</v>
      </c>
      <c r="P712">
        <v>630</v>
      </c>
      <c r="Q712" t="s">
        <v>30</v>
      </c>
      <c r="R712" s="2">
        <v>0.7</v>
      </c>
      <c r="S712">
        <v>441</v>
      </c>
      <c r="T712" t="s">
        <v>27</v>
      </c>
      <c r="U712">
        <v>441</v>
      </c>
      <c r="V712" s="7" t="str">
        <f>IF(ISERROR(VLOOKUP(K712,[1]작가별정산률!$R:$S,2,0)),"스토리위즈",VLOOKUP(K712,[1]작가별정산률!$R:$S,2,0))</f>
        <v>스토리위즈</v>
      </c>
      <c r="W712" s="7" t="str">
        <f>IF(V712="스토리위즈",VLOOKUP(K712,[1]작가별정산률!$A:$B,2,0),V712)</f>
        <v>김광수</v>
      </c>
    </row>
    <row r="713" spans="1:23" x14ac:dyDescent="0.4">
      <c r="A713" t="s">
        <v>262</v>
      </c>
      <c r="B713" t="s">
        <v>984</v>
      </c>
      <c r="C713" t="s">
        <v>995</v>
      </c>
      <c r="D713" t="s">
        <v>64</v>
      </c>
      <c r="E713" t="s">
        <v>22</v>
      </c>
      <c r="F713" t="s">
        <v>23</v>
      </c>
      <c r="G713">
        <v>1</v>
      </c>
      <c r="H713">
        <v>9791166064111</v>
      </c>
      <c r="I713" t="s">
        <v>24</v>
      </c>
      <c r="J713" t="s">
        <v>94</v>
      </c>
      <c r="K713" t="s">
        <v>37</v>
      </c>
      <c r="L713" t="s">
        <v>27</v>
      </c>
      <c r="M713">
        <v>900</v>
      </c>
      <c r="N713" t="s">
        <v>27</v>
      </c>
      <c r="O713">
        <v>900</v>
      </c>
      <c r="P713">
        <v>900</v>
      </c>
      <c r="Q713" t="s">
        <v>30</v>
      </c>
      <c r="R713" s="2">
        <v>0.7</v>
      </c>
      <c r="S713">
        <v>630</v>
      </c>
      <c r="T713" t="s">
        <v>27</v>
      </c>
      <c r="U713">
        <v>630</v>
      </c>
      <c r="V713" s="7" t="str">
        <f>IF(ISERROR(VLOOKUP(K713,[1]작가별정산률!$R:$S,2,0)),"스토리위즈",VLOOKUP(K713,[1]작가별정산률!$R:$S,2,0))</f>
        <v>스토리위즈</v>
      </c>
      <c r="W713" s="7" t="str">
        <f>IF(V713="스토리위즈",VLOOKUP(K713,[1]작가별정산률!$A:$B,2,0),V713)</f>
        <v>권용찬</v>
      </c>
    </row>
    <row r="714" spans="1:23" x14ac:dyDescent="0.4">
      <c r="A714" t="s">
        <v>262</v>
      </c>
      <c r="B714" t="s">
        <v>984</v>
      </c>
      <c r="C714" t="s">
        <v>996</v>
      </c>
      <c r="D714" t="s">
        <v>64</v>
      </c>
      <c r="E714" t="s">
        <v>22</v>
      </c>
      <c r="F714" t="s">
        <v>23</v>
      </c>
      <c r="G714">
        <v>1</v>
      </c>
      <c r="H714">
        <v>9791159283154</v>
      </c>
      <c r="I714" t="s">
        <v>24</v>
      </c>
      <c r="J714" t="s">
        <v>84</v>
      </c>
      <c r="K714" t="s">
        <v>37</v>
      </c>
      <c r="L714" t="s">
        <v>27</v>
      </c>
      <c r="M714">
        <v>900</v>
      </c>
      <c r="N714" t="s">
        <v>27</v>
      </c>
      <c r="O714">
        <v>900</v>
      </c>
      <c r="P714">
        <v>900</v>
      </c>
      <c r="Q714" t="s">
        <v>30</v>
      </c>
      <c r="R714" s="2">
        <v>0.7</v>
      </c>
      <c r="S714">
        <v>630</v>
      </c>
      <c r="T714" t="s">
        <v>27</v>
      </c>
      <c r="U714">
        <v>630</v>
      </c>
      <c r="V714" s="7" t="str">
        <f>IF(ISERROR(VLOOKUP(K714,[1]작가별정산률!$R:$S,2,0)),"스토리위즈",VLOOKUP(K714,[1]작가별정산률!$R:$S,2,0))</f>
        <v>스토리위즈</v>
      </c>
      <c r="W714" s="7" t="str">
        <f>IF(V714="스토리위즈",VLOOKUP(K714,[1]작가별정산률!$A:$B,2,0),V714)</f>
        <v>권용찬</v>
      </c>
    </row>
    <row r="715" spans="1:23" x14ac:dyDescent="0.4">
      <c r="A715" t="s">
        <v>262</v>
      </c>
      <c r="B715" t="s">
        <v>984</v>
      </c>
      <c r="C715" t="s">
        <v>997</v>
      </c>
      <c r="D715" t="s">
        <v>64</v>
      </c>
      <c r="E715" t="s">
        <v>22</v>
      </c>
      <c r="F715" t="s">
        <v>23</v>
      </c>
      <c r="G715">
        <v>1</v>
      </c>
      <c r="H715">
        <v>9791159282942</v>
      </c>
      <c r="I715" t="s">
        <v>24</v>
      </c>
      <c r="J715" t="s">
        <v>180</v>
      </c>
      <c r="K715" t="s">
        <v>26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2">
        <v>0.7</v>
      </c>
      <c r="S715">
        <v>441</v>
      </c>
      <c r="T715" t="s">
        <v>27</v>
      </c>
      <c r="U715">
        <v>441</v>
      </c>
      <c r="V715" s="7" t="str">
        <f>IF(ISERROR(VLOOKUP(K715,[1]작가별정산률!$R:$S,2,0)),"스토리위즈",VLOOKUP(K715,[1]작가별정산률!$R:$S,2,0))</f>
        <v>스토리위즈</v>
      </c>
      <c r="W715" s="7" t="str">
        <f>IF(V715="스토리위즈",VLOOKUP(K715,[1]작가별정산률!$A:$B,2,0),V715)</f>
        <v>독고진</v>
      </c>
    </row>
    <row r="716" spans="1:23" x14ac:dyDescent="0.4">
      <c r="A716" t="s">
        <v>262</v>
      </c>
      <c r="B716" t="s">
        <v>984</v>
      </c>
      <c r="C716" t="s">
        <v>998</v>
      </c>
      <c r="D716" t="s">
        <v>64</v>
      </c>
      <c r="E716" t="s">
        <v>22</v>
      </c>
      <c r="F716" t="s">
        <v>23</v>
      </c>
      <c r="G716">
        <v>1</v>
      </c>
      <c r="H716">
        <v>9791159282249</v>
      </c>
      <c r="I716" t="s">
        <v>24</v>
      </c>
      <c r="J716" t="s">
        <v>110</v>
      </c>
      <c r="K716" t="s">
        <v>37</v>
      </c>
      <c r="L716" t="s">
        <v>27</v>
      </c>
      <c r="M716">
        <v>900</v>
      </c>
      <c r="N716" t="s">
        <v>27</v>
      </c>
      <c r="O716">
        <v>900</v>
      </c>
      <c r="P716">
        <v>900</v>
      </c>
      <c r="Q716" t="s">
        <v>30</v>
      </c>
      <c r="R716" s="2">
        <v>0.7</v>
      </c>
      <c r="S716">
        <v>630</v>
      </c>
      <c r="T716" t="s">
        <v>27</v>
      </c>
      <c r="U716">
        <v>630</v>
      </c>
      <c r="V716" s="7" t="str">
        <f>IF(ISERROR(VLOOKUP(K716,[1]작가별정산률!$R:$S,2,0)),"스토리위즈",VLOOKUP(K716,[1]작가별정산률!$R:$S,2,0))</f>
        <v>스토리위즈</v>
      </c>
      <c r="W716" s="7" t="str">
        <f>IF(V716="스토리위즈",VLOOKUP(K716,[1]작가별정산률!$A:$B,2,0),V716)</f>
        <v>권용찬</v>
      </c>
    </row>
    <row r="717" spans="1:23" x14ac:dyDescent="0.4">
      <c r="A717" t="s">
        <v>262</v>
      </c>
      <c r="B717" t="s">
        <v>984</v>
      </c>
      <c r="C717" t="s">
        <v>999</v>
      </c>
      <c r="D717" t="s">
        <v>64</v>
      </c>
      <c r="E717" t="s">
        <v>22</v>
      </c>
      <c r="F717" t="s">
        <v>23</v>
      </c>
      <c r="G717">
        <v>1</v>
      </c>
      <c r="H717">
        <v>9791166300257</v>
      </c>
      <c r="I717" t="s">
        <v>24</v>
      </c>
      <c r="J717" t="s">
        <v>134</v>
      </c>
      <c r="K717" t="s">
        <v>119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  <c r="V717" s="7" t="str">
        <f>IF(ISERROR(VLOOKUP(K717,[1]작가별정산률!$R:$S,2,0)),"스토리위즈",VLOOKUP(K717,[1]작가별정산률!$R:$S,2,0))</f>
        <v>스토리위즈</v>
      </c>
      <c r="W717" s="7" t="str">
        <f>IF(V717="스토리위즈",VLOOKUP(K717,[1]작가별정산률!$A:$B,2,0),V717)</f>
        <v>김광수</v>
      </c>
    </row>
    <row r="718" spans="1:23" x14ac:dyDescent="0.4">
      <c r="A718" t="s">
        <v>262</v>
      </c>
      <c r="B718" t="s">
        <v>984</v>
      </c>
      <c r="C718" t="s">
        <v>1000</v>
      </c>
      <c r="D718" t="s">
        <v>21</v>
      </c>
      <c r="E718" t="s">
        <v>22</v>
      </c>
      <c r="F718" t="s">
        <v>23</v>
      </c>
      <c r="G718">
        <v>1</v>
      </c>
      <c r="H718">
        <v>9791166300653</v>
      </c>
      <c r="I718" t="s">
        <v>24</v>
      </c>
      <c r="J718" t="s">
        <v>157</v>
      </c>
      <c r="K718" t="s">
        <v>119</v>
      </c>
      <c r="L718" t="s">
        <v>27</v>
      </c>
      <c r="M718" s="3">
        <v>3200</v>
      </c>
      <c r="N718" t="s">
        <v>27</v>
      </c>
      <c r="O718" s="3">
        <v>3200</v>
      </c>
      <c r="P718" s="3">
        <v>3200</v>
      </c>
      <c r="Q718" t="s">
        <v>30</v>
      </c>
      <c r="R718" s="2">
        <v>0.7</v>
      </c>
      <c r="S718" s="3">
        <v>2240</v>
      </c>
      <c r="T718" t="s">
        <v>27</v>
      </c>
      <c r="U718" s="3">
        <v>2240</v>
      </c>
      <c r="V718" s="7" t="str">
        <f>IF(ISERROR(VLOOKUP(K718,[1]작가별정산률!$R:$S,2,0)),"스토리위즈",VLOOKUP(K718,[1]작가별정산률!$R:$S,2,0))</f>
        <v>스토리위즈</v>
      </c>
      <c r="W718" s="7" t="str">
        <f>IF(V718="스토리위즈",VLOOKUP(K718,[1]작가별정산률!$A:$B,2,0),V718)</f>
        <v>김광수</v>
      </c>
    </row>
    <row r="719" spans="1:23" x14ac:dyDescent="0.4">
      <c r="A719" t="s">
        <v>262</v>
      </c>
      <c r="B719" t="s">
        <v>984</v>
      </c>
      <c r="C719" t="s">
        <v>1001</v>
      </c>
      <c r="D719" t="s">
        <v>64</v>
      </c>
      <c r="E719" t="s">
        <v>22</v>
      </c>
      <c r="F719" t="s">
        <v>23</v>
      </c>
      <c r="G719">
        <v>1</v>
      </c>
      <c r="H719">
        <v>9791166064432</v>
      </c>
      <c r="I719" t="s">
        <v>24</v>
      </c>
      <c r="J719" t="s">
        <v>114</v>
      </c>
      <c r="K719" t="s">
        <v>102</v>
      </c>
      <c r="L719" t="s">
        <v>27</v>
      </c>
      <c r="M719">
        <v>720</v>
      </c>
      <c r="N719" t="s">
        <v>27</v>
      </c>
      <c r="O719">
        <v>720</v>
      </c>
      <c r="P719">
        <v>720</v>
      </c>
      <c r="Q719" t="s">
        <v>30</v>
      </c>
      <c r="R719" s="2">
        <v>0.7</v>
      </c>
      <c r="S719">
        <v>504</v>
      </c>
      <c r="T719" t="s">
        <v>27</v>
      </c>
      <c r="U719">
        <v>504</v>
      </c>
      <c r="V719" s="7" t="str">
        <f>IF(ISERROR(VLOOKUP(K719,[1]작가별정산률!$R:$S,2,0)),"스토리위즈",VLOOKUP(K719,[1]작가별정산률!$R:$S,2,0))</f>
        <v>스토리위즈</v>
      </c>
      <c r="W719" s="7" t="str">
        <f>IF(V719="스토리위즈",VLOOKUP(K719,[1]작가별정산률!$A:$B,2,0),V719)</f>
        <v>예로나</v>
      </c>
    </row>
    <row r="720" spans="1:23" x14ac:dyDescent="0.4">
      <c r="A720" t="s">
        <v>262</v>
      </c>
      <c r="B720" t="s">
        <v>984</v>
      </c>
      <c r="C720" t="s">
        <v>1002</v>
      </c>
      <c r="D720" t="s">
        <v>64</v>
      </c>
      <c r="E720" t="s">
        <v>22</v>
      </c>
      <c r="F720" t="s">
        <v>23</v>
      </c>
      <c r="G720">
        <v>1</v>
      </c>
      <c r="H720">
        <v>9791159283277</v>
      </c>
      <c r="I720" t="s">
        <v>24</v>
      </c>
      <c r="J720" t="s">
        <v>118</v>
      </c>
      <c r="K720" t="s">
        <v>37</v>
      </c>
      <c r="L720" t="s">
        <v>27</v>
      </c>
      <c r="M720">
        <v>630</v>
      </c>
      <c r="N720" t="s">
        <v>27</v>
      </c>
      <c r="O720">
        <v>630</v>
      </c>
      <c r="P720">
        <v>630</v>
      </c>
      <c r="Q720" t="s">
        <v>30</v>
      </c>
      <c r="R720" s="2">
        <v>0.7</v>
      </c>
      <c r="S720">
        <v>441</v>
      </c>
      <c r="T720" t="s">
        <v>27</v>
      </c>
      <c r="U720">
        <v>441</v>
      </c>
      <c r="V720" s="7" t="str">
        <f>IF(ISERROR(VLOOKUP(K720,[1]작가별정산률!$R:$S,2,0)),"스토리위즈",VLOOKUP(K720,[1]작가별정산률!$R:$S,2,0))</f>
        <v>스토리위즈</v>
      </c>
      <c r="W720" s="7" t="str">
        <f>IF(V720="스토리위즈",VLOOKUP(K720,[1]작가별정산률!$A:$B,2,0),V720)</f>
        <v>권용찬</v>
      </c>
    </row>
    <row r="721" spans="1:23" x14ac:dyDescent="0.4">
      <c r="A721" t="s">
        <v>262</v>
      </c>
      <c r="B721" t="s">
        <v>984</v>
      </c>
      <c r="C721" t="s">
        <v>1003</v>
      </c>
      <c r="D721" t="s">
        <v>64</v>
      </c>
      <c r="E721" t="s">
        <v>22</v>
      </c>
      <c r="F721" t="s">
        <v>23</v>
      </c>
      <c r="G721">
        <v>1</v>
      </c>
      <c r="H721">
        <v>9791166064135</v>
      </c>
      <c r="I721" t="s">
        <v>24</v>
      </c>
      <c r="J721" t="s">
        <v>77</v>
      </c>
      <c r="K721" t="s">
        <v>37</v>
      </c>
      <c r="L721" t="s">
        <v>27</v>
      </c>
      <c r="M721">
        <v>900</v>
      </c>
      <c r="N721" t="s">
        <v>27</v>
      </c>
      <c r="O721">
        <v>900</v>
      </c>
      <c r="P721">
        <v>900</v>
      </c>
      <c r="Q721" t="s">
        <v>30</v>
      </c>
      <c r="R721" s="2">
        <v>0.7</v>
      </c>
      <c r="S721">
        <v>630</v>
      </c>
      <c r="T721" t="s">
        <v>27</v>
      </c>
      <c r="U721">
        <v>630</v>
      </c>
      <c r="V721" s="7" t="str">
        <f>IF(ISERROR(VLOOKUP(K721,[1]작가별정산률!$R:$S,2,0)),"스토리위즈",VLOOKUP(K721,[1]작가별정산률!$R:$S,2,0))</f>
        <v>스토리위즈</v>
      </c>
      <c r="W721" s="7" t="str">
        <f>IF(V721="스토리위즈",VLOOKUP(K721,[1]작가별정산률!$A:$B,2,0),V721)</f>
        <v>권용찬</v>
      </c>
    </row>
    <row r="722" spans="1:23" x14ac:dyDescent="0.4">
      <c r="A722" t="s">
        <v>262</v>
      </c>
      <c r="B722" t="s">
        <v>984</v>
      </c>
      <c r="C722" t="s">
        <v>1004</v>
      </c>
      <c r="D722" t="s">
        <v>21</v>
      </c>
      <c r="E722" t="s">
        <v>22</v>
      </c>
      <c r="F722" t="s">
        <v>23</v>
      </c>
      <c r="G722">
        <v>1</v>
      </c>
      <c r="H722">
        <v>9791166300158</v>
      </c>
      <c r="I722" t="s">
        <v>24</v>
      </c>
      <c r="J722" t="s">
        <v>125</v>
      </c>
      <c r="K722" t="s">
        <v>119</v>
      </c>
      <c r="L722" t="s">
        <v>27</v>
      </c>
      <c r="M722" s="3">
        <v>3200</v>
      </c>
      <c r="N722" t="s">
        <v>27</v>
      </c>
      <c r="O722" s="3">
        <v>3200</v>
      </c>
      <c r="P722" s="3">
        <v>3200</v>
      </c>
      <c r="Q722" t="s">
        <v>30</v>
      </c>
      <c r="R722" s="2">
        <v>0.7</v>
      </c>
      <c r="S722" s="3">
        <v>2240</v>
      </c>
      <c r="T722" t="s">
        <v>27</v>
      </c>
      <c r="U722" s="3">
        <v>2240</v>
      </c>
      <c r="V722" s="7" t="str">
        <f>IF(ISERROR(VLOOKUP(K722,[1]작가별정산률!$R:$S,2,0)),"스토리위즈",VLOOKUP(K722,[1]작가별정산률!$R:$S,2,0))</f>
        <v>스토리위즈</v>
      </c>
      <c r="W722" s="7" t="str">
        <f>IF(V722="스토리위즈",VLOOKUP(K722,[1]작가별정산률!$A:$B,2,0),V722)</f>
        <v>김광수</v>
      </c>
    </row>
    <row r="723" spans="1:23" x14ac:dyDescent="0.4">
      <c r="A723" t="s">
        <v>262</v>
      </c>
      <c r="B723" t="s">
        <v>984</v>
      </c>
      <c r="C723" t="s">
        <v>1005</v>
      </c>
      <c r="D723" t="s">
        <v>64</v>
      </c>
      <c r="E723" t="s">
        <v>22</v>
      </c>
      <c r="F723" t="s">
        <v>23</v>
      </c>
      <c r="G723">
        <v>1</v>
      </c>
      <c r="H723">
        <v>9791166300516</v>
      </c>
      <c r="I723" t="s">
        <v>24</v>
      </c>
      <c r="J723" t="s">
        <v>149</v>
      </c>
      <c r="K723" t="s">
        <v>119</v>
      </c>
      <c r="L723" t="s">
        <v>27</v>
      </c>
      <c r="M723">
        <v>630</v>
      </c>
      <c r="N723" t="s">
        <v>27</v>
      </c>
      <c r="O723">
        <v>630</v>
      </c>
      <c r="P723">
        <v>630</v>
      </c>
      <c r="Q723" t="s">
        <v>30</v>
      </c>
      <c r="R723" s="2">
        <v>0.7</v>
      </c>
      <c r="S723">
        <v>441</v>
      </c>
      <c r="T723" t="s">
        <v>27</v>
      </c>
      <c r="U723">
        <v>441</v>
      </c>
      <c r="V723" s="7" t="str">
        <f>IF(ISERROR(VLOOKUP(K723,[1]작가별정산률!$R:$S,2,0)),"스토리위즈",VLOOKUP(K723,[1]작가별정산률!$R:$S,2,0))</f>
        <v>스토리위즈</v>
      </c>
      <c r="W723" s="7" t="str">
        <f>IF(V723="스토리위즈",VLOOKUP(K723,[1]작가별정산률!$A:$B,2,0),V723)</f>
        <v>김광수</v>
      </c>
    </row>
    <row r="724" spans="1:23" x14ac:dyDescent="0.4">
      <c r="A724" t="s">
        <v>262</v>
      </c>
      <c r="B724" t="s">
        <v>984</v>
      </c>
      <c r="C724" t="s">
        <v>1006</v>
      </c>
      <c r="D724" t="s">
        <v>64</v>
      </c>
      <c r="E724" t="s">
        <v>22</v>
      </c>
      <c r="F724" t="s">
        <v>23</v>
      </c>
      <c r="G724">
        <v>1</v>
      </c>
      <c r="H724">
        <v>9791159283093</v>
      </c>
      <c r="I724" t="s">
        <v>24</v>
      </c>
      <c r="J724" t="s">
        <v>73</v>
      </c>
      <c r="K724" t="s">
        <v>37</v>
      </c>
      <c r="L724" t="s">
        <v>27</v>
      </c>
      <c r="M724">
        <v>900</v>
      </c>
      <c r="N724" t="s">
        <v>27</v>
      </c>
      <c r="O724">
        <v>900</v>
      </c>
      <c r="P724">
        <v>900</v>
      </c>
      <c r="Q724" t="s">
        <v>30</v>
      </c>
      <c r="R724" s="2">
        <v>0.7</v>
      </c>
      <c r="S724">
        <v>630</v>
      </c>
      <c r="T724" t="s">
        <v>27</v>
      </c>
      <c r="U724">
        <v>630</v>
      </c>
      <c r="V724" s="7" t="str">
        <f>IF(ISERROR(VLOOKUP(K724,[1]작가별정산률!$R:$S,2,0)),"스토리위즈",VLOOKUP(K724,[1]작가별정산률!$R:$S,2,0))</f>
        <v>스토리위즈</v>
      </c>
      <c r="W724" s="7" t="str">
        <f>IF(V724="스토리위즈",VLOOKUP(K724,[1]작가별정산률!$A:$B,2,0),V724)</f>
        <v>권용찬</v>
      </c>
    </row>
    <row r="725" spans="1:23" x14ac:dyDescent="0.4">
      <c r="A725" t="s">
        <v>262</v>
      </c>
      <c r="B725" t="s">
        <v>984</v>
      </c>
      <c r="C725" t="s">
        <v>1007</v>
      </c>
      <c r="D725" t="s">
        <v>64</v>
      </c>
      <c r="E725" t="s">
        <v>22</v>
      </c>
      <c r="F725" t="s">
        <v>23</v>
      </c>
      <c r="G725">
        <v>1</v>
      </c>
      <c r="H725">
        <v>9791166300509</v>
      </c>
      <c r="I725" t="s">
        <v>24</v>
      </c>
      <c r="J725" t="s">
        <v>148</v>
      </c>
      <c r="K725" t="s">
        <v>119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  <c r="V725" s="7" t="str">
        <f>IF(ISERROR(VLOOKUP(K725,[1]작가별정산률!$R:$S,2,0)),"스토리위즈",VLOOKUP(K725,[1]작가별정산률!$R:$S,2,0))</f>
        <v>스토리위즈</v>
      </c>
      <c r="W725" s="7" t="str">
        <f>IF(V725="스토리위즈",VLOOKUP(K725,[1]작가별정산률!$A:$B,2,0),V725)</f>
        <v>김광수</v>
      </c>
    </row>
    <row r="726" spans="1:23" x14ac:dyDescent="0.4">
      <c r="A726" t="s">
        <v>262</v>
      </c>
      <c r="B726" t="s">
        <v>984</v>
      </c>
      <c r="C726" t="s">
        <v>1008</v>
      </c>
      <c r="D726" t="s">
        <v>64</v>
      </c>
      <c r="E726" t="s">
        <v>22</v>
      </c>
      <c r="F726" t="s">
        <v>23</v>
      </c>
      <c r="G726">
        <v>1</v>
      </c>
      <c r="H726">
        <v>9791166300264</v>
      </c>
      <c r="I726" t="s">
        <v>24</v>
      </c>
      <c r="J726" t="s">
        <v>135</v>
      </c>
      <c r="K726" t="s">
        <v>119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  <c r="V726" s="7" t="str">
        <f>IF(ISERROR(VLOOKUP(K726,[1]작가별정산률!$R:$S,2,0)),"스토리위즈",VLOOKUP(K726,[1]작가별정산률!$R:$S,2,0))</f>
        <v>스토리위즈</v>
      </c>
      <c r="W726" s="7" t="str">
        <f>IF(V726="스토리위즈",VLOOKUP(K726,[1]작가별정산률!$A:$B,2,0),V726)</f>
        <v>김광수</v>
      </c>
    </row>
    <row r="727" spans="1:23" x14ac:dyDescent="0.4">
      <c r="A727" t="s">
        <v>262</v>
      </c>
      <c r="B727" t="s">
        <v>984</v>
      </c>
      <c r="C727" t="s">
        <v>1009</v>
      </c>
      <c r="D727" t="s">
        <v>64</v>
      </c>
      <c r="E727" t="s">
        <v>22</v>
      </c>
      <c r="F727" t="s">
        <v>23</v>
      </c>
      <c r="G727">
        <v>1</v>
      </c>
      <c r="H727">
        <v>9791166300509</v>
      </c>
      <c r="I727" t="s">
        <v>24</v>
      </c>
      <c r="J727" t="s">
        <v>148</v>
      </c>
      <c r="K727" t="s">
        <v>119</v>
      </c>
      <c r="L727" t="s">
        <v>27</v>
      </c>
      <c r="M727">
        <v>630</v>
      </c>
      <c r="N727" t="s">
        <v>27</v>
      </c>
      <c r="O727">
        <v>630</v>
      </c>
      <c r="P727">
        <v>630</v>
      </c>
      <c r="Q727" t="s">
        <v>30</v>
      </c>
      <c r="R727" s="2">
        <v>0.7</v>
      </c>
      <c r="S727">
        <v>441</v>
      </c>
      <c r="T727" t="s">
        <v>27</v>
      </c>
      <c r="U727">
        <v>441</v>
      </c>
      <c r="V727" s="7" t="str">
        <f>IF(ISERROR(VLOOKUP(K727,[1]작가별정산률!$R:$S,2,0)),"스토리위즈",VLOOKUP(K727,[1]작가별정산률!$R:$S,2,0))</f>
        <v>스토리위즈</v>
      </c>
      <c r="W727" s="7" t="str">
        <f>IF(V727="스토리위즈",VLOOKUP(K727,[1]작가별정산률!$A:$B,2,0),V727)</f>
        <v>김광수</v>
      </c>
    </row>
    <row r="728" spans="1:23" x14ac:dyDescent="0.4">
      <c r="A728" t="s">
        <v>262</v>
      </c>
      <c r="B728" t="s">
        <v>984</v>
      </c>
      <c r="C728" t="s">
        <v>1010</v>
      </c>
      <c r="D728" t="s">
        <v>64</v>
      </c>
      <c r="E728" t="s">
        <v>22</v>
      </c>
      <c r="F728" t="s">
        <v>23</v>
      </c>
      <c r="G728">
        <v>1</v>
      </c>
      <c r="H728">
        <v>9791166300196</v>
      </c>
      <c r="I728" t="s">
        <v>24</v>
      </c>
      <c r="J728" t="s">
        <v>128</v>
      </c>
      <c r="K728" t="s">
        <v>119</v>
      </c>
      <c r="L728" t="s">
        <v>27</v>
      </c>
      <c r="M728">
        <v>630</v>
      </c>
      <c r="N728" t="s">
        <v>27</v>
      </c>
      <c r="O728">
        <v>630</v>
      </c>
      <c r="P728">
        <v>630</v>
      </c>
      <c r="Q728" t="s">
        <v>30</v>
      </c>
      <c r="R728" s="2">
        <v>0.7</v>
      </c>
      <c r="S728">
        <v>441</v>
      </c>
      <c r="T728" t="s">
        <v>27</v>
      </c>
      <c r="U728">
        <v>441</v>
      </c>
      <c r="V728" s="7" t="str">
        <f>IF(ISERROR(VLOOKUP(K728,[1]작가별정산률!$R:$S,2,0)),"스토리위즈",VLOOKUP(K728,[1]작가별정산률!$R:$S,2,0))</f>
        <v>스토리위즈</v>
      </c>
      <c r="W728" s="7" t="str">
        <f>IF(V728="스토리위즈",VLOOKUP(K728,[1]작가별정산률!$A:$B,2,0),V728)</f>
        <v>김광수</v>
      </c>
    </row>
    <row r="729" spans="1:23" x14ac:dyDescent="0.4">
      <c r="A729" t="s">
        <v>262</v>
      </c>
      <c r="B729" t="s">
        <v>984</v>
      </c>
      <c r="C729" t="s">
        <v>1011</v>
      </c>
      <c r="D729" t="s">
        <v>64</v>
      </c>
      <c r="E729" t="s">
        <v>22</v>
      </c>
      <c r="F729" t="s">
        <v>23</v>
      </c>
      <c r="G729">
        <v>1</v>
      </c>
      <c r="H729">
        <v>9791159283215</v>
      </c>
      <c r="I729" t="s">
        <v>24</v>
      </c>
      <c r="J729" t="s">
        <v>103</v>
      </c>
      <c r="K729" t="s">
        <v>37</v>
      </c>
      <c r="L729" t="s">
        <v>27</v>
      </c>
      <c r="M729">
        <v>630</v>
      </c>
      <c r="N729" t="s">
        <v>27</v>
      </c>
      <c r="O729">
        <v>630</v>
      </c>
      <c r="P729">
        <v>630</v>
      </c>
      <c r="Q729" t="s">
        <v>30</v>
      </c>
      <c r="R729" s="2">
        <v>0.7</v>
      </c>
      <c r="S729">
        <v>441</v>
      </c>
      <c r="T729" t="s">
        <v>27</v>
      </c>
      <c r="U729">
        <v>441</v>
      </c>
      <c r="V729" s="7" t="str">
        <f>IF(ISERROR(VLOOKUP(K729,[1]작가별정산률!$R:$S,2,0)),"스토리위즈",VLOOKUP(K729,[1]작가별정산률!$R:$S,2,0))</f>
        <v>스토리위즈</v>
      </c>
      <c r="W729" s="7" t="str">
        <f>IF(V729="스토리위즈",VLOOKUP(K729,[1]작가별정산률!$A:$B,2,0),V729)</f>
        <v>권용찬</v>
      </c>
    </row>
    <row r="730" spans="1:23" x14ac:dyDescent="0.4">
      <c r="A730" t="s">
        <v>262</v>
      </c>
      <c r="B730" t="s">
        <v>984</v>
      </c>
      <c r="C730" t="s">
        <v>1012</v>
      </c>
      <c r="D730" t="s">
        <v>64</v>
      </c>
      <c r="E730" t="s">
        <v>22</v>
      </c>
      <c r="F730" t="s">
        <v>23</v>
      </c>
      <c r="G730">
        <v>1</v>
      </c>
      <c r="H730">
        <v>9791166300516</v>
      </c>
      <c r="I730" t="s">
        <v>24</v>
      </c>
      <c r="J730" t="s">
        <v>149</v>
      </c>
      <c r="K730" t="s">
        <v>119</v>
      </c>
      <c r="L730" t="s">
        <v>27</v>
      </c>
      <c r="M730">
        <v>630</v>
      </c>
      <c r="N730" t="s">
        <v>27</v>
      </c>
      <c r="O730">
        <v>630</v>
      </c>
      <c r="P730">
        <v>630</v>
      </c>
      <c r="Q730" t="s">
        <v>30</v>
      </c>
      <c r="R730" s="2">
        <v>0.7</v>
      </c>
      <c r="S730">
        <v>441</v>
      </c>
      <c r="T730" t="s">
        <v>27</v>
      </c>
      <c r="U730">
        <v>441</v>
      </c>
      <c r="V730" s="7" t="str">
        <f>IF(ISERROR(VLOOKUP(K730,[1]작가별정산률!$R:$S,2,0)),"스토리위즈",VLOOKUP(K730,[1]작가별정산률!$R:$S,2,0))</f>
        <v>스토리위즈</v>
      </c>
      <c r="W730" s="7" t="str">
        <f>IF(V730="스토리위즈",VLOOKUP(K730,[1]작가별정산률!$A:$B,2,0),V730)</f>
        <v>김광수</v>
      </c>
    </row>
    <row r="731" spans="1:23" x14ac:dyDescent="0.4">
      <c r="A731" t="s">
        <v>262</v>
      </c>
      <c r="B731" t="s">
        <v>984</v>
      </c>
      <c r="C731" t="s">
        <v>1013</v>
      </c>
      <c r="D731" t="s">
        <v>64</v>
      </c>
      <c r="E731" t="s">
        <v>22</v>
      </c>
      <c r="F731" t="s">
        <v>23</v>
      </c>
      <c r="G731">
        <v>1</v>
      </c>
      <c r="H731">
        <v>9791166300141</v>
      </c>
      <c r="I731" t="s">
        <v>24</v>
      </c>
      <c r="J731" t="s">
        <v>124</v>
      </c>
      <c r="K731" t="s">
        <v>119</v>
      </c>
      <c r="L731" t="s">
        <v>27</v>
      </c>
      <c r="M731">
        <v>630</v>
      </c>
      <c r="N731" t="s">
        <v>27</v>
      </c>
      <c r="O731">
        <v>630</v>
      </c>
      <c r="P731">
        <v>630</v>
      </c>
      <c r="Q731" t="s">
        <v>30</v>
      </c>
      <c r="R731" s="2">
        <v>0.7</v>
      </c>
      <c r="S731">
        <v>441</v>
      </c>
      <c r="T731" t="s">
        <v>27</v>
      </c>
      <c r="U731">
        <v>441</v>
      </c>
      <c r="V731" s="7" t="str">
        <f>IF(ISERROR(VLOOKUP(K731,[1]작가별정산률!$R:$S,2,0)),"스토리위즈",VLOOKUP(K731,[1]작가별정산률!$R:$S,2,0))</f>
        <v>스토리위즈</v>
      </c>
      <c r="W731" s="7" t="str">
        <f>IF(V731="스토리위즈",VLOOKUP(K731,[1]작가별정산률!$A:$B,2,0),V731)</f>
        <v>김광수</v>
      </c>
    </row>
    <row r="732" spans="1:23" x14ac:dyDescent="0.4">
      <c r="A732" t="s">
        <v>262</v>
      </c>
      <c r="B732" t="s">
        <v>984</v>
      </c>
      <c r="C732" t="s">
        <v>1014</v>
      </c>
      <c r="D732" t="s">
        <v>21</v>
      </c>
      <c r="E732" t="s">
        <v>22</v>
      </c>
      <c r="F732" t="s">
        <v>23</v>
      </c>
      <c r="G732">
        <v>1</v>
      </c>
      <c r="H732">
        <v>9791166300301</v>
      </c>
      <c r="I732" t="s">
        <v>24</v>
      </c>
      <c r="J732" t="s">
        <v>139</v>
      </c>
      <c r="K732" t="s">
        <v>119</v>
      </c>
      <c r="L732" t="s">
        <v>27</v>
      </c>
      <c r="M732" s="3">
        <v>3200</v>
      </c>
      <c r="N732" t="s">
        <v>27</v>
      </c>
      <c r="O732" s="3">
        <v>3200</v>
      </c>
      <c r="P732" s="3">
        <v>3200</v>
      </c>
      <c r="Q732" t="s">
        <v>30</v>
      </c>
      <c r="R732" s="2">
        <v>0.7</v>
      </c>
      <c r="S732" s="3">
        <v>2240</v>
      </c>
      <c r="T732" t="s">
        <v>27</v>
      </c>
      <c r="U732" s="3">
        <v>2240</v>
      </c>
      <c r="V732" s="7" t="str">
        <f>IF(ISERROR(VLOOKUP(K732,[1]작가별정산률!$R:$S,2,0)),"스토리위즈",VLOOKUP(K732,[1]작가별정산률!$R:$S,2,0))</f>
        <v>스토리위즈</v>
      </c>
      <c r="W732" s="7" t="str">
        <f>IF(V732="스토리위즈",VLOOKUP(K732,[1]작가별정산률!$A:$B,2,0),V732)</f>
        <v>김광수</v>
      </c>
    </row>
    <row r="733" spans="1:23" x14ac:dyDescent="0.4">
      <c r="A733" t="s">
        <v>262</v>
      </c>
      <c r="B733" t="s">
        <v>984</v>
      </c>
      <c r="C733" t="s">
        <v>1015</v>
      </c>
      <c r="D733" t="s">
        <v>64</v>
      </c>
      <c r="E733" t="s">
        <v>22</v>
      </c>
      <c r="F733" t="s">
        <v>23</v>
      </c>
      <c r="G733">
        <v>1</v>
      </c>
      <c r="H733">
        <v>9791166300301</v>
      </c>
      <c r="I733" t="s">
        <v>24</v>
      </c>
      <c r="J733" t="s">
        <v>139</v>
      </c>
      <c r="K733" t="s">
        <v>119</v>
      </c>
      <c r="L733" t="s">
        <v>27</v>
      </c>
      <c r="M733">
        <v>630</v>
      </c>
      <c r="N733" t="s">
        <v>27</v>
      </c>
      <c r="O733">
        <v>630</v>
      </c>
      <c r="P733">
        <v>630</v>
      </c>
      <c r="Q733" t="s">
        <v>30</v>
      </c>
      <c r="R733" s="2">
        <v>0.7</v>
      </c>
      <c r="S733">
        <v>441</v>
      </c>
      <c r="T733" t="s">
        <v>27</v>
      </c>
      <c r="U733">
        <v>441</v>
      </c>
      <c r="V733" s="7" t="str">
        <f>IF(ISERROR(VLOOKUP(K733,[1]작가별정산률!$R:$S,2,0)),"스토리위즈",VLOOKUP(K733,[1]작가별정산률!$R:$S,2,0))</f>
        <v>스토리위즈</v>
      </c>
      <c r="W733" s="7" t="str">
        <f>IF(V733="스토리위즈",VLOOKUP(K733,[1]작가별정산률!$A:$B,2,0),V733)</f>
        <v>김광수</v>
      </c>
    </row>
    <row r="734" spans="1:23" x14ac:dyDescent="0.4">
      <c r="A734" t="s">
        <v>262</v>
      </c>
      <c r="B734" t="s">
        <v>984</v>
      </c>
      <c r="C734" t="s">
        <v>1016</v>
      </c>
      <c r="D734" t="s">
        <v>64</v>
      </c>
      <c r="E734" t="s">
        <v>22</v>
      </c>
      <c r="F734" t="s">
        <v>23</v>
      </c>
      <c r="G734">
        <v>1</v>
      </c>
      <c r="H734">
        <v>9791166300530</v>
      </c>
      <c r="I734" t="s">
        <v>24</v>
      </c>
      <c r="J734" t="s">
        <v>151</v>
      </c>
      <c r="K734" t="s">
        <v>119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  <c r="V734" s="7" t="str">
        <f>IF(ISERROR(VLOOKUP(K734,[1]작가별정산률!$R:$S,2,0)),"스토리위즈",VLOOKUP(K734,[1]작가별정산률!$R:$S,2,0))</f>
        <v>스토리위즈</v>
      </c>
      <c r="W734" s="7" t="str">
        <f>IF(V734="스토리위즈",VLOOKUP(K734,[1]작가별정산률!$A:$B,2,0),V734)</f>
        <v>김광수</v>
      </c>
    </row>
    <row r="735" spans="1:23" x14ac:dyDescent="0.4">
      <c r="A735" t="s">
        <v>262</v>
      </c>
      <c r="B735" t="s">
        <v>984</v>
      </c>
      <c r="C735" t="s">
        <v>1017</v>
      </c>
      <c r="D735" t="s">
        <v>21</v>
      </c>
      <c r="E735" t="s">
        <v>22</v>
      </c>
      <c r="F735" t="s">
        <v>23</v>
      </c>
      <c r="G735">
        <v>1</v>
      </c>
      <c r="H735">
        <v>9791191562248</v>
      </c>
      <c r="I735" t="s">
        <v>143</v>
      </c>
      <c r="J735" t="s">
        <v>231</v>
      </c>
      <c r="K735" t="s">
        <v>232</v>
      </c>
      <c r="L735" t="s">
        <v>27</v>
      </c>
      <c r="M735" s="3">
        <v>2000</v>
      </c>
      <c r="N735" t="s">
        <v>27</v>
      </c>
      <c r="O735" s="3">
        <v>2000</v>
      </c>
      <c r="P735" s="3">
        <v>2000</v>
      </c>
      <c r="Q735" t="s">
        <v>30</v>
      </c>
      <c r="R735" s="2">
        <v>0.7</v>
      </c>
      <c r="S735" s="3">
        <v>1400</v>
      </c>
      <c r="T735" t="s">
        <v>27</v>
      </c>
      <c r="U735" s="3">
        <v>1400</v>
      </c>
      <c r="V735" s="7" t="str">
        <f>IF(ISERROR(VLOOKUP(K735,[1]작가별정산률!$R:$S,2,0)),"스토리위즈",VLOOKUP(K735,[1]작가별정산률!$R:$S,2,0))</f>
        <v>밀리의 서재</v>
      </c>
      <c r="W735" s="7" t="str">
        <f>IF(V735="스토리위즈",VLOOKUP(K735,[1]작가별정산률!$A:$B,2,0),V735)</f>
        <v>밀리의 서재</v>
      </c>
    </row>
    <row r="736" spans="1:23" x14ac:dyDescent="0.4">
      <c r="A736" t="s">
        <v>262</v>
      </c>
      <c r="B736" t="s">
        <v>984</v>
      </c>
      <c r="C736" t="s">
        <v>1018</v>
      </c>
      <c r="D736" t="s">
        <v>64</v>
      </c>
      <c r="E736" t="s">
        <v>22</v>
      </c>
      <c r="F736" t="s">
        <v>23</v>
      </c>
      <c r="G736">
        <v>1</v>
      </c>
      <c r="H736">
        <v>9791166300271</v>
      </c>
      <c r="I736" t="s">
        <v>24</v>
      </c>
      <c r="J736" t="s">
        <v>136</v>
      </c>
      <c r="K736" t="s">
        <v>119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2">
        <v>0.7</v>
      </c>
      <c r="S736">
        <v>441</v>
      </c>
      <c r="T736" t="s">
        <v>27</v>
      </c>
      <c r="U736">
        <v>441</v>
      </c>
      <c r="V736" s="7" t="str">
        <f>IF(ISERROR(VLOOKUP(K736,[1]작가별정산률!$R:$S,2,0)),"스토리위즈",VLOOKUP(K736,[1]작가별정산률!$R:$S,2,0))</f>
        <v>스토리위즈</v>
      </c>
      <c r="W736" s="7" t="str">
        <f>IF(V736="스토리위즈",VLOOKUP(K736,[1]작가별정산률!$A:$B,2,0),V736)</f>
        <v>김광수</v>
      </c>
    </row>
    <row r="737" spans="1:23" x14ac:dyDescent="0.4">
      <c r="A737" t="s">
        <v>262</v>
      </c>
      <c r="B737" t="s">
        <v>984</v>
      </c>
      <c r="C737" t="s">
        <v>1019</v>
      </c>
      <c r="D737" t="s">
        <v>64</v>
      </c>
      <c r="E737" t="s">
        <v>22</v>
      </c>
      <c r="F737" t="s">
        <v>23</v>
      </c>
      <c r="G737">
        <v>1</v>
      </c>
      <c r="H737">
        <v>9791166300295</v>
      </c>
      <c r="I737" t="s">
        <v>24</v>
      </c>
      <c r="J737" t="s">
        <v>138</v>
      </c>
      <c r="K737" t="s">
        <v>119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  <c r="V737" s="7" t="str">
        <f>IF(ISERROR(VLOOKUP(K737,[1]작가별정산률!$R:$S,2,0)),"스토리위즈",VLOOKUP(K737,[1]작가별정산률!$R:$S,2,0))</f>
        <v>스토리위즈</v>
      </c>
      <c r="W737" s="7" t="str">
        <f>IF(V737="스토리위즈",VLOOKUP(K737,[1]작가별정산률!$A:$B,2,0),V737)</f>
        <v>김광수</v>
      </c>
    </row>
    <row r="738" spans="1:23" x14ac:dyDescent="0.4">
      <c r="A738" t="s">
        <v>262</v>
      </c>
      <c r="B738" t="s">
        <v>984</v>
      </c>
      <c r="C738" t="s">
        <v>1020</v>
      </c>
      <c r="D738" t="s">
        <v>64</v>
      </c>
      <c r="E738" t="s">
        <v>22</v>
      </c>
      <c r="F738" t="s">
        <v>23</v>
      </c>
      <c r="G738">
        <v>1</v>
      </c>
      <c r="H738">
        <v>9791159282959</v>
      </c>
      <c r="I738" t="s">
        <v>24</v>
      </c>
      <c r="J738" t="s">
        <v>179</v>
      </c>
      <c r="K738" t="s">
        <v>26</v>
      </c>
      <c r="L738" t="s">
        <v>27</v>
      </c>
      <c r="M738">
        <v>630</v>
      </c>
      <c r="N738" t="s">
        <v>27</v>
      </c>
      <c r="O738">
        <v>630</v>
      </c>
      <c r="P738">
        <v>630</v>
      </c>
      <c r="Q738" t="s">
        <v>30</v>
      </c>
      <c r="R738" s="2">
        <v>0.7</v>
      </c>
      <c r="S738">
        <v>441</v>
      </c>
      <c r="T738" t="s">
        <v>27</v>
      </c>
      <c r="U738">
        <v>441</v>
      </c>
      <c r="V738" s="7" t="str">
        <f>IF(ISERROR(VLOOKUP(K738,[1]작가별정산률!$R:$S,2,0)),"스토리위즈",VLOOKUP(K738,[1]작가별정산률!$R:$S,2,0))</f>
        <v>스토리위즈</v>
      </c>
      <c r="W738" s="7" t="str">
        <f>IF(V738="스토리위즈",VLOOKUP(K738,[1]작가별정산률!$A:$B,2,0),V738)</f>
        <v>독고진</v>
      </c>
    </row>
    <row r="739" spans="1:23" x14ac:dyDescent="0.4">
      <c r="A739" t="s">
        <v>262</v>
      </c>
      <c r="B739" t="s">
        <v>984</v>
      </c>
      <c r="C739" t="s">
        <v>1021</v>
      </c>
      <c r="D739" t="s">
        <v>64</v>
      </c>
      <c r="E739" t="s">
        <v>22</v>
      </c>
      <c r="F739" t="s">
        <v>23</v>
      </c>
      <c r="G739">
        <v>1</v>
      </c>
      <c r="H739">
        <v>9791166300288</v>
      </c>
      <c r="I739" t="s">
        <v>24</v>
      </c>
      <c r="J739" t="s">
        <v>137</v>
      </c>
      <c r="K739" t="s">
        <v>119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  <c r="V739" s="7" t="str">
        <f>IF(ISERROR(VLOOKUP(K739,[1]작가별정산률!$R:$S,2,0)),"스토리위즈",VLOOKUP(K739,[1]작가별정산률!$R:$S,2,0))</f>
        <v>스토리위즈</v>
      </c>
      <c r="W739" s="7" t="str">
        <f>IF(V739="스토리위즈",VLOOKUP(K739,[1]작가별정산률!$A:$B,2,0),V739)</f>
        <v>김광수</v>
      </c>
    </row>
    <row r="740" spans="1:23" x14ac:dyDescent="0.4">
      <c r="A740" t="s">
        <v>262</v>
      </c>
      <c r="B740" t="s">
        <v>984</v>
      </c>
      <c r="C740" t="s">
        <v>1022</v>
      </c>
      <c r="D740" t="s">
        <v>21</v>
      </c>
      <c r="E740" t="s">
        <v>22</v>
      </c>
      <c r="F740" t="s">
        <v>23</v>
      </c>
      <c r="G740">
        <v>1</v>
      </c>
      <c r="H740">
        <v>9791189627324</v>
      </c>
      <c r="I740" t="s">
        <v>143</v>
      </c>
      <c r="J740" t="s">
        <v>1023</v>
      </c>
      <c r="K740" t="s">
        <v>1024</v>
      </c>
      <c r="L740" t="s">
        <v>27</v>
      </c>
      <c r="M740" s="3">
        <v>3100</v>
      </c>
      <c r="N740" t="s">
        <v>191</v>
      </c>
      <c r="O740">
        <v>3.73</v>
      </c>
      <c r="P740">
        <v>3.39</v>
      </c>
      <c r="Q740" t="s">
        <v>190</v>
      </c>
      <c r="R740" s="2">
        <v>0.7</v>
      </c>
      <c r="S740">
        <v>2.37</v>
      </c>
      <c r="T740" t="s">
        <v>27</v>
      </c>
      <c r="U740" s="3">
        <v>2099</v>
      </c>
      <c r="V740" s="7" t="str">
        <f>IF(ISERROR(VLOOKUP(K740,[1]작가별정산률!$R:$S,2,0)),"스토리위즈",VLOOKUP(K740,[1]작가별정산률!$R:$S,2,0))</f>
        <v>스토리위즈</v>
      </c>
      <c r="W740" s="7" t="str">
        <f>IF(V740="스토리위즈",VLOOKUP(K740,[1]작가별정산률!$A:$B,2,0),V740)</f>
        <v>라비니안느</v>
      </c>
    </row>
    <row r="741" spans="1:23" x14ac:dyDescent="0.4">
      <c r="A741" t="s">
        <v>262</v>
      </c>
      <c r="B741" t="s">
        <v>984</v>
      </c>
      <c r="C741" t="s">
        <v>1025</v>
      </c>
      <c r="D741" t="s">
        <v>21</v>
      </c>
      <c r="E741" t="s">
        <v>22</v>
      </c>
      <c r="F741" t="s">
        <v>23</v>
      </c>
      <c r="G741">
        <v>1</v>
      </c>
      <c r="H741">
        <v>9791191562125</v>
      </c>
      <c r="I741" t="s">
        <v>143</v>
      </c>
      <c r="J741" t="s">
        <v>212</v>
      </c>
      <c r="K741" t="s">
        <v>213</v>
      </c>
      <c r="L741" t="s">
        <v>27</v>
      </c>
      <c r="M741" s="3">
        <v>2500</v>
      </c>
      <c r="N741" t="s">
        <v>27</v>
      </c>
      <c r="O741" s="3">
        <v>2500</v>
      </c>
      <c r="P741" s="3">
        <v>2500</v>
      </c>
      <c r="Q741" t="s">
        <v>30</v>
      </c>
      <c r="R741" s="2">
        <v>0.7</v>
      </c>
      <c r="S741" s="3">
        <v>1750</v>
      </c>
      <c r="T741" t="s">
        <v>27</v>
      </c>
      <c r="U741" s="3">
        <v>1750</v>
      </c>
      <c r="V741" s="7" t="str">
        <f>IF(ISERROR(VLOOKUP(K741,[1]작가별정산률!$R:$S,2,0)),"스토리위즈",VLOOKUP(K741,[1]작가별정산률!$R:$S,2,0))</f>
        <v>밀리의 서재</v>
      </c>
      <c r="W741" s="7" t="str">
        <f>IF(V741="스토리위즈",VLOOKUP(K741,[1]작가별정산률!$A:$B,2,0),V741)</f>
        <v>밀리의 서재</v>
      </c>
    </row>
    <row r="742" spans="1:23" x14ac:dyDescent="0.4">
      <c r="A742" t="s">
        <v>262</v>
      </c>
      <c r="B742" t="s">
        <v>984</v>
      </c>
      <c r="C742" t="s">
        <v>1026</v>
      </c>
      <c r="D742" t="s">
        <v>21</v>
      </c>
      <c r="E742" t="s">
        <v>22</v>
      </c>
      <c r="F742" t="s">
        <v>23</v>
      </c>
      <c r="G742">
        <v>1</v>
      </c>
      <c r="H742">
        <v>9791166300165</v>
      </c>
      <c r="I742" t="s">
        <v>24</v>
      </c>
      <c r="J742" t="s">
        <v>126</v>
      </c>
      <c r="K742" t="s">
        <v>119</v>
      </c>
      <c r="L742" t="s">
        <v>27</v>
      </c>
      <c r="M742" s="3">
        <v>3200</v>
      </c>
      <c r="N742" t="s">
        <v>27</v>
      </c>
      <c r="O742" s="3">
        <v>3200</v>
      </c>
      <c r="P742" s="3">
        <v>3200</v>
      </c>
      <c r="Q742" t="s">
        <v>30</v>
      </c>
      <c r="R742" s="2">
        <v>0.7</v>
      </c>
      <c r="S742" s="3">
        <v>2240</v>
      </c>
      <c r="T742" t="s">
        <v>27</v>
      </c>
      <c r="U742" s="3">
        <v>2240</v>
      </c>
      <c r="V742" s="7" t="str">
        <f>IF(ISERROR(VLOOKUP(K742,[1]작가별정산률!$R:$S,2,0)),"스토리위즈",VLOOKUP(K742,[1]작가별정산률!$R:$S,2,0))</f>
        <v>스토리위즈</v>
      </c>
      <c r="W742" s="7" t="str">
        <f>IF(V742="스토리위즈",VLOOKUP(K742,[1]작가별정산률!$A:$B,2,0),V742)</f>
        <v>김광수</v>
      </c>
    </row>
    <row r="743" spans="1:23" x14ac:dyDescent="0.4">
      <c r="A743" t="s">
        <v>262</v>
      </c>
      <c r="B743" t="s">
        <v>984</v>
      </c>
      <c r="C743" t="s">
        <v>1027</v>
      </c>
      <c r="D743" t="s">
        <v>64</v>
      </c>
      <c r="E743" t="s">
        <v>22</v>
      </c>
      <c r="F743" t="s">
        <v>23</v>
      </c>
      <c r="G743">
        <v>1</v>
      </c>
      <c r="H743">
        <v>9791159282966</v>
      </c>
      <c r="I743" t="s">
        <v>24</v>
      </c>
      <c r="J743" t="s">
        <v>181</v>
      </c>
      <c r="K743" t="s">
        <v>26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  <c r="V743" s="7" t="str">
        <f>IF(ISERROR(VLOOKUP(K743,[1]작가별정산률!$R:$S,2,0)),"스토리위즈",VLOOKUP(K743,[1]작가별정산률!$R:$S,2,0))</f>
        <v>스토리위즈</v>
      </c>
      <c r="W743" s="7" t="str">
        <f>IF(V743="스토리위즈",VLOOKUP(K743,[1]작가별정산률!$A:$B,2,0),V743)</f>
        <v>독고진</v>
      </c>
    </row>
    <row r="744" spans="1:23" x14ac:dyDescent="0.4">
      <c r="A744" t="s">
        <v>262</v>
      </c>
      <c r="B744" t="s">
        <v>984</v>
      </c>
      <c r="C744" t="s">
        <v>1028</v>
      </c>
      <c r="D744" t="s">
        <v>64</v>
      </c>
      <c r="E744" t="s">
        <v>22</v>
      </c>
      <c r="F744" t="s">
        <v>23</v>
      </c>
      <c r="G744">
        <v>1</v>
      </c>
      <c r="H744">
        <v>9791166300523</v>
      </c>
      <c r="I744" t="s">
        <v>24</v>
      </c>
      <c r="J744" t="s">
        <v>150</v>
      </c>
      <c r="K744" t="s">
        <v>119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  <c r="V744" s="7" t="str">
        <f>IF(ISERROR(VLOOKUP(K744,[1]작가별정산률!$R:$S,2,0)),"스토리위즈",VLOOKUP(K744,[1]작가별정산률!$R:$S,2,0))</f>
        <v>스토리위즈</v>
      </c>
      <c r="W744" s="7" t="str">
        <f>IF(V744="스토리위즈",VLOOKUP(K744,[1]작가별정산률!$A:$B,2,0),V744)</f>
        <v>김광수</v>
      </c>
    </row>
    <row r="745" spans="1:23" x14ac:dyDescent="0.4">
      <c r="A745" t="s">
        <v>262</v>
      </c>
      <c r="B745" t="s">
        <v>984</v>
      </c>
      <c r="C745" t="s">
        <v>1029</v>
      </c>
      <c r="D745" t="s">
        <v>21</v>
      </c>
      <c r="E745" t="s">
        <v>22</v>
      </c>
      <c r="F745" t="s">
        <v>23</v>
      </c>
      <c r="G745">
        <v>1</v>
      </c>
      <c r="H745">
        <v>9791189627331</v>
      </c>
      <c r="I745" t="s">
        <v>143</v>
      </c>
      <c r="J745" t="s">
        <v>1030</v>
      </c>
      <c r="K745" t="s">
        <v>1024</v>
      </c>
      <c r="L745" t="s">
        <v>27</v>
      </c>
      <c r="M745" s="3">
        <v>3300</v>
      </c>
      <c r="N745" t="s">
        <v>191</v>
      </c>
      <c r="O745">
        <v>3.97</v>
      </c>
      <c r="P745">
        <v>3.61</v>
      </c>
      <c r="Q745" t="s">
        <v>190</v>
      </c>
      <c r="R745" s="2">
        <v>0.7</v>
      </c>
      <c r="S745">
        <v>2.5299999999999998</v>
      </c>
      <c r="T745" t="s">
        <v>27</v>
      </c>
      <c r="U745" s="3">
        <v>2241</v>
      </c>
      <c r="V745" s="7" t="str">
        <f>IF(ISERROR(VLOOKUP(K745,[1]작가별정산률!$R:$S,2,0)),"스토리위즈",VLOOKUP(K745,[1]작가별정산률!$R:$S,2,0))</f>
        <v>스토리위즈</v>
      </c>
      <c r="W745" s="7" t="str">
        <f>IF(V745="스토리위즈",VLOOKUP(K745,[1]작가별정산률!$A:$B,2,0),V745)</f>
        <v>라비니안느</v>
      </c>
    </row>
    <row r="746" spans="1:23" x14ac:dyDescent="0.4">
      <c r="A746" t="s">
        <v>262</v>
      </c>
      <c r="B746" t="s">
        <v>984</v>
      </c>
      <c r="C746" t="s">
        <v>1031</v>
      </c>
      <c r="D746" t="s">
        <v>64</v>
      </c>
      <c r="E746" t="s">
        <v>22</v>
      </c>
      <c r="F746" t="s">
        <v>23</v>
      </c>
      <c r="G746">
        <v>1</v>
      </c>
      <c r="H746">
        <v>9791166300608</v>
      </c>
      <c r="I746" t="s">
        <v>24</v>
      </c>
      <c r="J746" t="s">
        <v>162</v>
      </c>
      <c r="K746" t="s">
        <v>119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2">
        <v>0.7</v>
      </c>
      <c r="S746">
        <v>441</v>
      </c>
      <c r="T746" t="s">
        <v>27</v>
      </c>
      <c r="U746">
        <v>441</v>
      </c>
      <c r="V746" s="7" t="str">
        <f>IF(ISERROR(VLOOKUP(K746,[1]작가별정산률!$R:$S,2,0)),"스토리위즈",VLOOKUP(K746,[1]작가별정산률!$R:$S,2,0))</f>
        <v>스토리위즈</v>
      </c>
      <c r="W746" s="7" t="str">
        <f>IF(V746="스토리위즈",VLOOKUP(K746,[1]작가별정산률!$A:$B,2,0),V746)</f>
        <v>김광수</v>
      </c>
    </row>
    <row r="747" spans="1:23" x14ac:dyDescent="0.4">
      <c r="A747" t="s">
        <v>262</v>
      </c>
      <c r="B747" t="s">
        <v>984</v>
      </c>
      <c r="C747" t="s">
        <v>1032</v>
      </c>
      <c r="D747" t="s">
        <v>64</v>
      </c>
      <c r="E747" t="s">
        <v>22</v>
      </c>
      <c r="F747" t="s">
        <v>23</v>
      </c>
      <c r="G747">
        <v>1</v>
      </c>
      <c r="H747">
        <v>9791166300103</v>
      </c>
      <c r="I747" t="s">
        <v>24</v>
      </c>
      <c r="J747" t="s">
        <v>120</v>
      </c>
      <c r="K747" t="s">
        <v>119</v>
      </c>
      <c r="L747" t="s">
        <v>27</v>
      </c>
      <c r="M747">
        <v>630</v>
      </c>
      <c r="N747" t="s">
        <v>27</v>
      </c>
      <c r="O747">
        <v>630</v>
      </c>
      <c r="P747">
        <v>630</v>
      </c>
      <c r="Q747" t="s">
        <v>30</v>
      </c>
      <c r="R747" s="2">
        <v>0.7</v>
      </c>
      <c r="S747">
        <v>441</v>
      </c>
      <c r="T747" t="s">
        <v>27</v>
      </c>
      <c r="U747">
        <v>441</v>
      </c>
      <c r="V747" s="7" t="str">
        <f>IF(ISERROR(VLOOKUP(K747,[1]작가별정산률!$R:$S,2,0)),"스토리위즈",VLOOKUP(K747,[1]작가별정산률!$R:$S,2,0))</f>
        <v>스토리위즈</v>
      </c>
      <c r="W747" s="7" t="str">
        <f>IF(V747="스토리위즈",VLOOKUP(K747,[1]작가별정산률!$A:$B,2,0),V747)</f>
        <v>김광수</v>
      </c>
    </row>
    <row r="748" spans="1:23" x14ac:dyDescent="0.4">
      <c r="A748" t="s">
        <v>262</v>
      </c>
      <c r="B748" t="s">
        <v>984</v>
      </c>
      <c r="C748" t="s">
        <v>1033</v>
      </c>
      <c r="D748" t="s">
        <v>21</v>
      </c>
      <c r="E748" t="s">
        <v>22</v>
      </c>
      <c r="F748" t="s">
        <v>23</v>
      </c>
      <c r="G748">
        <v>1</v>
      </c>
      <c r="H748">
        <v>9791189627072</v>
      </c>
      <c r="I748" t="s">
        <v>143</v>
      </c>
      <c r="J748" t="s">
        <v>1034</v>
      </c>
      <c r="K748" t="s">
        <v>1035</v>
      </c>
      <c r="L748" t="s">
        <v>27</v>
      </c>
      <c r="M748" s="3">
        <v>2200</v>
      </c>
      <c r="N748" t="s">
        <v>27</v>
      </c>
      <c r="O748" s="3">
        <v>2200</v>
      </c>
      <c r="P748" s="3">
        <v>2200</v>
      </c>
      <c r="Q748" t="s">
        <v>30</v>
      </c>
      <c r="R748" s="2">
        <v>0.7</v>
      </c>
      <c r="S748" s="3">
        <v>1540</v>
      </c>
      <c r="T748" t="s">
        <v>27</v>
      </c>
      <c r="U748" s="3">
        <v>1540</v>
      </c>
      <c r="V748" s="7" t="str">
        <f>IF(ISERROR(VLOOKUP(K748,[1]작가별정산률!$R:$S,2,0)),"스토리위즈",VLOOKUP(K748,[1]작가별정산률!$R:$S,2,0))</f>
        <v>스토리위즈</v>
      </c>
      <c r="W748" s="7" t="str">
        <f>IF(V748="스토리위즈",VLOOKUP(K748,[1]작가별정산률!$A:$B,2,0),V748)</f>
        <v>모리미</v>
      </c>
    </row>
    <row r="749" spans="1:23" x14ac:dyDescent="0.4">
      <c r="A749" t="s">
        <v>262</v>
      </c>
      <c r="B749" t="s">
        <v>984</v>
      </c>
      <c r="C749" t="s">
        <v>1036</v>
      </c>
      <c r="D749" t="s">
        <v>21</v>
      </c>
      <c r="E749" t="s">
        <v>22</v>
      </c>
      <c r="F749" t="s">
        <v>23</v>
      </c>
      <c r="G749">
        <v>1</v>
      </c>
      <c r="H749">
        <v>9791191562286</v>
      </c>
      <c r="I749" t="s">
        <v>143</v>
      </c>
      <c r="J749" t="s">
        <v>238</v>
      </c>
      <c r="K749" t="s">
        <v>239</v>
      </c>
      <c r="L749" t="s">
        <v>27</v>
      </c>
      <c r="M749" s="3">
        <v>2000</v>
      </c>
      <c r="N749" t="s">
        <v>27</v>
      </c>
      <c r="O749" s="3">
        <v>2000</v>
      </c>
      <c r="P749" s="3">
        <v>2000</v>
      </c>
      <c r="Q749" t="s">
        <v>30</v>
      </c>
      <c r="R749" s="2">
        <v>0.7</v>
      </c>
      <c r="S749" s="3">
        <v>1400</v>
      </c>
      <c r="T749" t="s">
        <v>27</v>
      </c>
      <c r="U749" s="3">
        <v>1400</v>
      </c>
      <c r="V749" s="7" t="str">
        <f>IF(ISERROR(VLOOKUP(K749,[1]작가별정산률!$R:$S,2,0)),"스토리위즈",VLOOKUP(K749,[1]작가별정산률!$R:$S,2,0))</f>
        <v>밀리의 서재</v>
      </c>
      <c r="W749" s="7" t="str">
        <f>IF(V749="스토리위즈",VLOOKUP(K749,[1]작가별정산률!$A:$B,2,0),V749)</f>
        <v>밀리의 서재</v>
      </c>
    </row>
    <row r="750" spans="1:23" x14ac:dyDescent="0.4">
      <c r="A750" t="s">
        <v>262</v>
      </c>
      <c r="B750" t="s">
        <v>984</v>
      </c>
      <c r="C750" t="s">
        <v>1037</v>
      </c>
      <c r="D750" t="s">
        <v>64</v>
      </c>
      <c r="E750" t="s">
        <v>22</v>
      </c>
      <c r="F750" t="s">
        <v>23</v>
      </c>
      <c r="G750">
        <v>1</v>
      </c>
      <c r="H750">
        <v>9791159282973</v>
      </c>
      <c r="I750" t="s">
        <v>24</v>
      </c>
      <c r="J750" t="s">
        <v>183</v>
      </c>
      <c r="K750" t="s">
        <v>26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2">
        <v>0.7</v>
      </c>
      <c r="S750">
        <v>441</v>
      </c>
      <c r="T750" t="s">
        <v>27</v>
      </c>
      <c r="U750">
        <v>441</v>
      </c>
      <c r="V750" s="7" t="str">
        <f>IF(ISERROR(VLOOKUP(K750,[1]작가별정산률!$R:$S,2,0)),"스토리위즈",VLOOKUP(K750,[1]작가별정산률!$R:$S,2,0))</f>
        <v>스토리위즈</v>
      </c>
      <c r="W750" s="7" t="str">
        <f>IF(V750="스토리위즈",VLOOKUP(K750,[1]작가별정산률!$A:$B,2,0),V750)</f>
        <v>독고진</v>
      </c>
    </row>
    <row r="751" spans="1:23" x14ac:dyDescent="0.4">
      <c r="A751" t="s">
        <v>262</v>
      </c>
      <c r="B751" t="s">
        <v>984</v>
      </c>
      <c r="C751" t="s">
        <v>1038</v>
      </c>
      <c r="D751" t="s">
        <v>64</v>
      </c>
      <c r="E751" t="s">
        <v>22</v>
      </c>
      <c r="F751" t="s">
        <v>23</v>
      </c>
      <c r="G751">
        <v>1</v>
      </c>
      <c r="H751">
        <v>9791159283222</v>
      </c>
      <c r="I751" t="s">
        <v>24</v>
      </c>
      <c r="J751" t="s">
        <v>65</v>
      </c>
      <c r="K751" t="s">
        <v>37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  <c r="V751" s="7" t="str">
        <f>IF(ISERROR(VLOOKUP(K751,[1]작가별정산률!$R:$S,2,0)),"스토리위즈",VLOOKUP(K751,[1]작가별정산률!$R:$S,2,0))</f>
        <v>스토리위즈</v>
      </c>
      <c r="W751" s="7" t="str">
        <f>IF(V751="스토리위즈",VLOOKUP(K751,[1]작가별정산률!$A:$B,2,0),V751)</f>
        <v>권용찬</v>
      </c>
    </row>
    <row r="752" spans="1:23" x14ac:dyDescent="0.4">
      <c r="A752" t="s">
        <v>262</v>
      </c>
      <c r="B752" t="s">
        <v>984</v>
      </c>
      <c r="C752" t="s">
        <v>1039</v>
      </c>
      <c r="D752" t="s">
        <v>21</v>
      </c>
      <c r="E752" t="s">
        <v>22</v>
      </c>
      <c r="F752" t="s">
        <v>23</v>
      </c>
      <c r="G752">
        <v>1</v>
      </c>
      <c r="H752">
        <v>9791191562224</v>
      </c>
      <c r="I752" t="s">
        <v>143</v>
      </c>
      <c r="J752" t="s">
        <v>221</v>
      </c>
      <c r="K752" t="s">
        <v>222</v>
      </c>
      <c r="L752" t="s">
        <v>27</v>
      </c>
      <c r="M752" s="3">
        <v>2500</v>
      </c>
      <c r="N752" t="s">
        <v>27</v>
      </c>
      <c r="O752" s="3">
        <v>2500</v>
      </c>
      <c r="P752" s="3">
        <v>2500</v>
      </c>
      <c r="Q752" t="s">
        <v>30</v>
      </c>
      <c r="R752" s="2">
        <v>0.7</v>
      </c>
      <c r="S752" s="3">
        <v>1750</v>
      </c>
      <c r="T752" t="s">
        <v>27</v>
      </c>
      <c r="U752" s="3">
        <v>1750</v>
      </c>
      <c r="V752" s="7" t="str">
        <f>IF(ISERROR(VLOOKUP(K752,[1]작가별정산률!$R:$S,2,0)),"스토리위즈",VLOOKUP(K752,[1]작가별정산률!$R:$S,2,0))</f>
        <v>밀리의 서재</v>
      </c>
      <c r="W752" s="7" t="str">
        <f>IF(V752="스토리위즈",VLOOKUP(K752,[1]작가별정산률!$A:$B,2,0),V752)</f>
        <v>밀리의 서재</v>
      </c>
    </row>
    <row r="753" spans="1:23" x14ac:dyDescent="0.4">
      <c r="A753" t="s">
        <v>262</v>
      </c>
      <c r="B753" t="s">
        <v>984</v>
      </c>
      <c r="C753" t="s">
        <v>1040</v>
      </c>
      <c r="D753" t="s">
        <v>64</v>
      </c>
      <c r="E753" t="s">
        <v>22</v>
      </c>
      <c r="F753" t="s">
        <v>23</v>
      </c>
      <c r="G753">
        <v>1</v>
      </c>
      <c r="H753">
        <v>9791166300271</v>
      </c>
      <c r="I753" t="s">
        <v>24</v>
      </c>
      <c r="J753" t="s">
        <v>136</v>
      </c>
      <c r="K753" t="s">
        <v>119</v>
      </c>
      <c r="L753" t="s">
        <v>27</v>
      </c>
      <c r="M753">
        <v>630</v>
      </c>
      <c r="N753" t="s">
        <v>27</v>
      </c>
      <c r="O753">
        <v>630</v>
      </c>
      <c r="P753">
        <v>630</v>
      </c>
      <c r="Q753" t="s">
        <v>30</v>
      </c>
      <c r="R753" s="2">
        <v>0.7</v>
      </c>
      <c r="S753">
        <v>441</v>
      </c>
      <c r="T753" t="s">
        <v>27</v>
      </c>
      <c r="U753">
        <v>441</v>
      </c>
      <c r="V753" s="7" t="str">
        <f>IF(ISERROR(VLOOKUP(K753,[1]작가별정산률!$R:$S,2,0)),"스토리위즈",VLOOKUP(K753,[1]작가별정산률!$R:$S,2,0))</f>
        <v>스토리위즈</v>
      </c>
      <c r="W753" s="7" t="str">
        <f>IF(V753="스토리위즈",VLOOKUP(K753,[1]작가별정산률!$A:$B,2,0),V753)</f>
        <v>김광수</v>
      </c>
    </row>
    <row r="754" spans="1:23" x14ac:dyDescent="0.4">
      <c r="A754" t="s">
        <v>262</v>
      </c>
      <c r="B754" t="s">
        <v>984</v>
      </c>
      <c r="C754" t="s">
        <v>1041</v>
      </c>
      <c r="D754" t="s">
        <v>64</v>
      </c>
      <c r="E754" t="s">
        <v>22</v>
      </c>
      <c r="F754" t="s">
        <v>23</v>
      </c>
      <c r="G754">
        <v>1</v>
      </c>
      <c r="H754">
        <v>9791166300530</v>
      </c>
      <c r="I754" t="s">
        <v>24</v>
      </c>
      <c r="J754" t="s">
        <v>151</v>
      </c>
      <c r="K754" t="s">
        <v>119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  <c r="V754" s="7" t="str">
        <f>IF(ISERROR(VLOOKUP(K754,[1]작가별정산률!$R:$S,2,0)),"스토리위즈",VLOOKUP(K754,[1]작가별정산률!$R:$S,2,0))</f>
        <v>스토리위즈</v>
      </c>
      <c r="W754" s="7" t="str">
        <f>IF(V754="스토리위즈",VLOOKUP(K754,[1]작가별정산률!$A:$B,2,0),V754)</f>
        <v>김광수</v>
      </c>
    </row>
    <row r="755" spans="1:23" x14ac:dyDescent="0.4">
      <c r="A755" t="s">
        <v>262</v>
      </c>
      <c r="B755" t="s">
        <v>984</v>
      </c>
      <c r="C755" t="s">
        <v>1042</v>
      </c>
      <c r="D755" t="s">
        <v>64</v>
      </c>
      <c r="E755" t="s">
        <v>22</v>
      </c>
      <c r="F755" t="s">
        <v>23</v>
      </c>
      <c r="G755">
        <v>1</v>
      </c>
      <c r="H755">
        <v>9791166300226</v>
      </c>
      <c r="I755" t="s">
        <v>24</v>
      </c>
      <c r="J755" t="s">
        <v>131</v>
      </c>
      <c r="K755" t="s">
        <v>119</v>
      </c>
      <c r="L755" t="s">
        <v>27</v>
      </c>
      <c r="M755">
        <v>630</v>
      </c>
      <c r="N755" t="s">
        <v>27</v>
      </c>
      <c r="O755">
        <v>630</v>
      </c>
      <c r="P755">
        <v>630</v>
      </c>
      <c r="Q755" t="s">
        <v>30</v>
      </c>
      <c r="R755" s="2">
        <v>0.7</v>
      </c>
      <c r="S755">
        <v>441</v>
      </c>
      <c r="T755" t="s">
        <v>27</v>
      </c>
      <c r="U755">
        <v>441</v>
      </c>
      <c r="V755" s="7" t="str">
        <f>IF(ISERROR(VLOOKUP(K755,[1]작가별정산률!$R:$S,2,0)),"스토리위즈",VLOOKUP(K755,[1]작가별정산률!$R:$S,2,0))</f>
        <v>스토리위즈</v>
      </c>
      <c r="W755" s="7" t="str">
        <f>IF(V755="스토리위즈",VLOOKUP(K755,[1]작가별정산률!$A:$B,2,0),V755)</f>
        <v>김광수</v>
      </c>
    </row>
    <row r="756" spans="1:23" x14ac:dyDescent="0.4">
      <c r="A756" t="s">
        <v>262</v>
      </c>
      <c r="B756" t="s">
        <v>984</v>
      </c>
      <c r="C756" t="s">
        <v>1043</v>
      </c>
      <c r="D756" t="s">
        <v>64</v>
      </c>
      <c r="E756" t="s">
        <v>22</v>
      </c>
      <c r="F756" t="s">
        <v>23</v>
      </c>
      <c r="G756">
        <v>1</v>
      </c>
      <c r="H756">
        <v>9791166300547</v>
      </c>
      <c r="I756" t="s">
        <v>24</v>
      </c>
      <c r="J756" t="s">
        <v>153</v>
      </c>
      <c r="K756" t="s">
        <v>119</v>
      </c>
      <c r="L756" t="s">
        <v>27</v>
      </c>
      <c r="M756">
        <v>630</v>
      </c>
      <c r="N756" t="s">
        <v>27</v>
      </c>
      <c r="O756">
        <v>630</v>
      </c>
      <c r="P756">
        <v>630</v>
      </c>
      <c r="Q756" t="s">
        <v>30</v>
      </c>
      <c r="R756" s="2">
        <v>0.7</v>
      </c>
      <c r="S756">
        <v>441</v>
      </c>
      <c r="T756" t="s">
        <v>27</v>
      </c>
      <c r="U756">
        <v>441</v>
      </c>
      <c r="V756" s="7" t="str">
        <f>IF(ISERROR(VLOOKUP(K756,[1]작가별정산률!$R:$S,2,0)),"스토리위즈",VLOOKUP(K756,[1]작가별정산률!$R:$S,2,0))</f>
        <v>스토리위즈</v>
      </c>
      <c r="W756" s="7" t="str">
        <f>IF(V756="스토리위즈",VLOOKUP(K756,[1]작가별정산률!$A:$B,2,0),V756)</f>
        <v>김광수</v>
      </c>
    </row>
    <row r="757" spans="1:23" x14ac:dyDescent="0.4">
      <c r="A757" t="s">
        <v>262</v>
      </c>
      <c r="B757" t="s">
        <v>984</v>
      </c>
      <c r="C757" t="s">
        <v>1044</v>
      </c>
      <c r="D757" t="s">
        <v>64</v>
      </c>
      <c r="E757" t="s">
        <v>22</v>
      </c>
      <c r="F757" t="s">
        <v>23</v>
      </c>
      <c r="G757">
        <v>1</v>
      </c>
      <c r="H757">
        <v>9791159283161</v>
      </c>
      <c r="I757" t="s">
        <v>24</v>
      </c>
      <c r="J757" t="s">
        <v>85</v>
      </c>
      <c r="K757" t="s">
        <v>37</v>
      </c>
      <c r="L757" t="s">
        <v>27</v>
      </c>
      <c r="M757">
        <v>900</v>
      </c>
      <c r="N757" t="s">
        <v>27</v>
      </c>
      <c r="O757">
        <v>900</v>
      </c>
      <c r="P757">
        <v>900</v>
      </c>
      <c r="Q757" t="s">
        <v>30</v>
      </c>
      <c r="R757" s="2">
        <v>0.7</v>
      </c>
      <c r="S757">
        <v>630</v>
      </c>
      <c r="T757" t="s">
        <v>27</v>
      </c>
      <c r="U757">
        <v>630</v>
      </c>
      <c r="V757" s="7" t="str">
        <f>IF(ISERROR(VLOOKUP(K757,[1]작가별정산률!$R:$S,2,0)),"스토리위즈",VLOOKUP(K757,[1]작가별정산률!$R:$S,2,0))</f>
        <v>스토리위즈</v>
      </c>
      <c r="W757" s="7" t="str">
        <f>IF(V757="스토리위즈",VLOOKUP(K757,[1]작가별정산률!$A:$B,2,0),V757)</f>
        <v>권용찬</v>
      </c>
    </row>
    <row r="758" spans="1:23" x14ac:dyDescent="0.4">
      <c r="A758" t="s">
        <v>262</v>
      </c>
      <c r="B758" t="s">
        <v>984</v>
      </c>
      <c r="C758" t="s">
        <v>1045</v>
      </c>
      <c r="D758" t="s">
        <v>64</v>
      </c>
      <c r="E758" t="s">
        <v>22</v>
      </c>
      <c r="F758" t="s">
        <v>23</v>
      </c>
      <c r="G758">
        <v>1</v>
      </c>
      <c r="H758">
        <v>9791166300547</v>
      </c>
      <c r="I758" t="s">
        <v>24</v>
      </c>
      <c r="J758" t="s">
        <v>153</v>
      </c>
      <c r="K758" t="s">
        <v>119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2">
        <v>0.7</v>
      </c>
      <c r="S758">
        <v>441</v>
      </c>
      <c r="T758" t="s">
        <v>27</v>
      </c>
      <c r="U758">
        <v>441</v>
      </c>
      <c r="V758" s="7" t="str">
        <f>IF(ISERROR(VLOOKUP(K758,[1]작가별정산률!$R:$S,2,0)),"스토리위즈",VLOOKUP(K758,[1]작가별정산률!$R:$S,2,0))</f>
        <v>스토리위즈</v>
      </c>
      <c r="W758" s="7" t="str">
        <f>IF(V758="스토리위즈",VLOOKUP(K758,[1]작가별정산률!$A:$B,2,0),V758)</f>
        <v>김광수</v>
      </c>
    </row>
    <row r="759" spans="1:23" x14ac:dyDescent="0.4">
      <c r="A759" t="s">
        <v>262</v>
      </c>
      <c r="B759" t="s">
        <v>984</v>
      </c>
      <c r="C759" t="s">
        <v>1046</v>
      </c>
      <c r="D759" t="s">
        <v>64</v>
      </c>
      <c r="E759" t="s">
        <v>22</v>
      </c>
      <c r="F759" t="s">
        <v>23</v>
      </c>
      <c r="G759">
        <v>1</v>
      </c>
      <c r="H759">
        <v>9791166300103</v>
      </c>
      <c r="I759" t="s">
        <v>24</v>
      </c>
      <c r="J759" t="s">
        <v>120</v>
      </c>
      <c r="K759" t="s">
        <v>119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  <c r="V759" s="7" t="str">
        <f>IF(ISERROR(VLOOKUP(K759,[1]작가별정산률!$R:$S,2,0)),"스토리위즈",VLOOKUP(K759,[1]작가별정산률!$R:$S,2,0))</f>
        <v>스토리위즈</v>
      </c>
      <c r="W759" s="7" t="str">
        <f>IF(V759="스토리위즈",VLOOKUP(K759,[1]작가별정산률!$A:$B,2,0),V759)</f>
        <v>김광수</v>
      </c>
    </row>
    <row r="760" spans="1:23" x14ac:dyDescent="0.4">
      <c r="A760" t="s">
        <v>262</v>
      </c>
      <c r="B760" t="s">
        <v>984</v>
      </c>
      <c r="C760" t="s">
        <v>1047</v>
      </c>
      <c r="D760" t="s">
        <v>64</v>
      </c>
      <c r="E760" t="s">
        <v>22</v>
      </c>
      <c r="F760" t="s">
        <v>23</v>
      </c>
      <c r="G760">
        <v>1</v>
      </c>
      <c r="H760">
        <v>9791166300653</v>
      </c>
      <c r="I760" t="s">
        <v>24</v>
      </c>
      <c r="J760" t="s">
        <v>157</v>
      </c>
      <c r="K760" t="s">
        <v>119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  <c r="V760" s="7" t="str">
        <f>IF(ISERROR(VLOOKUP(K760,[1]작가별정산률!$R:$S,2,0)),"스토리위즈",VLOOKUP(K760,[1]작가별정산률!$R:$S,2,0))</f>
        <v>스토리위즈</v>
      </c>
      <c r="W760" s="7" t="str">
        <f>IF(V760="스토리위즈",VLOOKUP(K760,[1]작가별정산률!$A:$B,2,0),V760)</f>
        <v>김광수</v>
      </c>
    </row>
    <row r="761" spans="1:23" x14ac:dyDescent="0.4">
      <c r="A761" t="s">
        <v>262</v>
      </c>
      <c r="B761" t="s">
        <v>984</v>
      </c>
      <c r="C761" t="s">
        <v>1048</v>
      </c>
      <c r="D761" t="s">
        <v>21</v>
      </c>
      <c r="E761" t="s">
        <v>22</v>
      </c>
      <c r="F761" t="s">
        <v>23</v>
      </c>
      <c r="G761">
        <v>1</v>
      </c>
      <c r="H761">
        <v>9791191562408</v>
      </c>
      <c r="I761" t="s">
        <v>143</v>
      </c>
      <c r="J761" t="s">
        <v>698</v>
      </c>
      <c r="K761" t="s">
        <v>215</v>
      </c>
      <c r="L761" t="s">
        <v>27</v>
      </c>
      <c r="M761" s="3">
        <v>2000</v>
      </c>
      <c r="N761" t="s">
        <v>27</v>
      </c>
      <c r="O761" s="3">
        <v>2000</v>
      </c>
      <c r="P761" s="3">
        <v>2000</v>
      </c>
      <c r="Q761" t="s">
        <v>30</v>
      </c>
      <c r="R761" s="2">
        <v>0.7</v>
      </c>
      <c r="S761" s="3">
        <v>1400</v>
      </c>
      <c r="T761" t="s">
        <v>27</v>
      </c>
      <c r="U761" s="3">
        <v>1400</v>
      </c>
      <c r="V761" s="7" t="str">
        <f>IF(ISERROR(VLOOKUP(K761,[1]작가별정산률!$R:$S,2,0)),"스토리위즈",VLOOKUP(K761,[1]작가별정산률!$R:$S,2,0))</f>
        <v>밀리의 서재</v>
      </c>
      <c r="W761" s="7" t="str">
        <f>IF(V761="스토리위즈",VLOOKUP(K761,[1]작가별정산률!$A:$B,2,0),V761)</f>
        <v>밀리의 서재</v>
      </c>
    </row>
    <row r="762" spans="1:23" x14ac:dyDescent="0.4">
      <c r="A762" t="s">
        <v>262</v>
      </c>
      <c r="B762" t="s">
        <v>984</v>
      </c>
      <c r="C762" t="s">
        <v>1049</v>
      </c>
      <c r="D762" t="s">
        <v>64</v>
      </c>
      <c r="E762" t="s">
        <v>22</v>
      </c>
      <c r="F762" t="s">
        <v>23</v>
      </c>
      <c r="G762">
        <v>1</v>
      </c>
      <c r="H762">
        <v>9791166300615</v>
      </c>
      <c r="I762" t="s">
        <v>24</v>
      </c>
      <c r="J762" t="s">
        <v>163</v>
      </c>
      <c r="K762" t="s">
        <v>119</v>
      </c>
      <c r="L762" t="s">
        <v>27</v>
      </c>
      <c r="M762">
        <v>630</v>
      </c>
      <c r="N762" t="s">
        <v>27</v>
      </c>
      <c r="O762">
        <v>630</v>
      </c>
      <c r="P762">
        <v>630</v>
      </c>
      <c r="Q762" t="s">
        <v>30</v>
      </c>
      <c r="R762" s="2">
        <v>0.7</v>
      </c>
      <c r="S762">
        <v>441</v>
      </c>
      <c r="T762" t="s">
        <v>27</v>
      </c>
      <c r="U762">
        <v>441</v>
      </c>
      <c r="V762" s="7" t="str">
        <f>IF(ISERROR(VLOOKUP(K762,[1]작가별정산률!$R:$S,2,0)),"스토리위즈",VLOOKUP(K762,[1]작가별정산률!$R:$S,2,0))</f>
        <v>스토리위즈</v>
      </c>
      <c r="W762" s="7" t="str">
        <f>IF(V762="스토리위즈",VLOOKUP(K762,[1]작가별정산률!$A:$B,2,0),V762)</f>
        <v>김광수</v>
      </c>
    </row>
    <row r="763" spans="1:23" x14ac:dyDescent="0.4">
      <c r="A763" t="s">
        <v>262</v>
      </c>
      <c r="B763" t="s">
        <v>984</v>
      </c>
      <c r="C763" t="s">
        <v>1050</v>
      </c>
      <c r="D763" t="s">
        <v>64</v>
      </c>
      <c r="E763" t="s">
        <v>22</v>
      </c>
      <c r="F763" t="s">
        <v>23</v>
      </c>
      <c r="G763">
        <v>1</v>
      </c>
      <c r="H763">
        <v>9791166300691</v>
      </c>
      <c r="I763" t="s">
        <v>24</v>
      </c>
      <c r="J763" t="s">
        <v>152</v>
      </c>
      <c r="K763" t="s">
        <v>119</v>
      </c>
      <c r="L763" t="s">
        <v>27</v>
      </c>
      <c r="M763">
        <v>630</v>
      </c>
      <c r="N763" t="s">
        <v>27</v>
      </c>
      <c r="O763">
        <v>630</v>
      </c>
      <c r="P763">
        <v>630</v>
      </c>
      <c r="Q763" t="s">
        <v>30</v>
      </c>
      <c r="R763" s="2">
        <v>0.7</v>
      </c>
      <c r="S763">
        <v>441</v>
      </c>
      <c r="T763" t="s">
        <v>27</v>
      </c>
      <c r="U763">
        <v>441</v>
      </c>
      <c r="V763" s="7" t="str">
        <f>IF(ISERROR(VLOOKUP(K763,[1]작가별정산률!$R:$S,2,0)),"스토리위즈",VLOOKUP(K763,[1]작가별정산률!$R:$S,2,0))</f>
        <v>스토리위즈</v>
      </c>
      <c r="W763" s="7" t="str">
        <f>IF(V763="스토리위즈",VLOOKUP(K763,[1]작가별정산률!$A:$B,2,0),V763)</f>
        <v>김광수</v>
      </c>
    </row>
    <row r="764" spans="1:23" x14ac:dyDescent="0.4">
      <c r="A764" t="s">
        <v>262</v>
      </c>
      <c r="B764" t="s">
        <v>984</v>
      </c>
      <c r="C764" t="s">
        <v>1051</v>
      </c>
      <c r="D764" t="s">
        <v>64</v>
      </c>
      <c r="E764" t="s">
        <v>22</v>
      </c>
      <c r="F764" t="s">
        <v>23</v>
      </c>
      <c r="G764">
        <v>1</v>
      </c>
      <c r="H764">
        <v>9791166300295</v>
      </c>
      <c r="I764" t="s">
        <v>24</v>
      </c>
      <c r="J764" t="s">
        <v>138</v>
      </c>
      <c r="K764" t="s">
        <v>119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  <c r="V764" s="7" t="str">
        <f>IF(ISERROR(VLOOKUP(K764,[1]작가별정산률!$R:$S,2,0)),"스토리위즈",VLOOKUP(K764,[1]작가별정산률!$R:$S,2,0))</f>
        <v>스토리위즈</v>
      </c>
      <c r="W764" s="7" t="str">
        <f>IF(V764="스토리위즈",VLOOKUP(K764,[1]작가별정산률!$A:$B,2,0),V764)</f>
        <v>김광수</v>
      </c>
    </row>
    <row r="765" spans="1:23" x14ac:dyDescent="0.4">
      <c r="A765" t="s">
        <v>262</v>
      </c>
      <c r="B765" t="s">
        <v>984</v>
      </c>
      <c r="C765" t="s">
        <v>1052</v>
      </c>
      <c r="D765" t="s">
        <v>21</v>
      </c>
      <c r="E765" t="s">
        <v>22</v>
      </c>
      <c r="F765" t="s">
        <v>23</v>
      </c>
      <c r="G765">
        <v>1</v>
      </c>
      <c r="H765">
        <v>9791191562330</v>
      </c>
      <c r="I765" t="s">
        <v>143</v>
      </c>
      <c r="J765" t="s">
        <v>1053</v>
      </c>
      <c r="K765" t="s">
        <v>1054</v>
      </c>
      <c r="L765" t="s">
        <v>27</v>
      </c>
      <c r="M765" s="3">
        <v>3500</v>
      </c>
      <c r="N765" t="s">
        <v>191</v>
      </c>
      <c r="O765">
        <v>4.21</v>
      </c>
      <c r="P765">
        <v>3.83</v>
      </c>
      <c r="Q765" t="s">
        <v>190</v>
      </c>
      <c r="R765" s="2">
        <v>0.7</v>
      </c>
      <c r="S765">
        <v>2.68</v>
      </c>
      <c r="T765" t="s">
        <v>27</v>
      </c>
      <c r="U765" s="3">
        <v>2378</v>
      </c>
      <c r="V765" s="7" t="str">
        <f>IF(ISERROR(VLOOKUP(K765,[1]작가별정산률!$R:$S,2,0)),"스토리위즈",VLOOKUP(K765,[1]작가별정산률!$R:$S,2,0))</f>
        <v>밀리의 서재</v>
      </c>
      <c r="W765" s="7" t="str">
        <f>IF(V765="스토리위즈",VLOOKUP(K765,[1]작가별정산률!$A:$B,2,0),V765)</f>
        <v>밀리의 서재</v>
      </c>
    </row>
    <row r="766" spans="1:23" x14ac:dyDescent="0.4">
      <c r="A766" t="s">
        <v>262</v>
      </c>
      <c r="B766" t="s">
        <v>984</v>
      </c>
      <c r="C766" t="s">
        <v>1055</v>
      </c>
      <c r="D766" t="s">
        <v>64</v>
      </c>
      <c r="E766" t="s">
        <v>22</v>
      </c>
      <c r="F766" t="s">
        <v>23</v>
      </c>
      <c r="G766">
        <v>1</v>
      </c>
      <c r="H766">
        <v>9791166300288</v>
      </c>
      <c r="I766" t="s">
        <v>24</v>
      </c>
      <c r="J766" t="s">
        <v>137</v>
      </c>
      <c r="K766" t="s">
        <v>119</v>
      </c>
      <c r="L766" t="s">
        <v>27</v>
      </c>
      <c r="M766">
        <v>630</v>
      </c>
      <c r="N766" t="s">
        <v>27</v>
      </c>
      <c r="O766">
        <v>630</v>
      </c>
      <c r="P766">
        <v>630</v>
      </c>
      <c r="Q766" t="s">
        <v>30</v>
      </c>
      <c r="R766" s="2">
        <v>0.7</v>
      </c>
      <c r="S766">
        <v>441</v>
      </c>
      <c r="T766" t="s">
        <v>27</v>
      </c>
      <c r="U766">
        <v>441</v>
      </c>
      <c r="V766" s="7" t="str">
        <f>IF(ISERROR(VLOOKUP(K766,[1]작가별정산률!$R:$S,2,0)),"스토리위즈",VLOOKUP(K766,[1]작가별정산률!$R:$S,2,0))</f>
        <v>스토리위즈</v>
      </c>
      <c r="W766" s="7" t="str">
        <f>IF(V766="스토리위즈",VLOOKUP(K766,[1]작가별정산률!$A:$B,2,0),V766)</f>
        <v>김광수</v>
      </c>
    </row>
    <row r="767" spans="1:23" x14ac:dyDescent="0.4">
      <c r="A767" t="s">
        <v>262</v>
      </c>
      <c r="B767" t="s">
        <v>984</v>
      </c>
      <c r="C767" t="s">
        <v>1056</v>
      </c>
      <c r="D767" t="s">
        <v>64</v>
      </c>
      <c r="E767" t="s">
        <v>22</v>
      </c>
      <c r="F767" t="s">
        <v>23</v>
      </c>
      <c r="G767">
        <v>1</v>
      </c>
      <c r="H767">
        <v>9791166300554</v>
      </c>
      <c r="I767" t="s">
        <v>24</v>
      </c>
      <c r="J767" t="s">
        <v>154</v>
      </c>
      <c r="K767" t="s">
        <v>119</v>
      </c>
      <c r="L767" t="s">
        <v>27</v>
      </c>
      <c r="M767">
        <v>630</v>
      </c>
      <c r="N767" t="s">
        <v>27</v>
      </c>
      <c r="O767">
        <v>630</v>
      </c>
      <c r="P767">
        <v>630</v>
      </c>
      <c r="Q767" t="s">
        <v>30</v>
      </c>
      <c r="R767" s="2">
        <v>0.7</v>
      </c>
      <c r="S767">
        <v>441</v>
      </c>
      <c r="T767" t="s">
        <v>27</v>
      </c>
      <c r="U767">
        <v>441</v>
      </c>
      <c r="V767" s="7" t="str">
        <f>IF(ISERROR(VLOOKUP(K767,[1]작가별정산률!$R:$S,2,0)),"스토리위즈",VLOOKUP(K767,[1]작가별정산률!$R:$S,2,0))</f>
        <v>스토리위즈</v>
      </c>
      <c r="W767" s="7" t="str">
        <f>IF(V767="스토리위즈",VLOOKUP(K767,[1]작가별정산률!$A:$B,2,0),V767)</f>
        <v>김광수</v>
      </c>
    </row>
    <row r="768" spans="1:23" x14ac:dyDescent="0.4">
      <c r="A768" t="s">
        <v>262</v>
      </c>
      <c r="B768" t="s">
        <v>984</v>
      </c>
      <c r="C768" t="s">
        <v>1057</v>
      </c>
      <c r="D768" t="s">
        <v>64</v>
      </c>
      <c r="E768" t="s">
        <v>22</v>
      </c>
      <c r="F768" t="s">
        <v>23</v>
      </c>
      <c r="G768">
        <v>1</v>
      </c>
      <c r="H768">
        <v>9791166300103</v>
      </c>
      <c r="I768" t="s">
        <v>24</v>
      </c>
      <c r="J768" t="s">
        <v>120</v>
      </c>
      <c r="K768" t="s">
        <v>119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2">
        <v>0.7</v>
      </c>
      <c r="S768">
        <v>441</v>
      </c>
      <c r="T768" t="s">
        <v>27</v>
      </c>
      <c r="U768">
        <v>441</v>
      </c>
      <c r="V768" s="7" t="str">
        <f>IF(ISERROR(VLOOKUP(K768,[1]작가별정산률!$R:$S,2,0)),"스토리위즈",VLOOKUP(K768,[1]작가별정산률!$R:$S,2,0))</f>
        <v>스토리위즈</v>
      </c>
      <c r="W768" s="7" t="str">
        <f>IF(V768="스토리위즈",VLOOKUP(K768,[1]작가별정산률!$A:$B,2,0),V768)</f>
        <v>김광수</v>
      </c>
    </row>
    <row r="769" spans="1:23" x14ac:dyDescent="0.4">
      <c r="A769" t="s">
        <v>262</v>
      </c>
      <c r="B769" t="s">
        <v>1058</v>
      </c>
      <c r="C769" t="s">
        <v>1059</v>
      </c>
      <c r="D769" t="s">
        <v>64</v>
      </c>
      <c r="E769" t="s">
        <v>22</v>
      </c>
      <c r="F769" t="s">
        <v>23</v>
      </c>
      <c r="G769">
        <v>1</v>
      </c>
      <c r="H769">
        <v>9791190937320</v>
      </c>
      <c r="I769" t="s">
        <v>24</v>
      </c>
      <c r="J769" t="s">
        <v>252</v>
      </c>
      <c r="K769" t="s">
        <v>106</v>
      </c>
      <c r="L769" t="s">
        <v>27</v>
      </c>
      <c r="M769">
        <v>630</v>
      </c>
      <c r="N769" t="s">
        <v>27</v>
      </c>
      <c r="O769">
        <v>630</v>
      </c>
      <c r="P769">
        <v>630</v>
      </c>
      <c r="Q769" t="s">
        <v>30</v>
      </c>
      <c r="R769" s="2">
        <v>0.7</v>
      </c>
      <c r="S769">
        <v>441</v>
      </c>
      <c r="T769" t="s">
        <v>27</v>
      </c>
      <c r="U769">
        <v>441</v>
      </c>
      <c r="V769" s="7" t="str">
        <f>IF(ISERROR(VLOOKUP(K769,[1]작가별정산률!$R:$S,2,0)),"스토리위즈",VLOOKUP(K769,[1]작가별정산률!$R:$S,2,0))</f>
        <v>스토리위즈</v>
      </c>
      <c r="W769" s="7" t="str">
        <f>IF(V769="스토리위즈",VLOOKUP(K769,[1]작가별정산률!$A:$B,2,0),V769)</f>
        <v>진문</v>
      </c>
    </row>
    <row r="770" spans="1:23" x14ac:dyDescent="0.4">
      <c r="A770" t="s">
        <v>262</v>
      </c>
      <c r="B770" t="s">
        <v>1058</v>
      </c>
      <c r="C770" t="s">
        <v>1060</v>
      </c>
      <c r="D770" t="s">
        <v>64</v>
      </c>
      <c r="E770" t="s">
        <v>22</v>
      </c>
      <c r="F770" t="s">
        <v>23</v>
      </c>
      <c r="G770">
        <v>1</v>
      </c>
      <c r="H770">
        <v>9791166300301</v>
      </c>
      <c r="I770" t="s">
        <v>24</v>
      </c>
      <c r="J770" t="s">
        <v>139</v>
      </c>
      <c r="K770" t="s">
        <v>119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2">
        <v>0.7</v>
      </c>
      <c r="S770">
        <v>441</v>
      </c>
      <c r="T770" t="s">
        <v>27</v>
      </c>
      <c r="U770">
        <v>441</v>
      </c>
      <c r="V770" s="7" t="str">
        <f>IF(ISERROR(VLOOKUP(K770,[1]작가별정산률!$R:$S,2,0)),"스토리위즈",VLOOKUP(K770,[1]작가별정산률!$R:$S,2,0))</f>
        <v>스토리위즈</v>
      </c>
      <c r="W770" s="7" t="str">
        <f>IF(V770="스토리위즈",VLOOKUP(K770,[1]작가별정산률!$A:$B,2,0),V770)</f>
        <v>김광수</v>
      </c>
    </row>
    <row r="771" spans="1:23" x14ac:dyDescent="0.4">
      <c r="A771" t="s">
        <v>262</v>
      </c>
      <c r="B771" t="s">
        <v>1058</v>
      </c>
      <c r="C771" t="s">
        <v>1061</v>
      </c>
      <c r="D771" t="s">
        <v>21</v>
      </c>
      <c r="E771" t="s">
        <v>22</v>
      </c>
      <c r="F771" t="s">
        <v>23</v>
      </c>
      <c r="G771">
        <v>1</v>
      </c>
      <c r="H771">
        <v>9791191562408</v>
      </c>
      <c r="I771" t="s">
        <v>143</v>
      </c>
      <c r="J771" t="s">
        <v>698</v>
      </c>
      <c r="K771" t="s">
        <v>215</v>
      </c>
      <c r="L771" t="s">
        <v>27</v>
      </c>
      <c r="M771" s="3">
        <v>2000</v>
      </c>
      <c r="N771" t="s">
        <v>27</v>
      </c>
      <c r="O771" s="3">
        <v>2000</v>
      </c>
      <c r="P771" s="3">
        <v>2000</v>
      </c>
      <c r="Q771" t="s">
        <v>30</v>
      </c>
      <c r="R771" s="2">
        <v>0.7</v>
      </c>
      <c r="S771" s="3">
        <v>1400</v>
      </c>
      <c r="T771" t="s">
        <v>27</v>
      </c>
      <c r="U771" s="3">
        <v>1400</v>
      </c>
      <c r="V771" s="7" t="str">
        <f>IF(ISERROR(VLOOKUP(K771,[1]작가별정산률!$R:$S,2,0)),"스토리위즈",VLOOKUP(K771,[1]작가별정산률!$R:$S,2,0))</f>
        <v>밀리의 서재</v>
      </c>
      <c r="W771" s="7" t="str">
        <f>IF(V771="스토리위즈",VLOOKUP(K771,[1]작가별정산률!$A:$B,2,0),V771)</f>
        <v>밀리의 서재</v>
      </c>
    </row>
    <row r="772" spans="1:23" x14ac:dyDescent="0.4">
      <c r="A772" t="s">
        <v>262</v>
      </c>
      <c r="B772" t="s">
        <v>1058</v>
      </c>
      <c r="C772" t="s">
        <v>1062</v>
      </c>
      <c r="D772" t="s">
        <v>64</v>
      </c>
      <c r="E772" t="s">
        <v>22</v>
      </c>
      <c r="F772" t="s">
        <v>23</v>
      </c>
      <c r="G772">
        <v>1</v>
      </c>
      <c r="H772">
        <v>9791166300134</v>
      </c>
      <c r="I772" t="s">
        <v>24</v>
      </c>
      <c r="J772" t="s">
        <v>123</v>
      </c>
      <c r="K772" t="s">
        <v>119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  <c r="V772" s="7" t="str">
        <f>IF(ISERROR(VLOOKUP(K772,[1]작가별정산률!$R:$S,2,0)),"스토리위즈",VLOOKUP(K772,[1]작가별정산률!$R:$S,2,0))</f>
        <v>스토리위즈</v>
      </c>
      <c r="W772" s="7" t="str">
        <f>IF(V772="스토리위즈",VLOOKUP(K772,[1]작가별정산률!$A:$B,2,0),V772)</f>
        <v>김광수</v>
      </c>
    </row>
    <row r="773" spans="1:23" x14ac:dyDescent="0.4">
      <c r="A773" t="s">
        <v>262</v>
      </c>
      <c r="B773" t="s">
        <v>1058</v>
      </c>
      <c r="C773" t="s">
        <v>1063</v>
      </c>
      <c r="D773" t="s">
        <v>64</v>
      </c>
      <c r="E773" t="s">
        <v>22</v>
      </c>
      <c r="F773" t="s">
        <v>23</v>
      </c>
      <c r="G773">
        <v>1</v>
      </c>
      <c r="H773">
        <v>9791166300561</v>
      </c>
      <c r="I773" t="s">
        <v>24</v>
      </c>
      <c r="J773" t="s">
        <v>158</v>
      </c>
      <c r="K773" t="s">
        <v>119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  <c r="V773" s="7" t="str">
        <f>IF(ISERROR(VLOOKUP(K773,[1]작가별정산률!$R:$S,2,0)),"스토리위즈",VLOOKUP(K773,[1]작가별정산률!$R:$S,2,0))</f>
        <v>스토리위즈</v>
      </c>
      <c r="W773" s="7" t="str">
        <f>IF(V773="스토리위즈",VLOOKUP(K773,[1]작가별정산률!$A:$B,2,0),V773)</f>
        <v>김광수</v>
      </c>
    </row>
    <row r="774" spans="1:23" x14ac:dyDescent="0.4">
      <c r="A774" t="s">
        <v>262</v>
      </c>
      <c r="B774" t="s">
        <v>1058</v>
      </c>
      <c r="C774" t="s">
        <v>1064</v>
      </c>
      <c r="D774" t="s">
        <v>64</v>
      </c>
      <c r="E774" t="s">
        <v>22</v>
      </c>
      <c r="F774" t="s">
        <v>23</v>
      </c>
      <c r="G774">
        <v>1</v>
      </c>
      <c r="H774">
        <v>9791159283086</v>
      </c>
      <c r="I774" t="s">
        <v>24</v>
      </c>
      <c r="J774" t="s">
        <v>72</v>
      </c>
      <c r="K774" t="s">
        <v>37</v>
      </c>
      <c r="L774" t="s">
        <v>27</v>
      </c>
      <c r="M774">
        <v>900</v>
      </c>
      <c r="N774" t="s">
        <v>27</v>
      </c>
      <c r="O774">
        <v>900</v>
      </c>
      <c r="P774">
        <v>900</v>
      </c>
      <c r="Q774" t="s">
        <v>30</v>
      </c>
      <c r="R774" s="2">
        <v>0.7</v>
      </c>
      <c r="S774">
        <v>630</v>
      </c>
      <c r="T774" t="s">
        <v>27</v>
      </c>
      <c r="U774">
        <v>630</v>
      </c>
      <c r="V774" s="7" t="str">
        <f>IF(ISERROR(VLOOKUP(K774,[1]작가별정산률!$R:$S,2,0)),"스토리위즈",VLOOKUP(K774,[1]작가별정산률!$R:$S,2,0))</f>
        <v>스토리위즈</v>
      </c>
      <c r="W774" s="7" t="str">
        <f>IF(V774="스토리위즈",VLOOKUP(K774,[1]작가별정산률!$A:$B,2,0),V774)</f>
        <v>권용찬</v>
      </c>
    </row>
    <row r="775" spans="1:23" x14ac:dyDescent="0.4">
      <c r="A775" t="s">
        <v>262</v>
      </c>
      <c r="B775" t="s">
        <v>1058</v>
      </c>
      <c r="C775" t="s">
        <v>1065</v>
      </c>
      <c r="D775" t="s">
        <v>21</v>
      </c>
      <c r="E775" t="s">
        <v>22</v>
      </c>
      <c r="F775" t="s">
        <v>23</v>
      </c>
      <c r="G775">
        <v>1</v>
      </c>
      <c r="H775">
        <v>9791189627089</v>
      </c>
      <c r="I775" t="s">
        <v>143</v>
      </c>
      <c r="J775" t="s">
        <v>1066</v>
      </c>
      <c r="K775" t="s">
        <v>1035</v>
      </c>
      <c r="L775" t="s">
        <v>27</v>
      </c>
      <c r="M775" s="3">
        <v>2200</v>
      </c>
      <c r="N775" t="s">
        <v>27</v>
      </c>
      <c r="O775" s="3">
        <v>2200</v>
      </c>
      <c r="P775" s="3">
        <v>2200</v>
      </c>
      <c r="Q775" t="s">
        <v>30</v>
      </c>
      <c r="R775" s="2">
        <v>0.7</v>
      </c>
      <c r="S775" s="3">
        <v>1540</v>
      </c>
      <c r="T775" t="s">
        <v>27</v>
      </c>
      <c r="U775" s="3">
        <v>1540</v>
      </c>
      <c r="V775" s="7" t="str">
        <f>IF(ISERROR(VLOOKUP(K775,[1]작가별정산률!$R:$S,2,0)),"스토리위즈",VLOOKUP(K775,[1]작가별정산률!$R:$S,2,0))</f>
        <v>스토리위즈</v>
      </c>
      <c r="W775" s="7" t="str">
        <f>IF(V775="스토리위즈",VLOOKUP(K775,[1]작가별정산률!$A:$B,2,0),V775)</f>
        <v>모리미</v>
      </c>
    </row>
    <row r="776" spans="1:23" x14ac:dyDescent="0.4">
      <c r="A776" t="s">
        <v>262</v>
      </c>
      <c r="B776" t="s">
        <v>1058</v>
      </c>
      <c r="C776" t="s">
        <v>1067</v>
      </c>
      <c r="D776" t="s">
        <v>64</v>
      </c>
      <c r="E776" t="s">
        <v>22</v>
      </c>
      <c r="F776" t="s">
        <v>23</v>
      </c>
      <c r="G776">
        <v>1</v>
      </c>
      <c r="H776">
        <v>9791166300523</v>
      </c>
      <c r="I776" t="s">
        <v>24</v>
      </c>
      <c r="J776" t="s">
        <v>150</v>
      </c>
      <c r="K776" t="s">
        <v>119</v>
      </c>
      <c r="L776" t="s">
        <v>27</v>
      </c>
      <c r="M776">
        <v>630</v>
      </c>
      <c r="N776" t="s">
        <v>27</v>
      </c>
      <c r="O776">
        <v>630</v>
      </c>
      <c r="P776">
        <v>630</v>
      </c>
      <c r="Q776" t="s">
        <v>30</v>
      </c>
      <c r="R776" s="2">
        <v>0.7</v>
      </c>
      <c r="S776">
        <v>441</v>
      </c>
      <c r="T776" t="s">
        <v>27</v>
      </c>
      <c r="U776">
        <v>441</v>
      </c>
      <c r="V776" s="7" t="str">
        <f>IF(ISERROR(VLOOKUP(K776,[1]작가별정산률!$R:$S,2,0)),"스토리위즈",VLOOKUP(K776,[1]작가별정산률!$R:$S,2,0))</f>
        <v>스토리위즈</v>
      </c>
      <c r="W776" s="7" t="str">
        <f>IF(V776="스토리위즈",VLOOKUP(K776,[1]작가별정산률!$A:$B,2,0),V776)</f>
        <v>김광수</v>
      </c>
    </row>
    <row r="777" spans="1:23" x14ac:dyDescent="0.4">
      <c r="A777" t="s">
        <v>262</v>
      </c>
      <c r="B777" t="s">
        <v>1058</v>
      </c>
      <c r="C777" t="s">
        <v>1068</v>
      </c>
      <c r="D777" t="s">
        <v>64</v>
      </c>
      <c r="E777" t="s">
        <v>22</v>
      </c>
      <c r="F777" t="s">
        <v>23</v>
      </c>
      <c r="G777">
        <v>1</v>
      </c>
      <c r="H777">
        <v>9791159282256</v>
      </c>
      <c r="I777" t="s">
        <v>24</v>
      </c>
      <c r="J777" t="s">
        <v>117</v>
      </c>
      <c r="K777" t="s">
        <v>37</v>
      </c>
      <c r="L777" t="s">
        <v>27</v>
      </c>
      <c r="M777">
        <v>900</v>
      </c>
      <c r="N777" t="s">
        <v>27</v>
      </c>
      <c r="O777">
        <v>900</v>
      </c>
      <c r="P777">
        <v>900</v>
      </c>
      <c r="Q777" t="s">
        <v>30</v>
      </c>
      <c r="R777" s="2">
        <v>0.7</v>
      </c>
      <c r="S777">
        <v>630</v>
      </c>
      <c r="T777" t="s">
        <v>27</v>
      </c>
      <c r="U777">
        <v>630</v>
      </c>
      <c r="V777" s="7" t="str">
        <f>IF(ISERROR(VLOOKUP(K777,[1]작가별정산률!$R:$S,2,0)),"스토리위즈",VLOOKUP(K777,[1]작가별정산률!$R:$S,2,0))</f>
        <v>스토리위즈</v>
      </c>
      <c r="W777" s="7" t="str">
        <f>IF(V777="스토리위즈",VLOOKUP(K777,[1]작가별정산률!$A:$B,2,0),V777)</f>
        <v>권용찬</v>
      </c>
    </row>
    <row r="778" spans="1:23" x14ac:dyDescent="0.4">
      <c r="A778" t="s">
        <v>262</v>
      </c>
      <c r="B778" t="s">
        <v>1058</v>
      </c>
      <c r="C778" t="s">
        <v>1069</v>
      </c>
      <c r="D778" t="s">
        <v>64</v>
      </c>
      <c r="E778" t="s">
        <v>22</v>
      </c>
      <c r="F778" t="s">
        <v>23</v>
      </c>
      <c r="G778">
        <v>1</v>
      </c>
      <c r="H778">
        <v>9791166300110</v>
      </c>
      <c r="I778" t="s">
        <v>24</v>
      </c>
      <c r="J778" t="s">
        <v>121</v>
      </c>
      <c r="K778" t="s">
        <v>119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  <c r="V778" s="7" t="str">
        <f>IF(ISERROR(VLOOKUP(K778,[1]작가별정산률!$R:$S,2,0)),"스토리위즈",VLOOKUP(K778,[1]작가별정산률!$R:$S,2,0))</f>
        <v>스토리위즈</v>
      </c>
      <c r="W778" s="7" t="str">
        <f>IF(V778="스토리위즈",VLOOKUP(K778,[1]작가별정산률!$A:$B,2,0),V778)</f>
        <v>김광수</v>
      </c>
    </row>
    <row r="779" spans="1:23" x14ac:dyDescent="0.4">
      <c r="A779" t="s">
        <v>262</v>
      </c>
      <c r="B779" t="s">
        <v>1058</v>
      </c>
      <c r="C779" t="s">
        <v>1070</v>
      </c>
      <c r="D779" t="s">
        <v>64</v>
      </c>
      <c r="E779" t="s">
        <v>22</v>
      </c>
      <c r="F779" t="s">
        <v>23</v>
      </c>
      <c r="G779">
        <v>1</v>
      </c>
      <c r="H779">
        <v>9791166300516</v>
      </c>
      <c r="I779" t="s">
        <v>24</v>
      </c>
      <c r="J779" t="s">
        <v>149</v>
      </c>
      <c r="K779" t="s">
        <v>119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  <c r="V779" s="7" t="str">
        <f>IF(ISERROR(VLOOKUP(K779,[1]작가별정산률!$R:$S,2,0)),"스토리위즈",VLOOKUP(K779,[1]작가별정산률!$R:$S,2,0))</f>
        <v>스토리위즈</v>
      </c>
      <c r="W779" s="7" t="str">
        <f>IF(V779="스토리위즈",VLOOKUP(K779,[1]작가별정산률!$A:$B,2,0),V779)</f>
        <v>김광수</v>
      </c>
    </row>
    <row r="780" spans="1:23" x14ac:dyDescent="0.4">
      <c r="A780" t="s">
        <v>262</v>
      </c>
      <c r="B780" t="s">
        <v>1058</v>
      </c>
      <c r="C780" t="s">
        <v>1071</v>
      </c>
      <c r="D780" t="s">
        <v>64</v>
      </c>
      <c r="E780" t="s">
        <v>22</v>
      </c>
      <c r="F780" t="s">
        <v>23</v>
      </c>
      <c r="G780">
        <v>1</v>
      </c>
      <c r="H780">
        <v>9791166300158</v>
      </c>
      <c r="I780" t="s">
        <v>24</v>
      </c>
      <c r="J780" t="s">
        <v>125</v>
      </c>
      <c r="K780" t="s">
        <v>119</v>
      </c>
      <c r="L780" t="s">
        <v>27</v>
      </c>
      <c r="M780">
        <v>630</v>
      </c>
      <c r="N780" t="s">
        <v>27</v>
      </c>
      <c r="O780">
        <v>630</v>
      </c>
      <c r="P780">
        <v>630</v>
      </c>
      <c r="Q780" t="s">
        <v>30</v>
      </c>
      <c r="R780" s="2">
        <v>0.7</v>
      </c>
      <c r="S780">
        <v>441</v>
      </c>
      <c r="T780" t="s">
        <v>27</v>
      </c>
      <c r="U780">
        <v>441</v>
      </c>
      <c r="V780" s="7" t="str">
        <f>IF(ISERROR(VLOOKUP(K780,[1]작가별정산률!$R:$S,2,0)),"스토리위즈",VLOOKUP(K780,[1]작가별정산률!$R:$S,2,0))</f>
        <v>스토리위즈</v>
      </c>
      <c r="W780" s="7" t="str">
        <f>IF(V780="스토리위즈",VLOOKUP(K780,[1]작가별정산률!$A:$B,2,0),V780)</f>
        <v>김광수</v>
      </c>
    </row>
    <row r="781" spans="1:23" x14ac:dyDescent="0.4">
      <c r="A781" t="s">
        <v>262</v>
      </c>
      <c r="B781" t="s">
        <v>1058</v>
      </c>
      <c r="C781" t="s">
        <v>1072</v>
      </c>
      <c r="D781" t="s">
        <v>64</v>
      </c>
      <c r="E781" t="s">
        <v>22</v>
      </c>
      <c r="F781" t="s">
        <v>23</v>
      </c>
      <c r="G781">
        <v>1</v>
      </c>
      <c r="H781">
        <v>9791166064449</v>
      </c>
      <c r="I781" t="s">
        <v>24</v>
      </c>
      <c r="J781" t="s">
        <v>115</v>
      </c>
      <c r="K781" t="s">
        <v>102</v>
      </c>
      <c r="L781" t="s">
        <v>27</v>
      </c>
      <c r="M781">
        <v>720</v>
      </c>
      <c r="N781" t="s">
        <v>27</v>
      </c>
      <c r="O781">
        <v>720</v>
      </c>
      <c r="P781">
        <v>720</v>
      </c>
      <c r="Q781" t="s">
        <v>30</v>
      </c>
      <c r="R781" s="2">
        <v>0.7</v>
      </c>
      <c r="S781">
        <v>504</v>
      </c>
      <c r="T781" t="s">
        <v>27</v>
      </c>
      <c r="U781">
        <v>504</v>
      </c>
      <c r="V781" s="7" t="str">
        <f>IF(ISERROR(VLOOKUP(K781,[1]작가별정산률!$R:$S,2,0)),"스토리위즈",VLOOKUP(K781,[1]작가별정산률!$R:$S,2,0))</f>
        <v>스토리위즈</v>
      </c>
      <c r="W781" s="7" t="str">
        <f>IF(V781="스토리위즈",VLOOKUP(K781,[1]작가별정산률!$A:$B,2,0),V781)</f>
        <v>예로나</v>
      </c>
    </row>
    <row r="782" spans="1:23" x14ac:dyDescent="0.4">
      <c r="A782" t="s">
        <v>262</v>
      </c>
      <c r="B782" t="s">
        <v>1058</v>
      </c>
      <c r="C782" t="s">
        <v>1073</v>
      </c>
      <c r="D782" t="s">
        <v>64</v>
      </c>
      <c r="E782" t="s">
        <v>22</v>
      </c>
      <c r="F782" t="s">
        <v>23</v>
      </c>
      <c r="G782">
        <v>1</v>
      </c>
      <c r="H782">
        <v>9791166300202</v>
      </c>
      <c r="I782" t="s">
        <v>24</v>
      </c>
      <c r="J782" t="s">
        <v>129</v>
      </c>
      <c r="K782" t="s">
        <v>119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2">
        <v>0.7</v>
      </c>
      <c r="S782">
        <v>441</v>
      </c>
      <c r="T782" t="s">
        <v>27</v>
      </c>
      <c r="U782">
        <v>441</v>
      </c>
      <c r="V782" s="7" t="str">
        <f>IF(ISERROR(VLOOKUP(K782,[1]작가별정산률!$R:$S,2,0)),"스토리위즈",VLOOKUP(K782,[1]작가별정산률!$R:$S,2,0))</f>
        <v>스토리위즈</v>
      </c>
      <c r="W782" s="7" t="str">
        <f>IF(V782="스토리위즈",VLOOKUP(K782,[1]작가별정산률!$A:$B,2,0),V782)</f>
        <v>김광수</v>
      </c>
    </row>
    <row r="783" spans="1:23" x14ac:dyDescent="0.4">
      <c r="A783" t="s">
        <v>262</v>
      </c>
      <c r="B783" t="s">
        <v>1058</v>
      </c>
      <c r="C783" t="s">
        <v>1074</v>
      </c>
      <c r="D783" t="s">
        <v>64</v>
      </c>
      <c r="E783" t="s">
        <v>22</v>
      </c>
      <c r="F783" t="s">
        <v>23</v>
      </c>
      <c r="G783">
        <v>1</v>
      </c>
      <c r="H783">
        <v>9791166300578</v>
      </c>
      <c r="I783" t="s">
        <v>24</v>
      </c>
      <c r="J783" t="s">
        <v>159</v>
      </c>
      <c r="K783" t="s">
        <v>119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  <c r="V783" s="7" t="str">
        <f>IF(ISERROR(VLOOKUP(K783,[1]작가별정산률!$R:$S,2,0)),"스토리위즈",VLOOKUP(K783,[1]작가별정산률!$R:$S,2,0))</f>
        <v>스토리위즈</v>
      </c>
      <c r="W783" s="7" t="str">
        <f>IF(V783="스토리위즈",VLOOKUP(K783,[1]작가별정산률!$A:$B,2,0),V783)</f>
        <v>김광수</v>
      </c>
    </row>
    <row r="784" spans="1:23" x14ac:dyDescent="0.4">
      <c r="A784" t="s">
        <v>262</v>
      </c>
      <c r="B784" t="s">
        <v>1058</v>
      </c>
      <c r="C784" t="s">
        <v>1075</v>
      </c>
      <c r="D784" t="s">
        <v>21</v>
      </c>
      <c r="E784" t="s">
        <v>22</v>
      </c>
      <c r="F784" t="s">
        <v>23</v>
      </c>
      <c r="G784">
        <v>1</v>
      </c>
      <c r="H784">
        <v>9791191562187</v>
      </c>
      <c r="I784" t="s">
        <v>143</v>
      </c>
      <c r="J784" t="s">
        <v>217</v>
      </c>
      <c r="K784" t="s">
        <v>218</v>
      </c>
      <c r="L784" t="s">
        <v>27</v>
      </c>
      <c r="M784" s="3">
        <v>2000</v>
      </c>
      <c r="N784" t="s">
        <v>27</v>
      </c>
      <c r="O784" s="3">
        <v>2000</v>
      </c>
      <c r="P784" s="3">
        <v>2000</v>
      </c>
      <c r="Q784" t="s">
        <v>30</v>
      </c>
      <c r="R784" s="2">
        <v>0.7</v>
      </c>
      <c r="S784" s="3">
        <v>1400</v>
      </c>
      <c r="T784" t="s">
        <v>27</v>
      </c>
      <c r="U784" s="3">
        <v>1400</v>
      </c>
      <c r="V784" s="7" t="str">
        <f>IF(ISERROR(VLOOKUP(K784,[1]작가별정산률!$R:$S,2,0)),"스토리위즈",VLOOKUP(K784,[1]작가별정산률!$R:$S,2,0))</f>
        <v>밀리의 서재</v>
      </c>
      <c r="W784" s="7" t="str">
        <f>IF(V784="스토리위즈",VLOOKUP(K784,[1]작가별정산률!$A:$B,2,0),V784)</f>
        <v>밀리의 서재</v>
      </c>
    </row>
    <row r="785" spans="1:23" x14ac:dyDescent="0.4">
      <c r="A785" t="s">
        <v>262</v>
      </c>
      <c r="B785" t="s">
        <v>1058</v>
      </c>
      <c r="C785" t="s">
        <v>1076</v>
      </c>
      <c r="D785" t="s">
        <v>21</v>
      </c>
      <c r="E785" t="s">
        <v>22</v>
      </c>
      <c r="F785" t="s">
        <v>23</v>
      </c>
      <c r="G785">
        <v>1</v>
      </c>
      <c r="H785">
        <v>9791191562415</v>
      </c>
      <c r="I785" t="s">
        <v>143</v>
      </c>
      <c r="J785" t="s">
        <v>1077</v>
      </c>
      <c r="K785" t="s">
        <v>1078</v>
      </c>
      <c r="L785" t="s">
        <v>27</v>
      </c>
      <c r="M785" s="3">
        <v>2000</v>
      </c>
      <c r="N785" t="s">
        <v>27</v>
      </c>
      <c r="O785" s="3">
        <v>2000</v>
      </c>
      <c r="P785" s="3">
        <v>2000</v>
      </c>
      <c r="Q785" t="s">
        <v>30</v>
      </c>
      <c r="R785" s="2">
        <v>0.7</v>
      </c>
      <c r="S785" s="3">
        <v>1400</v>
      </c>
      <c r="T785" t="s">
        <v>27</v>
      </c>
      <c r="U785" s="3">
        <v>1400</v>
      </c>
      <c r="V785" s="7" t="str">
        <f>IF(ISERROR(VLOOKUP(K785,[1]작가별정산률!$R:$S,2,0)),"스토리위즈",VLOOKUP(K785,[1]작가별정산률!$R:$S,2,0))</f>
        <v>밀리의 서재</v>
      </c>
      <c r="W785" s="7" t="str">
        <f>IF(V785="스토리위즈",VLOOKUP(K785,[1]작가별정산률!$A:$B,2,0),V785)</f>
        <v>밀리의 서재</v>
      </c>
    </row>
    <row r="786" spans="1:23" x14ac:dyDescent="0.4">
      <c r="A786" t="s">
        <v>262</v>
      </c>
      <c r="B786" t="s">
        <v>1058</v>
      </c>
      <c r="C786" t="s">
        <v>1079</v>
      </c>
      <c r="D786" t="s">
        <v>21</v>
      </c>
      <c r="E786" t="s">
        <v>22</v>
      </c>
      <c r="F786" t="s">
        <v>23</v>
      </c>
      <c r="G786">
        <v>1</v>
      </c>
      <c r="H786">
        <v>9791191562347</v>
      </c>
      <c r="I786" t="s">
        <v>143</v>
      </c>
      <c r="J786" t="s">
        <v>307</v>
      </c>
      <c r="K786" t="s">
        <v>308</v>
      </c>
      <c r="L786" t="s">
        <v>27</v>
      </c>
      <c r="M786" s="3">
        <v>3200</v>
      </c>
      <c r="N786" t="s">
        <v>27</v>
      </c>
      <c r="O786" s="3">
        <v>3200</v>
      </c>
      <c r="P786" s="3">
        <v>3200</v>
      </c>
      <c r="Q786" t="s">
        <v>30</v>
      </c>
      <c r="R786" s="2">
        <v>0.7</v>
      </c>
      <c r="S786" s="3">
        <v>2240</v>
      </c>
      <c r="T786" t="s">
        <v>27</v>
      </c>
      <c r="U786" s="3">
        <v>2240</v>
      </c>
      <c r="V786" s="7" t="str">
        <f>IF(ISERROR(VLOOKUP(K786,[1]작가별정산률!$R:$S,2,0)),"스토리위즈",VLOOKUP(K786,[1]작가별정산률!$R:$S,2,0))</f>
        <v>밀리의 서재</v>
      </c>
      <c r="W786" s="7" t="str">
        <f>IF(V786="스토리위즈",VLOOKUP(K786,[1]작가별정산률!$A:$B,2,0),V786)</f>
        <v>밀리의 서재</v>
      </c>
    </row>
    <row r="787" spans="1:23" x14ac:dyDescent="0.4">
      <c r="A787" t="s">
        <v>262</v>
      </c>
      <c r="B787" t="s">
        <v>1058</v>
      </c>
      <c r="C787" t="s">
        <v>1080</v>
      </c>
      <c r="D787" t="s">
        <v>21</v>
      </c>
      <c r="E787" t="s">
        <v>22</v>
      </c>
      <c r="F787" t="s">
        <v>23</v>
      </c>
      <c r="G787">
        <v>1</v>
      </c>
      <c r="H787">
        <v>9791191562149</v>
      </c>
      <c r="I787" t="s">
        <v>143</v>
      </c>
      <c r="J787" t="s">
        <v>1081</v>
      </c>
      <c r="K787" t="s">
        <v>1078</v>
      </c>
      <c r="L787" t="s">
        <v>27</v>
      </c>
      <c r="M787" s="3">
        <v>2000</v>
      </c>
      <c r="N787" t="s">
        <v>27</v>
      </c>
      <c r="O787" s="3">
        <v>2000</v>
      </c>
      <c r="P787" s="3">
        <v>2000</v>
      </c>
      <c r="Q787" t="s">
        <v>30</v>
      </c>
      <c r="R787" s="2">
        <v>0.7</v>
      </c>
      <c r="S787" s="3">
        <v>1400</v>
      </c>
      <c r="T787" t="s">
        <v>27</v>
      </c>
      <c r="U787" s="3">
        <v>1400</v>
      </c>
      <c r="V787" s="7" t="str">
        <f>IF(ISERROR(VLOOKUP(K787,[1]작가별정산률!$R:$S,2,0)),"스토리위즈",VLOOKUP(K787,[1]작가별정산률!$R:$S,2,0))</f>
        <v>밀리의 서재</v>
      </c>
      <c r="W787" s="7" t="str">
        <f>IF(V787="스토리위즈",VLOOKUP(K787,[1]작가별정산률!$A:$B,2,0),V787)</f>
        <v>밀리의 서재</v>
      </c>
    </row>
    <row r="788" spans="1:23" x14ac:dyDescent="0.4">
      <c r="A788" t="s">
        <v>262</v>
      </c>
      <c r="B788" t="s">
        <v>1058</v>
      </c>
      <c r="C788" t="s">
        <v>1082</v>
      </c>
      <c r="D788" t="s">
        <v>64</v>
      </c>
      <c r="E788" t="s">
        <v>22</v>
      </c>
      <c r="F788" t="s">
        <v>23</v>
      </c>
      <c r="G788">
        <v>1</v>
      </c>
      <c r="H788">
        <v>9791166064050</v>
      </c>
      <c r="I788" t="s">
        <v>24</v>
      </c>
      <c r="J788" t="s">
        <v>79</v>
      </c>
      <c r="K788" t="s">
        <v>37</v>
      </c>
      <c r="L788" t="s">
        <v>27</v>
      </c>
      <c r="M788">
        <v>900</v>
      </c>
      <c r="N788" t="s">
        <v>27</v>
      </c>
      <c r="O788">
        <v>900</v>
      </c>
      <c r="P788">
        <v>900</v>
      </c>
      <c r="Q788" t="s">
        <v>30</v>
      </c>
      <c r="R788" s="2">
        <v>0.7</v>
      </c>
      <c r="S788">
        <v>630</v>
      </c>
      <c r="T788" t="s">
        <v>27</v>
      </c>
      <c r="U788">
        <v>630</v>
      </c>
      <c r="V788" s="7" t="str">
        <f>IF(ISERROR(VLOOKUP(K788,[1]작가별정산률!$R:$S,2,0)),"스토리위즈",VLOOKUP(K788,[1]작가별정산률!$R:$S,2,0))</f>
        <v>스토리위즈</v>
      </c>
      <c r="W788" s="7" t="str">
        <f>IF(V788="스토리위즈",VLOOKUP(K788,[1]작가별정산률!$A:$B,2,0),V788)</f>
        <v>권용찬</v>
      </c>
    </row>
    <row r="789" spans="1:23" x14ac:dyDescent="0.4">
      <c r="A789" t="s">
        <v>262</v>
      </c>
      <c r="B789" t="s">
        <v>1058</v>
      </c>
      <c r="C789" t="s">
        <v>1083</v>
      </c>
      <c r="D789" t="s">
        <v>64</v>
      </c>
      <c r="E789" t="s">
        <v>22</v>
      </c>
      <c r="F789" t="s">
        <v>23</v>
      </c>
      <c r="G789">
        <v>1</v>
      </c>
      <c r="H789">
        <v>9791166300301</v>
      </c>
      <c r="I789" t="s">
        <v>24</v>
      </c>
      <c r="J789" t="s">
        <v>139</v>
      </c>
      <c r="K789" t="s">
        <v>119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  <c r="V789" s="7" t="str">
        <f>IF(ISERROR(VLOOKUP(K789,[1]작가별정산률!$R:$S,2,0)),"스토리위즈",VLOOKUP(K789,[1]작가별정산률!$R:$S,2,0))</f>
        <v>스토리위즈</v>
      </c>
      <c r="W789" s="7" t="str">
        <f>IF(V789="스토리위즈",VLOOKUP(K789,[1]작가별정산률!$A:$B,2,0),V789)</f>
        <v>김광수</v>
      </c>
    </row>
    <row r="790" spans="1:23" x14ac:dyDescent="0.4">
      <c r="A790" t="s">
        <v>262</v>
      </c>
      <c r="B790" t="s">
        <v>1058</v>
      </c>
      <c r="C790" t="s">
        <v>1084</v>
      </c>
      <c r="D790" t="s">
        <v>21</v>
      </c>
      <c r="E790" t="s">
        <v>22</v>
      </c>
      <c r="F790" t="s">
        <v>23</v>
      </c>
      <c r="G790">
        <v>1</v>
      </c>
      <c r="H790">
        <v>9791166064425</v>
      </c>
      <c r="I790" t="s">
        <v>24</v>
      </c>
      <c r="J790" t="s">
        <v>113</v>
      </c>
      <c r="K790" t="s">
        <v>102</v>
      </c>
      <c r="L790" t="s">
        <v>27</v>
      </c>
      <c r="M790" s="3">
        <v>3200</v>
      </c>
      <c r="N790" t="s">
        <v>27</v>
      </c>
      <c r="O790" s="3">
        <v>3200</v>
      </c>
      <c r="P790" s="3">
        <v>3200</v>
      </c>
      <c r="Q790" t="s">
        <v>30</v>
      </c>
      <c r="R790" s="2">
        <v>0.7</v>
      </c>
      <c r="S790" s="3">
        <v>2240</v>
      </c>
      <c r="T790" t="s">
        <v>27</v>
      </c>
      <c r="U790" s="3">
        <v>2240</v>
      </c>
      <c r="V790" s="7" t="str">
        <f>IF(ISERROR(VLOOKUP(K790,[1]작가별정산률!$R:$S,2,0)),"스토리위즈",VLOOKUP(K790,[1]작가별정산률!$R:$S,2,0))</f>
        <v>스토리위즈</v>
      </c>
      <c r="W790" s="7" t="str">
        <f>IF(V790="스토리위즈",VLOOKUP(K790,[1]작가별정산률!$A:$B,2,0),V790)</f>
        <v>예로나</v>
      </c>
    </row>
    <row r="791" spans="1:23" x14ac:dyDescent="0.4">
      <c r="A791" t="s">
        <v>262</v>
      </c>
      <c r="B791" t="s">
        <v>1058</v>
      </c>
      <c r="C791" t="s">
        <v>1084</v>
      </c>
      <c r="D791" t="s">
        <v>21</v>
      </c>
      <c r="E791" t="s">
        <v>22</v>
      </c>
      <c r="F791" t="s">
        <v>23</v>
      </c>
      <c r="G791">
        <v>1</v>
      </c>
      <c r="H791">
        <v>9791166064432</v>
      </c>
      <c r="I791" t="s">
        <v>24</v>
      </c>
      <c r="J791" t="s">
        <v>114</v>
      </c>
      <c r="K791" t="s">
        <v>102</v>
      </c>
      <c r="L791" t="s">
        <v>27</v>
      </c>
      <c r="M791" s="3">
        <v>3200</v>
      </c>
      <c r="N791" t="s">
        <v>27</v>
      </c>
      <c r="O791" s="3">
        <v>3200</v>
      </c>
      <c r="P791" s="3">
        <v>3200</v>
      </c>
      <c r="Q791" t="s">
        <v>30</v>
      </c>
      <c r="R791" s="2">
        <v>0.7</v>
      </c>
      <c r="S791" s="3">
        <v>2240</v>
      </c>
      <c r="T791" t="s">
        <v>27</v>
      </c>
      <c r="U791" s="3">
        <v>2240</v>
      </c>
      <c r="V791" s="7" t="str">
        <f>IF(ISERROR(VLOOKUP(K791,[1]작가별정산률!$R:$S,2,0)),"스토리위즈",VLOOKUP(K791,[1]작가별정산률!$R:$S,2,0))</f>
        <v>스토리위즈</v>
      </c>
      <c r="W791" s="7" t="str">
        <f>IF(V791="스토리위즈",VLOOKUP(K791,[1]작가별정산률!$A:$B,2,0),V791)</f>
        <v>예로나</v>
      </c>
    </row>
    <row r="792" spans="1:23" x14ac:dyDescent="0.4">
      <c r="A792" t="s">
        <v>262</v>
      </c>
      <c r="B792" t="s">
        <v>1058</v>
      </c>
      <c r="C792" t="s">
        <v>1084</v>
      </c>
      <c r="D792" t="s">
        <v>21</v>
      </c>
      <c r="E792" t="s">
        <v>22</v>
      </c>
      <c r="F792" t="s">
        <v>23</v>
      </c>
      <c r="G792">
        <v>1</v>
      </c>
      <c r="H792">
        <v>9791166064449</v>
      </c>
      <c r="I792" t="s">
        <v>24</v>
      </c>
      <c r="J792" t="s">
        <v>115</v>
      </c>
      <c r="K792" t="s">
        <v>102</v>
      </c>
      <c r="L792" t="s">
        <v>27</v>
      </c>
      <c r="M792" s="3">
        <v>3200</v>
      </c>
      <c r="N792" t="s">
        <v>27</v>
      </c>
      <c r="O792" s="3">
        <v>3200</v>
      </c>
      <c r="P792" s="3">
        <v>3200</v>
      </c>
      <c r="Q792" t="s">
        <v>30</v>
      </c>
      <c r="R792" s="2">
        <v>0.7</v>
      </c>
      <c r="S792" s="3">
        <v>2240</v>
      </c>
      <c r="T792" t="s">
        <v>27</v>
      </c>
      <c r="U792" s="3">
        <v>2240</v>
      </c>
      <c r="V792" s="7" t="str">
        <f>IF(ISERROR(VLOOKUP(K792,[1]작가별정산률!$R:$S,2,0)),"스토리위즈",VLOOKUP(K792,[1]작가별정산률!$R:$S,2,0))</f>
        <v>스토리위즈</v>
      </c>
      <c r="W792" s="7" t="str">
        <f>IF(V792="스토리위즈",VLOOKUP(K792,[1]작가별정산률!$A:$B,2,0),V792)</f>
        <v>예로나</v>
      </c>
    </row>
    <row r="793" spans="1:23" x14ac:dyDescent="0.4">
      <c r="A793" t="s">
        <v>262</v>
      </c>
      <c r="B793" t="s">
        <v>1058</v>
      </c>
      <c r="C793" t="s">
        <v>1084</v>
      </c>
      <c r="D793" t="s">
        <v>21</v>
      </c>
      <c r="E793" t="s">
        <v>22</v>
      </c>
      <c r="F793" t="s">
        <v>23</v>
      </c>
      <c r="G793">
        <v>1</v>
      </c>
      <c r="H793">
        <v>9791166064456</v>
      </c>
      <c r="I793" t="s">
        <v>24</v>
      </c>
      <c r="J793" t="s">
        <v>116</v>
      </c>
      <c r="K793" t="s">
        <v>102</v>
      </c>
      <c r="L793" t="s">
        <v>27</v>
      </c>
      <c r="M793" s="3">
        <v>3200</v>
      </c>
      <c r="N793" t="s">
        <v>27</v>
      </c>
      <c r="O793" s="3">
        <v>3200</v>
      </c>
      <c r="P793" s="3">
        <v>3200</v>
      </c>
      <c r="Q793" t="s">
        <v>30</v>
      </c>
      <c r="R793" s="2">
        <v>0.7</v>
      </c>
      <c r="S793" s="3">
        <v>2240</v>
      </c>
      <c r="T793" t="s">
        <v>27</v>
      </c>
      <c r="U793" s="3">
        <v>2240</v>
      </c>
      <c r="V793" s="7" t="str">
        <f>IF(ISERROR(VLOOKUP(K793,[1]작가별정산률!$R:$S,2,0)),"스토리위즈",VLOOKUP(K793,[1]작가별정산률!$R:$S,2,0))</f>
        <v>스토리위즈</v>
      </c>
      <c r="W793" s="7" t="str">
        <f>IF(V793="스토리위즈",VLOOKUP(K793,[1]작가별정산률!$A:$B,2,0),V793)</f>
        <v>예로나</v>
      </c>
    </row>
    <row r="794" spans="1:23" x14ac:dyDescent="0.4">
      <c r="A794" t="s">
        <v>262</v>
      </c>
      <c r="B794" t="s">
        <v>1058</v>
      </c>
      <c r="C794" t="s">
        <v>1085</v>
      </c>
      <c r="D794" t="s">
        <v>64</v>
      </c>
      <c r="E794" t="s">
        <v>22</v>
      </c>
      <c r="F794" t="s">
        <v>23</v>
      </c>
      <c r="G794">
        <v>1</v>
      </c>
      <c r="H794">
        <v>9791166300585</v>
      </c>
      <c r="I794" t="s">
        <v>24</v>
      </c>
      <c r="J794" t="s">
        <v>160</v>
      </c>
      <c r="K794" t="s">
        <v>119</v>
      </c>
      <c r="L794" t="s">
        <v>27</v>
      </c>
      <c r="M794">
        <v>630</v>
      </c>
      <c r="N794" t="s">
        <v>27</v>
      </c>
      <c r="O794">
        <v>630</v>
      </c>
      <c r="P794">
        <v>630</v>
      </c>
      <c r="Q794" t="s">
        <v>30</v>
      </c>
      <c r="R794" s="2">
        <v>0.7</v>
      </c>
      <c r="S794">
        <v>441</v>
      </c>
      <c r="T794" t="s">
        <v>27</v>
      </c>
      <c r="U794">
        <v>441</v>
      </c>
      <c r="V794" s="7" t="str">
        <f>IF(ISERROR(VLOOKUP(K794,[1]작가별정산률!$R:$S,2,0)),"스토리위즈",VLOOKUP(K794,[1]작가별정산률!$R:$S,2,0))</f>
        <v>스토리위즈</v>
      </c>
      <c r="W794" s="7" t="str">
        <f>IF(V794="스토리위즈",VLOOKUP(K794,[1]작가별정산률!$A:$B,2,0),V794)</f>
        <v>김광수</v>
      </c>
    </row>
    <row r="795" spans="1:23" x14ac:dyDescent="0.4">
      <c r="A795" t="s">
        <v>262</v>
      </c>
      <c r="B795" t="s">
        <v>1058</v>
      </c>
      <c r="C795" t="s">
        <v>1086</v>
      </c>
      <c r="D795" t="s">
        <v>64</v>
      </c>
      <c r="E795" t="s">
        <v>22</v>
      </c>
      <c r="F795" t="s">
        <v>23</v>
      </c>
      <c r="G795">
        <v>1</v>
      </c>
      <c r="H795">
        <v>9791166300523</v>
      </c>
      <c r="I795" t="s">
        <v>24</v>
      </c>
      <c r="J795" t="s">
        <v>150</v>
      </c>
      <c r="K795" t="s">
        <v>119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  <c r="V795" s="7" t="str">
        <f>IF(ISERROR(VLOOKUP(K795,[1]작가별정산률!$R:$S,2,0)),"스토리위즈",VLOOKUP(K795,[1]작가별정산률!$R:$S,2,0))</f>
        <v>스토리위즈</v>
      </c>
      <c r="W795" s="7" t="str">
        <f>IF(V795="스토리위즈",VLOOKUP(K795,[1]작가별정산률!$A:$B,2,0),V795)</f>
        <v>김광수</v>
      </c>
    </row>
    <row r="796" spans="1:23" x14ac:dyDescent="0.4">
      <c r="A796" t="s">
        <v>262</v>
      </c>
      <c r="B796" t="s">
        <v>1058</v>
      </c>
      <c r="C796" t="s">
        <v>1087</v>
      </c>
      <c r="D796" t="s">
        <v>64</v>
      </c>
      <c r="E796" t="s">
        <v>22</v>
      </c>
      <c r="F796" t="s">
        <v>23</v>
      </c>
      <c r="G796">
        <v>1</v>
      </c>
      <c r="H796">
        <v>9791159283222</v>
      </c>
      <c r="I796" t="s">
        <v>24</v>
      </c>
      <c r="J796" t="s">
        <v>65</v>
      </c>
      <c r="K796" t="s">
        <v>37</v>
      </c>
      <c r="L796" t="s">
        <v>27</v>
      </c>
      <c r="M796">
        <v>630</v>
      </c>
      <c r="N796" t="s">
        <v>27</v>
      </c>
      <c r="O796">
        <v>630</v>
      </c>
      <c r="P796">
        <v>630</v>
      </c>
      <c r="Q796" t="s">
        <v>30</v>
      </c>
      <c r="R796" s="2">
        <v>0.7</v>
      </c>
      <c r="S796">
        <v>441</v>
      </c>
      <c r="T796" t="s">
        <v>27</v>
      </c>
      <c r="U796">
        <v>441</v>
      </c>
      <c r="V796" s="7" t="str">
        <f>IF(ISERROR(VLOOKUP(K796,[1]작가별정산률!$R:$S,2,0)),"스토리위즈",VLOOKUP(K796,[1]작가별정산률!$R:$S,2,0))</f>
        <v>스토리위즈</v>
      </c>
      <c r="W796" s="7" t="str">
        <f>IF(V796="스토리위즈",VLOOKUP(K796,[1]작가별정산률!$A:$B,2,0),V796)</f>
        <v>권용찬</v>
      </c>
    </row>
    <row r="797" spans="1:23" x14ac:dyDescent="0.4">
      <c r="A797" t="s">
        <v>262</v>
      </c>
      <c r="B797" t="s">
        <v>1058</v>
      </c>
      <c r="C797" t="s">
        <v>1088</v>
      </c>
      <c r="D797" t="s">
        <v>64</v>
      </c>
      <c r="E797" t="s">
        <v>22</v>
      </c>
      <c r="F797" t="s">
        <v>23</v>
      </c>
      <c r="G797">
        <v>1</v>
      </c>
      <c r="H797">
        <v>9791159283178</v>
      </c>
      <c r="I797" t="s">
        <v>24</v>
      </c>
      <c r="J797" t="s">
        <v>88</v>
      </c>
      <c r="K797" t="s">
        <v>37</v>
      </c>
      <c r="L797" t="s">
        <v>27</v>
      </c>
      <c r="M797">
        <v>900</v>
      </c>
      <c r="N797" t="s">
        <v>27</v>
      </c>
      <c r="O797">
        <v>900</v>
      </c>
      <c r="P797">
        <v>900</v>
      </c>
      <c r="Q797" t="s">
        <v>30</v>
      </c>
      <c r="R797" s="2">
        <v>0.7</v>
      </c>
      <c r="S797">
        <v>630</v>
      </c>
      <c r="T797" t="s">
        <v>27</v>
      </c>
      <c r="U797">
        <v>630</v>
      </c>
      <c r="V797" s="7" t="str">
        <f>IF(ISERROR(VLOOKUP(K797,[1]작가별정산률!$R:$S,2,0)),"스토리위즈",VLOOKUP(K797,[1]작가별정산률!$R:$S,2,0))</f>
        <v>스토리위즈</v>
      </c>
      <c r="W797" s="7" t="str">
        <f>IF(V797="스토리위즈",VLOOKUP(K797,[1]작가별정산률!$A:$B,2,0),V797)</f>
        <v>권용찬</v>
      </c>
    </row>
    <row r="798" spans="1:23" x14ac:dyDescent="0.4">
      <c r="A798" t="s">
        <v>262</v>
      </c>
      <c r="B798" t="s">
        <v>1058</v>
      </c>
      <c r="C798" t="s">
        <v>1089</v>
      </c>
      <c r="D798" t="s">
        <v>64</v>
      </c>
      <c r="E798" t="s">
        <v>22</v>
      </c>
      <c r="F798" t="s">
        <v>23</v>
      </c>
      <c r="G798">
        <v>1</v>
      </c>
      <c r="H798">
        <v>9791166300127</v>
      </c>
      <c r="I798" t="s">
        <v>24</v>
      </c>
      <c r="J798" t="s">
        <v>122</v>
      </c>
      <c r="K798" t="s">
        <v>119</v>
      </c>
      <c r="L798" t="s">
        <v>27</v>
      </c>
      <c r="M798">
        <v>630</v>
      </c>
      <c r="N798" t="s">
        <v>27</v>
      </c>
      <c r="O798">
        <v>630</v>
      </c>
      <c r="P798">
        <v>630</v>
      </c>
      <c r="Q798" t="s">
        <v>30</v>
      </c>
      <c r="R798" s="2">
        <v>0.7</v>
      </c>
      <c r="S798">
        <v>441</v>
      </c>
      <c r="T798" t="s">
        <v>27</v>
      </c>
      <c r="U798">
        <v>441</v>
      </c>
      <c r="V798" s="7" t="str">
        <f>IF(ISERROR(VLOOKUP(K798,[1]작가별정산률!$R:$S,2,0)),"스토리위즈",VLOOKUP(K798,[1]작가별정산률!$R:$S,2,0))</f>
        <v>스토리위즈</v>
      </c>
      <c r="W798" s="7" t="str">
        <f>IF(V798="스토리위즈",VLOOKUP(K798,[1]작가별정산률!$A:$B,2,0),V798)</f>
        <v>김광수</v>
      </c>
    </row>
    <row r="799" spans="1:23" x14ac:dyDescent="0.4">
      <c r="A799" t="s">
        <v>262</v>
      </c>
      <c r="B799" t="s">
        <v>1058</v>
      </c>
      <c r="C799" t="s">
        <v>1090</v>
      </c>
      <c r="D799" t="s">
        <v>64</v>
      </c>
      <c r="E799" t="s">
        <v>22</v>
      </c>
      <c r="F799" t="s">
        <v>23</v>
      </c>
      <c r="G799">
        <v>1</v>
      </c>
      <c r="H799">
        <v>9791166300233</v>
      </c>
      <c r="I799" t="s">
        <v>24</v>
      </c>
      <c r="J799" t="s">
        <v>132</v>
      </c>
      <c r="K799" t="s">
        <v>119</v>
      </c>
      <c r="L799" t="s">
        <v>27</v>
      </c>
      <c r="M799">
        <v>630</v>
      </c>
      <c r="N799" t="s">
        <v>27</v>
      </c>
      <c r="O799">
        <v>630</v>
      </c>
      <c r="P799">
        <v>630</v>
      </c>
      <c r="Q799" t="s">
        <v>30</v>
      </c>
      <c r="R799" s="2">
        <v>0.7</v>
      </c>
      <c r="S799">
        <v>441</v>
      </c>
      <c r="T799" t="s">
        <v>27</v>
      </c>
      <c r="U799">
        <v>441</v>
      </c>
      <c r="V799" s="7" t="str">
        <f>IF(ISERROR(VLOOKUP(K799,[1]작가별정산률!$R:$S,2,0)),"스토리위즈",VLOOKUP(K799,[1]작가별정산률!$R:$S,2,0))</f>
        <v>스토리위즈</v>
      </c>
      <c r="W799" s="7" t="str">
        <f>IF(V799="스토리위즈",VLOOKUP(K799,[1]작가별정산률!$A:$B,2,0),V799)</f>
        <v>김광수</v>
      </c>
    </row>
    <row r="800" spans="1:23" x14ac:dyDescent="0.4">
      <c r="A800" t="s">
        <v>262</v>
      </c>
      <c r="B800" t="s">
        <v>1058</v>
      </c>
      <c r="C800" t="s">
        <v>1091</v>
      </c>
      <c r="D800" t="s">
        <v>64</v>
      </c>
      <c r="E800" t="s">
        <v>22</v>
      </c>
      <c r="F800" t="s">
        <v>23</v>
      </c>
      <c r="G800">
        <v>1</v>
      </c>
      <c r="H800">
        <v>9791166300110</v>
      </c>
      <c r="I800" t="s">
        <v>24</v>
      </c>
      <c r="J800" t="s">
        <v>121</v>
      </c>
      <c r="K800" t="s">
        <v>119</v>
      </c>
      <c r="L800" t="s">
        <v>27</v>
      </c>
      <c r="M800">
        <v>630</v>
      </c>
      <c r="N800" t="s">
        <v>27</v>
      </c>
      <c r="O800">
        <v>630</v>
      </c>
      <c r="P800">
        <v>630</v>
      </c>
      <c r="Q800" t="s">
        <v>30</v>
      </c>
      <c r="R800" s="2">
        <v>0.7</v>
      </c>
      <c r="S800">
        <v>441</v>
      </c>
      <c r="T800" t="s">
        <v>27</v>
      </c>
      <c r="U800">
        <v>441</v>
      </c>
      <c r="V800" s="7" t="str">
        <f>IF(ISERROR(VLOOKUP(K800,[1]작가별정산률!$R:$S,2,0)),"스토리위즈",VLOOKUP(K800,[1]작가별정산률!$R:$S,2,0))</f>
        <v>스토리위즈</v>
      </c>
      <c r="W800" s="7" t="str">
        <f>IF(V800="스토리위즈",VLOOKUP(K800,[1]작가별정산률!$A:$B,2,0),V800)</f>
        <v>김광수</v>
      </c>
    </row>
    <row r="801" spans="1:23" x14ac:dyDescent="0.4">
      <c r="A801" t="s">
        <v>262</v>
      </c>
      <c r="B801" t="s">
        <v>1058</v>
      </c>
      <c r="C801" t="s">
        <v>1092</v>
      </c>
      <c r="D801" t="s">
        <v>64</v>
      </c>
      <c r="E801" t="s">
        <v>22</v>
      </c>
      <c r="F801" t="s">
        <v>23</v>
      </c>
      <c r="G801">
        <v>1</v>
      </c>
      <c r="H801">
        <v>9791166300134</v>
      </c>
      <c r="I801" t="s">
        <v>24</v>
      </c>
      <c r="J801" t="s">
        <v>123</v>
      </c>
      <c r="K801" t="s">
        <v>119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  <c r="V801" s="7" t="str">
        <f>IF(ISERROR(VLOOKUP(K801,[1]작가별정산률!$R:$S,2,0)),"스토리위즈",VLOOKUP(K801,[1]작가별정산률!$R:$S,2,0))</f>
        <v>스토리위즈</v>
      </c>
      <c r="W801" s="7" t="str">
        <f>IF(V801="스토리위즈",VLOOKUP(K801,[1]작가별정산률!$A:$B,2,0),V801)</f>
        <v>김광수</v>
      </c>
    </row>
    <row r="802" spans="1:23" x14ac:dyDescent="0.4">
      <c r="A802" t="s">
        <v>262</v>
      </c>
      <c r="B802" t="s">
        <v>1058</v>
      </c>
      <c r="C802" t="s">
        <v>1093</v>
      </c>
      <c r="D802" t="s">
        <v>21</v>
      </c>
      <c r="E802" t="s">
        <v>22</v>
      </c>
      <c r="F802" t="s">
        <v>23</v>
      </c>
      <c r="G802">
        <v>1</v>
      </c>
      <c r="H802">
        <v>9791191562262</v>
      </c>
      <c r="I802" t="s">
        <v>143</v>
      </c>
      <c r="J802" t="s">
        <v>250</v>
      </c>
      <c r="K802" t="s">
        <v>251</v>
      </c>
      <c r="L802" t="s">
        <v>27</v>
      </c>
      <c r="M802" s="3">
        <v>2000</v>
      </c>
      <c r="N802" t="s">
        <v>27</v>
      </c>
      <c r="O802" s="3">
        <v>2000</v>
      </c>
      <c r="P802" s="3">
        <v>2000</v>
      </c>
      <c r="Q802" t="s">
        <v>30</v>
      </c>
      <c r="R802" s="2">
        <v>0.7</v>
      </c>
      <c r="S802" s="3">
        <v>1400</v>
      </c>
      <c r="T802" t="s">
        <v>27</v>
      </c>
      <c r="U802" s="3">
        <v>1400</v>
      </c>
      <c r="V802" s="7" t="str">
        <f>IF(ISERROR(VLOOKUP(K802,[1]작가별정산률!$R:$S,2,0)),"스토리위즈",VLOOKUP(K802,[1]작가별정산률!$R:$S,2,0))</f>
        <v>밀리의 서재</v>
      </c>
      <c r="W802" s="7" t="str">
        <f>IF(V802="스토리위즈",VLOOKUP(K802,[1]작가별정산률!$A:$B,2,0),V802)</f>
        <v>밀리의 서재</v>
      </c>
    </row>
    <row r="803" spans="1:23" x14ac:dyDescent="0.4">
      <c r="A803" t="s">
        <v>262</v>
      </c>
      <c r="B803" t="s">
        <v>1058</v>
      </c>
      <c r="C803" t="s">
        <v>1094</v>
      </c>
      <c r="D803" t="s">
        <v>64</v>
      </c>
      <c r="E803" t="s">
        <v>22</v>
      </c>
      <c r="F803" t="s">
        <v>23</v>
      </c>
      <c r="G803">
        <v>1</v>
      </c>
      <c r="H803">
        <v>9791166300592</v>
      </c>
      <c r="I803" t="s">
        <v>24</v>
      </c>
      <c r="J803" t="s">
        <v>161</v>
      </c>
      <c r="K803" t="s">
        <v>119</v>
      </c>
      <c r="L803" t="s">
        <v>27</v>
      </c>
      <c r="M803">
        <v>630</v>
      </c>
      <c r="N803" t="s">
        <v>27</v>
      </c>
      <c r="O803">
        <v>630</v>
      </c>
      <c r="P803">
        <v>630</v>
      </c>
      <c r="Q803" t="s">
        <v>30</v>
      </c>
      <c r="R803" s="2">
        <v>0.7</v>
      </c>
      <c r="S803">
        <v>441</v>
      </c>
      <c r="T803" t="s">
        <v>27</v>
      </c>
      <c r="U803">
        <v>441</v>
      </c>
      <c r="V803" s="7" t="str">
        <f>IF(ISERROR(VLOOKUP(K803,[1]작가별정산률!$R:$S,2,0)),"스토리위즈",VLOOKUP(K803,[1]작가별정산률!$R:$S,2,0))</f>
        <v>스토리위즈</v>
      </c>
      <c r="W803" s="7" t="str">
        <f>IF(V803="스토리위즈",VLOOKUP(K803,[1]작가별정산률!$A:$B,2,0),V803)</f>
        <v>김광수</v>
      </c>
    </row>
    <row r="804" spans="1:23" x14ac:dyDescent="0.4">
      <c r="A804" t="s">
        <v>262</v>
      </c>
      <c r="B804" t="s">
        <v>1058</v>
      </c>
      <c r="C804" t="s">
        <v>1095</v>
      </c>
      <c r="D804" t="s">
        <v>64</v>
      </c>
      <c r="E804" t="s">
        <v>22</v>
      </c>
      <c r="F804" t="s">
        <v>23</v>
      </c>
      <c r="G804">
        <v>1</v>
      </c>
      <c r="H804">
        <v>9791166300462</v>
      </c>
      <c r="I804" t="s">
        <v>24</v>
      </c>
      <c r="J804" t="s">
        <v>144</v>
      </c>
      <c r="K804" t="s">
        <v>119</v>
      </c>
      <c r="L804" t="s">
        <v>27</v>
      </c>
      <c r="M804">
        <v>630</v>
      </c>
      <c r="N804" t="s">
        <v>27</v>
      </c>
      <c r="O804">
        <v>630</v>
      </c>
      <c r="P804">
        <v>630</v>
      </c>
      <c r="Q804" t="s">
        <v>30</v>
      </c>
      <c r="R804" s="2">
        <v>0.7</v>
      </c>
      <c r="S804">
        <v>441</v>
      </c>
      <c r="T804" t="s">
        <v>27</v>
      </c>
      <c r="U804">
        <v>441</v>
      </c>
      <c r="V804" s="7" t="str">
        <f>IF(ISERROR(VLOOKUP(K804,[1]작가별정산률!$R:$S,2,0)),"스토리위즈",VLOOKUP(K804,[1]작가별정산률!$R:$S,2,0))</f>
        <v>스토리위즈</v>
      </c>
      <c r="W804" s="7" t="str">
        <f>IF(V804="스토리위즈",VLOOKUP(K804,[1]작가별정산률!$A:$B,2,0),V804)</f>
        <v>김광수</v>
      </c>
    </row>
    <row r="805" spans="1:23" x14ac:dyDescent="0.4">
      <c r="A805" t="s">
        <v>262</v>
      </c>
      <c r="B805" t="s">
        <v>1058</v>
      </c>
      <c r="C805" t="s">
        <v>1096</v>
      </c>
      <c r="D805" t="s">
        <v>21</v>
      </c>
      <c r="E805" t="s">
        <v>22</v>
      </c>
      <c r="F805" t="s">
        <v>23</v>
      </c>
      <c r="G805">
        <v>1</v>
      </c>
      <c r="H805">
        <v>9791164370689</v>
      </c>
      <c r="I805" t="s">
        <v>143</v>
      </c>
      <c r="J805" t="s">
        <v>1097</v>
      </c>
      <c r="K805" t="s">
        <v>1098</v>
      </c>
      <c r="L805" t="s">
        <v>27</v>
      </c>
      <c r="M805" s="3">
        <v>3000</v>
      </c>
      <c r="N805" t="s">
        <v>27</v>
      </c>
      <c r="O805" s="3">
        <v>3000</v>
      </c>
      <c r="P805" s="3">
        <v>3000</v>
      </c>
      <c r="Q805" t="s">
        <v>30</v>
      </c>
      <c r="R805" s="2">
        <v>0.7</v>
      </c>
      <c r="S805" s="3">
        <v>2100</v>
      </c>
      <c r="T805" t="s">
        <v>27</v>
      </c>
      <c r="U805" s="3">
        <v>2100</v>
      </c>
      <c r="V805" s="7" t="str">
        <f>IF(ISERROR(VLOOKUP(K805,[1]작가별정산률!$R:$S,2,0)),"스토리위즈",VLOOKUP(K805,[1]작가별정산률!$R:$S,2,0))</f>
        <v>스토리위즈</v>
      </c>
      <c r="W805" s="7" t="str">
        <f>IF(V805="스토리위즈",VLOOKUP(K805,[1]작가별정산률!$A:$B,2,0),V805)</f>
        <v>차홍주</v>
      </c>
    </row>
    <row r="806" spans="1:23" x14ac:dyDescent="0.4">
      <c r="A806" t="s">
        <v>262</v>
      </c>
      <c r="B806" t="s">
        <v>1058</v>
      </c>
      <c r="C806" t="s">
        <v>1099</v>
      </c>
      <c r="D806" t="s">
        <v>21</v>
      </c>
      <c r="E806" t="s">
        <v>22</v>
      </c>
      <c r="F806" t="s">
        <v>23</v>
      </c>
      <c r="G806">
        <v>1</v>
      </c>
      <c r="H806">
        <v>9791191562033</v>
      </c>
      <c r="I806" t="s">
        <v>143</v>
      </c>
      <c r="J806" t="s">
        <v>189</v>
      </c>
      <c r="K806" t="s">
        <v>187</v>
      </c>
      <c r="L806" t="s">
        <v>27</v>
      </c>
      <c r="M806" s="3">
        <v>2000</v>
      </c>
      <c r="N806" t="s">
        <v>27</v>
      </c>
      <c r="O806" s="3">
        <v>2000</v>
      </c>
      <c r="P806" s="3">
        <v>2000</v>
      </c>
      <c r="Q806" t="s">
        <v>30</v>
      </c>
      <c r="R806" s="2">
        <v>0.7</v>
      </c>
      <c r="S806" s="3">
        <v>1400</v>
      </c>
      <c r="T806" t="s">
        <v>27</v>
      </c>
      <c r="U806" s="3">
        <v>1400</v>
      </c>
      <c r="V806" s="7" t="str">
        <f>IF(ISERROR(VLOOKUP(K806,[1]작가별정산률!$R:$S,2,0)),"스토리위즈",VLOOKUP(K806,[1]작가별정산률!$R:$S,2,0))</f>
        <v>밀리의 서재</v>
      </c>
      <c r="W806" s="7" t="str">
        <f>IF(V806="스토리위즈",VLOOKUP(K806,[1]작가별정산률!$A:$B,2,0),V806)</f>
        <v>밀리의 서재</v>
      </c>
    </row>
    <row r="807" spans="1:23" x14ac:dyDescent="0.4">
      <c r="A807" t="s">
        <v>262</v>
      </c>
      <c r="B807" t="s">
        <v>1058</v>
      </c>
      <c r="C807" t="s">
        <v>1100</v>
      </c>
      <c r="D807" t="s">
        <v>64</v>
      </c>
      <c r="E807" t="s">
        <v>22</v>
      </c>
      <c r="F807" t="s">
        <v>23</v>
      </c>
      <c r="G807">
        <v>1</v>
      </c>
      <c r="H807">
        <v>9791166300240</v>
      </c>
      <c r="I807" t="s">
        <v>24</v>
      </c>
      <c r="J807" t="s">
        <v>133</v>
      </c>
      <c r="K807" t="s">
        <v>119</v>
      </c>
      <c r="L807" t="s">
        <v>27</v>
      </c>
      <c r="M807">
        <v>630</v>
      </c>
      <c r="N807" t="s">
        <v>27</v>
      </c>
      <c r="O807">
        <v>630</v>
      </c>
      <c r="P807">
        <v>630</v>
      </c>
      <c r="Q807" t="s">
        <v>30</v>
      </c>
      <c r="R807" s="2">
        <v>0.7</v>
      </c>
      <c r="S807">
        <v>441</v>
      </c>
      <c r="T807" t="s">
        <v>27</v>
      </c>
      <c r="U807">
        <v>441</v>
      </c>
      <c r="V807" s="7" t="str">
        <f>IF(ISERROR(VLOOKUP(K807,[1]작가별정산률!$R:$S,2,0)),"스토리위즈",VLOOKUP(K807,[1]작가별정산률!$R:$S,2,0))</f>
        <v>스토리위즈</v>
      </c>
      <c r="W807" s="7" t="str">
        <f>IF(V807="스토리위즈",VLOOKUP(K807,[1]작가별정산률!$A:$B,2,0),V807)</f>
        <v>김광수</v>
      </c>
    </row>
    <row r="808" spans="1:23" x14ac:dyDescent="0.4">
      <c r="A808" t="s">
        <v>262</v>
      </c>
      <c r="B808" t="s">
        <v>1058</v>
      </c>
      <c r="C808" t="s">
        <v>1101</v>
      </c>
      <c r="D808" t="s">
        <v>64</v>
      </c>
      <c r="E808" t="s">
        <v>22</v>
      </c>
      <c r="F808" t="s">
        <v>23</v>
      </c>
      <c r="G808">
        <v>1</v>
      </c>
      <c r="H808">
        <v>9791166300622</v>
      </c>
      <c r="I808" t="s">
        <v>24</v>
      </c>
      <c r="J808" t="s">
        <v>164</v>
      </c>
      <c r="K808" t="s">
        <v>119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  <c r="V808" s="7" t="str">
        <f>IF(ISERROR(VLOOKUP(K808,[1]작가별정산률!$R:$S,2,0)),"스토리위즈",VLOOKUP(K808,[1]작가별정산률!$R:$S,2,0))</f>
        <v>스토리위즈</v>
      </c>
      <c r="W808" s="7" t="str">
        <f>IF(V808="스토리위즈",VLOOKUP(K808,[1]작가별정산률!$A:$B,2,0),V808)</f>
        <v>김광수</v>
      </c>
    </row>
    <row r="809" spans="1:23" x14ac:dyDescent="0.4">
      <c r="A809" t="s">
        <v>262</v>
      </c>
      <c r="B809" t="s">
        <v>1058</v>
      </c>
      <c r="C809" t="s">
        <v>1102</v>
      </c>
      <c r="D809" t="s">
        <v>64</v>
      </c>
      <c r="E809" t="s">
        <v>22</v>
      </c>
      <c r="F809" t="s">
        <v>23</v>
      </c>
      <c r="G809">
        <v>1</v>
      </c>
      <c r="H809">
        <v>9791159283239</v>
      </c>
      <c r="I809" t="s">
        <v>24</v>
      </c>
      <c r="J809" t="s">
        <v>66</v>
      </c>
      <c r="K809" t="s">
        <v>37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2">
        <v>0.7</v>
      </c>
      <c r="S809">
        <v>441</v>
      </c>
      <c r="T809" t="s">
        <v>27</v>
      </c>
      <c r="U809">
        <v>441</v>
      </c>
      <c r="V809" s="7" t="str">
        <f>IF(ISERROR(VLOOKUP(K809,[1]작가별정산률!$R:$S,2,0)),"스토리위즈",VLOOKUP(K809,[1]작가별정산률!$R:$S,2,0))</f>
        <v>스토리위즈</v>
      </c>
      <c r="W809" s="7" t="str">
        <f>IF(V809="스토리위즈",VLOOKUP(K809,[1]작가별정산률!$A:$B,2,0),V809)</f>
        <v>권용찬</v>
      </c>
    </row>
    <row r="810" spans="1:23" x14ac:dyDescent="0.4">
      <c r="A810" t="s">
        <v>262</v>
      </c>
      <c r="B810" t="s">
        <v>1058</v>
      </c>
      <c r="C810" t="s">
        <v>1103</v>
      </c>
      <c r="D810" t="s">
        <v>21</v>
      </c>
      <c r="E810" t="s">
        <v>22</v>
      </c>
      <c r="F810" t="s">
        <v>23</v>
      </c>
      <c r="G810">
        <v>1</v>
      </c>
      <c r="H810">
        <v>9791191562286</v>
      </c>
      <c r="I810" t="s">
        <v>143</v>
      </c>
      <c r="J810" t="s">
        <v>238</v>
      </c>
      <c r="K810" t="s">
        <v>239</v>
      </c>
      <c r="L810" t="s">
        <v>27</v>
      </c>
      <c r="M810" s="3">
        <v>2000</v>
      </c>
      <c r="N810" t="s">
        <v>28</v>
      </c>
      <c r="O810">
        <v>1.65</v>
      </c>
      <c r="P810">
        <v>1.65</v>
      </c>
      <c r="Q810" t="s">
        <v>29</v>
      </c>
      <c r="R810" s="2">
        <v>0.7</v>
      </c>
      <c r="S810">
        <v>1.1499999999999999</v>
      </c>
      <c r="T810" t="s">
        <v>27</v>
      </c>
      <c r="U810" s="3">
        <v>1467</v>
      </c>
      <c r="V810" s="7" t="str">
        <f>IF(ISERROR(VLOOKUP(K810,[1]작가별정산률!$R:$S,2,0)),"스토리위즈",VLOOKUP(K810,[1]작가별정산률!$R:$S,2,0))</f>
        <v>밀리의 서재</v>
      </c>
      <c r="W810" s="7" t="str">
        <f>IF(V810="스토리위즈",VLOOKUP(K810,[1]작가별정산률!$A:$B,2,0),V810)</f>
        <v>밀리의 서재</v>
      </c>
    </row>
    <row r="811" spans="1:23" x14ac:dyDescent="0.4">
      <c r="A811" t="s">
        <v>262</v>
      </c>
      <c r="B811" t="s">
        <v>1058</v>
      </c>
      <c r="C811" t="s">
        <v>1104</v>
      </c>
      <c r="D811" t="s">
        <v>64</v>
      </c>
      <c r="E811" t="s">
        <v>22</v>
      </c>
      <c r="F811" t="s">
        <v>23</v>
      </c>
      <c r="G811">
        <v>1</v>
      </c>
      <c r="H811">
        <v>9791166300691</v>
      </c>
      <c r="I811" t="s">
        <v>24</v>
      </c>
      <c r="J811" t="s">
        <v>152</v>
      </c>
      <c r="K811" t="s">
        <v>119</v>
      </c>
      <c r="L811" t="s">
        <v>27</v>
      </c>
      <c r="M811">
        <v>630</v>
      </c>
      <c r="N811" t="s">
        <v>27</v>
      </c>
      <c r="O811">
        <v>630</v>
      </c>
      <c r="P811">
        <v>630</v>
      </c>
      <c r="Q811" t="s">
        <v>30</v>
      </c>
      <c r="R811" s="2">
        <v>0.7</v>
      </c>
      <c r="S811">
        <v>441</v>
      </c>
      <c r="T811" t="s">
        <v>27</v>
      </c>
      <c r="U811">
        <v>441</v>
      </c>
      <c r="V811" s="7" t="str">
        <f>IF(ISERROR(VLOOKUP(K811,[1]작가별정산률!$R:$S,2,0)),"스토리위즈",VLOOKUP(K811,[1]작가별정산률!$R:$S,2,0))</f>
        <v>스토리위즈</v>
      </c>
      <c r="W811" s="7" t="str">
        <f>IF(V811="스토리위즈",VLOOKUP(K811,[1]작가별정산률!$A:$B,2,0),V811)</f>
        <v>김광수</v>
      </c>
    </row>
    <row r="812" spans="1:23" x14ac:dyDescent="0.4">
      <c r="A812" t="s">
        <v>262</v>
      </c>
      <c r="B812" t="s">
        <v>1058</v>
      </c>
      <c r="C812" t="s">
        <v>1105</v>
      </c>
      <c r="D812" t="s">
        <v>21</v>
      </c>
      <c r="E812" t="s">
        <v>22</v>
      </c>
      <c r="F812" t="s">
        <v>23</v>
      </c>
      <c r="G812">
        <v>1</v>
      </c>
      <c r="H812">
        <v>9791191562125</v>
      </c>
      <c r="I812" t="s">
        <v>143</v>
      </c>
      <c r="J812" t="s">
        <v>212</v>
      </c>
      <c r="K812" t="s">
        <v>213</v>
      </c>
      <c r="L812" t="s">
        <v>27</v>
      </c>
      <c r="M812" s="3">
        <v>2500</v>
      </c>
      <c r="N812" t="s">
        <v>27</v>
      </c>
      <c r="O812" s="3">
        <v>2500</v>
      </c>
      <c r="P812" s="3">
        <v>2500</v>
      </c>
      <c r="Q812" t="s">
        <v>30</v>
      </c>
      <c r="R812" s="2">
        <v>0.7</v>
      </c>
      <c r="S812" s="3">
        <v>1750</v>
      </c>
      <c r="T812" t="s">
        <v>27</v>
      </c>
      <c r="U812" s="3">
        <v>1750</v>
      </c>
      <c r="V812" s="7" t="str">
        <f>IF(ISERROR(VLOOKUP(K812,[1]작가별정산률!$R:$S,2,0)),"스토리위즈",VLOOKUP(K812,[1]작가별정산률!$R:$S,2,0))</f>
        <v>밀리의 서재</v>
      </c>
      <c r="W812" s="7" t="str">
        <f>IF(V812="스토리위즈",VLOOKUP(K812,[1]작가별정산률!$A:$B,2,0),V812)</f>
        <v>밀리의 서재</v>
      </c>
    </row>
    <row r="813" spans="1:23" x14ac:dyDescent="0.4">
      <c r="A813" t="s">
        <v>262</v>
      </c>
      <c r="B813" t="s">
        <v>1058</v>
      </c>
      <c r="C813" t="s">
        <v>1106</v>
      </c>
      <c r="D813" t="s">
        <v>64</v>
      </c>
      <c r="E813" t="s">
        <v>22</v>
      </c>
      <c r="F813" t="s">
        <v>23</v>
      </c>
      <c r="G813">
        <v>1</v>
      </c>
      <c r="H813">
        <v>9791166300462</v>
      </c>
      <c r="I813" t="s">
        <v>24</v>
      </c>
      <c r="J813" t="s">
        <v>144</v>
      </c>
      <c r="K813" t="s">
        <v>119</v>
      </c>
      <c r="L813" t="s">
        <v>27</v>
      </c>
      <c r="M813">
        <v>630</v>
      </c>
      <c r="N813" t="s">
        <v>27</v>
      </c>
      <c r="O813">
        <v>630</v>
      </c>
      <c r="P813">
        <v>630</v>
      </c>
      <c r="Q813" t="s">
        <v>30</v>
      </c>
      <c r="R813" s="2">
        <v>0.7</v>
      </c>
      <c r="S813">
        <v>441</v>
      </c>
      <c r="T813" t="s">
        <v>27</v>
      </c>
      <c r="U813">
        <v>441</v>
      </c>
      <c r="V813" s="7" t="str">
        <f>IF(ISERROR(VLOOKUP(K813,[1]작가별정산률!$R:$S,2,0)),"스토리위즈",VLOOKUP(K813,[1]작가별정산률!$R:$S,2,0))</f>
        <v>스토리위즈</v>
      </c>
      <c r="W813" s="7" t="str">
        <f>IF(V813="스토리위즈",VLOOKUP(K813,[1]작가별정산률!$A:$B,2,0),V813)</f>
        <v>김광수</v>
      </c>
    </row>
    <row r="814" spans="1:23" x14ac:dyDescent="0.4">
      <c r="A814" t="s">
        <v>262</v>
      </c>
      <c r="B814" t="s">
        <v>1058</v>
      </c>
      <c r="C814" t="s">
        <v>1107</v>
      </c>
      <c r="D814" t="s">
        <v>64</v>
      </c>
      <c r="E814" t="s">
        <v>22</v>
      </c>
      <c r="F814" t="s">
        <v>23</v>
      </c>
      <c r="G814">
        <v>1</v>
      </c>
      <c r="H814">
        <v>9791166300295</v>
      </c>
      <c r="I814" t="s">
        <v>24</v>
      </c>
      <c r="J814" t="s">
        <v>138</v>
      </c>
      <c r="K814" t="s">
        <v>119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  <c r="V814" s="7" t="str">
        <f>IF(ISERROR(VLOOKUP(K814,[1]작가별정산률!$R:$S,2,0)),"스토리위즈",VLOOKUP(K814,[1]작가별정산률!$R:$S,2,0))</f>
        <v>스토리위즈</v>
      </c>
      <c r="W814" s="7" t="str">
        <f>IF(V814="스토리위즈",VLOOKUP(K814,[1]작가별정산률!$A:$B,2,0),V814)</f>
        <v>김광수</v>
      </c>
    </row>
    <row r="815" spans="1:23" x14ac:dyDescent="0.4">
      <c r="A815" t="s">
        <v>262</v>
      </c>
      <c r="B815" t="s">
        <v>1058</v>
      </c>
      <c r="C815" t="s">
        <v>1108</v>
      </c>
      <c r="D815" t="s">
        <v>64</v>
      </c>
      <c r="E815" t="s">
        <v>22</v>
      </c>
      <c r="F815" t="s">
        <v>23</v>
      </c>
      <c r="G815">
        <v>1</v>
      </c>
      <c r="H815">
        <v>9791166300158</v>
      </c>
      <c r="I815" t="s">
        <v>24</v>
      </c>
      <c r="J815" t="s">
        <v>125</v>
      </c>
      <c r="K815" t="s">
        <v>119</v>
      </c>
      <c r="L815" t="s">
        <v>27</v>
      </c>
      <c r="M815">
        <v>630</v>
      </c>
      <c r="N815" t="s">
        <v>27</v>
      </c>
      <c r="O815">
        <v>630</v>
      </c>
      <c r="P815">
        <v>630</v>
      </c>
      <c r="Q815" t="s">
        <v>30</v>
      </c>
      <c r="R815" s="2">
        <v>0.7</v>
      </c>
      <c r="S815">
        <v>441</v>
      </c>
      <c r="T815" t="s">
        <v>27</v>
      </c>
      <c r="U815">
        <v>441</v>
      </c>
      <c r="V815" s="7" t="str">
        <f>IF(ISERROR(VLOOKUP(K815,[1]작가별정산률!$R:$S,2,0)),"스토리위즈",VLOOKUP(K815,[1]작가별정산률!$R:$S,2,0))</f>
        <v>스토리위즈</v>
      </c>
      <c r="W815" s="7" t="str">
        <f>IF(V815="스토리위즈",VLOOKUP(K815,[1]작가별정산률!$A:$B,2,0),V815)</f>
        <v>김광수</v>
      </c>
    </row>
    <row r="816" spans="1:23" x14ac:dyDescent="0.4">
      <c r="A816" t="s">
        <v>262</v>
      </c>
      <c r="B816" t="s">
        <v>1058</v>
      </c>
      <c r="C816" t="s">
        <v>1109</v>
      </c>
      <c r="D816" t="s">
        <v>64</v>
      </c>
      <c r="E816" t="s">
        <v>22</v>
      </c>
      <c r="F816" t="s">
        <v>23</v>
      </c>
      <c r="G816">
        <v>1</v>
      </c>
      <c r="H816">
        <v>9791166300639</v>
      </c>
      <c r="I816" t="s">
        <v>24</v>
      </c>
      <c r="J816" t="s">
        <v>165</v>
      </c>
      <c r="K816" t="s">
        <v>119</v>
      </c>
      <c r="L816" t="s">
        <v>27</v>
      </c>
      <c r="M816">
        <v>630</v>
      </c>
      <c r="N816" t="s">
        <v>27</v>
      </c>
      <c r="O816">
        <v>630</v>
      </c>
      <c r="P816">
        <v>630</v>
      </c>
      <c r="Q816" t="s">
        <v>30</v>
      </c>
      <c r="R816" s="2">
        <v>0.7</v>
      </c>
      <c r="S816">
        <v>441</v>
      </c>
      <c r="T816" t="s">
        <v>27</v>
      </c>
      <c r="U816">
        <v>441</v>
      </c>
      <c r="V816" s="7" t="str">
        <f>IF(ISERROR(VLOOKUP(K816,[1]작가별정산률!$R:$S,2,0)),"스토리위즈",VLOOKUP(K816,[1]작가별정산률!$R:$S,2,0))</f>
        <v>스토리위즈</v>
      </c>
      <c r="W816" s="7" t="str">
        <f>IF(V816="스토리위즈",VLOOKUP(K816,[1]작가별정산률!$A:$B,2,0),V816)</f>
        <v>김광수</v>
      </c>
    </row>
    <row r="817" spans="1:23" x14ac:dyDescent="0.4">
      <c r="A817" t="s">
        <v>262</v>
      </c>
      <c r="B817" t="s">
        <v>1058</v>
      </c>
      <c r="C817" t="s">
        <v>1110</v>
      </c>
      <c r="D817" t="s">
        <v>64</v>
      </c>
      <c r="E817" t="s">
        <v>22</v>
      </c>
      <c r="F817" t="s">
        <v>23</v>
      </c>
      <c r="G817">
        <v>1</v>
      </c>
      <c r="H817">
        <v>9791166300479</v>
      </c>
      <c r="I817" t="s">
        <v>24</v>
      </c>
      <c r="J817" t="s">
        <v>145</v>
      </c>
      <c r="K817" t="s">
        <v>119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  <c r="V817" s="7" t="str">
        <f>IF(ISERROR(VLOOKUP(K817,[1]작가별정산률!$R:$S,2,0)),"스토리위즈",VLOOKUP(K817,[1]작가별정산률!$R:$S,2,0))</f>
        <v>스토리위즈</v>
      </c>
      <c r="W817" s="7" t="str">
        <f>IF(V817="스토리위즈",VLOOKUP(K817,[1]작가별정산률!$A:$B,2,0),V817)</f>
        <v>김광수</v>
      </c>
    </row>
    <row r="818" spans="1:23" x14ac:dyDescent="0.4">
      <c r="A818" t="s">
        <v>262</v>
      </c>
      <c r="B818" t="s">
        <v>1058</v>
      </c>
      <c r="C818" t="s">
        <v>1111</v>
      </c>
      <c r="D818" t="s">
        <v>64</v>
      </c>
      <c r="E818" t="s">
        <v>22</v>
      </c>
      <c r="F818" t="s">
        <v>23</v>
      </c>
      <c r="G818">
        <v>1</v>
      </c>
      <c r="H818">
        <v>9791166300608</v>
      </c>
      <c r="I818" t="s">
        <v>24</v>
      </c>
      <c r="J818" t="s">
        <v>162</v>
      </c>
      <c r="K818" t="s">
        <v>119</v>
      </c>
      <c r="L818" t="s">
        <v>27</v>
      </c>
      <c r="M818">
        <v>630</v>
      </c>
      <c r="N818" t="s">
        <v>27</v>
      </c>
      <c r="O818">
        <v>630</v>
      </c>
      <c r="P818">
        <v>630</v>
      </c>
      <c r="Q818" t="s">
        <v>30</v>
      </c>
      <c r="R818" s="2">
        <v>0.7</v>
      </c>
      <c r="S818">
        <v>441</v>
      </c>
      <c r="T818" t="s">
        <v>27</v>
      </c>
      <c r="U818">
        <v>441</v>
      </c>
      <c r="V818" s="7" t="str">
        <f>IF(ISERROR(VLOOKUP(K818,[1]작가별정산률!$R:$S,2,0)),"스토리위즈",VLOOKUP(K818,[1]작가별정산률!$R:$S,2,0))</f>
        <v>스토리위즈</v>
      </c>
      <c r="W818" s="7" t="str">
        <f>IF(V818="스토리위즈",VLOOKUP(K818,[1]작가별정산률!$A:$B,2,0),V818)</f>
        <v>김광수</v>
      </c>
    </row>
    <row r="819" spans="1:23" x14ac:dyDescent="0.4">
      <c r="A819" t="s">
        <v>262</v>
      </c>
      <c r="B819" t="s">
        <v>1058</v>
      </c>
      <c r="C819" t="s">
        <v>1112</v>
      </c>
      <c r="D819" t="s">
        <v>21</v>
      </c>
      <c r="E819" t="s">
        <v>22</v>
      </c>
      <c r="F819" t="s">
        <v>23</v>
      </c>
      <c r="G819">
        <v>1</v>
      </c>
      <c r="H819">
        <v>9791191562262</v>
      </c>
      <c r="I819" t="s">
        <v>143</v>
      </c>
      <c r="J819" t="s">
        <v>250</v>
      </c>
      <c r="K819" t="s">
        <v>251</v>
      </c>
      <c r="L819" t="s">
        <v>27</v>
      </c>
      <c r="M819" s="3">
        <v>2000</v>
      </c>
      <c r="N819" t="s">
        <v>27</v>
      </c>
      <c r="O819" s="3">
        <v>2000</v>
      </c>
      <c r="P819" s="3">
        <v>2000</v>
      </c>
      <c r="Q819" t="s">
        <v>30</v>
      </c>
      <c r="R819" s="2">
        <v>0.7</v>
      </c>
      <c r="S819" s="3">
        <v>1400</v>
      </c>
      <c r="T819" t="s">
        <v>27</v>
      </c>
      <c r="U819" s="3">
        <v>1400</v>
      </c>
      <c r="V819" s="7" t="str">
        <f>IF(ISERROR(VLOOKUP(K819,[1]작가별정산률!$R:$S,2,0)),"스토리위즈",VLOOKUP(K819,[1]작가별정산률!$R:$S,2,0))</f>
        <v>밀리의 서재</v>
      </c>
      <c r="W819" s="7" t="str">
        <f>IF(V819="스토리위즈",VLOOKUP(K819,[1]작가별정산률!$A:$B,2,0),V819)</f>
        <v>밀리의 서재</v>
      </c>
    </row>
    <row r="820" spans="1:23" x14ac:dyDescent="0.4">
      <c r="A820" t="s">
        <v>262</v>
      </c>
      <c r="B820" t="s">
        <v>1058</v>
      </c>
      <c r="C820" t="s">
        <v>1113</v>
      </c>
      <c r="D820" t="s">
        <v>21</v>
      </c>
      <c r="E820" t="s">
        <v>22</v>
      </c>
      <c r="F820" t="s">
        <v>23</v>
      </c>
      <c r="G820">
        <v>1</v>
      </c>
      <c r="H820">
        <v>9791191562002</v>
      </c>
      <c r="I820" t="s">
        <v>143</v>
      </c>
      <c r="J820" t="s">
        <v>193</v>
      </c>
      <c r="K820" t="s">
        <v>192</v>
      </c>
      <c r="L820" t="s">
        <v>27</v>
      </c>
      <c r="M820" s="3">
        <v>2500</v>
      </c>
      <c r="N820" t="s">
        <v>27</v>
      </c>
      <c r="O820" s="3">
        <v>2500</v>
      </c>
      <c r="P820" s="3">
        <v>2500</v>
      </c>
      <c r="Q820" t="s">
        <v>30</v>
      </c>
      <c r="R820" s="2">
        <v>0.7</v>
      </c>
      <c r="S820" s="3">
        <v>1750</v>
      </c>
      <c r="T820" t="s">
        <v>27</v>
      </c>
      <c r="U820" s="3">
        <v>1750</v>
      </c>
      <c r="V820" s="7" t="str">
        <f>IF(ISERROR(VLOOKUP(K820,[1]작가별정산률!$R:$S,2,0)),"스토리위즈",VLOOKUP(K820,[1]작가별정산률!$R:$S,2,0))</f>
        <v>밀리의 서재</v>
      </c>
      <c r="W820" s="7" t="str">
        <f>IF(V820="스토리위즈",VLOOKUP(K820,[1]작가별정산률!$A:$B,2,0),V820)</f>
        <v>밀리의 서재</v>
      </c>
    </row>
    <row r="821" spans="1:23" x14ac:dyDescent="0.4">
      <c r="A821" t="s">
        <v>262</v>
      </c>
      <c r="B821" t="s">
        <v>1058</v>
      </c>
      <c r="C821" t="s">
        <v>1114</v>
      </c>
      <c r="D821" t="s">
        <v>64</v>
      </c>
      <c r="E821" t="s">
        <v>22</v>
      </c>
      <c r="F821" t="s">
        <v>23</v>
      </c>
      <c r="G821">
        <v>1</v>
      </c>
      <c r="H821">
        <v>9791166300103</v>
      </c>
      <c r="I821" t="s">
        <v>24</v>
      </c>
      <c r="J821" t="s">
        <v>120</v>
      </c>
      <c r="K821" t="s">
        <v>119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2">
        <v>0.7</v>
      </c>
      <c r="S821">
        <v>441</v>
      </c>
      <c r="T821" t="s">
        <v>27</v>
      </c>
      <c r="U821">
        <v>441</v>
      </c>
      <c r="V821" s="7" t="str">
        <f>IF(ISERROR(VLOOKUP(K821,[1]작가별정산률!$R:$S,2,0)),"스토리위즈",VLOOKUP(K821,[1]작가별정산률!$R:$S,2,0))</f>
        <v>스토리위즈</v>
      </c>
      <c r="W821" s="7" t="str">
        <f>IF(V821="스토리위즈",VLOOKUP(K821,[1]작가별정산률!$A:$B,2,0),V821)</f>
        <v>김광수</v>
      </c>
    </row>
    <row r="822" spans="1:23" x14ac:dyDescent="0.4">
      <c r="A822" t="s">
        <v>262</v>
      </c>
      <c r="B822" t="s">
        <v>1058</v>
      </c>
      <c r="C822" t="s">
        <v>1115</v>
      </c>
      <c r="D822" t="s">
        <v>21</v>
      </c>
      <c r="E822" t="s">
        <v>22</v>
      </c>
      <c r="F822" t="s">
        <v>23</v>
      </c>
      <c r="G822">
        <v>1</v>
      </c>
      <c r="H822">
        <v>9791191562125</v>
      </c>
      <c r="I822" t="s">
        <v>143</v>
      </c>
      <c r="J822" t="s">
        <v>212</v>
      </c>
      <c r="K822" t="s">
        <v>213</v>
      </c>
      <c r="L822" t="s">
        <v>27</v>
      </c>
      <c r="M822" s="3">
        <v>2500</v>
      </c>
      <c r="N822" t="s">
        <v>27</v>
      </c>
      <c r="O822" s="3">
        <v>2500</v>
      </c>
      <c r="P822" s="3">
        <v>2500</v>
      </c>
      <c r="Q822" t="s">
        <v>30</v>
      </c>
      <c r="R822" s="2">
        <v>0.7</v>
      </c>
      <c r="S822" s="3">
        <v>1750</v>
      </c>
      <c r="T822" t="s">
        <v>27</v>
      </c>
      <c r="U822" s="3">
        <v>1750</v>
      </c>
      <c r="V822" s="7" t="str">
        <f>IF(ISERROR(VLOOKUP(K822,[1]작가별정산률!$R:$S,2,0)),"스토리위즈",VLOOKUP(K822,[1]작가별정산률!$R:$S,2,0))</f>
        <v>밀리의 서재</v>
      </c>
      <c r="W822" s="7" t="str">
        <f>IF(V822="스토리위즈",VLOOKUP(K822,[1]작가별정산률!$A:$B,2,0),V822)</f>
        <v>밀리의 서재</v>
      </c>
    </row>
    <row r="823" spans="1:23" x14ac:dyDescent="0.4">
      <c r="A823" t="s">
        <v>262</v>
      </c>
      <c r="B823" t="s">
        <v>1058</v>
      </c>
      <c r="C823" t="s">
        <v>1116</v>
      </c>
      <c r="D823" t="s">
        <v>21</v>
      </c>
      <c r="E823" t="s">
        <v>22</v>
      </c>
      <c r="F823" t="s">
        <v>23</v>
      </c>
      <c r="G823">
        <v>1</v>
      </c>
      <c r="H823">
        <v>9791159289583</v>
      </c>
      <c r="I823" t="s">
        <v>24</v>
      </c>
      <c r="J823" t="s">
        <v>141</v>
      </c>
      <c r="K823" t="s">
        <v>140</v>
      </c>
      <c r="L823" t="s">
        <v>27</v>
      </c>
      <c r="M823" s="3">
        <v>3200</v>
      </c>
      <c r="N823" t="s">
        <v>27</v>
      </c>
      <c r="O823" s="3">
        <v>3200</v>
      </c>
      <c r="P823" s="3">
        <v>3200</v>
      </c>
      <c r="Q823" t="s">
        <v>30</v>
      </c>
      <c r="R823" s="2">
        <v>0.7</v>
      </c>
      <c r="S823" s="3">
        <v>2240</v>
      </c>
      <c r="T823" t="s">
        <v>27</v>
      </c>
      <c r="U823" s="3">
        <v>2240</v>
      </c>
      <c r="V823" s="7" t="str">
        <f>IF(ISERROR(VLOOKUP(K823,[1]작가별정산률!$R:$S,2,0)),"스토리위즈",VLOOKUP(K823,[1]작가별정산률!$R:$S,2,0))</f>
        <v>스토리위즈</v>
      </c>
      <c r="W823" s="7" t="str">
        <f>IF(V823="스토리위즈",VLOOKUP(K823,[1]작가별정산률!$A:$B,2,0),V823)</f>
        <v>이동열</v>
      </c>
    </row>
    <row r="824" spans="1:23" x14ac:dyDescent="0.4">
      <c r="A824" t="s">
        <v>262</v>
      </c>
      <c r="B824" t="s">
        <v>1058</v>
      </c>
      <c r="C824" t="s">
        <v>1117</v>
      </c>
      <c r="D824" t="s">
        <v>21</v>
      </c>
      <c r="E824" t="s">
        <v>22</v>
      </c>
      <c r="F824" t="s">
        <v>23</v>
      </c>
      <c r="G824">
        <v>1</v>
      </c>
      <c r="H824">
        <v>9791166065781</v>
      </c>
      <c r="I824" t="s">
        <v>24</v>
      </c>
      <c r="J824" t="s">
        <v>1118</v>
      </c>
      <c r="K824" t="s">
        <v>228</v>
      </c>
      <c r="L824" t="s">
        <v>27</v>
      </c>
      <c r="M824" s="3">
        <v>3200</v>
      </c>
      <c r="N824" t="s">
        <v>28</v>
      </c>
      <c r="O824">
        <v>2.64</v>
      </c>
      <c r="P824">
        <v>2.64</v>
      </c>
      <c r="Q824" t="s">
        <v>29</v>
      </c>
      <c r="R824" s="2">
        <v>0.7</v>
      </c>
      <c r="S824">
        <v>1.85</v>
      </c>
      <c r="T824" t="s">
        <v>27</v>
      </c>
      <c r="U824" s="3">
        <v>2383</v>
      </c>
      <c r="V824" s="7" t="str">
        <f>IF(ISERROR(VLOOKUP(K824,[1]작가별정산률!$R:$S,2,0)),"스토리위즈",VLOOKUP(K824,[1]작가별정산률!$R:$S,2,0))</f>
        <v>스토리위즈</v>
      </c>
      <c r="W824" s="7" t="str">
        <f>IF(V824="스토리위즈",VLOOKUP(K824,[1]작가별정산률!$A:$B,2,0),V824)</f>
        <v>청빙</v>
      </c>
    </row>
    <row r="825" spans="1:23" x14ac:dyDescent="0.4">
      <c r="A825" t="s">
        <v>262</v>
      </c>
      <c r="B825" t="s">
        <v>1058</v>
      </c>
      <c r="C825" t="s">
        <v>1119</v>
      </c>
      <c r="D825" t="s">
        <v>64</v>
      </c>
      <c r="E825" t="s">
        <v>22</v>
      </c>
      <c r="F825" t="s">
        <v>23</v>
      </c>
      <c r="G825">
        <v>1</v>
      </c>
      <c r="H825">
        <v>9791166300257</v>
      </c>
      <c r="I825" t="s">
        <v>24</v>
      </c>
      <c r="J825" t="s">
        <v>134</v>
      </c>
      <c r="K825" t="s">
        <v>119</v>
      </c>
      <c r="L825" t="s">
        <v>27</v>
      </c>
      <c r="M825">
        <v>630</v>
      </c>
      <c r="N825" t="s">
        <v>27</v>
      </c>
      <c r="O825">
        <v>630</v>
      </c>
      <c r="P825">
        <v>630</v>
      </c>
      <c r="Q825" t="s">
        <v>30</v>
      </c>
      <c r="R825" s="2">
        <v>0.7</v>
      </c>
      <c r="S825">
        <v>441</v>
      </c>
      <c r="T825" t="s">
        <v>27</v>
      </c>
      <c r="U825">
        <v>441</v>
      </c>
      <c r="V825" s="7" t="str">
        <f>IF(ISERROR(VLOOKUP(K825,[1]작가별정산률!$R:$S,2,0)),"스토리위즈",VLOOKUP(K825,[1]작가별정산률!$R:$S,2,0))</f>
        <v>스토리위즈</v>
      </c>
      <c r="W825" s="7" t="str">
        <f>IF(V825="스토리위즈",VLOOKUP(K825,[1]작가별정산률!$A:$B,2,0),V825)</f>
        <v>김광수</v>
      </c>
    </row>
    <row r="826" spans="1:23" x14ac:dyDescent="0.4">
      <c r="A826" t="s">
        <v>262</v>
      </c>
      <c r="B826" t="s">
        <v>1058</v>
      </c>
      <c r="C826" t="s">
        <v>1120</v>
      </c>
      <c r="D826" t="s">
        <v>64</v>
      </c>
      <c r="E826" t="s">
        <v>22</v>
      </c>
      <c r="F826" t="s">
        <v>23</v>
      </c>
      <c r="G826">
        <v>1</v>
      </c>
      <c r="H826">
        <v>9791166300530</v>
      </c>
      <c r="I826" t="s">
        <v>24</v>
      </c>
      <c r="J826" t="s">
        <v>151</v>
      </c>
      <c r="K826" t="s">
        <v>119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2">
        <v>0.7</v>
      </c>
      <c r="S826">
        <v>441</v>
      </c>
      <c r="T826" t="s">
        <v>27</v>
      </c>
      <c r="U826">
        <v>441</v>
      </c>
      <c r="V826" s="7" t="str">
        <f>IF(ISERROR(VLOOKUP(K826,[1]작가별정산률!$R:$S,2,0)),"스토리위즈",VLOOKUP(K826,[1]작가별정산률!$R:$S,2,0))</f>
        <v>스토리위즈</v>
      </c>
      <c r="W826" s="7" t="str">
        <f>IF(V826="스토리위즈",VLOOKUP(K826,[1]작가별정산률!$A:$B,2,0),V826)</f>
        <v>김광수</v>
      </c>
    </row>
    <row r="827" spans="1:23" x14ac:dyDescent="0.4">
      <c r="A827" t="s">
        <v>262</v>
      </c>
      <c r="B827" t="s">
        <v>1121</v>
      </c>
      <c r="C827" t="s">
        <v>1122</v>
      </c>
      <c r="D827" t="s">
        <v>64</v>
      </c>
      <c r="E827" t="s">
        <v>22</v>
      </c>
      <c r="F827" t="s">
        <v>23</v>
      </c>
      <c r="G827">
        <v>1</v>
      </c>
      <c r="H827">
        <v>9791166300110</v>
      </c>
      <c r="I827" t="s">
        <v>24</v>
      </c>
      <c r="J827" t="s">
        <v>121</v>
      </c>
      <c r="K827" t="s">
        <v>119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  <c r="V827" s="7" t="str">
        <f>IF(ISERROR(VLOOKUP(K827,[1]작가별정산률!$R:$S,2,0)),"스토리위즈",VLOOKUP(K827,[1]작가별정산률!$R:$S,2,0))</f>
        <v>스토리위즈</v>
      </c>
      <c r="W827" s="7" t="str">
        <f>IF(V827="스토리위즈",VLOOKUP(K827,[1]작가별정산률!$A:$B,2,0),V827)</f>
        <v>김광수</v>
      </c>
    </row>
    <row r="828" spans="1:23" x14ac:dyDescent="0.4">
      <c r="A828" t="s">
        <v>262</v>
      </c>
      <c r="B828" t="s">
        <v>1121</v>
      </c>
      <c r="C828" t="s">
        <v>1123</v>
      </c>
      <c r="D828" t="s">
        <v>64</v>
      </c>
      <c r="E828" t="s">
        <v>22</v>
      </c>
      <c r="F828" t="s">
        <v>23</v>
      </c>
      <c r="G828">
        <v>1</v>
      </c>
      <c r="H828">
        <v>9791166300165</v>
      </c>
      <c r="I828" t="s">
        <v>24</v>
      </c>
      <c r="J828" t="s">
        <v>126</v>
      </c>
      <c r="K828" t="s">
        <v>119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  <c r="V828" s="7" t="str">
        <f>IF(ISERROR(VLOOKUP(K828,[1]작가별정산률!$R:$S,2,0)),"스토리위즈",VLOOKUP(K828,[1]작가별정산률!$R:$S,2,0))</f>
        <v>스토리위즈</v>
      </c>
      <c r="W828" s="7" t="str">
        <f>IF(V828="스토리위즈",VLOOKUP(K828,[1]작가별정산률!$A:$B,2,0),V828)</f>
        <v>김광수</v>
      </c>
    </row>
    <row r="829" spans="1:23" x14ac:dyDescent="0.4">
      <c r="A829" t="s">
        <v>262</v>
      </c>
      <c r="B829" t="s">
        <v>1121</v>
      </c>
      <c r="C829" t="s">
        <v>1124</v>
      </c>
      <c r="D829" t="s">
        <v>64</v>
      </c>
      <c r="E829" t="s">
        <v>22</v>
      </c>
      <c r="F829" t="s">
        <v>23</v>
      </c>
      <c r="G829">
        <v>1</v>
      </c>
      <c r="H829">
        <v>9791166300691</v>
      </c>
      <c r="I829" t="s">
        <v>24</v>
      </c>
      <c r="J829" t="s">
        <v>152</v>
      </c>
      <c r="K829" t="s">
        <v>119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  <c r="V829" s="7" t="str">
        <f>IF(ISERROR(VLOOKUP(K829,[1]작가별정산률!$R:$S,2,0)),"스토리위즈",VLOOKUP(K829,[1]작가별정산률!$R:$S,2,0))</f>
        <v>스토리위즈</v>
      </c>
      <c r="W829" s="7" t="str">
        <f>IF(V829="스토리위즈",VLOOKUP(K829,[1]작가별정산률!$A:$B,2,0),V829)</f>
        <v>김광수</v>
      </c>
    </row>
    <row r="830" spans="1:23" x14ac:dyDescent="0.4">
      <c r="A830" t="s">
        <v>262</v>
      </c>
      <c r="B830" t="s">
        <v>1121</v>
      </c>
      <c r="C830" t="s">
        <v>1125</v>
      </c>
      <c r="D830" t="s">
        <v>64</v>
      </c>
      <c r="E830" t="s">
        <v>22</v>
      </c>
      <c r="F830" t="s">
        <v>23</v>
      </c>
      <c r="G830">
        <v>1</v>
      </c>
      <c r="H830">
        <v>9791166300141</v>
      </c>
      <c r="I830" t="s">
        <v>24</v>
      </c>
      <c r="J830" t="s">
        <v>124</v>
      </c>
      <c r="K830" t="s">
        <v>119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  <c r="V830" s="7" t="str">
        <f>IF(ISERROR(VLOOKUP(K830,[1]작가별정산률!$R:$S,2,0)),"스토리위즈",VLOOKUP(K830,[1]작가별정산률!$R:$S,2,0))</f>
        <v>스토리위즈</v>
      </c>
      <c r="W830" s="7" t="str">
        <f>IF(V830="스토리위즈",VLOOKUP(K830,[1]작가별정산률!$A:$B,2,0),V830)</f>
        <v>김광수</v>
      </c>
    </row>
    <row r="831" spans="1:23" x14ac:dyDescent="0.4">
      <c r="A831" t="s">
        <v>262</v>
      </c>
      <c r="B831" t="s">
        <v>1121</v>
      </c>
      <c r="C831" t="s">
        <v>1126</v>
      </c>
      <c r="D831" t="s">
        <v>21</v>
      </c>
      <c r="E831" t="s">
        <v>22</v>
      </c>
      <c r="F831" t="s">
        <v>23</v>
      </c>
      <c r="G831">
        <v>1</v>
      </c>
      <c r="H831">
        <v>9791191562262</v>
      </c>
      <c r="I831" t="s">
        <v>143</v>
      </c>
      <c r="J831" t="s">
        <v>250</v>
      </c>
      <c r="K831" t="s">
        <v>251</v>
      </c>
      <c r="L831" t="s">
        <v>27</v>
      </c>
      <c r="M831" s="3">
        <v>2000</v>
      </c>
      <c r="N831" t="s">
        <v>27</v>
      </c>
      <c r="O831" s="3">
        <v>2000</v>
      </c>
      <c r="P831" s="3">
        <v>2000</v>
      </c>
      <c r="Q831" t="s">
        <v>30</v>
      </c>
      <c r="R831" s="2">
        <v>0.7</v>
      </c>
      <c r="S831" s="3">
        <v>1400</v>
      </c>
      <c r="T831" t="s">
        <v>27</v>
      </c>
      <c r="U831" s="3">
        <v>1400</v>
      </c>
      <c r="V831" s="7" t="str">
        <f>IF(ISERROR(VLOOKUP(K831,[1]작가별정산률!$R:$S,2,0)),"스토리위즈",VLOOKUP(K831,[1]작가별정산률!$R:$S,2,0))</f>
        <v>밀리의 서재</v>
      </c>
      <c r="W831" s="7" t="str">
        <f>IF(V831="스토리위즈",VLOOKUP(K831,[1]작가별정산률!$A:$B,2,0),V831)</f>
        <v>밀리의 서재</v>
      </c>
    </row>
    <row r="832" spans="1:23" x14ac:dyDescent="0.4">
      <c r="A832" t="s">
        <v>262</v>
      </c>
      <c r="B832" t="s">
        <v>1121</v>
      </c>
      <c r="C832" t="s">
        <v>1127</v>
      </c>
      <c r="D832" t="s">
        <v>64</v>
      </c>
      <c r="E832" t="s">
        <v>22</v>
      </c>
      <c r="F832" t="s">
        <v>23</v>
      </c>
      <c r="G832">
        <v>1</v>
      </c>
      <c r="H832">
        <v>9791166300479</v>
      </c>
      <c r="I832" t="s">
        <v>24</v>
      </c>
      <c r="J832" t="s">
        <v>145</v>
      </c>
      <c r="K832" t="s">
        <v>119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  <c r="V832" s="7" t="str">
        <f>IF(ISERROR(VLOOKUP(K832,[1]작가별정산률!$R:$S,2,0)),"스토리위즈",VLOOKUP(K832,[1]작가별정산률!$R:$S,2,0))</f>
        <v>스토리위즈</v>
      </c>
      <c r="W832" s="7" t="str">
        <f>IF(V832="스토리위즈",VLOOKUP(K832,[1]작가별정산률!$A:$B,2,0),V832)</f>
        <v>김광수</v>
      </c>
    </row>
    <row r="833" spans="1:23" x14ac:dyDescent="0.4">
      <c r="A833" t="s">
        <v>262</v>
      </c>
      <c r="B833" t="s">
        <v>1121</v>
      </c>
      <c r="C833" t="s">
        <v>1128</v>
      </c>
      <c r="D833" t="s">
        <v>21</v>
      </c>
      <c r="E833" t="s">
        <v>22</v>
      </c>
      <c r="F833" t="s">
        <v>23</v>
      </c>
      <c r="G833">
        <v>1</v>
      </c>
      <c r="H833">
        <v>9791159289590</v>
      </c>
      <c r="I833" t="s">
        <v>24</v>
      </c>
      <c r="J833" t="s">
        <v>170</v>
      </c>
      <c r="K833" t="s">
        <v>140</v>
      </c>
      <c r="L833" t="s">
        <v>27</v>
      </c>
      <c r="M833" s="3">
        <v>3200</v>
      </c>
      <c r="N833" t="s">
        <v>27</v>
      </c>
      <c r="O833" s="3">
        <v>3200</v>
      </c>
      <c r="P833" s="3">
        <v>3200</v>
      </c>
      <c r="Q833" t="s">
        <v>30</v>
      </c>
      <c r="R833" s="2">
        <v>0.7</v>
      </c>
      <c r="S833" s="3">
        <v>2240</v>
      </c>
      <c r="T833" t="s">
        <v>27</v>
      </c>
      <c r="U833" s="3">
        <v>2240</v>
      </c>
      <c r="V833" s="7" t="str">
        <f>IF(ISERROR(VLOOKUP(K833,[1]작가별정산률!$R:$S,2,0)),"스토리위즈",VLOOKUP(K833,[1]작가별정산률!$R:$S,2,0))</f>
        <v>스토리위즈</v>
      </c>
      <c r="W833" s="7" t="str">
        <f>IF(V833="스토리위즈",VLOOKUP(K833,[1]작가별정산률!$A:$B,2,0),V833)</f>
        <v>이동열</v>
      </c>
    </row>
    <row r="834" spans="1:23" x14ac:dyDescent="0.4">
      <c r="A834" t="s">
        <v>262</v>
      </c>
      <c r="B834" t="s">
        <v>1121</v>
      </c>
      <c r="C834" t="s">
        <v>1129</v>
      </c>
      <c r="D834" t="s">
        <v>64</v>
      </c>
      <c r="E834" t="s">
        <v>22</v>
      </c>
      <c r="F834" t="s">
        <v>23</v>
      </c>
      <c r="G834">
        <v>1</v>
      </c>
      <c r="H834">
        <v>9791166300141</v>
      </c>
      <c r="I834" t="s">
        <v>24</v>
      </c>
      <c r="J834" t="s">
        <v>124</v>
      </c>
      <c r="K834" t="s">
        <v>119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  <c r="V834" s="7" t="str">
        <f>IF(ISERROR(VLOOKUP(K834,[1]작가별정산률!$R:$S,2,0)),"스토리위즈",VLOOKUP(K834,[1]작가별정산률!$R:$S,2,0))</f>
        <v>스토리위즈</v>
      </c>
      <c r="W834" s="7" t="str">
        <f>IF(V834="스토리위즈",VLOOKUP(K834,[1]작가별정산률!$A:$B,2,0),V834)</f>
        <v>김광수</v>
      </c>
    </row>
    <row r="835" spans="1:23" x14ac:dyDescent="0.4">
      <c r="A835" t="s">
        <v>262</v>
      </c>
      <c r="B835" t="s">
        <v>1121</v>
      </c>
      <c r="C835" t="s">
        <v>1130</v>
      </c>
      <c r="D835" t="s">
        <v>21</v>
      </c>
      <c r="E835" t="s">
        <v>22</v>
      </c>
      <c r="F835" t="s">
        <v>23</v>
      </c>
      <c r="G835">
        <v>1</v>
      </c>
      <c r="H835">
        <v>9791166300172</v>
      </c>
      <c r="I835" t="s">
        <v>24</v>
      </c>
      <c r="J835" t="s">
        <v>127</v>
      </c>
      <c r="K835" t="s">
        <v>119</v>
      </c>
      <c r="L835" t="s">
        <v>27</v>
      </c>
      <c r="M835" s="3">
        <v>3200</v>
      </c>
      <c r="N835" t="s">
        <v>27</v>
      </c>
      <c r="O835" s="3">
        <v>3200</v>
      </c>
      <c r="P835" s="3">
        <v>3200</v>
      </c>
      <c r="Q835" t="s">
        <v>30</v>
      </c>
      <c r="R835" s="2">
        <v>0.7</v>
      </c>
      <c r="S835" s="3">
        <v>2240</v>
      </c>
      <c r="T835" t="s">
        <v>27</v>
      </c>
      <c r="U835" s="3">
        <v>2240</v>
      </c>
      <c r="V835" s="7" t="str">
        <f>IF(ISERROR(VLOOKUP(K835,[1]작가별정산률!$R:$S,2,0)),"스토리위즈",VLOOKUP(K835,[1]작가별정산률!$R:$S,2,0))</f>
        <v>스토리위즈</v>
      </c>
      <c r="W835" s="7" t="str">
        <f>IF(V835="스토리위즈",VLOOKUP(K835,[1]작가별정산률!$A:$B,2,0),V835)</f>
        <v>김광수</v>
      </c>
    </row>
    <row r="836" spans="1:23" x14ac:dyDescent="0.4">
      <c r="A836" t="s">
        <v>262</v>
      </c>
      <c r="B836" t="s">
        <v>1121</v>
      </c>
      <c r="C836" t="s">
        <v>1131</v>
      </c>
      <c r="D836" t="s">
        <v>21</v>
      </c>
      <c r="E836" t="s">
        <v>22</v>
      </c>
      <c r="F836" t="s">
        <v>23</v>
      </c>
      <c r="G836">
        <v>1</v>
      </c>
      <c r="H836">
        <v>9791191562019</v>
      </c>
      <c r="I836" t="s">
        <v>143</v>
      </c>
      <c r="J836" t="s">
        <v>194</v>
      </c>
      <c r="K836" t="s">
        <v>186</v>
      </c>
      <c r="L836" t="s">
        <v>27</v>
      </c>
      <c r="M836" s="3">
        <v>2000</v>
      </c>
      <c r="N836" t="s">
        <v>200</v>
      </c>
      <c r="O836">
        <v>1.61</v>
      </c>
      <c r="P836">
        <v>1.5</v>
      </c>
      <c r="Q836" t="s">
        <v>202</v>
      </c>
      <c r="R836" s="2">
        <v>0.7</v>
      </c>
      <c r="S836">
        <v>1.05</v>
      </c>
      <c r="T836" t="s">
        <v>27</v>
      </c>
      <c r="U836" s="3">
        <v>1422</v>
      </c>
      <c r="V836" s="7" t="str">
        <f>IF(ISERROR(VLOOKUP(K836,[1]작가별정산률!$R:$S,2,0)),"스토리위즈",VLOOKUP(K836,[1]작가별정산률!$R:$S,2,0))</f>
        <v>밀리의 서재</v>
      </c>
      <c r="W836" s="7" t="str">
        <f>IF(V836="스토리위즈",VLOOKUP(K836,[1]작가별정산률!$A:$B,2,0),V836)</f>
        <v>밀리의 서재</v>
      </c>
    </row>
    <row r="837" spans="1:23" x14ac:dyDescent="0.4">
      <c r="A837" t="s">
        <v>262</v>
      </c>
      <c r="B837" t="s">
        <v>1121</v>
      </c>
      <c r="C837" t="s">
        <v>1132</v>
      </c>
      <c r="D837" t="s">
        <v>21</v>
      </c>
      <c r="E837" t="s">
        <v>22</v>
      </c>
      <c r="F837" t="s">
        <v>23</v>
      </c>
      <c r="G837">
        <v>1</v>
      </c>
      <c r="H837">
        <v>9791189084257</v>
      </c>
      <c r="I837" t="s">
        <v>143</v>
      </c>
      <c r="J837" t="s">
        <v>982</v>
      </c>
      <c r="K837" t="s">
        <v>983</v>
      </c>
      <c r="L837" t="s">
        <v>27</v>
      </c>
      <c r="M837" s="3">
        <v>3600</v>
      </c>
      <c r="N837" t="s">
        <v>27</v>
      </c>
      <c r="O837" s="3">
        <v>3600</v>
      </c>
      <c r="P837" s="3">
        <v>3600</v>
      </c>
      <c r="Q837" t="s">
        <v>30</v>
      </c>
      <c r="R837" s="2">
        <v>0.7</v>
      </c>
      <c r="S837" s="3">
        <v>2520</v>
      </c>
      <c r="T837" t="s">
        <v>27</v>
      </c>
      <c r="U837" s="3">
        <v>2520</v>
      </c>
      <c r="V837" s="7" t="str">
        <f>IF(ISERROR(VLOOKUP(K837,[1]작가별정산률!$R:$S,2,0)),"스토리위즈",VLOOKUP(K837,[1]작가별정산률!$R:$S,2,0))</f>
        <v>스토리위즈</v>
      </c>
      <c r="W837" s="7" t="str">
        <f>IF(V837="스토리위즈",VLOOKUP(K837,[1]작가별정산률!$A:$B,2,0),V837)</f>
        <v>스내치</v>
      </c>
    </row>
    <row r="838" spans="1:23" x14ac:dyDescent="0.4">
      <c r="A838" t="s">
        <v>262</v>
      </c>
      <c r="B838" t="s">
        <v>1121</v>
      </c>
      <c r="C838" t="s">
        <v>1133</v>
      </c>
      <c r="D838" t="s">
        <v>64</v>
      </c>
      <c r="E838" t="s">
        <v>22</v>
      </c>
      <c r="F838" t="s">
        <v>23</v>
      </c>
      <c r="G838">
        <v>1</v>
      </c>
      <c r="H838">
        <v>9791159285844</v>
      </c>
      <c r="I838" t="s">
        <v>24</v>
      </c>
      <c r="J838" t="s">
        <v>52</v>
      </c>
      <c r="K838" t="s">
        <v>37</v>
      </c>
      <c r="L838" t="s">
        <v>27</v>
      </c>
      <c r="M838">
        <v>630</v>
      </c>
      <c r="N838" t="s">
        <v>27</v>
      </c>
      <c r="O838">
        <v>630</v>
      </c>
      <c r="P838">
        <v>630</v>
      </c>
      <c r="Q838" t="s">
        <v>30</v>
      </c>
      <c r="R838" s="2">
        <v>0.7</v>
      </c>
      <c r="S838">
        <v>441</v>
      </c>
      <c r="T838" t="s">
        <v>27</v>
      </c>
      <c r="U838">
        <v>441</v>
      </c>
      <c r="V838" s="7" t="str">
        <f>IF(ISERROR(VLOOKUP(K838,[1]작가별정산률!$R:$S,2,0)),"스토리위즈",VLOOKUP(K838,[1]작가별정산률!$R:$S,2,0))</f>
        <v>스토리위즈</v>
      </c>
      <c r="W838" s="7" t="str">
        <f>IF(V838="스토리위즈",VLOOKUP(K838,[1]작가별정산률!$A:$B,2,0),V838)</f>
        <v>권용찬</v>
      </c>
    </row>
    <row r="839" spans="1:23" x14ac:dyDescent="0.4">
      <c r="A839" t="s">
        <v>262</v>
      </c>
      <c r="B839" t="s">
        <v>1121</v>
      </c>
      <c r="C839" t="s">
        <v>1134</v>
      </c>
      <c r="D839" t="s">
        <v>21</v>
      </c>
      <c r="E839" t="s">
        <v>22</v>
      </c>
      <c r="F839" t="s">
        <v>23</v>
      </c>
      <c r="G839">
        <v>1</v>
      </c>
      <c r="H839">
        <v>9791166065798</v>
      </c>
      <c r="I839" t="s">
        <v>24</v>
      </c>
      <c r="J839" t="s">
        <v>1135</v>
      </c>
      <c r="K839" t="s">
        <v>228</v>
      </c>
      <c r="L839" t="s">
        <v>27</v>
      </c>
      <c r="M839" s="3">
        <v>3200</v>
      </c>
      <c r="N839" t="s">
        <v>28</v>
      </c>
      <c r="O839">
        <v>2.64</v>
      </c>
      <c r="P839">
        <v>2.64</v>
      </c>
      <c r="Q839" t="s">
        <v>29</v>
      </c>
      <c r="R839" s="2">
        <v>0.7</v>
      </c>
      <c r="S839">
        <v>1.85</v>
      </c>
      <c r="T839" t="s">
        <v>27</v>
      </c>
      <c r="U839" s="3">
        <v>2385</v>
      </c>
      <c r="V839" s="7" t="str">
        <f>IF(ISERROR(VLOOKUP(K839,[1]작가별정산률!$R:$S,2,0)),"스토리위즈",VLOOKUP(K839,[1]작가별정산률!$R:$S,2,0))</f>
        <v>스토리위즈</v>
      </c>
      <c r="W839" s="7" t="str">
        <f>IF(V839="스토리위즈",VLOOKUP(K839,[1]작가별정산률!$A:$B,2,0),V839)</f>
        <v>청빙</v>
      </c>
    </row>
    <row r="840" spans="1:23" x14ac:dyDescent="0.4">
      <c r="A840" t="s">
        <v>262</v>
      </c>
      <c r="B840" t="s">
        <v>1121</v>
      </c>
      <c r="C840" t="s">
        <v>1134</v>
      </c>
      <c r="D840" t="s">
        <v>21</v>
      </c>
      <c r="E840" t="s">
        <v>22</v>
      </c>
      <c r="F840" t="s">
        <v>23</v>
      </c>
      <c r="G840">
        <v>1</v>
      </c>
      <c r="H840">
        <v>9791166065804</v>
      </c>
      <c r="I840" t="s">
        <v>24</v>
      </c>
      <c r="J840" t="s">
        <v>1136</v>
      </c>
      <c r="K840" t="s">
        <v>228</v>
      </c>
      <c r="L840" t="s">
        <v>27</v>
      </c>
      <c r="M840" s="3">
        <v>3200</v>
      </c>
      <c r="N840" t="s">
        <v>28</v>
      </c>
      <c r="O840">
        <v>2.64</v>
      </c>
      <c r="P840">
        <v>2.64</v>
      </c>
      <c r="Q840" t="s">
        <v>29</v>
      </c>
      <c r="R840" s="2">
        <v>0.7</v>
      </c>
      <c r="S840">
        <v>1.85</v>
      </c>
      <c r="T840" t="s">
        <v>27</v>
      </c>
      <c r="U840" s="3">
        <v>2385</v>
      </c>
      <c r="V840" s="7" t="str">
        <f>IF(ISERROR(VLOOKUP(K840,[1]작가별정산률!$R:$S,2,0)),"스토리위즈",VLOOKUP(K840,[1]작가별정산률!$R:$S,2,0))</f>
        <v>스토리위즈</v>
      </c>
      <c r="W840" s="7" t="str">
        <f>IF(V840="스토리위즈",VLOOKUP(K840,[1]작가별정산률!$A:$B,2,0),V840)</f>
        <v>청빙</v>
      </c>
    </row>
    <row r="841" spans="1:23" x14ac:dyDescent="0.4">
      <c r="A841" t="s">
        <v>262</v>
      </c>
      <c r="B841" t="s">
        <v>1121</v>
      </c>
      <c r="C841" t="s">
        <v>1134</v>
      </c>
      <c r="D841" t="s">
        <v>21</v>
      </c>
      <c r="E841" t="s">
        <v>22</v>
      </c>
      <c r="F841" t="s">
        <v>23</v>
      </c>
      <c r="G841">
        <v>1</v>
      </c>
      <c r="H841">
        <v>9791166065811</v>
      </c>
      <c r="I841" t="s">
        <v>24</v>
      </c>
      <c r="J841" t="s">
        <v>1137</v>
      </c>
      <c r="K841" t="s">
        <v>228</v>
      </c>
      <c r="L841" t="s">
        <v>27</v>
      </c>
      <c r="M841" s="3">
        <v>3200</v>
      </c>
      <c r="N841" t="s">
        <v>28</v>
      </c>
      <c r="O841">
        <v>2.64</v>
      </c>
      <c r="P841">
        <v>2.64</v>
      </c>
      <c r="Q841" t="s">
        <v>29</v>
      </c>
      <c r="R841" s="2">
        <v>0.7</v>
      </c>
      <c r="S841">
        <v>1.85</v>
      </c>
      <c r="T841" t="s">
        <v>27</v>
      </c>
      <c r="U841" s="3">
        <v>2385</v>
      </c>
      <c r="V841" s="7" t="str">
        <f>IF(ISERROR(VLOOKUP(K841,[1]작가별정산률!$R:$S,2,0)),"스토리위즈",VLOOKUP(K841,[1]작가별정산률!$R:$S,2,0))</f>
        <v>스토리위즈</v>
      </c>
      <c r="W841" s="7" t="str">
        <f>IF(V841="스토리위즈",VLOOKUP(K841,[1]작가별정산률!$A:$B,2,0),V841)</f>
        <v>청빙</v>
      </c>
    </row>
    <row r="842" spans="1:23" x14ac:dyDescent="0.4">
      <c r="A842" t="s">
        <v>262</v>
      </c>
      <c r="B842" t="s">
        <v>1121</v>
      </c>
      <c r="C842" t="s">
        <v>1134</v>
      </c>
      <c r="D842" t="s">
        <v>21</v>
      </c>
      <c r="E842" t="s">
        <v>22</v>
      </c>
      <c r="F842" t="s">
        <v>23</v>
      </c>
      <c r="G842">
        <v>1</v>
      </c>
      <c r="H842">
        <v>9791166065828</v>
      </c>
      <c r="I842" t="s">
        <v>24</v>
      </c>
      <c r="J842" t="s">
        <v>1138</v>
      </c>
      <c r="K842" t="s">
        <v>228</v>
      </c>
      <c r="L842" t="s">
        <v>27</v>
      </c>
      <c r="M842" s="3">
        <v>3200</v>
      </c>
      <c r="N842" t="s">
        <v>28</v>
      </c>
      <c r="O842">
        <v>2.64</v>
      </c>
      <c r="P842">
        <v>2.64</v>
      </c>
      <c r="Q842" t="s">
        <v>29</v>
      </c>
      <c r="R842" s="2">
        <v>0.7</v>
      </c>
      <c r="S842">
        <v>1.85</v>
      </c>
      <c r="T842" t="s">
        <v>27</v>
      </c>
      <c r="U842" s="3">
        <v>2385</v>
      </c>
      <c r="V842" s="7" t="str">
        <f>IF(ISERROR(VLOOKUP(K842,[1]작가별정산률!$R:$S,2,0)),"스토리위즈",VLOOKUP(K842,[1]작가별정산률!$R:$S,2,0))</f>
        <v>스토리위즈</v>
      </c>
      <c r="W842" s="7" t="str">
        <f>IF(V842="스토리위즈",VLOOKUP(K842,[1]작가별정산률!$A:$B,2,0),V842)</f>
        <v>청빙</v>
      </c>
    </row>
    <row r="843" spans="1:23" x14ac:dyDescent="0.4">
      <c r="A843" t="s">
        <v>262</v>
      </c>
      <c r="B843" t="s">
        <v>1121</v>
      </c>
      <c r="C843" t="s">
        <v>1139</v>
      </c>
      <c r="D843" t="s">
        <v>64</v>
      </c>
      <c r="E843" t="s">
        <v>22</v>
      </c>
      <c r="F843" t="s">
        <v>23</v>
      </c>
      <c r="G843">
        <v>1</v>
      </c>
      <c r="H843">
        <v>9791166300615</v>
      </c>
      <c r="I843" t="s">
        <v>24</v>
      </c>
      <c r="J843" t="s">
        <v>163</v>
      </c>
      <c r="K843" t="s">
        <v>119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  <c r="V843" s="7" t="str">
        <f>IF(ISERROR(VLOOKUP(K843,[1]작가별정산률!$R:$S,2,0)),"스토리위즈",VLOOKUP(K843,[1]작가별정산률!$R:$S,2,0))</f>
        <v>스토리위즈</v>
      </c>
      <c r="W843" s="7" t="str">
        <f>IF(V843="스토리위즈",VLOOKUP(K843,[1]작가별정산률!$A:$B,2,0),V843)</f>
        <v>김광수</v>
      </c>
    </row>
    <row r="844" spans="1:23" x14ac:dyDescent="0.4">
      <c r="A844" t="s">
        <v>262</v>
      </c>
      <c r="B844" t="s">
        <v>1121</v>
      </c>
      <c r="C844" t="s">
        <v>1140</v>
      </c>
      <c r="D844" t="s">
        <v>64</v>
      </c>
      <c r="E844" t="s">
        <v>22</v>
      </c>
      <c r="F844" t="s">
        <v>23</v>
      </c>
      <c r="G844">
        <v>1</v>
      </c>
      <c r="H844">
        <v>9791166300530</v>
      </c>
      <c r="I844" t="s">
        <v>24</v>
      </c>
      <c r="J844" t="s">
        <v>151</v>
      </c>
      <c r="K844" t="s">
        <v>119</v>
      </c>
      <c r="L844" t="s">
        <v>27</v>
      </c>
      <c r="M844">
        <v>630</v>
      </c>
      <c r="N844" t="s">
        <v>27</v>
      </c>
      <c r="O844">
        <v>630</v>
      </c>
      <c r="P844">
        <v>630</v>
      </c>
      <c r="Q844" t="s">
        <v>30</v>
      </c>
      <c r="R844" s="2">
        <v>0.7</v>
      </c>
      <c r="S844">
        <v>441</v>
      </c>
      <c r="T844" t="s">
        <v>27</v>
      </c>
      <c r="U844">
        <v>441</v>
      </c>
      <c r="V844" s="7" t="str">
        <f>IF(ISERROR(VLOOKUP(K844,[1]작가별정산률!$R:$S,2,0)),"스토리위즈",VLOOKUP(K844,[1]작가별정산률!$R:$S,2,0))</f>
        <v>스토리위즈</v>
      </c>
      <c r="W844" s="7" t="str">
        <f>IF(V844="스토리위즈",VLOOKUP(K844,[1]작가별정산률!$A:$B,2,0),V844)</f>
        <v>김광수</v>
      </c>
    </row>
    <row r="845" spans="1:23" x14ac:dyDescent="0.4">
      <c r="A845" t="s">
        <v>262</v>
      </c>
      <c r="B845" t="s">
        <v>1121</v>
      </c>
      <c r="C845" t="s">
        <v>1141</v>
      </c>
      <c r="D845" t="s">
        <v>21</v>
      </c>
      <c r="E845" t="s">
        <v>22</v>
      </c>
      <c r="F845" t="s">
        <v>23</v>
      </c>
      <c r="G845">
        <v>1</v>
      </c>
      <c r="H845">
        <v>9791191562248</v>
      </c>
      <c r="I845" t="s">
        <v>143</v>
      </c>
      <c r="J845" t="s">
        <v>231</v>
      </c>
      <c r="K845" t="s">
        <v>232</v>
      </c>
      <c r="L845" t="s">
        <v>27</v>
      </c>
      <c r="M845" s="3">
        <v>2000</v>
      </c>
      <c r="N845" t="s">
        <v>27</v>
      </c>
      <c r="O845" s="3">
        <v>2000</v>
      </c>
      <c r="P845" s="3">
        <v>2000</v>
      </c>
      <c r="Q845" t="s">
        <v>30</v>
      </c>
      <c r="R845" s="2">
        <v>0.7</v>
      </c>
      <c r="S845" s="3">
        <v>1400</v>
      </c>
      <c r="T845" t="s">
        <v>27</v>
      </c>
      <c r="U845" s="3">
        <v>1400</v>
      </c>
      <c r="V845" s="7" t="str">
        <f>IF(ISERROR(VLOOKUP(K845,[1]작가별정산률!$R:$S,2,0)),"스토리위즈",VLOOKUP(K845,[1]작가별정산률!$R:$S,2,0))</f>
        <v>밀리의 서재</v>
      </c>
      <c r="W845" s="7" t="str">
        <f>IF(V845="스토리위즈",VLOOKUP(K845,[1]작가별정산률!$A:$B,2,0),V845)</f>
        <v>밀리의 서재</v>
      </c>
    </row>
    <row r="846" spans="1:23" x14ac:dyDescent="0.4">
      <c r="A846" t="s">
        <v>262</v>
      </c>
      <c r="B846" t="s">
        <v>1121</v>
      </c>
      <c r="C846" t="s">
        <v>1142</v>
      </c>
      <c r="D846" t="s">
        <v>64</v>
      </c>
      <c r="E846" t="s">
        <v>22</v>
      </c>
      <c r="F846" t="s">
        <v>23</v>
      </c>
      <c r="G846">
        <v>1</v>
      </c>
      <c r="H846">
        <v>9791166300103</v>
      </c>
      <c r="I846" t="s">
        <v>24</v>
      </c>
      <c r="J846" t="s">
        <v>120</v>
      </c>
      <c r="K846" t="s">
        <v>119</v>
      </c>
      <c r="L846" t="s">
        <v>27</v>
      </c>
      <c r="M846">
        <v>630</v>
      </c>
      <c r="N846" t="s">
        <v>27</v>
      </c>
      <c r="O846">
        <v>630</v>
      </c>
      <c r="P846">
        <v>630</v>
      </c>
      <c r="Q846" t="s">
        <v>30</v>
      </c>
      <c r="R846" s="2">
        <v>0.7</v>
      </c>
      <c r="S846">
        <v>441</v>
      </c>
      <c r="T846" t="s">
        <v>27</v>
      </c>
      <c r="U846">
        <v>441</v>
      </c>
      <c r="V846" s="7" t="str">
        <f>IF(ISERROR(VLOOKUP(K846,[1]작가별정산률!$R:$S,2,0)),"스토리위즈",VLOOKUP(K846,[1]작가별정산률!$R:$S,2,0))</f>
        <v>스토리위즈</v>
      </c>
      <c r="W846" s="7" t="str">
        <f>IF(V846="스토리위즈",VLOOKUP(K846,[1]작가별정산률!$A:$B,2,0),V846)</f>
        <v>김광수</v>
      </c>
    </row>
    <row r="847" spans="1:23" x14ac:dyDescent="0.4">
      <c r="A847" t="s">
        <v>262</v>
      </c>
      <c r="B847" t="s">
        <v>1121</v>
      </c>
      <c r="C847" t="s">
        <v>1143</v>
      </c>
      <c r="D847" t="s">
        <v>21</v>
      </c>
      <c r="E847" t="s">
        <v>22</v>
      </c>
      <c r="F847" t="s">
        <v>23</v>
      </c>
      <c r="G847">
        <v>1</v>
      </c>
      <c r="H847">
        <v>9791189084578</v>
      </c>
      <c r="I847" t="s">
        <v>143</v>
      </c>
      <c r="J847" t="s">
        <v>1144</v>
      </c>
      <c r="K847" t="s">
        <v>983</v>
      </c>
      <c r="L847" t="s">
        <v>27</v>
      </c>
      <c r="M847" s="3">
        <v>3800</v>
      </c>
      <c r="N847" t="s">
        <v>27</v>
      </c>
      <c r="O847" s="3">
        <v>3800</v>
      </c>
      <c r="P847" s="3">
        <v>3800</v>
      </c>
      <c r="Q847" t="s">
        <v>30</v>
      </c>
      <c r="R847" s="2">
        <v>0.7</v>
      </c>
      <c r="S847" s="3">
        <v>2660</v>
      </c>
      <c r="T847" t="s">
        <v>27</v>
      </c>
      <c r="U847" s="3">
        <v>2660</v>
      </c>
      <c r="V847" s="7" t="str">
        <f>IF(ISERROR(VLOOKUP(K847,[1]작가별정산률!$R:$S,2,0)),"스토리위즈",VLOOKUP(K847,[1]작가별정산률!$R:$S,2,0))</f>
        <v>스토리위즈</v>
      </c>
      <c r="W847" s="7" t="str">
        <f>IF(V847="스토리위즈",VLOOKUP(K847,[1]작가별정산률!$A:$B,2,0),V847)</f>
        <v>스내치</v>
      </c>
    </row>
    <row r="848" spans="1:23" x14ac:dyDescent="0.4">
      <c r="A848" t="s">
        <v>262</v>
      </c>
      <c r="B848" t="s">
        <v>1121</v>
      </c>
      <c r="C848" t="s">
        <v>1145</v>
      </c>
      <c r="D848" t="s">
        <v>21</v>
      </c>
      <c r="E848" t="s">
        <v>22</v>
      </c>
      <c r="F848" t="s">
        <v>23</v>
      </c>
      <c r="G848">
        <v>1</v>
      </c>
      <c r="H848">
        <v>9791189084004</v>
      </c>
      <c r="I848" t="s">
        <v>143</v>
      </c>
      <c r="J848" t="s">
        <v>1146</v>
      </c>
      <c r="K848" t="s">
        <v>983</v>
      </c>
      <c r="L848" t="s">
        <v>27</v>
      </c>
      <c r="M848" s="3">
        <v>3600</v>
      </c>
      <c r="N848" t="s">
        <v>27</v>
      </c>
      <c r="O848" s="3">
        <v>3600</v>
      </c>
      <c r="P848" s="3">
        <v>3600</v>
      </c>
      <c r="Q848" t="s">
        <v>30</v>
      </c>
      <c r="R848" s="2">
        <v>0.7</v>
      </c>
      <c r="S848" s="3">
        <v>2520</v>
      </c>
      <c r="T848" t="s">
        <v>27</v>
      </c>
      <c r="U848" s="3">
        <v>2520</v>
      </c>
      <c r="V848" s="7" t="str">
        <f>IF(ISERROR(VLOOKUP(K848,[1]작가별정산률!$R:$S,2,0)),"스토리위즈",VLOOKUP(K848,[1]작가별정산률!$R:$S,2,0))</f>
        <v>스토리위즈</v>
      </c>
      <c r="W848" s="7" t="str">
        <f>IF(V848="스토리위즈",VLOOKUP(K848,[1]작가별정산률!$A:$B,2,0),V848)</f>
        <v>스내치</v>
      </c>
    </row>
    <row r="849" spans="1:23" x14ac:dyDescent="0.4">
      <c r="A849" t="s">
        <v>262</v>
      </c>
      <c r="B849" t="s">
        <v>1121</v>
      </c>
      <c r="C849" t="s">
        <v>1147</v>
      </c>
      <c r="D849" t="s">
        <v>21</v>
      </c>
      <c r="E849" t="s">
        <v>22</v>
      </c>
      <c r="F849" t="s">
        <v>23</v>
      </c>
      <c r="G849">
        <v>1</v>
      </c>
      <c r="H849">
        <v>9791159289606</v>
      </c>
      <c r="I849" t="s">
        <v>24</v>
      </c>
      <c r="J849" t="s">
        <v>171</v>
      </c>
      <c r="K849" t="s">
        <v>140</v>
      </c>
      <c r="L849" t="s">
        <v>27</v>
      </c>
      <c r="M849" s="3">
        <v>3200</v>
      </c>
      <c r="N849" t="s">
        <v>27</v>
      </c>
      <c r="O849" s="3">
        <v>3200</v>
      </c>
      <c r="P849" s="3">
        <v>3200</v>
      </c>
      <c r="Q849" t="s">
        <v>30</v>
      </c>
      <c r="R849" s="2">
        <v>0.7</v>
      </c>
      <c r="S849" s="3">
        <v>2240</v>
      </c>
      <c r="T849" t="s">
        <v>27</v>
      </c>
      <c r="U849" s="3">
        <v>2240</v>
      </c>
      <c r="V849" s="7" t="str">
        <f>IF(ISERROR(VLOOKUP(K849,[1]작가별정산률!$R:$S,2,0)),"스토리위즈",VLOOKUP(K849,[1]작가별정산률!$R:$S,2,0))</f>
        <v>스토리위즈</v>
      </c>
      <c r="W849" s="7" t="str">
        <f>IF(V849="스토리위즈",VLOOKUP(K849,[1]작가별정산률!$A:$B,2,0),V849)</f>
        <v>이동열</v>
      </c>
    </row>
    <row r="850" spans="1:23" x14ac:dyDescent="0.4">
      <c r="A850" t="s">
        <v>262</v>
      </c>
      <c r="B850" t="s">
        <v>1121</v>
      </c>
      <c r="C850" t="s">
        <v>1148</v>
      </c>
      <c r="D850" t="s">
        <v>21</v>
      </c>
      <c r="E850" t="s">
        <v>22</v>
      </c>
      <c r="F850" t="s">
        <v>23</v>
      </c>
      <c r="G850">
        <v>1</v>
      </c>
      <c r="H850">
        <v>9791189084813</v>
      </c>
      <c r="I850" t="s">
        <v>143</v>
      </c>
      <c r="J850" t="s">
        <v>563</v>
      </c>
      <c r="K850" t="s">
        <v>564</v>
      </c>
      <c r="L850" t="s">
        <v>27</v>
      </c>
      <c r="M850" s="3">
        <v>4000</v>
      </c>
      <c r="N850" t="s">
        <v>27</v>
      </c>
      <c r="O850" s="3">
        <v>4000</v>
      </c>
      <c r="P850" s="3">
        <v>4000</v>
      </c>
      <c r="Q850" t="s">
        <v>30</v>
      </c>
      <c r="R850" s="2">
        <v>0.7</v>
      </c>
      <c r="S850" s="3">
        <v>2800</v>
      </c>
      <c r="T850" t="s">
        <v>27</v>
      </c>
      <c r="U850" s="3">
        <v>2800</v>
      </c>
      <c r="V850" s="7" t="str">
        <f>IF(ISERROR(VLOOKUP(K850,[1]작가별정산률!$R:$S,2,0)),"스토리위즈",VLOOKUP(K850,[1]작가별정산률!$R:$S,2,0))</f>
        <v>스토리위즈</v>
      </c>
      <c r="W850" s="7" t="str">
        <f>IF(V850="스토리위즈",VLOOKUP(K850,[1]작가별정산률!$A:$B,2,0),V850)</f>
        <v>셔틀</v>
      </c>
    </row>
    <row r="851" spans="1:23" x14ac:dyDescent="0.4">
      <c r="A851" t="s">
        <v>262</v>
      </c>
      <c r="B851" t="s">
        <v>1121</v>
      </c>
      <c r="C851" t="s">
        <v>1149</v>
      </c>
      <c r="D851" t="s">
        <v>64</v>
      </c>
      <c r="E851" t="s">
        <v>22</v>
      </c>
      <c r="F851" t="s">
        <v>23</v>
      </c>
      <c r="G851">
        <v>1</v>
      </c>
      <c r="H851">
        <v>9791166300622</v>
      </c>
      <c r="I851" t="s">
        <v>24</v>
      </c>
      <c r="J851" t="s">
        <v>164</v>
      </c>
      <c r="K851" t="s">
        <v>119</v>
      </c>
      <c r="L851" t="s">
        <v>27</v>
      </c>
      <c r="M851">
        <v>630</v>
      </c>
      <c r="N851" t="s">
        <v>27</v>
      </c>
      <c r="O851">
        <v>630</v>
      </c>
      <c r="P851">
        <v>630</v>
      </c>
      <c r="Q851" t="s">
        <v>30</v>
      </c>
      <c r="R851" s="2">
        <v>0.7</v>
      </c>
      <c r="S851">
        <v>441</v>
      </c>
      <c r="T851" t="s">
        <v>27</v>
      </c>
      <c r="U851">
        <v>441</v>
      </c>
      <c r="V851" s="7" t="str">
        <f>IF(ISERROR(VLOOKUP(K851,[1]작가별정산률!$R:$S,2,0)),"스토리위즈",VLOOKUP(K851,[1]작가별정산률!$R:$S,2,0))</f>
        <v>스토리위즈</v>
      </c>
      <c r="W851" s="7" t="str">
        <f>IF(V851="스토리위즈",VLOOKUP(K851,[1]작가별정산률!$A:$B,2,0),V851)</f>
        <v>김광수</v>
      </c>
    </row>
    <row r="852" spans="1:23" x14ac:dyDescent="0.4">
      <c r="A852" t="s">
        <v>262</v>
      </c>
      <c r="B852" t="s">
        <v>1121</v>
      </c>
      <c r="C852" t="s">
        <v>1150</v>
      </c>
      <c r="D852" t="s">
        <v>64</v>
      </c>
      <c r="E852" t="s">
        <v>22</v>
      </c>
      <c r="F852" t="s">
        <v>23</v>
      </c>
      <c r="G852">
        <v>1</v>
      </c>
      <c r="H852">
        <v>9791159283185</v>
      </c>
      <c r="I852" t="s">
        <v>24</v>
      </c>
      <c r="J852" t="s">
        <v>89</v>
      </c>
      <c r="K852" t="s">
        <v>37</v>
      </c>
      <c r="L852" t="s">
        <v>27</v>
      </c>
      <c r="M852">
        <v>900</v>
      </c>
      <c r="N852" t="s">
        <v>27</v>
      </c>
      <c r="O852">
        <v>900</v>
      </c>
      <c r="P852">
        <v>900</v>
      </c>
      <c r="Q852" t="s">
        <v>30</v>
      </c>
      <c r="R852" s="2">
        <v>0.7</v>
      </c>
      <c r="S852">
        <v>630</v>
      </c>
      <c r="T852" t="s">
        <v>27</v>
      </c>
      <c r="U852">
        <v>630</v>
      </c>
      <c r="V852" s="7" t="str">
        <f>IF(ISERROR(VLOOKUP(K852,[1]작가별정산률!$R:$S,2,0)),"스토리위즈",VLOOKUP(K852,[1]작가별정산률!$R:$S,2,0))</f>
        <v>스토리위즈</v>
      </c>
      <c r="W852" s="7" t="str">
        <f>IF(V852="스토리위즈",VLOOKUP(K852,[1]작가별정산률!$A:$B,2,0),V852)</f>
        <v>권용찬</v>
      </c>
    </row>
    <row r="853" spans="1:23" x14ac:dyDescent="0.4">
      <c r="A853" t="s">
        <v>262</v>
      </c>
      <c r="B853" t="s">
        <v>1121</v>
      </c>
      <c r="C853" t="s">
        <v>1151</v>
      </c>
      <c r="D853" t="s">
        <v>64</v>
      </c>
      <c r="E853" t="s">
        <v>22</v>
      </c>
      <c r="F853" t="s">
        <v>23</v>
      </c>
      <c r="G853">
        <v>1</v>
      </c>
      <c r="H853">
        <v>9791166300202</v>
      </c>
      <c r="I853" t="s">
        <v>24</v>
      </c>
      <c r="J853" t="s">
        <v>129</v>
      </c>
      <c r="K853" t="s">
        <v>119</v>
      </c>
      <c r="L853" t="s">
        <v>27</v>
      </c>
      <c r="M853">
        <v>630</v>
      </c>
      <c r="N853" t="s">
        <v>27</v>
      </c>
      <c r="O853">
        <v>630</v>
      </c>
      <c r="P853">
        <v>630</v>
      </c>
      <c r="Q853" t="s">
        <v>30</v>
      </c>
      <c r="R853" s="2">
        <v>0.7</v>
      </c>
      <c r="S853">
        <v>441</v>
      </c>
      <c r="T853" t="s">
        <v>27</v>
      </c>
      <c r="U853">
        <v>441</v>
      </c>
      <c r="V853" s="7" t="str">
        <f>IF(ISERROR(VLOOKUP(K853,[1]작가별정산률!$R:$S,2,0)),"스토리위즈",VLOOKUP(K853,[1]작가별정산률!$R:$S,2,0))</f>
        <v>스토리위즈</v>
      </c>
      <c r="W853" s="7" t="str">
        <f>IF(V853="스토리위즈",VLOOKUP(K853,[1]작가별정산률!$A:$B,2,0),V853)</f>
        <v>김광수</v>
      </c>
    </row>
    <row r="854" spans="1:23" x14ac:dyDescent="0.4">
      <c r="A854" t="s">
        <v>262</v>
      </c>
      <c r="B854" t="s">
        <v>1121</v>
      </c>
      <c r="C854" t="s">
        <v>1152</v>
      </c>
      <c r="D854" t="s">
        <v>21</v>
      </c>
      <c r="E854" t="s">
        <v>22</v>
      </c>
      <c r="F854" t="s">
        <v>23</v>
      </c>
      <c r="G854">
        <v>1</v>
      </c>
      <c r="H854">
        <v>9791189084813</v>
      </c>
      <c r="I854" t="s">
        <v>143</v>
      </c>
      <c r="J854" t="s">
        <v>563</v>
      </c>
      <c r="K854" t="s">
        <v>564</v>
      </c>
      <c r="L854" t="s">
        <v>27</v>
      </c>
      <c r="M854" s="3">
        <v>4000</v>
      </c>
      <c r="N854" t="s">
        <v>27</v>
      </c>
      <c r="O854" s="3">
        <v>4000</v>
      </c>
      <c r="P854" s="3">
        <v>4000</v>
      </c>
      <c r="Q854" t="s">
        <v>30</v>
      </c>
      <c r="R854" s="2">
        <v>0.7</v>
      </c>
      <c r="S854" s="3">
        <v>2800</v>
      </c>
      <c r="T854" t="s">
        <v>27</v>
      </c>
      <c r="U854" s="3">
        <v>2800</v>
      </c>
      <c r="V854" s="7" t="str">
        <f>IF(ISERROR(VLOOKUP(K854,[1]작가별정산률!$R:$S,2,0)),"스토리위즈",VLOOKUP(K854,[1]작가별정산률!$R:$S,2,0))</f>
        <v>스토리위즈</v>
      </c>
      <c r="W854" s="7" t="str">
        <f>IF(V854="스토리위즈",VLOOKUP(K854,[1]작가별정산률!$A:$B,2,0),V854)</f>
        <v>셔틀</v>
      </c>
    </row>
    <row r="855" spans="1:23" x14ac:dyDescent="0.4">
      <c r="A855" t="s">
        <v>262</v>
      </c>
      <c r="B855" t="s">
        <v>1121</v>
      </c>
      <c r="C855" t="s">
        <v>1153</v>
      </c>
      <c r="D855" t="s">
        <v>64</v>
      </c>
      <c r="E855" t="s">
        <v>22</v>
      </c>
      <c r="F855" t="s">
        <v>23</v>
      </c>
      <c r="G855">
        <v>1</v>
      </c>
      <c r="H855">
        <v>9791166064067</v>
      </c>
      <c r="I855" t="s">
        <v>24</v>
      </c>
      <c r="J855" t="s">
        <v>81</v>
      </c>
      <c r="K855" t="s">
        <v>37</v>
      </c>
      <c r="L855" t="s">
        <v>27</v>
      </c>
      <c r="M855">
        <v>900</v>
      </c>
      <c r="N855" t="s">
        <v>27</v>
      </c>
      <c r="O855">
        <v>900</v>
      </c>
      <c r="P855">
        <v>900</v>
      </c>
      <c r="Q855" t="s">
        <v>30</v>
      </c>
      <c r="R855" s="2">
        <v>0.7</v>
      </c>
      <c r="S855">
        <v>630</v>
      </c>
      <c r="T855" t="s">
        <v>27</v>
      </c>
      <c r="U855">
        <v>630</v>
      </c>
      <c r="V855" s="7" t="str">
        <f>IF(ISERROR(VLOOKUP(K855,[1]작가별정산률!$R:$S,2,0)),"스토리위즈",VLOOKUP(K855,[1]작가별정산률!$R:$S,2,0))</f>
        <v>스토리위즈</v>
      </c>
      <c r="W855" s="7" t="str">
        <f>IF(V855="스토리위즈",VLOOKUP(K855,[1]작가별정산률!$A:$B,2,0),V855)</f>
        <v>권용찬</v>
      </c>
    </row>
    <row r="856" spans="1:23" x14ac:dyDescent="0.4">
      <c r="A856" t="s">
        <v>262</v>
      </c>
      <c r="B856" t="s">
        <v>1121</v>
      </c>
      <c r="C856" t="s">
        <v>1154</v>
      </c>
      <c r="D856" t="s">
        <v>64</v>
      </c>
      <c r="E856" t="s">
        <v>22</v>
      </c>
      <c r="F856" t="s">
        <v>23</v>
      </c>
      <c r="G856">
        <v>1</v>
      </c>
      <c r="H856">
        <v>9791159283246</v>
      </c>
      <c r="I856" t="s">
        <v>24</v>
      </c>
      <c r="J856" t="s">
        <v>67</v>
      </c>
      <c r="K856" t="s">
        <v>37</v>
      </c>
      <c r="L856" t="s">
        <v>27</v>
      </c>
      <c r="M856">
        <v>630</v>
      </c>
      <c r="N856" t="s">
        <v>27</v>
      </c>
      <c r="O856">
        <v>630</v>
      </c>
      <c r="P856">
        <v>630</v>
      </c>
      <c r="Q856" t="s">
        <v>30</v>
      </c>
      <c r="R856" s="2">
        <v>0.7</v>
      </c>
      <c r="S856">
        <v>441</v>
      </c>
      <c r="T856" t="s">
        <v>27</v>
      </c>
      <c r="U856">
        <v>441</v>
      </c>
      <c r="V856" s="7" t="str">
        <f>IF(ISERROR(VLOOKUP(K856,[1]작가별정산률!$R:$S,2,0)),"스토리위즈",VLOOKUP(K856,[1]작가별정산률!$R:$S,2,0))</f>
        <v>스토리위즈</v>
      </c>
      <c r="W856" s="7" t="str">
        <f>IF(V856="스토리위즈",VLOOKUP(K856,[1]작가별정산률!$A:$B,2,0),V856)</f>
        <v>권용찬</v>
      </c>
    </row>
    <row r="857" spans="1:23" x14ac:dyDescent="0.4">
      <c r="A857" t="s">
        <v>262</v>
      </c>
      <c r="B857" t="s">
        <v>1121</v>
      </c>
      <c r="C857" t="s">
        <v>1155</v>
      </c>
      <c r="D857" t="s">
        <v>21</v>
      </c>
      <c r="E857" t="s">
        <v>22</v>
      </c>
      <c r="F857" t="s">
        <v>23</v>
      </c>
      <c r="G857">
        <v>1</v>
      </c>
      <c r="H857">
        <v>9791191562286</v>
      </c>
      <c r="I857" t="s">
        <v>143</v>
      </c>
      <c r="J857" t="s">
        <v>238</v>
      </c>
      <c r="K857" t="s">
        <v>239</v>
      </c>
      <c r="L857" t="s">
        <v>27</v>
      </c>
      <c r="M857" s="3">
        <v>2000</v>
      </c>
      <c r="N857" t="s">
        <v>28</v>
      </c>
      <c r="O857">
        <v>1.65</v>
      </c>
      <c r="P857">
        <v>1.65</v>
      </c>
      <c r="Q857" t="s">
        <v>29</v>
      </c>
      <c r="R857" s="2">
        <v>0.7</v>
      </c>
      <c r="S857">
        <v>1.1499999999999999</v>
      </c>
      <c r="T857" t="s">
        <v>27</v>
      </c>
      <c r="U857" s="3">
        <v>1483</v>
      </c>
      <c r="V857" s="7" t="str">
        <f>IF(ISERROR(VLOOKUP(K857,[1]작가별정산률!$R:$S,2,0)),"스토리위즈",VLOOKUP(K857,[1]작가별정산률!$R:$S,2,0))</f>
        <v>밀리의 서재</v>
      </c>
      <c r="W857" s="7" t="str">
        <f>IF(V857="스토리위즈",VLOOKUP(K857,[1]작가별정산률!$A:$B,2,0),V857)</f>
        <v>밀리의 서재</v>
      </c>
    </row>
    <row r="858" spans="1:23" x14ac:dyDescent="0.4">
      <c r="A858" t="s">
        <v>262</v>
      </c>
      <c r="B858" t="s">
        <v>1121</v>
      </c>
      <c r="C858" t="s">
        <v>1156</v>
      </c>
      <c r="D858" t="s">
        <v>64</v>
      </c>
      <c r="E858" t="s">
        <v>22</v>
      </c>
      <c r="F858" t="s">
        <v>23</v>
      </c>
      <c r="G858">
        <v>1</v>
      </c>
      <c r="H858">
        <v>9791166300486</v>
      </c>
      <c r="I858" t="s">
        <v>24</v>
      </c>
      <c r="J858" t="s">
        <v>146</v>
      </c>
      <c r="K858" t="s">
        <v>119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2">
        <v>0.7</v>
      </c>
      <c r="S858">
        <v>441</v>
      </c>
      <c r="T858" t="s">
        <v>27</v>
      </c>
      <c r="U858">
        <v>441</v>
      </c>
      <c r="V858" s="7" t="str">
        <f>IF(ISERROR(VLOOKUP(K858,[1]작가별정산률!$R:$S,2,0)),"스토리위즈",VLOOKUP(K858,[1]작가별정산률!$R:$S,2,0))</f>
        <v>스토리위즈</v>
      </c>
      <c r="W858" s="7" t="str">
        <f>IF(V858="스토리위즈",VLOOKUP(K858,[1]작가별정산률!$A:$B,2,0),V858)</f>
        <v>김광수</v>
      </c>
    </row>
    <row r="859" spans="1:23" x14ac:dyDescent="0.4">
      <c r="A859" t="s">
        <v>262</v>
      </c>
      <c r="B859" t="s">
        <v>1121</v>
      </c>
      <c r="C859" t="s">
        <v>1157</v>
      </c>
      <c r="D859" t="s">
        <v>64</v>
      </c>
      <c r="E859" t="s">
        <v>22</v>
      </c>
      <c r="F859" t="s">
        <v>23</v>
      </c>
      <c r="G859">
        <v>1</v>
      </c>
      <c r="H859">
        <v>9791166300103</v>
      </c>
      <c r="I859" t="s">
        <v>24</v>
      </c>
      <c r="J859" t="s">
        <v>120</v>
      </c>
      <c r="K859" t="s">
        <v>119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  <c r="V859" s="7" t="str">
        <f>IF(ISERROR(VLOOKUP(K859,[1]작가별정산률!$R:$S,2,0)),"스토리위즈",VLOOKUP(K859,[1]작가별정산률!$R:$S,2,0))</f>
        <v>스토리위즈</v>
      </c>
      <c r="W859" s="7" t="str">
        <f>IF(V859="스토리위즈",VLOOKUP(K859,[1]작가별정산률!$A:$B,2,0),V859)</f>
        <v>김광수</v>
      </c>
    </row>
    <row r="860" spans="1:23" x14ac:dyDescent="0.4">
      <c r="A860" t="s">
        <v>262</v>
      </c>
      <c r="B860" t="s">
        <v>1121</v>
      </c>
      <c r="C860" t="s">
        <v>1158</v>
      </c>
      <c r="D860" t="s">
        <v>64</v>
      </c>
      <c r="E860" t="s">
        <v>22</v>
      </c>
      <c r="F860" t="s">
        <v>23</v>
      </c>
      <c r="G860">
        <v>1</v>
      </c>
      <c r="H860">
        <v>9791166300110</v>
      </c>
      <c r="I860" t="s">
        <v>24</v>
      </c>
      <c r="J860" t="s">
        <v>121</v>
      </c>
      <c r="K860" t="s">
        <v>119</v>
      </c>
      <c r="L860" t="s">
        <v>27</v>
      </c>
      <c r="M860">
        <v>630</v>
      </c>
      <c r="N860" t="s">
        <v>27</v>
      </c>
      <c r="O860">
        <v>630</v>
      </c>
      <c r="P860">
        <v>630</v>
      </c>
      <c r="Q860" t="s">
        <v>30</v>
      </c>
      <c r="R860" s="2">
        <v>0.7</v>
      </c>
      <c r="S860">
        <v>441</v>
      </c>
      <c r="T860" t="s">
        <v>27</v>
      </c>
      <c r="U860">
        <v>441</v>
      </c>
      <c r="V860" s="7" t="str">
        <f>IF(ISERROR(VLOOKUP(K860,[1]작가별정산률!$R:$S,2,0)),"스토리위즈",VLOOKUP(K860,[1]작가별정산률!$R:$S,2,0))</f>
        <v>스토리위즈</v>
      </c>
      <c r="W860" s="7" t="str">
        <f>IF(V860="스토리위즈",VLOOKUP(K860,[1]작가별정산률!$A:$B,2,0),V860)</f>
        <v>김광수</v>
      </c>
    </row>
    <row r="861" spans="1:23" x14ac:dyDescent="0.4">
      <c r="A861" t="s">
        <v>262</v>
      </c>
      <c r="B861" t="s">
        <v>1121</v>
      </c>
      <c r="C861" t="s">
        <v>1159</v>
      </c>
      <c r="D861" t="s">
        <v>64</v>
      </c>
      <c r="E861" t="s">
        <v>22</v>
      </c>
      <c r="F861" t="s">
        <v>23</v>
      </c>
      <c r="G861">
        <v>1</v>
      </c>
      <c r="H861">
        <v>9791166300639</v>
      </c>
      <c r="I861" t="s">
        <v>24</v>
      </c>
      <c r="J861" t="s">
        <v>165</v>
      </c>
      <c r="K861" t="s">
        <v>119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  <c r="V861" s="7" t="str">
        <f>IF(ISERROR(VLOOKUP(K861,[1]작가별정산률!$R:$S,2,0)),"스토리위즈",VLOOKUP(K861,[1]작가별정산률!$R:$S,2,0))</f>
        <v>스토리위즈</v>
      </c>
      <c r="W861" s="7" t="str">
        <f>IF(V861="스토리위즈",VLOOKUP(K861,[1]작가별정산률!$A:$B,2,0),V861)</f>
        <v>김광수</v>
      </c>
    </row>
    <row r="862" spans="1:23" x14ac:dyDescent="0.4">
      <c r="A862" t="s">
        <v>262</v>
      </c>
      <c r="B862" t="s">
        <v>1121</v>
      </c>
      <c r="C862" t="s">
        <v>1160</v>
      </c>
      <c r="D862" t="s">
        <v>64</v>
      </c>
      <c r="E862" t="s">
        <v>22</v>
      </c>
      <c r="F862" t="s">
        <v>23</v>
      </c>
      <c r="G862">
        <v>1</v>
      </c>
      <c r="H862">
        <v>9791166300219</v>
      </c>
      <c r="I862" t="s">
        <v>24</v>
      </c>
      <c r="J862" t="s">
        <v>130</v>
      </c>
      <c r="K862" t="s">
        <v>119</v>
      </c>
      <c r="L862" t="s">
        <v>27</v>
      </c>
      <c r="M862">
        <v>630</v>
      </c>
      <c r="N862" t="s">
        <v>27</v>
      </c>
      <c r="O862">
        <v>630</v>
      </c>
      <c r="P862">
        <v>630</v>
      </c>
      <c r="Q862" t="s">
        <v>30</v>
      </c>
      <c r="R862" s="2">
        <v>0.7</v>
      </c>
      <c r="S862">
        <v>441</v>
      </c>
      <c r="T862" t="s">
        <v>27</v>
      </c>
      <c r="U862">
        <v>441</v>
      </c>
      <c r="V862" s="7" t="str">
        <f>IF(ISERROR(VLOOKUP(K862,[1]작가별정산률!$R:$S,2,0)),"스토리위즈",VLOOKUP(K862,[1]작가별정산률!$R:$S,2,0))</f>
        <v>스토리위즈</v>
      </c>
      <c r="W862" s="7" t="str">
        <f>IF(V862="스토리위즈",VLOOKUP(K862,[1]작가별정산률!$A:$B,2,0),V862)</f>
        <v>김광수</v>
      </c>
    </row>
    <row r="863" spans="1:23" x14ac:dyDescent="0.4">
      <c r="A863" t="s">
        <v>262</v>
      </c>
      <c r="B863" t="s">
        <v>1121</v>
      </c>
      <c r="C863" t="s">
        <v>1161</v>
      </c>
      <c r="D863" t="s">
        <v>64</v>
      </c>
      <c r="E863" t="s">
        <v>22</v>
      </c>
      <c r="F863" t="s">
        <v>23</v>
      </c>
      <c r="G863">
        <v>1</v>
      </c>
      <c r="H863">
        <v>9791166061080</v>
      </c>
      <c r="I863" t="s">
        <v>24</v>
      </c>
      <c r="J863" t="s">
        <v>74</v>
      </c>
      <c r="K863" t="s">
        <v>37</v>
      </c>
      <c r="L863" t="s">
        <v>27</v>
      </c>
      <c r="M863">
        <v>900</v>
      </c>
      <c r="N863" t="s">
        <v>27</v>
      </c>
      <c r="O863">
        <v>900</v>
      </c>
      <c r="P863">
        <v>900</v>
      </c>
      <c r="Q863" t="s">
        <v>30</v>
      </c>
      <c r="R863" s="2">
        <v>0.7</v>
      </c>
      <c r="S863">
        <v>630</v>
      </c>
      <c r="T863" t="s">
        <v>27</v>
      </c>
      <c r="U863">
        <v>630</v>
      </c>
      <c r="V863" s="7" t="str">
        <f>IF(ISERROR(VLOOKUP(K863,[1]작가별정산률!$R:$S,2,0)),"스토리위즈",VLOOKUP(K863,[1]작가별정산률!$R:$S,2,0))</f>
        <v>스토리위즈</v>
      </c>
      <c r="W863" s="7" t="str">
        <f>IF(V863="스토리위즈",VLOOKUP(K863,[1]작가별정산률!$A:$B,2,0),V863)</f>
        <v>권용찬</v>
      </c>
    </row>
    <row r="864" spans="1:23" x14ac:dyDescent="0.4">
      <c r="A864" t="s">
        <v>262</v>
      </c>
      <c r="B864" t="s">
        <v>1121</v>
      </c>
      <c r="C864" t="s">
        <v>1162</v>
      </c>
      <c r="D864" t="s">
        <v>64</v>
      </c>
      <c r="E864" t="s">
        <v>22</v>
      </c>
      <c r="F864" t="s">
        <v>23</v>
      </c>
      <c r="G864">
        <v>1</v>
      </c>
      <c r="H864">
        <v>9791159283239</v>
      </c>
      <c r="I864" t="s">
        <v>24</v>
      </c>
      <c r="J864" t="s">
        <v>66</v>
      </c>
      <c r="K864" t="s">
        <v>37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2">
        <v>0.7</v>
      </c>
      <c r="S864">
        <v>441</v>
      </c>
      <c r="T864" t="s">
        <v>27</v>
      </c>
      <c r="U864">
        <v>441</v>
      </c>
      <c r="V864" s="7" t="str">
        <f>IF(ISERROR(VLOOKUP(K864,[1]작가별정산률!$R:$S,2,0)),"스토리위즈",VLOOKUP(K864,[1]작가별정산률!$R:$S,2,0))</f>
        <v>스토리위즈</v>
      </c>
      <c r="W864" s="7" t="str">
        <f>IF(V864="스토리위즈",VLOOKUP(K864,[1]작가별정산률!$A:$B,2,0),V864)</f>
        <v>권용찬</v>
      </c>
    </row>
    <row r="865" spans="1:23" x14ac:dyDescent="0.4">
      <c r="A865" t="s">
        <v>262</v>
      </c>
      <c r="B865" t="s">
        <v>1121</v>
      </c>
      <c r="C865" t="s">
        <v>1163</v>
      </c>
      <c r="D865" t="s">
        <v>64</v>
      </c>
      <c r="E865" t="s">
        <v>22</v>
      </c>
      <c r="F865" t="s">
        <v>23</v>
      </c>
      <c r="G865">
        <v>1</v>
      </c>
      <c r="H865">
        <v>9791166300264</v>
      </c>
      <c r="I865" t="s">
        <v>24</v>
      </c>
      <c r="J865" t="s">
        <v>135</v>
      </c>
      <c r="K865" t="s">
        <v>119</v>
      </c>
      <c r="L865" t="s">
        <v>27</v>
      </c>
      <c r="M865">
        <v>630</v>
      </c>
      <c r="N865" t="s">
        <v>27</v>
      </c>
      <c r="O865">
        <v>630</v>
      </c>
      <c r="P865">
        <v>630</v>
      </c>
      <c r="Q865" t="s">
        <v>30</v>
      </c>
      <c r="R865" s="2">
        <v>0.7</v>
      </c>
      <c r="S865">
        <v>441</v>
      </c>
      <c r="T865" t="s">
        <v>27</v>
      </c>
      <c r="U865">
        <v>441</v>
      </c>
      <c r="V865" s="7" t="str">
        <f>IF(ISERROR(VLOOKUP(K865,[1]작가별정산률!$R:$S,2,0)),"스토리위즈",VLOOKUP(K865,[1]작가별정산률!$R:$S,2,0))</f>
        <v>스토리위즈</v>
      </c>
      <c r="W865" s="7" t="str">
        <f>IF(V865="스토리위즈",VLOOKUP(K865,[1]작가별정산률!$A:$B,2,0),V865)</f>
        <v>김광수</v>
      </c>
    </row>
    <row r="866" spans="1:23" x14ac:dyDescent="0.4">
      <c r="A866" t="s">
        <v>262</v>
      </c>
      <c r="B866" t="s">
        <v>1121</v>
      </c>
      <c r="C866" t="s">
        <v>1164</v>
      </c>
      <c r="D866" t="s">
        <v>21</v>
      </c>
      <c r="E866" t="s">
        <v>22</v>
      </c>
      <c r="F866" t="s">
        <v>23</v>
      </c>
      <c r="G866">
        <v>1</v>
      </c>
      <c r="H866">
        <v>9791166300196</v>
      </c>
      <c r="I866" t="s">
        <v>24</v>
      </c>
      <c r="J866" t="s">
        <v>128</v>
      </c>
      <c r="K866" t="s">
        <v>119</v>
      </c>
      <c r="L866" t="s">
        <v>27</v>
      </c>
      <c r="M866" s="3">
        <v>3200</v>
      </c>
      <c r="N866" t="s">
        <v>27</v>
      </c>
      <c r="O866" s="3">
        <v>3200</v>
      </c>
      <c r="P866" s="3">
        <v>3200</v>
      </c>
      <c r="Q866" t="s">
        <v>30</v>
      </c>
      <c r="R866" s="2">
        <v>0.7</v>
      </c>
      <c r="S866" s="3">
        <v>2240</v>
      </c>
      <c r="T866" t="s">
        <v>27</v>
      </c>
      <c r="U866" s="3">
        <v>2240</v>
      </c>
      <c r="V866" s="7" t="str">
        <f>IF(ISERROR(VLOOKUP(K866,[1]작가별정산률!$R:$S,2,0)),"스토리위즈",VLOOKUP(K866,[1]작가별정산률!$R:$S,2,0))</f>
        <v>스토리위즈</v>
      </c>
      <c r="W866" s="7" t="str">
        <f>IF(V866="스토리위즈",VLOOKUP(K866,[1]작가별정산률!$A:$B,2,0),V866)</f>
        <v>김광수</v>
      </c>
    </row>
    <row r="867" spans="1:23" x14ac:dyDescent="0.4">
      <c r="A867" t="s">
        <v>262</v>
      </c>
      <c r="B867" t="s">
        <v>1121</v>
      </c>
      <c r="C867" t="s">
        <v>1165</v>
      </c>
      <c r="D867" t="s">
        <v>64</v>
      </c>
      <c r="E867" t="s">
        <v>22</v>
      </c>
      <c r="F867" t="s">
        <v>23</v>
      </c>
      <c r="G867">
        <v>1</v>
      </c>
      <c r="H867">
        <v>9791166300127</v>
      </c>
      <c r="I867" t="s">
        <v>24</v>
      </c>
      <c r="J867" t="s">
        <v>122</v>
      </c>
      <c r="K867" t="s">
        <v>119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  <c r="V867" s="7" t="str">
        <f>IF(ISERROR(VLOOKUP(K867,[1]작가별정산률!$R:$S,2,0)),"스토리위즈",VLOOKUP(K867,[1]작가별정산률!$R:$S,2,0))</f>
        <v>스토리위즈</v>
      </c>
      <c r="W867" s="7" t="str">
        <f>IF(V867="스토리위즈",VLOOKUP(K867,[1]작가별정산률!$A:$B,2,0),V867)</f>
        <v>김광수</v>
      </c>
    </row>
    <row r="868" spans="1:23" x14ac:dyDescent="0.4">
      <c r="A868" t="s">
        <v>262</v>
      </c>
      <c r="B868" t="s">
        <v>1121</v>
      </c>
      <c r="C868" t="s">
        <v>1166</v>
      </c>
      <c r="D868" t="s">
        <v>64</v>
      </c>
      <c r="E868" t="s">
        <v>22</v>
      </c>
      <c r="F868" t="s">
        <v>23</v>
      </c>
      <c r="G868">
        <v>1</v>
      </c>
      <c r="H868">
        <v>9791166300127</v>
      </c>
      <c r="I868" t="s">
        <v>24</v>
      </c>
      <c r="J868" t="s">
        <v>122</v>
      </c>
      <c r="K868" t="s">
        <v>119</v>
      </c>
      <c r="L868" t="s">
        <v>27</v>
      </c>
      <c r="M868">
        <v>630</v>
      </c>
      <c r="N868" t="s">
        <v>27</v>
      </c>
      <c r="O868">
        <v>630</v>
      </c>
      <c r="P868">
        <v>630</v>
      </c>
      <c r="Q868" t="s">
        <v>30</v>
      </c>
      <c r="R868" s="2">
        <v>0.7</v>
      </c>
      <c r="S868">
        <v>441</v>
      </c>
      <c r="T868" t="s">
        <v>27</v>
      </c>
      <c r="U868">
        <v>441</v>
      </c>
      <c r="V868" s="7" t="str">
        <f>IF(ISERROR(VLOOKUP(K868,[1]작가별정산률!$R:$S,2,0)),"스토리위즈",VLOOKUP(K868,[1]작가별정산률!$R:$S,2,0))</f>
        <v>스토리위즈</v>
      </c>
      <c r="W868" s="7" t="str">
        <f>IF(V868="스토리위즈",VLOOKUP(K868,[1]작가별정산률!$A:$B,2,0),V868)</f>
        <v>김광수</v>
      </c>
    </row>
    <row r="869" spans="1:23" x14ac:dyDescent="0.4">
      <c r="A869" t="s">
        <v>262</v>
      </c>
      <c r="B869" t="s">
        <v>1121</v>
      </c>
      <c r="C869" t="s">
        <v>1167</v>
      </c>
      <c r="D869" t="s">
        <v>64</v>
      </c>
      <c r="E869" t="s">
        <v>22</v>
      </c>
      <c r="F869" t="s">
        <v>23</v>
      </c>
      <c r="G869">
        <v>1</v>
      </c>
      <c r="H869">
        <v>9791166300554</v>
      </c>
      <c r="I869" t="s">
        <v>24</v>
      </c>
      <c r="J869" t="s">
        <v>154</v>
      </c>
      <c r="K869" t="s">
        <v>119</v>
      </c>
      <c r="L869" t="s">
        <v>27</v>
      </c>
      <c r="M869">
        <v>630</v>
      </c>
      <c r="N869" t="s">
        <v>27</v>
      </c>
      <c r="O869">
        <v>630</v>
      </c>
      <c r="P869">
        <v>630</v>
      </c>
      <c r="Q869" t="s">
        <v>30</v>
      </c>
      <c r="R869" s="2">
        <v>0.7</v>
      </c>
      <c r="S869">
        <v>441</v>
      </c>
      <c r="T869" t="s">
        <v>27</v>
      </c>
      <c r="U869">
        <v>441</v>
      </c>
      <c r="V869" s="7" t="str">
        <f>IF(ISERROR(VLOOKUP(K869,[1]작가별정산률!$R:$S,2,0)),"스토리위즈",VLOOKUP(K869,[1]작가별정산률!$R:$S,2,0))</f>
        <v>스토리위즈</v>
      </c>
      <c r="W869" s="7" t="str">
        <f>IF(V869="스토리위즈",VLOOKUP(K869,[1]작가별정산률!$A:$B,2,0),V869)</f>
        <v>김광수</v>
      </c>
    </row>
    <row r="870" spans="1:23" x14ac:dyDescent="0.4">
      <c r="A870" t="s">
        <v>262</v>
      </c>
      <c r="B870" t="s">
        <v>1121</v>
      </c>
      <c r="C870" t="s">
        <v>1168</v>
      </c>
      <c r="D870" t="s">
        <v>21</v>
      </c>
      <c r="E870" t="s">
        <v>22</v>
      </c>
      <c r="F870" t="s">
        <v>23</v>
      </c>
      <c r="G870">
        <v>1</v>
      </c>
      <c r="H870">
        <v>9791189627973</v>
      </c>
      <c r="I870" t="s">
        <v>143</v>
      </c>
      <c r="J870" t="s">
        <v>1169</v>
      </c>
      <c r="K870" t="s">
        <v>1170</v>
      </c>
      <c r="L870" t="s">
        <v>27</v>
      </c>
      <c r="M870">
        <v>300</v>
      </c>
      <c r="N870" t="s">
        <v>27</v>
      </c>
      <c r="O870">
        <v>300</v>
      </c>
      <c r="P870">
        <v>300</v>
      </c>
      <c r="Q870" t="s">
        <v>30</v>
      </c>
      <c r="R870" s="2">
        <v>0.7</v>
      </c>
      <c r="S870">
        <v>210</v>
      </c>
      <c r="T870" t="s">
        <v>27</v>
      </c>
      <c r="U870">
        <v>210</v>
      </c>
      <c r="V870" s="7" t="str">
        <f>IF(ISERROR(VLOOKUP(K870,[1]작가별정산률!$R:$S,2,0)),"스토리위즈",VLOOKUP(K870,[1]작가별정산률!$R:$S,2,0))</f>
        <v>스토리위즈</v>
      </c>
      <c r="W870" s="7" t="str">
        <f>IF(V870="스토리위즈",VLOOKUP(K870,[1]작가별정산률!$A:$B,2,0),V870)</f>
        <v>블랙커피</v>
      </c>
    </row>
    <row r="871" spans="1:23" x14ac:dyDescent="0.4">
      <c r="A871" t="s">
        <v>262</v>
      </c>
      <c r="B871" t="s">
        <v>1121</v>
      </c>
      <c r="C871" t="s">
        <v>1171</v>
      </c>
      <c r="D871" t="s">
        <v>64</v>
      </c>
      <c r="E871" t="s">
        <v>22</v>
      </c>
      <c r="F871" t="s">
        <v>23</v>
      </c>
      <c r="G871">
        <v>1</v>
      </c>
      <c r="H871">
        <v>9791166300165</v>
      </c>
      <c r="I871" t="s">
        <v>24</v>
      </c>
      <c r="J871" t="s">
        <v>126</v>
      </c>
      <c r="K871" t="s">
        <v>119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  <c r="V871" s="7" t="str">
        <f>IF(ISERROR(VLOOKUP(K871,[1]작가별정산률!$R:$S,2,0)),"스토리위즈",VLOOKUP(K871,[1]작가별정산률!$R:$S,2,0))</f>
        <v>스토리위즈</v>
      </c>
      <c r="W871" s="7" t="str">
        <f>IF(V871="스토리위즈",VLOOKUP(K871,[1]작가별정산률!$A:$B,2,0),V871)</f>
        <v>김광수</v>
      </c>
    </row>
    <row r="872" spans="1:23" x14ac:dyDescent="0.4">
      <c r="A872" t="s">
        <v>262</v>
      </c>
      <c r="B872" t="s">
        <v>1121</v>
      </c>
      <c r="C872" t="s">
        <v>1172</v>
      </c>
      <c r="D872" t="s">
        <v>21</v>
      </c>
      <c r="E872" t="s">
        <v>22</v>
      </c>
      <c r="F872" t="s">
        <v>23</v>
      </c>
      <c r="G872">
        <v>1</v>
      </c>
      <c r="H872">
        <v>9791191562286</v>
      </c>
      <c r="I872" t="s">
        <v>143</v>
      </c>
      <c r="J872" t="s">
        <v>238</v>
      </c>
      <c r="K872" t="s">
        <v>239</v>
      </c>
      <c r="L872" t="s">
        <v>27</v>
      </c>
      <c r="M872" s="3">
        <v>2000</v>
      </c>
      <c r="N872" t="s">
        <v>27</v>
      </c>
      <c r="O872" s="3">
        <v>2000</v>
      </c>
      <c r="P872" s="3">
        <v>2000</v>
      </c>
      <c r="Q872" t="s">
        <v>30</v>
      </c>
      <c r="R872" s="2">
        <v>0.7</v>
      </c>
      <c r="S872" s="3">
        <v>1400</v>
      </c>
      <c r="T872" t="s">
        <v>27</v>
      </c>
      <c r="U872" s="3">
        <v>1400</v>
      </c>
      <c r="V872" s="7" t="str">
        <f>IF(ISERROR(VLOOKUP(K872,[1]작가별정산률!$R:$S,2,0)),"스토리위즈",VLOOKUP(K872,[1]작가별정산률!$R:$S,2,0))</f>
        <v>밀리의 서재</v>
      </c>
      <c r="W872" s="7" t="str">
        <f>IF(V872="스토리위즈",VLOOKUP(K872,[1]작가별정산률!$A:$B,2,0),V872)</f>
        <v>밀리의 서재</v>
      </c>
    </row>
    <row r="873" spans="1:23" x14ac:dyDescent="0.4">
      <c r="A873" t="s">
        <v>262</v>
      </c>
      <c r="B873" t="s">
        <v>1121</v>
      </c>
      <c r="C873" t="s">
        <v>1173</v>
      </c>
      <c r="D873" t="s">
        <v>64</v>
      </c>
      <c r="E873" t="s">
        <v>22</v>
      </c>
      <c r="F873" t="s">
        <v>23</v>
      </c>
      <c r="G873">
        <v>1</v>
      </c>
      <c r="H873">
        <v>9791166064456</v>
      </c>
      <c r="I873" t="s">
        <v>24</v>
      </c>
      <c r="J873" t="s">
        <v>116</v>
      </c>
      <c r="K873" t="s">
        <v>102</v>
      </c>
      <c r="L873" t="s">
        <v>27</v>
      </c>
      <c r="M873">
        <v>720</v>
      </c>
      <c r="N873" t="s">
        <v>27</v>
      </c>
      <c r="O873">
        <v>720</v>
      </c>
      <c r="P873">
        <v>720</v>
      </c>
      <c r="Q873" t="s">
        <v>30</v>
      </c>
      <c r="R873" s="2">
        <v>0.7</v>
      </c>
      <c r="S873">
        <v>504</v>
      </c>
      <c r="T873" t="s">
        <v>27</v>
      </c>
      <c r="U873">
        <v>504</v>
      </c>
      <c r="V873" s="7" t="str">
        <f>IF(ISERROR(VLOOKUP(K873,[1]작가별정산률!$R:$S,2,0)),"스토리위즈",VLOOKUP(K873,[1]작가별정산률!$R:$S,2,0))</f>
        <v>스토리위즈</v>
      </c>
      <c r="W873" s="7" t="str">
        <f>IF(V873="스토리위즈",VLOOKUP(K873,[1]작가별정산률!$A:$B,2,0),V873)</f>
        <v>예로나</v>
      </c>
    </row>
    <row r="874" spans="1:23" x14ac:dyDescent="0.4">
      <c r="A874" t="s">
        <v>262</v>
      </c>
      <c r="B874" t="s">
        <v>1121</v>
      </c>
      <c r="C874" t="s">
        <v>1174</v>
      </c>
      <c r="D874" t="s">
        <v>21</v>
      </c>
      <c r="E874" t="s">
        <v>22</v>
      </c>
      <c r="F874" t="s">
        <v>23</v>
      </c>
      <c r="G874">
        <v>1</v>
      </c>
      <c r="H874">
        <v>9791191562385</v>
      </c>
      <c r="I874" t="s">
        <v>143</v>
      </c>
      <c r="J874" t="s">
        <v>936</v>
      </c>
      <c r="K874" t="s">
        <v>937</v>
      </c>
      <c r="L874" t="s">
        <v>27</v>
      </c>
      <c r="M874" s="3">
        <v>2000</v>
      </c>
      <c r="N874" t="s">
        <v>27</v>
      </c>
      <c r="O874" s="3">
        <v>2000</v>
      </c>
      <c r="P874" s="3">
        <v>2000</v>
      </c>
      <c r="Q874" t="s">
        <v>30</v>
      </c>
      <c r="R874" s="2">
        <v>0.7</v>
      </c>
      <c r="S874" s="3">
        <v>1400</v>
      </c>
      <c r="T874" t="s">
        <v>27</v>
      </c>
      <c r="U874" s="3">
        <v>1400</v>
      </c>
      <c r="V874" s="7" t="str">
        <f>IF(ISERROR(VLOOKUP(K874,[1]작가별정산률!$R:$S,2,0)),"스토리위즈",VLOOKUP(K874,[1]작가별정산률!$R:$S,2,0))</f>
        <v>밀리의 서재</v>
      </c>
      <c r="W874" s="7" t="str">
        <f>IF(V874="스토리위즈",VLOOKUP(K874,[1]작가별정산률!$A:$B,2,0),V874)</f>
        <v>밀리의 서재</v>
      </c>
    </row>
    <row r="875" spans="1:23" x14ac:dyDescent="0.4">
      <c r="A875" t="s">
        <v>262</v>
      </c>
      <c r="B875" t="s">
        <v>1121</v>
      </c>
      <c r="C875" t="s">
        <v>1175</v>
      </c>
      <c r="D875" t="s">
        <v>64</v>
      </c>
      <c r="E875" t="s">
        <v>22</v>
      </c>
      <c r="F875" t="s">
        <v>23</v>
      </c>
      <c r="G875">
        <v>1</v>
      </c>
      <c r="H875">
        <v>9791166300158</v>
      </c>
      <c r="I875" t="s">
        <v>24</v>
      </c>
      <c r="J875" t="s">
        <v>125</v>
      </c>
      <c r="K875" t="s">
        <v>119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  <c r="V875" s="7" t="str">
        <f>IF(ISERROR(VLOOKUP(K875,[1]작가별정산률!$R:$S,2,0)),"스토리위즈",VLOOKUP(K875,[1]작가별정산률!$R:$S,2,0))</f>
        <v>스토리위즈</v>
      </c>
      <c r="W875" s="7" t="str">
        <f>IF(V875="스토리위즈",VLOOKUP(K875,[1]작가별정산률!$A:$B,2,0),V875)</f>
        <v>김광수</v>
      </c>
    </row>
    <row r="876" spans="1:23" x14ac:dyDescent="0.4">
      <c r="A876" t="s">
        <v>262</v>
      </c>
      <c r="B876" t="s">
        <v>1121</v>
      </c>
      <c r="C876" t="s">
        <v>1176</v>
      </c>
      <c r="D876" t="s">
        <v>21</v>
      </c>
      <c r="E876" t="s">
        <v>22</v>
      </c>
      <c r="F876" t="s">
        <v>23</v>
      </c>
      <c r="G876">
        <v>1</v>
      </c>
      <c r="H876">
        <v>9791191562125</v>
      </c>
      <c r="I876" t="s">
        <v>143</v>
      </c>
      <c r="J876" t="s">
        <v>212</v>
      </c>
      <c r="K876" t="s">
        <v>213</v>
      </c>
      <c r="L876" t="s">
        <v>27</v>
      </c>
      <c r="M876" s="3">
        <v>2500</v>
      </c>
      <c r="N876" t="s">
        <v>27</v>
      </c>
      <c r="O876" s="3">
        <v>2500</v>
      </c>
      <c r="P876" s="3">
        <v>2500</v>
      </c>
      <c r="Q876" t="s">
        <v>30</v>
      </c>
      <c r="R876" s="2">
        <v>0.7</v>
      </c>
      <c r="S876" s="3">
        <v>1750</v>
      </c>
      <c r="T876" t="s">
        <v>27</v>
      </c>
      <c r="U876" s="3">
        <v>1750</v>
      </c>
      <c r="V876" s="7" t="str">
        <f>IF(ISERROR(VLOOKUP(K876,[1]작가별정산률!$R:$S,2,0)),"스토리위즈",VLOOKUP(K876,[1]작가별정산률!$R:$S,2,0))</f>
        <v>밀리의 서재</v>
      </c>
      <c r="W876" s="7" t="str">
        <f>IF(V876="스토리위즈",VLOOKUP(K876,[1]작가별정산률!$A:$B,2,0),V876)</f>
        <v>밀리의 서재</v>
      </c>
    </row>
    <row r="877" spans="1:23" x14ac:dyDescent="0.4">
      <c r="A877" t="s">
        <v>262</v>
      </c>
      <c r="B877" t="s">
        <v>1121</v>
      </c>
      <c r="C877" t="s">
        <v>1177</v>
      </c>
      <c r="D877" t="s">
        <v>21</v>
      </c>
      <c r="E877" t="s">
        <v>22</v>
      </c>
      <c r="F877" t="s">
        <v>23</v>
      </c>
      <c r="G877">
        <v>1</v>
      </c>
      <c r="H877">
        <v>9791159289613</v>
      </c>
      <c r="I877" t="s">
        <v>24</v>
      </c>
      <c r="J877" t="s">
        <v>173</v>
      </c>
      <c r="K877" t="s">
        <v>140</v>
      </c>
      <c r="L877" t="s">
        <v>27</v>
      </c>
      <c r="M877" s="3">
        <v>3200</v>
      </c>
      <c r="N877" t="s">
        <v>27</v>
      </c>
      <c r="O877" s="3">
        <v>3200</v>
      </c>
      <c r="P877" s="3">
        <v>3200</v>
      </c>
      <c r="Q877" t="s">
        <v>30</v>
      </c>
      <c r="R877" s="2">
        <v>0.7</v>
      </c>
      <c r="S877" s="3">
        <v>2240</v>
      </c>
      <c r="T877" t="s">
        <v>27</v>
      </c>
      <c r="U877" s="3">
        <v>2240</v>
      </c>
      <c r="V877" s="7" t="str">
        <f>IF(ISERROR(VLOOKUP(K877,[1]작가별정산률!$R:$S,2,0)),"스토리위즈",VLOOKUP(K877,[1]작가별정산률!$R:$S,2,0))</f>
        <v>스토리위즈</v>
      </c>
      <c r="W877" s="7" t="str">
        <f>IF(V877="스토리위즈",VLOOKUP(K877,[1]작가별정산률!$A:$B,2,0),V877)</f>
        <v>이동열</v>
      </c>
    </row>
    <row r="878" spans="1:23" x14ac:dyDescent="0.4">
      <c r="A878" t="s">
        <v>262</v>
      </c>
      <c r="B878" t="s">
        <v>1121</v>
      </c>
      <c r="C878" t="s">
        <v>1178</v>
      </c>
      <c r="D878" t="s">
        <v>64</v>
      </c>
      <c r="E878" t="s">
        <v>22</v>
      </c>
      <c r="F878" t="s">
        <v>23</v>
      </c>
      <c r="G878">
        <v>1</v>
      </c>
      <c r="H878">
        <v>9791166300462</v>
      </c>
      <c r="I878" t="s">
        <v>24</v>
      </c>
      <c r="J878" t="s">
        <v>144</v>
      </c>
      <c r="K878" t="s">
        <v>119</v>
      </c>
      <c r="L878" t="s">
        <v>27</v>
      </c>
      <c r="M878">
        <v>630</v>
      </c>
      <c r="N878" t="s">
        <v>27</v>
      </c>
      <c r="O878">
        <v>630</v>
      </c>
      <c r="P878">
        <v>630</v>
      </c>
      <c r="Q878" t="s">
        <v>30</v>
      </c>
      <c r="R878" s="2">
        <v>0.7</v>
      </c>
      <c r="S878">
        <v>441</v>
      </c>
      <c r="T878" t="s">
        <v>27</v>
      </c>
      <c r="U878">
        <v>441</v>
      </c>
      <c r="V878" s="7" t="str">
        <f>IF(ISERROR(VLOOKUP(K878,[1]작가별정산률!$R:$S,2,0)),"스토리위즈",VLOOKUP(K878,[1]작가별정산률!$R:$S,2,0))</f>
        <v>스토리위즈</v>
      </c>
      <c r="W878" s="7" t="str">
        <f>IF(V878="스토리위즈",VLOOKUP(K878,[1]작가별정산률!$A:$B,2,0),V878)</f>
        <v>김광수</v>
      </c>
    </row>
    <row r="879" spans="1:23" x14ac:dyDescent="0.4">
      <c r="A879" t="s">
        <v>262</v>
      </c>
      <c r="B879" t="s">
        <v>1121</v>
      </c>
      <c r="C879" t="s">
        <v>1179</v>
      </c>
      <c r="D879" t="s">
        <v>64</v>
      </c>
      <c r="E879" t="s">
        <v>22</v>
      </c>
      <c r="F879" t="s">
        <v>23</v>
      </c>
      <c r="G879">
        <v>1</v>
      </c>
      <c r="H879">
        <v>9791159285851</v>
      </c>
      <c r="I879" t="s">
        <v>24</v>
      </c>
      <c r="J879" t="s">
        <v>55</v>
      </c>
      <c r="K879" t="s">
        <v>37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  <c r="V879" s="7" t="str">
        <f>IF(ISERROR(VLOOKUP(K879,[1]작가별정산률!$R:$S,2,0)),"스토리위즈",VLOOKUP(K879,[1]작가별정산률!$R:$S,2,0))</f>
        <v>스토리위즈</v>
      </c>
      <c r="W879" s="7" t="str">
        <f>IF(V879="스토리위즈",VLOOKUP(K879,[1]작가별정산률!$A:$B,2,0),V879)</f>
        <v>권용찬</v>
      </c>
    </row>
    <row r="880" spans="1:23" x14ac:dyDescent="0.4">
      <c r="A880" t="s">
        <v>262</v>
      </c>
      <c r="B880" t="s">
        <v>1121</v>
      </c>
      <c r="C880" t="s">
        <v>1180</v>
      </c>
      <c r="D880" t="s">
        <v>21</v>
      </c>
      <c r="E880" t="s">
        <v>22</v>
      </c>
      <c r="F880" t="s">
        <v>23</v>
      </c>
      <c r="G880">
        <v>1</v>
      </c>
      <c r="H880">
        <v>9791159289620</v>
      </c>
      <c r="I880" t="s">
        <v>24</v>
      </c>
      <c r="J880" t="s">
        <v>172</v>
      </c>
      <c r="K880" t="s">
        <v>140</v>
      </c>
      <c r="L880" t="s">
        <v>27</v>
      </c>
      <c r="M880" s="3">
        <v>3200</v>
      </c>
      <c r="N880" t="s">
        <v>27</v>
      </c>
      <c r="O880" s="3">
        <v>3200</v>
      </c>
      <c r="P880" s="3">
        <v>3200</v>
      </c>
      <c r="Q880" t="s">
        <v>30</v>
      </c>
      <c r="R880" s="2">
        <v>0.7</v>
      </c>
      <c r="S880" s="3">
        <v>2240</v>
      </c>
      <c r="T880" t="s">
        <v>27</v>
      </c>
      <c r="U880" s="3">
        <v>2240</v>
      </c>
      <c r="V880" s="7" t="str">
        <f>IF(ISERROR(VLOOKUP(K880,[1]작가별정산률!$R:$S,2,0)),"스토리위즈",VLOOKUP(K880,[1]작가별정산률!$R:$S,2,0))</f>
        <v>스토리위즈</v>
      </c>
      <c r="W880" s="7" t="str">
        <f>IF(V880="스토리위즈",VLOOKUP(K880,[1]작가별정산률!$A:$B,2,0),V880)</f>
        <v>이동열</v>
      </c>
    </row>
    <row r="881" spans="1:23" x14ac:dyDescent="0.4">
      <c r="A881" t="s">
        <v>262</v>
      </c>
      <c r="B881" t="s">
        <v>1121</v>
      </c>
      <c r="C881" t="s">
        <v>1181</v>
      </c>
      <c r="D881" t="s">
        <v>64</v>
      </c>
      <c r="E881" t="s">
        <v>22</v>
      </c>
      <c r="F881" t="s">
        <v>23</v>
      </c>
      <c r="G881">
        <v>1</v>
      </c>
      <c r="H881">
        <v>9791166300271</v>
      </c>
      <c r="I881" t="s">
        <v>24</v>
      </c>
      <c r="J881" t="s">
        <v>136</v>
      </c>
      <c r="K881" t="s">
        <v>119</v>
      </c>
      <c r="L881" t="s">
        <v>27</v>
      </c>
      <c r="M881">
        <v>630</v>
      </c>
      <c r="N881" t="s">
        <v>27</v>
      </c>
      <c r="O881">
        <v>630</v>
      </c>
      <c r="P881">
        <v>630</v>
      </c>
      <c r="Q881" t="s">
        <v>30</v>
      </c>
      <c r="R881" s="2">
        <v>0.7</v>
      </c>
      <c r="S881">
        <v>441</v>
      </c>
      <c r="T881" t="s">
        <v>27</v>
      </c>
      <c r="U881">
        <v>441</v>
      </c>
      <c r="V881" s="7" t="str">
        <f>IF(ISERROR(VLOOKUP(K881,[1]작가별정산률!$R:$S,2,0)),"스토리위즈",VLOOKUP(K881,[1]작가별정산률!$R:$S,2,0))</f>
        <v>스토리위즈</v>
      </c>
      <c r="W881" s="7" t="str">
        <f>IF(V881="스토리위즈",VLOOKUP(K881,[1]작가별정산률!$A:$B,2,0),V881)</f>
        <v>김광수</v>
      </c>
    </row>
    <row r="882" spans="1:23" x14ac:dyDescent="0.4">
      <c r="A882" t="s">
        <v>262</v>
      </c>
      <c r="B882" t="s">
        <v>1121</v>
      </c>
      <c r="C882" t="s">
        <v>1182</v>
      </c>
      <c r="D882" t="s">
        <v>64</v>
      </c>
      <c r="E882" t="s">
        <v>22</v>
      </c>
      <c r="F882" t="s">
        <v>23</v>
      </c>
      <c r="G882">
        <v>1</v>
      </c>
      <c r="H882">
        <v>9791166064180</v>
      </c>
      <c r="I882" t="s">
        <v>24</v>
      </c>
      <c r="J882" t="s">
        <v>211</v>
      </c>
      <c r="K882" t="s">
        <v>37</v>
      </c>
      <c r="L882" t="s">
        <v>27</v>
      </c>
      <c r="M882">
        <v>900</v>
      </c>
      <c r="N882" t="s">
        <v>27</v>
      </c>
      <c r="O882">
        <v>900</v>
      </c>
      <c r="P882">
        <v>900</v>
      </c>
      <c r="Q882" t="s">
        <v>30</v>
      </c>
      <c r="R882" s="2">
        <v>0.7</v>
      </c>
      <c r="S882">
        <v>630</v>
      </c>
      <c r="T882" t="s">
        <v>27</v>
      </c>
      <c r="U882">
        <v>630</v>
      </c>
      <c r="V882" s="7" t="str">
        <f>IF(ISERROR(VLOOKUP(K882,[1]작가별정산률!$R:$S,2,0)),"스토리위즈",VLOOKUP(K882,[1]작가별정산률!$R:$S,2,0))</f>
        <v>스토리위즈</v>
      </c>
      <c r="W882" s="7" t="str">
        <f>IF(V882="스토리위즈",VLOOKUP(K882,[1]작가별정산률!$A:$B,2,0),V882)</f>
        <v>권용찬</v>
      </c>
    </row>
    <row r="883" spans="1:23" x14ac:dyDescent="0.4">
      <c r="A883" t="s">
        <v>262</v>
      </c>
      <c r="B883" t="s">
        <v>1121</v>
      </c>
      <c r="C883" t="s">
        <v>1183</v>
      </c>
      <c r="D883" t="s">
        <v>64</v>
      </c>
      <c r="E883" t="s">
        <v>22</v>
      </c>
      <c r="F883" t="s">
        <v>23</v>
      </c>
      <c r="G883">
        <v>1</v>
      </c>
      <c r="H883">
        <v>9791159282843</v>
      </c>
      <c r="I883" t="s">
        <v>24</v>
      </c>
      <c r="J883" t="s">
        <v>25</v>
      </c>
      <c r="K883" t="s">
        <v>26</v>
      </c>
      <c r="L883" t="s">
        <v>27</v>
      </c>
      <c r="M883">
        <v>630</v>
      </c>
      <c r="N883" t="s">
        <v>27</v>
      </c>
      <c r="O883">
        <v>630</v>
      </c>
      <c r="P883">
        <v>630</v>
      </c>
      <c r="Q883" t="s">
        <v>30</v>
      </c>
      <c r="R883" s="2">
        <v>0.7</v>
      </c>
      <c r="S883">
        <v>441</v>
      </c>
      <c r="T883" t="s">
        <v>27</v>
      </c>
      <c r="U883">
        <v>441</v>
      </c>
      <c r="V883" s="7" t="str">
        <f>IF(ISERROR(VLOOKUP(K883,[1]작가별정산률!$R:$S,2,0)),"스토리위즈",VLOOKUP(K883,[1]작가별정산률!$R:$S,2,0))</f>
        <v>스토리위즈</v>
      </c>
      <c r="W883" s="7" t="str">
        <f>IF(V883="스토리위즈",VLOOKUP(K883,[1]작가별정산률!$A:$B,2,0),V883)</f>
        <v>독고진</v>
      </c>
    </row>
    <row r="884" spans="1:23" x14ac:dyDescent="0.4">
      <c r="A884" t="s">
        <v>262</v>
      </c>
      <c r="B884" t="s">
        <v>1121</v>
      </c>
      <c r="C884" t="s">
        <v>1184</v>
      </c>
      <c r="D884" t="s">
        <v>64</v>
      </c>
      <c r="E884" t="s">
        <v>22</v>
      </c>
      <c r="F884" t="s">
        <v>23</v>
      </c>
      <c r="G884">
        <v>1</v>
      </c>
      <c r="H884">
        <v>9791166300646</v>
      </c>
      <c r="I884" t="s">
        <v>24</v>
      </c>
      <c r="J884" t="s">
        <v>155</v>
      </c>
      <c r="K884" t="s">
        <v>119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2">
        <v>0.7</v>
      </c>
      <c r="S884">
        <v>441</v>
      </c>
      <c r="T884" t="s">
        <v>27</v>
      </c>
      <c r="U884">
        <v>441</v>
      </c>
      <c r="V884" s="7" t="str">
        <f>IF(ISERROR(VLOOKUP(K884,[1]작가별정산률!$R:$S,2,0)),"스토리위즈",VLOOKUP(K884,[1]작가별정산률!$R:$S,2,0))</f>
        <v>스토리위즈</v>
      </c>
      <c r="W884" s="7" t="str">
        <f>IF(V884="스토리위즈",VLOOKUP(K884,[1]작가별정산률!$A:$B,2,0),V884)</f>
        <v>김광수</v>
      </c>
    </row>
    <row r="885" spans="1:23" x14ac:dyDescent="0.4">
      <c r="A885" t="s">
        <v>262</v>
      </c>
      <c r="B885" t="s">
        <v>1121</v>
      </c>
      <c r="C885" t="s">
        <v>1185</v>
      </c>
      <c r="D885" t="s">
        <v>64</v>
      </c>
      <c r="E885" t="s">
        <v>22</v>
      </c>
      <c r="F885" t="s">
        <v>23</v>
      </c>
      <c r="G885">
        <v>1</v>
      </c>
      <c r="H885">
        <v>9791166300301</v>
      </c>
      <c r="I885" t="s">
        <v>24</v>
      </c>
      <c r="J885" t="s">
        <v>139</v>
      </c>
      <c r="K885" t="s">
        <v>119</v>
      </c>
      <c r="L885" t="s">
        <v>27</v>
      </c>
      <c r="M885">
        <v>630</v>
      </c>
      <c r="N885" t="s">
        <v>27</v>
      </c>
      <c r="O885">
        <v>630</v>
      </c>
      <c r="P885">
        <v>630</v>
      </c>
      <c r="Q885" t="s">
        <v>30</v>
      </c>
      <c r="R885" s="2">
        <v>0.7</v>
      </c>
      <c r="S885">
        <v>441</v>
      </c>
      <c r="T885" t="s">
        <v>27</v>
      </c>
      <c r="U885">
        <v>441</v>
      </c>
      <c r="V885" s="7" t="str">
        <f>IF(ISERROR(VLOOKUP(K885,[1]작가별정산률!$R:$S,2,0)),"스토리위즈",VLOOKUP(K885,[1]작가별정산률!$R:$S,2,0))</f>
        <v>스토리위즈</v>
      </c>
      <c r="W885" s="7" t="str">
        <f>IF(V885="스토리위즈",VLOOKUP(K885,[1]작가별정산률!$A:$B,2,0),V885)</f>
        <v>김광수</v>
      </c>
    </row>
    <row r="886" spans="1:23" x14ac:dyDescent="0.4">
      <c r="A886" t="s">
        <v>262</v>
      </c>
      <c r="B886" t="s">
        <v>1121</v>
      </c>
      <c r="C886" t="s">
        <v>1186</v>
      </c>
      <c r="D886" t="s">
        <v>64</v>
      </c>
      <c r="E886" t="s">
        <v>22</v>
      </c>
      <c r="F886" t="s">
        <v>23</v>
      </c>
      <c r="G886">
        <v>1</v>
      </c>
      <c r="H886">
        <v>9791166300493</v>
      </c>
      <c r="I886" t="s">
        <v>24</v>
      </c>
      <c r="J886" t="s">
        <v>147</v>
      </c>
      <c r="K886" t="s">
        <v>119</v>
      </c>
      <c r="L886" t="s">
        <v>27</v>
      </c>
      <c r="M886">
        <v>630</v>
      </c>
      <c r="N886" t="s">
        <v>27</v>
      </c>
      <c r="O886">
        <v>630</v>
      </c>
      <c r="P886">
        <v>630</v>
      </c>
      <c r="Q886" t="s">
        <v>30</v>
      </c>
      <c r="R886" s="2">
        <v>0.7</v>
      </c>
      <c r="S886">
        <v>441</v>
      </c>
      <c r="T886" t="s">
        <v>27</v>
      </c>
      <c r="U886">
        <v>441</v>
      </c>
      <c r="V886" s="7" t="str">
        <f>IF(ISERROR(VLOOKUP(K886,[1]작가별정산률!$R:$S,2,0)),"스토리위즈",VLOOKUP(K886,[1]작가별정산률!$R:$S,2,0))</f>
        <v>스토리위즈</v>
      </c>
      <c r="W886" s="7" t="str">
        <f>IF(V886="스토리위즈",VLOOKUP(K886,[1]작가별정산률!$A:$B,2,0),V886)</f>
        <v>김광수</v>
      </c>
    </row>
    <row r="887" spans="1:23" x14ac:dyDescent="0.4">
      <c r="A887" t="s">
        <v>262</v>
      </c>
      <c r="B887" t="s">
        <v>1121</v>
      </c>
      <c r="C887" t="s">
        <v>1187</v>
      </c>
      <c r="D887" t="s">
        <v>64</v>
      </c>
      <c r="E887" t="s">
        <v>22</v>
      </c>
      <c r="F887" t="s">
        <v>23</v>
      </c>
      <c r="G887">
        <v>1</v>
      </c>
      <c r="H887">
        <v>9791159283253</v>
      </c>
      <c r="I887" t="s">
        <v>24</v>
      </c>
      <c r="J887" t="s">
        <v>68</v>
      </c>
      <c r="K887" t="s">
        <v>37</v>
      </c>
      <c r="L887" t="s">
        <v>27</v>
      </c>
      <c r="M887">
        <v>630</v>
      </c>
      <c r="N887" t="s">
        <v>27</v>
      </c>
      <c r="O887">
        <v>630</v>
      </c>
      <c r="P887">
        <v>630</v>
      </c>
      <c r="Q887" t="s">
        <v>30</v>
      </c>
      <c r="R887" s="2">
        <v>0.7</v>
      </c>
      <c r="S887">
        <v>441</v>
      </c>
      <c r="T887" t="s">
        <v>27</v>
      </c>
      <c r="U887">
        <v>441</v>
      </c>
      <c r="V887" s="7" t="str">
        <f>IF(ISERROR(VLOOKUP(K887,[1]작가별정산률!$R:$S,2,0)),"스토리위즈",VLOOKUP(K887,[1]작가별정산률!$R:$S,2,0))</f>
        <v>스토리위즈</v>
      </c>
      <c r="W887" s="7" t="str">
        <f>IF(V887="스토리위즈",VLOOKUP(K887,[1]작가별정산률!$A:$B,2,0),V887)</f>
        <v>권용찬</v>
      </c>
    </row>
    <row r="888" spans="1:23" x14ac:dyDescent="0.4">
      <c r="A888" t="s">
        <v>262</v>
      </c>
      <c r="B888" t="s">
        <v>1121</v>
      </c>
      <c r="C888" t="s">
        <v>1188</v>
      </c>
      <c r="D888" t="s">
        <v>64</v>
      </c>
      <c r="E888" t="s">
        <v>22</v>
      </c>
      <c r="F888" t="s">
        <v>23</v>
      </c>
      <c r="G888">
        <v>1</v>
      </c>
      <c r="H888">
        <v>9791190937320</v>
      </c>
      <c r="I888" t="s">
        <v>24</v>
      </c>
      <c r="J888" t="s">
        <v>252</v>
      </c>
      <c r="K888" t="s">
        <v>106</v>
      </c>
      <c r="L888" t="s">
        <v>27</v>
      </c>
      <c r="M888">
        <v>630</v>
      </c>
      <c r="N888" t="s">
        <v>27</v>
      </c>
      <c r="O888">
        <v>630</v>
      </c>
      <c r="P888">
        <v>630</v>
      </c>
      <c r="Q888" t="s">
        <v>30</v>
      </c>
      <c r="R888" s="2">
        <v>0.7</v>
      </c>
      <c r="S888">
        <v>441</v>
      </c>
      <c r="T888" t="s">
        <v>27</v>
      </c>
      <c r="U888">
        <v>441</v>
      </c>
      <c r="V888" s="7" t="str">
        <f>IF(ISERROR(VLOOKUP(K888,[1]작가별정산률!$R:$S,2,0)),"스토리위즈",VLOOKUP(K888,[1]작가별정산률!$R:$S,2,0))</f>
        <v>스토리위즈</v>
      </c>
      <c r="W888" s="7" t="str">
        <f>IF(V888="스토리위즈",VLOOKUP(K888,[1]작가별정산률!$A:$B,2,0),V888)</f>
        <v>진문</v>
      </c>
    </row>
    <row r="889" spans="1:23" x14ac:dyDescent="0.4">
      <c r="A889" t="s">
        <v>262</v>
      </c>
      <c r="B889" t="s">
        <v>1121</v>
      </c>
      <c r="C889" t="s">
        <v>1189</v>
      </c>
      <c r="D889" t="s">
        <v>64</v>
      </c>
      <c r="E889" t="s">
        <v>22</v>
      </c>
      <c r="F889" t="s">
        <v>23</v>
      </c>
      <c r="G889">
        <v>1</v>
      </c>
      <c r="H889">
        <v>9791166300110</v>
      </c>
      <c r="I889" t="s">
        <v>24</v>
      </c>
      <c r="J889" t="s">
        <v>121</v>
      </c>
      <c r="K889" t="s">
        <v>119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2">
        <v>0.7</v>
      </c>
      <c r="S889">
        <v>441</v>
      </c>
      <c r="T889" t="s">
        <v>27</v>
      </c>
      <c r="U889">
        <v>441</v>
      </c>
      <c r="V889" s="7" t="str">
        <f>IF(ISERROR(VLOOKUP(K889,[1]작가별정산률!$R:$S,2,0)),"스토리위즈",VLOOKUP(K889,[1]작가별정산률!$R:$S,2,0))</f>
        <v>스토리위즈</v>
      </c>
      <c r="W889" s="7" t="str">
        <f>IF(V889="스토리위즈",VLOOKUP(K889,[1]작가별정산률!$A:$B,2,0),V889)</f>
        <v>김광수</v>
      </c>
    </row>
    <row r="890" spans="1:23" x14ac:dyDescent="0.4">
      <c r="A890" t="s">
        <v>262</v>
      </c>
      <c r="B890" t="s">
        <v>1121</v>
      </c>
      <c r="C890" t="s">
        <v>1190</v>
      </c>
      <c r="D890" t="s">
        <v>64</v>
      </c>
      <c r="E890" t="s">
        <v>22</v>
      </c>
      <c r="F890" t="s">
        <v>23</v>
      </c>
      <c r="G890">
        <v>1</v>
      </c>
      <c r="H890">
        <v>9791159285868</v>
      </c>
      <c r="I890" t="s">
        <v>24</v>
      </c>
      <c r="J890" t="s">
        <v>57</v>
      </c>
      <c r="K890" t="s">
        <v>37</v>
      </c>
      <c r="L890" t="s">
        <v>27</v>
      </c>
      <c r="M890">
        <v>630</v>
      </c>
      <c r="N890" t="s">
        <v>27</v>
      </c>
      <c r="O890">
        <v>630</v>
      </c>
      <c r="P890">
        <v>630</v>
      </c>
      <c r="Q890" t="s">
        <v>30</v>
      </c>
      <c r="R890" s="2">
        <v>0.7</v>
      </c>
      <c r="S890">
        <v>441</v>
      </c>
      <c r="T890" t="s">
        <v>27</v>
      </c>
      <c r="U890">
        <v>441</v>
      </c>
      <c r="V890" s="7" t="str">
        <f>IF(ISERROR(VLOOKUP(K890,[1]작가별정산률!$R:$S,2,0)),"스토리위즈",VLOOKUP(K890,[1]작가별정산률!$R:$S,2,0))</f>
        <v>스토리위즈</v>
      </c>
      <c r="W890" s="7" t="str">
        <f>IF(V890="스토리위즈",VLOOKUP(K890,[1]작가별정산률!$A:$B,2,0),V890)</f>
        <v>권용찬</v>
      </c>
    </row>
    <row r="891" spans="1:23" x14ac:dyDescent="0.4">
      <c r="A891" t="s">
        <v>262</v>
      </c>
      <c r="B891" t="s">
        <v>1121</v>
      </c>
      <c r="C891" t="s">
        <v>1191</v>
      </c>
      <c r="D891" t="s">
        <v>64</v>
      </c>
      <c r="E891" t="s">
        <v>22</v>
      </c>
      <c r="F891" t="s">
        <v>23</v>
      </c>
      <c r="G891">
        <v>1</v>
      </c>
      <c r="H891">
        <v>9791166300547</v>
      </c>
      <c r="I891" t="s">
        <v>24</v>
      </c>
      <c r="J891" t="s">
        <v>153</v>
      </c>
      <c r="K891" t="s">
        <v>119</v>
      </c>
      <c r="L891" t="s">
        <v>27</v>
      </c>
      <c r="M891">
        <v>630</v>
      </c>
      <c r="N891" t="s">
        <v>27</v>
      </c>
      <c r="O891">
        <v>630</v>
      </c>
      <c r="P891">
        <v>630</v>
      </c>
      <c r="Q891" t="s">
        <v>30</v>
      </c>
      <c r="R891" s="2">
        <v>0.7</v>
      </c>
      <c r="S891">
        <v>441</v>
      </c>
      <c r="T891" t="s">
        <v>27</v>
      </c>
      <c r="U891">
        <v>441</v>
      </c>
      <c r="V891" s="7" t="str">
        <f>IF(ISERROR(VLOOKUP(K891,[1]작가별정산률!$R:$S,2,0)),"스토리위즈",VLOOKUP(K891,[1]작가별정산률!$R:$S,2,0))</f>
        <v>스토리위즈</v>
      </c>
      <c r="W891" s="7" t="str">
        <f>IF(V891="스토리위즈",VLOOKUP(K891,[1]작가별정산률!$A:$B,2,0),V891)</f>
        <v>김광수</v>
      </c>
    </row>
    <row r="892" spans="1:23" x14ac:dyDescent="0.4">
      <c r="A892" t="s">
        <v>262</v>
      </c>
      <c r="B892" t="s">
        <v>1121</v>
      </c>
      <c r="C892" t="s">
        <v>1192</v>
      </c>
      <c r="D892" t="s">
        <v>64</v>
      </c>
      <c r="E892" t="s">
        <v>22</v>
      </c>
      <c r="F892" t="s">
        <v>23</v>
      </c>
      <c r="G892">
        <v>1</v>
      </c>
      <c r="H892">
        <v>9791166300509</v>
      </c>
      <c r="I892" t="s">
        <v>24</v>
      </c>
      <c r="J892" t="s">
        <v>148</v>
      </c>
      <c r="K892" t="s">
        <v>119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  <c r="V892" s="7" t="str">
        <f>IF(ISERROR(VLOOKUP(K892,[1]작가별정산률!$R:$S,2,0)),"스토리위즈",VLOOKUP(K892,[1]작가별정산률!$R:$S,2,0))</f>
        <v>스토리위즈</v>
      </c>
      <c r="W892" s="7" t="str">
        <f>IF(V892="스토리위즈",VLOOKUP(K892,[1]작가별정산률!$A:$B,2,0),V892)</f>
        <v>김광수</v>
      </c>
    </row>
    <row r="893" spans="1:23" x14ac:dyDescent="0.4">
      <c r="A893" t="s">
        <v>262</v>
      </c>
      <c r="B893" t="s">
        <v>1121</v>
      </c>
      <c r="C893" t="s">
        <v>1193</v>
      </c>
      <c r="D893" t="s">
        <v>64</v>
      </c>
      <c r="E893" t="s">
        <v>22</v>
      </c>
      <c r="F893" t="s">
        <v>23</v>
      </c>
      <c r="G893">
        <v>1</v>
      </c>
      <c r="H893">
        <v>9791166300127</v>
      </c>
      <c r="I893" t="s">
        <v>24</v>
      </c>
      <c r="J893" t="s">
        <v>122</v>
      </c>
      <c r="K893" t="s">
        <v>119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  <c r="V893" s="7" t="str">
        <f>IF(ISERROR(VLOOKUP(K893,[1]작가별정산률!$R:$S,2,0)),"스토리위즈",VLOOKUP(K893,[1]작가별정산률!$R:$S,2,0))</f>
        <v>스토리위즈</v>
      </c>
      <c r="W893" s="7" t="str">
        <f>IF(V893="스토리위즈",VLOOKUP(K893,[1]작가별정산률!$A:$B,2,0),V893)</f>
        <v>김광수</v>
      </c>
    </row>
    <row r="894" spans="1:23" x14ac:dyDescent="0.4">
      <c r="A894" t="s">
        <v>262</v>
      </c>
      <c r="B894" t="s">
        <v>1121</v>
      </c>
      <c r="C894" t="s">
        <v>1194</v>
      </c>
      <c r="D894" t="s">
        <v>64</v>
      </c>
      <c r="E894" t="s">
        <v>22</v>
      </c>
      <c r="F894" t="s">
        <v>23</v>
      </c>
      <c r="G894">
        <v>1</v>
      </c>
      <c r="H894">
        <v>9791159285875</v>
      </c>
      <c r="I894" t="s">
        <v>24</v>
      </c>
      <c r="J894" t="s">
        <v>58</v>
      </c>
      <c r="K894" t="s">
        <v>37</v>
      </c>
      <c r="L894" t="s">
        <v>27</v>
      </c>
      <c r="M894">
        <v>630</v>
      </c>
      <c r="N894" t="s">
        <v>27</v>
      </c>
      <c r="O894">
        <v>630</v>
      </c>
      <c r="P894">
        <v>630</v>
      </c>
      <c r="Q894" t="s">
        <v>30</v>
      </c>
      <c r="R894" s="2">
        <v>0.7</v>
      </c>
      <c r="S894">
        <v>441</v>
      </c>
      <c r="T894" t="s">
        <v>27</v>
      </c>
      <c r="U894">
        <v>441</v>
      </c>
      <c r="V894" s="7" t="str">
        <f>IF(ISERROR(VLOOKUP(K894,[1]작가별정산률!$R:$S,2,0)),"스토리위즈",VLOOKUP(K894,[1]작가별정산률!$R:$S,2,0))</f>
        <v>스토리위즈</v>
      </c>
      <c r="W894" s="7" t="str">
        <f>IF(V894="스토리위즈",VLOOKUP(K894,[1]작가별정산률!$A:$B,2,0),V894)</f>
        <v>권용찬</v>
      </c>
    </row>
    <row r="895" spans="1:23" x14ac:dyDescent="0.4">
      <c r="A895" t="s">
        <v>262</v>
      </c>
      <c r="B895" t="s">
        <v>1121</v>
      </c>
      <c r="C895" t="s">
        <v>1195</v>
      </c>
      <c r="D895" t="s">
        <v>21</v>
      </c>
      <c r="E895" t="s">
        <v>22</v>
      </c>
      <c r="F895" t="s">
        <v>23</v>
      </c>
      <c r="G895">
        <v>1</v>
      </c>
      <c r="H895">
        <v>9791191562385</v>
      </c>
      <c r="I895" t="s">
        <v>143</v>
      </c>
      <c r="J895" t="s">
        <v>936</v>
      </c>
      <c r="K895" t="s">
        <v>937</v>
      </c>
      <c r="L895" t="s">
        <v>27</v>
      </c>
      <c r="M895" s="3">
        <v>2000</v>
      </c>
      <c r="N895" t="s">
        <v>27</v>
      </c>
      <c r="O895" s="3">
        <v>2000</v>
      </c>
      <c r="P895" s="3">
        <v>2000</v>
      </c>
      <c r="Q895" t="s">
        <v>30</v>
      </c>
      <c r="R895" s="2">
        <v>0.7</v>
      </c>
      <c r="S895" s="3">
        <v>1400</v>
      </c>
      <c r="T895" t="s">
        <v>27</v>
      </c>
      <c r="U895" s="3">
        <v>1400</v>
      </c>
      <c r="V895" s="7" t="str">
        <f>IF(ISERROR(VLOOKUP(K895,[1]작가별정산률!$R:$S,2,0)),"스토리위즈",VLOOKUP(K895,[1]작가별정산률!$R:$S,2,0))</f>
        <v>밀리의 서재</v>
      </c>
      <c r="W895" s="7" t="str">
        <f>IF(V895="스토리위즈",VLOOKUP(K895,[1]작가별정산률!$A:$B,2,0),V895)</f>
        <v>밀리의 서재</v>
      </c>
    </row>
    <row r="896" spans="1:23" x14ac:dyDescent="0.4">
      <c r="A896" t="s">
        <v>262</v>
      </c>
      <c r="B896" t="s">
        <v>1121</v>
      </c>
      <c r="C896" t="s">
        <v>1196</v>
      </c>
      <c r="D896" t="s">
        <v>21</v>
      </c>
      <c r="E896" t="s">
        <v>22</v>
      </c>
      <c r="F896" t="s">
        <v>23</v>
      </c>
      <c r="G896">
        <v>1</v>
      </c>
      <c r="H896">
        <v>9791191562286</v>
      </c>
      <c r="I896" t="s">
        <v>143</v>
      </c>
      <c r="J896" t="s">
        <v>238</v>
      </c>
      <c r="K896" t="s">
        <v>239</v>
      </c>
      <c r="L896" t="s">
        <v>27</v>
      </c>
      <c r="M896" s="3">
        <v>2000</v>
      </c>
      <c r="N896" t="s">
        <v>27</v>
      </c>
      <c r="O896" s="3">
        <v>2000</v>
      </c>
      <c r="P896" s="3">
        <v>2000</v>
      </c>
      <c r="Q896" t="s">
        <v>30</v>
      </c>
      <c r="R896" s="2">
        <v>0.7</v>
      </c>
      <c r="S896" s="3">
        <v>1400</v>
      </c>
      <c r="T896" t="s">
        <v>27</v>
      </c>
      <c r="U896" s="3">
        <v>1400</v>
      </c>
      <c r="V896" s="7" t="str">
        <f>IF(ISERROR(VLOOKUP(K896,[1]작가별정산률!$R:$S,2,0)),"스토리위즈",VLOOKUP(K896,[1]작가별정산률!$R:$S,2,0))</f>
        <v>밀리의 서재</v>
      </c>
      <c r="W896" s="7" t="str">
        <f>IF(V896="스토리위즈",VLOOKUP(K896,[1]작가별정산률!$A:$B,2,0),V896)</f>
        <v>밀리의 서재</v>
      </c>
    </row>
    <row r="897" spans="1:23" x14ac:dyDescent="0.4">
      <c r="A897" t="s">
        <v>262</v>
      </c>
      <c r="B897" t="s">
        <v>1121</v>
      </c>
      <c r="C897" t="s">
        <v>1197</v>
      </c>
      <c r="D897" t="s">
        <v>64</v>
      </c>
      <c r="E897" t="s">
        <v>22</v>
      </c>
      <c r="F897" t="s">
        <v>23</v>
      </c>
      <c r="G897">
        <v>1</v>
      </c>
      <c r="H897">
        <v>9791166300554</v>
      </c>
      <c r="I897" t="s">
        <v>24</v>
      </c>
      <c r="J897" t="s">
        <v>154</v>
      </c>
      <c r="K897" t="s">
        <v>119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2">
        <v>0.7</v>
      </c>
      <c r="S897">
        <v>441</v>
      </c>
      <c r="T897" t="s">
        <v>27</v>
      </c>
      <c r="U897">
        <v>441</v>
      </c>
      <c r="V897" s="7" t="str">
        <f>IF(ISERROR(VLOOKUP(K897,[1]작가별정산률!$R:$S,2,0)),"스토리위즈",VLOOKUP(K897,[1]작가별정산률!$R:$S,2,0))</f>
        <v>스토리위즈</v>
      </c>
      <c r="W897" s="7" t="str">
        <f>IF(V897="스토리위즈",VLOOKUP(K897,[1]작가별정산률!$A:$B,2,0),V897)</f>
        <v>김광수</v>
      </c>
    </row>
    <row r="898" spans="1:23" x14ac:dyDescent="0.4">
      <c r="A898" t="s">
        <v>262</v>
      </c>
      <c r="B898" t="s">
        <v>1198</v>
      </c>
      <c r="C898" t="s">
        <v>1199</v>
      </c>
      <c r="D898" t="s">
        <v>64</v>
      </c>
      <c r="E898" t="s">
        <v>22</v>
      </c>
      <c r="F898" t="s">
        <v>23</v>
      </c>
      <c r="G898">
        <v>1</v>
      </c>
      <c r="H898">
        <v>9791166300134</v>
      </c>
      <c r="I898" t="s">
        <v>24</v>
      </c>
      <c r="J898" t="s">
        <v>123</v>
      </c>
      <c r="K898" t="s">
        <v>119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  <c r="V898" s="7" t="str">
        <f>IF(ISERROR(VLOOKUP(K898,[1]작가별정산률!$R:$S,2,0)),"스토리위즈",VLOOKUP(K898,[1]작가별정산률!$R:$S,2,0))</f>
        <v>스토리위즈</v>
      </c>
      <c r="W898" s="7" t="str">
        <f>IF(V898="스토리위즈",VLOOKUP(K898,[1]작가별정산률!$A:$B,2,0),V898)</f>
        <v>김광수</v>
      </c>
    </row>
    <row r="899" spans="1:23" x14ac:dyDescent="0.4">
      <c r="A899" t="s">
        <v>262</v>
      </c>
      <c r="B899" t="s">
        <v>1198</v>
      </c>
      <c r="C899" t="s">
        <v>1200</v>
      </c>
      <c r="D899" t="s">
        <v>21</v>
      </c>
      <c r="E899" t="s">
        <v>22</v>
      </c>
      <c r="F899" t="s">
        <v>23</v>
      </c>
      <c r="G899">
        <v>1</v>
      </c>
      <c r="H899">
        <v>9791159282843</v>
      </c>
      <c r="I899" t="s">
        <v>24</v>
      </c>
      <c r="J899" t="s">
        <v>25</v>
      </c>
      <c r="K899" t="s">
        <v>26</v>
      </c>
      <c r="L899" t="s">
        <v>27</v>
      </c>
      <c r="M899" s="3">
        <v>3200</v>
      </c>
      <c r="N899" t="s">
        <v>27</v>
      </c>
      <c r="O899" s="3">
        <v>3200</v>
      </c>
      <c r="P899" s="3">
        <v>3200</v>
      </c>
      <c r="Q899" t="s">
        <v>30</v>
      </c>
      <c r="R899" s="2">
        <v>0.7</v>
      </c>
      <c r="S899" s="3">
        <v>2240</v>
      </c>
      <c r="T899" t="s">
        <v>27</v>
      </c>
      <c r="U899" s="3">
        <v>2240</v>
      </c>
      <c r="V899" s="7" t="str">
        <f>IF(ISERROR(VLOOKUP(K899,[1]작가별정산률!$R:$S,2,0)),"스토리위즈",VLOOKUP(K899,[1]작가별정산률!$R:$S,2,0))</f>
        <v>스토리위즈</v>
      </c>
      <c r="W899" s="7" t="str">
        <f>IF(V899="스토리위즈",VLOOKUP(K899,[1]작가별정산률!$A:$B,2,0),V899)</f>
        <v>독고진</v>
      </c>
    </row>
    <row r="900" spans="1:23" x14ac:dyDescent="0.4">
      <c r="A900" t="s">
        <v>262</v>
      </c>
      <c r="B900" t="s">
        <v>1198</v>
      </c>
      <c r="C900" t="s">
        <v>1201</v>
      </c>
      <c r="D900" t="s">
        <v>64</v>
      </c>
      <c r="E900" t="s">
        <v>22</v>
      </c>
      <c r="F900" t="s">
        <v>23</v>
      </c>
      <c r="G900">
        <v>1</v>
      </c>
      <c r="H900">
        <v>9791166300134</v>
      </c>
      <c r="I900" t="s">
        <v>24</v>
      </c>
      <c r="J900" t="s">
        <v>123</v>
      </c>
      <c r="K900" t="s">
        <v>119</v>
      </c>
      <c r="L900" t="s">
        <v>27</v>
      </c>
      <c r="M900">
        <v>630</v>
      </c>
      <c r="N900" t="s">
        <v>27</v>
      </c>
      <c r="O900">
        <v>630</v>
      </c>
      <c r="P900">
        <v>630</v>
      </c>
      <c r="Q900" t="s">
        <v>30</v>
      </c>
      <c r="R900" s="2">
        <v>0.7</v>
      </c>
      <c r="S900">
        <v>441</v>
      </c>
      <c r="T900" t="s">
        <v>27</v>
      </c>
      <c r="U900">
        <v>441</v>
      </c>
      <c r="V900" s="7" t="str">
        <f>IF(ISERROR(VLOOKUP(K900,[1]작가별정산률!$R:$S,2,0)),"스토리위즈",VLOOKUP(K900,[1]작가별정산률!$R:$S,2,0))</f>
        <v>스토리위즈</v>
      </c>
      <c r="W900" s="7" t="str">
        <f>IF(V900="스토리위즈",VLOOKUP(K900,[1]작가별정산률!$A:$B,2,0),V900)</f>
        <v>김광수</v>
      </c>
    </row>
    <row r="901" spans="1:23" x14ac:dyDescent="0.4">
      <c r="A901" t="s">
        <v>262</v>
      </c>
      <c r="B901" t="s">
        <v>1198</v>
      </c>
      <c r="C901" t="s">
        <v>1202</v>
      </c>
      <c r="D901" t="s">
        <v>21</v>
      </c>
      <c r="E901" t="s">
        <v>22</v>
      </c>
      <c r="F901" t="s">
        <v>23</v>
      </c>
      <c r="G901">
        <v>1</v>
      </c>
      <c r="H901">
        <v>9791191562286</v>
      </c>
      <c r="I901" t="s">
        <v>143</v>
      </c>
      <c r="J901" t="s">
        <v>238</v>
      </c>
      <c r="K901" t="s">
        <v>239</v>
      </c>
      <c r="L901" t="s">
        <v>27</v>
      </c>
      <c r="M901" s="3">
        <v>2000</v>
      </c>
      <c r="N901" t="s">
        <v>27</v>
      </c>
      <c r="O901" s="3">
        <v>2000</v>
      </c>
      <c r="P901" s="3">
        <v>2000</v>
      </c>
      <c r="Q901" t="s">
        <v>30</v>
      </c>
      <c r="R901" s="2">
        <v>0.7</v>
      </c>
      <c r="S901" s="3">
        <v>1400</v>
      </c>
      <c r="T901" t="s">
        <v>27</v>
      </c>
      <c r="U901" s="3">
        <v>1400</v>
      </c>
      <c r="V901" s="7" t="str">
        <f>IF(ISERROR(VLOOKUP(K901,[1]작가별정산률!$R:$S,2,0)),"스토리위즈",VLOOKUP(K901,[1]작가별정산률!$R:$S,2,0))</f>
        <v>밀리의 서재</v>
      </c>
      <c r="W901" s="7" t="str">
        <f>IF(V901="스토리위즈",VLOOKUP(K901,[1]작가별정산률!$A:$B,2,0),V901)</f>
        <v>밀리의 서재</v>
      </c>
    </row>
    <row r="902" spans="1:23" x14ac:dyDescent="0.4">
      <c r="A902" t="s">
        <v>262</v>
      </c>
      <c r="B902" t="s">
        <v>1198</v>
      </c>
      <c r="C902" t="s">
        <v>1203</v>
      </c>
      <c r="D902" t="s">
        <v>64</v>
      </c>
      <c r="E902" t="s">
        <v>22</v>
      </c>
      <c r="F902" t="s">
        <v>23</v>
      </c>
      <c r="G902">
        <v>1</v>
      </c>
      <c r="H902">
        <v>9791166300516</v>
      </c>
      <c r="I902" t="s">
        <v>24</v>
      </c>
      <c r="J902" t="s">
        <v>149</v>
      </c>
      <c r="K902" t="s">
        <v>119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2">
        <v>0.7</v>
      </c>
      <c r="S902">
        <v>441</v>
      </c>
      <c r="T902" t="s">
        <v>27</v>
      </c>
      <c r="U902">
        <v>441</v>
      </c>
      <c r="V902" s="7" t="str">
        <f>IF(ISERROR(VLOOKUP(K902,[1]작가별정산률!$R:$S,2,0)),"스토리위즈",VLOOKUP(K902,[1]작가별정산률!$R:$S,2,0))</f>
        <v>스토리위즈</v>
      </c>
      <c r="W902" s="7" t="str">
        <f>IF(V902="스토리위즈",VLOOKUP(K902,[1]작가별정산률!$A:$B,2,0),V902)</f>
        <v>김광수</v>
      </c>
    </row>
    <row r="903" spans="1:23" x14ac:dyDescent="0.4">
      <c r="A903" t="s">
        <v>262</v>
      </c>
      <c r="B903" t="s">
        <v>1198</v>
      </c>
      <c r="C903" t="s">
        <v>1204</v>
      </c>
      <c r="D903" t="s">
        <v>21</v>
      </c>
      <c r="E903" t="s">
        <v>22</v>
      </c>
      <c r="F903" t="s">
        <v>23</v>
      </c>
      <c r="G903">
        <v>1</v>
      </c>
      <c r="H903">
        <v>9791166068065</v>
      </c>
      <c r="I903" t="s">
        <v>143</v>
      </c>
      <c r="J903" t="s">
        <v>1205</v>
      </c>
      <c r="K903" t="s">
        <v>106</v>
      </c>
      <c r="L903" t="s">
        <v>27</v>
      </c>
      <c r="M903" s="3">
        <v>3200</v>
      </c>
      <c r="N903" t="s">
        <v>27</v>
      </c>
      <c r="O903" s="3">
        <v>3200</v>
      </c>
      <c r="P903" s="3">
        <v>3200</v>
      </c>
      <c r="Q903" t="s">
        <v>30</v>
      </c>
      <c r="R903" s="2">
        <v>0.7</v>
      </c>
      <c r="S903" s="3">
        <v>2240</v>
      </c>
      <c r="T903" t="s">
        <v>27</v>
      </c>
      <c r="U903" s="3">
        <v>2240</v>
      </c>
      <c r="V903" s="7" t="str">
        <f>IF(ISERROR(VLOOKUP(K903,[1]작가별정산률!$R:$S,2,0)),"스토리위즈",VLOOKUP(K903,[1]작가별정산률!$R:$S,2,0))</f>
        <v>스토리위즈</v>
      </c>
      <c r="W903" s="7" t="str">
        <f>IF(V903="스토리위즈",VLOOKUP(K903,[1]작가별정산률!$A:$B,2,0),V903)</f>
        <v>진문</v>
      </c>
    </row>
    <row r="904" spans="1:23" x14ac:dyDescent="0.4">
      <c r="A904" t="s">
        <v>262</v>
      </c>
      <c r="B904" t="s">
        <v>1198</v>
      </c>
      <c r="C904" t="s">
        <v>1206</v>
      </c>
      <c r="D904" t="s">
        <v>64</v>
      </c>
      <c r="E904" t="s">
        <v>22</v>
      </c>
      <c r="F904" t="s">
        <v>23</v>
      </c>
      <c r="G904">
        <v>1</v>
      </c>
      <c r="H904">
        <v>9791166300158</v>
      </c>
      <c r="I904" t="s">
        <v>24</v>
      </c>
      <c r="J904" t="s">
        <v>125</v>
      </c>
      <c r="K904" t="s">
        <v>119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  <c r="V904" s="7" t="str">
        <f>IF(ISERROR(VLOOKUP(K904,[1]작가별정산률!$R:$S,2,0)),"스토리위즈",VLOOKUP(K904,[1]작가별정산률!$R:$S,2,0))</f>
        <v>스토리위즈</v>
      </c>
      <c r="W904" s="7" t="str">
        <f>IF(V904="스토리위즈",VLOOKUP(K904,[1]작가별정산률!$A:$B,2,0),V904)</f>
        <v>김광수</v>
      </c>
    </row>
    <row r="905" spans="1:23" x14ac:dyDescent="0.4">
      <c r="A905" t="s">
        <v>262</v>
      </c>
      <c r="B905" t="s">
        <v>1198</v>
      </c>
      <c r="C905" t="s">
        <v>1207</v>
      </c>
      <c r="D905" t="s">
        <v>21</v>
      </c>
      <c r="E905" t="s">
        <v>22</v>
      </c>
      <c r="F905" t="s">
        <v>23</v>
      </c>
      <c r="G905">
        <v>1</v>
      </c>
      <c r="H905">
        <v>9791166068102</v>
      </c>
      <c r="I905" t="s">
        <v>143</v>
      </c>
      <c r="J905" t="s">
        <v>1208</v>
      </c>
      <c r="K905" t="s">
        <v>106</v>
      </c>
      <c r="L905" t="s">
        <v>27</v>
      </c>
      <c r="M905" s="3">
        <v>3200</v>
      </c>
      <c r="N905" t="s">
        <v>27</v>
      </c>
      <c r="O905" s="3">
        <v>3200</v>
      </c>
      <c r="P905" s="3">
        <v>3200</v>
      </c>
      <c r="Q905" t="s">
        <v>30</v>
      </c>
      <c r="R905" s="2">
        <v>0.7</v>
      </c>
      <c r="S905" s="3">
        <v>2240</v>
      </c>
      <c r="T905" t="s">
        <v>27</v>
      </c>
      <c r="U905" s="3">
        <v>2240</v>
      </c>
      <c r="V905" s="7" t="str">
        <f>IF(ISERROR(VLOOKUP(K905,[1]작가별정산률!$R:$S,2,0)),"스토리위즈",VLOOKUP(K905,[1]작가별정산률!$R:$S,2,0))</f>
        <v>스토리위즈</v>
      </c>
      <c r="W905" s="7" t="str">
        <f>IF(V905="스토리위즈",VLOOKUP(K905,[1]작가별정산률!$A:$B,2,0),V905)</f>
        <v>진문</v>
      </c>
    </row>
    <row r="906" spans="1:23" x14ac:dyDescent="0.4">
      <c r="A906" t="s">
        <v>262</v>
      </c>
      <c r="B906" t="s">
        <v>1198</v>
      </c>
      <c r="C906" t="s">
        <v>1209</v>
      </c>
      <c r="D906" t="s">
        <v>64</v>
      </c>
      <c r="E906" t="s">
        <v>22</v>
      </c>
      <c r="F906" t="s">
        <v>23</v>
      </c>
      <c r="G906">
        <v>1</v>
      </c>
      <c r="H906">
        <v>9791166300127</v>
      </c>
      <c r="I906" t="s">
        <v>24</v>
      </c>
      <c r="J906" t="s">
        <v>122</v>
      </c>
      <c r="K906" t="s">
        <v>119</v>
      </c>
      <c r="L906" t="s">
        <v>27</v>
      </c>
      <c r="M906">
        <v>630</v>
      </c>
      <c r="N906" t="s">
        <v>27</v>
      </c>
      <c r="O906">
        <v>630</v>
      </c>
      <c r="P906">
        <v>630</v>
      </c>
      <c r="Q906" t="s">
        <v>30</v>
      </c>
      <c r="R906" s="2">
        <v>0.7</v>
      </c>
      <c r="S906">
        <v>441</v>
      </c>
      <c r="T906" t="s">
        <v>27</v>
      </c>
      <c r="U906">
        <v>441</v>
      </c>
      <c r="V906" s="7" t="str">
        <f>IF(ISERROR(VLOOKUP(K906,[1]작가별정산률!$R:$S,2,0)),"스토리위즈",VLOOKUP(K906,[1]작가별정산률!$R:$S,2,0))</f>
        <v>스토리위즈</v>
      </c>
      <c r="W906" s="7" t="str">
        <f>IF(V906="스토리위즈",VLOOKUP(K906,[1]작가별정산률!$A:$B,2,0),V906)</f>
        <v>김광수</v>
      </c>
    </row>
    <row r="907" spans="1:23" x14ac:dyDescent="0.4">
      <c r="A907" t="s">
        <v>262</v>
      </c>
      <c r="B907" t="s">
        <v>1198</v>
      </c>
      <c r="C907" t="s">
        <v>1210</v>
      </c>
      <c r="D907" t="s">
        <v>64</v>
      </c>
      <c r="E907" t="s">
        <v>22</v>
      </c>
      <c r="F907" t="s">
        <v>23</v>
      </c>
      <c r="G907">
        <v>1</v>
      </c>
      <c r="H907">
        <v>9791190937337</v>
      </c>
      <c r="I907" t="s">
        <v>24</v>
      </c>
      <c r="J907" t="s">
        <v>253</v>
      </c>
      <c r="K907" t="s">
        <v>106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441</v>
      </c>
      <c r="T907" t="s">
        <v>27</v>
      </c>
      <c r="U907">
        <v>441</v>
      </c>
      <c r="V907" s="7" t="str">
        <f>IF(ISERROR(VLOOKUP(K907,[1]작가별정산률!$R:$S,2,0)),"스토리위즈",VLOOKUP(K907,[1]작가별정산률!$R:$S,2,0))</f>
        <v>스토리위즈</v>
      </c>
      <c r="W907" s="7" t="str">
        <f>IF(V907="스토리위즈",VLOOKUP(K907,[1]작가별정산률!$A:$B,2,0),V907)</f>
        <v>진문</v>
      </c>
    </row>
    <row r="908" spans="1:23" x14ac:dyDescent="0.4">
      <c r="A908" t="s">
        <v>262</v>
      </c>
      <c r="B908" t="s">
        <v>1198</v>
      </c>
      <c r="C908" t="s">
        <v>1211</v>
      </c>
      <c r="D908" t="s">
        <v>64</v>
      </c>
      <c r="E908" t="s">
        <v>22</v>
      </c>
      <c r="F908" t="s">
        <v>23</v>
      </c>
      <c r="G908">
        <v>1</v>
      </c>
      <c r="H908">
        <v>9791166300547</v>
      </c>
      <c r="I908" t="s">
        <v>24</v>
      </c>
      <c r="J908" t="s">
        <v>153</v>
      </c>
      <c r="K908" t="s">
        <v>119</v>
      </c>
      <c r="L908" t="s">
        <v>27</v>
      </c>
      <c r="M908">
        <v>630</v>
      </c>
      <c r="N908" t="s">
        <v>27</v>
      </c>
      <c r="O908">
        <v>630</v>
      </c>
      <c r="P908">
        <v>630</v>
      </c>
      <c r="Q908" t="s">
        <v>30</v>
      </c>
      <c r="R908" s="2">
        <v>0.7</v>
      </c>
      <c r="S908">
        <v>441</v>
      </c>
      <c r="T908" t="s">
        <v>27</v>
      </c>
      <c r="U908">
        <v>441</v>
      </c>
      <c r="V908" s="7" t="str">
        <f>IF(ISERROR(VLOOKUP(K908,[1]작가별정산률!$R:$S,2,0)),"스토리위즈",VLOOKUP(K908,[1]작가별정산률!$R:$S,2,0))</f>
        <v>스토리위즈</v>
      </c>
      <c r="W908" s="7" t="str">
        <f>IF(V908="스토리위즈",VLOOKUP(K908,[1]작가별정산률!$A:$B,2,0),V908)</f>
        <v>김광수</v>
      </c>
    </row>
    <row r="909" spans="1:23" x14ac:dyDescent="0.4">
      <c r="A909" t="s">
        <v>262</v>
      </c>
      <c r="B909" t="s">
        <v>1198</v>
      </c>
      <c r="C909" t="s">
        <v>1212</v>
      </c>
      <c r="D909" t="s">
        <v>64</v>
      </c>
      <c r="E909" t="s">
        <v>22</v>
      </c>
      <c r="F909" t="s">
        <v>23</v>
      </c>
      <c r="G909">
        <v>1</v>
      </c>
      <c r="H909">
        <v>9791166064135</v>
      </c>
      <c r="I909" t="s">
        <v>24</v>
      </c>
      <c r="J909" t="s">
        <v>77</v>
      </c>
      <c r="K909" t="s">
        <v>37</v>
      </c>
      <c r="L909" t="s">
        <v>27</v>
      </c>
      <c r="M909">
        <v>900</v>
      </c>
      <c r="N909" t="s">
        <v>27</v>
      </c>
      <c r="O909">
        <v>900</v>
      </c>
      <c r="P909">
        <v>900</v>
      </c>
      <c r="Q909" t="s">
        <v>30</v>
      </c>
      <c r="R909" s="2">
        <v>0.7</v>
      </c>
      <c r="S909">
        <v>630</v>
      </c>
      <c r="T909" t="s">
        <v>27</v>
      </c>
      <c r="U909">
        <v>630</v>
      </c>
      <c r="V909" s="7" t="str">
        <f>IF(ISERROR(VLOOKUP(K909,[1]작가별정산률!$R:$S,2,0)),"스토리위즈",VLOOKUP(K909,[1]작가별정산률!$R:$S,2,0))</f>
        <v>스토리위즈</v>
      </c>
      <c r="W909" s="7" t="str">
        <f>IF(V909="스토리위즈",VLOOKUP(K909,[1]작가별정산률!$A:$B,2,0),V909)</f>
        <v>권용찬</v>
      </c>
    </row>
    <row r="910" spans="1:23" x14ac:dyDescent="0.4">
      <c r="A910" t="s">
        <v>262</v>
      </c>
      <c r="B910" t="s">
        <v>1198</v>
      </c>
      <c r="C910" t="s">
        <v>1213</v>
      </c>
      <c r="D910" t="s">
        <v>64</v>
      </c>
      <c r="E910" t="s">
        <v>22</v>
      </c>
      <c r="F910" t="s">
        <v>23</v>
      </c>
      <c r="G910">
        <v>1</v>
      </c>
      <c r="H910">
        <v>9791159285882</v>
      </c>
      <c r="I910" t="s">
        <v>24</v>
      </c>
      <c r="J910" t="s">
        <v>60</v>
      </c>
      <c r="K910" t="s">
        <v>37</v>
      </c>
      <c r="L910" t="s">
        <v>27</v>
      </c>
      <c r="M910">
        <v>630</v>
      </c>
      <c r="N910" t="s">
        <v>27</v>
      </c>
      <c r="O910">
        <v>630</v>
      </c>
      <c r="P910">
        <v>630</v>
      </c>
      <c r="Q910" t="s">
        <v>30</v>
      </c>
      <c r="R910" s="2">
        <v>0.7</v>
      </c>
      <c r="S910">
        <v>441</v>
      </c>
      <c r="T910" t="s">
        <v>27</v>
      </c>
      <c r="U910">
        <v>441</v>
      </c>
      <c r="V910" s="7" t="str">
        <f>IF(ISERROR(VLOOKUP(K910,[1]작가별정산률!$R:$S,2,0)),"스토리위즈",VLOOKUP(K910,[1]작가별정산률!$R:$S,2,0))</f>
        <v>스토리위즈</v>
      </c>
      <c r="W910" s="7" t="str">
        <f>IF(V910="스토리위즈",VLOOKUP(K910,[1]작가별정산률!$A:$B,2,0),V910)</f>
        <v>권용찬</v>
      </c>
    </row>
    <row r="911" spans="1:23" x14ac:dyDescent="0.4">
      <c r="A911" t="s">
        <v>262</v>
      </c>
      <c r="B911" t="s">
        <v>1198</v>
      </c>
      <c r="C911" t="s">
        <v>1214</v>
      </c>
      <c r="D911" t="s">
        <v>64</v>
      </c>
      <c r="E911" t="s">
        <v>22</v>
      </c>
      <c r="F911" t="s">
        <v>23</v>
      </c>
      <c r="G911">
        <v>1</v>
      </c>
      <c r="H911">
        <v>9791166300226</v>
      </c>
      <c r="I911" t="s">
        <v>24</v>
      </c>
      <c r="J911" t="s">
        <v>131</v>
      </c>
      <c r="K911" t="s">
        <v>119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  <c r="V911" s="7" t="str">
        <f>IF(ISERROR(VLOOKUP(K911,[1]작가별정산률!$R:$S,2,0)),"스토리위즈",VLOOKUP(K911,[1]작가별정산률!$R:$S,2,0))</f>
        <v>스토리위즈</v>
      </c>
      <c r="W911" s="7" t="str">
        <f>IF(V911="스토리위즈",VLOOKUP(K911,[1]작가별정산률!$A:$B,2,0),V911)</f>
        <v>김광수</v>
      </c>
    </row>
    <row r="912" spans="1:23" x14ac:dyDescent="0.4">
      <c r="A912" t="s">
        <v>262</v>
      </c>
      <c r="B912" t="s">
        <v>1198</v>
      </c>
      <c r="C912" t="s">
        <v>1215</v>
      </c>
      <c r="D912" t="s">
        <v>64</v>
      </c>
      <c r="E912" t="s">
        <v>22</v>
      </c>
      <c r="F912" t="s">
        <v>23</v>
      </c>
      <c r="G912">
        <v>1</v>
      </c>
      <c r="H912">
        <v>9791166300165</v>
      </c>
      <c r="I912" t="s">
        <v>24</v>
      </c>
      <c r="J912" t="s">
        <v>126</v>
      </c>
      <c r="K912" t="s">
        <v>119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  <c r="V912" s="7" t="str">
        <f>IF(ISERROR(VLOOKUP(K912,[1]작가별정산률!$R:$S,2,0)),"스토리위즈",VLOOKUP(K912,[1]작가별정산률!$R:$S,2,0))</f>
        <v>스토리위즈</v>
      </c>
      <c r="W912" s="7" t="str">
        <f>IF(V912="스토리위즈",VLOOKUP(K912,[1]작가별정산률!$A:$B,2,0),V912)</f>
        <v>김광수</v>
      </c>
    </row>
    <row r="913" spans="1:23" x14ac:dyDescent="0.4">
      <c r="A913" t="s">
        <v>262</v>
      </c>
      <c r="B913" t="s">
        <v>1198</v>
      </c>
      <c r="C913" t="s">
        <v>1216</v>
      </c>
      <c r="D913" t="s">
        <v>21</v>
      </c>
      <c r="E913" t="s">
        <v>22</v>
      </c>
      <c r="F913" t="s">
        <v>23</v>
      </c>
      <c r="G913">
        <v>1</v>
      </c>
      <c r="H913">
        <v>9791159289637</v>
      </c>
      <c r="I913" t="s">
        <v>24</v>
      </c>
      <c r="J913" t="s">
        <v>255</v>
      </c>
      <c r="K913" t="s">
        <v>140</v>
      </c>
      <c r="L913" t="s">
        <v>27</v>
      </c>
      <c r="M913" s="3">
        <v>3200</v>
      </c>
      <c r="N913" t="s">
        <v>27</v>
      </c>
      <c r="O913" s="3">
        <v>3200</v>
      </c>
      <c r="P913" s="3">
        <v>3200</v>
      </c>
      <c r="Q913" t="s">
        <v>30</v>
      </c>
      <c r="R913" s="2">
        <v>0.7</v>
      </c>
      <c r="S913" s="3">
        <v>2240</v>
      </c>
      <c r="T913" t="s">
        <v>27</v>
      </c>
      <c r="U913" s="3">
        <v>2240</v>
      </c>
      <c r="V913" s="7" t="str">
        <f>IF(ISERROR(VLOOKUP(K913,[1]작가별정산률!$R:$S,2,0)),"스토리위즈",VLOOKUP(K913,[1]작가별정산률!$R:$S,2,0))</f>
        <v>스토리위즈</v>
      </c>
      <c r="W913" s="7" t="str">
        <f>IF(V913="스토리위즈",VLOOKUP(K913,[1]작가별정산률!$A:$B,2,0),V913)</f>
        <v>이동열</v>
      </c>
    </row>
    <row r="914" spans="1:23" x14ac:dyDescent="0.4">
      <c r="A914" t="s">
        <v>262</v>
      </c>
      <c r="B914" t="s">
        <v>1198</v>
      </c>
      <c r="C914" t="s">
        <v>1217</v>
      </c>
      <c r="D914" t="s">
        <v>21</v>
      </c>
      <c r="E914" t="s">
        <v>22</v>
      </c>
      <c r="F914" t="s">
        <v>23</v>
      </c>
      <c r="G914">
        <v>1</v>
      </c>
      <c r="H914">
        <v>9791166065835</v>
      </c>
      <c r="I914" t="s">
        <v>24</v>
      </c>
      <c r="J914" t="s">
        <v>1218</v>
      </c>
      <c r="K914" t="s">
        <v>228</v>
      </c>
      <c r="L914" t="s">
        <v>27</v>
      </c>
      <c r="M914" s="3">
        <v>3200</v>
      </c>
      <c r="N914" t="s">
        <v>28</v>
      </c>
      <c r="O914">
        <v>2.64</v>
      </c>
      <c r="P914">
        <v>2.64</v>
      </c>
      <c r="Q914" t="s">
        <v>29</v>
      </c>
      <c r="R914" s="2">
        <v>0.7</v>
      </c>
      <c r="S914">
        <v>1.85</v>
      </c>
      <c r="T914" t="s">
        <v>27</v>
      </c>
      <c r="U914" s="3">
        <v>2375</v>
      </c>
      <c r="V914" s="7" t="str">
        <f>IF(ISERROR(VLOOKUP(K914,[1]작가별정산률!$R:$S,2,0)),"스토리위즈",VLOOKUP(K914,[1]작가별정산률!$R:$S,2,0))</f>
        <v>스토리위즈</v>
      </c>
      <c r="W914" s="7" t="str">
        <f>IF(V914="스토리위즈",VLOOKUP(K914,[1]작가별정산률!$A:$B,2,0),V914)</f>
        <v>청빙</v>
      </c>
    </row>
    <row r="915" spans="1:23" x14ac:dyDescent="0.4">
      <c r="A915" t="s">
        <v>262</v>
      </c>
      <c r="B915" t="s">
        <v>1198</v>
      </c>
      <c r="C915" t="s">
        <v>1217</v>
      </c>
      <c r="D915" t="s">
        <v>21</v>
      </c>
      <c r="E915" t="s">
        <v>22</v>
      </c>
      <c r="F915" t="s">
        <v>23</v>
      </c>
      <c r="G915">
        <v>1</v>
      </c>
      <c r="H915">
        <v>9791166065842</v>
      </c>
      <c r="I915" t="s">
        <v>24</v>
      </c>
      <c r="J915" t="s">
        <v>1219</v>
      </c>
      <c r="K915" t="s">
        <v>228</v>
      </c>
      <c r="L915" t="s">
        <v>27</v>
      </c>
      <c r="M915" s="3">
        <v>3200</v>
      </c>
      <c r="N915" t="s">
        <v>28</v>
      </c>
      <c r="O915">
        <v>2.64</v>
      </c>
      <c r="P915">
        <v>2.64</v>
      </c>
      <c r="Q915" t="s">
        <v>29</v>
      </c>
      <c r="R915" s="2">
        <v>0.7</v>
      </c>
      <c r="S915">
        <v>1.85</v>
      </c>
      <c r="T915" t="s">
        <v>27</v>
      </c>
      <c r="U915" s="3">
        <v>2375</v>
      </c>
      <c r="V915" s="7" t="str">
        <f>IF(ISERROR(VLOOKUP(K915,[1]작가별정산률!$R:$S,2,0)),"스토리위즈",VLOOKUP(K915,[1]작가별정산률!$R:$S,2,0))</f>
        <v>스토리위즈</v>
      </c>
      <c r="W915" s="7" t="str">
        <f>IF(V915="스토리위즈",VLOOKUP(K915,[1]작가별정산률!$A:$B,2,0),V915)</f>
        <v>청빙</v>
      </c>
    </row>
    <row r="916" spans="1:23" x14ac:dyDescent="0.4">
      <c r="A916" t="s">
        <v>262</v>
      </c>
      <c r="B916" t="s">
        <v>1198</v>
      </c>
      <c r="C916" t="s">
        <v>1217</v>
      </c>
      <c r="D916" t="s">
        <v>21</v>
      </c>
      <c r="E916" t="s">
        <v>22</v>
      </c>
      <c r="F916" t="s">
        <v>23</v>
      </c>
      <c r="G916">
        <v>1</v>
      </c>
      <c r="H916">
        <v>9791166065859</v>
      </c>
      <c r="I916" t="s">
        <v>24</v>
      </c>
      <c r="J916" t="s">
        <v>1220</v>
      </c>
      <c r="K916" t="s">
        <v>228</v>
      </c>
      <c r="L916" t="s">
        <v>27</v>
      </c>
      <c r="M916" s="3">
        <v>3200</v>
      </c>
      <c r="N916" t="s">
        <v>28</v>
      </c>
      <c r="O916">
        <v>2.64</v>
      </c>
      <c r="P916">
        <v>2.64</v>
      </c>
      <c r="Q916" t="s">
        <v>29</v>
      </c>
      <c r="R916" s="2">
        <v>0.7</v>
      </c>
      <c r="S916">
        <v>1.85</v>
      </c>
      <c r="T916" t="s">
        <v>27</v>
      </c>
      <c r="U916" s="3">
        <v>2375</v>
      </c>
      <c r="V916" s="7" t="str">
        <f>IF(ISERROR(VLOOKUP(K916,[1]작가별정산률!$R:$S,2,0)),"스토리위즈",VLOOKUP(K916,[1]작가별정산률!$R:$S,2,0))</f>
        <v>스토리위즈</v>
      </c>
      <c r="W916" s="7" t="str">
        <f>IF(V916="스토리위즈",VLOOKUP(K916,[1]작가별정산률!$A:$B,2,0),V916)</f>
        <v>청빙</v>
      </c>
    </row>
    <row r="917" spans="1:23" x14ac:dyDescent="0.4">
      <c r="A917" t="s">
        <v>262</v>
      </c>
      <c r="B917" t="s">
        <v>1198</v>
      </c>
      <c r="C917" t="s">
        <v>1217</v>
      </c>
      <c r="D917" t="s">
        <v>21</v>
      </c>
      <c r="E917" t="s">
        <v>22</v>
      </c>
      <c r="F917" t="s">
        <v>23</v>
      </c>
      <c r="G917">
        <v>1</v>
      </c>
      <c r="H917">
        <v>9791166065866</v>
      </c>
      <c r="I917" t="s">
        <v>24</v>
      </c>
      <c r="J917" t="s">
        <v>1221</v>
      </c>
      <c r="K917" t="s">
        <v>228</v>
      </c>
      <c r="L917" t="s">
        <v>27</v>
      </c>
      <c r="M917" s="3">
        <v>3200</v>
      </c>
      <c r="N917" t="s">
        <v>28</v>
      </c>
      <c r="O917">
        <v>2.64</v>
      </c>
      <c r="P917">
        <v>2.64</v>
      </c>
      <c r="Q917" t="s">
        <v>29</v>
      </c>
      <c r="R917" s="2">
        <v>0.7</v>
      </c>
      <c r="S917">
        <v>1.85</v>
      </c>
      <c r="T917" t="s">
        <v>27</v>
      </c>
      <c r="U917" s="3">
        <v>2375</v>
      </c>
      <c r="V917" s="7" t="str">
        <f>IF(ISERROR(VLOOKUP(K917,[1]작가별정산률!$R:$S,2,0)),"스토리위즈",VLOOKUP(K917,[1]작가별정산률!$R:$S,2,0))</f>
        <v>스토리위즈</v>
      </c>
      <c r="W917" s="7" t="str">
        <f>IF(V917="스토리위즈",VLOOKUP(K917,[1]작가별정산률!$A:$B,2,0),V917)</f>
        <v>청빙</v>
      </c>
    </row>
    <row r="918" spans="1:23" x14ac:dyDescent="0.4">
      <c r="A918" t="s">
        <v>262</v>
      </c>
      <c r="B918" t="s">
        <v>1198</v>
      </c>
      <c r="C918" t="s">
        <v>1222</v>
      </c>
      <c r="D918" t="s">
        <v>64</v>
      </c>
      <c r="E918" t="s">
        <v>22</v>
      </c>
      <c r="F918" t="s">
        <v>23</v>
      </c>
      <c r="G918">
        <v>1</v>
      </c>
      <c r="H918">
        <v>9791166300523</v>
      </c>
      <c r="I918" t="s">
        <v>24</v>
      </c>
      <c r="J918" t="s">
        <v>150</v>
      </c>
      <c r="K918" t="s">
        <v>119</v>
      </c>
      <c r="L918" t="s">
        <v>27</v>
      </c>
      <c r="M918">
        <v>630</v>
      </c>
      <c r="N918" t="s">
        <v>27</v>
      </c>
      <c r="O918">
        <v>630</v>
      </c>
      <c r="P918">
        <v>630</v>
      </c>
      <c r="Q918" t="s">
        <v>30</v>
      </c>
      <c r="R918" s="2">
        <v>0.7</v>
      </c>
      <c r="S918">
        <v>441</v>
      </c>
      <c r="T918" t="s">
        <v>27</v>
      </c>
      <c r="U918">
        <v>441</v>
      </c>
      <c r="V918" s="7" t="str">
        <f>IF(ISERROR(VLOOKUP(K918,[1]작가별정산률!$R:$S,2,0)),"스토리위즈",VLOOKUP(K918,[1]작가별정산률!$R:$S,2,0))</f>
        <v>스토리위즈</v>
      </c>
      <c r="W918" s="7" t="str">
        <f>IF(V918="스토리위즈",VLOOKUP(K918,[1]작가별정산률!$A:$B,2,0),V918)</f>
        <v>김광수</v>
      </c>
    </row>
    <row r="919" spans="1:23" x14ac:dyDescent="0.4">
      <c r="A919" t="s">
        <v>262</v>
      </c>
      <c r="B919" t="s">
        <v>1198</v>
      </c>
      <c r="C919" t="s">
        <v>1223</v>
      </c>
      <c r="D919" t="s">
        <v>64</v>
      </c>
      <c r="E919" t="s">
        <v>22</v>
      </c>
      <c r="F919" t="s">
        <v>23</v>
      </c>
      <c r="G919">
        <v>1</v>
      </c>
      <c r="H919">
        <v>9791166300561</v>
      </c>
      <c r="I919" t="s">
        <v>24</v>
      </c>
      <c r="J919" t="s">
        <v>158</v>
      </c>
      <c r="K919" t="s">
        <v>119</v>
      </c>
      <c r="L919" t="s">
        <v>27</v>
      </c>
      <c r="M919">
        <v>630</v>
      </c>
      <c r="N919" t="s">
        <v>27</v>
      </c>
      <c r="O919">
        <v>630</v>
      </c>
      <c r="P919">
        <v>630</v>
      </c>
      <c r="Q919" t="s">
        <v>30</v>
      </c>
      <c r="R919" s="2">
        <v>0.7</v>
      </c>
      <c r="S919">
        <v>441</v>
      </c>
      <c r="T919" t="s">
        <v>27</v>
      </c>
      <c r="U919">
        <v>441</v>
      </c>
      <c r="V919" s="7" t="str">
        <f>IF(ISERROR(VLOOKUP(K919,[1]작가별정산률!$R:$S,2,0)),"스토리위즈",VLOOKUP(K919,[1]작가별정산률!$R:$S,2,0))</f>
        <v>스토리위즈</v>
      </c>
      <c r="W919" s="7" t="str">
        <f>IF(V919="스토리위즈",VLOOKUP(K919,[1]작가별정산률!$A:$B,2,0),V919)</f>
        <v>김광수</v>
      </c>
    </row>
    <row r="920" spans="1:23" x14ac:dyDescent="0.4">
      <c r="A920" t="s">
        <v>262</v>
      </c>
      <c r="B920" t="s">
        <v>1198</v>
      </c>
      <c r="C920" t="s">
        <v>1224</v>
      </c>
      <c r="D920" t="s">
        <v>64</v>
      </c>
      <c r="E920" t="s">
        <v>22</v>
      </c>
      <c r="F920" t="s">
        <v>23</v>
      </c>
      <c r="G920">
        <v>1</v>
      </c>
      <c r="H920">
        <v>9791159285899</v>
      </c>
      <c r="I920" t="s">
        <v>24</v>
      </c>
      <c r="J920" t="s">
        <v>61</v>
      </c>
      <c r="K920" t="s">
        <v>37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  <c r="V920" s="7" t="str">
        <f>IF(ISERROR(VLOOKUP(K920,[1]작가별정산률!$R:$S,2,0)),"스토리위즈",VLOOKUP(K920,[1]작가별정산률!$R:$S,2,0))</f>
        <v>스토리위즈</v>
      </c>
      <c r="W920" s="7" t="str">
        <f>IF(V920="스토리위즈",VLOOKUP(K920,[1]작가별정산률!$A:$B,2,0),V920)</f>
        <v>권용찬</v>
      </c>
    </row>
    <row r="921" spans="1:23" x14ac:dyDescent="0.4">
      <c r="A921" t="s">
        <v>262</v>
      </c>
      <c r="B921" t="s">
        <v>1198</v>
      </c>
      <c r="C921" t="s">
        <v>1225</v>
      </c>
      <c r="D921" t="s">
        <v>64</v>
      </c>
      <c r="E921" t="s">
        <v>22</v>
      </c>
      <c r="F921" t="s">
        <v>23</v>
      </c>
      <c r="G921">
        <v>1</v>
      </c>
      <c r="H921">
        <v>9791166300462</v>
      </c>
      <c r="I921" t="s">
        <v>24</v>
      </c>
      <c r="J921" t="s">
        <v>144</v>
      </c>
      <c r="K921" t="s">
        <v>119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  <c r="V921" s="7" t="str">
        <f>IF(ISERROR(VLOOKUP(K921,[1]작가별정산률!$R:$S,2,0)),"스토리위즈",VLOOKUP(K921,[1]작가별정산률!$R:$S,2,0))</f>
        <v>스토리위즈</v>
      </c>
      <c r="W921" s="7" t="str">
        <f>IF(V921="스토리위즈",VLOOKUP(K921,[1]작가별정산률!$A:$B,2,0),V921)</f>
        <v>김광수</v>
      </c>
    </row>
    <row r="922" spans="1:23" x14ac:dyDescent="0.4">
      <c r="A922" t="s">
        <v>262</v>
      </c>
      <c r="B922" t="s">
        <v>1198</v>
      </c>
      <c r="C922" t="s">
        <v>1226</v>
      </c>
      <c r="D922" t="s">
        <v>21</v>
      </c>
      <c r="E922" t="s">
        <v>22</v>
      </c>
      <c r="F922" t="s">
        <v>23</v>
      </c>
      <c r="G922">
        <v>1</v>
      </c>
      <c r="H922">
        <v>9791191562347</v>
      </c>
      <c r="I922" t="s">
        <v>143</v>
      </c>
      <c r="J922" t="s">
        <v>307</v>
      </c>
      <c r="K922" t="s">
        <v>308</v>
      </c>
      <c r="L922" t="s">
        <v>27</v>
      </c>
      <c r="M922" s="3">
        <v>3200</v>
      </c>
      <c r="N922" t="s">
        <v>27</v>
      </c>
      <c r="O922" s="3">
        <v>3200</v>
      </c>
      <c r="P922" s="3">
        <v>3200</v>
      </c>
      <c r="Q922" t="s">
        <v>30</v>
      </c>
      <c r="R922" s="2">
        <v>0.7</v>
      </c>
      <c r="S922" s="3">
        <v>2240</v>
      </c>
      <c r="T922" t="s">
        <v>27</v>
      </c>
      <c r="U922" s="3">
        <v>2240</v>
      </c>
      <c r="V922" s="7" t="str">
        <f>IF(ISERROR(VLOOKUP(K922,[1]작가별정산률!$R:$S,2,0)),"스토리위즈",VLOOKUP(K922,[1]작가별정산률!$R:$S,2,0))</f>
        <v>밀리의 서재</v>
      </c>
      <c r="W922" s="7" t="str">
        <f>IF(V922="스토리위즈",VLOOKUP(K922,[1]작가별정산률!$A:$B,2,0),V922)</f>
        <v>밀리의 서재</v>
      </c>
    </row>
    <row r="923" spans="1:23" x14ac:dyDescent="0.4">
      <c r="A923" t="s">
        <v>262</v>
      </c>
      <c r="B923" t="s">
        <v>1198</v>
      </c>
      <c r="C923" t="s">
        <v>1227</v>
      </c>
      <c r="D923" t="s">
        <v>64</v>
      </c>
      <c r="E923" t="s">
        <v>22</v>
      </c>
      <c r="F923" t="s">
        <v>23</v>
      </c>
      <c r="G923">
        <v>1</v>
      </c>
      <c r="H923">
        <v>9791166300141</v>
      </c>
      <c r="I923" t="s">
        <v>24</v>
      </c>
      <c r="J923" t="s">
        <v>124</v>
      </c>
      <c r="K923" t="s">
        <v>119</v>
      </c>
      <c r="L923" t="s">
        <v>27</v>
      </c>
      <c r="M923">
        <v>630</v>
      </c>
      <c r="N923" t="s">
        <v>27</v>
      </c>
      <c r="O923">
        <v>630</v>
      </c>
      <c r="P923">
        <v>630</v>
      </c>
      <c r="Q923" t="s">
        <v>30</v>
      </c>
      <c r="R923" s="2">
        <v>0.7</v>
      </c>
      <c r="S923">
        <v>441</v>
      </c>
      <c r="T923" t="s">
        <v>27</v>
      </c>
      <c r="U923">
        <v>441</v>
      </c>
      <c r="V923" s="7" t="str">
        <f>IF(ISERROR(VLOOKUP(K923,[1]작가별정산률!$R:$S,2,0)),"스토리위즈",VLOOKUP(K923,[1]작가별정산률!$R:$S,2,0))</f>
        <v>스토리위즈</v>
      </c>
      <c r="W923" s="7" t="str">
        <f>IF(V923="스토리위즈",VLOOKUP(K923,[1]작가별정산률!$A:$B,2,0),V923)</f>
        <v>김광수</v>
      </c>
    </row>
    <row r="924" spans="1:23" x14ac:dyDescent="0.4">
      <c r="A924" t="s">
        <v>262</v>
      </c>
      <c r="B924" t="s">
        <v>1198</v>
      </c>
      <c r="C924" t="s">
        <v>1228</v>
      </c>
      <c r="D924" t="s">
        <v>21</v>
      </c>
      <c r="E924" t="s">
        <v>22</v>
      </c>
      <c r="F924" t="s">
        <v>23</v>
      </c>
      <c r="G924">
        <v>1</v>
      </c>
      <c r="H924">
        <v>9791191562033</v>
      </c>
      <c r="I924" t="s">
        <v>143</v>
      </c>
      <c r="J924" t="s">
        <v>189</v>
      </c>
      <c r="K924" t="s">
        <v>187</v>
      </c>
      <c r="L924" t="s">
        <v>27</v>
      </c>
      <c r="M924" s="3">
        <v>2000</v>
      </c>
      <c r="N924" t="s">
        <v>27</v>
      </c>
      <c r="O924" s="3">
        <v>2000</v>
      </c>
      <c r="P924" s="3">
        <v>2000</v>
      </c>
      <c r="Q924" t="s">
        <v>30</v>
      </c>
      <c r="R924" s="2">
        <v>0.7</v>
      </c>
      <c r="S924" s="3">
        <v>1400</v>
      </c>
      <c r="T924" t="s">
        <v>27</v>
      </c>
      <c r="U924" s="3">
        <v>1400</v>
      </c>
      <c r="V924" s="7" t="str">
        <f>IF(ISERROR(VLOOKUP(K924,[1]작가별정산률!$R:$S,2,0)),"스토리위즈",VLOOKUP(K924,[1]작가별정산률!$R:$S,2,0))</f>
        <v>밀리의 서재</v>
      </c>
      <c r="W924" s="7" t="str">
        <f>IF(V924="스토리위즈",VLOOKUP(K924,[1]작가별정산률!$A:$B,2,0),V924)</f>
        <v>밀리의 서재</v>
      </c>
    </row>
    <row r="925" spans="1:23" x14ac:dyDescent="0.4">
      <c r="A925" t="s">
        <v>262</v>
      </c>
      <c r="B925" t="s">
        <v>1198</v>
      </c>
      <c r="C925" t="s">
        <v>1229</v>
      </c>
      <c r="D925" t="s">
        <v>64</v>
      </c>
      <c r="E925" t="s">
        <v>22</v>
      </c>
      <c r="F925" t="s">
        <v>23</v>
      </c>
      <c r="G925">
        <v>1</v>
      </c>
      <c r="H925">
        <v>9791159283086</v>
      </c>
      <c r="I925" t="s">
        <v>24</v>
      </c>
      <c r="J925" t="s">
        <v>72</v>
      </c>
      <c r="K925" t="s">
        <v>37</v>
      </c>
      <c r="L925" t="s">
        <v>27</v>
      </c>
      <c r="M925">
        <v>900</v>
      </c>
      <c r="N925" t="s">
        <v>27</v>
      </c>
      <c r="O925">
        <v>900</v>
      </c>
      <c r="P925">
        <v>900</v>
      </c>
      <c r="Q925" t="s">
        <v>30</v>
      </c>
      <c r="R925" s="2">
        <v>0.7</v>
      </c>
      <c r="S925">
        <v>630</v>
      </c>
      <c r="T925" t="s">
        <v>27</v>
      </c>
      <c r="U925">
        <v>630</v>
      </c>
      <c r="V925" s="7" t="str">
        <f>IF(ISERROR(VLOOKUP(K925,[1]작가별정산률!$R:$S,2,0)),"스토리위즈",VLOOKUP(K925,[1]작가별정산률!$R:$S,2,0))</f>
        <v>스토리위즈</v>
      </c>
      <c r="W925" s="7" t="str">
        <f>IF(V925="스토리위즈",VLOOKUP(K925,[1]작가별정산률!$A:$B,2,0),V925)</f>
        <v>권용찬</v>
      </c>
    </row>
    <row r="926" spans="1:23" x14ac:dyDescent="0.4">
      <c r="A926" t="s">
        <v>262</v>
      </c>
      <c r="B926" t="s">
        <v>1198</v>
      </c>
      <c r="C926" t="s">
        <v>1230</v>
      </c>
      <c r="D926" t="s">
        <v>64</v>
      </c>
      <c r="E926" t="s">
        <v>22</v>
      </c>
      <c r="F926" t="s">
        <v>23</v>
      </c>
      <c r="G926">
        <v>1</v>
      </c>
      <c r="H926">
        <v>9791166300288</v>
      </c>
      <c r="I926" t="s">
        <v>24</v>
      </c>
      <c r="J926" t="s">
        <v>137</v>
      </c>
      <c r="K926" t="s">
        <v>119</v>
      </c>
      <c r="L926" t="s">
        <v>27</v>
      </c>
      <c r="M926">
        <v>630</v>
      </c>
      <c r="N926" t="s">
        <v>27</v>
      </c>
      <c r="O926">
        <v>630</v>
      </c>
      <c r="P926">
        <v>630</v>
      </c>
      <c r="Q926" t="s">
        <v>30</v>
      </c>
      <c r="R926" s="2">
        <v>0.7</v>
      </c>
      <c r="S926">
        <v>441</v>
      </c>
      <c r="T926" t="s">
        <v>27</v>
      </c>
      <c r="U926">
        <v>441</v>
      </c>
      <c r="V926" s="7" t="str">
        <f>IF(ISERROR(VLOOKUP(K926,[1]작가별정산률!$R:$S,2,0)),"스토리위즈",VLOOKUP(K926,[1]작가별정산률!$R:$S,2,0))</f>
        <v>스토리위즈</v>
      </c>
      <c r="W926" s="7" t="str">
        <f>IF(V926="스토리위즈",VLOOKUP(K926,[1]작가별정산률!$A:$B,2,0),V926)</f>
        <v>김광수</v>
      </c>
    </row>
    <row r="927" spans="1:23" x14ac:dyDescent="0.4">
      <c r="A927" t="s">
        <v>262</v>
      </c>
      <c r="B927" t="s">
        <v>1198</v>
      </c>
      <c r="C927" t="s">
        <v>1231</v>
      </c>
      <c r="D927" t="s">
        <v>64</v>
      </c>
      <c r="E927" t="s">
        <v>22</v>
      </c>
      <c r="F927" t="s">
        <v>23</v>
      </c>
      <c r="G927">
        <v>1</v>
      </c>
      <c r="H927">
        <v>9791166300578</v>
      </c>
      <c r="I927" t="s">
        <v>24</v>
      </c>
      <c r="J927" t="s">
        <v>159</v>
      </c>
      <c r="K927" t="s">
        <v>119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2">
        <v>0.7</v>
      </c>
      <c r="S927">
        <v>441</v>
      </c>
      <c r="T927" t="s">
        <v>27</v>
      </c>
      <c r="U927">
        <v>441</v>
      </c>
      <c r="V927" s="7" t="str">
        <f>IF(ISERROR(VLOOKUP(K927,[1]작가별정산률!$R:$S,2,0)),"스토리위즈",VLOOKUP(K927,[1]작가별정산률!$R:$S,2,0))</f>
        <v>스토리위즈</v>
      </c>
      <c r="W927" s="7" t="str">
        <f>IF(V927="스토리위즈",VLOOKUP(K927,[1]작가별정산률!$A:$B,2,0),V927)</f>
        <v>김광수</v>
      </c>
    </row>
    <row r="928" spans="1:23" x14ac:dyDescent="0.4">
      <c r="A928" t="s">
        <v>262</v>
      </c>
      <c r="B928" t="s">
        <v>1198</v>
      </c>
      <c r="C928" t="s">
        <v>1232</v>
      </c>
      <c r="D928" t="s">
        <v>21</v>
      </c>
      <c r="E928" t="s">
        <v>22</v>
      </c>
      <c r="F928" t="s">
        <v>23</v>
      </c>
      <c r="G928">
        <v>1</v>
      </c>
      <c r="H928">
        <v>9791191562262</v>
      </c>
      <c r="I928" t="s">
        <v>143</v>
      </c>
      <c r="J928" t="s">
        <v>250</v>
      </c>
      <c r="K928" t="s">
        <v>251</v>
      </c>
      <c r="L928" t="s">
        <v>27</v>
      </c>
      <c r="M928" s="3">
        <v>2000</v>
      </c>
      <c r="N928" t="s">
        <v>27</v>
      </c>
      <c r="O928" s="3">
        <v>2000</v>
      </c>
      <c r="P928" s="3">
        <v>2000</v>
      </c>
      <c r="Q928" t="s">
        <v>30</v>
      </c>
      <c r="R928" s="2">
        <v>0.7</v>
      </c>
      <c r="S928" s="3">
        <v>1400</v>
      </c>
      <c r="T928" t="s">
        <v>27</v>
      </c>
      <c r="U928" s="3">
        <v>1400</v>
      </c>
      <c r="V928" s="7" t="str">
        <f>IF(ISERROR(VLOOKUP(K928,[1]작가별정산률!$R:$S,2,0)),"스토리위즈",VLOOKUP(K928,[1]작가별정산률!$R:$S,2,0))</f>
        <v>밀리의 서재</v>
      </c>
      <c r="W928" s="7" t="str">
        <f>IF(V928="스토리위즈",VLOOKUP(K928,[1]작가별정산률!$A:$B,2,0),V928)</f>
        <v>밀리의 서재</v>
      </c>
    </row>
    <row r="929" spans="1:23" x14ac:dyDescent="0.4">
      <c r="A929" t="s">
        <v>262</v>
      </c>
      <c r="B929" t="s">
        <v>1198</v>
      </c>
      <c r="C929" t="s">
        <v>1233</v>
      </c>
      <c r="D929" t="s">
        <v>64</v>
      </c>
      <c r="E929" t="s">
        <v>22</v>
      </c>
      <c r="F929" t="s">
        <v>23</v>
      </c>
      <c r="G929">
        <v>1</v>
      </c>
      <c r="H929">
        <v>9791166300561</v>
      </c>
      <c r="I929" t="s">
        <v>24</v>
      </c>
      <c r="J929" t="s">
        <v>158</v>
      </c>
      <c r="K929" t="s">
        <v>119</v>
      </c>
      <c r="L929" t="s">
        <v>27</v>
      </c>
      <c r="M929">
        <v>630</v>
      </c>
      <c r="N929" t="s">
        <v>27</v>
      </c>
      <c r="O929">
        <v>630</v>
      </c>
      <c r="P929">
        <v>630</v>
      </c>
      <c r="Q929" t="s">
        <v>30</v>
      </c>
      <c r="R929" s="2">
        <v>0.7</v>
      </c>
      <c r="S929">
        <v>441</v>
      </c>
      <c r="T929" t="s">
        <v>27</v>
      </c>
      <c r="U929">
        <v>441</v>
      </c>
      <c r="V929" s="7" t="str">
        <f>IF(ISERROR(VLOOKUP(K929,[1]작가별정산률!$R:$S,2,0)),"스토리위즈",VLOOKUP(K929,[1]작가별정산률!$R:$S,2,0))</f>
        <v>스토리위즈</v>
      </c>
      <c r="W929" s="7" t="str">
        <f>IF(V929="스토리위즈",VLOOKUP(K929,[1]작가별정산률!$A:$B,2,0),V929)</f>
        <v>김광수</v>
      </c>
    </row>
    <row r="930" spans="1:23" x14ac:dyDescent="0.4">
      <c r="A930" t="s">
        <v>262</v>
      </c>
      <c r="B930" t="s">
        <v>1198</v>
      </c>
      <c r="C930" t="s">
        <v>1234</v>
      </c>
      <c r="D930" t="s">
        <v>64</v>
      </c>
      <c r="E930" t="s">
        <v>22</v>
      </c>
      <c r="F930" t="s">
        <v>23</v>
      </c>
      <c r="G930">
        <v>1</v>
      </c>
      <c r="H930">
        <v>9791159282850</v>
      </c>
      <c r="I930" t="s">
        <v>24</v>
      </c>
      <c r="J930" t="s">
        <v>31</v>
      </c>
      <c r="K930" t="s">
        <v>26</v>
      </c>
      <c r="L930" t="s">
        <v>27</v>
      </c>
      <c r="M930">
        <v>630</v>
      </c>
      <c r="N930" t="s">
        <v>27</v>
      </c>
      <c r="O930">
        <v>630</v>
      </c>
      <c r="P930">
        <v>630</v>
      </c>
      <c r="Q930" t="s">
        <v>30</v>
      </c>
      <c r="R930" s="2">
        <v>0.7</v>
      </c>
      <c r="S930">
        <v>441</v>
      </c>
      <c r="T930" t="s">
        <v>27</v>
      </c>
      <c r="U930">
        <v>441</v>
      </c>
      <c r="V930" s="7" t="str">
        <f>IF(ISERROR(VLOOKUP(K930,[1]작가별정산률!$R:$S,2,0)),"스토리위즈",VLOOKUP(K930,[1]작가별정산률!$R:$S,2,0))</f>
        <v>스토리위즈</v>
      </c>
      <c r="W930" s="7" t="str">
        <f>IF(V930="스토리위즈",VLOOKUP(K930,[1]작가별정산률!$A:$B,2,0),V930)</f>
        <v>독고진</v>
      </c>
    </row>
    <row r="931" spans="1:23" x14ac:dyDescent="0.4">
      <c r="A931" t="s">
        <v>262</v>
      </c>
      <c r="B931" t="s">
        <v>1198</v>
      </c>
      <c r="C931" t="s">
        <v>1235</v>
      </c>
      <c r="D931" t="s">
        <v>21</v>
      </c>
      <c r="E931" t="s">
        <v>22</v>
      </c>
      <c r="F931" t="s">
        <v>23</v>
      </c>
      <c r="G931">
        <v>1</v>
      </c>
      <c r="H931">
        <v>9791191562286</v>
      </c>
      <c r="I931" t="s">
        <v>143</v>
      </c>
      <c r="J931" t="s">
        <v>238</v>
      </c>
      <c r="K931" t="s">
        <v>239</v>
      </c>
      <c r="L931" t="s">
        <v>27</v>
      </c>
      <c r="M931" s="3">
        <v>2000</v>
      </c>
      <c r="N931" t="s">
        <v>27</v>
      </c>
      <c r="O931" s="3">
        <v>2000</v>
      </c>
      <c r="P931" s="3">
        <v>2000</v>
      </c>
      <c r="Q931" t="s">
        <v>30</v>
      </c>
      <c r="R931" s="2">
        <v>0.7</v>
      </c>
      <c r="S931" s="3">
        <v>1400</v>
      </c>
      <c r="T931" t="s">
        <v>27</v>
      </c>
      <c r="U931" s="3">
        <v>1400</v>
      </c>
      <c r="V931" s="7" t="str">
        <f>IF(ISERROR(VLOOKUP(K931,[1]작가별정산률!$R:$S,2,0)),"스토리위즈",VLOOKUP(K931,[1]작가별정산률!$R:$S,2,0))</f>
        <v>밀리의 서재</v>
      </c>
      <c r="W931" s="7" t="str">
        <f>IF(V931="스토리위즈",VLOOKUP(K931,[1]작가별정산률!$A:$B,2,0),V931)</f>
        <v>밀리의 서재</v>
      </c>
    </row>
    <row r="932" spans="1:23" x14ac:dyDescent="0.4">
      <c r="A932" t="s">
        <v>262</v>
      </c>
      <c r="B932" t="s">
        <v>1198</v>
      </c>
      <c r="C932" t="s">
        <v>1236</v>
      </c>
      <c r="D932" t="s">
        <v>64</v>
      </c>
      <c r="E932" t="s">
        <v>22</v>
      </c>
      <c r="F932" t="s">
        <v>23</v>
      </c>
      <c r="G932">
        <v>1</v>
      </c>
      <c r="H932">
        <v>9791166300479</v>
      </c>
      <c r="I932" t="s">
        <v>24</v>
      </c>
      <c r="J932" t="s">
        <v>145</v>
      </c>
      <c r="K932" t="s">
        <v>119</v>
      </c>
      <c r="L932" t="s">
        <v>27</v>
      </c>
      <c r="M932">
        <v>630</v>
      </c>
      <c r="N932" t="s">
        <v>27</v>
      </c>
      <c r="O932">
        <v>630</v>
      </c>
      <c r="P932">
        <v>630</v>
      </c>
      <c r="Q932" t="s">
        <v>30</v>
      </c>
      <c r="R932" s="2">
        <v>0.7</v>
      </c>
      <c r="S932">
        <v>441</v>
      </c>
      <c r="T932" t="s">
        <v>27</v>
      </c>
      <c r="U932">
        <v>441</v>
      </c>
      <c r="V932" s="7" t="str">
        <f>IF(ISERROR(VLOOKUP(K932,[1]작가별정산률!$R:$S,2,0)),"스토리위즈",VLOOKUP(K932,[1]작가별정산률!$R:$S,2,0))</f>
        <v>스토리위즈</v>
      </c>
      <c r="W932" s="7" t="str">
        <f>IF(V932="스토리위즈",VLOOKUP(K932,[1]작가별정산률!$A:$B,2,0),V932)</f>
        <v>김광수</v>
      </c>
    </row>
    <row r="933" spans="1:23" x14ac:dyDescent="0.4">
      <c r="A933" t="s">
        <v>262</v>
      </c>
      <c r="B933" t="s">
        <v>1198</v>
      </c>
      <c r="C933" t="s">
        <v>1237</v>
      </c>
      <c r="D933" t="s">
        <v>64</v>
      </c>
      <c r="E933" t="s">
        <v>22</v>
      </c>
      <c r="F933" t="s">
        <v>23</v>
      </c>
      <c r="G933">
        <v>1</v>
      </c>
      <c r="H933">
        <v>9791166300172</v>
      </c>
      <c r="I933" t="s">
        <v>24</v>
      </c>
      <c r="J933" t="s">
        <v>127</v>
      </c>
      <c r="K933" t="s">
        <v>119</v>
      </c>
      <c r="L933" t="s">
        <v>27</v>
      </c>
      <c r="M933">
        <v>630</v>
      </c>
      <c r="N933" t="s">
        <v>27</v>
      </c>
      <c r="O933">
        <v>630</v>
      </c>
      <c r="P933">
        <v>630</v>
      </c>
      <c r="Q933" t="s">
        <v>30</v>
      </c>
      <c r="R933" s="2">
        <v>0.7</v>
      </c>
      <c r="S933">
        <v>441</v>
      </c>
      <c r="T933" t="s">
        <v>27</v>
      </c>
      <c r="U933">
        <v>441</v>
      </c>
      <c r="V933" s="7" t="str">
        <f>IF(ISERROR(VLOOKUP(K933,[1]작가별정산률!$R:$S,2,0)),"스토리위즈",VLOOKUP(K933,[1]작가별정산률!$R:$S,2,0))</f>
        <v>스토리위즈</v>
      </c>
      <c r="W933" s="7" t="str">
        <f>IF(V933="스토리위즈",VLOOKUP(K933,[1]작가별정산률!$A:$B,2,0),V933)</f>
        <v>김광수</v>
      </c>
    </row>
    <row r="934" spans="1:23" x14ac:dyDescent="0.4">
      <c r="A934" t="s">
        <v>262</v>
      </c>
      <c r="B934" t="s">
        <v>1198</v>
      </c>
      <c r="C934" t="s">
        <v>1238</v>
      </c>
      <c r="D934" t="s">
        <v>64</v>
      </c>
      <c r="E934" t="s">
        <v>22</v>
      </c>
      <c r="F934" t="s">
        <v>23</v>
      </c>
      <c r="G934">
        <v>1</v>
      </c>
      <c r="H934">
        <v>9791166300196</v>
      </c>
      <c r="I934" t="s">
        <v>24</v>
      </c>
      <c r="J934" t="s">
        <v>128</v>
      </c>
      <c r="K934" t="s">
        <v>119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  <c r="V934" s="7" t="str">
        <f>IF(ISERROR(VLOOKUP(K934,[1]작가별정산률!$R:$S,2,0)),"스토리위즈",VLOOKUP(K934,[1]작가별정산률!$R:$S,2,0))</f>
        <v>스토리위즈</v>
      </c>
      <c r="W934" s="7" t="str">
        <f>IF(V934="스토리위즈",VLOOKUP(K934,[1]작가별정산률!$A:$B,2,0),V934)</f>
        <v>김광수</v>
      </c>
    </row>
    <row r="935" spans="1:23" x14ac:dyDescent="0.4">
      <c r="A935" t="s">
        <v>262</v>
      </c>
      <c r="B935" t="s">
        <v>1198</v>
      </c>
      <c r="C935" t="s">
        <v>1239</v>
      </c>
      <c r="D935" t="s">
        <v>21</v>
      </c>
      <c r="E935" t="s">
        <v>22</v>
      </c>
      <c r="F935" t="s">
        <v>23</v>
      </c>
      <c r="G935">
        <v>1</v>
      </c>
      <c r="H935">
        <v>9791159289644</v>
      </c>
      <c r="I935" t="s">
        <v>24</v>
      </c>
      <c r="J935" t="s">
        <v>256</v>
      </c>
      <c r="K935" t="s">
        <v>140</v>
      </c>
      <c r="L935" t="s">
        <v>27</v>
      </c>
      <c r="M935" s="3">
        <v>3200</v>
      </c>
      <c r="N935" t="s">
        <v>27</v>
      </c>
      <c r="O935" s="3">
        <v>3200</v>
      </c>
      <c r="P935" s="3">
        <v>3200</v>
      </c>
      <c r="Q935" t="s">
        <v>30</v>
      </c>
      <c r="R935" s="2">
        <v>0.7</v>
      </c>
      <c r="S935" s="3">
        <v>2240</v>
      </c>
      <c r="T935" t="s">
        <v>27</v>
      </c>
      <c r="U935" s="3">
        <v>2240</v>
      </c>
      <c r="V935" s="7" t="str">
        <f>IF(ISERROR(VLOOKUP(K935,[1]작가별정산률!$R:$S,2,0)),"스토리위즈",VLOOKUP(K935,[1]작가별정산률!$R:$S,2,0))</f>
        <v>스토리위즈</v>
      </c>
      <c r="W935" s="7" t="str">
        <f>IF(V935="스토리위즈",VLOOKUP(K935,[1]작가별정산률!$A:$B,2,0),V935)</f>
        <v>이동열</v>
      </c>
    </row>
    <row r="936" spans="1:23" x14ac:dyDescent="0.4">
      <c r="A936" t="s">
        <v>262</v>
      </c>
      <c r="B936" t="s">
        <v>1198</v>
      </c>
      <c r="C936" t="s">
        <v>1240</v>
      </c>
      <c r="D936" t="s">
        <v>64</v>
      </c>
      <c r="E936" t="s">
        <v>22</v>
      </c>
      <c r="F936" t="s">
        <v>23</v>
      </c>
      <c r="G936">
        <v>1</v>
      </c>
      <c r="H936">
        <v>9791159285905</v>
      </c>
      <c r="I936" t="s">
        <v>24</v>
      </c>
      <c r="J936" t="s">
        <v>62</v>
      </c>
      <c r="K936" t="s">
        <v>37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  <c r="V936" s="7" t="str">
        <f>IF(ISERROR(VLOOKUP(K936,[1]작가별정산률!$R:$S,2,0)),"스토리위즈",VLOOKUP(K936,[1]작가별정산률!$R:$S,2,0))</f>
        <v>스토리위즈</v>
      </c>
      <c r="W936" s="7" t="str">
        <f>IF(V936="스토리위즈",VLOOKUP(K936,[1]작가별정산률!$A:$B,2,0),V936)</f>
        <v>권용찬</v>
      </c>
    </row>
    <row r="937" spans="1:23" x14ac:dyDescent="0.4">
      <c r="A937" t="s">
        <v>262</v>
      </c>
      <c r="B937" t="s">
        <v>1198</v>
      </c>
      <c r="C937" t="s">
        <v>1241</v>
      </c>
      <c r="D937" t="s">
        <v>64</v>
      </c>
      <c r="E937" t="s">
        <v>22</v>
      </c>
      <c r="F937" t="s">
        <v>23</v>
      </c>
      <c r="G937">
        <v>1</v>
      </c>
      <c r="H937">
        <v>9791159282850</v>
      </c>
      <c r="I937" t="s">
        <v>24</v>
      </c>
      <c r="J937" t="s">
        <v>31</v>
      </c>
      <c r="K937" t="s">
        <v>26</v>
      </c>
      <c r="L937" t="s">
        <v>27</v>
      </c>
      <c r="M937">
        <v>630</v>
      </c>
      <c r="N937" t="s">
        <v>27</v>
      </c>
      <c r="O937">
        <v>630</v>
      </c>
      <c r="P937">
        <v>630</v>
      </c>
      <c r="Q937" t="s">
        <v>30</v>
      </c>
      <c r="R937" s="2">
        <v>0.7</v>
      </c>
      <c r="S937">
        <v>441</v>
      </c>
      <c r="T937" t="s">
        <v>27</v>
      </c>
      <c r="U937">
        <v>441</v>
      </c>
      <c r="V937" s="7" t="str">
        <f>IF(ISERROR(VLOOKUP(K937,[1]작가별정산률!$R:$S,2,0)),"스토리위즈",VLOOKUP(K937,[1]작가별정산률!$R:$S,2,0))</f>
        <v>스토리위즈</v>
      </c>
      <c r="W937" s="7" t="str">
        <f>IF(V937="스토리위즈",VLOOKUP(K937,[1]작가별정산률!$A:$B,2,0),V937)</f>
        <v>독고진</v>
      </c>
    </row>
    <row r="938" spans="1:23" x14ac:dyDescent="0.4">
      <c r="A938" t="s">
        <v>262</v>
      </c>
      <c r="B938" t="s">
        <v>1198</v>
      </c>
      <c r="C938" t="s">
        <v>1242</v>
      </c>
      <c r="D938" t="s">
        <v>64</v>
      </c>
      <c r="E938" t="s">
        <v>22</v>
      </c>
      <c r="F938" t="s">
        <v>23</v>
      </c>
      <c r="G938">
        <v>1</v>
      </c>
      <c r="H938">
        <v>9791190937344</v>
      </c>
      <c r="I938" t="s">
        <v>24</v>
      </c>
      <c r="J938" t="s">
        <v>254</v>
      </c>
      <c r="K938" t="s">
        <v>106</v>
      </c>
      <c r="L938" t="s">
        <v>27</v>
      </c>
      <c r="M938">
        <v>630</v>
      </c>
      <c r="N938" t="s">
        <v>27</v>
      </c>
      <c r="O938">
        <v>630</v>
      </c>
      <c r="P938">
        <v>630</v>
      </c>
      <c r="Q938" t="s">
        <v>30</v>
      </c>
      <c r="R938" s="2">
        <v>0.7</v>
      </c>
      <c r="S938">
        <v>441</v>
      </c>
      <c r="T938" t="s">
        <v>27</v>
      </c>
      <c r="U938">
        <v>441</v>
      </c>
      <c r="V938" s="7" t="str">
        <f>IF(ISERROR(VLOOKUP(K938,[1]작가별정산률!$R:$S,2,0)),"스토리위즈",VLOOKUP(K938,[1]작가별정산률!$R:$S,2,0))</f>
        <v>스토리위즈</v>
      </c>
      <c r="W938" s="7" t="str">
        <f>IF(V938="스토리위즈",VLOOKUP(K938,[1]작가별정산률!$A:$B,2,0),V938)</f>
        <v>진문</v>
      </c>
    </row>
    <row r="939" spans="1:23" x14ac:dyDescent="0.4">
      <c r="A939" t="s">
        <v>262</v>
      </c>
      <c r="B939" t="s">
        <v>1198</v>
      </c>
      <c r="C939" t="s">
        <v>1243</v>
      </c>
      <c r="D939" t="s">
        <v>64</v>
      </c>
      <c r="E939" t="s">
        <v>22</v>
      </c>
      <c r="F939" t="s">
        <v>23</v>
      </c>
      <c r="G939">
        <v>1</v>
      </c>
      <c r="H939">
        <v>9791159283093</v>
      </c>
      <c r="I939" t="s">
        <v>24</v>
      </c>
      <c r="J939" t="s">
        <v>73</v>
      </c>
      <c r="K939" t="s">
        <v>37</v>
      </c>
      <c r="L939" t="s">
        <v>27</v>
      </c>
      <c r="M939">
        <v>900</v>
      </c>
      <c r="N939" t="s">
        <v>27</v>
      </c>
      <c r="O939">
        <v>900</v>
      </c>
      <c r="P939">
        <v>900</v>
      </c>
      <c r="Q939" t="s">
        <v>30</v>
      </c>
      <c r="R939" s="2">
        <v>0.7</v>
      </c>
      <c r="S939">
        <v>630</v>
      </c>
      <c r="T939" t="s">
        <v>27</v>
      </c>
      <c r="U939">
        <v>630</v>
      </c>
      <c r="V939" s="7" t="str">
        <f>IF(ISERROR(VLOOKUP(K939,[1]작가별정산률!$R:$S,2,0)),"스토리위즈",VLOOKUP(K939,[1]작가별정산률!$R:$S,2,0))</f>
        <v>스토리위즈</v>
      </c>
      <c r="W939" s="7" t="str">
        <f>IF(V939="스토리위즈",VLOOKUP(K939,[1]작가별정산률!$A:$B,2,0),V939)</f>
        <v>권용찬</v>
      </c>
    </row>
    <row r="940" spans="1:23" x14ac:dyDescent="0.4">
      <c r="A940" t="s">
        <v>262</v>
      </c>
      <c r="B940" t="s">
        <v>1198</v>
      </c>
      <c r="C940" t="s">
        <v>1244</v>
      </c>
      <c r="D940" t="s">
        <v>21</v>
      </c>
      <c r="E940" t="s">
        <v>22</v>
      </c>
      <c r="F940" t="s">
        <v>23</v>
      </c>
      <c r="G940">
        <v>1</v>
      </c>
      <c r="H940">
        <v>9791189084813</v>
      </c>
      <c r="I940" t="s">
        <v>143</v>
      </c>
      <c r="J940" t="s">
        <v>563</v>
      </c>
      <c r="K940" t="s">
        <v>564</v>
      </c>
      <c r="L940" t="s">
        <v>27</v>
      </c>
      <c r="M940" s="3">
        <v>4000</v>
      </c>
      <c r="N940" t="s">
        <v>27</v>
      </c>
      <c r="O940" s="3">
        <v>4000</v>
      </c>
      <c r="P940" s="3">
        <v>4000</v>
      </c>
      <c r="Q940" t="s">
        <v>30</v>
      </c>
      <c r="R940" s="2">
        <v>0.7</v>
      </c>
      <c r="S940" s="3">
        <v>2800</v>
      </c>
      <c r="T940" t="s">
        <v>27</v>
      </c>
      <c r="U940" s="3">
        <v>2800</v>
      </c>
      <c r="V940" s="7" t="str">
        <f>IF(ISERROR(VLOOKUP(K940,[1]작가별정산률!$R:$S,2,0)),"스토리위즈",VLOOKUP(K940,[1]작가별정산률!$R:$S,2,0))</f>
        <v>스토리위즈</v>
      </c>
      <c r="W940" s="7" t="str">
        <f>IF(V940="스토리위즈",VLOOKUP(K940,[1]작가별정산률!$A:$B,2,0),V940)</f>
        <v>셔틀</v>
      </c>
    </row>
    <row r="941" spans="1:23" x14ac:dyDescent="0.4">
      <c r="A941" t="s">
        <v>262</v>
      </c>
      <c r="B941" t="s">
        <v>1198</v>
      </c>
      <c r="C941" t="s">
        <v>1245</v>
      </c>
      <c r="D941" t="s">
        <v>21</v>
      </c>
      <c r="E941" t="s">
        <v>22</v>
      </c>
      <c r="F941" t="s">
        <v>23</v>
      </c>
      <c r="G941">
        <v>1</v>
      </c>
      <c r="H941">
        <v>9791191562286</v>
      </c>
      <c r="I941" t="s">
        <v>143</v>
      </c>
      <c r="J941" t="s">
        <v>238</v>
      </c>
      <c r="K941" t="s">
        <v>239</v>
      </c>
      <c r="L941" t="s">
        <v>27</v>
      </c>
      <c r="M941" s="3">
        <v>2000</v>
      </c>
      <c r="N941" t="s">
        <v>27</v>
      </c>
      <c r="O941" s="3">
        <v>2000</v>
      </c>
      <c r="P941" s="3">
        <v>2000</v>
      </c>
      <c r="Q941" t="s">
        <v>30</v>
      </c>
      <c r="R941" s="2">
        <v>0.7</v>
      </c>
      <c r="S941" s="3">
        <v>1400</v>
      </c>
      <c r="T941" t="s">
        <v>27</v>
      </c>
      <c r="U941" s="3">
        <v>1400</v>
      </c>
      <c r="V941" s="7" t="str">
        <f>IF(ISERROR(VLOOKUP(K941,[1]작가별정산률!$R:$S,2,0)),"스토리위즈",VLOOKUP(K941,[1]작가별정산률!$R:$S,2,0))</f>
        <v>밀리의 서재</v>
      </c>
      <c r="W941" s="7" t="str">
        <f>IF(V941="스토리위즈",VLOOKUP(K941,[1]작가별정산률!$A:$B,2,0),V941)</f>
        <v>밀리의 서재</v>
      </c>
    </row>
    <row r="942" spans="1:23" x14ac:dyDescent="0.4">
      <c r="A942" t="s">
        <v>262</v>
      </c>
      <c r="B942" t="s">
        <v>1198</v>
      </c>
      <c r="C942" t="s">
        <v>1246</v>
      </c>
      <c r="D942" t="s">
        <v>64</v>
      </c>
      <c r="E942" t="s">
        <v>22</v>
      </c>
      <c r="F942" t="s">
        <v>23</v>
      </c>
      <c r="G942">
        <v>1</v>
      </c>
      <c r="H942">
        <v>9791159283260</v>
      </c>
      <c r="I942" t="s">
        <v>24</v>
      </c>
      <c r="J942" t="s">
        <v>69</v>
      </c>
      <c r="K942" t="s">
        <v>37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  <c r="V942" s="7" t="str">
        <f>IF(ISERROR(VLOOKUP(K942,[1]작가별정산률!$R:$S,2,0)),"스토리위즈",VLOOKUP(K942,[1]작가별정산률!$R:$S,2,0))</f>
        <v>스토리위즈</v>
      </c>
      <c r="W942" s="7" t="str">
        <f>IF(V942="스토리위즈",VLOOKUP(K942,[1]작가별정산률!$A:$B,2,0),V942)</f>
        <v>권용찬</v>
      </c>
    </row>
    <row r="943" spans="1:23" x14ac:dyDescent="0.4">
      <c r="A943" t="s">
        <v>262</v>
      </c>
      <c r="B943" t="s">
        <v>1198</v>
      </c>
      <c r="C943" t="s">
        <v>1247</v>
      </c>
      <c r="D943" t="s">
        <v>64</v>
      </c>
      <c r="E943" t="s">
        <v>22</v>
      </c>
      <c r="F943" t="s">
        <v>23</v>
      </c>
      <c r="G943">
        <v>1</v>
      </c>
      <c r="H943">
        <v>9791166300295</v>
      </c>
      <c r="I943" t="s">
        <v>24</v>
      </c>
      <c r="J943" t="s">
        <v>138</v>
      </c>
      <c r="K943" t="s">
        <v>119</v>
      </c>
      <c r="L943" t="s">
        <v>27</v>
      </c>
      <c r="M943">
        <v>630</v>
      </c>
      <c r="N943" t="s">
        <v>27</v>
      </c>
      <c r="O943">
        <v>630</v>
      </c>
      <c r="P943">
        <v>630</v>
      </c>
      <c r="Q943" t="s">
        <v>30</v>
      </c>
      <c r="R943" s="2">
        <v>0.7</v>
      </c>
      <c r="S943">
        <v>441</v>
      </c>
      <c r="T943" t="s">
        <v>27</v>
      </c>
      <c r="U943">
        <v>441</v>
      </c>
      <c r="V943" s="7" t="str">
        <f>IF(ISERROR(VLOOKUP(K943,[1]작가별정산률!$R:$S,2,0)),"스토리위즈",VLOOKUP(K943,[1]작가별정산률!$R:$S,2,0))</f>
        <v>스토리위즈</v>
      </c>
      <c r="W943" s="7" t="str">
        <f>IF(V943="스토리위즈",VLOOKUP(K943,[1]작가별정산률!$A:$B,2,0),V943)</f>
        <v>김광수</v>
      </c>
    </row>
    <row r="944" spans="1:23" x14ac:dyDescent="0.4">
      <c r="A944" t="s">
        <v>262</v>
      </c>
      <c r="B944" t="s">
        <v>1198</v>
      </c>
      <c r="C944" t="s">
        <v>1248</v>
      </c>
      <c r="D944" t="s">
        <v>64</v>
      </c>
      <c r="E944" t="s">
        <v>22</v>
      </c>
      <c r="F944" t="s">
        <v>23</v>
      </c>
      <c r="G944">
        <v>1</v>
      </c>
      <c r="H944">
        <v>9791159285912</v>
      </c>
      <c r="I944" t="s">
        <v>24</v>
      </c>
      <c r="J944" t="s">
        <v>63</v>
      </c>
      <c r="K944" t="s">
        <v>37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2">
        <v>0.7</v>
      </c>
      <c r="S944">
        <v>441</v>
      </c>
      <c r="T944" t="s">
        <v>27</v>
      </c>
      <c r="U944">
        <v>441</v>
      </c>
      <c r="V944" s="7" t="str">
        <f>IF(ISERROR(VLOOKUP(K944,[1]작가별정산률!$R:$S,2,0)),"스토리위즈",VLOOKUP(K944,[1]작가별정산률!$R:$S,2,0))</f>
        <v>스토리위즈</v>
      </c>
      <c r="W944" s="7" t="str">
        <f>IF(V944="스토리위즈",VLOOKUP(K944,[1]작가별정산률!$A:$B,2,0),V944)</f>
        <v>권용찬</v>
      </c>
    </row>
    <row r="945" spans="1:23" x14ac:dyDescent="0.4">
      <c r="A945" t="s">
        <v>262</v>
      </c>
      <c r="B945" t="s">
        <v>1198</v>
      </c>
      <c r="C945" t="s">
        <v>1249</v>
      </c>
      <c r="D945" t="s">
        <v>64</v>
      </c>
      <c r="E945" t="s">
        <v>22</v>
      </c>
      <c r="F945" t="s">
        <v>23</v>
      </c>
      <c r="G945">
        <v>1</v>
      </c>
      <c r="H945">
        <v>9791166300141</v>
      </c>
      <c r="I945" t="s">
        <v>24</v>
      </c>
      <c r="J945" t="s">
        <v>124</v>
      </c>
      <c r="K945" t="s">
        <v>119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2">
        <v>0.7</v>
      </c>
      <c r="S945">
        <v>441</v>
      </c>
      <c r="T945" t="s">
        <v>27</v>
      </c>
      <c r="U945">
        <v>441</v>
      </c>
      <c r="V945" s="7" t="str">
        <f>IF(ISERROR(VLOOKUP(K945,[1]작가별정산률!$R:$S,2,0)),"스토리위즈",VLOOKUP(K945,[1]작가별정산률!$R:$S,2,0))</f>
        <v>스토리위즈</v>
      </c>
      <c r="W945" s="7" t="str">
        <f>IF(V945="스토리위즈",VLOOKUP(K945,[1]작가별정산률!$A:$B,2,0),V945)</f>
        <v>김광수</v>
      </c>
    </row>
    <row r="946" spans="1:23" x14ac:dyDescent="0.4">
      <c r="A946" t="s">
        <v>262</v>
      </c>
      <c r="B946" t="s">
        <v>1198</v>
      </c>
      <c r="C946" t="s">
        <v>1250</v>
      </c>
      <c r="D946" t="s">
        <v>21</v>
      </c>
      <c r="E946" t="s">
        <v>22</v>
      </c>
      <c r="F946" t="s">
        <v>23</v>
      </c>
      <c r="G946">
        <v>1</v>
      </c>
      <c r="H946">
        <v>9791191562019</v>
      </c>
      <c r="I946" t="s">
        <v>143</v>
      </c>
      <c r="J946" t="s">
        <v>194</v>
      </c>
      <c r="K946" t="s">
        <v>186</v>
      </c>
      <c r="L946" t="s">
        <v>27</v>
      </c>
      <c r="M946" s="3">
        <v>2000</v>
      </c>
      <c r="N946" t="s">
        <v>27</v>
      </c>
      <c r="O946" s="3">
        <v>2000</v>
      </c>
      <c r="P946" s="3">
        <v>2000</v>
      </c>
      <c r="Q946" t="s">
        <v>30</v>
      </c>
      <c r="R946" s="2">
        <v>0.7</v>
      </c>
      <c r="S946" s="3">
        <v>1400</v>
      </c>
      <c r="T946" t="s">
        <v>27</v>
      </c>
      <c r="U946" s="3">
        <v>1400</v>
      </c>
      <c r="V946" s="7" t="str">
        <f>IF(ISERROR(VLOOKUP(K946,[1]작가별정산률!$R:$S,2,0)),"스토리위즈",VLOOKUP(K946,[1]작가별정산률!$R:$S,2,0))</f>
        <v>밀리의 서재</v>
      </c>
      <c r="W946" s="7" t="str">
        <f>IF(V946="스토리위즈",VLOOKUP(K946,[1]작가별정산률!$A:$B,2,0),V946)</f>
        <v>밀리의 서재</v>
      </c>
    </row>
    <row r="947" spans="1:23" x14ac:dyDescent="0.4">
      <c r="A947" t="s">
        <v>262</v>
      </c>
      <c r="B947" t="s">
        <v>1198</v>
      </c>
      <c r="C947" t="s">
        <v>1251</v>
      </c>
      <c r="D947" t="s">
        <v>64</v>
      </c>
      <c r="E947" t="s">
        <v>22</v>
      </c>
      <c r="F947" t="s">
        <v>23</v>
      </c>
      <c r="G947">
        <v>1</v>
      </c>
      <c r="H947">
        <v>9791166300530</v>
      </c>
      <c r="I947" t="s">
        <v>24</v>
      </c>
      <c r="J947" t="s">
        <v>151</v>
      </c>
      <c r="K947" t="s">
        <v>119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  <c r="V947" s="7" t="str">
        <f>IF(ISERROR(VLOOKUP(K947,[1]작가별정산률!$R:$S,2,0)),"스토리위즈",VLOOKUP(K947,[1]작가별정산률!$R:$S,2,0))</f>
        <v>스토리위즈</v>
      </c>
      <c r="W947" s="7" t="str">
        <f>IF(V947="스토리위즈",VLOOKUP(K947,[1]작가별정산률!$A:$B,2,0),V947)</f>
        <v>김광수</v>
      </c>
    </row>
    <row r="948" spans="1:23" x14ac:dyDescent="0.4">
      <c r="A948" t="s">
        <v>262</v>
      </c>
      <c r="B948" t="s">
        <v>1198</v>
      </c>
      <c r="C948" t="s">
        <v>1252</v>
      </c>
      <c r="D948" t="s">
        <v>21</v>
      </c>
      <c r="E948" t="s">
        <v>22</v>
      </c>
      <c r="F948" t="s">
        <v>23</v>
      </c>
      <c r="G948">
        <v>1</v>
      </c>
      <c r="H948">
        <v>9791191562286</v>
      </c>
      <c r="I948" t="s">
        <v>143</v>
      </c>
      <c r="J948" t="s">
        <v>238</v>
      </c>
      <c r="K948" t="s">
        <v>239</v>
      </c>
      <c r="L948" t="s">
        <v>27</v>
      </c>
      <c r="M948" s="3">
        <v>2000</v>
      </c>
      <c r="N948" t="s">
        <v>27</v>
      </c>
      <c r="O948" s="3">
        <v>2000</v>
      </c>
      <c r="P948" s="3">
        <v>2000</v>
      </c>
      <c r="Q948" t="s">
        <v>30</v>
      </c>
      <c r="R948" s="2">
        <v>0.7</v>
      </c>
      <c r="S948" s="3">
        <v>1400</v>
      </c>
      <c r="T948" t="s">
        <v>27</v>
      </c>
      <c r="U948" s="3">
        <v>1400</v>
      </c>
      <c r="V948" s="7" t="str">
        <f>IF(ISERROR(VLOOKUP(K948,[1]작가별정산률!$R:$S,2,0)),"스토리위즈",VLOOKUP(K948,[1]작가별정산률!$R:$S,2,0))</f>
        <v>밀리의 서재</v>
      </c>
      <c r="W948" s="7" t="str">
        <f>IF(V948="스토리위즈",VLOOKUP(K948,[1]작가별정산률!$A:$B,2,0),V948)</f>
        <v>밀리의 서재</v>
      </c>
    </row>
    <row r="949" spans="1:23" x14ac:dyDescent="0.4">
      <c r="A949" t="s">
        <v>262</v>
      </c>
      <c r="B949" t="s">
        <v>1198</v>
      </c>
      <c r="C949" t="s">
        <v>1253</v>
      </c>
      <c r="D949" t="s">
        <v>21</v>
      </c>
      <c r="E949" t="s">
        <v>22</v>
      </c>
      <c r="F949" t="s">
        <v>23</v>
      </c>
      <c r="G949">
        <v>1</v>
      </c>
      <c r="H949">
        <v>9791191562248</v>
      </c>
      <c r="I949" t="s">
        <v>143</v>
      </c>
      <c r="J949" t="s">
        <v>231</v>
      </c>
      <c r="K949" t="s">
        <v>232</v>
      </c>
      <c r="L949" t="s">
        <v>27</v>
      </c>
      <c r="M949" s="3">
        <v>2000</v>
      </c>
      <c r="N949" t="s">
        <v>27</v>
      </c>
      <c r="O949" s="3">
        <v>2000</v>
      </c>
      <c r="P949" s="3">
        <v>2000</v>
      </c>
      <c r="Q949" t="s">
        <v>30</v>
      </c>
      <c r="R949" s="2">
        <v>0.7</v>
      </c>
      <c r="S949" s="3">
        <v>1400</v>
      </c>
      <c r="T949" t="s">
        <v>27</v>
      </c>
      <c r="U949" s="3">
        <v>1400</v>
      </c>
      <c r="V949" s="7" t="str">
        <f>IF(ISERROR(VLOOKUP(K949,[1]작가별정산률!$R:$S,2,0)),"스토리위즈",VLOOKUP(K949,[1]작가별정산률!$R:$S,2,0))</f>
        <v>밀리의 서재</v>
      </c>
      <c r="W949" s="7" t="str">
        <f>IF(V949="스토리위즈",VLOOKUP(K949,[1]작가별정산률!$A:$B,2,0),V949)</f>
        <v>밀리의 서재</v>
      </c>
    </row>
    <row r="950" spans="1:23" x14ac:dyDescent="0.4">
      <c r="A950" t="s">
        <v>262</v>
      </c>
      <c r="B950" t="s">
        <v>1198</v>
      </c>
      <c r="C950" t="s">
        <v>1254</v>
      </c>
      <c r="D950" t="s">
        <v>64</v>
      </c>
      <c r="E950" t="s">
        <v>22</v>
      </c>
      <c r="F950" t="s">
        <v>23</v>
      </c>
      <c r="G950">
        <v>1</v>
      </c>
      <c r="H950">
        <v>9791166300103</v>
      </c>
      <c r="I950" t="s">
        <v>24</v>
      </c>
      <c r="J950" t="s">
        <v>120</v>
      </c>
      <c r="K950" t="s">
        <v>119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2">
        <v>0.7</v>
      </c>
      <c r="S950">
        <v>441</v>
      </c>
      <c r="T950" t="s">
        <v>27</v>
      </c>
      <c r="U950">
        <v>441</v>
      </c>
      <c r="V950" s="7" t="str">
        <f>IF(ISERROR(VLOOKUP(K950,[1]작가별정산률!$R:$S,2,0)),"스토리위즈",VLOOKUP(K950,[1]작가별정산률!$R:$S,2,0))</f>
        <v>스토리위즈</v>
      </c>
      <c r="W950" s="7" t="str">
        <f>IF(V950="스토리위즈",VLOOKUP(K950,[1]작가별정산률!$A:$B,2,0),V950)</f>
        <v>김광수</v>
      </c>
    </row>
    <row r="951" spans="1:23" x14ac:dyDescent="0.4">
      <c r="A951" t="s">
        <v>262</v>
      </c>
      <c r="B951" t="s">
        <v>1198</v>
      </c>
      <c r="C951" t="s">
        <v>1255</v>
      </c>
      <c r="D951" t="s">
        <v>64</v>
      </c>
      <c r="E951" t="s">
        <v>22</v>
      </c>
      <c r="F951" t="s">
        <v>23</v>
      </c>
      <c r="G951">
        <v>1</v>
      </c>
      <c r="H951">
        <v>9791159282218</v>
      </c>
      <c r="I951" t="s">
        <v>24</v>
      </c>
      <c r="J951" t="s">
        <v>107</v>
      </c>
      <c r="K951" t="s">
        <v>37</v>
      </c>
      <c r="L951" t="s">
        <v>27</v>
      </c>
      <c r="M951">
        <v>900</v>
      </c>
      <c r="N951" t="s">
        <v>27</v>
      </c>
      <c r="O951">
        <v>900</v>
      </c>
      <c r="P951">
        <v>900</v>
      </c>
      <c r="Q951" t="s">
        <v>30</v>
      </c>
      <c r="R951" s="2">
        <v>0.7</v>
      </c>
      <c r="S951">
        <v>630</v>
      </c>
      <c r="T951" t="s">
        <v>27</v>
      </c>
      <c r="U951">
        <v>630</v>
      </c>
      <c r="V951" s="7" t="str">
        <f>IF(ISERROR(VLOOKUP(K951,[1]작가별정산률!$R:$S,2,0)),"스토리위즈",VLOOKUP(K951,[1]작가별정산률!$R:$S,2,0))</f>
        <v>스토리위즈</v>
      </c>
      <c r="W951" s="7" t="str">
        <f>IF(V951="스토리위즈",VLOOKUP(K951,[1]작가별정산률!$A:$B,2,0),V951)</f>
        <v>권용찬</v>
      </c>
    </row>
    <row r="952" spans="1:23" x14ac:dyDescent="0.4">
      <c r="A952" t="s">
        <v>262</v>
      </c>
      <c r="B952" t="s">
        <v>1198</v>
      </c>
      <c r="C952" t="s">
        <v>1256</v>
      </c>
      <c r="D952" t="s">
        <v>64</v>
      </c>
      <c r="E952" t="s">
        <v>22</v>
      </c>
      <c r="F952" t="s">
        <v>23</v>
      </c>
      <c r="G952">
        <v>1</v>
      </c>
      <c r="H952">
        <v>9791166064395</v>
      </c>
      <c r="I952" t="s">
        <v>24</v>
      </c>
      <c r="J952" t="s">
        <v>104</v>
      </c>
      <c r="K952" t="s">
        <v>102</v>
      </c>
      <c r="L952" t="s">
        <v>27</v>
      </c>
      <c r="M952">
        <v>720</v>
      </c>
      <c r="N952" t="s">
        <v>27</v>
      </c>
      <c r="O952">
        <v>720</v>
      </c>
      <c r="P952">
        <v>720</v>
      </c>
      <c r="Q952" t="s">
        <v>30</v>
      </c>
      <c r="R952" s="2">
        <v>0.7</v>
      </c>
      <c r="S952">
        <v>504</v>
      </c>
      <c r="T952" t="s">
        <v>27</v>
      </c>
      <c r="U952">
        <v>504</v>
      </c>
      <c r="V952" s="7" t="str">
        <f>IF(ISERROR(VLOOKUP(K952,[1]작가별정산률!$R:$S,2,0)),"스토리위즈",VLOOKUP(K952,[1]작가별정산률!$R:$S,2,0))</f>
        <v>스토리위즈</v>
      </c>
      <c r="W952" s="7" t="str">
        <f>IF(V952="스토리위즈",VLOOKUP(K952,[1]작가별정산률!$A:$B,2,0),V952)</f>
        <v>예로나</v>
      </c>
    </row>
    <row r="953" spans="1:23" x14ac:dyDescent="0.4">
      <c r="A953" t="s">
        <v>262</v>
      </c>
      <c r="B953" t="s">
        <v>1198</v>
      </c>
      <c r="C953" t="s">
        <v>1257</v>
      </c>
      <c r="D953" t="s">
        <v>21</v>
      </c>
      <c r="E953" t="s">
        <v>22</v>
      </c>
      <c r="F953" t="s">
        <v>23</v>
      </c>
      <c r="G953">
        <v>1</v>
      </c>
      <c r="H953">
        <v>9791159289651</v>
      </c>
      <c r="I953" t="s">
        <v>24</v>
      </c>
      <c r="J953" t="s">
        <v>257</v>
      </c>
      <c r="K953" t="s">
        <v>140</v>
      </c>
      <c r="L953" t="s">
        <v>27</v>
      </c>
      <c r="M953" s="3">
        <v>3200</v>
      </c>
      <c r="N953" t="s">
        <v>27</v>
      </c>
      <c r="O953" s="3">
        <v>3200</v>
      </c>
      <c r="P953" s="3">
        <v>3200</v>
      </c>
      <c r="Q953" t="s">
        <v>30</v>
      </c>
      <c r="R953" s="2">
        <v>0.7</v>
      </c>
      <c r="S953" s="3">
        <v>2240</v>
      </c>
      <c r="T953" t="s">
        <v>27</v>
      </c>
      <c r="U953" s="3">
        <v>2240</v>
      </c>
      <c r="V953" s="7" t="str">
        <f>IF(ISERROR(VLOOKUP(K953,[1]작가별정산률!$R:$S,2,0)),"스토리위즈",VLOOKUP(K953,[1]작가별정산률!$R:$S,2,0))</f>
        <v>스토리위즈</v>
      </c>
      <c r="W953" s="7" t="str">
        <f>IF(V953="스토리위즈",VLOOKUP(K953,[1]작가별정산률!$A:$B,2,0),V953)</f>
        <v>이동열</v>
      </c>
    </row>
    <row r="954" spans="1:23" x14ac:dyDescent="0.4">
      <c r="A954" t="s">
        <v>262</v>
      </c>
      <c r="B954" t="s">
        <v>1198</v>
      </c>
      <c r="C954" t="s">
        <v>1258</v>
      </c>
      <c r="D954" t="s">
        <v>21</v>
      </c>
      <c r="E954" t="s">
        <v>22</v>
      </c>
      <c r="F954" t="s">
        <v>23</v>
      </c>
      <c r="G954">
        <v>1</v>
      </c>
      <c r="H954">
        <v>9791166300202</v>
      </c>
      <c r="I954" t="s">
        <v>24</v>
      </c>
      <c r="J954" t="s">
        <v>129</v>
      </c>
      <c r="K954" t="s">
        <v>119</v>
      </c>
      <c r="L954" t="s">
        <v>27</v>
      </c>
      <c r="M954" s="3">
        <v>3200</v>
      </c>
      <c r="N954" t="s">
        <v>27</v>
      </c>
      <c r="O954" s="3">
        <v>3200</v>
      </c>
      <c r="P954" s="3">
        <v>3200</v>
      </c>
      <c r="Q954" t="s">
        <v>30</v>
      </c>
      <c r="R954" s="2">
        <v>0.7</v>
      </c>
      <c r="S954" s="3">
        <v>2240</v>
      </c>
      <c r="T954" t="s">
        <v>27</v>
      </c>
      <c r="U954" s="3">
        <v>2240</v>
      </c>
      <c r="V954" s="7" t="str">
        <f>IF(ISERROR(VLOOKUP(K954,[1]작가별정산률!$R:$S,2,0)),"스토리위즈",VLOOKUP(K954,[1]작가별정산률!$R:$S,2,0))</f>
        <v>스토리위즈</v>
      </c>
      <c r="W954" s="7" t="str">
        <f>IF(V954="스토리위즈",VLOOKUP(K954,[1]작가별정산률!$A:$B,2,0),V954)</f>
        <v>김광수</v>
      </c>
    </row>
    <row r="955" spans="1:23" x14ac:dyDescent="0.4">
      <c r="A955" t="s">
        <v>262</v>
      </c>
      <c r="B955" t="s">
        <v>1198</v>
      </c>
      <c r="C955" t="s">
        <v>1259</v>
      </c>
      <c r="D955" t="s">
        <v>21</v>
      </c>
      <c r="E955" t="s">
        <v>22</v>
      </c>
      <c r="F955" t="s">
        <v>23</v>
      </c>
      <c r="G955">
        <v>1</v>
      </c>
      <c r="H955">
        <v>9791191562286</v>
      </c>
      <c r="I955" t="s">
        <v>143</v>
      </c>
      <c r="J955" t="s">
        <v>238</v>
      </c>
      <c r="K955" t="s">
        <v>239</v>
      </c>
      <c r="L955" t="s">
        <v>27</v>
      </c>
      <c r="M955" s="3">
        <v>2000</v>
      </c>
      <c r="N955" t="s">
        <v>27</v>
      </c>
      <c r="O955" s="3">
        <v>2000</v>
      </c>
      <c r="P955" s="3">
        <v>2000</v>
      </c>
      <c r="Q955" t="s">
        <v>30</v>
      </c>
      <c r="R955" s="2">
        <v>0.7</v>
      </c>
      <c r="S955" s="3">
        <v>1400</v>
      </c>
      <c r="T955" t="s">
        <v>27</v>
      </c>
      <c r="U955" s="3">
        <v>1400</v>
      </c>
      <c r="V955" s="7" t="str">
        <f>IF(ISERROR(VLOOKUP(K955,[1]작가별정산률!$R:$S,2,0)),"스토리위즈",VLOOKUP(K955,[1]작가별정산률!$R:$S,2,0))</f>
        <v>밀리의 서재</v>
      </c>
      <c r="W955" s="7" t="str">
        <f>IF(V955="스토리위즈",VLOOKUP(K955,[1]작가별정산률!$A:$B,2,0),V955)</f>
        <v>밀리의 서재</v>
      </c>
    </row>
    <row r="956" spans="1:23" x14ac:dyDescent="0.4">
      <c r="A956" t="s">
        <v>262</v>
      </c>
      <c r="B956" t="s">
        <v>1198</v>
      </c>
      <c r="C956" t="s">
        <v>1260</v>
      </c>
      <c r="D956" t="s">
        <v>21</v>
      </c>
      <c r="E956" t="s">
        <v>22</v>
      </c>
      <c r="F956" t="s">
        <v>23</v>
      </c>
      <c r="G956">
        <v>1</v>
      </c>
      <c r="H956">
        <v>9791191562286</v>
      </c>
      <c r="I956" t="s">
        <v>143</v>
      </c>
      <c r="J956" t="s">
        <v>238</v>
      </c>
      <c r="K956" t="s">
        <v>239</v>
      </c>
      <c r="L956" t="s">
        <v>27</v>
      </c>
      <c r="M956" s="3">
        <v>2000</v>
      </c>
      <c r="N956" t="s">
        <v>27</v>
      </c>
      <c r="O956" s="3">
        <v>2000</v>
      </c>
      <c r="P956" s="3">
        <v>2000</v>
      </c>
      <c r="Q956" t="s">
        <v>30</v>
      </c>
      <c r="R956" s="2">
        <v>0.7</v>
      </c>
      <c r="S956" s="3">
        <v>1400</v>
      </c>
      <c r="T956" t="s">
        <v>27</v>
      </c>
      <c r="U956" s="3">
        <v>1400</v>
      </c>
      <c r="V956" s="7" t="str">
        <f>IF(ISERROR(VLOOKUP(K956,[1]작가별정산률!$R:$S,2,0)),"스토리위즈",VLOOKUP(K956,[1]작가별정산률!$R:$S,2,0))</f>
        <v>밀리의 서재</v>
      </c>
      <c r="W956" s="7" t="str">
        <f>IF(V956="스토리위즈",VLOOKUP(K956,[1]작가별정산률!$A:$B,2,0),V956)</f>
        <v>밀리의 서재</v>
      </c>
    </row>
    <row r="957" spans="1:23" x14ac:dyDescent="0.4">
      <c r="A957" t="s">
        <v>262</v>
      </c>
      <c r="B957" t="s">
        <v>1198</v>
      </c>
      <c r="C957" t="s">
        <v>1261</v>
      </c>
      <c r="D957" t="s">
        <v>64</v>
      </c>
      <c r="E957" t="s">
        <v>22</v>
      </c>
      <c r="F957" t="s">
        <v>23</v>
      </c>
      <c r="G957">
        <v>1</v>
      </c>
      <c r="H957">
        <v>9791159283109</v>
      </c>
      <c r="I957" t="s">
        <v>24</v>
      </c>
      <c r="J957" t="s">
        <v>75</v>
      </c>
      <c r="K957" t="s">
        <v>37</v>
      </c>
      <c r="L957" t="s">
        <v>27</v>
      </c>
      <c r="M957">
        <v>900</v>
      </c>
      <c r="N957" t="s">
        <v>27</v>
      </c>
      <c r="O957">
        <v>900</v>
      </c>
      <c r="P957">
        <v>900</v>
      </c>
      <c r="Q957" t="s">
        <v>30</v>
      </c>
      <c r="R957" s="2">
        <v>0.7</v>
      </c>
      <c r="S957">
        <v>630</v>
      </c>
      <c r="T957" t="s">
        <v>27</v>
      </c>
      <c r="U957">
        <v>630</v>
      </c>
      <c r="V957" s="7" t="str">
        <f>IF(ISERROR(VLOOKUP(K957,[1]작가별정산률!$R:$S,2,0)),"스토리위즈",VLOOKUP(K957,[1]작가별정산률!$R:$S,2,0))</f>
        <v>스토리위즈</v>
      </c>
      <c r="W957" s="7" t="str">
        <f>IF(V957="스토리위즈",VLOOKUP(K957,[1]작가별정산률!$A:$B,2,0),V957)</f>
        <v>권용찬</v>
      </c>
    </row>
    <row r="958" spans="1:23" x14ac:dyDescent="0.4">
      <c r="A958" t="s">
        <v>262</v>
      </c>
      <c r="B958" t="s">
        <v>1198</v>
      </c>
      <c r="C958" t="s">
        <v>1262</v>
      </c>
      <c r="D958" t="s">
        <v>64</v>
      </c>
      <c r="E958" t="s">
        <v>22</v>
      </c>
      <c r="F958" t="s">
        <v>23</v>
      </c>
      <c r="G958">
        <v>1</v>
      </c>
      <c r="H958">
        <v>9791166300578</v>
      </c>
      <c r="I958" t="s">
        <v>24</v>
      </c>
      <c r="J958" t="s">
        <v>159</v>
      </c>
      <c r="K958" t="s">
        <v>119</v>
      </c>
      <c r="L958" t="s">
        <v>27</v>
      </c>
      <c r="M958">
        <v>630</v>
      </c>
      <c r="N958" t="s">
        <v>27</v>
      </c>
      <c r="O958">
        <v>630</v>
      </c>
      <c r="P958">
        <v>630</v>
      </c>
      <c r="Q958" t="s">
        <v>30</v>
      </c>
      <c r="R958" s="2">
        <v>0.7</v>
      </c>
      <c r="S958">
        <v>441</v>
      </c>
      <c r="T958" t="s">
        <v>27</v>
      </c>
      <c r="U958">
        <v>441</v>
      </c>
      <c r="V958" s="7" t="str">
        <f>IF(ISERROR(VLOOKUP(K958,[1]작가별정산률!$R:$S,2,0)),"스토리위즈",VLOOKUP(K958,[1]작가별정산률!$R:$S,2,0))</f>
        <v>스토리위즈</v>
      </c>
      <c r="W958" s="7" t="str">
        <f>IF(V958="스토리위즈",VLOOKUP(K958,[1]작가별정산률!$A:$B,2,0),V958)</f>
        <v>김광수</v>
      </c>
    </row>
    <row r="959" spans="1:23" x14ac:dyDescent="0.4">
      <c r="A959" t="s">
        <v>262</v>
      </c>
      <c r="B959" t="s">
        <v>1198</v>
      </c>
      <c r="C959" t="s">
        <v>1263</v>
      </c>
      <c r="D959" t="s">
        <v>21</v>
      </c>
      <c r="E959" t="s">
        <v>22</v>
      </c>
      <c r="F959" t="s">
        <v>23</v>
      </c>
      <c r="G959">
        <v>1</v>
      </c>
      <c r="H959">
        <v>9791191562286</v>
      </c>
      <c r="I959" t="s">
        <v>143</v>
      </c>
      <c r="J959" t="s">
        <v>238</v>
      </c>
      <c r="K959" t="s">
        <v>239</v>
      </c>
      <c r="L959" t="s">
        <v>27</v>
      </c>
      <c r="M959" s="3">
        <v>2000</v>
      </c>
      <c r="N959" t="s">
        <v>27</v>
      </c>
      <c r="O959" s="3">
        <v>2000</v>
      </c>
      <c r="P959" s="3">
        <v>2000</v>
      </c>
      <c r="Q959" t="s">
        <v>30</v>
      </c>
      <c r="R959" s="2">
        <v>0.7</v>
      </c>
      <c r="S959" s="3">
        <v>1400</v>
      </c>
      <c r="T959" t="s">
        <v>27</v>
      </c>
      <c r="U959" s="3">
        <v>1400</v>
      </c>
      <c r="V959" s="7" t="str">
        <f>IF(ISERROR(VLOOKUP(K959,[1]작가별정산률!$R:$S,2,0)),"스토리위즈",VLOOKUP(K959,[1]작가별정산률!$R:$S,2,0))</f>
        <v>밀리의 서재</v>
      </c>
      <c r="W959" s="7" t="str">
        <f>IF(V959="스토리위즈",VLOOKUP(K959,[1]작가별정산률!$A:$B,2,0),V959)</f>
        <v>밀리의 서재</v>
      </c>
    </row>
    <row r="960" spans="1:23" x14ac:dyDescent="0.4">
      <c r="A960" t="s">
        <v>262</v>
      </c>
      <c r="B960" t="s">
        <v>1198</v>
      </c>
      <c r="C960" t="s">
        <v>1264</v>
      </c>
      <c r="D960" t="s">
        <v>64</v>
      </c>
      <c r="E960" t="s">
        <v>22</v>
      </c>
      <c r="F960" t="s">
        <v>23</v>
      </c>
      <c r="G960">
        <v>1</v>
      </c>
      <c r="H960">
        <v>9791166300202</v>
      </c>
      <c r="I960" t="s">
        <v>24</v>
      </c>
      <c r="J960" t="s">
        <v>129</v>
      </c>
      <c r="K960" t="s">
        <v>119</v>
      </c>
      <c r="L960" t="s">
        <v>27</v>
      </c>
      <c r="M960">
        <v>630</v>
      </c>
      <c r="N960" t="s">
        <v>27</v>
      </c>
      <c r="O960">
        <v>630</v>
      </c>
      <c r="P960">
        <v>630</v>
      </c>
      <c r="Q960" t="s">
        <v>30</v>
      </c>
      <c r="R960" s="2">
        <v>0.7</v>
      </c>
      <c r="S960">
        <v>441</v>
      </c>
      <c r="T960" t="s">
        <v>27</v>
      </c>
      <c r="U960">
        <v>441</v>
      </c>
      <c r="V960" s="7" t="str">
        <f>IF(ISERROR(VLOOKUP(K960,[1]작가별정산률!$R:$S,2,0)),"스토리위즈",VLOOKUP(K960,[1]작가별정산률!$R:$S,2,0))</f>
        <v>스토리위즈</v>
      </c>
      <c r="W960" s="7" t="str">
        <f>IF(V960="스토리위즈",VLOOKUP(K960,[1]작가별정산률!$A:$B,2,0),V960)</f>
        <v>김광수</v>
      </c>
    </row>
    <row r="961" spans="1:23" x14ac:dyDescent="0.4">
      <c r="A961" t="s">
        <v>262</v>
      </c>
      <c r="B961" t="s">
        <v>1198</v>
      </c>
      <c r="C961" t="s">
        <v>1265</v>
      </c>
      <c r="D961" t="s">
        <v>21</v>
      </c>
      <c r="E961" t="s">
        <v>22</v>
      </c>
      <c r="F961" t="s">
        <v>23</v>
      </c>
      <c r="G961">
        <v>1</v>
      </c>
      <c r="H961">
        <v>9791189084813</v>
      </c>
      <c r="I961" t="s">
        <v>143</v>
      </c>
      <c r="J961" t="s">
        <v>563</v>
      </c>
      <c r="K961" t="s">
        <v>564</v>
      </c>
      <c r="L961" t="s">
        <v>27</v>
      </c>
      <c r="M961" s="3">
        <v>4000</v>
      </c>
      <c r="N961" t="s">
        <v>27</v>
      </c>
      <c r="O961" s="3">
        <v>4000</v>
      </c>
      <c r="P961" s="3">
        <v>4000</v>
      </c>
      <c r="Q961" t="s">
        <v>30</v>
      </c>
      <c r="R961" s="2">
        <v>0.7</v>
      </c>
      <c r="S961" s="3">
        <v>2800</v>
      </c>
      <c r="T961" t="s">
        <v>27</v>
      </c>
      <c r="U961" s="3">
        <v>2800</v>
      </c>
      <c r="V961" s="7" t="str">
        <f>IF(ISERROR(VLOOKUP(K961,[1]작가별정산률!$R:$S,2,0)),"스토리위즈",VLOOKUP(K961,[1]작가별정산률!$R:$S,2,0))</f>
        <v>스토리위즈</v>
      </c>
      <c r="W961" s="7" t="str">
        <f>IF(V961="스토리위즈",VLOOKUP(K961,[1]작가별정산률!$A:$B,2,0),V961)</f>
        <v>셔틀</v>
      </c>
    </row>
    <row r="962" spans="1:23" x14ac:dyDescent="0.4">
      <c r="A962" t="s">
        <v>262</v>
      </c>
      <c r="B962" t="s">
        <v>1198</v>
      </c>
      <c r="C962" t="s">
        <v>1266</v>
      </c>
      <c r="D962" t="s">
        <v>64</v>
      </c>
      <c r="E962" t="s">
        <v>22</v>
      </c>
      <c r="F962" t="s">
        <v>23</v>
      </c>
      <c r="G962">
        <v>1</v>
      </c>
      <c r="H962">
        <v>9791166300158</v>
      </c>
      <c r="I962" t="s">
        <v>24</v>
      </c>
      <c r="J962" t="s">
        <v>125</v>
      </c>
      <c r="K962" t="s">
        <v>119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2">
        <v>0.7</v>
      </c>
      <c r="S962">
        <v>441</v>
      </c>
      <c r="T962" t="s">
        <v>27</v>
      </c>
      <c r="U962">
        <v>441</v>
      </c>
      <c r="V962" s="7" t="str">
        <f>IF(ISERROR(VLOOKUP(K962,[1]작가별정산률!$R:$S,2,0)),"스토리위즈",VLOOKUP(K962,[1]작가별정산률!$R:$S,2,0))</f>
        <v>스토리위즈</v>
      </c>
      <c r="W962" s="7" t="str">
        <f>IF(V962="스토리위즈",VLOOKUP(K962,[1]작가별정산률!$A:$B,2,0),V962)</f>
        <v>김광수</v>
      </c>
    </row>
    <row r="963" spans="1:23" x14ac:dyDescent="0.4">
      <c r="A963" t="s">
        <v>262</v>
      </c>
      <c r="B963" t="s">
        <v>1198</v>
      </c>
      <c r="C963" t="s">
        <v>1267</v>
      </c>
      <c r="D963" t="s">
        <v>64</v>
      </c>
      <c r="E963" t="s">
        <v>22</v>
      </c>
      <c r="F963" t="s">
        <v>23</v>
      </c>
      <c r="G963">
        <v>1</v>
      </c>
      <c r="H963">
        <v>9791166061097</v>
      </c>
      <c r="I963" t="s">
        <v>24</v>
      </c>
      <c r="J963" t="s">
        <v>95</v>
      </c>
      <c r="K963" t="s">
        <v>37</v>
      </c>
      <c r="L963" t="s">
        <v>27</v>
      </c>
      <c r="M963">
        <v>900</v>
      </c>
      <c r="N963" t="s">
        <v>27</v>
      </c>
      <c r="O963">
        <v>900</v>
      </c>
      <c r="P963">
        <v>900</v>
      </c>
      <c r="Q963" t="s">
        <v>30</v>
      </c>
      <c r="R963" s="2">
        <v>0.7</v>
      </c>
      <c r="S963">
        <v>630</v>
      </c>
      <c r="T963" t="s">
        <v>27</v>
      </c>
      <c r="U963">
        <v>630</v>
      </c>
      <c r="V963" s="7" t="str">
        <f>IF(ISERROR(VLOOKUP(K963,[1]작가별정산률!$R:$S,2,0)),"스토리위즈",VLOOKUP(K963,[1]작가별정산률!$R:$S,2,0))</f>
        <v>스토리위즈</v>
      </c>
      <c r="W963" s="7" t="str">
        <f>IF(V963="스토리위즈",VLOOKUP(K963,[1]작가별정산률!$A:$B,2,0),V963)</f>
        <v>권용찬</v>
      </c>
    </row>
    <row r="964" spans="1:23" x14ac:dyDescent="0.4">
      <c r="A964" t="s">
        <v>262</v>
      </c>
      <c r="B964" t="s">
        <v>1198</v>
      </c>
      <c r="C964" t="s">
        <v>1268</v>
      </c>
      <c r="D964" t="s">
        <v>21</v>
      </c>
      <c r="E964" t="s">
        <v>22</v>
      </c>
      <c r="F964" t="s">
        <v>23</v>
      </c>
      <c r="G964">
        <v>1</v>
      </c>
      <c r="H964">
        <v>9791191562385</v>
      </c>
      <c r="I964" t="s">
        <v>143</v>
      </c>
      <c r="J964" t="s">
        <v>936</v>
      </c>
      <c r="K964" t="s">
        <v>937</v>
      </c>
      <c r="L964" t="s">
        <v>27</v>
      </c>
      <c r="M964" s="3">
        <v>2000</v>
      </c>
      <c r="N964" t="s">
        <v>27</v>
      </c>
      <c r="O964" s="3">
        <v>2000</v>
      </c>
      <c r="P964" s="3">
        <v>2000</v>
      </c>
      <c r="Q964" t="s">
        <v>30</v>
      </c>
      <c r="R964" s="2">
        <v>0.7</v>
      </c>
      <c r="S964" s="3">
        <v>1400</v>
      </c>
      <c r="T964" t="s">
        <v>27</v>
      </c>
      <c r="U964" s="3">
        <v>1400</v>
      </c>
      <c r="V964" s="7" t="str">
        <f>IF(ISERROR(VLOOKUP(K964,[1]작가별정산률!$R:$S,2,0)),"스토리위즈",VLOOKUP(K964,[1]작가별정산률!$R:$S,2,0))</f>
        <v>밀리의 서재</v>
      </c>
      <c r="W964" s="7" t="str">
        <f>IF(V964="스토리위즈",VLOOKUP(K964,[1]작가별정산률!$A:$B,2,0),V964)</f>
        <v>밀리의 서재</v>
      </c>
    </row>
    <row r="965" spans="1:23" x14ac:dyDescent="0.4">
      <c r="A965" t="s">
        <v>262</v>
      </c>
      <c r="B965" t="s">
        <v>1198</v>
      </c>
      <c r="C965" t="s">
        <v>1269</v>
      </c>
      <c r="D965" t="s">
        <v>64</v>
      </c>
      <c r="E965" t="s">
        <v>22</v>
      </c>
      <c r="F965" t="s">
        <v>23</v>
      </c>
      <c r="G965">
        <v>1</v>
      </c>
      <c r="H965">
        <v>9791166300165</v>
      </c>
      <c r="I965" t="s">
        <v>24</v>
      </c>
      <c r="J965" t="s">
        <v>126</v>
      </c>
      <c r="K965" t="s">
        <v>119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  <c r="V965" s="7" t="str">
        <f>IF(ISERROR(VLOOKUP(K965,[1]작가별정산률!$R:$S,2,0)),"스토리위즈",VLOOKUP(K965,[1]작가별정산률!$R:$S,2,0))</f>
        <v>스토리위즈</v>
      </c>
      <c r="W965" s="7" t="str">
        <f>IF(V965="스토리위즈",VLOOKUP(K965,[1]작가별정산률!$A:$B,2,0),V965)</f>
        <v>김광수</v>
      </c>
    </row>
    <row r="966" spans="1:23" x14ac:dyDescent="0.4">
      <c r="A966" t="s">
        <v>262</v>
      </c>
      <c r="B966" t="s">
        <v>1270</v>
      </c>
      <c r="C966" t="s">
        <v>1271</v>
      </c>
      <c r="D966" t="s">
        <v>64</v>
      </c>
      <c r="E966" t="s">
        <v>22</v>
      </c>
      <c r="F966" t="s">
        <v>23</v>
      </c>
      <c r="G966">
        <v>1</v>
      </c>
      <c r="H966">
        <v>9791166300554</v>
      </c>
      <c r="I966" t="s">
        <v>24</v>
      </c>
      <c r="J966" t="s">
        <v>154</v>
      </c>
      <c r="K966" t="s">
        <v>119</v>
      </c>
      <c r="L966" t="s">
        <v>27</v>
      </c>
      <c r="M966">
        <v>630</v>
      </c>
      <c r="N966" t="s">
        <v>27</v>
      </c>
      <c r="O966">
        <v>630</v>
      </c>
      <c r="P966">
        <v>630</v>
      </c>
      <c r="Q966" t="s">
        <v>30</v>
      </c>
      <c r="R966" s="2">
        <v>0.7</v>
      </c>
      <c r="S966">
        <v>441</v>
      </c>
      <c r="T966" t="s">
        <v>27</v>
      </c>
      <c r="U966">
        <v>441</v>
      </c>
      <c r="V966" s="7" t="str">
        <f>IF(ISERROR(VLOOKUP(K966,[1]작가별정산률!$R:$S,2,0)),"스토리위즈",VLOOKUP(K966,[1]작가별정산률!$R:$S,2,0))</f>
        <v>스토리위즈</v>
      </c>
      <c r="W966" s="7" t="str">
        <f>IF(V966="스토리위즈",VLOOKUP(K966,[1]작가별정산률!$A:$B,2,0),V966)</f>
        <v>김광수</v>
      </c>
    </row>
    <row r="967" spans="1:23" x14ac:dyDescent="0.4">
      <c r="A967" t="s">
        <v>262</v>
      </c>
      <c r="B967" t="s">
        <v>1270</v>
      </c>
      <c r="C967" t="s">
        <v>1272</v>
      </c>
      <c r="D967" t="s">
        <v>64</v>
      </c>
      <c r="E967" t="s">
        <v>22</v>
      </c>
      <c r="F967" t="s">
        <v>23</v>
      </c>
      <c r="G967">
        <v>1</v>
      </c>
      <c r="H967">
        <v>9791166300479</v>
      </c>
      <c r="I967" t="s">
        <v>24</v>
      </c>
      <c r="J967" t="s">
        <v>145</v>
      </c>
      <c r="K967" t="s">
        <v>119</v>
      </c>
      <c r="L967" t="s">
        <v>27</v>
      </c>
      <c r="M967">
        <v>630</v>
      </c>
      <c r="N967" t="s">
        <v>27</v>
      </c>
      <c r="O967">
        <v>630</v>
      </c>
      <c r="P967">
        <v>630</v>
      </c>
      <c r="Q967" t="s">
        <v>30</v>
      </c>
      <c r="R967" s="2">
        <v>0.7</v>
      </c>
      <c r="S967">
        <v>441</v>
      </c>
      <c r="T967" t="s">
        <v>27</v>
      </c>
      <c r="U967">
        <v>441</v>
      </c>
      <c r="V967" s="7" t="str">
        <f>IF(ISERROR(VLOOKUP(K967,[1]작가별정산률!$R:$S,2,0)),"스토리위즈",VLOOKUP(K967,[1]작가별정산률!$R:$S,2,0))</f>
        <v>스토리위즈</v>
      </c>
      <c r="W967" s="7" t="str">
        <f>IF(V967="스토리위즈",VLOOKUP(K967,[1]작가별정산률!$A:$B,2,0),V967)</f>
        <v>김광수</v>
      </c>
    </row>
    <row r="968" spans="1:23" x14ac:dyDescent="0.4">
      <c r="A968" t="s">
        <v>262</v>
      </c>
      <c r="B968" t="s">
        <v>1270</v>
      </c>
      <c r="C968" t="s">
        <v>1273</v>
      </c>
      <c r="D968" t="s">
        <v>21</v>
      </c>
      <c r="E968" t="s">
        <v>22</v>
      </c>
      <c r="F968" t="s">
        <v>23</v>
      </c>
      <c r="G968">
        <v>1</v>
      </c>
      <c r="H968">
        <v>9791191562286</v>
      </c>
      <c r="I968" t="s">
        <v>143</v>
      </c>
      <c r="J968" t="s">
        <v>238</v>
      </c>
      <c r="K968" t="s">
        <v>239</v>
      </c>
      <c r="L968" t="s">
        <v>27</v>
      </c>
      <c r="M968" s="3">
        <v>2000</v>
      </c>
      <c r="N968" t="s">
        <v>27</v>
      </c>
      <c r="O968" s="3">
        <v>2000</v>
      </c>
      <c r="P968" s="3">
        <v>2000</v>
      </c>
      <c r="Q968" t="s">
        <v>30</v>
      </c>
      <c r="R968" s="2">
        <v>0.7</v>
      </c>
      <c r="S968" s="3">
        <v>1400</v>
      </c>
      <c r="T968" t="s">
        <v>27</v>
      </c>
      <c r="U968" s="3">
        <v>1400</v>
      </c>
      <c r="V968" s="7" t="str">
        <f>IF(ISERROR(VLOOKUP(K968,[1]작가별정산률!$R:$S,2,0)),"스토리위즈",VLOOKUP(K968,[1]작가별정산률!$R:$S,2,0))</f>
        <v>밀리의 서재</v>
      </c>
      <c r="W968" s="7" t="str">
        <f>IF(V968="스토리위즈",VLOOKUP(K968,[1]작가별정산률!$A:$B,2,0),V968)</f>
        <v>밀리의 서재</v>
      </c>
    </row>
    <row r="969" spans="1:23" x14ac:dyDescent="0.4">
      <c r="A969" t="s">
        <v>262</v>
      </c>
      <c r="B969" t="s">
        <v>1270</v>
      </c>
      <c r="C969" t="s">
        <v>1274</v>
      </c>
      <c r="D969" t="s">
        <v>64</v>
      </c>
      <c r="E969" t="s">
        <v>22</v>
      </c>
      <c r="F969" t="s">
        <v>23</v>
      </c>
      <c r="G969">
        <v>1</v>
      </c>
      <c r="H969">
        <v>9791166300301</v>
      </c>
      <c r="I969" t="s">
        <v>24</v>
      </c>
      <c r="J969" t="s">
        <v>139</v>
      </c>
      <c r="K969" t="s">
        <v>119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2">
        <v>0.7</v>
      </c>
      <c r="S969">
        <v>441</v>
      </c>
      <c r="T969" t="s">
        <v>27</v>
      </c>
      <c r="U969">
        <v>441</v>
      </c>
      <c r="V969" s="7" t="str">
        <f>IF(ISERROR(VLOOKUP(K969,[1]작가별정산률!$R:$S,2,0)),"스토리위즈",VLOOKUP(K969,[1]작가별정산률!$R:$S,2,0))</f>
        <v>스토리위즈</v>
      </c>
      <c r="W969" s="7" t="str">
        <f>IF(V969="스토리위즈",VLOOKUP(K969,[1]작가별정산률!$A:$B,2,0),V969)</f>
        <v>김광수</v>
      </c>
    </row>
    <row r="970" spans="1:23" x14ac:dyDescent="0.4">
      <c r="A970" t="s">
        <v>262</v>
      </c>
      <c r="B970" t="s">
        <v>1270</v>
      </c>
      <c r="C970" t="s">
        <v>1275</v>
      </c>
      <c r="D970" t="s">
        <v>64</v>
      </c>
      <c r="E970" t="s">
        <v>22</v>
      </c>
      <c r="F970" t="s">
        <v>23</v>
      </c>
      <c r="G970">
        <v>1</v>
      </c>
      <c r="H970">
        <v>9791159283116</v>
      </c>
      <c r="I970" t="s">
        <v>24</v>
      </c>
      <c r="J970" t="s">
        <v>76</v>
      </c>
      <c r="K970" t="s">
        <v>37</v>
      </c>
      <c r="L970" t="s">
        <v>27</v>
      </c>
      <c r="M970">
        <v>900</v>
      </c>
      <c r="N970" t="s">
        <v>27</v>
      </c>
      <c r="O970">
        <v>900</v>
      </c>
      <c r="P970">
        <v>900</v>
      </c>
      <c r="Q970" t="s">
        <v>30</v>
      </c>
      <c r="R970" s="2">
        <v>0.7</v>
      </c>
      <c r="S970">
        <v>630</v>
      </c>
      <c r="T970" t="s">
        <v>27</v>
      </c>
      <c r="U970">
        <v>630</v>
      </c>
      <c r="V970" s="7" t="str">
        <f>IF(ISERROR(VLOOKUP(K970,[1]작가별정산률!$R:$S,2,0)),"스토리위즈",VLOOKUP(K970,[1]작가별정산률!$R:$S,2,0))</f>
        <v>스토리위즈</v>
      </c>
      <c r="W970" s="7" t="str">
        <f>IF(V970="스토리위즈",VLOOKUP(K970,[1]작가별정산률!$A:$B,2,0),V970)</f>
        <v>권용찬</v>
      </c>
    </row>
    <row r="971" spans="1:23" x14ac:dyDescent="0.4">
      <c r="A971" t="s">
        <v>262</v>
      </c>
      <c r="B971" t="s">
        <v>1270</v>
      </c>
      <c r="C971" t="s">
        <v>1276</v>
      </c>
      <c r="D971" t="s">
        <v>21</v>
      </c>
      <c r="E971" t="s">
        <v>22</v>
      </c>
      <c r="F971" t="s">
        <v>23</v>
      </c>
      <c r="G971">
        <v>1</v>
      </c>
      <c r="H971">
        <v>9791191562125</v>
      </c>
      <c r="I971" t="s">
        <v>143</v>
      </c>
      <c r="J971" t="s">
        <v>212</v>
      </c>
      <c r="K971" t="s">
        <v>213</v>
      </c>
      <c r="L971" t="s">
        <v>27</v>
      </c>
      <c r="M971" s="3">
        <v>2500</v>
      </c>
      <c r="N971" t="s">
        <v>27</v>
      </c>
      <c r="O971" s="3">
        <v>2500</v>
      </c>
      <c r="P971" s="3">
        <v>2500</v>
      </c>
      <c r="Q971" t="s">
        <v>30</v>
      </c>
      <c r="R971" s="2">
        <v>0.7</v>
      </c>
      <c r="S971" s="3">
        <v>1750</v>
      </c>
      <c r="T971" t="s">
        <v>27</v>
      </c>
      <c r="U971" s="3">
        <v>1750</v>
      </c>
      <c r="V971" s="7" t="str">
        <f>IF(ISERROR(VLOOKUP(K971,[1]작가별정산률!$R:$S,2,0)),"스토리위즈",VLOOKUP(K971,[1]작가별정산률!$R:$S,2,0))</f>
        <v>밀리의 서재</v>
      </c>
      <c r="W971" s="7" t="str">
        <f>IF(V971="스토리위즈",VLOOKUP(K971,[1]작가별정산률!$A:$B,2,0),V971)</f>
        <v>밀리의 서재</v>
      </c>
    </row>
    <row r="972" spans="1:23" x14ac:dyDescent="0.4">
      <c r="A972" t="s">
        <v>262</v>
      </c>
      <c r="B972" t="s">
        <v>1270</v>
      </c>
      <c r="C972" t="s">
        <v>1277</v>
      </c>
      <c r="D972" t="s">
        <v>64</v>
      </c>
      <c r="E972" t="s">
        <v>22</v>
      </c>
      <c r="F972" t="s">
        <v>23</v>
      </c>
      <c r="G972">
        <v>1</v>
      </c>
      <c r="H972">
        <v>9791166300110</v>
      </c>
      <c r="I972" t="s">
        <v>24</v>
      </c>
      <c r="J972" t="s">
        <v>121</v>
      </c>
      <c r="K972" t="s">
        <v>119</v>
      </c>
      <c r="L972" t="s">
        <v>27</v>
      </c>
      <c r="M972">
        <v>630</v>
      </c>
      <c r="N972" t="s">
        <v>27</v>
      </c>
      <c r="O972">
        <v>630</v>
      </c>
      <c r="P972">
        <v>630</v>
      </c>
      <c r="Q972" t="s">
        <v>30</v>
      </c>
      <c r="R972" s="2">
        <v>0.7</v>
      </c>
      <c r="S972">
        <v>441</v>
      </c>
      <c r="T972" t="s">
        <v>27</v>
      </c>
      <c r="U972">
        <v>441</v>
      </c>
      <c r="V972" s="7" t="str">
        <f>IF(ISERROR(VLOOKUP(K972,[1]작가별정산률!$R:$S,2,0)),"스토리위즈",VLOOKUP(K972,[1]작가별정산률!$R:$S,2,0))</f>
        <v>스토리위즈</v>
      </c>
      <c r="W972" s="7" t="str">
        <f>IF(V972="스토리위즈",VLOOKUP(K972,[1]작가별정산률!$A:$B,2,0),V972)</f>
        <v>김광수</v>
      </c>
    </row>
    <row r="973" spans="1:23" x14ac:dyDescent="0.4">
      <c r="A973" t="s">
        <v>262</v>
      </c>
      <c r="B973" t="s">
        <v>1270</v>
      </c>
      <c r="C973" t="s">
        <v>1278</v>
      </c>
      <c r="D973" t="s">
        <v>64</v>
      </c>
      <c r="E973" t="s">
        <v>22</v>
      </c>
      <c r="F973" t="s">
        <v>23</v>
      </c>
      <c r="G973">
        <v>1</v>
      </c>
      <c r="H973">
        <v>9791166300585</v>
      </c>
      <c r="I973" t="s">
        <v>24</v>
      </c>
      <c r="J973" t="s">
        <v>160</v>
      </c>
      <c r="K973" t="s">
        <v>119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2">
        <v>0.7</v>
      </c>
      <c r="S973">
        <v>441</v>
      </c>
      <c r="T973" t="s">
        <v>27</v>
      </c>
      <c r="U973">
        <v>441</v>
      </c>
      <c r="V973" s="7" t="str">
        <f>IF(ISERROR(VLOOKUP(K973,[1]작가별정산률!$R:$S,2,0)),"스토리위즈",VLOOKUP(K973,[1]작가별정산률!$R:$S,2,0))</f>
        <v>스토리위즈</v>
      </c>
      <c r="W973" s="7" t="str">
        <f>IF(V973="스토리위즈",VLOOKUP(K973,[1]작가별정산률!$A:$B,2,0),V973)</f>
        <v>김광수</v>
      </c>
    </row>
    <row r="974" spans="1:23" x14ac:dyDescent="0.4">
      <c r="A974" t="s">
        <v>262</v>
      </c>
      <c r="B974" t="s">
        <v>1270</v>
      </c>
      <c r="C974" t="s">
        <v>1279</v>
      </c>
      <c r="D974" t="s">
        <v>64</v>
      </c>
      <c r="E974" t="s">
        <v>22</v>
      </c>
      <c r="F974" t="s">
        <v>23</v>
      </c>
      <c r="G974">
        <v>1</v>
      </c>
      <c r="H974">
        <v>9791159282867</v>
      </c>
      <c r="I974" t="s">
        <v>24</v>
      </c>
      <c r="J974" t="s">
        <v>32</v>
      </c>
      <c r="K974" t="s">
        <v>26</v>
      </c>
      <c r="L974" t="s">
        <v>27</v>
      </c>
      <c r="M974">
        <v>630</v>
      </c>
      <c r="N974" t="s">
        <v>27</v>
      </c>
      <c r="O974">
        <v>630</v>
      </c>
      <c r="P974">
        <v>630</v>
      </c>
      <c r="Q974" t="s">
        <v>30</v>
      </c>
      <c r="R974" s="2">
        <v>0.7</v>
      </c>
      <c r="S974">
        <v>441</v>
      </c>
      <c r="T974" t="s">
        <v>27</v>
      </c>
      <c r="U974">
        <v>441</v>
      </c>
      <c r="V974" s="7" t="str">
        <f>IF(ISERROR(VLOOKUP(K974,[1]작가별정산률!$R:$S,2,0)),"스토리위즈",VLOOKUP(K974,[1]작가별정산률!$R:$S,2,0))</f>
        <v>스토리위즈</v>
      </c>
      <c r="W974" s="7" t="str">
        <f>IF(V974="스토리위즈",VLOOKUP(K974,[1]작가별정산률!$A:$B,2,0),V974)</f>
        <v>독고진</v>
      </c>
    </row>
    <row r="975" spans="1:23" x14ac:dyDescent="0.4">
      <c r="A975" t="s">
        <v>262</v>
      </c>
      <c r="B975" t="s">
        <v>1270</v>
      </c>
      <c r="C975" t="s">
        <v>1280</v>
      </c>
      <c r="D975" t="s">
        <v>21</v>
      </c>
      <c r="E975" t="s">
        <v>22</v>
      </c>
      <c r="F975" t="s">
        <v>23</v>
      </c>
      <c r="G975">
        <v>1</v>
      </c>
      <c r="H975">
        <v>9791191562095</v>
      </c>
      <c r="I975" t="s">
        <v>143</v>
      </c>
      <c r="J975" t="s">
        <v>1281</v>
      </c>
      <c r="K975" t="s">
        <v>1282</v>
      </c>
      <c r="L975" t="s">
        <v>27</v>
      </c>
      <c r="M975" s="3">
        <v>3600</v>
      </c>
      <c r="N975" t="s">
        <v>27</v>
      </c>
      <c r="O975" s="3">
        <v>3600</v>
      </c>
      <c r="P975" s="3">
        <v>3600</v>
      </c>
      <c r="Q975" t="s">
        <v>30</v>
      </c>
      <c r="R975" s="2">
        <v>0.7</v>
      </c>
      <c r="S975" s="3">
        <v>2520</v>
      </c>
      <c r="T975" t="s">
        <v>27</v>
      </c>
      <c r="U975" s="3">
        <v>2520</v>
      </c>
      <c r="V975" s="7" t="str">
        <f>IF(ISERROR(VLOOKUP(K975,[1]작가별정산률!$R:$S,2,0)),"스토리위즈",VLOOKUP(K975,[1]작가별정산률!$R:$S,2,0))</f>
        <v>밀리의 서재</v>
      </c>
      <c r="W975" s="7" t="str">
        <f>IF(V975="스토리위즈",VLOOKUP(K975,[1]작가별정산률!$A:$B,2,0),V975)</f>
        <v>밀리의 서재</v>
      </c>
    </row>
    <row r="976" spans="1:23" x14ac:dyDescent="0.4">
      <c r="A976" t="s">
        <v>262</v>
      </c>
      <c r="B976" t="s">
        <v>1270</v>
      </c>
      <c r="C976" t="s">
        <v>1283</v>
      </c>
      <c r="D976" t="s">
        <v>21</v>
      </c>
      <c r="E976" t="s">
        <v>22</v>
      </c>
      <c r="F976" t="s">
        <v>23</v>
      </c>
      <c r="G976">
        <v>1</v>
      </c>
      <c r="H976">
        <v>9791137600423</v>
      </c>
      <c r="I976" t="s">
        <v>143</v>
      </c>
      <c r="J976" t="s">
        <v>1284</v>
      </c>
      <c r="K976" t="s">
        <v>746</v>
      </c>
      <c r="L976" t="s">
        <v>27</v>
      </c>
      <c r="M976" s="3">
        <v>2400</v>
      </c>
      <c r="N976" t="s">
        <v>27</v>
      </c>
      <c r="O976" s="3">
        <v>2400</v>
      </c>
      <c r="P976" s="3">
        <v>2400</v>
      </c>
      <c r="Q976" t="s">
        <v>30</v>
      </c>
      <c r="R976" s="2">
        <v>0.7</v>
      </c>
      <c r="S976" s="3">
        <v>1680</v>
      </c>
      <c r="T976" t="s">
        <v>27</v>
      </c>
      <c r="U976" s="3">
        <v>1680</v>
      </c>
      <c r="V976" s="7" t="str">
        <f>IF(ISERROR(VLOOKUP(K976,[1]작가별정산률!$R:$S,2,0)),"스토리위즈",VLOOKUP(K976,[1]작가별정산률!$R:$S,2,0))</f>
        <v>스토리위즈</v>
      </c>
      <c r="W976" s="7" t="str">
        <f>IF(V976="스토리위즈",VLOOKUP(K976,[1]작가별정산률!$A:$B,2,0),V976)</f>
        <v>온서</v>
      </c>
    </row>
    <row r="977" spans="1:23" x14ac:dyDescent="0.4">
      <c r="A977" t="s">
        <v>262</v>
      </c>
      <c r="B977" t="s">
        <v>1270</v>
      </c>
      <c r="C977" t="s">
        <v>1285</v>
      </c>
      <c r="D977" t="s">
        <v>64</v>
      </c>
      <c r="E977" t="s">
        <v>22</v>
      </c>
      <c r="F977" t="s">
        <v>23</v>
      </c>
      <c r="G977">
        <v>1</v>
      </c>
      <c r="H977">
        <v>9791166064401</v>
      </c>
      <c r="I977" t="s">
        <v>24</v>
      </c>
      <c r="J977" t="s">
        <v>111</v>
      </c>
      <c r="K977" t="s">
        <v>102</v>
      </c>
      <c r="L977" t="s">
        <v>27</v>
      </c>
      <c r="M977">
        <v>720</v>
      </c>
      <c r="N977" t="s">
        <v>27</v>
      </c>
      <c r="O977">
        <v>720</v>
      </c>
      <c r="P977">
        <v>720</v>
      </c>
      <c r="Q977" t="s">
        <v>30</v>
      </c>
      <c r="R977" s="2">
        <v>0.7</v>
      </c>
      <c r="S977">
        <v>504</v>
      </c>
      <c r="T977" t="s">
        <v>27</v>
      </c>
      <c r="U977">
        <v>504</v>
      </c>
      <c r="V977" s="7" t="str">
        <f>IF(ISERROR(VLOOKUP(K977,[1]작가별정산률!$R:$S,2,0)),"스토리위즈",VLOOKUP(K977,[1]작가별정산률!$R:$S,2,0))</f>
        <v>스토리위즈</v>
      </c>
      <c r="W977" s="7" t="str">
        <f>IF(V977="스토리위즈",VLOOKUP(K977,[1]작가별정산률!$A:$B,2,0),V977)</f>
        <v>예로나</v>
      </c>
    </row>
    <row r="978" spans="1:23" x14ac:dyDescent="0.4">
      <c r="A978" t="s">
        <v>262</v>
      </c>
      <c r="B978" t="s">
        <v>1270</v>
      </c>
      <c r="C978" t="s">
        <v>1286</v>
      </c>
      <c r="D978" t="s">
        <v>21</v>
      </c>
      <c r="E978" t="s">
        <v>22</v>
      </c>
      <c r="F978" t="s">
        <v>216</v>
      </c>
      <c r="G978">
        <v>1</v>
      </c>
      <c r="H978">
        <v>9791191562460</v>
      </c>
      <c r="I978" t="s">
        <v>143</v>
      </c>
      <c r="J978" t="s">
        <v>1287</v>
      </c>
      <c r="K978" t="s">
        <v>1288</v>
      </c>
      <c r="L978" t="s">
        <v>27</v>
      </c>
      <c r="M978" s="3">
        <v>2500</v>
      </c>
      <c r="N978" t="s">
        <v>219</v>
      </c>
      <c r="O978">
        <v>3.41</v>
      </c>
      <c r="P978">
        <v>2.97</v>
      </c>
      <c r="Q978" t="s">
        <v>220</v>
      </c>
      <c r="R978" s="2">
        <v>0.7</v>
      </c>
      <c r="S978">
        <v>2.08</v>
      </c>
      <c r="T978" t="s">
        <v>27</v>
      </c>
      <c r="U978" s="3">
        <v>1696</v>
      </c>
      <c r="V978" s="7" t="str">
        <f>IF(ISERROR(VLOOKUP(K978,[1]작가별정산률!$R:$S,2,0)),"스토리위즈",VLOOKUP(K978,[1]작가별정산률!$R:$S,2,0))</f>
        <v>밀리의 서재</v>
      </c>
      <c r="W978" s="7" t="str">
        <f>IF(V978="스토리위즈",VLOOKUP(K978,[1]작가별정산률!$A:$B,2,0),V978)</f>
        <v>밀리의 서재</v>
      </c>
    </row>
    <row r="979" spans="1:23" x14ac:dyDescent="0.4">
      <c r="A979" t="s">
        <v>262</v>
      </c>
      <c r="B979" t="s">
        <v>1270</v>
      </c>
      <c r="C979" t="s">
        <v>1289</v>
      </c>
      <c r="D979" t="s">
        <v>64</v>
      </c>
      <c r="E979" t="s">
        <v>22</v>
      </c>
      <c r="F979" t="s">
        <v>23</v>
      </c>
      <c r="G979">
        <v>1</v>
      </c>
      <c r="H979">
        <v>9791166064135</v>
      </c>
      <c r="I979" t="s">
        <v>24</v>
      </c>
      <c r="J979" t="s">
        <v>77</v>
      </c>
      <c r="K979" t="s">
        <v>37</v>
      </c>
      <c r="L979" t="s">
        <v>27</v>
      </c>
      <c r="M979">
        <v>900</v>
      </c>
      <c r="N979" t="s">
        <v>27</v>
      </c>
      <c r="O979">
        <v>900</v>
      </c>
      <c r="P979">
        <v>900</v>
      </c>
      <c r="Q979" t="s">
        <v>30</v>
      </c>
      <c r="R979" s="2">
        <v>0.7</v>
      </c>
      <c r="S979">
        <v>630</v>
      </c>
      <c r="T979" t="s">
        <v>27</v>
      </c>
      <c r="U979">
        <v>630</v>
      </c>
      <c r="V979" s="7" t="str">
        <f>IF(ISERROR(VLOOKUP(K979,[1]작가별정산률!$R:$S,2,0)),"스토리위즈",VLOOKUP(K979,[1]작가별정산률!$R:$S,2,0))</f>
        <v>스토리위즈</v>
      </c>
      <c r="W979" s="7" t="str">
        <f>IF(V979="스토리위즈",VLOOKUP(K979,[1]작가별정산률!$A:$B,2,0),V979)</f>
        <v>권용찬</v>
      </c>
    </row>
    <row r="980" spans="1:23" x14ac:dyDescent="0.4">
      <c r="A980" t="s">
        <v>262</v>
      </c>
      <c r="B980" t="s">
        <v>1270</v>
      </c>
      <c r="C980" t="s">
        <v>1290</v>
      </c>
      <c r="D980" t="s">
        <v>64</v>
      </c>
      <c r="E980" t="s">
        <v>22</v>
      </c>
      <c r="F980" t="s">
        <v>23</v>
      </c>
      <c r="G980">
        <v>1</v>
      </c>
      <c r="H980">
        <v>9791166300462</v>
      </c>
      <c r="I980" t="s">
        <v>24</v>
      </c>
      <c r="J980" t="s">
        <v>144</v>
      </c>
      <c r="K980" t="s">
        <v>119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  <c r="V980" s="7" t="str">
        <f>IF(ISERROR(VLOOKUP(K980,[1]작가별정산률!$R:$S,2,0)),"스토리위즈",VLOOKUP(K980,[1]작가별정산률!$R:$S,2,0))</f>
        <v>스토리위즈</v>
      </c>
      <c r="W980" s="7" t="str">
        <f>IF(V980="스토리위즈",VLOOKUP(K980,[1]작가별정산률!$A:$B,2,0),V980)</f>
        <v>김광수</v>
      </c>
    </row>
    <row r="981" spans="1:23" x14ac:dyDescent="0.4">
      <c r="A981" t="s">
        <v>262</v>
      </c>
      <c r="B981" t="s">
        <v>1270</v>
      </c>
      <c r="C981" t="s">
        <v>1291</v>
      </c>
      <c r="D981" t="s">
        <v>64</v>
      </c>
      <c r="E981" t="s">
        <v>22</v>
      </c>
      <c r="F981" t="s">
        <v>23</v>
      </c>
      <c r="G981">
        <v>1</v>
      </c>
      <c r="H981">
        <v>9791166300219</v>
      </c>
      <c r="I981" t="s">
        <v>24</v>
      </c>
      <c r="J981" t="s">
        <v>130</v>
      </c>
      <c r="K981" t="s">
        <v>119</v>
      </c>
      <c r="L981" t="s">
        <v>27</v>
      </c>
      <c r="M981">
        <v>630</v>
      </c>
      <c r="N981" t="s">
        <v>27</v>
      </c>
      <c r="O981">
        <v>630</v>
      </c>
      <c r="P981">
        <v>630</v>
      </c>
      <c r="Q981" t="s">
        <v>30</v>
      </c>
      <c r="R981" s="2">
        <v>0.7</v>
      </c>
      <c r="S981">
        <v>441</v>
      </c>
      <c r="T981" t="s">
        <v>27</v>
      </c>
      <c r="U981">
        <v>441</v>
      </c>
      <c r="V981" s="7" t="str">
        <f>IF(ISERROR(VLOOKUP(K981,[1]작가별정산률!$R:$S,2,0)),"스토리위즈",VLOOKUP(K981,[1]작가별정산률!$R:$S,2,0))</f>
        <v>스토리위즈</v>
      </c>
      <c r="W981" s="7" t="str">
        <f>IF(V981="스토리위즈",VLOOKUP(K981,[1]작가별정산률!$A:$B,2,0),V981)</f>
        <v>김광수</v>
      </c>
    </row>
    <row r="982" spans="1:23" x14ac:dyDescent="0.4">
      <c r="A982" t="s">
        <v>262</v>
      </c>
      <c r="B982" t="s">
        <v>1270</v>
      </c>
      <c r="C982" t="s">
        <v>1292</v>
      </c>
      <c r="D982" t="s">
        <v>21</v>
      </c>
      <c r="E982" t="s">
        <v>22</v>
      </c>
      <c r="F982" t="s">
        <v>23</v>
      </c>
      <c r="G982">
        <v>1</v>
      </c>
      <c r="H982">
        <v>9791137600430</v>
      </c>
      <c r="I982" t="s">
        <v>143</v>
      </c>
      <c r="J982" t="s">
        <v>745</v>
      </c>
      <c r="K982" t="s">
        <v>746</v>
      </c>
      <c r="L982" t="s">
        <v>27</v>
      </c>
      <c r="M982" s="3">
        <v>2400</v>
      </c>
      <c r="N982" t="s">
        <v>27</v>
      </c>
      <c r="O982" s="3">
        <v>2400</v>
      </c>
      <c r="P982" s="3">
        <v>2400</v>
      </c>
      <c r="Q982" t="s">
        <v>30</v>
      </c>
      <c r="R982" s="2">
        <v>0.7</v>
      </c>
      <c r="S982" s="3">
        <v>1680</v>
      </c>
      <c r="T982" t="s">
        <v>27</v>
      </c>
      <c r="U982" s="3">
        <v>1680</v>
      </c>
      <c r="V982" s="7" t="str">
        <f>IF(ISERROR(VLOOKUP(K982,[1]작가별정산률!$R:$S,2,0)),"스토리위즈",VLOOKUP(K982,[1]작가별정산률!$R:$S,2,0))</f>
        <v>스토리위즈</v>
      </c>
      <c r="W982" s="7" t="str">
        <f>IF(V982="스토리위즈",VLOOKUP(K982,[1]작가별정산률!$A:$B,2,0),V982)</f>
        <v>온서</v>
      </c>
    </row>
    <row r="983" spans="1:23" x14ac:dyDescent="0.4">
      <c r="A983" t="s">
        <v>262</v>
      </c>
      <c r="B983" t="s">
        <v>1270</v>
      </c>
      <c r="C983" t="s">
        <v>1293</v>
      </c>
      <c r="D983" t="s">
        <v>21</v>
      </c>
      <c r="E983" t="s">
        <v>22</v>
      </c>
      <c r="F983" t="s">
        <v>23</v>
      </c>
      <c r="G983">
        <v>1</v>
      </c>
      <c r="H983">
        <v>9791191562248</v>
      </c>
      <c r="I983" t="s">
        <v>143</v>
      </c>
      <c r="J983" t="s">
        <v>231</v>
      </c>
      <c r="K983" t="s">
        <v>232</v>
      </c>
      <c r="L983" t="s">
        <v>27</v>
      </c>
      <c r="M983" s="3">
        <v>2000</v>
      </c>
      <c r="N983" t="s">
        <v>27</v>
      </c>
      <c r="O983" s="3">
        <v>2000</v>
      </c>
      <c r="P983" s="3">
        <v>2000</v>
      </c>
      <c r="Q983" t="s">
        <v>30</v>
      </c>
      <c r="R983" s="2">
        <v>0.7</v>
      </c>
      <c r="S983" s="3">
        <v>1400</v>
      </c>
      <c r="T983" t="s">
        <v>27</v>
      </c>
      <c r="U983" s="3">
        <v>1400</v>
      </c>
      <c r="V983" s="7" t="str">
        <f>IF(ISERROR(VLOOKUP(K983,[1]작가별정산률!$R:$S,2,0)),"스토리위즈",VLOOKUP(K983,[1]작가별정산률!$R:$S,2,0))</f>
        <v>밀리의 서재</v>
      </c>
      <c r="W983" s="7" t="str">
        <f>IF(V983="스토리위즈",VLOOKUP(K983,[1]작가별정산률!$A:$B,2,0),V983)</f>
        <v>밀리의 서재</v>
      </c>
    </row>
    <row r="984" spans="1:23" x14ac:dyDescent="0.4">
      <c r="A984" t="s">
        <v>262</v>
      </c>
      <c r="B984" t="s">
        <v>1270</v>
      </c>
      <c r="C984" t="s">
        <v>1294</v>
      </c>
      <c r="D984" t="s">
        <v>64</v>
      </c>
      <c r="E984" t="s">
        <v>22</v>
      </c>
      <c r="F984" t="s">
        <v>23</v>
      </c>
      <c r="G984">
        <v>1</v>
      </c>
      <c r="H984">
        <v>9791166300158</v>
      </c>
      <c r="I984" t="s">
        <v>24</v>
      </c>
      <c r="J984" t="s">
        <v>125</v>
      </c>
      <c r="K984" t="s">
        <v>119</v>
      </c>
      <c r="L984" t="s">
        <v>27</v>
      </c>
      <c r="M984">
        <v>630</v>
      </c>
      <c r="N984" t="s">
        <v>27</v>
      </c>
      <c r="O984">
        <v>630</v>
      </c>
      <c r="P984">
        <v>630</v>
      </c>
      <c r="Q984" t="s">
        <v>30</v>
      </c>
      <c r="R984" s="2">
        <v>0.7</v>
      </c>
      <c r="S984">
        <v>441</v>
      </c>
      <c r="T984" t="s">
        <v>27</v>
      </c>
      <c r="U984">
        <v>441</v>
      </c>
      <c r="V984" s="7" t="str">
        <f>IF(ISERROR(VLOOKUP(K984,[1]작가별정산률!$R:$S,2,0)),"스토리위즈",VLOOKUP(K984,[1]작가별정산률!$R:$S,2,0))</f>
        <v>스토리위즈</v>
      </c>
      <c r="W984" s="7" t="str">
        <f>IF(V984="스토리위즈",VLOOKUP(K984,[1]작가별정산률!$A:$B,2,0),V984)</f>
        <v>김광수</v>
      </c>
    </row>
    <row r="985" spans="1:23" x14ac:dyDescent="0.4">
      <c r="A985" t="s">
        <v>262</v>
      </c>
      <c r="B985" t="s">
        <v>1270</v>
      </c>
      <c r="C985" t="s">
        <v>1295</v>
      </c>
      <c r="D985" t="s">
        <v>21</v>
      </c>
      <c r="E985" t="s">
        <v>22</v>
      </c>
      <c r="F985" t="s">
        <v>23</v>
      </c>
      <c r="G985">
        <v>1</v>
      </c>
      <c r="H985">
        <v>9791166300486</v>
      </c>
      <c r="I985" t="s">
        <v>24</v>
      </c>
      <c r="J985" t="s">
        <v>146</v>
      </c>
      <c r="K985" t="s">
        <v>119</v>
      </c>
      <c r="L985" t="s">
        <v>27</v>
      </c>
      <c r="M985" s="3">
        <v>3200</v>
      </c>
      <c r="N985" t="s">
        <v>27</v>
      </c>
      <c r="O985" s="3">
        <v>3200</v>
      </c>
      <c r="P985" s="3">
        <v>3200</v>
      </c>
      <c r="Q985" t="s">
        <v>30</v>
      </c>
      <c r="R985" s="2">
        <v>0.7</v>
      </c>
      <c r="S985" s="3">
        <v>2240</v>
      </c>
      <c r="T985" t="s">
        <v>27</v>
      </c>
      <c r="U985" s="3">
        <v>2240</v>
      </c>
      <c r="V985" s="7" t="str">
        <f>IF(ISERROR(VLOOKUP(K985,[1]작가별정산률!$R:$S,2,0)),"스토리위즈",VLOOKUP(K985,[1]작가별정산률!$R:$S,2,0))</f>
        <v>스토리위즈</v>
      </c>
      <c r="W985" s="7" t="str">
        <f>IF(V985="스토리위즈",VLOOKUP(K985,[1]작가별정산률!$A:$B,2,0),V985)</f>
        <v>김광수</v>
      </c>
    </row>
    <row r="986" spans="1:23" x14ac:dyDescent="0.4">
      <c r="A986" t="s">
        <v>262</v>
      </c>
      <c r="B986" t="s">
        <v>1270</v>
      </c>
      <c r="C986" t="s">
        <v>1296</v>
      </c>
      <c r="D986" t="s">
        <v>21</v>
      </c>
      <c r="E986" t="s">
        <v>22</v>
      </c>
      <c r="F986" t="s">
        <v>23</v>
      </c>
      <c r="G986">
        <v>1</v>
      </c>
      <c r="H986">
        <v>9791166300103</v>
      </c>
      <c r="I986" t="s">
        <v>24</v>
      </c>
      <c r="J986" t="s">
        <v>120</v>
      </c>
      <c r="K986" t="s">
        <v>119</v>
      </c>
      <c r="L986" t="s">
        <v>27</v>
      </c>
      <c r="M986" s="3">
        <v>3200</v>
      </c>
      <c r="N986" t="s">
        <v>27</v>
      </c>
      <c r="O986" s="3">
        <v>3200</v>
      </c>
      <c r="P986" s="3">
        <v>3200</v>
      </c>
      <c r="Q986" t="s">
        <v>30</v>
      </c>
      <c r="R986" s="2">
        <v>0.7</v>
      </c>
      <c r="S986" s="3">
        <v>2240</v>
      </c>
      <c r="T986" t="s">
        <v>27</v>
      </c>
      <c r="U986" s="3">
        <v>2240</v>
      </c>
      <c r="V986" s="7" t="str">
        <f>IF(ISERROR(VLOOKUP(K986,[1]작가별정산률!$R:$S,2,0)),"스토리위즈",VLOOKUP(K986,[1]작가별정산률!$R:$S,2,0))</f>
        <v>스토리위즈</v>
      </c>
      <c r="W986" s="7" t="str">
        <f>IF(V986="스토리위즈",VLOOKUP(K986,[1]작가별정산률!$A:$B,2,0),V986)</f>
        <v>김광수</v>
      </c>
    </row>
    <row r="987" spans="1:23" x14ac:dyDescent="0.4">
      <c r="A987" t="s">
        <v>262</v>
      </c>
      <c r="B987" t="s">
        <v>1270</v>
      </c>
      <c r="C987" t="s">
        <v>1297</v>
      </c>
      <c r="D987" t="s">
        <v>64</v>
      </c>
      <c r="E987" t="s">
        <v>22</v>
      </c>
      <c r="F987" t="s">
        <v>23</v>
      </c>
      <c r="G987">
        <v>1</v>
      </c>
      <c r="H987">
        <v>9791159283123</v>
      </c>
      <c r="I987" t="s">
        <v>24</v>
      </c>
      <c r="J987" t="s">
        <v>78</v>
      </c>
      <c r="K987" t="s">
        <v>37</v>
      </c>
      <c r="L987" t="s">
        <v>27</v>
      </c>
      <c r="M987">
        <v>900</v>
      </c>
      <c r="N987" t="s">
        <v>27</v>
      </c>
      <c r="O987">
        <v>900</v>
      </c>
      <c r="P987">
        <v>900</v>
      </c>
      <c r="Q987" t="s">
        <v>30</v>
      </c>
      <c r="R987" s="2">
        <v>0.7</v>
      </c>
      <c r="S987">
        <v>630</v>
      </c>
      <c r="T987" t="s">
        <v>27</v>
      </c>
      <c r="U987">
        <v>630</v>
      </c>
      <c r="V987" s="7" t="str">
        <f>IF(ISERROR(VLOOKUP(K987,[1]작가별정산률!$R:$S,2,0)),"스토리위즈",VLOOKUP(K987,[1]작가별정산률!$R:$S,2,0))</f>
        <v>스토리위즈</v>
      </c>
      <c r="W987" s="7" t="str">
        <f>IF(V987="스토리위즈",VLOOKUP(K987,[1]작가별정산률!$A:$B,2,0),V987)</f>
        <v>권용찬</v>
      </c>
    </row>
    <row r="988" spans="1:23" x14ac:dyDescent="0.4">
      <c r="A988" t="s">
        <v>262</v>
      </c>
      <c r="B988" t="s">
        <v>1270</v>
      </c>
      <c r="C988" t="s">
        <v>1298</v>
      </c>
      <c r="D988" t="s">
        <v>64</v>
      </c>
      <c r="E988" t="s">
        <v>22</v>
      </c>
      <c r="F988" t="s">
        <v>23</v>
      </c>
      <c r="G988">
        <v>1</v>
      </c>
      <c r="H988">
        <v>9791166300561</v>
      </c>
      <c r="I988" t="s">
        <v>24</v>
      </c>
      <c r="J988" t="s">
        <v>158</v>
      </c>
      <c r="K988" t="s">
        <v>119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  <c r="V988" s="7" t="str">
        <f>IF(ISERROR(VLOOKUP(K988,[1]작가별정산률!$R:$S,2,0)),"스토리위즈",VLOOKUP(K988,[1]작가별정산률!$R:$S,2,0))</f>
        <v>스토리위즈</v>
      </c>
      <c r="W988" s="7" t="str">
        <f>IF(V988="스토리위즈",VLOOKUP(K988,[1]작가별정산률!$A:$B,2,0),V988)</f>
        <v>김광수</v>
      </c>
    </row>
    <row r="989" spans="1:23" x14ac:dyDescent="0.4">
      <c r="A989" t="s">
        <v>262</v>
      </c>
      <c r="B989" t="s">
        <v>1270</v>
      </c>
      <c r="C989" t="s">
        <v>1299</v>
      </c>
      <c r="D989" t="s">
        <v>64</v>
      </c>
      <c r="E989" t="s">
        <v>22</v>
      </c>
      <c r="F989" t="s">
        <v>23</v>
      </c>
      <c r="G989">
        <v>1</v>
      </c>
      <c r="H989">
        <v>9791166300547</v>
      </c>
      <c r="I989" t="s">
        <v>24</v>
      </c>
      <c r="J989" t="s">
        <v>153</v>
      </c>
      <c r="K989" t="s">
        <v>119</v>
      </c>
      <c r="L989" t="s">
        <v>27</v>
      </c>
      <c r="M989">
        <v>630</v>
      </c>
      <c r="N989" t="s">
        <v>27</v>
      </c>
      <c r="O989">
        <v>630</v>
      </c>
      <c r="P989">
        <v>630</v>
      </c>
      <c r="Q989" t="s">
        <v>30</v>
      </c>
      <c r="R989" s="2">
        <v>0.7</v>
      </c>
      <c r="S989">
        <v>441</v>
      </c>
      <c r="T989" t="s">
        <v>27</v>
      </c>
      <c r="U989">
        <v>441</v>
      </c>
      <c r="V989" s="7" t="str">
        <f>IF(ISERROR(VLOOKUP(K989,[1]작가별정산률!$R:$S,2,0)),"스토리위즈",VLOOKUP(K989,[1]작가별정산률!$R:$S,2,0))</f>
        <v>스토리위즈</v>
      </c>
      <c r="W989" s="7" t="str">
        <f>IF(V989="스토리위즈",VLOOKUP(K989,[1]작가별정산률!$A:$B,2,0),V989)</f>
        <v>김광수</v>
      </c>
    </row>
    <row r="990" spans="1:23" x14ac:dyDescent="0.4">
      <c r="A990" t="s">
        <v>262</v>
      </c>
      <c r="B990" t="s">
        <v>1270</v>
      </c>
      <c r="C990" t="s">
        <v>1300</v>
      </c>
      <c r="D990" t="s">
        <v>64</v>
      </c>
      <c r="E990" t="s">
        <v>22</v>
      </c>
      <c r="F990" t="s">
        <v>23</v>
      </c>
      <c r="G990">
        <v>1</v>
      </c>
      <c r="H990">
        <v>9791166300592</v>
      </c>
      <c r="I990" t="s">
        <v>24</v>
      </c>
      <c r="J990" t="s">
        <v>161</v>
      </c>
      <c r="K990" t="s">
        <v>119</v>
      </c>
      <c r="L990" t="s">
        <v>27</v>
      </c>
      <c r="M990">
        <v>630</v>
      </c>
      <c r="N990" t="s">
        <v>27</v>
      </c>
      <c r="O990">
        <v>630</v>
      </c>
      <c r="P990">
        <v>630</v>
      </c>
      <c r="Q990" t="s">
        <v>30</v>
      </c>
      <c r="R990" s="2">
        <v>0.7</v>
      </c>
      <c r="S990">
        <v>441</v>
      </c>
      <c r="T990" t="s">
        <v>27</v>
      </c>
      <c r="U990">
        <v>441</v>
      </c>
      <c r="V990" s="7" t="str">
        <f>IF(ISERROR(VLOOKUP(K990,[1]작가별정산률!$R:$S,2,0)),"스토리위즈",VLOOKUP(K990,[1]작가별정산률!$R:$S,2,0))</f>
        <v>스토리위즈</v>
      </c>
      <c r="W990" s="7" t="str">
        <f>IF(V990="스토리위즈",VLOOKUP(K990,[1]작가별정산률!$A:$B,2,0),V990)</f>
        <v>김광수</v>
      </c>
    </row>
    <row r="991" spans="1:23" x14ac:dyDescent="0.4">
      <c r="A991" t="s">
        <v>262</v>
      </c>
      <c r="B991" t="s">
        <v>1270</v>
      </c>
      <c r="C991" t="s">
        <v>1301</v>
      </c>
      <c r="D991" t="s">
        <v>21</v>
      </c>
      <c r="E991" t="s">
        <v>22</v>
      </c>
      <c r="F991" t="s">
        <v>23</v>
      </c>
      <c r="G991">
        <v>1</v>
      </c>
      <c r="H991">
        <v>9791166300219</v>
      </c>
      <c r="I991" t="s">
        <v>24</v>
      </c>
      <c r="J991" t="s">
        <v>130</v>
      </c>
      <c r="K991" t="s">
        <v>119</v>
      </c>
      <c r="L991" t="s">
        <v>27</v>
      </c>
      <c r="M991" s="3">
        <v>3200</v>
      </c>
      <c r="N991" t="s">
        <v>27</v>
      </c>
      <c r="O991" s="3">
        <v>3200</v>
      </c>
      <c r="P991" s="3">
        <v>3200</v>
      </c>
      <c r="Q991" t="s">
        <v>30</v>
      </c>
      <c r="R991" s="2">
        <v>0.7</v>
      </c>
      <c r="S991" s="3">
        <v>2240</v>
      </c>
      <c r="T991" t="s">
        <v>27</v>
      </c>
      <c r="U991" s="3">
        <v>2240</v>
      </c>
      <c r="V991" s="7" t="str">
        <f>IF(ISERROR(VLOOKUP(K991,[1]작가별정산률!$R:$S,2,0)),"스토리위즈",VLOOKUP(K991,[1]작가별정산률!$R:$S,2,0))</f>
        <v>스토리위즈</v>
      </c>
      <c r="W991" s="7" t="str">
        <f>IF(V991="스토리위즈",VLOOKUP(K991,[1]작가별정산률!$A:$B,2,0),V991)</f>
        <v>김광수</v>
      </c>
    </row>
    <row r="992" spans="1:23" x14ac:dyDescent="0.4">
      <c r="A992" t="s">
        <v>262</v>
      </c>
      <c r="B992" t="s">
        <v>1270</v>
      </c>
      <c r="C992" t="s">
        <v>1302</v>
      </c>
      <c r="D992" t="s">
        <v>64</v>
      </c>
      <c r="E992" t="s">
        <v>22</v>
      </c>
      <c r="F992" t="s">
        <v>23</v>
      </c>
      <c r="G992">
        <v>1</v>
      </c>
      <c r="H992">
        <v>9791166300608</v>
      </c>
      <c r="I992" t="s">
        <v>24</v>
      </c>
      <c r="J992" t="s">
        <v>162</v>
      </c>
      <c r="K992" t="s">
        <v>119</v>
      </c>
      <c r="L992" t="s">
        <v>27</v>
      </c>
      <c r="M992">
        <v>630</v>
      </c>
      <c r="N992" t="s">
        <v>27</v>
      </c>
      <c r="O992">
        <v>630</v>
      </c>
      <c r="P992">
        <v>630</v>
      </c>
      <c r="Q992" t="s">
        <v>30</v>
      </c>
      <c r="R992" s="2">
        <v>0.7</v>
      </c>
      <c r="S992">
        <v>441</v>
      </c>
      <c r="T992" t="s">
        <v>27</v>
      </c>
      <c r="U992">
        <v>441</v>
      </c>
      <c r="V992" s="7" t="str">
        <f>IF(ISERROR(VLOOKUP(K992,[1]작가별정산률!$R:$S,2,0)),"스토리위즈",VLOOKUP(K992,[1]작가별정산률!$R:$S,2,0))</f>
        <v>스토리위즈</v>
      </c>
      <c r="W992" s="7" t="str">
        <f>IF(V992="스토리위즈",VLOOKUP(K992,[1]작가별정산률!$A:$B,2,0),V992)</f>
        <v>김광수</v>
      </c>
    </row>
    <row r="993" spans="1:23" x14ac:dyDescent="0.4">
      <c r="A993" t="s">
        <v>262</v>
      </c>
      <c r="B993" t="s">
        <v>1270</v>
      </c>
      <c r="C993" t="s">
        <v>1303</v>
      </c>
      <c r="D993" t="s">
        <v>21</v>
      </c>
      <c r="E993" t="s">
        <v>22</v>
      </c>
      <c r="F993" t="s">
        <v>23</v>
      </c>
      <c r="G993">
        <v>1</v>
      </c>
      <c r="H993">
        <v>9791191562286</v>
      </c>
      <c r="I993" t="s">
        <v>143</v>
      </c>
      <c r="J993" t="s">
        <v>238</v>
      </c>
      <c r="K993" t="s">
        <v>239</v>
      </c>
      <c r="L993" t="s">
        <v>27</v>
      </c>
      <c r="M993" s="3">
        <v>2000</v>
      </c>
      <c r="N993" t="s">
        <v>27</v>
      </c>
      <c r="O993" s="3">
        <v>2000</v>
      </c>
      <c r="P993" s="3">
        <v>2000</v>
      </c>
      <c r="Q993" t="s">
        <v>30</v>
      </c>
      <c r="R993" s="2">
        <v>0.7</v>
      </c>
      <c r="S993" s="3">
        <v>1400</v>
      </c>
      <c r="T993" t="s">
        <v>27</v>
      </c>
      <c r="U993" s="3">
        <v>1400</v>
      </c>
      <c r="V993" s="7" t="str">
        <f>IF(ISERROR(VLOOKUP(K993,[1]작가별정산률!$R:$S,2,0)),"스토리위즈",VLOOKUP(K993,[1]작가별정산률!$R:$S,2,0))</f>
        <v>밀리의 서재</v>
      </c>
      <c r="W993" s="7" t="str">
        <f>IF(V993="스토리위즈",VLOOKUP(K993,[1]작가별정산률!$A:$B,2,0),V993)</f>
        <v>밀리의 서재</v>
      </c>
    </row>
    <row r="994" spans="1:23" x14ac:dyDescent="0.4">
      <c r="A994" t="s">
        <v>262</v>
      </c>
      <c r="B994" t="s">
        <v>1270</v>
      </c>
      <c r="C994" t="s">
        <v>1303</v>
      </c>
      <c r="D994" t="s">
        <v>21</v>
      </c>
      <c r="E994" t="s">
        <v>22</v>
      </c>
      <c r="F994" t="s">
        <v>23</v>
      </c>
      <c r="G994">
        <v>1</v>
      </c>
      <c r="H994">
        <v>9791191562248</v>
      </c>
      <c r="I994" t="s">
        <v>143</v>
      </c>
      <c r="J994" t="s">
        <v>231</v>
      </c>
      <c r="K994" t="s">
        <v>232</v>
      </c>
      <c r="L994" t="s">
        <v>27</v>
      </c>
      <c r="M994" s="3">
        <v>2000</v>
      </c>
      <c r="N994" t="s">
        <v>27</v>
      </c>
      <c r="O994" s="3">
        <v>2000</v>
      </c>
      <c r="P994" s="3">
        <v>2000</v>
      </c>
      <c r="Q994" t="s">
        <v>30</v>
      </c>
      <c r="R994" s="2">
        <v>0.7</v>
      </c>
      <c r="S994" s="3">
        <v>1400</v>
      </c>
      <c r="T994" t="s">
        <v>27</v>
      </c>
      <c r="U994" s="3">
        <v>1400</v>
      </c>
      <c r="V994" s="7" t="str">
        <f>IF(ISERROR(VLOOKUP(K994,[1]작가별정산률!$R:$S,2,0)),"스토리위즈",VLOOKUP(K994,[1]작가별정산률!$R:$S,2,0))</f>
        <v>밀리의 서재</v>
      </c>
      <c r="W994" s="7" t="str">
        <f>IF(V994="스토리위즈",VLOOKUP(K994,[1]작가별정산률!$A:$B,2,0),V994)</f>
        <v>밀리의 서재</v>
      </c>
    </row>
    <row r="995" spans="1:23" x14ac:dyDescent="0.4">
      <c r="A995" t="s">
        <v>262</v>
      </c>
      <c r="B995" t="s">
        <v>1270</v>
      </c>
      <c r="C995" t="s">
        <v>1303</v>
      </c>
      <c r="D995" t="s">
        <v>21</v>
      </c>
      <c r="E995" t="s">
        <v>22</v>
      </c>
      <c r="F995" t="s">
        <v>23</v>
      </c>
      <c r="G995">
        <v>1</v>
      </c>
      <c r="H995">
        <v>9791191562224</v>
      </c>
      <c r="I995" t="s">
        <v>143</v>
      </c>
      <c r="J995" t="s">
        <v>221</v>
      </c>
      <c r="K995" t="s">
        <v>222</v>
      </c>
      <c r="L995" t="s">
        <v>27</v>
      </c>
      <c r="M995" s="3">
        <v>2500</v>
      </c>
      <c r="N995" t="s">
        <v>27</v>
      </c>
      <c r="O995" s="3">
        <v>2500</v>
      </c>
      <c r="P995" s="3">
        <v>2500</v>
      </c>
      <c r="Q995" t="s">
        <v>30</v>
      </c>
      <c r="R995" s="2">
        <v>0.7</v>
      </c>
      <c r="S995" s="3">
        <v>1750</v>
      </c>
      <c r="T995" t="s">
        <v>27</v>
      </c>
      <c r="U995" s="3">
        <v>1750</v>
      </c>
      <c r="V995" s="7" t="str">
        <f>IF(ISERROR(VLOOKUP(K995,[1]작가별정산률!$R:$S,2,0)),"스토리위즈",VLOOKUP(K995,[1]작가별정산률!$R:$S,2,0))</f>
        <v>밀리의 서재</v>
      </c>
      <c r="W995" s="7" t="str">
        <f>IF(V995="스토리위즈",VLOOKUP(K995,[1]작가별정산률!$A:$B,2,0),V995)</f>
        <v>밀리의 서재</v>
      </c>
    </row>
    <row r="996" spans="1:23" x14ac:dyDescent="0.4">
      <c r="A996" t="s">
        <v>262</v>
      </c>
      <c r="B996" t="s">
        <v>1270</v>
      </c>
      <c r="C996" t="s">
        <v>1304</v>
      </c>
      <c r="D996" t="s">
        <v>64</v>
      </c>
      <c r="E996" t="s">
        <v>22</v>
      </c>
      <c r="F996" t="s">
        <v>23</v>
      </c>
      <c r="G996">
        <v>1</v>
      </c>
      <c r="H996">
        <v>9791166300547</v>
      </c>
      <c r="I996" t="s">
        <v>24</v>
      </c>
      <c r="J996" t="s">
        <v>153</v>
      </c>
      <c r="K996" t="s">
        <v>119</v>
      </c>
      <c r="L996" t="s">
        <v>27</v>
      </c>
      <c r="M996">
        <v>630</v>
      </c>
      <c r="N996" t="s">
        <v>27</v>
      </c>
      <c r="O996">
        <v>630</v>
      </c>
      <c r="P996">
        <v>630</v>
      </c>
      <c r="Q996" t="s">
        <v>30</v>
      </c>
      <c r="R996" s="2">
        <v>0.7</v>
      </c>
      <c r="S996">
        <v>441</v>
      </c>
      <c r="T996" t="s">
        <v>27</v>
      </c>
      <c r="U996">
        <v>441</v>
      </c>
      <c r="V996" s="7" t="str">
        <f>IF(ISERROR(VLOOKUP(K996,[1]작가별정산률!$R:$S,2,0)),"스토리위즈",VLOOKUP(K996,[1]작가별정산률!$R:$S,2,0))</f>
        <v>스토리위즈</v>
      </c>
      <c r="W996" s="7" t="str">
        <f>IF(V996="스토리위즈",VLOOKUP(K996,[1]작가별정산률!$A:$B,2,0),V996)</f>
        <v>김광수</v>
      </c>
    </row>
    <row r="997" spans="1:23" x14ac:dyDescent="0.4">
      <c r="A997" t="s">
        <v>262</v>
      </c>
      <c r="B997" t="s">
        <v>1270</v>
      </c>
      <c r="C997" t="s">
        <v>1305</v>
      </c>
      <c r="D997" t="s">
        <v>64</v>
      </c>
      <c r="E997" t="s">
        <v>22</v>
      </c>
      <c r="F997" t="s">
        <v>23</v>
      </c>
      <c r="G997">
        <v>1</v>
      </c>
      <c r="H997">
        <v>9791166300486</v>
      </c>
      <c r="I997" t="s">
        <v>24</v>
      </c>
      <c r="J997" t="s">
        <v>146</v>
      </c>
      <c r="K997" t="s">
        <v>119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2">
        <v>0.7</v>
      </c>
      <c r="S997">
        <v>441</v>
      </c>
      <c r="T997" t="s">
        <v>27</v>
      </c>
      <c r="U997">
        <v>441</v>
      </c>
      <c r="V997" s="7" t="str">
        <f>IF(ISERROR(VLOOKUP(K997,[1]작가별정산률!$R:$S,2,0)),"스토리위즈",VLOOKUP(K997,[1]작가별정산률!$R:$S,2,0))</f>
        <v>스토리위즈</v>
      </c>
      <c r="W997" s="7" t="str">
        <f>IF(V997="스토리위즈",VLOOKUP(K997,[1]작가별정산률!$A:$B,2,0),V997)</f>
        <v>김광수</v>
      </c>
    </row>
    <row r="998" spans="1:23" x14ac:dyDescent="0.4">
      <c r="A998" t="s">
        <v>262</v>
      </c>
      <c r="B998" t="s">
        <v>1270</v>
      </c>
      <c r="C998" t="s">
        <v>1306</v>
      </c>
      <c r="D998" t="s">
        <v>64</v>
      </c>
      <c r="E998" t="s">
        <v>22</v>
      </c>
      <c r="F998" t="s">
        <v>23</v>
      </c>
      <c r="G998">
        <v>1</v>
      </c>
      <c r="H998">
        <v>9791166300493</v>
      </c>
      <c r="I998" t="s">
        <v>24</v>
      </c>
      <c r="J998" t="s">
        <v>147</v>
      </c>
      <c r="K998" t="s">
        <v>119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  <c r="V998" s="7" t="str">
        <f>IF(ISERROR(VLOOKUP(K998,[1]작가별정산률!$R:$S,2,0)),"스토리위즈",VLOOKUP(K998,[1]작가별정산률!$R:$S,2,0))</f>
        <v>스토리위즈</v>
      </c>
      <c r="W998" s="7" t="str">
        <f>IF(V998="스토리위즈",VLOOKUP(K998,[1]작가별정산률!$A:$B,2,0),V998)</f>
        <v>김광수</v>
      </c>
    </row>
    <row r="999" spans="1:23" x14ac:dyDescent="0.4">
      <c r="A999" t="s">
        <v>262</v>
      </c>
      <c r="B999" t="s">
        <v>1270</v>
      </c>
      <c r="C999" t="s">
        <v>1307</v>
      </c>
      <c r="D999" t="s">
        <v>64</v>
      </c>
      <c r="E999" t="s">
        <v>22</v>
      </c>
      <c r="F999" t="s">
        <v>23</v>
      </c>
      <c r="G999">
        <v>1</v>
      </c>
      <c r="H999">
        <v>9791159283277</v>
      </c>
      <c r="I999" t="s">
        <v>24</v>
      </c>
      <c r="J999" t="s">
        <v>118</v>
      </c>
      <c r="K999" t="s">
        <v>37</v>
      </c>
      <c r="L999" t="s">
        <v>27</v>
      </c>
      <c r="M999">
        <v>630</v>
      </c>
      <c r="N999" t="s">
        <v>27</v>
      </c>
      <c r="O999">
        <v>630</v>
      </c>
      <c r="P999">
        <v>630</v>
      </c>
      <c r="Q999" t="s">
        <v>30</v>
      </c>
      <c r="R999" s="2">
        <v>0.7</v>
      </c>
      <c r="S999">
        <v>441</v>
      </c>
      <c r="T999" t="s">
        <v>27</v>
      </c>
      <c r="U999">
        <v>441</v>
      </c>
      <c r="V999" s="7" t="str">
        <f>IF(ISERROR(VLOOKUP(K999,[1]작가별정산률!$R:$S,2,0)),"스토리위즈",VLOOKUP(K999,[1]작가별정산률!$R:$S,2,0))</f>
        <v>스토리위즈</v>
      </c>
      <c r="W999" s="7" t="str">
        <f>IF(V999="스토리위즈",VLOOKUP(K999,[1]작가별정산률!$A:$B,2,0),V999)</f>
        <v>권용찬</v>
      </c>
    </row>
    <row r="1000" spans="1:23" x14ac:dyDescent="0.4">
      <c r="A1000" t="s">
        <v>262</v>
      </c>
      <c r="B1000" t="s">
        <v>1270</v>
      </c>
      <c r="C1000" t="s">
        <v>1308</v>
      </c>
      <c r="D1000" t="s">
        <v>64</v>
      </c>
      <c r="E1000" t="s">
        <v>22</v>
      </c>
      <c r="F1000" t="s">
        <v>23</v>
      </c>
      <c r="G1000">
        <v>1</v>
      </c>
      <c r="H1000">
        <v>9791166300585</v>
      </c>
      <c r="I1000" t="s">
        <v>24</v>
      </c>
      <c r="J1000" t="s">
        <v>160</v>
      </c>
      <c r="K1000" t="s">
        <v>119</v>
      </c>
      <c r="L1000" t="s">
        <v>27</v>
      </c>
      <c r="M1000">
        <v>630</v>
      </c>
      <c r="N1000" t="s">
        <v>27</v>
      </c>
      <c r="O1000">
        <v>630</v>
      </c>
      <c r="P1000">
        <v>630</v>
      </c>
      <c r="Q1000" t="s">
        <v>30</v>
      </c>
      <c r="R1000" s="2">
        <v>0.7</v>
      </c>
      <c r="S1000">
        <v>441</v>
      </c>
      <c r="T1000" t="s">
        <v>27</v>
      </c>
      <c r="U1000">
        <v>441</v>
      </c>
      <c r="V1000" s="7" t="str">
        <f>IF(ISERROR(VLOOKUP(K1000,[1]작가별정산률!$R:$S,2,0)),"스토리위즈",VLOOKUP(K1000,[1]작가별정산률!$R:$S,2,0))</f>
        <v>스토리위즈</v>
      </c>
      <c r="W1000" s="7" t="str">
        <f>IF(V1000="스토리위즈",VLOOKUP(K1000,[1]작가별정산률!$A:$B,2,0),V1000)</f>
        <v>김광수</v>
      </c>
    </row>
    <row r="1001" spans="1:23" x14ac:dyDescent="0.4">
      <c r="A1001" t="s">
        <v>262</v>
      </c>
      <c r="B1001" t="s">
        <v>1270</v>
      </c>
      <c r="C1001" t="s">
        <v>1309</v>
      </c>
      <c r="D1001" t="s">
        <v>64</v>
      </c>
      <c r="E1001" t="s">
        <v>22</v>
      </c>
      <c r="F1001" t="s">
        <v>23</v>
      </c>
      <c r="G1001">
        <v>1</v>
      </c>
      <c r="H1001">
        <v>9791166300479</v>
      </c>
      <c r="I1001" t="s">
        <v>24</v>
      </c>
      <c r="J1001" t="s">
        <v>145</v>
      </c>
      <c r="K1001" t="s">
        <v>119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2">
        <v>0.7</v>
      </c>
      <c r="S1001">
        <v>441</v>
      </c>
      <c r="T1001" t="s">
        <v>27</v>
      </c>
      <c r="U1001">
        <v>441</v>
      </c>
      <c r="V1001" s="7" t="str">
        <f>IF(ISERROR(VLOOKUP(K1001,[1]작가별정산률!$R:$S,2,0)),"스토리위즈",VLOOKUP(K1001,[1]작가별정산률!$R:$S,2,0))</f>
        <v>스토리위즈</v>
      </c>
      <c r="W1001" s="7" t="str">
        <f>IF(V1001="스토리위즈",VLOOKUP(K1001,[1]작가별정산률!$A:$B,2,0),V1001)</f>
        <v>김광수</v>
      </c>
    </row>
    <row r="1002" spans="1:23" x14ac:dyDescent="0.4">
      <c r="A1002" t="s">
        <v>262</v>
      </c>
      <c r="B1002" t="s">
        <v>1270</v>
      </c>
      <c r="C1002" t="s">
        <v>1310</v>
      </c>
      <c r="D1002" t="s">
        <v>64</v>
      </c>
      <c r="E1002" t="s">
        <v>22</v>
      </c>
      <c r="F1002" t="s">
        <v>23</v>
      </c>
      <c r="G1002">
        <v>1</v>
      </c>
      <c r="H1002">
        <v>9791166300172</v>
      </c>
      <c r="I1002" t="s">
        <v>24</v>
      </c>
      <c r="J1002" t="s">
        <v>127</v>
      </c>
      <c r="K1002" t="s">
        <v>119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2">
        <v>0.7</v>
      </c>
      <c r="S1002">
        <v>441</v>
      </c>
      <c r="T1002" t="s">
        <v>27</v>
      </c>
      <c r="U1002">
        <v>441</v>
      </c>
      <c r="V1002" s="7" t="str">
        <f>IF(ISERROR(VLOOKUP(K1002,[1]작가별정산률!$R:$S,2,0)),"스토리위즈",VLOOKUP(K1002,[1]작가별정산률!$R:$S,2,0))</f>
        <v>스토리위즈</v>
      </c>
      <c r="W1002" s="7" t="str">
        <f>IF(V1002="스토리위즈",VLOOKUP(K1002,[1]작가별정산률!$A:$B,2,0),V1002)</f>
        <v>김광수</v>
      </c>
    </row>
    <row r="1003" spans="1:23" x14ac:dyDescent="0.4">
      <c r="A1003" t="s">
        <v>262</v>
      </c>
      <c r="B1003" t="s">
        <v>1270</v>
      </c>
      <c r="C1003" t="s">
        <v>1311</v>
      </c>
      <c r="D1003" t="s">
        <v>21</v>
      </c>
      <c r="E1003" t="s">
        <v>22</v>
      </c>
      <c r="F1003" t="s">
        <v>23</v>
      </c>
      <c r="G1003">
        <v>1</v>
      </c>
      <c r="H1003">
        <v>9791166065095</v>
      </c>
      <c r="I1003" t="s">
        <v>24</v>
      </c>
      <c r="J1003" t="s">
        <v>1312</v>
      </c>
      <c r="K1003" t="s">
        <v>2553</v>
      </c>
      <c r="L1003" t="s">
        <v>27</v>
      </c>
      <c r="M1003" s="3">
        <v>3000</v>
      </c>
      <c r="N1003" t="s">
        <v>28</v>
      </c>
      <c r="O1003">
        <v>2.4700000000000002</v>
      </c>
      <c r="P1003">
        <v>2.4700000000000002</v>
      </c>
      <c r="Q1003" t="s">
        <v>29</v>
      </c>
      <c r="R1003" s="2">
        <v>0.7</v>
      </c>
      <c r="S1003">
        <v>1.73</v>
      </c>
      <c r="T1003" t="s">
        <v>27</v>
      </c>
      <c r="U1003" s="3">
        <v>2221</v>
      </c>
      <c r="V1003" s="7" t="str">
        <f>IF(ISERROR(VLOOKUP(K1003,[1]작가별정산률!$R:$S,2,0)),"스토리위즈",VLOOKUP(K1003,[1]작가별정산률!$R:$S,2,0))</f>
        <v>스토리위즈</v>
      </c>
      <c r="W1003" s="7" t="str">
        <f>IF(V1003="스토리위즈",VLOOKUP(K1003,[1]작가별정산률!$A:$B,2,0),V1003)</f>
        <v>윤비밀</v>
      </c>
    </row>
    <row r="1004" spans="1:23" x14ac:dyDescent="0.4">
      <c r="A1004" t="s">
        <v>262</v>
      </c>
      <c r="B1004" t="s">
        <v>1270</v>
      </c>
      <c r="C1004" t="s">
        <v>1313</v>
      </c>
      <c r="D1004" t="s">
        <v>21</v>
      </c>
      <c r="E1004" t="s">
        <v>22</v>
      </c>
      <c r="F1004" t="s">
        <v>23</v>
      </c>
      <c r="G1004">
        <v>1</v>
      </c>
      <c r="H1004">
        <v>9791166065101</v>
      </c>
      <c r="I1004" t="s">
        <v>24</v>
      </c>
      <c r="J1004" t="s">
        <v>1314</v>
      </c>
      <c r="K1004" t="s">
        <v>1315</v>
      </c>
      <c r="L1004" t="s">
        <v>27</v>
      </c>
      <c r="M1004" s="3">
        <v>3000</v>
      </c>
      <c r="N1004" t="s">
        <v>28</v>
      </c>
      <c r="O1004">
        <v>2.4700000000000002</v>
      </c>
      <c r="P1004">
        <v>2.4700000000000002</v>
      </c>
      <c r="Q1004" t="s">
        <v>29</v>
      </c>
      <c r="R1004" s="2">
        <v>0.7</v>
      </c>
      <c r="S1004">
        <v>1.73</v>
      </c>
      <c r="T1004" t="s">
        <v>27</v>
      </c>
      <c r="U1004" s="3">
        <v>2221</v>
      </c>
      <c r="V1004" s="7" t="str">
        <f>IF(ISERROR(VLOOKUP(K1004,[1]작가별정산률!$R:$S,2,0)),"스토리위즈",VLOOKUP(K1004,[1]작가별정산률!$R:$S,2,0))</f>
        <v>스토리위즈</v>
      </c>
      <c r="W1004" s="7" t="str">
        <f>IF(V1004="스토리위즈",VLOOKUP(K1004,[1]작가별정산률!$A:$B,2,0),V1004)</f>
        <v>윤비밀</v>
      </c>
    </row>
    <row r="1005" spans="1:23" x14ac:dyDescent="0.4">
      <c r="A1005" t="s">
        <v>262</v>
      </c>
      <c r="B1005" t="s">
        <v>1270</v>
      </c>
      <c r="C1005" t="s">
        <v>1313</v>
      </c>
      <c r="D1005" t="s">
        <v>21</v>
      </c>
      <c r="E1005" t="s">
        <v>22</v>
      </c>
      <c r="F1005" t="s">
        <v>23</v>
      </c>
      <c r="G1005">
        <v>1</v>
      </c>
      <c r="H1005">
        <v>9791166065118</v>
      </c>
      <c r="I1005" t="s">
        <v>24</v>
      </c>
      <c r="J1005" t="s">
        <v>1316</v>
      </c>
      <c r="K1005" t="s">
        <v>1315</v>
      </c>
      <c r="L1005" t="s">
        <v>27</v>
      </c>
      <c r="M1005" s="3">
        <v>3000</v>
      </c>
      <c r="N1005" t="s">
        <v>28</v>
      </c>
      <c r="O1005">
        <v>2.4700000000000002</v>
      </c>
      <c r="P1005">
        <v>2.4700000000000002</v>
      </c>
      <c r="Q1005" t="s">
        <v>29</v>
      </c>
      <c r="R1005" s="2">
        <v>0.7</v>
      </c>
      <c r="S1005">
        <v>1.73</v>
      </c>
      <c r="T1005" t="s">
        <v>27</v>
      </c>
      <c r="U1005" s="3">
        <v>2221</v>
      </c>
      <c r="V1005" s="7" t="str">
        <f>IF(ISERROR(VLOOKUP(K1005,[1]작가별정산률!$R:$S,2,0)),"스토리위즈",VLOOKUP(K1005,[1]작가별정산률!$R:$S,2,0))</f>
        <v>스토리위즈</v>
      </c>
      <c r="W1005" s="7" t="str">
        <f>IF(V1005="스토리위즈",VLOOKUP(K1005,[1]작가별정산률!$A:$B,2,0),V1005)</f>
        <v>윤비밀</v>
      </c>
    </row>
    <row r="1006" spans="1:23" x14ac:dyDescent="0.4">
      <c r="A1006" t="s">
        <v>262</v>
      </c>
      <c r="B1006" t="s">
        <v>1270</v>
      </c>
      <c r="C1006" t="s">
        <v>1317</v>
      </c>
      <c r="D1006" t="s">
        <v>21</v>
      </c>
      <c r="E1006" t="s">
        <v>22</v>
      </c>
      <c r="F1006" t="s">
        <v>23</v>
      </c>
      <c r="G1006">
        <v>1</v>
      </c>
      <c r="H1006">
        <v>9791166300110</v>
      </c>
      <c r="I1006" t="s">
        <v>24</v>
      </c>
      <c r="J1006" t="s">
        <v>121</v>
      </c>
      <c r="K1006" t="s">
        <v>119</v>
      </c>
      <c r="L1006" t="s">
        <v>27</v>
      </c>
      <c r="M1006" s="3">
        <v>3200</v>
      </c>
      <c r="N1006" t="s">
        <v>27</v>
      </c>
      <c r="O1006" s="3">
        <v>3200</v>
      </c>
      <c r="P1006" s="3">
        <v>3200</v>
      </c>
      <c r="Q1006" t="s">
        <v>30</v>
      </c>
      <c r="R1006" s="2">
        <v>0.7</v>
      </c>
      <c r="S1006" s="3">
        <v>2240</v>
      </c>
      <c r="T1006" t="s">
        <v>27</v>
      </c>
      <c r="U1006" s="3">
        <v>2240</v>
      </c>
      <c r="V1006" s="7" t="str">
        <f>IF(ISERROR(VLOOKUP(K1006,[1]작가별정산률!$R:$S,2,0)),"스토리위즈",VLOOKUP(K1006,[1]작가별정산률!$R:$S,2,0))</f>
        <v>스토리위즈</v>
      </c>
      <c r="W1006" s="7" t="str">
        <f>IF(V1006="스토리위즈",VLOOKUP(K1006,[1]작가별정산률!$A:$B,2,0),V1006)</f>
        <v>김광수</v>
      </c>
    </row>
    <row r="1007" spans="1:23" x14ac:dyDescent="0.4">
      <c r="A1007" t="s">
        <v>262</v>
      </c>
      <c r="B1007" t="s">
        <v>1270</v>
      </c>
      <c r="C1007" t="s">
        <v>1318</v>
      </c>
      <c r="D1007" t="s">
        <v>64</v>
      </c>
      <c r="E1007" t="s">
        <v>22</v>
      </c>
      <c r="F1007" t="s">
        <v>23</v>
      </c>
      <c r="G1007">
        <v>1</v>
      </c>
      <c r="H1007">
        <v>9791166061080</v>
      </c>
      <c r="I1007" t="s">
        <v>24</v>
      </c>
      <c r="J1007" t="s">
        <v>74</v>
      </c>
      <c r="K1007" t="s">
        <v>37</v>
      </c>
      <c r="L1007" t="s">
        <v>27</v>
      </c>
      <c r="M1007">
        <v>900</v>
      </c>
      <c r="N1007" t="s">
        <v>27</v>
      </c>
      <c r="O1007">
        <v>900</v>
      </c>
      <c r="P1007">
        <v>900</v>
      </c>
      <c r="Q1007" t="s">
        <v>30</v>
      </c>
      <c r="R1007" s="2">
        <v>0.7</v>
      </c>
      <c r="S1007">
        <v>630</v>
      </c>
      <c r="T1007" t="s">
        <v>27</v>
      </c>
      <c r="U1007">
        <v>630</v>
      </c>
      <c r="V1007" s="7" t="str">
        <f>IF(ISERROR(VLOOKUP(K1007,[1]작가별정산률!$R:$S,2,0)),"스토리위즈",VLOOKUP(K1007,[1]작가별정산률!$R:$S,2,0))</f>
        <v>스토리위즈</v>
      </c>
      <c r="W1007" s="7" t="str">
        <f>IF(V1007="스토리위즈",VLOOKUP(K1007,[1]작가별정산률!$A:$B,2,0),V1007)</f>
        <v>권용찬</v>
      </c>
    </row>
    <row r="1008" spans="1:23" x14ac:dyDescent="0.4">
      <c r="A1008" t="s">
        <v>262</v>
      </c>
      <c r="B1008" t="s">
        <v>1270</v>
      </c>
      <c r="C1008" t="s">
        <v>1319</v>
      </c>
      <c r="D1008" t="s">
        <v>64</v>
      </c>
      <c r="E1008" t="s">
        <v>22</v>
      </c>
      <c r="F1008" t="s">
        <v>23</v>
      </c>
      <c r="G1008">
        <v>1</v>
      </c>
      <c r="H1008">
        <v>9791166300615</v>
      </c>
      <c r="I1008" t="s">
        <v>24</v>
      </c>
      <c r="J1008" t="s">
        <v>163</v>
      </c>
      <c r="K1008" t="s">
        <v>119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  <c r="V1008" s="7" t="str">
        <f>IF(ISERROR(VLOOKUP(K1008,[1]작가별정산률!$R:$S,2,0)),"스토리위즈",VLOOKUP(K1008,[1]작가별정산률!$R:$S,2,0))</f>
        <v>스토리위즈</v>
      </c>
      <c r="W1008" s="7" t="str">
        <f>IF(V1008="스토리위즈",VLOOKUP(K1008,[1]작가별정산률!$A:$B,2,0),V1008)</f>
        <v>김광수</v>
      </c>
    </row>
    <row r="1009" spans="1:23" x14ac:dyDescent="0.4">
      <c r="A1009" t="s">
        <v>262</v>
      </c>
      <c r="B1009" t="s">
        <v>1270</v>
      </c>
      <c r="C1009" t="s">
        <v>1320</v>
      </c>
      <c r="D1009" t="s">
        <v>64</v>
      </c>
      <c r="E1009" t="s">
        <v>22</v>
      </c>
      <c r="F1009" t="s">
        <v>23</v>
      </c>
      <c r="G1009">
        <v>1</v>
      </c>
      <c r="H1009">
        <v>9791166064418</v>
      </c>
      <c r="I1009" t="s">
        <v>24</v>
      </c>
      <c r="J1009" t="s">
        <v>112</v>
      </c>
      <c r="K1009" t="s">
        <v>102</v>
      </c>
      <c r="L1009" t="s">
        <v>27</v>
      </c>
      <c r="M1009">
        <v>720</v>
      </c>
      <c r="N1009" t="s">
        <v>27</v>
      </c>
      <c r="O1009">
        <v>720</v>
      </c>
      <c r="P1009">
        <v>720</v>
      </c>
      <c r="Q1009" t="s">
        <v>30</v>
      </c>
      <c r="R1009" s="2">
        <v>0.7</v>
      </c>
      <c r="S1009">
        <v>504</v>
      </c>
      <c r="T1009" t="s">
        <v>27</v>
      </c>
      <c r="U1009">
        <v>504</v>
      </c>
      <c r="V1009" s="7" t="str">
        <f>IF(ISERROR(VLOOKUP(K1009,[1]작가별정산률!$R:$S,2,0)),"스토리위즈",VLOOKUP(K1009,[1]작가별정산률!$R:$S,2,0))</f>
        <v>스토리위즈</v>
      </c>
      <c r="W1009" s="7" t="str">
        <f>IF(V1009="스토리위즈",VLOOKUP(K1009,[1]작가별정산률!$A:$B,2,0),V1009)</f>
        <v>예로나</v>
      </c>
    </row>
    <row r="1010" spans="1:23" x14ac:dyDescent="0.4">
      <c r="A1010" t="s">
        <v>262</v>
      </c>
      <c r="B1010" t="s">
        <v>1270</v>
      </c>
      <c r="C1010" t="s">
        <v>1321</v>
      </c>
      <c r="D1010" t="s">
        <v>64</v>
      </c>
      <c r="E1010" t="s">
        <v>22</v>
      </c>
      <c r="F1010" t="s">
        <v>23</v>
      </c>
      <c r="G1010">
        <v>1</v>
      </c>
      <c r="H1010">
        <v>9791166300578</v>
      </c>
      <c r="I1010" t="s">
        <v>24</v>
      </c>
      <c r="J1010" t="s">
        <v>159</v>
      </c>
      <c r="K1010" t="s">
        <v>119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  <c r="V1010" s="7" t="str">
        <f>IF(ISERROR(VLOOKUP(K1010,[1]작가별정산률!$R:$S,2,0)),"스토리위즈",VLOOKUP(K1010,[1]작가별정산률!$R:$S,2,0))</f>
        <v>스토리위즈</v>
      </c>
      <c r="W1010" s="7" t="str">
        <f>IF(V1010="스토리위즈",VLOOKUP(K1010,[1]작가별정산률!$A:$B,2,0),V1010)</f>
        <v>김광수</v>
      </c>
    </row>
    <row r="1011" spans="1:23" x14ac:dyDescent="0.4">
      <c r="A1011" t="s">
        <v>262</v>
      </c>
      <c r="B1011" t="s">
        <v>1270</v>
      </c>
      <c r="C1011" t="s">
        <v>1322</v>
      </c>
      <c r="D1011" t="s">
        <v>64</v>
      </c>
      <c r="E1011" t="s">
        <v>22</v>
      </c>
      <c r="F1011" t="s">
        <v>23</v>
      </c>
      <c r="G1011">
        <v>1</v>
      </c>
      <c r="H1011">
        <v>9791166300103</v>
      </c>
      <c r="I1011" t="s">
        <v>24</v>
      </c>
      <c r="J1011" t="s">
        <v>120</v>
      </c>
      <c r="K1011" t="s">
        <v>119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  <c r="V1011" s="7" t="str">
        <f>IF(ISERROR(VLOOKUP(K1011,[1]작가별정산률!$R:$S,2,0)),"스토리위즈",VLOOKUP(K1011,[1]작가별정산률!$R:$S,2,0))</f>
        <v>스토리위즈</v>
      </c>
      <c r="W1011" s="7" t="str">
        <f>IF(V1011="스토리위즈",VLOOKUP(K1011,[1]작가별정산률!$A:$B,2,0),V1011)</f>
        <v>김광수</v>
      </c>
    </row>
    <row r="1012" spans="1:23" x14ac:dyDescent="0.4">
      <c r="A1012" t="s">
        <v>262</v>
      </c>
      <c r="B1012" t="s">
        <v>1270</v>
      </c>
      <c r="C1012" t="s">
        <v>1323</v>
      </c>
      <c r="D1012" t="s">
        <v>21</v>
      </c>
      <c r="E1012" t="s">
        <v>22</v>
      </c>
      <c r="F1012" t="s">
        <v>23</v>
      </c>
      <c r="G1012">
        <v>1</v>
      </c>
      <c r="H1012">
        <v>9791189084813</v>
      </c>
      <c r="I1012" t="s">
        <v>143</v>
      </c>
      <c r="J1012" t="s">
        <v>563</v>
      </c>
      <c r="K1012" t="s">
        <v>564</v>
      </c>
      <c r="L1012" t="s">
        <v>27</v>
      </c>
      <c r="M1012" s="3">
        <v>4000</v>
      </c>
      <c r="N1012" t="s">
        <v>27</v>
      </c>
      <c r="O1012" s="3">
        <v>4000</v>
      </c>
      <c r="P1012" s="3">
        <v>4000</v>
      </c>
      <c r="Q1012" t="s">
        <v>30</v>
      </c>
      <c r="R1012" s="2">
        <v>0.7</v>
      </c>
      <c r="S1012" s="3">
        <v>2800</v>
      </c>
      <c r="T1012" t="s">
        <v>27</v>
      </c>
      <c r="U1012" s="3">
        <v>2800</v>
      </c>
      <c r="V1012" s="7" t="str">
        <f>IF(ISERROR(VLOOKUP(K1012,[1]작가별정산률!$R:$S,2,0)),"스토리위즈",VLOOKUP(K1012,[1]작가별정산률!$R:$S,2,0))</f>
        <v>스토리위즈</v>
      </c>
      <c r="W1012" s="7" t="str">
        <f>IF(V1012="스토리위즈",VLOOKUP(K1012,[1]작가별정산률!$A:$B,2,0),V1012)</f>
        <v>셔틀</v>
      </c>
    </row>
    <row r="1013" spans="1:23" x14ac:dyDescent="0.4">
      <c r="A1013" t="s">
        <v>262</v>
      </c>
      <c r="B1013" t="s">
        <v>1270</v>
      </c>
      <c r="C1013" t="s">
        <v>1324</v>
      </c>
      <c r="D1013" t="s">
        <v>64</v>
      </c>
      <c r="E1013" t="s">
        <v>22</v>
      </c>
      <c r="F1013" t="s">
        <v>23</v>
      </c>
      <c r="G1013">
        <v>1</v>
      </c>
      <c r="H1013">
        <v>9791159282232</v>
      </c>
      <c r="I1013" t="s">
        <v>24</v>
      </c>
      <c r="J1013" t="s">
        <v>109</v>
      </c>
      <c r="K1013" t="s">
        <v>37</v>
      </c>
      <c r="L1013" t="s">
        <v>27</v>
      </c>
      <c r="M1013">
        <v>900</v>
      </c>
      <c r="N1013" t="s">
        <v>27</v>
      </c>
      <c r="O1013">
        <v>900</v>
      </c>
      <c r="P1013">
        <v>900</v>
      </c>
      <c r="Q1013" t="s">
        <v>30</v>
      </c>
      <c r="R1013" s="2">
        <v>0.7</v>
      </c>
      <c r="S1013">
        <v>630</v>
      </c>
      <c r="T1013" t="s">
        <v>27</v>
      </c>
      <c r="U1013">
        <v>630</v>
      </c>
      <c r="V1013" s="7" t="str">
        <f>IF(ISERROR(VLOOKUP(K1013,[1]작가별정산률!$R:$S,2,0)),"스토리위즈",VLOOKUP(K1013,[1]작가별정산률!$R:$S,2,0))</f>
        <v>스토리위즈</v>
      </c>
      <c r="W1013" s="7" t="str">
        <f>IF(V1013="스토리위즈",VLOOKUP(K1013,[1]작가별정산률!$A:$B,2,0),V1013)</f>
        <v>권용찬</v>
      </c>
    </row>
    <row r="1014" spans="1:23" x14ac:dyDescent="0.4">
      <c r="A1014" t="s">
        <v>262</v>
      </c>
      <c r="B1014" t="s">
        <v>1270</v>
      </c>
      <c r="C1014" t="s">
        <v>1325</v>
      </c>
      <c r="D1014" t="s">
        <v>21</v>
      </c>
      <c r="E1014" t="s">
        <v>22</v>
      </c>
      <c r="F1014" t="s">
        <v>23</v>
      </c>
      <c r="G1014">
        <v>1</v>
      </c>
      <c r="H1014">
        <v>9791166300226</v>
      </c>
      <c r="I1014" t="s">
        <v>24</v>
      </c>
      <c r="J1014" t="s">
        <v>131</v>
      </c>
      <c r="K1014" t="s">
        <v>119</v>
      </c>
      <c r="L1014" t="s">
        <v>27</v>
      </c>
      <c r="M1014" s="3">
        <v>3200</v>
      </c>
      <c r="N1014" t="s">
        <v>27</v>
      </c>
      <c r="O1014" s="3">
        <v>3200</v>
      </c>
      <c r="P1014" s="3">
        <v>3200</v>
      </c>
      <c r="Q1014" t="s">
        <v>30</v>
      </c>
      <c r="R1014" s="2">
        <v>0.7</v>
      </c>
      <c r="S1014" s="3">
        <v>2240</v>
      </c>
      <c r="T1014" t="s">
        <v>27</v>
      </c>
      <c r="U1014" s="3">
        <v>2240</v>
      </c>
      <c r="V1014" s="7" t="str">
        <f>IF(ISERROR(VLOOKUP(K1014,[1]작가별정산률!$R:$S,2,0)),"스토리위즈",VLOOKUP(K1014,[1]작가별정산률!$R:$S,2,0))</f>
        <v>스토리위즈</v>
      </c>
      <c r="W1014" s="7" t="str">
        <f>IF(V1014="스토리위즈",VLOOKUP(K1014,[1]작가별정산률!$A:$B,2,0),V1014)</f>
        <v>김광수</v>
      </c>
    </row>
    <row r="1015" spans="1:23" x14ac:dyDescent="0.4">
      <c r="A1015" t="s">
        <v>262</v>
      </c>
      <c r="B1015" t="s">
        <v>1270</v>
      </c>
      <c r="C1015" t="s">
        <v>1326</v>
      </c>
      <c r="D1015" t="s">
        <v>21</v>
      </c>
      <c r="E1015" t="s">
        <v>22</v>
      </c>
      <c r="F1015" t="s">
        <v>23</v>
      </c>
      <c r="G1015">
        <v>1</v>
      </c>
      <c r="H1015">
        <v>9791191562347</v>
      </c>
      <c r="I1015" t="s">
        <v>143</v>
      </c>
      <c r="J1015" t="s">
        <v>307</v>
      </c>
      <c r="K1015" t="s">
        <v>308</v>
      </c>
      <c r="L1015" t="s">
        <v>27</v>
      </c>
      <c r="M1015" s="3">
        <v>3200</v>
      </c>
      <c r="N1015" t="s">
        <v>27</v>
      </c>
      <c r="O1015" s="3">
        <v>3200</v>
      </c>
      <c r="P1015" s="3">
        <v>3200</v>
      </c>
      <c r="Q1015" t="s">
        <v>30</v>
      </c>
      <c r="R1015" s="2">
        <v>0.7</v>
      </c>
      <c r="S1015" s="3">
        <v>2240</v>
      </c>
      <c r="T1015" t="s">
        <v>27</v>
      </c>
      <c r="U1015" s="3">
        <v>2240</v>
      </c>
      <c r="V1015" s="7" t="str">
        <f>IF(ISERROR(VLOOKUP(K1015,[1]작가별정산률!$R:$S,2,0)),"스토리위즈",VLOOKUP(K1015,[1]작가별정산률!$R:$S,2,0))</f>
        <v>밀리의 서재</v>
      </c>
      <c r="W1015" s="7" t="str">
        <f>IF(V1015="스토리위즈",VLOOKUP(K1015,[1]작가별정산률!$A:$B,2,0),V1015)</f>
        <v>밀리의 서재</v>
      </c>
    </row>
    <row r="1016" spans="1:23" x14ac:dyDescent="0.4">
      <c r="A1016" t="s">
        <v>262</v>
      </c>
      <c r="B1016" t="s">
        <v>1270</v>
      </c>
      <c r="C1016" t="s">
        <v>1327</v>
      </c>
      <c r="D1016" t="s">
        <v>64</v>
      </c>
      <c r="E1016" t="s">
        <v>22</v>
      </c>
      <c r="F1016" t="s">
        <v>23</v>
      </c>
      <c r="G1016">
        <v>1</v>
      </c>
      <c r="H1016">
        <v>9791166300554</v>
      </c>
      <c r="I1016" t="s">
        <v>24</v>
      </c>
      <c r="J1016" t="s">
        <v>154</v>
      </c>
      <c r="K1016" t="s">
        <v>119</v>
      </c>
      <c r="L1016" t="s">
        <v>27</v>
      </c>
      <c r="M1016">
        <v>630</v>
      </c>
      <c r="N1016" t="s">
        <v>27</v>
      </c>
      <c r="O1016">
        <v>630</v>
      </c>
      <c r="P1016">
        <v>630</v>
      </c>
      <c r="Q1016" t="s">
        <v>30</v>
      </c>
      <c r="R1016" s="2">
        <v>0.7</v>
      </c>
      <c r="S1016">
        <v>441</v>
      </c>
      <c r="T1016" t="s">
        <v>27</v>
      </c>
      <c r="U1016">
        <v>441</v>
      </c>
      <c r="V1016" s="7" t="str">
        <f>IF(ISERROR(VLOOKUP(K1016,[1]작가별정산률!$R:$S,2,0)),"스토리위즈",VLOOKUP(K1016,[1]작가별정산률!$R:$S,2,0))</f>
        <v>스토리위즈</v>
      </c>
      <c r="W1016" s="7" t="str">
        <f>IF(V1016="스토리위즈",VLOOKUP(K1016,[1]작가별정산률!$A:$B,2,0),V1016)</f>
        <v>김광수</v>
      </c>
    </row>
    <row r="1017" spans="1:23" x14ac:dyDescent="0.4">
      <c r="A1017" t="s">
        <v>262</v>
      </c>
      <c r="B1017" t="s">
        <v>1270</v>
      </c>
      <c r="C1017" t="s">
        <v>1328</v>
      </c>
      <c r="D1017" t="s">
        <v>64</v>
      </c>
      <c r="E1017" t="s">
        <v>22</v>
      </c>
      <c r="F1017" t="s">
        <v>23</v>
      </c>
      <c r="G1017">
        <v>1</v>
      </c>
      <c r="H1017">
        <v>9791166300509</v>
      </c>
      <c r="I1017" t="s">
        <v>24</v>
      </c>
      <c r="J1017" t="s">
        <v>148</v>
      </c>
      <c r="K1017" t="s">
        <v>119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2">
        <v>0.7</v>
      </c>
      <c r="S1017">
        <v>441</v>
      </c>
      <c r="T1017" t="s">
        <v>27</v>
      </c>
      <c r="U1017">
        <v>441</v>
      </c>
      <c r="V1017" s="7" t="str">
        <f>IF(ISERROR(VLOOKUP(K1017,[1]작가별정산률!$R:$S,2,0)),"스토리위즈",VLOOKUP(K1017,[1]작가별정산률!$R:$S,2,0))</f>
        <v>스토리위즈</v>
      </c>
      <c r="W1017" s="7" t="str">
        <f>IF(V1017="스토리위즈",VLOOKUP(K1017,[1]작가별정산률!$A:$B,2,0),V1017)</f>
        <v>김광수</v>
      </c>
    </row>
    <row r="1018" spans="1:23" x14ac:dyDescent="0.4">
      <c r="A1018" t="s">
        <v>262</v>
      </c>
      <c r="B1018" t="s">
        <v>1270</v>
      </c>
      <c r="C1018" t="s">
        <v>1329</v>
      </c>
      <c r="D1018" t="s">
        <v>64</v>
      </c>
      <c r="E1018" t="s">
        <v>22</v>
      </c>
      <c r="F1018" t="s">
        <v>23</v>
      </c>
      <c r="G1018">
        <v>1</v>
      </c>
      <c r="H1018">
        <v>9791166300226</v>
      </c>
      <c r="I1018" t="s">
        <v>24</v>
      </c>
      <c r="J1018" t="s">
        <v>131</v>
      </c>
      <c r="K1018" t="s">
        <v>119</v>
      </c>
      <c r="L1018" t="s">
        <v>27</v>
      </c>
      <c r="M1018">
        <v>630</v>
      </c>
      <c r="N1018" t="s">
        <v>27</v>
      </c>
      <c r="O1018">
        <v>630</v>
      </c>
      <c r="P1018">
        <v>630</v>
      </c>
      <c r="Q1018" t="s">
        <v>30</v>
      </c>
      <c r="R1018" s="2">
        <v>0.7</v>
      </c>
      <c r="S1018">
        <v>441</v>
      </c>
      <c r="T1018" t="s">
        <v>27</v>
      </c>
      <c r="U1018">
        <v>441</v>
      </c>
      <c r="V1018" s="7" t="str">
        <f>IF(ISERROR(VLOOKUP(K1018,[1]작가별정산률!$R:$S,2,0)),"스토리위즈",VLOOKUP(K1018,[1]작가별정산률!$R:$S,2,0))</f>
        <v>스토리위즈</v>
      </c>
      <c r="W1018" s="7" t="str">
        <f>IF(V1018="스토리위즈",VLOOKUP(K1018,[1]작가별정산률!$A:$B,2,0),V1018)</f>
        <v>김광수</v>
      </c>
    </row>
    <row r="1019" spans="1:23" x14ac:dyDescent="0.4">
      <c r="A1019" t="s">
        <v>262</v>
      </c>
      <c r="B1019" t="s">
        <v>1270</v>
      </c>
      <c r="C1019" t="s">
        <v>1330</v>
      </c>
      <c r="D1019" t="s">
        <v>64</v>
      </c>
      <c r="E1019" t="s">
        <v>22</v>
      </c>
      <c r="F1019" t="s">
        <v>23</v>
      </c>
      <c r="G1019">
        <v>1</v>
      </c>
      <c r="H1019">
        <v>9791166300622</v>
      </c>
      <c r="I1019" t="s">
        <v>24</v>
      </c>
      <c r="J1019" t="s">
        <v>164</v>
      </c>
      <c r="K1019" t="s">
        <v>119</v>
      </c>
      <c r="L1019" t="s">
        <v>27</v>
      </c>
      <c r="M1019">
        <v>630</v>
      </c>
      <c r="N1019" t="s">
        <v>27</v>
      </c>
      <c r="O1019">
        <v>630</v>
      </c>
      <c r="P1019">
        <v>630</v>
      </c>
      <c r="Q1019" t="s">
        <v>30</v>
      </c>
      <c r="R1019" s="2">
        <v>0.7</v>
      </c>
      <c r="S1019">
        <v>441</v>
      </c>
      <c r="T1019" t="s">
        <v>27</v>
      </c>
      <c r="U1019">
        <v>441</v>
      </c>
      <c r="V1019" s="7" t="str">
        <f>IF(ISERROR(VLOOKUP(K1019,[1]작가별정산률!$R:$S,2,0)),"스토리위즈",VLOOKUP(K1019,[1]작가별정산률!$R:$S,2,0))</f>
        <v>스토리위즈</v>
      </c>
      <c r="W1019" s="7" t="str">
        <f>IF(V1019="스토리위즈",VLOOKUP(K1019,[1]작가별정산률!$A:$B,2,0),V1019)</f>
        <v>김광수</v>
      </c>
    </row>
    <row r="1020" spans="1:23" x14ac:dyDescent="0.4">
      <c r="A1020" t="s">
        <v>262</v>
      </c>
      <c r="B1020" t="s">
        <v>1270</v>
      </c>
      <c r="C1020" t="s">
        <v>1331</v>
      </c>
      <c r="D1020" t="s">
        <v>21</v>
      </c>
      <c r="E1020" t="s">
        <v>22</v>
      </c>
      <c r="F1020" t="s">
        <v>23</v>
      </c>
      <c r="G1020">
        <v>1</v>
      </c>
      <c r="H1020">
        <v>9791189084813</v>
      </c>
      <c r="I1020" t="s">
        <v>143</v>
      </c>
      <c r="J1020" t="s">
        <v>563</v>
      </c>
      <c r="K1020" t="s">
        <v>564</v>
      </c>
      <c r="L1020" t="s">
        <v>27</v>
      </c>
      <c r="M1020" s="3">
        <v>4000</v>
      </c>
      <c r="N1020" t="s">
        <v>191</v>
      </c>
      <c r="O1020">
        <v>4.8099999999999996</v>
      </c>
      <c r="P1020">
        <v>4.37</v>
      </c>
      <c r="Q1020" t="s">
        <v>190</v>
      </c>
      <c r="R1020" s="2">
        <v>0.7</v>
      </c>
      <c r="S1020">
        <v>3.06</v>
      </c>
      <c r="T1020" t="s">
        <v>27</v>
      </c>
      <c r="U1020" s="3">
        <v>2726</v>
      </c>
      <c r="V1020" s="7" t="str">
        <f>IF(ISERROR(VLOOKUP(K1020,[1]작가별정산률!$R:$S,2,0)),"스토리위즈",VLOOKUP(K1020,[1]작가별정산률!$R:$S,2,0))</f>
        <v>스토리위즈</v>
      </c>
      <c r="W1020" s="7" t="str">
        <f>IF(V1020="스토리위즈",VLOOKUP(K1020,[1]작가별정산률!$A:$B,2,0),V1020)</f>
        <v>셔틀</v>
      </c>
    </row>
    <row r="1021" spans="1:23" x14ac:dyDescent="0.4">
      <c r="A1021" t="s">
        <v>262</v>
      </c>
      <c r="B1021" t="s">
        <v>1270</v>
      </c>
      <c r="C1021" t="s">
        <v>1332</v>
      </c>
      <c r="D1021" t="s">
        <v>64</v>
      </c>
      <c r="E1021" t="s">
        <v>22</v>
      </c>
      <c r="F1021" t="s">
        <v>23</v>
      </c>
      <c r="G1021">
        <v>1</v>
      </c>
      <c r="H1021">
        <v>9791166300127</v>
      </c>
      <c r="I1021" t="s">
        <v>24</v>
      </c>
      <c r="J1021" t="s">
        <v>122</v>
      </c>
      <c r="K1021" t="s">
        <v>119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2">
        <v>0.7</v>
      </c>
      <c r="S1021">
        <v>441</v>
      </c>
      <c r="T1021" t="s">
        <v>27</v>
      </c>
      <c r="U1021">
        <v>441</v>
      </c>
      <c r="V1021" s="7" t="str">
        <f>IF(ISERROR(VLOOKUP(K1021,[1]작가별정산률!$R:$S,2,0)),"스토리위즈",VLOOKUP(K1021,[1]작가별정산률!$R:$S,2,0))</f>
        <v>스토리위즈</v>
      </c>
      <c r="W1021" s="7" t="str">
        <f>IF(V1021="스토리위즈",VLOOKUP(K1021,[1]작가별정산률!$A:$B,2,0),V1021)</f>
        <v>김광수</v>
      </c>
    </row>
    <row r="1022" spans="1:23" x14ac:dyDescent="0.4">
      <c r="A1022" t="s">
        <v>262</v>
      </c>
      <c r="B1022" t="s">
        <v>1270</v>
      </c>
      <c r="C1022" t="s">
        <v>1333</v>
      </c>
      <c r="D1022" t="s">
        <v>64</v>
      </c>
      <c r="E1022" t="s">
        <v>22</v>
      </c>
      <c r="F1022" t="s">
        <v>23</v>
      </c>
      <c r="G1022">
        <v>1</v>
      </c>
      <c r="H1022">
        <v>9791166300486</v>
      </c>
      <c r="I1022" t="s">
        <v>24</v>
      </c>
      <c r="J1022" t="s">
        <v>146</v>
      </c>
      <c r="K1022" t="s">
        <v>119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  <c r="V1022" s="7" t="str">
        <f>IF(ISERROR(VLOOKUP(K1022,[1]작가별정산률!$R:$S,2,0)),"스토리위즈",VLOOKUP(K1022,[1]작가별정산률!$R:$S,2,0))</f>
        <v>스토리위즈</v>
      </c>
      <c r="W1022" s="7" t="str">
        <f>IF(V1022="스토리위즈",VLOOKUP(K1022,[1]작가별정산률!$A:$B,2,0),V1022)</f>
        <v>김광수</v>
      </c>
    </row>
    <row r="1023" spans="1:23" x14ac:dyDescent="0.4">
      <c r="A1023" t="s">
        <v>262</v>
      </c>
      <c r="B1023" t="s">
        <v>1270</v>
      </c>
      <c r="C1023" t="s">
        <v>1334</v>
      </c>
      <c r="D1023" t="s">
        <v>21</v>
      </c>
      <c r="E1023" t="s">
        <v>22</v>
      </c>
      <c r="F1023" t="s">
        <v>23</v>
      </c>
      <c r="G1023">
        <v>1</v>
      </c>
      <c r="H1023">
        <v>9791166300493</v>
      </c>
      <c r="I1023" t="s">
        <v>24</v>
      </c>
      <c r="J1023" t="s">
        <v>147</v>
      </c>
      <c r="K1023" t="s">
        <v>119</v>
      </c>
      <c r="L1023" t="s">
        <v>27</v>
      </c>
      <c r="M1023" s="3">
        <v>3200</v>
      </c>
      <c r="N1023" t="s">
        <v>27</v>
      </c>
      <c r="O1023" s="3">
        <v>3200</v>
      </c>
      <c r="P1023" s="3">
        <v>3200</v>
      </c>
      <c r="Q1023" t="s">
        <v>30</v>
      </c>
      <c r="R1023" s="2">
        <v>0.7</v>
      </c>
      <c r="S1023" s="3">
        <v>2240</v>
      </c>
      <c r="T1023" t="s">
        <v>27</v>
      </c>
      <c r="U1023" s="3">
        <v>2240</v>
      </c>
      <c r="V1023" s="7" t="str">
        <f>IF(ISERROR(VLOOKUP(K1023,[1]작가별정산률!$R:$S,2,0)),"스토리위즈",VLOOKUP(K1023,[1]작가별정산률!$R:$S,2,0))</f>
        <v>스토리위즈</v>
      </c>
      <c r="W1023" s="7" t="str">
        <f>IF(V1023="스토리위즈",VLOOKUP(K1023,[1]작가별정산률!$A:$B,2,0),V1023)</f>
        <v>김광수</v>
      </c>
    </row>
    <row r="1024" spans="1:23" x14ac:dyDescent="0.4">
      <c r="A1024" t="s">
        <v>262</v>
      </c>
      <c r="B1024" t="s">
        <v>1270</v>
      </c>
      <c r="C1024" t="s">
        <v>1335</v>
      </c>
      <c r="D1024" t="s">
        <v>64</v>
      </c>
      <c r="E1024" t="s">
        <v>22</v>
      </c>
      <c r="F1024" t="s">
        <v>23</v>
      </c>
      <c r="G1024">
        <v>1</v>
      </c>
      <c r="H1024">
        <v>9791166300172</v>
      </c>
      <c r="I1024" t="s">
        <v>24</v>
      </c>
      <c r="J1024" t="s">
        <v>127</v>
      </c>
      <c r="K1024" t="s">
        <v>119</v>
      </c>
      <c r="L1024" t="s">
        <v>27</v>
      </c>
      <c r="M1024">
        <v>630</v>
      </c>
      <c r="N1024" t="s">
        <v>27</v>
      </c>
      <c r="O1024">
        <v>630</v>
      </c>
      <c r="P1024">
        <v>630</v>
      </c>
      <c r="Q1024" t="s">
        <v>30</v>
      </c>
      <c r="R1024" s="2">
        <v>0.7</v>
      </c>
      <c r="S1024">
        <v>441</v>
      </c>
      <c r="T1024" t="s">
        <v>27</v>
      </c>
      <c r="U1024">
        <v>441</v>
      </c>
      <c r="V1024" s="7" t="str">
        <f>IF(ISERROR(VLOOKUP(K1024,[1]작가별정산률!$R:$S,2,0)),"스토리위즈",VLOOKUP(K1024,[1]작가별정산률!$R:$S,2,0))</f>
        <v>스토리위즈</v>
      </c>
      <c r="W1024" s="7" t="str">
        <f>IF(V1024="스토리위즈",VLOOKUP(K1024,[1]작가별정산률!$A:$B,2,0),V1024)</f>
        <v>김광수</v>
      </c>
    </row>
    <row r="1025" spans="1:23" x14ac:dyDescent="0.4">
      <c r="A1025" t="s">
        <v>262</v>
      </c>
      <c r="B1025" t="s">
        <v>1270</v>
      </c>
      <c r="C1025" t="s">
        <v>1336</v>
      </c>
      <c r="D1025" t="s">
        <v>64</v>
      </c>
      <c r="E1025" t="s">
        <v>22</v>
      </c>
      <c r="F1025" t="s">
        <v>23</v>
      </c>
      <c r="G1025">
        <v>1</v>
      </c>
      <c r="H1025">
        <v>9791166064050</v>
      </c>
      <c r="I1025" t="s">
        <v>24</v>
      </c>
      <c r="J1025" t="s">
        <v>79</v>
      </c>
      <c r="K1025" t="s">
        <v>37</v>
      </c>
      <c r="L1025" t="s">
        <v>27</v>
      </c>
      <c r="M1025">
        <v>900</v>
      </c>
      <c r="N1025" t="s">
        <v>27</v>
      </c>
      <c r="O1025">
        <v>900</v>
      </c>
      <c r="P1025">
        <v>900</v>
      </c>
      <c r="Q1025" t="s">
        <v>30</v>
      </c>
      <c r="R1025" s="2">
        <v>0.7</v>
      </c>
      <c r="S1025">
        <v>630</v>
      </c>
      <c r="T1025" t="s">
        <v>27</v>
      </c>
      <c r="U1025">
        <v>630</v>
      </c>
      <c r="V1025" s="7" t="str">
        <f>IF(ISERROR(VLOOKUP(K1025,[1]작가별정산률!$R:$S,2,0)),"스토리위즈",VLOOKUP(K1025,[1]작가별정산률!$R:$S,2,0))</f>
        <v>스토리위즈</v>
      </c>
      <c r="W1025" s="7" t="str">
        <f>IF(V1025="스토리위즈",VLOOKUP(K1025,[1]작가별정산률!$A:$B,2,0),V1025)</f>
        <v>권용찬</v>
      </c>
    </row>
    <row r="1026" spans="1:23" x14ac:dyDescent="0.4">
      <c r="A1026" t="s">
        <v>262</v>
      </c>
      <c r="B1026" t="s">
        <v>1270</v>
      </c>
      <c r="C1026" t="s">
        <v>1337</v>
      </c>
      <c r="D1026" t="s">
        <v>64</v>
      </c>
      <c r="E1026" t="s">
        <v>22</v>
      </c>
      <c r="F1026" t="s">
        <v>23</v>
      </c>
      <c r="G1026">
        <v>1</v>
      </c>
      <c r="H1026">
        <v>9791166300172</v>
      </c>
      <c r="I1026" t="s">
        <v>24</v>
      </c>
      <c r="J1026" t="s">
        <v>127</v>
      </c>
      <c r="K1026" t="s">
        <v>119</v>
      </c>
      <c r="L1026" t="s">
        <v>27</v>
      </c>
      <c r="M1026">
        <v>630</v>
      </c>
      <c r="N1026" t="s">
        <v>27</v>
      </c>
      <c r="O1026">
        <v>630</v>
      </c>
      <c r="P1026">
        <v>630</v>
      </c>
      <c r="Q1026" t="s">
        <v>30</v>
      </c>
      <c r="R1026" s="2">
        <v>0.7</v>
      </c>
      <c r="S1026">
        <v>441</v>
      </c>
      <c r="T1026" t="s">
        <v>27</v>
      </c>
      <c r="U1026">
        <v>441</v>
      </c>
      <c r="V1026" s="7" t="str">
        <f>IF(ISERROR(VLOOKUP(K1026,[1]작가별정산률!$R:$S,2,0)),"스토리위즈",VLOOKUP(K1026,[1]작가별정산률!$R:$S,2,0))</f>
        <v>스토리위즈</v>
      </c>
      <c r="W1026" s="7" t="str">
        <f>IF(V1026="스토리위즈",VLOOKUP(K1026,[1]작가별정산률!$A:$B,2,0),V1026)</f>
        <v>김광수</v>
      </c>
    </row>
    <row r="1027" spans="1:23" x14ac:dyDescent="0.4">
      <c r="A1027" t="s">
        <v>262</v>
      </c>
      <c r="B1027" t="s">
        <v>1270</v>
      </c>
      <c r="C1027" t="s">
        <v>1338</v>
      </c>
      <c r="D1027" t="s">
        <v>64</v>
      </c>
      <c r="E1027" t="s">
        <v>22</v>
      </c>
      <c r="F1027" t="s">
        <v>23</v>
      </c>
      <c r="G1027">
        <v>1</v>
      </c>
      <c r="H1027">
        <v>9791166061097</v>
      </c>
      <c r="I1027" t="s">
        <v>24</v>
      </c>
      <c r="J1027" t="s">
        <v>95</v>
      </c>
      <c r="K1027" t="s">
        <v>37</v>
      </c>
      <c r="L1027" t="s">
        <v>27</v>
      </c>
      <c r="M1027">
        <v>900</v>
      </c>
      <c r="N1027" t="s">
        <v>27</v>
      </c>
      <c r="O1027">
        <v>900</v>
      </c>
      <c r="P1027">
        <v>900</v>
      </c>
      <c r="Q1027" t="s">
        <v>30</v>
      </c>
      <c r="R1027" s="2">
        <v>0.7</v>
      </c>
      <c r="S1027">
        <v>630</v>
      </c>
      <c r="T1027" t="s">
        <v>27</v>
      </c>
      <c r="U1027">
        <v>630</v>
      </c>
      <c r="V1027" s="7" t="str">
        <f>IF(ISERROR(VLOOKUP(K1027,[1]작가별정산률!$R:$S,2,0)),"스토리위즈",VLOOKUP(K1027,[1]작가별정산률!$R:$S,2,0))</f>
        <v>스토리위즈</v>
      </c>
      <c r="W1027" s="7" t="str">
        <f>IF(V1027="스토리위즈",VLOOKUP(K1027,[1]작가별정산률!$A:$B,2,0),V1027)</f>
        <v>권용찬</v>
      </c>
    </row>
    <row r="1028" spans="1:23" x14ac:dyDescent="0.4">
      <c r="A1028" t="s">
        <v>262</v>
      </c>
      <c r="B1028" t="s">
        <v>1270</v>
      </c>
      <c r="C1028" t="s">
        <v>1339</v>
      </c>
      <c r="D1028" t="s">
        <v>64</v>
      </c>
      <c r="E1028" t="s">
        <v>22</v>
      </c>
      <c r="F1028" t="s">
        <v>23</v>
      </c>
      <c r="G1028">
        <v>1</v>
      </c>
      <c r="H1028">
        <v>9791166300516</v>
      </c>
      <c r="I1028" t="s">
        <v>24</v>
      </c>
      <c r="J1028" t="s">
        <v>149</v>
      </c>
      <c r="K1028" t="s">
        <v>119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  <c r="V1028" s="7" t="str">
        <f>IF(ISERROR(VLOOKUP(K1028,[1]작가별정산률!$R:$S,2,0)),"스토리위즈",VLOOKUP(K1028,[1]작가별정산률!$R:$S,2,0))</f>
        <v>스토리위즈</v>
      </c>
      <c r="W1028" s="7" t="str">
        <f>IF(V1028="스토리위즈",VLOOKUP(K1028,[1]작가별정산률!$A:$B,2,0),V1028)</f>
        <v>김광수</v>
      </c>
    </row>
    <row r="1029" spans="1:23" x14ac:dyDescent="0.4">
      <c r="A1029" t="s">
        <v>262</v>
      </c>
      <c r="B1029" t="s">
        <v>1340</v>
      </c>
      <c r="C1029" t="s">
        <v>1341</v>
      </c>
      <c r="D1029" t="s">
        <v>64</v>
      </c>
      <c r="E1029" t="s">
        <v>22</v>
      </c>
      <c r="F1029" t="s">
        <v>23</v>
      </c>
      <c r="G1029">
        <v>1</v>
      </c>
      <c r="H1029">
        <v>9791166300639</v>
      </c>
      <c r="I1029" t="s">
        <v>24</v>
      </c>
      <c r="J1029" t="s">
        <v>165</v>
      </c>
      <c r="K1029" t="s">
        <v>119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  <c r="V1029" s="7" t="str">
        <f>IF(ISERROR(VLOOKUP(K1029,[1]작가별정산률!$R:$S,2,0)),"스토리위즈",VLOOKUP(K1029,[1]작가별정산률!$R:$S,2,0))</f>
        <v>스토리위즈</v>
      </c>
      <c r="W1029" s="7" t="str">
        <f>IF(V1029="스토리위즈",VLOOKUP(K1029,[1]작가별정산률!$A:$B,2,0),V1029)</f>
        <v>김광수</v>
      </c>
    </row>
    <row r="1030" spans="1:23" x14ac:dyDescent="0.4">
      <c r="A1030" t="s">
        <v>262</v>
      </c>
      <c r="B1030" t="s">
        <v>1340</v>
      </c>
      <c r="C1030" t="s">
        <v>1342</v>
      </c>
      <c r="D1030" t="s">
        <v>64</v>
      </c>
      <c r="E1030" t="s">
        <v>22</v>
      </c>
      <c r="F1030" t="s">
        <v>23</v>
      </c>
      <c r="G1030">
        <v>1</v>
      </c>
      <c r="H1030">
        <v>9791166300196</v>
      </c>
      <c r="I1030" t="s">
        <v>24</v>
      </c>
      <c r="J1030" t="s">
        <v>128</v>
      </c>
      <c r="K1030" t="s">
        <v>119</v>
      </c>
      <c r="L1030" t="s">
        <v>27</v>
      </c>
      <c r="M1030">
        <v>630</v>
      </c>
      <c r="N1030" t="s">
        <v>27</v>
      </c>
      <c r="O1030">
        <v>630</v>
      </c>
      <c r="P1030">
        <v>630</v>
      </c>
      <c r="Q1030" t="s">
        <v>30</v>
      </c>
      <c r="R1030" s="2">
        <v>0.7</v>
      </c>
      <c r="S1030">
        <v>441</v>
      </c>
      <c r="T1030" t="s">
        <v>27</v>
      </c>
      <c r="U1030">
        <v>441</v>
      </c>
      <c r="V1030" s="7" t="str">
        <f>IF(ISERROR(VLOOKUP(K1030,[1]작가별정산률!$R:$S,2,0)),"스토리위즈",VLOOKUP(K1030,[1]작가별정산률!$R:$S,2,0))</f>
        <v>스토리위즈</v>
      </c>
      <c r="W1030" s="7" t="str">
        <f>IF(V1030="스토리위즈",VLOOKUP(K1030,[1]작가별정산률!$A:$B,2,0),V1030)</f>
        <v>김광수</v>
      </c>
    </row>
    <row r="1031" spans="1:23" x14ac:dyDescent="0.4">
      <c r="A1031" t="s">
        <v>262</v>
      </c>
      <c r="B1031" t="s">
        <v>1340</v>
      </c>
      <c r="C1031" t="s">
        <v>1343</v>
      </c>
      <c r="D1031" t="s">
        <v>64</v>
      </c>
      <c r="E1031" t="s">
        <v>22</v>
      </c>
      <c r="F1031" t="s">
        <v>23</v>
      </c>
      <c r="G1031">
        <v>1</v>
      </c>
      <c r="H1031">
        <v>9791166300561</v>
      </c>
      <c r="I1031" t="s">
        <v>24</v>
      </c>
      <c r="J1031" t="s">
        <v>158</v>
      </c>
      <c r="K1031" t="s">
        <v>119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  <c r="V1031" s="7" t="str">
        <f>IF(ISERROR(VLOOKUP(K1031,[1]작가별정산률!$R:$S,2,0)),"스토리위즈",VLOOKUP(K1031,[1]작가별정산률!$R:$S,2,0))</f>
        <v>스토리위즈</v>
      </c>
      <c r="W1031" s="7" t="str">
        <f>IF(V1031="스토리위즈",VLOOKUP(K1031,[1]작가별정산률!$A:$B,2,0),V1031)</f>
        <v>김광수</v>
      </c>
    </row>
    <row r="1032" spans="1:23" x14ac:dyDescent="0.4">
      <c r="A1032" t="s">
        <v>262</v>
      </c>
      <c r="B1032" t="s">
        <v>1340</v>
      </c>
      <c r="C1032" t="s">
        <v>1344</v>
      </c>
      <c r="D1032" t="s">
        <v>64</v>
      </c>
      <c r="E1032" t="s">
        <v>22</v>
      </c>
      <c r="F1032" t="s">
        <v>23</v>
      </c>
      <c r="G1032">
        <v>1</v>
      </c>
      <c r="H1032">
        <v>9791166300103</v>
      </c>
      <c r="I1032" t="s">
        <v>24</v>
      </c>
      <c r="J1032" t="s">
        <v>120</v>
      </c>
      <c r="K1032" t="s">
        <v>119</v>
      </c>
      <c r="L1032" t="s">
        <v>27</v>
      </c>
      <c r="M1032">
        <v>630</v>
      </c>
      <c r="N1032" t="s">
        <v>27</v>
      </c>
      <c r="O1032">
        <v>630</v>
      </c>
      <c r="P1032">
        <v>630</v>
      </c>
      <c r="Q1032" t="s">
        <v>30</v>
      </c>
      <c r="R1032" s="2">
        <v>0.7</v>
      </c>
      <c r="S1032">
        <v>441</v>
      </c>
      <c r="T1032" t="s">
        <v>27</v>
      </c>
      <c r="U1032">
        <v>441</v>
      </c>
      <c r="V1032" s="7" t="str">
        <f>IF(ISERROR(VLOOKUP(K1032,[1]작가별정산률!$R:$S,2,0)),"스토리위즈",VLOOKUP(K1032,[1]작가별정산률!$R:$S,2,0))</f>
        <v>스토리위즈</v>
      </c>
      <c r="W1032" s="7" t="str">
        <f>IF(V1032="스토리위즈",VLOOKUP(K1032,[1]작가별정산률!$A:$B,2,0),V1032)</f>
        <v>김광수</v>
      </c>
    </row>
    <row r="1033" spans="1:23" x14ac:dyDescent="0.4">
      <c r="A1033" t="s">
        <v>262</v>
      </c>
      <c r="B1033" t="s">
        <v>1340</v>
      </c>
      <c r="C1033" t="s">
        <v>1345</v>
      </c>
      <c r="D1033" t="s">
        <v>21</v>
      </c>
      <c r="E1033" t="s">
        <v>22</v>
      </c>
      <c r="F1033" t="s">
        <v>23</v>
      </c>
      <c r="G1033">
        <v>1</v>
      </c>
      <c r="H1033">
        <v>9791191562408</v>
      </c>
      <c r="I1033" t="s">
        <v>143</v>
      </c>
      <c r="J1033" t="s">
        <v>698</v>
      </c>
      <c r="K1033" t="s">
        <v>215</v>
      </c>
      <c r="L1033" t="s">
        <v>27</v>
      </c>
      <c r="M1033" s="3">
        <v>2000</v>
      </c>
      <c r="N1033" t="s">
        <v>27</v>
      </c>
      <c r="O1033" s="3">
        <v>2000</v>
      </c>
      <c r="P1033" s="3">
        <v>2000</v>
      </c>
      <c r="Q1033" t="s">
        <v>30</v>
      </c>
      <c r="R1033" s="2">
        <v>0.7</v>
      </c>
      <c r="S1033" s="3">
        <v>1400</v>
      </c>
      <c r="T1033" t="s">
        <v>27</v>
      </c>
      <c r="U1033" s="3">
        <v>1400</v>
      </c>
      <c r="V1033" s="7" t="str">
        <f>IF(ISERROR(VLOOKUP(K1033,[1]작가별정산률!$R:$S,2,0)),"스토리위즈",VLOOKUP(K1033,[1]작가별정산률!$R:$S,2,0))</f>
        <v>밀리의 서재</v>
      </c>
      <c r="W1033" s="7" t="str">
        <f>IF(V1033="스토리위즈",VLOOKUP(K1033,[1]작가별정산률!$A:$B,2,0),V1033)</f>
        <v>밀리의 서재</v>
      </c>
    </row>
    <row r="1034" spans="1:23" x14ac:dyDescent="0.4">
      <c r="A1034" t="s">
        <v>262</v>
      </c>
      <c r="B1034" t="s">
        <v>1340</v>
      </c>
      <c r="C1034" t="s">
        <v>1346</v>
      </c>
      <c r="D1034" t="s">
        <v>64</v>
      </c>
      <c r="E1034" t="s">
        <v>22</v>
      </c>
      <c r="F1034" t="s">
        <v>23</v>
      </c>
      <c r="G1034">
        <v>1</v>
      </c>
      <c r="H1034">
        <v>9791166300523</v>
      </c>
      <c r="I1034" t="s">
        <v>24</v>
      </c>
      <c r="J1034" t="s">
        <v>150</v>
      </c>
      <c r="K1034" t="s">
        <v>119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  <c r="V1034" s="7" t="str">
        <f>IF(ISERROR(VLOOKUP(K1034,[1]작가별정산률!$R:$S,2,0)),"스토리위즈",VLOOKUP(K1034,[1]작가별정산률!$R:$S,2,0))</f>
        <v>스토리위즈</v>
      </c>
      <c r="W1034" s="7" t="str">
        <f>IF(V1034="스토리위즈",VLOOKUP(K1034,[1]작가별정산률!$A:$B,2,0),V1034)</f>
        <v>김광수</v>
      </c>
    </row>
    <row r="1035" spans="1:23" x14ac:dyDescent="0.4">
      <c r="A1035" t="s">
        <v>262</v>
      </c>
      <c r="B1035" t="s">
        <v>1340</v>
      </c>
      <c r="C1035" t="s">
        <v>1347</v>
      </c>
      <c r="D1035" t="s">
        <v>21</v>
      </c>
      <c r="E1035" t="s">
        <v>22</v>
      </c>
      <c r="F1035" t="s">
        <v>23</v>
      </c>
      <c r="G1035">
        <v>1</v>
      </c>
      <c r="H1035">
        <v>9791191562286</v>
      </c>
      <c r="I1035" t="s">
        <v>143</v>
      </c>
      <c r="J1035" t="s">
        <v>238</v>
      </c>
      <c r="K1035" t="s">
        <v>239</v>
      </c>
      <c r="L1035" t="s">
        <v>27</v>
      </c>
      <c r="M1035" s="3">
        <v>2000</v>
      </c>
      <c r="N1035" t="s">
        <v>27</v>
      </c>
      <c r="O1035" s="3">
        <v>2000</v>
      </c>
      <c r="P1035" s="3">
        <v>2000</v>
      </c>
      <c r="Q1035" t="s">
        <v>30</v>
      </c>
      <c r="R1035" s="2">
        <v>0.7</v>
      </c>
      <c r="S1035" s="3">
        <v>1400</v>
      </c>
      <c r="T1035" t="s">
        <v>27</v>
      </c>
      <c r="U1035" s="3">
        <v>1400</v>
      </c>
      <c r="V1035" s="7" t="str">
        <f>IF(ISERROR(VLOOKUP(K1035,[1]작가별정산률!$R:$S,2,0)),"스토리위즈",VLOOKUP(K1035,[1]작가별정산률!$R:$S,2,0))</f>
        <v>밀리의 서재</v>
      </c>
      <c r="W1035" s="7" t="str">
        <f>IF(V1035="스토리위즈",VLOOKUP(K1035,[1]작가별정산률!$A:$B,2,0),V1035)</f>
        <v>밀리의 서재</v>
      </c>
    </row>
    <row r="1036" spans="1:23" x14ac:dyDescent="0.4">
      <c r="A1036" t="s">
        <v>262</v>
      </c>
      <c r="B1036" t="s">
        <v>1340</v>
      </c>
      <c r="C1036" t="s">
        <v>1348</v>
      </c>
      <c r="D1036" t="s">
        <v>64</v>
      </c>
      <c r="E1036" t="s">
        <v>22</v>
      </c>
      <c r="F1036" t="s">
        <v>23</v>
      </c>
      <c r="G1036">
        <v>1</v>
      </c>
      <c r="H1036">
        <v>9791166300110</v>
      </c>
      <c r="I1036" t="s">
        <v>24</v>
      </c>
      <c r="J1036" t="s">
        <v>121</v>
      </c>
      <c r="K1036" t="s">
        <v>119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2">
        <v>0.7</v>
      </c>
      <c r="S1036">
        <v>441</v>
      </c>
      <c r="T1036" t="s">
        <v>27</v>
      </c>
      <c r="U1036">
        <v>441</v>
      </c>
      <c r="V1036" s="7" t="str">
        <f>IF(ISERROR(VLOOKUP(K1036,[1]작가별정산률!$R:$S,2,0)),"스토리위즈",VLOOKUP(K1036,[1]작가별정산률!$R:$S,2,0))</f>
        <v>스토리위즈</v>
      </c>
      <c r="W1036" s="7" t="str">
        <f>IF(V1036="스토리위즈",VLOOKUP(K1036,[1]작가별정산률!$A:$B,2,0),V1036)</f>
        <v>김광수</v>
      </c>
    </row>
    <row r="1037" spans="1:23" x14ac:dyDescent="0.4">
      <c r="A1037" t="s">
        <v>262</v>
      </c>
      <c r="B1037" t="s">
        <v>1340</v>
      </c>
      <c r="C1037" t="s">
        <v>1349</v>
      </c>
      <c r="D1037" t="s">
        <v>21</v>
      </c>
      <c r="E1037" t="s">
        <v>22</v>
      </c>
      <c r="F1037" t="s">
        <v>23</v>
      </c>
      <c r="G1037">
        <v>1</v>
      </c>
      <c r="H1037">
        <v>9791166300233</v>
      </c>
      <c r="I1037" t="s">
        <v>24</v>
      </c>
      <c r="J1037" t="s">
        <v>132</v>
      </c>
      <c r="K1037" t="s">
        <v>119</v>
      </c>
      <c r="L1037" t="s">
        <v>27</v>
      </c>
      <c r="M1037" s="3">
        <v>3200</v>
      </c>
      <c r="N1037" t="s">
        <v>27</v>
      </c>
      <c r="O1037" s="3">
        <v>3200</v>
      </c>
      <c r="P1037" s="3">
        <v>3200</v>
      </c>
      <c r="Q1037" t="s">
        <v>30</v>
      </c>
      <c r="R1037" s="2">
        <v>0.7</v>
      </c>
      <c r="S1037" s="3">
        <v>2240</v>
      </c>
      <c r="T1037" t="s">
        <v>27</v>
      </c>
      <c r="U1037" s="3">
        <v>2240</v>
      </c>
      <c r="V1037" s="7" t="str">
        <f>IF(ISERROR(VLOOKUP(K1037,[1]작가별정산률!$R:$S,2,0)),"스토리위즈",VLOOKUP(K1037,[1]작가별정산률!$R:$S,2,0))</f>
        <v>스토리위즈</v>
      </c>
      <c r="W1037" s="7" t="str">
        <f>IF(V1037="스토리위즈",VLOOKUP(K1037,[1]작가별정산률!$A:$B,2,0),V1037)</f>
        <v>김광수</v>
      </c>
    </row>
    <row r="1038" spans="1:23" x14ac:dyDescent="0.4">
      <c r="A1038" t="s">
        <v>262</v>
      </c>
      <c r="B1038" t="s">
        <v>1340</v>
      </c>
      <c r="C1038" t="s">
        <v>1350</v>
      </c>
      <c r="D1038" t="s">
        <v>64</v>
      </c>
      <c r="E1038" t="s">
        <v>22</v>
      </c>
      <c r="F1038" t="s">
        <v>23</v>
      </c>
      <c r="G1038">
        <v>1</v>
      </c>
      <c r="H1038">
        <v>9791159283130</v>
      </c>
      <c r="I1038" t="s">
        <v>24</v>
      </c>
      <c r="J1038" t="s">
        <v>82</v>
      </c>
      <c r="K1038" t="s">
        <v>37</v>
      </c>
      <c r="L1038" t="s">
        <v>27</v>
      </c>
      <c r="M1038">
        <v>900</v>
      </c>
      <c r="N1038" t="s">
        <v>27</v>
      </c>
      <c r="O1038">
        <v>900</v>
      </c>
      <c r="P1038">
        <v>900</v>
      </c>
      <c r="Q1038" t="s">
        <v>30</v>
      </c>
      <c r="R1038" s="2">
        <v>0.7</v>
      </c>
      <c r="S1038">
        <v>630</v>
      </c>
      <c r="T1038" t="s">
        <v>27</v>
      </c>
      <c r="U1038">
        <v>630</v>
      </c>
      <c r="V1038" s="7" t="str">
        <f>IF(ISERROR(VLOOKUP(K1038,[1]작가별정산률!$R:$S,2,0)),"스토리위즈",VLOOKUP(K1038,[1]작가별정산률!$R:$S,2,0))</f>
        <v>스토리위즈</v>
      </c>
      <c r="W1038" s="7" t="str">
        <f>IF(V1038="스토리위즈",VLOOKUP(K1038,[1]작가별정산률!$A:$B,2,0),V1038)</f>
        <v>권용찬</v>
      </c>
    </row>
    <row r="1039" spans="1:23" x14ac:dyDescent="0.4">
      <c r="A1039" t="s">
        <v>262</v>
      </c>
      <c r="B1039" t="s">
        <v>1340</v>
      </c>
      <c r="C1039" t="s">
        <v>1351</v>
      </c>
      <c r="D1039" t="s">
        <v>64</v>
      </c>
      <c r="E1039" t="s">
        <v>22</v>
      </c>
      <c r="F1039" t="s">
        <v>23</v>
      </c>
      <c r="G1039">
        <v>1</v>
      </c>
      <c r="H1039">
        <v>9791166300233</v>
      </c>
      <c r="I1039" t="s">
        <v>24</v>
      </c>
      <c r="J1039" t="s">
        <v>132</v>
      </c>
      <c r="K1039" t="s">
        <v>119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  <c r="V1039" s="7" t="str">
        <f>IF(ISERROR(VLOOKUP(K1039,[1]작가별정산률!$R:$S,2,0)),"스토리위즈",VLOOKUP(K1039,[1]작가별정산률!$R:$S,2,0))</f>
        <v>스토리위즈</v>
      </c>
      <c r="W1039" s="7" t="str">
        <f>IF(V1039="스토리위즈",VLOOKUP(K1039,[1]작가별정산률!$A:$B,2,0),V1039)</f>
        <v>김광수</v>
      </c>
    </row>
    <row r="1040" spans="1:23" x14ac:dyDescent="0.4">
      <c r="A1040" t="s">
        <v>262</v>
      </c>
      <c r="B1040" t="s">
        <v>1340</v>
      </c>
      <c r="C1040" t="s">
        <v>1352</v>
      </c>
      <c r="D1040" t="s">
        <v>64</v>
      </c>
      <c r="E1040" t="s">
        <v>22</v>
      </c>
      <c r="F1040" t="s">
        <v>23</v>
      </c>
      <c r="G1040">
        <v>1</v>
      </c>
      <c r="H1040">
        <v>9791166300165</v>
      </c>
      <c r="I1040" t="s">
        <v>24</v>
      </c>
      <c r="J1040" t="s">
        <v>126</v>
      </c>
      <c r="K1040" t="s">
        <v>119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  <c r="V1040" s="7" t="str">
        <f>IF(ISERROR(VLOOKUP(K1040,[1]작가별정산률!$R:$S,2,0)),"스토리위즈",VLOOKUP(K1040,[1]작가별정산률!$R:$S,2,0))</f>
        <v>스토리위즈</v>
      </c>
      <c r="W1040" s="7" t="str">
        <f>IF(V1040="스토리위즈",VLOOKUP(K1040,[1]작가별정산률!$A:$B,2,0),V1040)</f>
        <v>김광수</v>
      </c>
    </row>
    <row r="1041" spans="1:23" x14ac:dyDescent="0.4">
      <c r="A1041" t="s">
        <v>262</v>
      </c>
      <c r="B1041" t="s">
        <v>1340</v>
      </c>
      <c r="C1041" t="s">
        <v>1353</v>
      </c>
      <c r="D1041" t="s">
        <v>64</v>
      </c>
      <c r="E1041" t="s">
        <v>22</v>
      </c>
      <c r="F1041" t="s">
        <v>23</v>
      </c>
      <c r="G1041">
        <v>1</v>
      </c>
      <c r="H1041">
        <v>9791166300196</v>
      </c>
      <c r="I1041" t="s">
        <v>24</v>
      </c>
      <c r="J1041" t="s">
        <v>128</v>
      </c>
      <c r="K1041" t="s">
        <v>119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  <c r="V1041" s="7" t="str">
        <f>IF(ISERROR(VLOOKUP(K1041,[1]작가별정산률!$R:$S,2,0)),"스토리위즈",VLOOKUP(K1041,[1]작가별정산률!$R:$S,2,0))</f>
        <v>스토리위즈</v>
      </c>
      <c r="W1041" s="7" t="str">
        <f>IF(V1041="스토리위즈",VLOOKUP(K1041,[1]작가별정산률!$A:$B,2,0),V1041)</f>
        <v>김광수</v>
      </c>
    </row>
    <row r="1042" spans="1:23" x14ac:dyDescent="0.4">
      <c r="A1042" t="s">
        <v>262</v>
      </c>
      <c r="B1042" t="s">
        <v>1340</v>
      </c>
      <c r="C1042" t="s">
        <v>1354</v>
      </c>
      <c r="D1042" t="s">
        <v>64</v>
      </c>
      <c r="E1042" t="s">
        <v>22</v>
      </c>
      <c r="F1042" t="s">
        <v>23</v>
      </c>
      <c r="G1042">
        <v>1</v>
      </c>
      <c r="H1042">
        <v>9791166300493</v>
      </c>
      <c r="I1042" t="s">
        <v>24</v>
      </c>
      <c r="J1042" t="s">
        <v>147</v>
      </c>
      <c r="K1042" t="s">
        <v>119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  <c r="V1042" s="7" t="str">
        <f>IF(ISERROR(VLOOKUP(K1042,[1]작가별정산률!$R:$S,2,0)),"스토리위즈",VLOOKUP(K1042,[1]작가별정산률!$R:$S,2,0))</f>
        <v>스토리위즈</v>
      </c>
      <c r="W1042" s="7" t="str">
        <f>IF(V1042="스토리위즈",VLOOKUP(K1042,[1]작가별정산률!$A:$B,2,0),V1042)</f>
        <v>김광수</v>
      </c>
    </row>
    <row r="1043" spans="1:23" x14ac:dyDescent="0.4">
      <c r="A1043" t="s">
        <v>262</v>
      </c>
      <c r="B1043" t="s">
        <v>1340</v>
      </c>
      <c r="C1043" t="s">
        <v>1355</v>
      </c>
      <c r="D1043" t="s">
        <v>64</v>
      </c>
      <c r="E1043" t="s">
        <v>22</v>
      </c>
      <c r="F1043" t="s">
        <v>23</v>
      </c>
      <c r="G1043">
        <v>1</v>
      </c>
      <c r="H1043">
        <v>9791166300578</v>
      </c>
      <c r="I1043" t="s">
        <v>24</v>
      </c>
      <c r="J1043" t="s">
        <v>159</v>
      </c>
      <c r="K1043" t="s">
        <v>119</v>
      </c>
      <c r="L1043" t="s">
        <v>27</v>
      </c>
      <c r="M1043">
        <v>630</v>
      </c>
      <c r="N1043" t="s">
        <v>27</v>
      </c>
      <c r="O1043">
        <v>630</v>
      </c>
      <c r="P1043">
        <v>630</v>
      </c>
      <c r="Q1043" t="s">
        <v>30</v>
      </c>
      <c r="R1043" s="2">
        <v>0.7</v>
      </c>
      <c r="S1043">
        <v>441</v>
      </c>
      <c r="T1043" t="s">
        <v>27</v>
      </c>
      <c r="U1043">
        <v>441</v>
      </c>
      <c r="V1043" s="7" t="str">
        <f>IF(ISERROR(VLOOKUP(K1043,[1]작가별정산률!$R:$S,2,0)),"스토리위즈",VLOOKUP(K1043,[1]작가별정산률!$R:$S,2,0))</f>
        <v>스토리위즈</v>
      </c>
      <c r="W1043" s="7" t="str">
        <f>IF(V1043="스토리위즈",VLOOKUP(K1043,[1]작가별정산률!$A:$B,2,0),V1043)</f>
        <v>김광수</v>
      </c>
    </row>
    <row r="1044" spans="1:23" x14ac:dyDescent="0.4">
      <c r="A1044" t="s">
        <v>262</v>
      </c>
      <c r="B1044" t="s">
        <v>1340</v>
      </c>
      <c r="C1044" t="s">
        <v>1356</v>
      </c>
      <c r="D1044" t="s">
        <v>64</v>
      </c>
      <c r="E1044" t="s">
        <v>22</v>
      </c>
      <c r="F1044" t="s">
        <v>23</v>
      </c>
      <c r="G1044">
        <v>1</v>
      </c>
      <c r="H1044">
        <v>9791166300585</v>
      </c>
      <c r="I1044" t="s">
        <v>24</v>
      </c>
      <c r="J1044" t="s">
        <v>160</v>
      </c>
      <c r="K1044" t="s">
        <v>119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  <c r="V1044" s="7" t="str">
        <f>IF(ISERROR(VLOOKUP(K1044,[1]작가별정산률!$R:$S,2,0)),"스토리위즈",VLOOKUP(K1044,[1]작가별정산률!$R:$S,2,0))</f>
        <v>스토리위즈</v>
      </c>
      <c r="W1044" s="7" t="str">
        <f>IF(V1044="스토리위즈",VLOOKUP(K1044,[1]작가별정산률!$A:$B,2,0),V1044)</f>
        <v>김광수</v>
      </c>
    </row>
    <row r="1045" spans="1:23" x14ac:dyDescent="0.4">
      <c r="A1045" t="s">
        <v>262</v>
      </c>
      <c r="B1045" t="s">
        <v>1340</v>
      </c>
      <c r="C1045" t="s">
        <v>1357</v>
      </c>
      <c r="D1045" t="s">
        <v>64</v>
      </c>
      <c r="E1045" t="s">
        <v>22</v>
      </c>
      <c r="F1045" t="s">
        <v>23</v>
      </c>
      <c r="G1045">
        <v>1</v>
      </c>
      <c r="H1045">
        <v>9791166300578</v>
      </c>
      <c r="I1045" t="s">
        <v>24</v>
      </c>
      <c r="J1045" t="s">
        <v>159</v>
      </c>
      <c r="K1045" t="s">
        <v>119</v>
      </c>
      <c r="L1045" t="s">
        <v>27</v>
      </c>
      <c r="M1045">
        <v>630</v>
      </c>
      <c r="N1045" t="s">
        <v>27</v>
      </c>
      <c r="O1045">
        <v>630</v>
      </c>
      <c r="P1045">
        <v>630</v>
      </c>
      <c r="Q1045" t="s">
        <v>30</v>
      </c>
      <c r="R1045" s="2">
        <v>0.7</v>
      </c>
      <c r="S1045">
        <v>441</v>
      </c>
      <c r="T1045" t="s">
        <v>27</v>
      </c>
      <c r="U1045">
        <v>441</v>
      </c>
      <c r="V1045" s="7" t="str">
        <f>IF(ISERROR(VLOOKUP(K1045,[1]작가별정산률!$R:$S,2,0)),"스토리위즈",VLOOKUP(K1045,[1]작가별정산률!$R:$S,2,0))</f>
        <v>스토리위즈</v>
      </c>
      <c r="W1045" s="7" t="str">
        <f>IF(V1045="스토리위즈",VLOOKUP(K1045,[1]작가별정산률!$A:$B,2,0),V1045)</f>
        <v>김광수</v>
      </c>
    </row>
    <row r="1046" spans="1:23" x14ac:dyDescent="0.4">
      <c r="A1046" t="s">
        <v>262</v>
      </c>
      <c r="B1046" t="s">
        <v>1340</v>
      </c>
      <c r="C1046" t="s">
        <v>1358</v>
      </c>
      <c r="D1046" t="s">
        <v>64</v>
      </c>
      <c r="E1046" t="s">
        <v>22</v>
      </c>
      <c r="F1046" t="s">
        <v>23</v>
      </c>
      <c r="G1046">
        <v>1</v>
      </c>
      <c r="H1046">
        <v>9791166064142</v>
      </c>
      <c r="I1046" t="s">
        <v>24</v>
      </c>
      <c r="J1046" t="s">
        <v>80</v>
      </c>
      <c r="K1046" t="s">
        <v>37</v>
      </c>
      <c r="L1046" t="s">
        <v>27</v>
      </c>
      <c r="M1046">
        <v>900</v>
      </c>
      <c r="N1046" t="s">
        <v>27</v>
      </c>
      <c r="O1046">
        <v>900</v>
      </c>
      <c r="P1046">
        <v>900</v>
      </c>
      <c r="Q1046" t="s">
        <v>30</v>
      </c>
      <c r="R1046" s="2">
        <v>0.7</v>
      </c>
      <c r="S1046">
        <v>630</v>
      </c>
      <c r="T1046" t="s">
        <v>27</v>
      </c>
      <c r="U1046">
        <v>630</v>
      </c>
      <c r="V1046" s="7" t="str">
        <f>IF(ISERROR(VLOOKUP(K1046,[1]작가별정산률!$R:$S,2,0)),"스토리위즈",VLOOKUP(K1046,[1]작가별정산률!$R:$S,2,0))</f>
        <v>스토리위즈</v>
      </c>
      <c r="W1046" s="7" t="str">
        <f>IF(V1046="스토리위즈",VLOOKUP(K1046,[1]작가별정산률!$A:$B,2,0),V1046)</f>
        <v>권용찬</v>
      </c>
    </row>
    <row r="1047" spans="1:23" x14ac:dyDescent="0.4">
      <c r="A1047" t="s">
        <v>262</v>
      </c>
      <c r="B1047" t="s">
        <v>1340</v>
      </c>
      <c r="C1047" t="s">
        <v>1359</v>
      </c>
      <c r="D1047" t="s">
        <v>64</v>
      </c>
      <c r="E1047" t="s">
        <v>22</v>
      </c>
      <c r="F1047" t="s">
        <v>23</v>
      </c>
      <c r="G1047">
        <v>1</v>
      </c>
      <c r="H1047">
        <v>9791166064425</v>
      </c>
      <c r="I1047" t="s">
        <v>24</v>
      </c>
      <c r="J1047" t="s">
        <v>113</v>
      </c>
      <c r="K1047" t="s">
        <v>102</v>
      </c>
      <c r="L1047" t="s">
        <v>27</v>
      </c>
      <c r="M1047">
        <v>720</v>
      </c>
      <c r="N1047" t="s">
        <v>27</v>
      </c>
      <c r="O1047">
        <v>720</v>
      </c>
      <c r="P1047">
        <v>720</v>
      </c>
      <c r="Q1047" t="s">
        <v>30</v>
      </c>
      <c r="R1047" s="2">
        <v>0.7</v>
      </c>
      <c r="S1047">
        <v>504</v>
      </c>
      <c r="T1047" t="s">
        <v>27</v>
      </c>
      <c r="U1047">
        <v>504</v>
      </c>
      <c r="V1047" s="7" t="str">
        <f>IF(ISERROR(VLOOKUP(K1047,[1]작가별정산률!$R:$S,2,0)),"스토리위즈",VLOOKUP(K1047,[1]작가별정산률!$R:$S,2,0))</f>
        <v>스토리위즈</v>
      </c>
      <c r="W1047" s="7" t="str">
        <f>IF(V1047="스토리위즈",VLOOKUP(K1047,[1]작가별정산률!$A:$B,2,0),V1047)</f>
        <v>예로나</v>
      </c>
    </row>
    <row r="1048" spans="1:23" x14ac:dyDescent="0.4">
      <c r="A1048" t="s">
        <v>262</v>
      </c>
      <c r="B1048" t="s">
        <v>1340</v>
      </c>
      <c r="C1048" t="s">
        <v>1360</v>
      </c>
      <c r="D1048" t="s">
        <v>21</v>
      </c>
      <c r="E1048" t="s">
        <v>22</v>
      </c>
      <c r="F1048" t="s">
        <v>23</v>
      </c>
      <c r="G1048">
        <v>1</v>
      </c>
      <c r="H1048">
        <v>9791166300127</v>
      </c>
      <c r="I1048" t="s">
        <v>24</v>
      </c>
      <c r="J1048" t="s">
        <v>122</v>
      </c>
      <c r="K1048" t="s">
        <v>119</v>
      </c>
      <c r="L1048" t="s">
        <v>27</v>
      </c>
      <c r="M1048" s="3">
        <v>3200</v>
      </c>
      <c r="N1048" t="s">
        <v>27</v>
      </c>
      <c r="O1048" s="3">
        <v>3200</v>
      </c>
      <c r="P1048" s="3">
        <v>3200</v>
      </c>
      <c r="Q1048" t="s">
        <v>30</v>
      </c>
      <c r="R1048" s="2">
        <v>0.7</v>
      </c>
      <c r="S1048" s="3">
        <v>2240</v>
      </c>
      <c r="T1048" t="s">
        <v>27</v>
      </c>
      <c r="U1048" s="3">
        <v>2240</v>
      </c>
      <c r="V1048" s="7" t="str">
        <f>IF(ISERROR(VLOOKUP(K1048,[1]작가별정산률!$R:$S,2,0)),"스토리위즈",VLOOKUP(K1048,[1]작가별정산률!$R:$S,2,0))</f>
        <v>스토리위즈</v>
      </c>
      <c r="W1048" s="7" t="str">
        <f>IF(V1048="스토리위즈",VLOOKUP(K1048,[1]작가별정산률!$A:$B,2,0),V1048)</f>
        <v>김광수</v>
      </c>
    </row>
    <row r="1049" spans="1:23" x14ac:dyDescent="0.4">
      <c r="A1049" t="s">
        <v>262</v>
      </c>
      <c r="B1049" t="s">
        <v>1340</v>
      </c>
      <c r="C1049" t="s">
        <v>1361</v>
      </c>
      <c r="D1049" t="s">
        <v>64</v>
      </c>
      <c r="E1049" t="s">
        <v>22</v>
      </c>
      <c r="F1049" t="s">
        <v>23</v>
      </c>
      <c r="G1049">
        <v>1</v>
      </c>
      <c r="H1049">
        <v>9791166300134</v>
      </c>
      <c r="I1049" t="s">
        <v>24</v>
      </c>
      <c r="J1049" t="s">
        <v>123</v>
      </c>
      <c r="K1049" t="s">
        <v>119</v>
      </c>
      <c r="L1049" t="s">
        <v>27</v>
      </c>
      <c r="M1049">
        <v>630</v>
      </c>
      <c r="N1049" t="s">
        <v>27</v>
      </c>
      <c r="O1049">
        <v>630</v>
      </c>
      <c r="P1049">
        <v>630</v>
      </c>
      <c r="Q1049" t="s">
        <v>30</v>
      </c>
      <c r="R1049" s="2">
        <v>0.7</v>
      </c>
      <c r="S1049">
        <v>441</v>
      </c>
      <c r="T1049" t="s">
        <v>27</v>
      </c>
      <c r="U1049">
        <v>441</v>
      </c>
      <c r="V1049" s="7" t="str">
        <f>IF(ISERROR(VLOOKUP(K1049,[1]작가별정산률!$R:$S,2,0)),"스토리위즈",VLOOKUP(K1049,[1]작가별정산률!$R:$S,2,0))</f>
        <v>스토리위즈</v>
      </c>
      <c r="W1049" s="7" t="str">
        <f>IF(V1049="스토리위즈",VLOOKUP(K1049,[1]작가별정산률!$A:$B,2,0),V1049)</f>
        <v>김광수</v>
      </c>
    </row>
    <row r="1050" spans="1:23" x14ac:dyDescent="0.4">
      <c r="A1050" t="s">
        <v>262</v>
      </c>
      <c r="B1050" t="s">
        <v>1340</v>
      </c>
      <c r="C1050" t="s">
        <v>1362</v>
      </c>
      <c r="D1050" t="s">
        <v>64</v>
      </c>
      <c r="E1050" t="s">
        <v>22</v>
      </c>
      <c r="F1050" t="s">
        <v>23</v>
      </c>
      <c r="G1050">
        <v>1</v>
      </c>
      <c r="H1050">
        <v>9791159283215</v>
      </c>
      <c r="I1050" t="s">
        <v>24</v>
      </c>
      <c r="J1050" t="s">
        <v>103</v>
      </c>
      <c r="K1050" t="s">
        <v>37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  <c r="V1050" s="7" t="str">
        <f>IF(ISERROR(VLOOKUP(K1050,[1]작가별정산률!$R:$S,2,0)),"스토리위즈",VLOOKUP(K1050,[1]작가별정산률!$R:$S,2,0))</f>
        <v>스토리위즈</v>
      </c>
      <c r="W1050" s="7" t="str">
        <f>IF(V1050="스토리위즈",VLOOKUP(K1050,[1]작가별정산률!$A:$B,2,0),V1050)</f>
        <v>권용찬</v>
      </c>
    </row>
    <row r="1051" spans="1:23" x14ac:dyDescent="0.4">
      <c r="A1051" t="s">
        <v>262</v>
      </c>
      <c r="B1051" t="s">
        <v>1340</v>
      </c>
      <c r="C1051" t="s">
        <v>1363</v>
      </c>
      <c r="D1051" t="s">
        <v>64</v>
      </c>
      <c r="E1051" t="s">
        <v>22</v>
      </c>
      <c r="F1051" t="s">
        <v>23</v>
      </c>
      <c r="G1051">
        <v>1</v>
      </c>
      <c r="H1051">
        <v>9791166300646</v>
      </c>
      <c r="I1051" t="s">
        <v>24</v>
      </c>
      <c r="J1051" t="s">
        <v>155</v>
      </c>
      <c r="K1051" t="s">
        <v>119</v>
      </c>
      <c r="L1051" t="s">
        <v>27</v>
      </c>
      <c r="M1051">
        <v>630</v>
      </c>
      <c r="N1051" t="s">
        <v>27</v>
      </c>
      <c r="O1051">
        <v>630</v>
      </c>
      <c r="P1051">
        <v>630</v>
      </c>
      <c r="Q1051" t="s">
        <v>30</v>
      </c>
      <c r="R1051" s="2">
        <v>0.7</v>
      </c>
      <c r="S1051">
        <v>441</v>
      </c>
      <c r="T1051" t="s">
        <v>27</v>
      </c>
      <c r="U1051">
        <v>441</v>
      </c>
      <c r="V1051" s="7" t="str">
        <f>IF(ISERROR(VLOOKUP(K1051,[1]작가별정산률!$R:$S,2,0)),"스토리위즈",VLOOKUP(K1051,[1]작가별정산률!$R:$S,2,0))</f>
        <v>스토리위즈</v>
      </c>
      <c r="W1051" s="7" t="str">
        <f>IF(V1051="스토리위즈",VLOOKUP(K1051,[1]작가별정산률!$A:$B,2,0),V1051)</f>
        <v>김광수</v>
      </c>
    </row>
    <row r="1052" spans="1:23" x14ac:dyDescent="0.4">
      <c r="A1052" t="s">
        <v>262</v>
      </c>
      <c r="B1052" t="s">
        <v>1340</v>
      </c>
      <c r="C1052" t="s">
        <v>1364</v>
      </c>
      <c r="D1052" t="s">
        <v>64</v>
      </c>
      <c r="E1052" t="s">
        <v>22</v>
      </c>
      <c r="F1052" t="s">
        <v>23</v>
      </c>
      <c r="G1052">
        <v>1</v>
      </c>
      <c r="H1052">
        <v>9791166300509</v>
      </c>
      <c r="I1052" t="s">
        <v>24</v>
      </c>
      <c r="J1052" t="s">
        <v>148</v>
      </c>
      <c r="K1052" t="s">
        <v>119</v>
      </c>
      <c r="L1052" t="s">
        <v>27</v>
      </c>
      <c r="M1052">
        <v>630</v>
      </c>
      <c r="N1052" t="s">
        <v>27</v>
      </c>
      <c r="O1052">
        <v>630</v>
      </c>
      <c r="P1052">
        <v>630</v>
      </c>
      <c r="Q1052" t="s">
        <v>30</v>
      </c>
      <c r="R1052" s="2">
        <v>0.7</v>
      </c>
      <c r="S1052">
        <v>441</v>
      </c>
      <c r="T1052" t="s">
        <v>27</v>
      </c>
      <c r="U1052">
        <v>441</v>
      </c>
      <c r="V1052" s="7" t="str">
        <f>IF(ISERROR(VLOOKUP(K1052,[1]작가별정산률!$R:$S,2,0)),"스토리위즈",VLOOKUP(K1052,[1]작가별정산률!$R:$S,2,0))</f>
        <v>스토리위즈</v>
      </c>
      <c r="W1052" s="7" t="str">
        <f>IF(V1052="스토리위즈",VLOOKUP(K1052,[1]작가별정산률!$A:$B,2,0),V1052)</f>
        <v>김광수</v>
      </c>
    </row>
    <row r="1053" spans="1:23" x14ac:dyDescent="0.4">
      <c r="A1053" t="s">
        <v>262</v>
      </c>
      <c r="B1053" t="s">
        <v>1340</v>
      </c>
      <c r="C1053" t="s">
        <v>1365</v>
      </c>
      <c r="D1053" t="s">
        <v>21</v>
      </c>
      <c r="E1053" t="s">
        <v>22</v>
      </c>
      <c r="F1053" t="s">
        <v>23</v>
      </c>
      <c r="G1053">
        <v>1</v>
      </c>
      <c r="H1053">
        <v>9791196945268</v>
      </c>
      <c r="I1053" t="s">
        <v>143</v>
      </c>
      <c r="J1053" t="s">
        <v>185</v>
      </c>
      <c r="K1053" t="s">
        <v>188</v>
      </c>
      <c r="L1053" t="s">
        <v>27</v>
      </c>
      <c r="M1053" s="3">
        <v>2500</v>
      </c>
      <c r="N1053" t="s">
        <v>27</v>
      </c>
      <c r="O1053" s="3">
        <v>2500</v>
      </c>
      <c r="P1053" s="3">
        <v>2500</v>
      </c>
      <c r="Q1053" t="s">
        <v>30</v>
      </c>
      <c r="R1053" s="2">
        <v>0.7</v>
      </c>
      <c r="S1053" s="3">
        <v>1750</v>
      </c>
      <c r="T1053" t="s">
        <v>27</v>
      </c>
      <c r="U1053" s="3">
        <v>1750</v>
      </c>
      <c r="V1053" s="7" t="str">
        <f>IF(ISERROR(VLOOKUP(K1053,[1]작가별정산률!$R:$S,2,0)),"스토리위즈",VLOOKUP(K1053,[1]작가별정산률!$R:$S,2,0))</f>
        <v>밀리의 서재</v>
      </c>
      <c r="W1053" s="7" t="str">
        <f>IF(V1053="스토리위즈",VLOOKUP(K1053,[1]작가별정산률!$A:$B,2,0),V1053)</f>
        <v>밀리의 서재</v>
      </c>
    </row>
    <row r="1054" spans="1:23" x14ac:dyDescent="0.4">
      <c r="A1054" t="s">
        <v>262</v>
      </c>
      <c r="B1054" t="s">
        <v>1340</v>
      </c>
      <c r="C1054" t="s">
        <v>1366</v>
      </c>
      <c r="D1054" t="s">
        <v>21</v>
      </c>
      <c r="E1054" t="s">
        <v>22</v>
      </c>
      <c r="F1054" t="s">
        <v>23</v>
      </c>
      <c r="G1054">
        <v>1</v>
      </c>
      <c r="H1054">
        <v>9791191562262</v>
      </c>
      <c r="I1054" t="s">
        <v>143</v>
      </c>
      <c r="J1054" t="s">
        <v>250</v>
      </c>
      <c r="K1054" t="s">
        <v>251</v>
      </c>
      <c r="L1054" t="s">
        <v>27</v>
      </c>
      <c r="M1054" s="3">
        <v>2000</v>
      </c>
      <c r="N1054" t="s">
        <v>27</v>
      </c>
      <c r="O1054" s="3">
        <v>2000</v>
      </c>
      <c r="P1054" s="3">
        <v>2000</v>
      </c>
      <c r="Q1054" t="s">
        <v>30</v>
      </c>
      <c r="R1054" s="2">
        <v>0.7</v>
      </c>
      <c r="S1054" s="3">
        <v>1400</v>
      </c>
      <c r="T1054" t="s">
        <v>27</v>
      </c>
      <c r="U1054" s="3">
        <v>1400</v>
      </c>
      <c r="V1054" s="7" t="str">
        <f>IF(ISERROR(VLOOKUP(K1054,[1]작가별정산률!$R:$S,2,0)),"스토리위즈",VLOOKUP(K1054,[1]작가별정산률!$R:$S,2,0))</f>
        <v>밀리의 서재</v>
      </c>
      <c r="W1054" s="7" t="str">
        <f>IF(V1054="스토리위즈",VLOOKUP(K1054,[1]작가별정산률!$A:$B,2,0),V1054)</f>
        <v>밀리의 서재</v>
      </c>
    </row>
    <row r="1055" spans="1:23" x14ac:dyDescent="0.4">
      <c r="A1055" t="s">
        <v>262</v>
      </c>
      <c r="B1055" t="s">
        <v>1340</v>
      </c>
      <c r="C1055" t="s">
        <v>1367</v>
      </c>
      <c r="D1055" t="s">
        <v>21</v>
      </c>
      <c r="E1055" t="s">
        <v>22</v>
      </c>
      <c r="F1055" t="s">
        <v>23</v>
      </c>
      <c r="G1055">
        <v>1</v>
      </c>
      <c r="H1055">
        <v>9791191562262</v>
      </c>
      <c r="I1055" t="s">
        <v>143</v>
      </c>
      <c r="J1055" t="s">
        <v>250</v>
      </c>
      <c r="K1055" t="s">
        <v>251</v>
      </c>
      <c r="L1055" t="s">
        <v>27</v>
      </c>
      <c r="M1055" s="3">
        <v>2000</v>
      </c>
      <c r="N1055" t="s">
        <v>27</v>
      </c>
      <c r="O1055" s="3">
        <v>2000</v>
      </c>
      <c r="P1055" s="3">
        <v>2000</v>
      </c>
      <c r="Q1055" t="s">
        <v>30</v>
      </c>
      <c r="R1055" s="2">
        <v>0.7</v>
      </c>
      <c r="S1055" s="3">
        <v>1400</v>
      </c>
      <c r="T1055" t="s">
        <v>27</v>
      </c>
      <c r="U1055" s="3">
        <v>1400</v>
      </c>
      <c r="V1055" s="7" t="str">
        <f>IF(ISERROR(VLOOKUP(K1055,[1]작가별정산률!$R:$S,2,0)),"스토리위즈",VLOOKUP(K1055,[1]작가별정산률!$R:$S,2,0))</f>
        <v>밀리의 서재</v>
      </c>
      <c r="W1055" s="7" t="str">
        <f>IF(V1055="스토리위즈",VLOOKUP(K1055,[1]작가별정산률!$A:$B,2,0),V1055)</f>
        <v>밀리의 서재</v>
      </c>
    </row>
    <row r="1056" spans="1:23" x14ac:dyDescent="0.4">
      <c r="A1056" t="s">
        <v>262</v>
      </c>
      <c r="B1056" t="s">
        <v>1340</v>
      </c>
      <c r="C1056" t="s">
        <v>1368</v>
      </c>
      <c r="D1056" t="s">
        <v>64</v>
      </c>
      <c r="E1056" t="s">
        <v>22</v>
      </c>
      <c r="F1056" t="s">
        <v>23</v>
      </c>
      <c r="G1056">
        <v>1</v>
      </c>
      <c r="H1056">
        <v>9791166064432</v>
      </c>
      <c r="I1056" t="s">
        <v>24</v>
      </c>
      <c r="J1056" t="s">
        <v>114</v>
      </c>
      <c r="K1056" t="s">
        <v>102</v>
      </c>
      <c r="L1056" t="s">
        <v>27</v>
      </c>
      <c r="M1056">
        <v>720</v>
      </c>
      <c r="N1056" t="s">
        <v>27</v>
      </c>
      <c r="O1056">
        <v>720</v>
      </c>
      <c r="P1056">
        <v>720</v>
      </c>
      <c r="Q1056" t="s">
        <v>30</v>
      </c>
      <c r="R1056" s="2">
        <v>0.7</v>
      </c>
      <c r="S1056">
        <v>504</v>
      </c>
      <c r="T1056" t="s">
        <v>27</v>
      </c>
      <c r="U1056">
        <v>504</v>
      </c>
      <c r="V1056" s="7" t="str">
        <f>IF(ISERROR(VLOOKUP(K1056,[1]작가별정산률!$R:$S,2,0)),"스토리위즈",VLOOKUP(K1056,[1]작가별정산률!$R:$S,2,0))</f>
        <v>스토리위즈</v>
      </c>
      <c r="W1056" s="7" t="str">
        <f>IF(V1056="스토리위즈",VLOOKUP(K1056,[1]작가별정산률!$A:$B,2,0),V1056)</f>
        <v>예로나</v>
      </c>
    </row>
    <row r="1057" spans="1:23" x14ac:dyDescent="0.4">
      <c r="A1057" t="s">
        <v>262</v>
      </c>
      <c r="B1057" t="s">
        <v>1340</v>
      </c>
      <c r="C1057" t="s">
        <v>1369</v>
      </c>
      <c r="D1057" t="s">
        <v>21</v>
      </c>
      <c r="E1057" t="s">
        <v>22</v>
      </c>
      <c r="F1057" t="s">
        <v>23</v>
      </c>
      <c r="G1057">
        <v>1</v>
      </c>
      <c r="H1057">
        <v>9791166300240</v>
      </c>
      <c r="I1057" t="s">
        <v>24</v>
      </c>
      <c r="J1057" t="s">
        <v>133</v>
      </c>
      <c r="K1057" t="s">
        <v>119</v>
      </c>
      <c r="L1057" t="s">
        <v>27</v>
      </c>
      <c r="M1057" s="3">
        <v>3200</v>
      </c>
      <c r="N1057" t="s">
        <v>27</v>
      </c>
      <c r="O1057" s="3">
        <v>3200</v>
      </c>
      <c r="P1057" s="3">
        <v>3200</v>
      </c>
      <c r="Q1057" t="s">
        <v>30</v>
      </c>
      <c r="R1057" s="2">
        <v>0.7</v>
      </c>
      <c r="S1057" s="3">
        <v>2240</v>
      </c>
      <c r="T1057" t="s">
        <v>27</v>
      </c>
      <c r="U1057" s="3">
        <v>2240</v>
      </c>
      <c r="V1057" s="7" t="str">
        <f>IF(ISERROR(VLOOKUP(K1057,[1]작가별정산률!$R:$S,2,0)),"스토리위즈",VLOOKUP(K1057,[1]작가별정산률!$R:$S,2,0))</f>
        <v>스토리위즈</v>
      </c>
      <c r="W1057" s="7" t="str">
        <f>IF(V1057="스토리위즈",VLOOKUP(K1057,[1]작가별정산률!$A:$B,2,0),V1057)</f>
        <v>김광수</v>
      </c>
    </row>
    <row r="1058" spans="1:23" x14ac:dyDescent="0.4">
      <c r="A1058" t="s">
        <v>262</v>
      </c>
      <c r="B1058" t="s">
        <v>1340</v>
      </c>
      <c r="C1058" t="s">
        <v>1370</v>
      </c>
      <c r="D1058" t="s">
        <v>64</v>
      </c>
      <c r="E1058" t="s">
        <v>22</v>
      </c>
      <c r="F1058" t="s">
        <v>23</v>
      </c>
      <c r="G1058">
        <v>1</v>
      </c>
      <c r="H1058">
        <v>9791166300660</v>
      </c>
      <c r="I1058" t="s">
        <v>24</v>
      </c>
      <c r="J1058" t="s">
        <v>156</v>
      </c>
      <c r="K1058" t="s">
        <v>119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2">
        <v>0.7</v>
      </c>
      <c r="S1058">
        <v>441</v>
      </c>
      <c r="T1058" t="s">
        <v>27</v>
      </c>
      <c r="U1058">
        <v>441</v>
      </c>
      <c r="V1058" s="7" t="str">
        <f>IF(ISERROR(VLOOKUP(K1058,[1]작가별정산률!$R:$S,2,0)),"스토리위즈",VLOOKUP(K1058,[1]작가별정산률!$R:$S,2,0))</f>
        <v>스토리위즈</v>
      </c>
      <c r="W1058" s="7" t="str">
        <f>IF(V1058="스토리위즈",VLOOKUP(K1058,[1]작가별정산률!$A:$B,2,0),V1058)</f>
        <v>김광수</v>
      </c>
    </row>
    <row r="1059" spans="1:23" x14ac:dyDescent="0.4">
      <c r="A1059" t="s">
        <v>262</v>
      </c>
      <c r="B1059" t="s">
        <v>1340</v>
      </c>
      <c r="C1059" t="s">
        <v>1371</v>
      </c>
      <c r="D1059" t="s">
        <v>64</v>
      </c>
      <c r="E1059" t="s">
        <v>22</v>
      </c>
      <c r="F1059" t="s">
        <v>23</v>
      </c>
      <c r="G1059">
        <v>1</v>
      </c>
      <c r="H1059">
        <v>9791166300592</v>
      </c>
      <c r="I1059" t="s">
        <v>24</v>
      </c>
      <c r="J1059" t="s">
        <v>161</v>
      </c>
      <c r="K1059" t="s">
        <v>119</v>
      </c>
      <c r="L1059" t="s">
        <v>27</v>
      </c>
      <c r="M1059">
        <v>630</v>
      </c>
      <c r="N1059" t="s">
        <v>27</v>
      </c>
      <c r="O1059">
        <v>630</v>
      </c>
      <c r="P1059">
        <v>630</v>
      </c>
      <c r="Q1059" t="s">
        <v>30</v>
      </c>
      <c r="R1059" s="2">
        <v>0.7</v>
      </c>
      <c r="S1059">
        <v>441</v>
      </c>
      <c r="T1059" t="s">
        <v>27</v>
      </c>
      <c r="U1059">
        <v>441</v>
      </c>
      <c r="V1059" s="7" t="str">
        <f>IF(ISERROR(VLOOKUP(K1059,[1]작가별정산률!$R:$S,2,0)),"스토리위즈",VLOOKUP(K1059,[1]작가별정산률!$R:$S,2,0))</f>
        <v>스토리위즈</v>
      </c>
      <c r="W1059" s="7" t="str">
        <f>IF(V1059="스토리위즈",VLOOKUP(K1059,[1]작가별정산률!$A:$B,2,0),V1059)</f>
        <v>김광수</v>
      </c>
    </row>
    <row r="1060" spans="1:23" x14ac:dyDescent="0.4">
      <c r="A1060" t="s">
        <v>262</v>
      </c>
      <c r="B1060" t="s">
        <v>1340</v>
      </c>
      <c r="C1060" t="s">
        <v>1372</v>
      </c>
      <c r="D1060" t="s">
        <v>64</v>
      </c>
      <c r="E1060" t="s">
        <v>22</v>
      </c>
      <c r="F1060" t="s">
        <v>23</v>
      </c>
      <c r="G1060">
        <v>1</v>
      </c>
      <c r="H1060">
        <v>9791166300493</v>
      </c>
      <c r="I1060" t="s">
        <v>24</v>
      </c>
      <c r="J1060" t="s">
        <v>147</v>
      </c>
      <c r="K1060" t="s">
        <v>119</v>
      </c>
      <c r="L1060" t="s">
        <v>27</v>
      </c>
      <c r="M1060">
        <v>630</v>
      </c>
      <c r="N1060" t="s">
        <v>27</v>
      </c>
      <c r="O1060">
        <v>630</v>
      </c>
      <c r="P1060">
        <v>630</v>
      </c>
      <c r="Q1060" t="s">
        <v>30</v>
      </c>
      <c r="R1060" s="2">
        <v>0.7</v>
      </c>
      <c r="S1060">
        <v>441</v>
      </c>
      <c r="T1060" t="s">
        <v>27</v>
      </c>
      <c r="U1060">
        <v>441</v>
      </c>
      <c r="V1060" s="7" t="str">
        <f>IF(ISERROR(VLOOKUP(K1060,[1]작가별정산률!$R:$S,2,0)),"스토리위즈",VLOOKUP(K1060,[1]작가별정산률!$R:$S,2,0))</f>
        <v>스토리위즈</v>
      </c>
      <c r="W1060" s="7" t="str">
        <f>IF(V1060="스토리위즈",VLOOKUP(K1060,[1]작가별정산률!$A:$B,2,0),V1060)</f>
        <v>김광수</v>
      </c>
    </row>
    <row r="1061" spans="1:23" x14ac:dyDescent="0.4">
      <c r="A1061" t="s">
        <v>262</v>
      </c>
      <c r="B1061" t="s">
        <v>1340</v>
      </c>
      <c r="C1061" t="s">
        <v>1373</v>
      </c>
      <c r="D1061" t="s">
        <v>64</v>
      </c>
      <c r="E1061" t="s">
        <v>22</v>
      </c>
      <c r="F1061" t="s">
        <v>23</v>
      </c>
      <c r="G1061">
        <v>1</v>
      </c>
      <c r="H1061">
        <v>9791166300554</v>
      </c>
      <c r="I1061" t="s">
        <v>24</v>
      </c>
      <c r="J1061" t="s">
        <v>154</v>
      </c>
      <c r="K1061" t="s">
        <v>119</v>
      </c>
      <c r="L1061" t="s">
        <v>27</v>
      </c>
      <c r="M1061">
        <v>630</v>
      </c>
      <c r="N1061" t="s">
        <v>27</v>
      </c>
      <c r="O1061">
        <v>630</v>
      </c>
      <c r="P1061">
        <v>630</v>
      </c>
      <c r="Q1061" t="s">
        <v>30</v>
      </c>
      <c r="R1061" s="2">
        <v>0.7</v>
      </c>
      <c r="S1061">
        <v>441</v>
      </c>
      <c r="T1061" t="s">
        <v>27</v>
      </c>
      <c r="U1061">
        <v>441</v>
      </c>
      <c r="V1061" s="7" t="str">
        <f>IF(ISERROR(VLOOKUP(K1061,[1]작가별정산률!$R:$S,2,0)),"스토리위즈",VLOOKUP(K1061,[1]작가별정산률!$R:$S,2,0))</f>
        <v>스토리위즈</v>
      </c>
      <c r="W1061" s="7" t="str">
        <f>IF(V1061="스토리위즈",VLOOKUP(K1061,[1]작가별정산률!$A:$B,2,0),V1061)</f>
        <v>김광수</v>
      </c>
    </row>
    <row r="1062" spans="1:23" x14ac:dyDescent="0.4">
      <c r="A1062" t="s">
        <v>262</v>
      </c>
      <c r="B1062" t="s">
        <v>1340</v>
      </c>
      <c r="C1062" t="s">
        <v>1374</v>
      </c>
      <c r="D1062" t="s">
        <v>64</v>
      </c>
      <c r="E1062" t="s">
        <v>22</v>
      </c>
      <c r="F1062" t="s">
        <v>23</v>
      </c>
      <c r="G1062">
        <v>1</v>
      </c>
      <c r="H1062">
        <v>9791166300530</v>
      </c>
      <c r="I1062" t="s">
        <v>24</v>
      </c>
      <c r="J1062" t="s">
        <v>151</v>
      </c>
      <c r="K1062" t="s">
        <v>119</v>
      </c>
      <c r="L1062" t="s">
        <v>27</v>
      </c>
      <c r="M1062">
        <v>630</v>
      </c>
      <c r="N1062" t="s">
        <v>27</v>
      </c>
      <c r="O1062">
        <v>630</v>
      </c>
      <c r="P1062">
        <v>630</v>
      </c>
      <c r="Q1062" t="s">
        <v>30</v>
      </c>
      <c r="R1062" s="2">
        <v>0.7</v>
      </c>
      <c r="S1062">
        <v>441</v>
      </c>
      <c r="T1062" t="s">
        <v>27</v>
      </c>
      <c r="U1062">
        <v>441</v>
      </c>
      <c r="V1062" s="7" t="str">
        <f>IF(ISERROR(VLOOKUP(K1062,[1]작가별정산률!$R:$S,2,0)),"스토리위즈",VLOOKUP(K1062,[1]작가별정산률!$R:$S,2,0))</f>
        <v>스토리위즈</v>
      </c>
      <c r="W1062" s="7" t="str">
        <f>IF(V1062="스토리위즈",VLOOKUP(K1062,[1]작가별정산률!$A:$B,2,0),V1062)</f>
        <v>김광수</v>
      </c>
    </row>
    <row r="1063" spans="1:23" x14ac:dyDescent="0.4">
      <c r="A1063" t="s">
        <v>262</v>
      </c>
      <c r="B1063" t="s">
        <v>1340</v>
      </c>
      <c r="C1063" t="s">
        <v>1375</v>
      </c>
      <c r="D1063" t="s">
        <v>64</v>
      </c>
      <c r="E1063" t="s">
        <v>22</v>
      </c>
      <c r="F1063" t="s">
        <v>23</v>
      </c>
      <c r="G1063">
        <v>1</v>
      </c>
      <c r="H1063">
        <v>9791159282881</v>
      </c>
      <c r="I1063" t="s">
        <v>24</v>
      </c>
      <c r="J1063" t="s">
        <v>34</v>
      </c>
      <c r="K1063" t="s">
        <v>26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2">
        <v>0.7</v>
      </c>
      <c r="S1063">
        <v>441</v>
      </c>
      <c r="T1063" t="s">
        <v>27</v>
      </c>
      <c r="U1063">
        <v>441</v>
      </c>
      <c r="V1063" s="7" t="str">
        <f>IF(ISERROR(VLOOKUP(K1063,[1]작가별정산률!$R:$S,2,0)),"스토리위즈",VLOOKUP(K1063,[1]작가별정산률!$R:$S,2,0))</f>
        <v>스토리위즈</v>
      </c>
      <c r="W1063" s="7" t="str">
        <f>IF(V1063="스토리위즈",VLOOKUP(K1063,[1]작가별정산률!$A:$B,2,0),V1063)</f>
        <v>독고진</v>
      </c>
    </row>
    <row r="1064" spans="1:23" x14ac:dyDescent="0.4">
      <c r="A1064" t="s">
        <v>262</v>
      </c>
      <c r="B1064" t="s">
        <v>1340</v>
      </c>
      <c r="C1064" t="s">
        <v>1376</v>
      </c>
      <c r="D1064" t="s">
        <v>21</v>
      </c>
      <c r="E1064" t="s">
        <v>22</v>
      </c>
      <c r="F1064" t="s">
        <v>23</v>
      </c>
      <c r="G1064">
        <v>1</v>
      </c>
      <c r="H1064">
        <v>9791189084448</v>
      </c>
      <c r="I1064" t="s">
        <v>143</v>
      </c>
      <c r="J1064" t="s">
        <v>1377</v>
      </c>
      <c r="K1064" t="s">
        <v>1378</v>
      </c>
      <c r="L1064" t="s">
        <v>27</v>
      </c>
      <c r="M1064" s="3">
        <v>3000</v>
      </c>
      <c r="N1064" t="s">
        <v>27</v>
      </c>
      <c r="O1064" s="3">
        <v>3000</v>
      </c>
      <c r="P1064" s="3">
        <v>3000</v>
      </c>
      <c r="Q1064" t="s">
        <v>30</v>
      </c>
      <c r="R1064" s="2">
        <v>0.7</v>
      </c>
      <c r="S1064" s="3">
        <v>2100</v>
      </c>
      <c r="T1064" t="s">
        <v>27</v>
      </c>
      <c r="U1064" s="3">
        <v>2100</v>
      </c>
      <c r="V1064" s="7" t="str">
        <f>IF(ISERROR(VLOOKUP(K1064,[1]작가별정산률!$R:$S,2,0)),"스토리위즈",VLOOKUP(K1064,[1]작가별정산률!$R:$S,2,0))</f>
        <v>스토리위즈</v>
      </c>
      <c r="W1064" s="7" t="str">
        <f>IF(V1064="스토리위즈",VLOOKUP(K1064,[1]작가별정산률!$A:$B,2,0),V1064)</f>
        <v>밈스</v>
      </c>
    </row>
    <row r="1065" spans="1:23" x14ac:dyDescent="0.4">
      <c r="A1065" t="s">
        <v>262</v>
      </c>
      <c r="B1065" t="s">
        <v>1340</v>
      </c>
      <c r="C1065" t="s">
        <v>1379</v>
      </c>
      <c r="D1065" t="s">
        <v>64</v>
      </c>
      <c r="E1065" t="s">
        <v>22</v>
      </c>
      <c r="F1065" t="s">
        <v>23</v>
      </c>
      <c r="G1065">
        <v>1</v>
      </c>
      <c r="H1065">
        <v>9791166300509</v>
      </c>
      <c r="I1065" t="s">
        <v>24</v>
      </c>
      <c r="J1065" t="s">
        <v>148</v>
      </c>
      <c r="K1065" t="s">
        <v>119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  <c r="V1065" s="7" t="str">
        <f>IF(ISERROR(VLOOKUP(K1065,[1]작가별정산률!$R:$S,2,0)),"스토리위즈",VLOOKUP(K1065,[1]작가별정산률!$R:$S,2,0))</f>
        <v>스토리위즈</v>
      </c>
      <c r="W1065" s="7" t="str">
        <f>IF(V1065="스토리위즈",VLOOKUP(K1065,[1]작가별정산률!$A:$B,2,0),V1065)</f>
        <v>김광수</v>
      </c>
    </row>
    <row r="1066" spans="1:23" x14ac:dyDescent="0.4">
      <c r="A1066" t="s">
        <v>262</v>
      </c>
      <c r="B1066" t="s">
        <v>1340</v>
      </c>
      <c r="C1066" t="s">
        <v>1380</v>
      </c>
      <c r="D1066" t="s">
        <v>64</v>
      </c>
      <c r="E1066" t="s">
        <v>22</v>
      </c>
      <c r="F1066" t="s">
        <v>23</v>
      </c>
      <c r="G1066">
        <v>1</v>
      </c>
      <c r="H1066">
        <v>9791159283093</v>
      </c>
      <c r="I1066" t="s">
        <v>24</v>
      </c>
      <c r="J1066" t="s">
        <v>73</v>
      </c>
      <c r="K1066" t="s">
        <v>37</v>
      </c>
      <c r="L1066" t="s">
        <v>27</v>
      </c>
      <c r="M1066">
        <v>900</v>
      </c>
      <c r="N1066" t="s">
        <v>27</v>
      </c>
      <c r="O1066">
        <v>900</v>
      </c>
      <c r="P1066">
        <v>900</v>
      </c>
      <c r="Q1066" t="s">
        <v>30</v>
      </c>
      <c r="R1066" s="2">
        <v>0.7</v>
      </c>
      <c r="S1066">
        <v>630</v>
      </c>
      <c r="T1066" t="s">
        <v>27</v>
      </c>
      <c r="U1066">
        <v>630</v>
      </c>
      <c r="V1066" s="7" t="str">
        <f>IF(ISERROR(VLOOKUP(K1066,[1]작가별정산률!$R:$S,2,0)),"스토리위즈",VLOOKUP(K1066,[1]작가별정산률!$R:$S,2,0))</f>
        <v>스토리위즈</v>
      </c>
      <c r="W1066" s="7" t="str">
        <f>IF(V1066="스토리위즈",VLOOKUP(K1066,[1]작가별정산률!$A:$B,2,0),V1066)</f>
        <v>권용찬</v>
      </c>
    </row>
    <row r="1067" spans="1:23" x14ac:dyDescent="0.4">
      <c r="A1067" t="s">
        <v>262</v>
      </c>
      <c r="B1067" t="s">
        <v>1340</v>
      </c>
      <c r="C1067" t="s">
        <v>1381</v>
      </c>
      <c r="D1067" t="s">
        <v>64</v>
      </c>
      <c r="E1067" t="s">
        <v>22</v>
      </c>
      <c r="F1067" t="s">
        <v>23</v>
      </c>
      <c r="G1067">
        <v>1</v>
      </c>
      <c r="H1067">
        <v>9791166300516</v>
      </c>
      <c r="I1067" t="s">
        <v>24</v>
      </c>
      <c r="J1067" t="s">
        <v>149</v>
      </c>
      <c r="K1067" t="s">
        <v>119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  <c r="V1067" s="7" t="str">
        <f>IF(ISERROR(VLOOKUP(K1067,[1]작가별정산률!$R:$S,2,0)),"스토리위즈",VLOOKUP(K1067,[1]작가별정산률!$R:$S,2,0))</f>
        <v>스토리위즈</v>
      </c>
      <c r="W1067" s="7" t="str">
        <f>IF(V1067="스토리위즈",VLOOKUP(K1067,[1]작가별정산률!$A:$B,2,0),V1067)</f>
        <v>김광수</v>
      </c>
    </row>
    <row r="1068" spans="1:23" x14ac:dyDescent="0.4">
      <c r="A1068" t="s">
        <v>262</v>
      </c>
      <c r="B1068" t="s">
        <v>1340</v>
      </c>
      <c r="C1068" t="s">
        <v>1382</v>
      </c>
      <c r="D1068" t="s">
        <v>64</v>
      </c>
      <c r="E1068" t="s">
        <v>22</v>
      </c>
      <c r="F1068" t="s">
        <v>23</v>
      </c>
      <c r="G1068">
        <v>1</v>
      </c>
      <c r="H1068">
        <v>9791166300646</v>
      </c>
      <c r="I1068" t="s">
        <v>24</v>
      </c>
      <c r="J1068" t="s">
        <v>155</v>
      </c>
      <c r="K1068" t="s">
        <v>119</v>
      </c>
      <c r="L1068" t="s">
        <v>27</v>
      </c>
      <c r="M1068">
        <v>630</v>
      </c>
      <c r="N1068" t="s">
        <v>27</v>
      </c>
      <c r="O1068">
        <v>630</v>
      </c>
      <c r="P1068">
        <v>630</v>
      </c>
      <c r="Q1068" t="s">
        <v>30</v>
      </c>
      <c r="R1068" s="2">
        <v>0.7</v>
      </c>
      <c r="S1068">
        <v>441</v>
      </c>
      <c r="T1068" t="s">
        <v>27</v>
      </c>
      <c r="U1068">
        <v>441</v>
      </c>
      <c r="V1068" s="7" t="str">
        <f>IF(ISERROR(VLOOKUP(K1068,[1]작가별정산률!$R:$S,2,0)),"스토리위즈",VLOOKUP(K1068,[1]작가별정산률!$R:$S,2,0))</f>
        <v>스토리위즈</v>
      </c>
      <c r="W1068" s="7" t="str">
        <f>IF(V1068="스토리위즈",VLOOKUP(K1068,[1]작가별정산률!$A:$B,2,0),V1068)</f>
        <v>김광수</v>
      </c>
    </row>
    <row r="1069" spans="1:23" x14ac:dyDescent="0.4">
      <c r="A1069" t="s">
        <v>262</v>
      </c>
      <c r="B1069" t="s">
        <v>1340</v>
      </c>
      <c r="C1069" t="s">
        <v>1383</v>
      </c>
      <c r="D1069" t="s">
        <v>64</v>
      </c>
      <c r="E1069" t="s">
        <v>22</v>
      </c>
      <c r="F1069" t="s">
        <v>23</v>
      </c>
      <c r="G1069">
        <v>1</v>
      </c>
      <c r="H1069">
        <v>9791166300585</v>
      </c>
      <c r="I1069" t="s">
        <v>24</v>
      </c>
      <c r="J1069" t="s">
        <v>160</v>
      </c>
      <c r="K1069" t="s">
        <v>119</v>
      </c>
      <c r="L1069" t="s">
        <v>27</v>
      </c>
      <c r="M1069">
        <v>630</v>
      </c>
      <c r="N1069" t="s">
        <v>27</v>
      </c>
      <c r="O1069">
        <v>630</v>
      </c>
      <c r="P1069">
        <v>630</v>
      </c>
      <c r="Q1069" t="s">
        <v>30</v>
      </c>
      <c r="R1069" s="2">
        <v>0.7</v>
      </c>
      <c r="S1069">
        <v>441</v>
      </c>
      <c r="T1069" t="s">
        <v>27</v>
      </c>
      <c r="U1069">
        <v>441</v>
      </c>
      <c r="V1069" s="7" t="str">
        <f>IF(ISERROR(VLOOKUP(K1069,[1]작가별정산률!$R:$S,2,0)),"스토리위즈",VLOOKUP(K1069,[1]작가별정산률!$R:$S,2,0))</f>
        <v>스토리위즈</v>
      </c>
      <c r="W1069" s="7" t="str">
        <f>IF(V1069="스토리위즈",VLOOKUP(K1069,[1]작가별정산률!$A:$B,2,0),V1069)</f>
        <v>김광수</v>
      </c>
    </row>
    <row r="1070" spans="1:23" x14ac:dyDescent="0.4">
      <c r="A1070" t="s">
        <v>262</v>
      </c>
      <c r="B1070" t="s">
        <v>1340</v>
      </c>
      <c r="C1070" t="s">
        <v>1384</v>
      </c>
      <c r="D1070" t="s">
        <v>64</v>
      </c>
      <c r="E1070" t="s">
        <v>22</v>
      </c>
      <c r="F1070" t="s">
        <v>23</v>
      </c>
      <c r="G1070">
        <v>1</v>
      </c>
      <c r="H1070">
        <v>9791159283222</v>
      </c>
      <c r="I1070" t="s">
        <v>24</v>
      </c>
      <c r="J1070" t="s">
        <v>65</v>
      </c>
      <c r="K1070" t="s">
        <v>37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  <c r="V1070" s="7" t="str">
        <f>IF(ISERROR(VLOOKUP(K1070,[1]작가별정산률!$R:$S,2,0)),"스토리위즈",VLOOKUP(K1070,[1]작가별정산률!$R:$S,2,0))</f>
        <v>스토리위즈</v>
      </c>
      <c r="W1070" s="7" t="str">
        <f>IF(V1070="스토리위즈",VLOOKUP(K1070,[1]작가별정산률!$A:$B,2,0),V1070)</f>
        <v>권용찬</v>
      </c>
    </row>
    <row r="1071" spans="1:23" x14ac:dyDescent="0.4">
      <c r="A1071" t="s">
        <v>262</v>
      </c>
      <c r="B1071" t="s">
        <v>1340</v>
      </c>
      <c r="C1071" t="s">
        <v>1385</v>
      </c>
      <c r="D1071" t="s">
        <v>64</v>
      </c>
      <c r="E1071" t="s">
        <v>22</v>
      </c>
      <c r="F1071" t="s">
        <v>23</v>
      </c>
      <c r="G1071">
        <v>1</v>
      </c>
      <c r="H1071">
        <v>9791166300547</v>
      </c>
      <c r="I1071" t="s">
        <v>24</v>
      </c>
      <c r="J1071" t="s">
        <v>153</v>
      </c>
      <c r="K1071" t="s">
        <v>119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2">
        <v>0.7</v>
      </c>
      <c r="S1071">
        <v>441</v>
      </c>
      <c r="T1071" t="s">
        <v>27</v>
      </c>
      <c r="U1071">
        <v>441</v>
      </c>
      <c r="V1071" s="7" t="str">
        <f>IF(ISERROR(VLOOKUP(K1071,[1]작가별정산률!$R:$S,2,0)),"스토리위즈",VLOOKUP(K1071,[1]작가별정산률!$R:$S,2,0))</f>
        <v>스토리위즈</v>
      </c>
      <c r="W1071" s="7" t="str">
        <f>IF(V1071="스토리위즈",VLOOKUP(K1071,[1]작가별정산률!$A:$B,2,0),V1071)</f>
        <v>김광수</v>
      </c>
    </row>
    <row r="1072" spans="1:23" x14ac:dyDescent="0.4">
      <c r="A1072" t="s">
        <v>262</v>
      </c>
      <c r="B1072" t="s">
        <v>1340</v>
      </c>
      <c r="C1072" t="s">
        <v>1386</v>
      </c>
      <c r="D1072" t="s">
        <v>64</v>
      </c>
      <c r="E1072" t="s">
        <v>22</v>
      </c>
      <c r="F1072" t="s">
        <v>23</v>
      </c>
      <c r="G1072">
        <v>1</v>
      </c>
      <c r="H1072">
        <v>9791166300127</v>
      </c>
      <c r="I1072" t="s">
        <v>24</v>
      </c>
      <c r="J1072" t="s">
        <v>122</v>
      </c>
      <c r="K1072" t="s">
        <v>119</v>
      </c>
      <c r="L1072" t="s">
        <v>27</v>
      </c>
      <c r="M1072">
        <v>630</v>
      </c>
      <c r="N1072" t="s">
        <v>27</v>
      </c>
      <c r="O1072">
        <v>630</v>
      </c>
      <c r="P1072">
        <v>630</v>
      </c>
      <c r="Q1072" t="s">
        <v>30</v>
      </c>
      <c r="R1072" s="2">
        <v>0.7</v>
      </c>
      <c r="S1072">
        <v>441</v>
      </c>
      <c r="T1072" t="s">
        <v>27</v>
      </c>
      <c r="U1072">
        <v>441</v>
      </c>
      <c r="V1072" s="7" t="str">
        <f>IF(ISERROR(VLOOKUP(K1072,[1]작가별정산률!$R:$S,2,0)),"스토리위즈",VLOOKUP(K1072,[1]작가별정산률!$R:$S,2,0))</f>
        <v>스토리위즈</v>
      </c>
      <c r="W1072" s="7" t="str">
        <f>IF(V1072="스토리위즈",VLOOKUP(K1072,[1]작가별정산률!$A:$B,2,0),V1072)</f>
        <v>김광수</v>
      </c>
    </row>
    <row r="1073" spans="1:23" x14ac:dyDescent="0.4">
      <c r="A1073" t="s">
        <v>262</v>
      </c>
      <c r="B1073" t="s">
        <v>1340</v>
      </c>
      <c r="C1073" t="s">
        <v>1387</v>
      </c>
      <c r="D1073" t="s">
        <v>21</v>
      </c>
      <c r="E1073" t="s">
        <v>22</v>
      </c>
      <c r="F1073" t="s">
        <v>23</v>
      </c>
      <c r="G1073">
        <v>1</v>
      </c>
      <c r="H1073">
        <v>9791166300509</v>
      </c>
      <c r="I1073" t="s">
        <v>24</v>
      </c>
      <c r="J1073" t="s">
        <v>148</v>
      </c>
      <c r="K1073" t="s">
        <v>119</v>
      </c>
      <c r="L1073" t="s">
        <v>27</v>
      </c>
      <c r="M1073" s="3">
        <v>3200</v>
      </c>
      <c r="N1073" t="s">
        <v>27</v>
      </c>
      <c r="O1073" s="3">
        <v>3200</v>
      </c>
      <c r="P1073" s="3">
        <v>3200</v>
      </c>
      <c r="Q1073" t="s">
        <v>30</v>
      </c>
      <c r="R1073" s="2">
        <v>0.7</v>
      </c>
      <c r="S1073" s="3">
        <v>2240</v>
      </c>
      <c r="T1073" t="s">
        <v>27</v>
      </c>
      <c r="U1073" s="3">
        <v>2240</v>
      </c>
      <c r="V1073" s="7" t="str">
        <f>IF(ISERROR(VLOOKUP(K1073,[1]작가별정산률!$R:$S,2,0)),"스토리위즈",VLOOKUP(K1073,[1]작가별정산률!$R:$S,2,0))</f>
        <v>스토리위즈</v>
      </c>
      <c r="W1073" s="7" t="str">
        <f>IF(V1073="스토리위즈",VLOOKUP(K1073,[1]작가별정산률!$A:$B,2,0),V1073)</f>
        <v>김광수</v>
      </c>
    </row>
    <row r="1074" spans="1:23" x14ac:dyDescent="0.4">
      <c r="A1074" t="s">
        <v>262</v>
      </c>
      <c r="B1074" t="s">
        <v>1340</v>
      </c>
      <c r="C1074" t="s">
        <v>1388</v>
      </c>
      <c r="D1074" t="s">
        <v>64</v>
      </c>
      <c r="E1074" t="s">
        <v>22</v>
      </c>
      <c r="F1074" t="s">
        <v>23</v>
      </c>
      <c r="G1074">
        <v>1</v>
      </c>
      <c r="H1074">
        <v>9791166300172</v>
      </c>
      <c r="I1074" t="s">
        <v>24</v>
      </c>
      <c r="J1074" t="s">
        <v>127</v>
      </c>
      <c r="K1074" t="s">
        <v>119</v>
      </c>
      <c r="L1074" t="s">
        <v>27</v>
      </c>
      <c r="M1074">
        <v>630</v>
      </c>
      <c r="N1074" t="s">
        <v>27</v>
      </c>
      <c r="O1074">
        <v>630</v>
      </c>
      <c r="P1074">
        <v>630</v>
      </c>
      <c r="Q1074" t="s">
        <v>30</v>
      </c>
      <c r="R1074" s="2">
        <v>0.7</v>
      </c>
      <c r="S1074">
        <v>441</v>
      </c>
      <c r="T1074" t="s">
        <v>27</v>
      </c>
      <c r="U1074">
        <v>441</v>
      </c>
      <c r="V1074" s="7" t="str">
        <f>IF(ISERROR(VLOOKUP(K1074,[1]작가별정산률!$R:$S,2,0)),"스토리위즈",VLOOKUP(K1074,[1]작가별정산률!$R:$S,2,0))</f>
        <v>스토리위즈</v>
      </c>
      <c r="W1074" s="7" t="str">
        <f>IF(V1074="스토리위즈",VLOOKUP(K1074,[1]작가별정산률!$A:$B,2,0),V1074)</f>
        <v>김광수</v>
      </c>
    </row>
    <row r="1075" spans="1:23" x14ac:dyDescent="0.4">
      <c r="A1075" t="s">
        <v>262</v>
      </c>
      <c r="B1075" t="s">
        <v>1340</v>
      </c>
      <c r="C1075" t="s">
        <v>1389</v>
      </c>
      <c r="D1075" t="s">
        <v>64</v>
      </c>
      <c r="E1075" t="s">
        <v>22</v>
      </c>
      <c r="F1075" t="s">
        <v>23</v>
      </c>
      <c r="G1075">
        <v>1</v>
      </c>
      <c r="H1075">
        <v>9791166300141</v>
      </c>
      <c r="I1075" t="s">
        <v>24</v>
      </c>
      <c r="J1075" t="s">
        <v>124</v>
      </c>
      <c r="K1075" t="s">
        <v>119</v>
      </c>
      <c r="L1075" t="s">
        <v>27</v>
      </c>
      <c r="M1075">
        <v>630</v>
      </c>
      <c r="N1075" t="s">
        <v>27</v>
      </c>
      <c r="O1075">
        <v>630</v>
      </c>
      <c r="P1075">
        <v>630</v>
      </c>
      <c r="Q1075" t="s">
        <v>30</v>
      </c>
      <c r="R1075" s="2">
        <v>0.7</v>
      </c>
      <c r="S1075">
        <v>441</v>
      </c>
      <c r="T1075" t="s">
        <v>27</v>
      </c>
      <c r="U1075">
        <v>441</v>
      </c>
      <c r="V1075" s="7" t="str">
        <f>IF(ISERROR(VLOOKUP(K1075,[1]작가별정산률!$R:$S,2,0)),"스토리위즈",VLOOKUP(K1075,[1]작가별정산률!$R:$S,2,0))</f>
        <v>스토리위즈</v>
      </c>
      <c r="W1075" s="7" t="str">
        <f>IF(V1075="스토리위즈",VLOOKUP(K1075,[1]작가별정산률!$A:$B,2,0),V1075)</f>
        <v>김광수</v>
      </c>
    </row>
    <row r="1076" spans="1:23" x14ac:dyDescent="0.4">
      <c r="A1076" t="s">
        <v>262</v>
      </c>
      <c r="B1076" t="s">
        <v>1340</v>
      </c>
      <c r="C1076" t="s">
        <v>1390</v>
      </c>
      <c r="D1076" t="s">
        <v>64</v>
      </c>
      <c r="E1076" t="s">
        <v>22</v>
      </c>
      <c r="F1076" t="s">
        <v>23</v>
      </c>
      <c r="G1076">
        <v>1</v>
      </c>
      <c r="H1076">
        <v>9791159282256</v>
      </c>
      <c r="I1076" t="s">
        <v>24</v>
      </c>
      <c r="J1076" t="s">
        <v>117</v>
      </c>
      <c r="K1076" t="s">
        <v>37</v>
      </c>
      <c r="L1076" t="s">
        <v>27</v>
      </c>
      <c r="M1076">
        <v>900</v>
      </c>
      <c r="N1076" t="s">
        <v>27</v>
      </c>
      <c r="O1076">
        <v>900</v>
      </c>
      <c r="P1076">
        <v>900</v>
      </c>
      <c r="Q1076" t="s">
        <v>30</v>
      </c>
      <c r="R1076" s="2">
        <v>0.7</v>
      </c>
      <c r="S1076">
        <v>630</v>
      </c>
      <c r="T1076" t="s">
        <v>27</v>
      </c>
      <c r="U1076">
        <v>630</v>
      </c>
      <c r="V1076" s="7" t="str">
        <f>IF(ISERROR(VLOOKUP(K1076,[1]작가별정산률!$R:$S,2,0)),"스토리위즈",VLOOKUP(K1076,[1]작가별정산률!$R:$S,2,0))</f>
        <v>스토리위즈</v>
      </c>
      <c r="W1076" s="7" t="str">
        <f>IF(V1076="스토리위즈",VLOOKUP(K1076,[1]작가별정산률!$A:$B,2,0),V1076)</f>
        <v>권용찬</v>
      </c>
    </row>
    <row r="1077" spans="1:23" x14ac:dyDescent="0.4">
      <c r="A1077" t="s">
        <v>262</v>
      </c>
      <c r="B1077" t="s">
        <v>1340</v>
      </c>
      <c r="C1077" t="s">
        <v>1391</v>
      </c>
      <c r="D1077" t="s">
        <v>64</v>
      </c>
      <c r="E1077" t="s">
        <v>22</v>
      </c>
      <c r="F1077" t="s">
        <v>23</v>
      </c>
      <c r="G1077">
        <v>1</v>
      </c>
      <c r="H1077">
        <v>9791159282898</v>
      </c>
      <c r="I1077" t="s">
        <v>24</v>
      </c>
      <c r="J1077" t="s">
        <v>35</v>
      </c>
      <c r="K1077" t="s">
        <v>26</v>
      </c>
      <c r="L1077" t="s">
        <v>27</v>
      </c>
      <c r="M1077">
        <v>630</v>
      </c>
      <c r="N1077" t="s">
        <v>27</v>
      </c>
      <c r="O1077">
        <v>630</v>
      </c>
      <c r="P1077">
        <v>630</v>
      </c>
      <c r="Q1077" t="s">
        <v>30</v>
      </c>
      <c r="R1077" s="2">
        <v>0.7</v>
      </c>
      <c r="S1077">
        <v>441</v>
      </c>
      <c r="T1077" t="s">
        <v>27</v>
      </c>
      <c r="U1077">
        <v>441</v>
      </c>
      <c r="V1077" s="7" t="str">
        <f>IF(ISERROR(VLOOKUP(K1077,[1]작가별정산률!$R:$S,2,0)),"스토리위즈",VLOOKUP(K1077,[1]작가별정산률!$R:$S,2,0))</f>
        <v>스토리위즈</v>
      </c>
      <c r="W1077" s="7" t="str">
        <f>IF(V1077="스토리위즈",VLOOKUP(K1077,[1]작가별정산률!$A:$B,2,0),V1077)</f>
        <v>독고진</v>
      </c>
    </row>
    <row r="1078" spans="1:23" x14ac:dyDescent="0.4">
      <c r="A1078" t="s">
        <v>262</v>
      </c>
      <c r="B1078" t="s">
        <v>1340</v>
      </c>
      <c r="C1078" t="s">
        <v>1392</v>
      </c>
      <c r="D1078" t="s">
        <v>64</v>
      </c>
      <c r="E1078" t="s">
        <v>22</v>
      </c>
      <c r="F1078" t="s">
        <v>23</v>
      </c>
      <c r="G1078">
        <v>1</v>
      </c>
      <c r="H1078">
        <v>9791166300233</v>
      </c>
      <c r="I1078" t="s">
        <v>24</v>
      </c>
      <c r="J1078" t="s">
        <v>132</v>
      </c>
      <c r="K1078" t="s">
        <v>119</v>
      </c>
      <c r="L1078" t="s">
        <v>27</v>
      </c>
      <c r="M1078">
        <v>630</v>
      </c>
      <c r="N1078" t="s">
        <v>27</v>
      </c>
      <c r="O1078">
        <v>630</v>
      </c>
      <c r="P1078">
        <v>630</v>
      </c>
      <c r="Q1078" t="s">
        <v>30</v>
      </c>
      <c r="R1078" s="2">
        <v>0.7</v>
      </c>
      <c r="S1078">
        <v>441</v>
      </c>
      <c r="T1078" t="s">
        <v>27</v>
      </c>
      <c r="U1078">
        <v>441</v>
      </c>
      <c r="V1078" s="7" t="str">
        <f>IF(ISERROR(VLOOKUP(K1078,[1]작가별정산률!$R:$S,2,0)),"스토리위즈",VLOOKUP(K1078,[1]작가별정산률!$R:$S,2,0))</f>
        <v>스토리위즈</v>
      </c>
      <c r="W1078" s="7" t="str">
        <f>IF(V1078="스토리위즈",VLOOKUP(K1078,[1]작가별정산률!$A:$B,2,0),V1078)</f>
        <v>김광수</v>
      </c>
    </row>
    <row r="1079" spans="1:23" x14ac:dyDescent="0.4">
      <c r="A1079" t="s">
        <v>262</v>
      </c>
      <c r="B1079" t="s">
        <v>1340</v>
      </c>
      <c r="C1079" t="s">
        <v>1393</v>
      </c>
      <c r="D1079" t="s">
        <v>64</v>
      </c>
      <c r="E1079" t="s">
        <v>22</v>
      </c>
      <c r="F1079" t="s">
        <v>23</v>
      </c>
      <c r="G1079">
        <v>1</v>
      </c>
      <c r="H1079">
        <v>9791166300110</v>
      </c>
      <c r="I1079" t="s">
        <v>24</v>
      </c>
      <c r="J1079" t="s">
        <v>121</v>
      </c>
      <c r="K1079" t="s">
        <v>119</v>
      </c>
      <c r="L1079" t="s">
        <v>27</v>
      </c>
      <c r="M1079">
        <v>630</v>
      </c>
      <c r="N1079" t="s">
        <v>27</v>
      </c>
      <c r="O1079">
        <v>630</v>
      </c>
      <c r="P1079">
        <v>630</v>
      </c>
      <c r="Q1079" t="s">
        <v>30</v>
      </c>
      <c r="R1079" s="2">
        <v>0.7</v>
      </c>
      <c r="S1079">
        <v>441</v>
      </c>
      <c r="T1079" t="s">
        <v>27</v>
      </c>
      <c r="U1079">
        <v>441</v>
      </c>
      <c r="V1079" s="7" t="str">
        <f>IF(ISERROR(VLOOKUP(K1079,[1]작가별정산률!$R:$S,2,0)),"스토리위즈",VLOOKUP(K1079,[1]작가별정산률!$R:$S,2,0))</f>
        <v>스토리위즈</v>
      </c>
      <c r="W1079" s="7" t="str">
        <f>IF(V1079="스토리위즈",VLOOKUP(K1079,[1]작가별정산률!$A:$B,2,0),V1079)</f>
        <v>김광수</v>
      </c>
    </row>
    <row r="1080" spans="1:23" x14ac:dyDescent="0.4">
      <c r="A1080" t="s">
        <v>262</v>
      </c>
      <c r="B1080" t="s">
        <v>1340</v>
      </c>
      <c r="C1080" t="s">
        <v>1394</v>
      </c>
      <c r="D1080" t="s">
        <v>64</v>
      </c>
      <c r="E1080" t="s">
        <v>22</v>
      </c>
      <c r="F1080" t="s">
        <v>23</v>
      </c>
      <c r="G1080">
        <v>1</v>
      </c>
      <c r="H1080">
        <v>9791166061080</v>
      </c>
      <c r="I1080" t="s">
        <v>24</v>
      </c>
      <c r="J1080" t="s">
        <v>74</v>
      </c>
      <c r="K1080" t="s">
        <v>37</v>
      </c>
      <c r="L1080" t="s">
        <v>27</v>
      </c>
      <c r="M1080">
        <v>900</v>
      </c>
      <c r="N1080" t="s">
        <v>27</v>
      </c>
      <c r="O1080">
        <v>900</v>
      </c>
      <c r="P1080">
        <v>900</v>
      </c>
      <c r="Q1080" t="s">
        <v>30</v>
      </c>
      <c r="R1080" s="2">
        <v>0.7</v>
      </c>
      <c r="S1080">
        <v>630</v>
      </c>
      <c r="T1080" t="s">
        <v>27</v>
      </c>
      <c r="U1080">
        <v>630</v>
      </c>
      <c r="V1080" s="7" t="str">
        <f>IF(ISERROR(VLOOKUP(K1080,[1]작가별정산률!$R:$S,2,0)),"스토리위즈",VLOOKUP(K1080,[1]작가별정산률!$R:$S,2,0))</f>
        <v>스토리위즈</v>
      </c>
      <c r="W1080" s="7" t="str">
        <f>IF(V1080="스토리위즈",VLOOKUP(K1080,[1]작가별정산률!$A:$B,2,0),V1080)</f>
        <v>권용찬</v>
      </c>
    </row>
    <row r="1081" spans="1:23" x14ac:dyDescent="0.4">
      <c r="A1081" t="s">
        <v>262</v>
      </c>
      <c r="B1081" t="s">
        <v>1340</v>
      </c>
      <c r="C1081" t="s">
        <v>1395</v>
      </c>
      <c r="D1081" t="s">
        <v>64</v>
      </c>
      <c r="E1081" t="s">
        <v>22</v>
      </c>
      <c r="F1081" t="s">
        <v>23</v>
      </c>
      <c r="G1081">
        <v>1</v>
      </c>
      <c r="H1081">
        <v>9791159283239</v>
      </c>
      <c r="I1081" t="s">
        <v>24</v>
      </c>
      <c r="J1081" t="s">
        <v>66</v>
      </c>
      <c r="K1081" t="s">
        <v>37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2">
        <v>0.7</v>
      </c>
      <c r="S1081">
        <v>441</v>
      </c>
      <c r="T1081" t="s">
        <v>27</v>
      </c>
      <c r="U1081">
        <v>441</v>
      </c>
      <c r="V1081" s="7" t="str">
        <f>IF(ISERROR(VLOOKUP(K1081,[1]작가별정산률!$R:$S,2,0)),"스토리위즈",VLOOKUP(K1081,[1]작가별정산률!$R:$S,2,0))</f>
        <v>스토리위즈</v>
      </c>
      <c r="W1081" s="7" t="str">
        <f>IF(V1081="스토리위즈",VLOOKUP(K1081,[1]작가별정산률!$A:$B,2,0),V1081)</f>
        <v>권용찬</v>
      </c>
    </row>
    <row r="1082" spans="1:23" x14ac:dyDescent="0.4">
      <c r="A1082" t="s">
        <v>262</v>
      </c>
      <c r="B1082" t="s">
        <v>1340</v>
      </c>
      <c r="C1082" t="s">
        <v>1396</v>
      </c>
      <c r="D1082" t="s">
        <v>21</v>
      </c>
      <c r="E1082" t="s">
        <v>22</v>
      </c>
      <c r="F1082" t="s">
        <v>23</v>
      </c>
      <c r="G1082">
        <v>1</v>
      </c>
      <c r="H1082">
        <v>9791191562286</v>
      </c>
      <c r="I1082" t="s">
        <v>143</v>
      </c>
      <c r="J1082" t="s">
        <v>238</v>
      </c>
      <c r="K1082" t="s">
        <v>239</v>
      </c>
      <c r="L1082" t="s">
        <v>27</v>
      </c>
      <c r="M1082" s="3">
        <v>2000</v>
      </c>
      <c r="N1082" t="s">
        <v>28</v>
      </c>
      <c r="O1082">
        <v>1.65</v>
      </c>
      <c r="P1082">
        <v>1.65</v>
      </c>
      <c r="Q1082" t="s">
        <v>29</v>
      </c>
      <c r="R1082" s="2">
        <v>0.7</v>
      </c>
      <c r="S1082">
        <v>1.1499999999999999</v>
      </c>
      <c r="T1082" t="s">
        <v>27</v>
      </c>
      <c r="U1082" s="3">
        <v>1474</v>
      </c>
      <c r="V1082" s="7" t="str">
        <f>IF(ISERROR(VLOOKUP(K1082,[1]작가별정산률!$R:$S,2,0)),"스토리위즈",VLOOKUP(K1082,[1]작가별정산률!$R:$S,2,0))</f>
        <v>밀리의 서재</v>
      </c>
      <c r="W1082" s="7" t="str">
        <f>IF(V1082="스토리위즈",VLOOKUP(K1082,[1]작가별정산률!$A:$B,2,0),V1082)</f>
        <v>밀리의 서재</v>
      </c>
    </row>
    <row r="1083" spans="1:23" x14ac:dyDescent="0.4">
      <c r="A1083" t="s">
        <v>262</v>
      </c>
      <c r="B1083" t="s">
        <v>1340</v>
      </c>
      <c r="C1083" t="s">
        <v>1397</v>
      </c>
      <c r="D1083" t="s">
        <v>64</v>
      </c>
      <c r="E1083" t="s">
        <v>22</v>
      </c>
      <c r="F1083" t="s">
        <v>23</v>
      </c>
      <c r="G1083">
        <v>1</v>
      </c>
      <c r="H1083">
        <v>9791166300660</v>
      </c>
      <c r="I1083" t="s">
        <v>24</v>
      </c>
      <c r="J1083" t="s">
        <v>156</v>
      </c>
      <c r="K1083" t="s">
        <v>119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2">
        <v>0.7</v>
      </c>
      <c r="S1083">
        <v>441</v>
      </c>
      <c r="T1083" t="s">
        <v>27</v>
      </c>
      <c r="U1083">
        <v>441</v>
      </c>
      <c r="V1083" s="7" t="str">
        <f>IF(ISERROR(VLOOKUP(K1083,[1]작가별정산률!$R:$S,2,0)),"스토리위즈",VLOOKUP(K1083,[1]작가별정산률!$R:$S,2,0))</f>
        <v>스토리위즈</v>
      </c>
      <c r="W1083" s="7" t="str">
        <f>IF(V1083="스토리위즈",VLOOKUP(K1083,[1]작가별정산률!$A:$B,2,0),V1083)</f>
        <v>김광수</v>
      </c>
    </row>
    <row r="1084" spans="1:23" x14ac:dyDescent="0.4">
      <c r="A1084" t="s">
        <v>262</v>
      </c>
      <c r="B1084" t="s">
        <v>1340</v>
      </c>
      <c r="C1084" t="s">
        <v>1398</v>
      </c>
      <c r="D1084" t="s">
        <v>21</v>
      </c>
      <c r="E1084" t="s">
        <v>22</v>
      </c>
      <c r="F1084" t="s">
        <v>23</v>
      </c>
      <c r="G1084">
        <v>1</v>
      </c>
      <c r="H1084">
        <v>9791166300240</v>
      </c>
      <c r="I1084" t="s">
        <v>24</v>
      </c>
      <c r="J1084" t="s">
        <v>133</v>
      </c>
      <c r="K1084" t="s">
        <v>119</v>
      </c>
      <c r="L1084" t="s">
        <v>27</v>
      </c>
      <c r="M1084" s="3">
        <v>3200</v>
      </c>
      <c r="N1084" t="s">
        <v>27</v>
      </c>
      <c r="O1084" s="3">
        <v>3200</v>
      </c>
      <c r="P1084" s="3">
        <v>3200</v>
      </c>
      <c r="Q1084" t="s">
        <v>30</v>
      </c>
      <c r="R1084" s="2">
        <v>0.7</v>
      </c>
      <c r="S1084" s="3">
        <v>2240</v>
      </c>
      <c r="T1084" t="s">
        <v>27</v>
      </c>
      <c r="U1084" s="3">
        <v>2240</v>
      </c>
      <c r="V1084" s="7" t="str">
        <f>IF(ISERROR(VLOOKUP(K1084,[1]작가별정산률!$R:$S,2,0)),"스토리위즈",VLOOKUP(K1084,[1]작가별정산률!$R:$S,2,0))</f>
        <v>스토리위즈</v>
      </c>
      <c r="W1084" s="7" t="str">
        <f>IF(V1084="스토리위즈",VLOOKUP(K1084,[1]작가별정산률!$A:$B,2,0),V1084)</f>
        <v>김광수</v>
      </c>
    </row>
    <row r="1085" spans="1:23" x14ac:dyDescent="0.4">
      <c r="A1085" t="s">
        <v>262</v>
      </c>
      <c r="B1085" t="s">
        <v>1340</v>
      </c>
      <c r="C1085" t="s">
        <v>1399</v>
      </c>
      <c r="D1085" t="s">
        <v>64</v>
      </c>
      <c r="E1085" t="s">
        <v>22</v>
      </c>
      <c r="F1085" t="s">
        <v>23</v>
      </c>
      <c r="G1085">
        <v>1</v>
      </c>
      <c r="H1085">
        <v>9791166300592</v>
      </c>
      <c r="I1085" t="s">
        <v>24</v>
      </c>
      <c r="J1085" t="s">
        <v>161</v>
      </c>
      <c r="K1085" t="s">
        <v>119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2">
        <v>0.7</v>
      </c>
      <c r="S1085">
        <v>441</v>
      </c>
      <c r="T1085" t="s">
        <v>27</v>
      </c>
      <c r="U1085">
        <v>441</v>
      </c>
      <c r="V1085" s="7" t="str">
        <f>IF(ISERROR(VLOOKUP(K1085,[1]작가별정산률!$R:$S,2,0)),"스토리위즈",VLOOKUP(K1085,[1]작가별정산률!$R:$S,2,0))</f>
        <v>스토리위즈</v>
      </c>
      <c r="W1085" s="7" t="str">
        <f>IF(V1085="스토리위즈",VLOOKUP(K1085,[1]작가별정산률!$A:$B,2,0),V1085)</f>
        <v>김광수</v>
      </c>
    </row>
    <row r="1086" spans="1:23" x14ac:dyDescent="0.4">
      <c r="A1086" t="s">
        <v>262</v>
      </c>
      <c r="B1086" t="s">
        <v>1340</v>
      </c>
      <c r="C1086" t="s">
        <v>1400</v>
      </c>
      <c r="D1086" t="s">
        <v>21</v>
      </c>
      <c r="E1086" t="s">
        <v>22</v>
      </c>
      <c r="F1086" t="s">
        <v>23</v>
      </c>
      <c r="G1086">
        <v>1</v>
      </c>
      <c r="H1086">
        <v>9791191562286</v>
      </c>
      <c r="I1086" t="s">
        <v>143</v>
      </c>
      <c r="J1086" t="s">
        <v>238</v>
      </c>
      <c r="K1086" t="s">
        <v>239</v>
      </c>
      <c r="L1086" t="s">
        <v>27</v>
      </c>
      <c r="M1086" s="3">
        <v>2000</v>
      </c>
      <c r="N1086" t="s">
        <v>27</v>
      </c>
      <c r="O1086" s="3">
        <v>2000</v>
      </c>
      <c r="P1086" s="3">
        <v>2000</v>
      </c>
      <c r="Q1086" t="s">
        <v>30</v>
      </c>
      <c r="R1086" s="2">
        <v>0.7</v>
      </c>
      <c r="S1086" s="3">
        <v>1400</v>
      </c>
      <c r="T1086" t="s">
        <v>27</v>
      </c>
      <c r="U1086" s="3">
        <v>1400</v>
      </c>
      <c r="V1086" s="7" t="str">
        <f>IF(ISERROR(VLOOKUP(K1086,[1]작가별정산률!$R:$S,2,0)),"스토리위즈",VLOOKUP(K1086,[1]작가별정산률!$R:$S,2,0))</f>
        <v>밀리의 서재</v>
      </c>
      <c r="W1086" s="7" t="str">
        <f>IF(V1086="스토리위즈",VLOOKUP(K1086,[1]작가별정산률!$A:$B,2,0),V1086)</f>
        <v>밀리의 서재</v>
      </c>
    </row>
    <row r="1087" spans="1:23" x14ac:dyDescent="0.4">
      <c r="A1087" t="s">
        <v>262</v>
      </c>
      <c r="B1087" t="s">
        <v>1340</v>
      </c>
      <c r="C1087" t="s">
        <v>1401</v>
      </c>
      <c r="D1087" t="s">
        <v>64</v>
      </c>
      <c r="E1087" t="s">
        <v>22</v>
      </c>
      <c r="F1087" t="s">
        <v>23</v>
      </c>
      <c r="G1087">
        <v>1</v>
      </c>
      <c r="H1087">
        <v>9791166300127</v>
      </c>
      <c r="I1087" t="s">
        <v>24</v>
      </c>
      <c r="J1087" t="s">
        <v>122</v>
      </c>
      <c r="K1087" t="s">
        <v>119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2">
        <v>0.7</v>
      </c>
      <c r="S1087">
        <v>441</v>
      </c>
      <c r="T1087" t="s">
        <v>27</v>
      </c>
      <c r="U1087">
        <v>441</v>
      </c>
      <c r="V1087" s="7" t="str">
        <f>IF(ISERROR(VLOOKUP(K1087,[1]작가별정산률!$R:$S,2,0)),"스토리위즈",VLOOKUP(K1087,[1]작가별정산률!$R:$S,2,0))</f>
        <v>스토리위즈</v>
      </c>
      <c r="W1087" s="7" t="str">
        <f>IF(V1087="스토리위즈",VLOOKUP(K1087,[1]작가별정산률!$A:$B,2,0),V1087)</f>
        <v>김광수</v>
      </c>
    </row>
    <row r="1088" spans="1:23" x14ac:dyDescent="0.4">
      <c r="A1088" t="s">
        <v>262</v>
      </c>
      <c r="B1088" t="s">
        <v>1340</v>
      </c>
      <c r="C1088" t="s">
        <v>1402</v>
      </c>
      <c r="D1088" t="s">
        <v>64</v>
      </c>
      <c r="E1088" t="s">
        <v>22</v>
      </c>
      <c r="F1088" t="s">
        <v>23</v>
      </c>
      <c r="G1088">
        <v>1</v>
      </c>
      <c r="H1088">
        <v>9791166300240</v>
      </c>
      <c r="I1088" t="s">
        <v>24</v>
      </c>
      <c r="J1088" t="s">
        <v>133</v>
      </c>
      <c r="K1088" t="s">
        <v>119</v>
      </c>
      <c r="L1088" t="s">
        <v>27</v>
      </c>
      <c r="M1088">
        <v>630</v>
      </c>
      <c r="N1088" t="s">
        <v>27</v>
      </c>
      <c r="O1088">
        <v>630</v>
      </c>
      <c r="P1088">
        <v>630</v>
      </c>
      <c r="Q1088" t="s">
        <v>30</v>
      </c>
      <c r="R1088" s="2">
        <v>0.7</v>
      </c>
      <c r="S1088">
        <v>441</v>
      </c>
      <c r="T1088" t="s">
        <v>27</v>
      </c>
      <c r="U1088">
        <v>441</v>
      </c>
      <c r="V1088" s="7" t="str">
        <f>IF(ISERROR(VLOOKUP(K1088,[1]작가별정산률!$R:$S,2,0)),"스토리위즈",VLOOKUP(K1088,[1]작가별정산률!$R:$S,2,0))</f>
        <v>스토리위즈</v>
      </c>
      <c r="W1088" s="7" t="str">
        <f>IF(V1088="스토리위즈",VLOOKUP(K1088,[1]작가별정산률!$A:$B,2,0),V1088)</f>
        <v>김광수</v>
      </c>
    </row>
    <row r="1089" spans="1:23" x14ac:dyDescent="0.4">
      <c r="A1089" t="s">
        <v>262</v>
      </c>
      <c r="B1089" t="s">
        <v>1340</v>
      </c>
      <c r="C1089" t="s">
        <v>1403</v>
      </c>
      <c r="D1089" t="s">
        <v>21</v>
      </c>
      <c r="E1089" t="s">
        <v>22</v>
      </c>
      <c r="F1089" t="s">
        <v>23</v>
      </c>
      <c r="G1089">
        <v>1</v>
      </c>
      <c r="H1089">
        <v>9791164370689</v>
      </c>
      <c r="I1089" t="s">
        <v>143</v>
      </c>
      <c r="J1089" t="s">
        <v>1097</v>
      </c>
      <c r="K1089" t="s">
        <v>1098</v>
      </c>
      <c r="L1089" t="s">
        <v>27</v>
      </c>
      <c r="M1089" s="3">
        <v>3000</v>
      </c>
      <c r="N1089" t="s">
        <v>27</v>
      </c>
      <c r="O1089" s="3">
        <v>3000</v>
      </c>
      <c r="P1089" s="3">
        <v>3000</v>
      </c>
      <c r="Q1089" t="s">
        <v>30</v>
      </c>
      <c r="R1089" s="2">
        <v>0.7</v>
      </c>
      <c r="S1089" s="3">
        <v>2100</v>
      </c>
      <c r="T1089" t="s">
        <v>27</v>
      </c>
      <c r="U1089" s="3">
        <v>2100</v>
      </c>
      <c r="V1089" s="7" t="str">
        <f>IF(ISERROR(VLOOKUP(K1089,[1]작가별정산률!$R:$S,2,0)),"스토리위즈",VLOOKUP(K1089,[1]작가별정산률!$R:$S,2,0))</f>
        <v>스토리위즈</v>
      </c>
      <c r="W1089" s="7" t="str">
        <f>IF(V1089="스토리위즈",VLOOKUP(K1089,[1]작가별정산률!$A:$B,2,0),V1089)</f>
        <v>차홍주</v>
      </c>
    </row>
    <row r="1090" spans="1:23" x14ac:dyDescent="0.4">
      <c r="A1090" t="s">
        <v>262</v>
      </c>
      <c r="B1090" t="s">
        <v>1340</v>
      </c>
      <c r="C1090" t="s">
        <v>1404</v>
      </c>
      <c r="D1090" t="s">
        <v>64</v>
      </c>
      <c r="E1090" t="s">
        <v>22</v>
      </c>
      <c r="F1090" t="s">
        <v>23</v>
      </c>
      <c r="G1090">
        <v>1</v>
      </c>
      <c r="H1090">
        <v>9791166300585</v>
      </c>
      <c r="I1090" t="s">
        <v>24</v>
      </c>
      <c r="J1090" t="s">
        <v>160</v>
      </c>
      <c r="K1090" t="s">
        <v>119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  <c r="V1090" s="7" t="str">
        <f>IF(ISERROR(VLOOKUP(K1090,[1]작가별정산률!$R:$S,2,0)),"스토리위즈",VLOOKUP(K1090,[1]작가별정산률!$R:$S,2,0))</f>
        <v>스토리위즈</v>
      </c>
      <c r="W1090" s="7" t="str">
        <f>IF(V1090="스토리위즈",VLOOKUP(K1090,[1]작가별정산률!$A:$B,2,0),V1090)</f>
        <v>김광수</v>
      </c>
    </row>
    <row r="1091" spans="1:23" x14ac:dyDescent="0.4">
      <c r="A1091" t="s">
        <v>262</v>
      </c>
      <c r="B1091" t="s">
        <v>1340</v>
      </c>
      <c r="C1091" t="s">
        <v>1405</v>
      </c>
      <c r="D1091" t="s">
        <v>64</v>
      </c>
      <c r="E1091" t="s">
        <v>22</v>
      </c>
      <c r="F1091" t="s">
        <v>23</v>
      </c>
      <c r="G1091">
        <v>1</v>
      </c>
      <c r="H1091">
        <v>9791159283239</v>
      </c>
      <c r="I1091" t="s">
        <v>24</v>
      </c>
      <c r="J1091" t="s">
        <v>66</v>
      </c>
      <c r="K1091" t="s">
        <v>37</v>
      </c>
      <c r="L1091" t="s">
        <v>27</v>
      </c>
      <c r="M1091">
        <v>630</v>
      </c>
      <c r="N1091" t="s">
        <v>27</v>
      </c>
      <c r="O1091">
        <v>630</v>
      </c>
      <c r="P1091">
        <v>630</v>
      </c>
      <c r="Q1091" t="s">
        <v>30</v>
      </c>
      <c r="R1091" s="2">
        <v>0.7</v>
      </c>
      <c r="S1091">
        <v>441</v>
      </c>
      <c r="T1091" t="s">
        <v>27</v>
      </c>
      <c r="U1091">
        <v>441</v>
      </c>
      <c r="V1091" s="7" t="str">
        <f>IF(ISERROR(VLOOKUP(K1091,[1]작가별정산률!$R:$S,2,0)),"스토리위즈",VLOOKUP(K1091,[1]작가별정산률!$R:$S,2,0))</f>
        <v>스토리위즈</v>
      </c>
      <c r="W1091" s="7" t="str">
        <f>IF(V1091="스토리위즈",VLOOKUP(K1091,[1]작가별정산률!$A:$B,2,0),V1091)</f>
        <v>권용찬</v>
      </c>
    </row>
    <row r="1092" spans="1:23" x14ac:dyDescent="0.4">
      <c r="A1092" t="s">
        <v>262</v>
      </c>
      <c r="B1092" t="s">
        <v>1340</v>
      </c>
      <c r="C1092" t="s">
        <v>1406</v>
      </c>
      <c r="D1092" t="s">
        <v>64</v>
      </c>
      <c r="E1092" t="s">
        <v>22</v>
      </c>
      <c r="F1092" t="s">
        <v>23</v>
      </c>
      <c r="G1092">
        <v>1</v>
      </c>
      <c r="H1092">
        <v>9791166300158</v>
      </c>
      <c r="I1092" t="s">
        <v>24</v>
      </c>
      <c r="J1092" t="s">
        <v>125</v>
      </c>
      <c r="K1092" t="s">
        <v>119</v>
      </c>
      <c r="L1092" t="s">
        <v>27</v>
      </c>
      <c r="M1092">
        <v>630</v>
      </c>
      <c r="N1092" t="s">
        <v>27</v>
      </c>
      <c r="O1092">
        <v>630</v>
      </c>
      <c r="P1092">
        <v>630</v>
      </c>
      <c r="Q1092" t="s">
        <v>30</v>
      </c>
      <c r="R1092" s="2">
        <v>0.7</v>
      </c>
      <c r="S1092">
        <v>441</v>
      </c>
      <c r="T1092" t="s">
        <v>27</v>
      </c>
      <c r="U1092">
        <v>441</v>
      </c>
      <c r="V1092" s="7" t="str">
        <f>IF(ISERROR(VLOOKUP(K1092,[1]작가별정산률!$R:$S,2,0)),"스토리위즈",VLOOKUP(K1092,[1]작가별정산률!$R:$S,2,0))</f>
        <v>스토리위즈</v>
      </c>
      <c r="W1092" s="7" t="str">
        <f>IF(V1092="스토리위즈",VLOOKUP(K1092,[1]작가별정산률!$A:$B,2,0),V1092)</f>
        <v>김광수</v>
      </c>
    </row>
    <row r="1093" spans="1:23" x14ac:dyDescent="0.4">
      <c r="A1093" t="s">
        <v>262</v>
      </c>
      <c r="B1093" t="s">
        <v>1340</v>
      </c>
      <c r="C1093" t="s">
        <v>1407</v>
      </c>
      <c r="D1093" t="s">
        <v>21</v>
      </c>
      <c r="E1093" t="s">
        <v>22</v>
      </c>
      <c r="F1093" t="s">
        <v>23</v>
      </c>
      <c r="G1093">
        <v>1</v>
      </c>
      <c r="H1093">
        <v>9791191562224</v>
      </c>
      <c r="I1093" t="s">
        <v>143</v>
      </c>
      <c r="J1093" t="s">
        <v>221</v>
      </c>
      <c r="K1093" t="s">
        <v>222</v>
      </c>
      <c r="L1093" t="s">
        <v>27</v>
      </c>
      <c r="M1093" s="3">
        <v>2500</v>
      </c>
      <c r="N1093" t="s">
        <v>27</v>
      </c>
      <c r="O1093" s="3">
        <v>2500</v>
      </c>
      <c r="P1093" s="3">
        <v>2500</v>
      </c>
      <c r="Q1093" t="s">
        <v>30</v>
      </c>
      <c r="R1093" s="2">
        <v>0.7</v>
      </c>
      <c r="S1093" s="3">
        <v>1750</v>
      </c>
      <c r="T1093" t="s">
        <v>27</v>
      </c>
      <c r="U1093" s="3">
        <v>1750</v>
      </c>
      <c r="V1093" s="7" t="str">
        <f>IF(ISERROR(VLOOKUP(K1093,[1]작가별정산률!$R:$S,2,0)),"스토리위즈",VLOOKUP(K1093,[1]작가별정산률!$R:$S,2,0))</f>
        <v>밀리의 서재</v>
      </c>
      <c r="W1093" s="7" t="str">
        <f>IF(V1093="스토리위즈",VLOOKUP(K1093,[1]작가별정산률!$A:$B,2,0),V1093)</f>
        <v>밀리의 서재</v>
      </c>
    </row>
    <row r="1094" spans="1:23" x14ac:dyDescent="0.4">
      <c r="A1094" t="s">
        <v>262</v>
      </c>
      <c r="B1094" t="s">
        <v>1340</v>
      </c>
      <c r="C1094" t="s">
        <v>1408</v>
      </c>
      <c r="D1094" t="s">
        <v>64</v>
      </c>
      <c r="E1094" t="s">
        <v>22</v>
      </c>
      <c r="F1094" t="s">
        <v>23</v>
      </c>
      <c r="G1094">
        <v>1</v>
      </c>
      <c r="H1094">
        <v>9791166061097</v>
      </c>
      <c r="I1094" t="s">
        <v>24</v>
      </c>
      <c r="J1094" t="s">
        <v>95</v>
      </c>
      <c r="K1094" t="s">
        <v>37</v>
      </c>
      <c r="L1094" t="s">
        <v>27</v>
      </c>
      <c r="M1094">
        <v>900</v>
      </c>
      <c r="N1094" t="s">
        <v>27</v>
      </c>
      <c r="O1094">
        <v>900</v>
      </c>
      <c r="P1094">
        <v>900</v>
      </c>
      <c r="Q1094" t="s">
        <v>30</v>
      </c>
      <c r="R1094" s="2">
        <v>0.7</v>
      </c>
      <c r="S1094">
        <v>630</v>
      </c>
      <c r="T1094" t="s">
        <v>27</v>
      </c>
      <c r="U1094">
        <v>630</v>
      </c>
      <c r="V1094" s="7" t="str">
        <f>IF(ISERROR(VLOOKUP(K1094,[1]작가별정산률!$R:$S,2,0)),"스토리위즈",VLOOKUP(K1094,[1]작가별정산률!$R:$S,2,0))</f>
        <v>스토리위즈</v>
      </c>
      <c r="W1094" s="7" t="str">
        <f>IF(V1094="스토리위즈",VLOOKUP(K1094,[1]작가별정산률!$A:$B,2,0),V1094)</f>
        <v>권용찬</v>
      </c>
    </row>
    <row r="1095" spans="1:23" x14ac:dyDescent="0.4">
      <c r="A1095" t="s">
        <v>262</v>
      </c>
      <c r="B1095" t="s">
        <v>1340</v>
      </c>
      <c r="C1095" t="s">
        <v>1409</v>
      </c>
      <c r="D1095" t="s">
        <v>64</v>
      </c>
      <c r="E1095" t="s">
        <v>22</v>
      </c>
      <c r="F1095" t="s">
        <v>23</v>
      </c>
      <c r="G1095">
        <v>1</v>
      </c>
      <c r="H1095">
        <v>9791166300653</v>
      </c>
      <c r="I1095" t="s">
        <v>24</v>
      </c>
      <c r="J1095" t="s">
        <v>157</v>
      </c>
      <c r="K1095" t="s">
        <v>119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2">
        <v>0.7</v>
      </c>
      <c r="S1095">
        <v>441</v>
      </c>
      <c r="T1095" t="s">
        <v>27</v>
      </c>
      <c r="U1095">
        <v>441</v>
      </c>
      <c r="V1095" s="7" t="str">
        <f>IF(ISERROR(VLOOKUP(K1095,[1]작가별정산률!$R:$S,2,0)),"스토리위즈",VLOOKUP(K1095,[1]작가별정산률!$R:$S,2,0))</f>
        <v>스토리위즈</v>
      </c>
      <c r="W1095" s="7" t="str">
        <f>IF(V1095="스토리위즈",VLOOKUP(K1095,[1]작가별정산률!$A:$B,2,0),V1095)</f>
        <v>김광수</v>
      </c>
    </row>
    <row r="1096" spans="1:23" x14ac:dyDescent="0.4">
      <c r="A1096" t="s">
        <v>262</v>
      </c>
      <c r="B1096" t="s">
        <v>1340</v>
      </c>
      <c r="C1096" t="s">
        <v>1410</v>
      </c>
      <c r="D1096" t="s">
        <v>64</v>
      </c>
      <c r="E1096" t="s">
        <v>22</v>
      </c>
      <c r="F1096" t="s">
        <v>23</v>
      </c>
      <c r="G1096">
        <v>1</v>
      </c>
      <c r="H1096">
        <v>9791159282256</v>
      </c>
      <c r="I1096" t="s">
        <v>24</v>
      </c>
      <c r="J1096" t="s">
        <v>117</v>
      </c>
      <c r="K1096" t="s">
        <v>37</v>
      </c>
      <c r="L1096" t="s">
        <v>27</v>
      </c>
      <c r="M1096">
        <v>900</v>
      </c>
      <c r="N1096" t="s">
        <v>27</v>
      </c>
      <c r="O1096">
        <v>900</v>
      </c>
      <c r="P1096">
        <v>900</v>
      </c>
      <c r="Q1096" t="s">
        <v>30</v>
      </c>
      <c r="R1096" s="2">
        <v>0.7</v>
      </c>
      <c r="S1096">
        <v>630</v>
      </c>
      <c r="T1096" t="s">
        <v>27</v>
      </c>
      <c r="U1096">
        <v>630</v>
      </c>
      <c r="V1096" s="7" t="str">
        <f>IF(ISERROR(VLOOKUP(K1096,[1]작가별정산률!$R:$S,2,0)),"스토리위즈",VLOOKUP(K1096,[1]작가별정산률!$R:$S,2,0))</f>
        <v>스토리위즈</v>
      </c>
      <c r="W1096" s="7" t="str">
        <f>IF(V1096="스토리위즈",VLOOKUP(K1096,[1]작가별정산률!$A:$B,2,0),V1096)</f>
        <v>권용찬</v>
      </c>
    </row>
    <row r="1097" spans="1:23" x14ac:dyDescent="0.4">
      <c r="A1097" t="s">
        <v>262</v>
      </c>
      <c r="B1097" t="s">
        <v>1411</v>
      </c>
      <c r="C1097" t="s">
        <v>1412</v>
      </c>
      <c r="D1097" t="s">
        <v>64</v>
      </c>
      <c r="E1097" t="s">
        <v>22</v>
      </c>
      <c r="F1097" t="s">
        <v>23</v>
      </c>
      <c r="G1097">
        <v>1</v>
      </c>
      <c r="H1097">
        <v>9791166300196</v>
      </c>
      <c r="I1097" t="s">
        <v>24</v>
      </c>
      <c r="J1097" t="s">
        <v>128</v>
      </c>
      <c r="K1097" t="s">
        <v>119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  <c r="V1097" s="7" t="str">
        <f>IF(ISERROR(VLOOKUP(K1097,[1]작가별정산률!$R:$S,2,0)),"스토리위즈",VLOOKUP(K1097,[1]작가별정산률!$R:$S,2,0))</f>
        <v>스토리위즈</v>
      </c>
      <c r="W1097" s="7" t="str">
        <f>IF(V1097="스토리위즈",VLOOKUP(K1097,[1]작가별정산률!$A:$B,2,0),V1097)</f>
        <v>김광수</v>
      </c>
    </row>
    <row r="1098" spans="1:23" x14ac:dyDescent="0.4">
      <c r="A1098" t="s">
        <v>262</v>
      </c>
      <c r="B1098" t="s">
        <v>1411</v>
      </c>
      <c r="C1098" t="s">
        <v>1413</v>
      </c>
      <c r="D1098" t="s">
        <v>64</v>
      </c>
      <c r="E1098" t="s">
        <v>22</v>
      </c>
      <c r="F1098" t="s">
        <v>23</v>
      </c>
      <c r="G1098">
        <v>1</v>
      </c>
      <c r="H1098">
        <v>9791166300554</v>
      </c>
      <c r="I1098" t="s">
        <v>24</v>
      </c>
      <c r="J1098" t="s">
        <v>154</v>
      </c>
      <c r="K1098" t="s">
        <v>119</v>
      </c>
      <c r="L1098" t="s">
        <v>27</v>
      </c>
      <c r="M1098">
        <v>630</v>
      </c>
      <c r="N1098" t="s">
        <v>27</v>
      </c>
      <c r="O1098">
        <v>630</v>
      </c>
      <c r="P1098">
        <v>630</v>
      </c>
      <c r="Q1098" t="s">
        <v>30</v>
      </c>
      <c r="R1098" s="2">
        <v>0.7</v>
      </c>
      <c r="S1098">
        <v>441</v>
      </c>
      <c r="T1098" t="s">
        <v>27</v>
      </c>
      <c r="U1098">
        <v>441</v>
      </c>
      <c r="V1098" s="7" t="str">
        <f>IF(ISERROR(VLOOKUP(K1098,[1]작가별정산률!$R:$S,2,0)),"스토리위즈",VLOOKUP(K1098,[1]작가별정산률!$R:$S,2,0))</f>
        <v>스토리위즈</v>
      </c>
      <c r="W1098" s="7" t="str">
        <f>IF(V1098="스토리위즈",VLOOKUP(K1098,[1]작가별정산률!$A:$B,2,0),V1098)</f>
        <v>김광수</v>
      </c>
    </row>
    <row r="1099" spans="1:23" x14ac:dyDescent="0.4">
      <c r="A1099" t="s">
        <v>262</v>
      </c>
      <c r="B1099" t="s">
        <v>1411</v>
      </c>
      <c r="C1099" t="s">
        <v>1414</v>
      </c>
      <c r="D1099" t="s">
        <v>64</v>
      </c>
      <c r="E1099" t="s">
        <v>22</v>
      </c>
      <c r="F1099" t="s">
        <v>23</v>
      </c>
      <c r="G1099">
        <v>1</v>
      </c>
      <c r="H1099">
        <v>9791166300608</v>
      </c>
      <c r="I1099" t="s">
        <v>24</v>
      </c>
      <c r="J1099" t="s">
        <v>162</v>
      </c>
      <c r="K1099" t="s">
        <v>119</v>
      </c>
      <c r="L1099" t="s">
        <v>27</v>
      </c>
      <c r="M1099">
        <v>630</v>
      </c>
      <c r="N1099" t="s">
        <v>27</v>
      </c>
      <c r="O1099">
        <v>630</v>
      </c>
      <c r="P1099">
        <v>630</v>
      </c>
      <c r="Q1099" t="s">
        <v>30</v>
      </c>
      <c r="R1099" s="2">
        <v>0.7</v>
      </c>
      <c r="S1099">
        <v>441</v>
      </c>
      <c r="T1099" t="s">
        <v>27</v>
      </c>
      <c r="U1099">
        <v>441</v>
      </c>
      <c r="V1099" s="7" t="str">
        <f>IF(ISERROR(VLOOKUP(K1099,[1]작가별정산률!$R:$S,2,0)),"스토리위즈",VLOOKUP(K1099,[1]작가별정산률!$R:$S,2,0))</f>
        <v>스토리위즈</v>
      </c>
      <c r="W1099" s="7" t="str">
        <f>IF(V1099="스토리위즈",VLOOKUP(K1099,[1]작가별정산률!$A:$B,2,0),V1099)</f>
        <v>김광수</v>
      </c>
    </row>
    <row r="1100" spans="1:23" x14ac:dyDescent="0.4">
      <c r="A1100" t="s">
        <v>262</v>
      </c>
      <c r="B1100" t="s">
        <v>1411</v>
      </c>
      <c r="C1100" t="s">
        <v>1415</v>
      </c>
      <c r="D1100" t="s">
        <v>64</v>
      </c>
      <c r="E1100" t="s">
        <v>22</v>
      </c>
      <c r="F1100" t="s">
        <v>23</v>
      </c>
      <c r="G1100">
        <v>1</v>
      </c>
      <c r="H1100">
        <v>9791166064159</v>
      </c>
      <c r="I1100" t="s">
        <v>24</v>
      </c>
      <c r="J1100" t="s">
        <v>86</v>
      </c>
      <c r="K1100" t="s">
        <v>37</v>
      </c>
      <c r="L1100" t="s">
        <v>27</v>
      </c>
      <c r="M1100">
        <v>900</v>
      </c>
      <c r="N1100" t="s">
        <v>27</v>
      </c>
      <c r="O1100">
        <v>900</v>
      </c>
      <c r="P1100">
        <v>900</v>
      </c>
      <c r="Q1100" t="s">
        <v>30</v>
      </c>
      <c r="R1100" s="2">
        <v>0.7</v>
      </c>
      <c r="S1100">
        <v>630</v>
      </c>
      <c r="T1100" t="s">
        <v>27</v>
      </c>
      <c r="U1100">
        <v>630</v>
      </c>
      <c r="V1100" s="7" t="str">
        <f>IF(ISERROR(VLOOKUP(K1100,[1]작가별정산률!$R:$S,2,0)),"스토리위즈",VLOOKUP(K1100,[1]작가별정산률!$R:$S,2,0))</f>
        <v>스토리위즈</v>
      </c>
      <c r="W1100" s="7" t="str">
        <f>IF(V1100="스토리위즈",VLOOKUP(K1100,[1]작가별정산률!$A:$B,2,0),V1100)</f>
        <v>권용찬</v>
      </c>
    </row>
    <row r="1101" spans="1:23" x14ac:dyDescent="0.4">
      <c r="A1101" t="s">
        <v>262</v>
      </c>
      <c r="B1101" t="s">
        <v>1411</v>
      </c>
      <c r="C1101" t="s">
        <v>1416</v>
      </c>
      <c r="D1101" t="s">
        <v>64</v>
      </c>
      <c r="E1101" t="s">
        <v>22</v>
      </c>
      <c r="F1101" t="s">
        <v>23</v>
      </c>
      <c r="G1101">
        <v>1</v>
      </c>
      <c r="H1101">
        <v>9791159282904</v>
      </c>
      <c r="I1101" t="s">
        <v>24</v>
      </c>
      <c r="J1101" t="s">
        <v>38</v>
      </c>
      <c r="K1101" t="s">
        <v>26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2">
        <v>0.7</v>
      </c>
      <c r="S1101">
        <v>441</v>
      </c>
      <c r="T1101" t="s">
        <v>27</v>
      </c>
      <c r="U1101">
        <v>441</v>
      </c>
      <c r="V1101" s="7" t="str">
        <f>IF(ISERROR(VLOOKUP(K1101,[1]작가별정산률!$R:$S,2,0)),"스토리위즈",VLOOKUP(K1101,[1]작가별정산률!$R:$S,2,0))</f>
        <v>스토리위즈</v>
      </c>
      <c r="W1101" s="7" t="str">
        <f>IF(V1101="스토리위즈",VLOOKUP(K1101,[1]작가별정산률!$A:$B,2,0),V1101)</f>
        <v>독고진</v>
      </c>
    </row>
    <row r="1102" spans="1:23" x14ac:dyDescent="0.4">
      <c r="A1102" t="s">
        <v>262</v>
      </c>
      <c r="B1102" t="s">
        <v>1411</v>
      </c>
      <c r="C1102" t="s">
        <v>1417</v>
      </c>
      <c r="D1102" t="s">
        <v>64</v>
      </c>
      <c r="E1102" t="s">
        <v>22</v>
      </c>
      <c r="F1102" t="s">
        <v>23</v>
      </c>
      <c r="G1102">
        <v>1</v>
      </c>
      <c r="H1102">
        <v>9791166300592</v>
      </c>
      <c r="I1102" t="s">
        <v>24</v>
      </c>
      <c r="J1102" t="s">
        <v>161</v>
      </c>
      <c r="K1102" t="s">
        <v>119</v>
      </c>
      <c r="L1102" t="s">
        <v>27</v>
      </c>
      <c r="M1102">
        <v>630</v>
      </c>
      <c r="N1102" t="s">
        <v>27</v>
      </c>
      <c r="O1102">
        <v>630</v>
      </c>
      <c r="P1102">
        <v>630</v>
      </c>
      <c r="Q1102" t="s">
        <v>30</v>
      </c>
      <c r="R1102" s="2">
        <v>0.7</v>
      </c>
      <c r="S1102">
        <v>441</v>
      </c>
      <c r="T1102" t="s">
        <v>27</v>
      </c>
      <c r="U1102">
        <v>441</v>
      </c>
      <c r="V1102" s="7" t="str">
        <f>IF(ISERROR(VLOOKUP(K1102,[1]작가별정산률!$R:$S,2,0)),"스토리위즈",VLOOKUP(K1102,[1]작가별정산률!$R:$S,2,0))</f>
        <v>스토리위즈</v>
      </c>
      <c r="W1102" s="7" t="str">
        <f>IF(V1102="스토리위즈",VLOOKUP(K1102,[1]작가별정산률!$A:$B,2,0),V1102)</f>
        <v>김광수</v>
      </c>
    </row>
    <row r="1103" spans="1:23" x14ac:dyDescent="0.4">
      <c r="A1103" t="s">
        <v>262</v>
      </c>
      <c r="B1103" t="s">
        <v>1411</v>
      </c>
      <c r="C1103" t="s">
        <v>1418</v>
      </c>
      <c r="D1103" t="s">
        <v>64</v>
      </c>
      <c r="E1103" t="s">
        <v>22</v>
      </c>
      <c r="F1103" t="s">
        <v>23</v>
      </c>
      <c r="G1103">
        <v>1</v>
      </c>
      <c r="H1103">
        <v>9791166300103</v>
      </c>
      <c r="I1103" t="s">
        <v>24</v>
      </c>
      <c r="J1103" t="s">
        <v>120</v>
      </c>
      <c r="K1103" t="s">
        <v>119</v>
      </c>
      <c r="L1103" t="s">
        <v>27</v>
      </c>
      <c r="M1103">
        <v>630</v>
      </c>
      <c r="N1103" t="s">
        <v>27</v>
      </c>
      <c r="O1103">
        <v>630</v>
      </c>
      <c r="P1103">
        <v>630</v>
      </c>
      <c r="Q1103" t="s">
        <v>30</v>
      </c>
      <c r="R1103" s="2">
        <v>0.7</v>
      </c>
      <c r="S1103">
        <v>441</v>
      </c>
      <c r="T1103" t="s">
        <v>27</v>
      </c>
      <c r="U1103">
        <v>441</v>
      </c>
      <c r="V1103" s="7" t="str">
        <f>IF(ISERROR(VLOOKUP(K1103,[1]작가별정산률!$R:$S,2,0)),"스토리위즈",VLOOKUP(K1103,[1]작가별정산률!$R:$S,2,0))</f>
        <v>스토리위즈</v>
      </c>
      <c r="W1103" s="7" t="str">
        <f>IF(V1103="스토리위즈",VLOOKUP(K1103,[1]작가별정산률!$A:$B,2,0),V1103)</f>
        <v>김광수</v>
      </c>
    </row>
    <row r="1104" spans="1:23" x14ac:dyDescent="0.4">
      <c r="A1104" t="s">
        <v>262</v>
      </c>
      <c r="B1104" t="s">
        <v>1411</v>
      </c>
      <c r="C1104" t="s">
        <v>1419</v>
      </c>
      <c r="D1104" t="s">
        <v>64</v>
      </c>
      <c r="E1104" t="s">
        <v>22</v>
      </c>
      <c r="F1104" t="s">
        <v>23</v>
      </c>
      <c r="G1104">
        <v>1</v>
      </c>
      <c r="H1104">
        <v>9791166300608</v>
      </c>
      <c r="I1104" t="s">
        <v>24</v>
      </c>
      <c r="J1104" t="s">
        <v>162</v>
      </c>
      <c r="K1104" t="s">
        <v>119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  <c r="V1104" s="7" t="str">
        <f>IF(ISERROR(VLOOKUP(K1104,[1]작가별정산률!$R:$S,2,0)),"스토리위즈",VLOOKUP(K1104,[1]작가별정산률!$R:$S,2,0))</f>
        <v>스토리위즈</v>
      </c>
      <c r="W1104" s="7" t="str">
        <f>IF(V1104="스토리위즈",VLOOKUP(K1104,[1]작가별정산률!$A:$B,2,0),V1104)</f>
        <v>김광수</v>
      </c>
    </row>
    <row r="1105" spans="1:23" x14ac:dyDescent="0.4">
      <c r="A1105" t="s">
        <v>262</v>
      </c>
      <c r="B1105" t="s">
        <v>1411</v>
      </c>
      <c r="C1105" t="s">
        <v>1420</v>
      </c>
      <c r="D1105" t="s">
        <v>21</v>
      </c>
      <c r="E1105" t="s">
        <v>22</v>
      </c>
      <c r="F1105" t="s">
        <v>23</v>
      </c>
      <c r="G1105">
        <v>1</v>
      </c>
      <c r="H1105">
        <v>9791166300257</v>
      </c>
      <c r="I1105" t="s">
        <v>24</v>
      </c>
      <c r="J1105" t="s">
        <v>134</v>
      </c>
      <c r="K1105" t="s">
        <v>119</v>
      </c>
      <c r="L1105" t="s">
        <v>27</v>
      </c>
      <c r="M1105" s="3">
        <v>3200</v>
      </c>
      <c r="N1105" t="s">
        <v>27</v>
      </c>
      <c r="O1105" s="3">
        <v>3200</v>
      </c>
      <c r="P1105" s="3">
        <v>3200</v>
      </c>
      <c r="Q1105" t="s">
        <v>30</v>
      </c>
      <c r="R1105" s="2">
        <v>0.7</v>
      </c>
      <c r="S1105" s="3">
        <v>2240</v>
      </c>
      <c r="T1105" t="s">
        <v>27</v>
      </c>
      <c r="U1105" s="3">
        <v>2240</v>
      </c>
      <c r="V1105" s="7" t="str">
        <f>IF(ISERROR(VLOOKUP(K1105,[1]작가별정산률!$R:$S,2,0)),"스토리위즈",VLOOKUP(K1105,[1]작가별정산률!$R:$S,2,0))</f>
        <v>스토리위즈</v>
      </c>
      <c r="W1105" s="7" t="str">
        <f>IF(V1105="스토리위즈",VLOOKUP(K1105,[1]작가별정산률!$A:$B,2,0),V1105)</f>
        <v>김광수</v>
      </c>
    </row>
    <row r="1106" spans="1:23" x14ac:dyDescent="0.4">
      <c r="A1106" t="s">
        <v>262</v>
      </c>
      <c r="B1106" t="s">
        <v>1411</v>
      </c>
      <c r="C1106" t="s">
        <v>1421</v>
      </c>
      <c r="D1106" t="s">
        <v>64</v>
      </c>
      <c r="E1106" t="s">
        <v>22</v>
      </c>
      <c r="F1106" t="s">
        <v>23</v>
      </c>
      <c r="G1106">
        <v>1</v>
      </c>
      <c r="H1106">
        <v>9791166061080</v>
      </c>
      <c r="I1106" t="s">
        <v>24</v>
      </c>
      <c r="J1106" t="s">
        <v>74</v>
      </c>
      <c r="K1106" t="s">
        <v>37</v>
      </c>
      <c r="L1106" t="s">
        <v>27</v>
      </c>
      <c r="M1106">
        <v>900</v>
      </c>
      <c r="N1106" t="s">
        <v>27</v>
      </c>
      <c r="O1106">
        <v>900</v>
      </c>
      <c r="P1106">
        <v>900</v>
      </c>
      <c r="Q1106" t="s">
        <v>30</v>
      </c>
      <c r="R1106" s="2">
        <v>0.7</v>
      </c>
      <c r="S1106">
        <v>630</v>
      </c>
      <c r="T1106" t="s">
        <v>27</v>
      </c>
      <c r="U1106">
        <v>630</v>
      </c>
      <c r="V1106" s="7" t="str">
        <f>IF(ISERROR(VLOOKUP(K1106,[1]작가별정산률!$R:$S,2,0)),"스토리위즈",VLOOKUP(K1106,[1]작가별정산률!$R:$S,2,0))</f>
        <v>스토리위즈</v>
      </c>
      <c r="W1106" s="7" t="str">
        <f>IF(V1106="스토리위즈",VLOOKUP(K1106,[1]작가별정산률!$A:$B,2,0),V1106)</f>
        <v>권용찬</v>
      </c>
    </row>
    <row r="1107" spans="1:23" x14ac:dyDescent="0.4">
      <c r="A1107" t="s">
        <v>262</v>
      </c>
      <c r="B1107" t="s">
        <v>1411</v>
      </c>
      <c r="C1107" t="s">
        <v>1422</v>
      </c>
      <c r="D1107" t="s">
        <v>21</v>
      </c>
      <c r="E1107" t="s">
        <v>22</v>
      </c>
      <c r="F1107" t="s">
        <v>23</v>
      </c>
      <c r="G1107">
        <v>1</v>
      </c>
      <c r="H1107">
        <v>9791191562286</v>
      </c>
      <c r="I1107" t="s">
        <v>143</v>
      </c>
      <c r="J1107" t="s">
        <v>238</v>
      </c>
      <c r="K1107" t="s">
        <v>239</v>
      </c>
      <c r="L1107" t="s">
        <v>27</v>
      </c>
      <c r="M1107" s="3">
        <v>2000</v>
      </c>
      <c r="N1107" t="s">
        <v>27</v>
      </c>
      <c r="O1107" s="3">
        <v>2000</v>
      </c>
      <c r="P1107" s="3">
        <v>2000</v>
      </c>
      <c r="Q1107" t="s">
        <v>30</v>
      </c>
      <c r="R1107" s="2">
        <v>0.7</v>
      </c>
      <c r="S1107" s="3">
        <v>1400</v>
      </c>
      <c r="T1107" t="s">
        <v>27</v>
      </c>
      <c r="U1107" s="3">
        <v>1400</v>
      </c>
      <c r="V1107" s="7" t="str">
        <f>IF(ISERROR(VLOOKUP(K1107,[1]작가별정산률!$R:$S,2,0)),"스토리위즈",VLOOKUP(K1107,[1]작가별정산률!$R:$S,2,0))</f>
        <v>밀리의 서재</v>
      </c>
      <c r="W1107" s="7" t="str">
        <f>IF(V1107="스토리위즈",VLOOKUP(K1107,[1]작가별정산률!$A:$B,2,0),V1107)</f>
        <v>밀리의 서재</v>
      </c>
    </row>
    <row r="1108" spans="1:23" x14ac:dyDescent="0.4">
      <c r="A1108" t="s">
        <v>262</v>
      </c>
      <c r="B1108" t="s">
        <v>1411</v>
      </c>
      <c r="C1108" t="s">
        <v>1423</v>
      </c>
      <c r="D1108" t="s">
        <v>21</v>
      </c>
      <c r="E1108" t="s">
        <v>22</v>
      </c>
      <c r="F1108" t="s">
        <v>23</v>
      </c>
      <c r="G1108">
        <v>1</v>
      </c>
      <c r="H1108">
        <v>9791191562262</v>
      </c>
      <c r="I1108" t="s">
        <v>143</v>
      </c>
      <c r="J1108" t="s">
        <v>250</v>
      </c>
      <c r="K1108" t="s">
        <v>251</v>
      </c>
      <c r="L1108" t="s">
        <v>27</v>
      </c>
      <c r="M1108" s="3">
        <v>2000</v>
      </c>
      <c r="N1108" t="s">
        <v>27</v>
      </c>
      <c r="O1108" s="3">
        <v>2000</v>
      </c>
      <c r="P1108" s="3">
        <v>2000</v>
      </c>
      <c r="Q1108" t="s">
        <v>30</v>
      </c>
      <c r="R1108" s="2">
        <v>0.7</v>
      </c>
      <c r="S1108" s="3">
        <v>1400</v>
      </c>
      <c r="T1108" t="s">
        <v>27</v>
      </c>
      <c r="U1108" s="3">
        <v>1400</v>
      </c>
      <c r="V1108" s="7" t="str">
        <f>IF(ISERROR(VLOOKUP(K1108,[1]작가별정산률!$R:$S,2,0)),"스토리위즈",VLOOKUP(K1108,[1]작가별정산률!$R:$S,2,0))</f>
        <v>밀리의 서재</v>
      </c>
      <c r="W1108" s="7" t="str">
        <f>IF(V1108="스토리위즈",VLOOKUP(K1108,[1]작가별정산률!$A:$B,2,0),V1108)</f>
        <v>밀리의 서재</v>
      </c>
    </row>
    <row r="1109" spans="1:23" x14ac:dyDescent="0.4">
      <c r="A1109" t="s">
        <v>262</v>
      </c>
      <c r="B1109" t="s">
        <v>1411</v>
      </c>
      <c r="C1109" t="s">
        <v>1424</v>
      </c>
      <c r="D1109" t="s">
        <v>64</v>
      </c>
      <c r="E1109" t="s">
        <v>22</v>
      </c>
      <c r="F1109" t="s">
        <v>23</v>
      </c>
      <c r="G1109">
        <v>1</v>
      </c>
      <c r="H1109">
        <v>9791166300202</v>
      </c>
      <c r="I1109" t="s">
        <v>24</v>
      </c>
      <c r="J1109" t="s">
        <v>129</v>
      </c>
      <c r="K1109" t="s">
        <v>119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2">
        <v>0.7</v>
      </c>
      <c r="S1109">
        <v>441</v>
      </c>
      <c r="T1109" t="s">
        <v>27</v>
      </c>
      <c r="U1109">
        <v>441</v>
      </c>
      <c r="V1109" s="7" t="str">
        <f>IF(ISERROR(VLOOKUP(K1109,[1]작가별정산률!$R:$S,2,0)),"스토리위즈",VLOOKUP(K1109,[1]작가별정산률!$R:$S,2,0))</f>
        <v>스토리위즈</v>
      </c>
      <c r="W1109" s="7" t="str">
        <f>IF(V1109="스토리위즈",VLOOKUP(K1109,[1]작가별정산률!$A:$B,2,0),V1109)</f>
        <v>김광수</v>
      </c>
    </row>
    <row r="1110" spans="1:23" x14ac:dyDescent="0.4">
      <c r="A1110" t="s">
        <v>262</v>
      </c>
      <c r="B1110" t="s">
        <v>1411</v>
      </c>
      <c r="C1110" t="s">
        <v>1425</v>
      </c>
      <c r="D1110" t="s">
        <v>64</v>
      </c>
      <c r="E1110" t="s">
        <v>22</v>
      </c>
      <c r="F1110" t="s">
        <v>23</v>
      </c>
      <c r="G1110">
        <v>1</v>
      </c>
      <c r="H1110">
        <v>9791166061103</v>
      </c>
      <c r="I1110" t="s">
        <v>24</v>
      </c>
      <c r="J1110" t="s">
        <v>96</v>
      </c>
      <c r="K1110" t="s">
        <v>37</v>
      </c>
      <c r="L1110" t="s">
        <v>27</v>
      </c>
      <c r="M1110">
        <v>900</v>
      </c>
      <c r="N1110" t="s">
        <v>27</v>
      </c>
      <c r="O1110">
        <v>900</v>
      </c>
      <c r="P1110">
        <v>900</v>
      </c>
      <c r="Q1110" t="s">
        <v>30</v>
      </c>
      <c r="R1110" s="2">
        <v>0.7</v>
      </c>
      <c r="S1110">
        <v>630</v>
      </c>
      <c r="T1110" t="s">
        <v>27</v>
      </c>
      <c r="U1110">
        <v>630</v>
      </c>
      <c r="V1110" s="7" t="str">
        <f>IF(ISERROR(VLOOKUP(K1110,[1]작가별정산률!$R:$S,2,0)),"스토리위즈",VLOOKUP(K1110,[1]작가별정산률!$R:$S,2,0))</f>
        <v>스토리위즈</v>
      </c>
      <c r="W1110" s="7" t="str">
        <f>IF(V1110="스토리위즈",VLOOKUP(K1110,[1]작가별정산률!$A:$B,2,0),V1110)</f>
        <v>권용찬</v>
      </c>
    </row>
    <row r="1111" spans="1:23" x14ac:dyDescent="0.4">
      <c r="A1111" t="s">
        <v>262</v>
      </c>
      <c r="B1111" t="s">
        <v>1411</v>
      </c>
      <c r="C1111" t="s">
        <v>1426</v>
      </c>
      <c r="D1111" t="s">
        <v>64</v>
      </c>
      <c r="E1111" t="s">
        <v>22</v>
      </c>
      <c r="F1111" t="s">
        <v>23</v>
      </c>
      <c r="G1111">
        <v>1</v>
      </c>
      <c r="H1111">
        <v>9791159283147</v>
      </c>
      <c r="I1111" t="s">
        <v>24</v>
      </c>
      <c r="J1111" t="s">
        <v>83</v>
      </c>
      <c r="K1111" t="s">
        <v>37</v>
      </c>
      <c r="L1111" t="s">
        <v>27</v>
      </c>
      <c r="M1111">
        <v>900</v>
      </c>
      <c r="N1111" t="s">
        <v>27</v>
      </c>
      <c r="O1111">
        <v>900</v>
      </c>
      <c r="P1111">
        <v>900</v>
      </c>
      <c r="Q1111" t="s">
        <v>30</v>
      </c>
      <c r="R1111" s="2">
        <v>0.7</v>
      </c>
      <c r="S1111">
        <v>630</v>
      </c>
      <c r="T1111" t="s">
        <v>27</v>
      </c>
      <c r="U1111">
        <v>630</v>
      </c>
      <c r="V1111" s="7" t="str">
        <f>IF(ISERROR(VLOOKUP(K1111,[1]작가별정산률!$R:$S,2,0)),"스토리위즈",VLOOKUP(K1111,[1]작가별정산률!$R:$S,2,0))</f>
        <v>스토리위즈</v>
      </c>
      <c r="W1111" s="7" t="str">
        <f>IF(V1111="스토리위즈",VLOOKUP(K1111,[1]작가별정산률!$A:$B,2,0),V1111)</f>
        <v>권용찬</v>
      </c>
    </row>
    <row r="1112" spans="1:23" x14ac:dyDescent="0.4">
      <c r="A1112" t="s">
        <v>262</v>
      </c>
      <c r="B1112" t="s">
        <v>1411</v>
      </c>
      <c r="C1112" t="s">
        <v>1427</v>
      </c>
      <c r="D1112" t="s">
        <v>21</v>
      </c>
      <c r="E1112" t="s">
        <v>22</v>
      </c>
      <c r="F1112" t="s">
        <v>23</v>
      </c>
      <c r="G1112">
        <v>1</v>
      </c>
      <c r="H1112">
        <v>9791166061080</v>
      </c>
      <c r="I1112" t="s">
        <v>24</v>
      </c>
      <c r="J1112" t="s">
        <v>74</v>
      </c>
      <c r="K1112" t="s">
        <v>37</v>
      </c>
      <c r="L1112" t="s">
        <v>27</v>
      </c>
      <c r="M1112" s="3">
        <v>3200</v>
      </c>
      <c r="N1112" t="s">
        <v>27</v>
      </c>
      <c r="O1112" s="3">
        <v>3200</v>
      </c>
      <c r="P1112" s="3">
        <v>3200</v>
      </c>
      <c r="Q1112" t="s">
        <v>30</v>
      </c>
      <c r="R1112" s="2">
        <v>0.7</v>
      </c>
      <c r="S1112" s="3">
        <v>2240</v>
      </c>
      <c r="T1112" t="s">
        <v>27</v>
      </c>
      <c r="U1112" s="3">
        <v>2240</v>
      </c>
      <c r="V1112" s="7" t="str">
        <f>IF(ISERROR(VLOOKUP(K1112,[1]작가별정산률!$R:$S,2,0)),"스토리위즈",VLOOKUP(K1112,[1]작가별정산률!$R:$S,2,0))</f>
        <v>스토리위즈</v>
      </c>
      <c r="W1112" s="7" t="str">
        <f>IF(V1112="스토리위즈",VLOOKUP(K1112,[1]작가별정산률!$A:$B,2,0),V1112)</f>
        <v>권용찬</v>
      </c>
    </row>
    <row r="1113" spans="1:23" x14ac:dyDescent="0.4">
      <c r="A1113" t="s">
        <v>262</v>
      </c>
      <c r="B1113" t="s">
        <v>1411</v>
      </c>
      <c r="C1113" t="s">
        <v>1428</v>
      </c>
      <c r="D1113" t="s">
        <v>64</v>
      </c>
      <c r="E1113" t="s">
        <v>22</v>
      </c>
      <c r="F1113" t="s">
        <v>23</v>
      </c>
      <c r="G1113">
        <v>1</v>
      </c>
      <c r="H1113">
        <v>9791166300653</v>
      </c>
      <c r="I1113" t="s">
        <v>24</v>
      </c>
      <c r="J1113" t="s">
        <v>157</v>
      </c>
      <c r="K1113" t="s">
        <v>119</v>
      </c>
      <c r="L1113" t="s">
        <v>27</v>
      </c>
      <c r="M1113">
        <v>630</v>
      </c>
      <c r="N1113" t="s">
        <v>27</v>
      </c>
      <c r="O1113">
        <v>630</v>
      </c>
      <c r="P1113">
        <v>630</v>
      </c>
      <c r="Q1113" t="s">
        <v>30</v>
      </c>
      <c r="R1113" s="2">
        <v>0.7</v>
      </c>
      <c r="S1113">
        <v>441</v>
      </c>
      <c r="T1113" t="s">
        <v>27</v>
      </c>
      <c r="U1113">
        <v>441</v>
      </c>
      <c r="V1113" s="7" t="str">
        <f>IF(ISERROR(VLOOKUP(K1113,[1]작가별정산률!$R:$S,2,0)),"스토리위즈",VLOOKUP(K1113,[1]작가별정산률!$R:$S,2,0))</f>
        <v>스토리위즈</v>
      </c>
      <c r="W1113" s="7" t="str">
        <f>IF(V1113="스토리위즈",VLOOKUP(K1113,[1]작가별정산률!$A:$B,2,0),V1113)</f>
        <v>김광수</v>
      </c>
    </row>
    <row r="1114" spans="1:23" x14ac:dyDescent="0.4">
      <c r="A1114" t="s">
        <v>262</v>
      </c>
      <c r="B1114" t="s">
        <v>1411</v>
      </c>
      <c r="C1114" t="s">
        <v>1429</v>
      </c>
      <c r="D1114" t="s">
        <v>64</v>
      </c>
      <c r="E1114" t="s">
        <v>22</v>
      </c>
      <c r="F1114" t="s">
        <v>23</v>
      </c>
      <c r="G1114">
        <v>1</v>
      </c>
      <c r="H1114">
        <v>9791188630110</v>
      </c>
      <c r="I1114" t="s">
        <v>24</v>
      </c>
      <c r="J1114" t="s">
        <v>40</v>
      </c>
      <c r="K1114" t="s">
        <v>41</v>
      </c>
      <c r="L1114" t="s">
        <v>27</v>
      </c>
      <c r="M1114">
        <v>630</v>
      </c>
      <c r="N1114" t="s">
        <v>27</v>
      </c>
      <c r="O1114">
        <v>630</v>
      </c>
      <c r="P1114">
        <v>630</v>
      </c>
      <c r="Q1114" t="s">
        <v>30</v>
      </c>
      <c r="R1114" s="2">
        <v>0.7</v>
      </c>
      <c r="S1114">
        <v>441</v>
      </c>
      <c r="T1114" t="s">
        <v>27</v>
      </c>
      <c r="U1114">
        <v>441</v>
      </c>
      <c r="V1114" s="7" t="str">
        <f>IF(ISERROR(VLOOKUP(K1114,[1]작가별정산률!$R:$S,2,0)),"스토리위즈",VLOOKUP(K1114,[1]작가별정산률!$R:$S,2,0))</f>
        <v>스토리위즈</v>
      </c>
      <c r="W1114" s="7" t="str">
        <f>IF(V1114="스토리위즈",VLOOKUP(K1114,[1]작가별정산률!$A:$B,2,0),V1114)</f>
        <v>무장</v>
      </c>
    </row>
    <row r="1115" spans="1:23" x14ac:dyDescent="0.4">
      <c r="A1115" t="s">
        <v>262</v>
      </c>
      <c r="B1115" t="s">
        <v>1411</v>
      </c>
      <c r="C1115" t="s">
        <v>1430</v>
      </c>
      <c r="D1115" t="s">
        <v>21</v>
      </c>
      <c r="E1115" t="s">
        <v>22</v>
      </c>
      <c r="F1115" t="s">
        <v>23</v>
      </c>
      <c r="G1115">
        <v>1</v>
      </c>
      <c r="H1115">
        <v>9791166300134</v>
      </c>
      <c r="I1115" t="s">
        <v>24</v>
      </c>
      <c r="J1115" t="s">
        <v>123</v>
      </c>
      <c r="K1115" t="s">
        <v>119</v>
      </c>
      <c r="L1115" t="s">
        <v>27</v>
      </c>
      <c r="M1115" s="3">
        <v>3200</v>
      </c>
      <c r="N1115" t="s">
        <v>27</v>
      </c>
      <c r="O1115" s="3">
        <v>3200</v>
      </c>
      <c r="P1115" s="3">
        <v>3200</v>
      </c>
      <c r="Q1115" t="s">
        <v>30</v>
      </c>
      <c r="R1115" s="2">
        <v>0.7</v>
      </c>
      <c r="S1115" s="3">
        <v>2240</v>
      </c>
      <c r="T1115" t="s">
        <v>27</v>
      </c>
      <c r="U1115" s="3">
        <v>2240</v>
      </c>
      <c r="V1115" s="7" t="str">
        <f>IF(ISERROR(VLOOKUP(K1115,[1]작가별정산률!$R:$S,2,0)),"스토리위즈",VLOOKUP(K1115,[1]작가별정산률!$R:$S,2,0))</f>
        <v>스토리위즈</v>
      </c>
      <c r="W1115" s="7" t="str">
        <f>IF(V1115="스토리위즈",VLOOKUP(K1115,[1]작가별정산률!$A:$B,2,0),V1115)</f>
        <v>김광수</v>
      </c>
    </row>
    <row r="1116" spans="1:23" x14ac:dyDescent="0.4">
      <c r="A1116" t="s">
        <v>262</v>
      </c>
      <c r="B1116" t="s">
        <v>1411</v>
      </c>
      <c r="C1116" t="s">
        <v>1431</v>
      </c>
      <c r="D1116" t="s">
        <v>64</v>
      </c>
      <c r="E1116" t="s">
        <v>22</v>
      </c>
      <c r="F1116" t="s">
        <v>23</v>
      </c>
      <c r="G1116">
        <v>1</v>
      </c>
      <c r="H1116">
        <v>9791166300691</v>
      </c>
      <c r="I1116" t="s">
        <v>24</v>
      </c>
      <c r="J1116" t="s">
        <v>152</v>
      </c>
      <c r="K1116" t="s">
        <v>119</v>
      </c>
      <c r="L1116" t="s">
        <v>27</v>
      </c>
      <c r="M1116">
        <v>630</v>
      </c>
      <c r="N1116" t="s">
        <v>27</v>
      </c>
      <c r="O1116">
        <v>630</v>
      </c>
      <c r="P1116">
        <v>630</v>
      </c>
      <c r="Q1116" t="s">
        <v>30</v>
      </c>
      <c r="R1116" s="2">
        <v>0.7</v>
      </c>
      <c r="S1116">
        <v>441</v>
      </c>
      <c r="T1116" t="s">
        <v>27</v>
      </c>
      <c r="U1116">
        <v>441</v>
      </c>
      <c r="V1116" s="7" t="str">
        <f>IF(ISERROR(VLOOKUP(K1116,[1]작가별정산률!$R:$S,2,0)),"스토리위즈",VLOOKUP(K1116,[1]작가별정산률!$R:$S,2,0))</f>
        <v>스토리위즈</v>
      </c>
      <c r="W1116" s="7" t="str">
        <f>IF(V1116="스토리위즈",VLOOKUP(K1116,[1]작가별정산률!$A:$B,2,0),V1116)</f>
        <v>김광수</v>
      </c>
    </row>
    <row r="1117" spans="1:23" x14ac:dyDescent="0.4">
      <c r="A1117" t="s">
        <v>262</v>
      </c>
      <c r="B1117" t="s">
        <v>1411</v>
      </c>
      <c r="C1117" t="s">
        <v>1432</v>
      </c>
      <c r="D1117" t="s">
        <v>64</v>
      </c>
      <c r="E1117" t="s">
        <v>22</v>
      </c>
      <c r="F1117" t="s">
        <v>23</v>
      </c>
      <c r="G1117">
        <v>1</v>
      </c>
      <c r="H1117">
        <v>9791166300561</v>
      </c>
      <c r="I1117" t="s">
        <v>24</v>
      </c>
      <c r="J1117" t="s">
        <v>158</v>
      </c>
      <c r="K1117" t="s">
        <v>119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2">
        <v>0.7</v>
      </c>
      <c r="S1117">
        <v>441</v>
      </c>
      <c r="T1117" t="s">
        <v>27</v>
      </c>
      <c r="U1117">
        <v>441</v>
      </c>
      <c r="V1117" s="7" t="str">
        <f>IF(ISERROR(VLOOKUP(K1117,[1]작가별정산률!$R:$S,2,0)),"스토리위즈",VLOOKUP(K1117,[1]작가별정산률!$R:$S,2,0))</f>
        <v>스토리위즈</v>
      </c>
      <c r="W1117" s="7" t="str">
        <f>IF(V1117="스토리위즈",VLOOKUP(K1117,[1]작가별정산률!$A:$B,2,0),V1117)</f>
        <v>김광수</v>
      </c>
    </row>
    <row r="1118" spans="1:23" x14ac:dyDescent="0.4">
      <c r="A1118" t="s">
        <v>262</v>
      </c>
      <c r="B1118" t="s">
        <v>1411</v>
      </c>
      <c r="C1118" t="s">
        <v>1433</v>
      </c>
      <c r="D1118" t="s">
        <v>64</v>
      </c>
      <c r="E1118" t="s">
        <v>22</v>
      </c>
      <c r="F1118" t="s">
        <v>23</v>
      </c>
      <c r="G1118">
        <v>1</v>
      </c>
      <c r="H1118">
        <v>9791166300615</v>
      </c>
      <c r="I1118" t="s">
        <v>24</v>
      </c>
      <c r="J1118" t="s">
        <v>163</v>
      </c>
      <c r="K1118" t="s">
        <v>119</v>
      </c>
      <c r="L1118" t="s">
        <v>27</v>
      </c>
      <c r="M1118">
        <v>630</v>
      </c>
      <c r="N1118" t="s">
        <v>27</v>
      </c>
      <c r="O1118">
        <v>630</v>
      </c>
      <c r="P1118">
        <v>630</v>
      </c>
      <c r="Q1118" t="s">
        <v>30</v>
      </c>
      <c r="R1118" s="2">
        <v>0.7</v>
      </c>
      <c r="S1118">
        <v>441</v>
      </c>
      <c r="T1118" t="s">
        <v>27</v>
      </c>
      <c r="U1118">
        <v>441</v>
      </c>
      <c r="V1118" s="7" t="str">
        <f>IF(ISERROR(VLOOKUP(K1118,[1]작가별정산률!$R:$S,2,0)),"스토리위즈",VLOOKUP(K1118,[1]작가별정산률!$R:$S,2,0))</f>
        <v>스토리위즈</v>
      </c>
      <c r="W1118" s="7" t="str">
        <f>IF(V1118="스토리위즈",VLOOKUP(K1118,[1]작가별정산률!$A:$B,2,0),V1118)</f>
        <v>김광수</v>
      </c>
    </row>
    <row r="1119" spans="1:23" x14ac:dyDescent="0.4">
      <c r="A1119" t="s">
        <v>262</v>
      </c>
      <c r="B1119" t="s">
        <v>1411</v>
      </c>
      <c r="C1119" t="s">
        <v>1434</v>
      </c>
      <c r="D1119" t="s">
        <v>64</v>
      </c>
      <c r="E1119" t="s">
        <v>22</v>
      </c>
      <c r="F1119" t="s">
        <v>23</v>
      </c>
      <c r="G1119">
        <v>1</v>
      </c>
      <c r="H1119">
        <v>9791159283246</v>
      </c>
      <c r="I1119" t="s">
        <v>24</v>
      </c>
      <c r="J1119" t="s">
        <v>67</v>
      </c>
      <c r="K1119" t="s">
        <v>37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2">
        <v>0.7</v>
      </c>
      <c r="S1119">
        <v>441</v>
      </c>
      <c r="T1119" t="s">
        <v>27</v>
      </c>
      <c r="U1119">
        <v>441</v>
      </c>
      <c r="V1119" s="7" t="str">
        <f>IF(ISERROR(VLOOKUP(K1119,[1]작가별정산률!$R:$S,2,0)),"스토리위즈",VLOOKUP(K1119,[1]작가별정산률!$R:$S,2,0))</f>
        <v>스토리위즈</v>
      </c>
      <c r="W1119" s="7" t="str">
        <f>IF(V1119="스토리위즈",VLOOKUP(K1119,[1]작가별정산률!$A:$B,2,0),V1119)</f>
        <v>권용찬</v>
      </c>
    </row>
    <row r="1120" spans="1:23" x14ac:dyDescent="0.4">
      <c r="A1120" t="s">
        <v>262</v>
      </c>
      <c r="B1120" t="s">
        <v>1411</v>
      </c>
      <c r="C1120" t="s">
        <v>1435</v>
      </c>
      <c r="D1120" t="s">
        <v>64</v>
      </c>
      <c r="E1120" t="s">
        <v>22</v>
      </c>
      <c r="F1120" t="s">
        <v>23</v>
      </c>
      <c r="G1120">
        <v>1</v>
      </c>
      <c r="H1120">
        <v>9791166300202</v>
      </c>
      <c r="I1120" t="s">
        <v>24</v>
      </c>
      <c r="J1120" t="s">
        <v>129</v>
      </c>
      <c r="K1120" t="s">
        <v>119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  <c r="V1120" s="7" t="str">
        <f>IF(ISERROR(VLOOKUP(K1120,[1]작가별정산률!$R:$S,2,0)),"스토리위즈",VLOOKUP(K1120,[1]작가별정산률!$R:$S,2,0))</f>
        <v>스토리위즈</v>
      </c>
      <c r="W1120" s="7" t="str">
        <f>IF(V1120="스토리위즈",VLOOKUP(K1120,[1]작가별정산률!$A:$B,2,0),V1120)</f>
        <v>김광수</v>
      </c>
    </row>
    <row r="1121" spans="1:23" x14ac:dyDescent="0.4">
      <c r="A1121" t="s">
        <v>262</v>
      </c>
      <c r="B1121" t="s">
        <v>1411</v>
      </c>
      <c r="C1121" t="s">
        <v>1436</v>
      </c>
      <c r="D1121" t="s">
        <v>21</v>
      </c>
      <c r="E1121" t="s">
        <v>22</v>
      </c>
      <c r="F1121" t="s">
        <v>23</v>
      </c>
      <c r="G1121">
        <v>1</v>
      </c>
      <c r="H1121">
        <v>9791191562286</v>
      </c>
      <c r="I1121" t="s">
        <v>143</v>
      </c>
      <c r="J1121" t="s">
        <v>238</v>
      </c>
      <c r="K1121" t="s">
        <v>239</v>
      </c>
      <c r="L1121" t="s">
        <v>27</v>
      </c>
      <c r="M1121" s="3">
        <v>2000</v>
      </c>
      <c r="N1121" t="s">
        <v>27</v>
      </c>
      <c r="O1121" s="3">
        <v>2000</v>
      </c>
      <c r="P1121" s="3">
        <v>2000</v>
      </c>
      <c r="Q1121" t="s">
        <v>30</v>
      </c>
      <c r="R1121" s="2">
        <v>0.7</v>
      </c>
      <c r="S1121" s="3">
        <v>1400</v>
      </c>
      <c r="T1121" t="s">
        <v>27</v>
      </c>
      <c r="U1121" s="3">
        <v>1400</v>
      </c>
      <c r="V1121" s="7" t="str">
        <f>IF(ISERROR(VLOOKUP(K1121,[1]작가별정산률!$R:$S,2,0)),"스토리위즈",VLOOKUP(K1121,[1]작가별정산률!$R:$S,2,0))</f>
        <v>밀리의 서재</v>
      </c>
      <c r="W1121" s="7" t="str">
        <f>IF(V1121="스토리위즈",VLOOKUP(K1121,[1]작가별정산률!$A:$B,2,0),V1121)</f>
        <v>밀리의 서재</v>
      </c>
    </row>
    <row r="1122" spans="1:23" x14ac:dyDescent="0.4">
      <c r="A1122" t="s">
        <v>262</v>
      </c>
      <c r="B1122" t="s">
        <v>1411</v>
      </c>
      <c r="C1122" t="s">
        <v>1437</v>
      </c>
      <c r="D1122" t="s">
        <v>64</v>
      </c>
      <c r="E1122" t="s">
        <v>22</v>
      </c>
      <c r="F1122" t="s">
        <v>23</v>
      </c>
      <c r="G1122">
        <v>1</v>
      </c>
      <c r="H1122">
        <v>9791188630127</v>
      </c>
      <c r="I1122" t="s">
        <v>24</v>
      </c>
      <c r="J1122" t="s">
        <v>42</v>
      </c>
      <c r="K1122" t="s">
        <v>41</v>
      </c>
      <c r="L1122" t="s">
        <v>27</v>
      </c>
      <c r="M1122">
        <v>630</v>
      </c>
      <c r="N1122" t="s">
        <v>27</v>
      </c>
      <c r="O1122">
        <v>630</v>
      </c>
      <c r="P1122">
        <v>630</v>
      </c>
      <c r="Q1122" t="s">
        <v>30</v>
      </c>
      <c r="R1122" s="2">
        <v>0.7</v>
      </c>
      <c r="S1122">
        <v>441</v>
      </c>
      <c r="T1122" t="s">
        <v>27</v>
      </c>
      <c r="U1122">
        <v>441</v>
      </c>
      <c r="V1122" s="7" t="str">
        <f>IF(ISERROR(VLOOKUP(K1122,[1]작가별정산률!$R:$S,2,0)),"스토리위즈",VLOOKUP(K1122,[1]작가별정산률!$R:$S,2,0))</f>
        <v>스토리위즈</v>
      </c>
      <c r="W1122" s="7" t="str">
        <f>IF(V1122="스토리위즈",VLOOKUP(K1122,[1]작가별정산률!$A:$B,2,0),V1122)</f>
        <v>무장</v>
      </c>
    </row>
    <row r="1123" spans="1:23" x14ac:dyDescent="0.4">
      <c r="A1123" t="s">
        <v>262</v>
      </c>
      <c r="B1123" t="s">
        <v>1411</v>
      </c>
      <c r="C1123" t="s">
        <v>1438</v>
      </c>
      <c r="D1123" t="s">
        <v>64</v>
      </c>
      <c r="E1123" t="s">
        <v>22</v>
      </c>
      <c r="F1123" t="s">
        <v>23</v>
      </c>
      <c r="G1123">
        <v>1</v>
      </c>
      <c r="H1123">
        <v>9791166300134</v>
      </c>
      <c r="I1123" t="s">
        <v>24</v>
      </c>
      <c r="J1123" t="s">
        <v>123</v>
      </c>
      <c r="K1123" t="s">
        <v>119</v>
      </c>
      <c r="L1123" t="s">
        <v>27</v>
      </c>
      <c r="M1123">
        <v>630</v>
      </c>
      <c r="N1123" t="s">
        <v>27</v>
      </c>
      <c r="O1123">
        <v>630</v>
      </c>
      <c r="P1123">
        <v>630</v>
      </c>
      <c r="Q1123" t="s">
        <v>30</v>
      </c>
      <c r="R1123" s="2">
        <v>0.7</v>
      </c>
      <c r="S1123">
        <v>441</v>
      </c>
      <c r="T1123" t="s">
        <v>27</v>
      </c>
      <c r="U1123">
        <v>441</v>
      </c>
      <c r="V1123" s="7" t="str">
        <f>IF(ISERROR(VLOOKUP(K1123,[1]작가별정산률!$R:$S,2,0)),"스토리위즈",VLOOKUP(K1123,[1]작가별정산률!$R:$S,2,0))</f>
        <v>스토리위즈</v>
      </c>
      <c r="W1123" s="7" t="str">
        <f>IF(V1123="스토리위즈",VLOOKUP(K1123,[1]작가별정산률!$A:$B,2,0),V1123)</f>
        <v>김광수</v>
      </c>
    </row>
    <row r="1124" spans="1:23" x14ac:dyDescent="0.4">
      <c r="A1124" t="s">
        <v>262</v>
      </c>
      <c r="B1124" t="s">
        <v>1411</v>
      </c>
      <c r="C1124" t="s">
        <v>1439</v>
      </c>
      <c r="D1124" t="s">
        <v>64</v>
      </c>
      <c r="E1124" t="s">
        <v>22</v>
      </c>
      <c r="F1124" t="s">
        <v>23</v>
      </c>
      <c r="G1124">
        <v>1</v>
      </c>
      <c r="H1124">
        <v>9791166300134</v>
      </c>
      <c r="I1124" t="s">
        <v>24</v>
      </c>
      <c r="J1124" t="s">
        <v>123</v>
      </c>
      <c r="K1124" t="s">
        <v>119</v>
      </c>
      <c r="L1124" t="s">
        <v>27</v>
      </c>
      <c r="M1124">
        <v>630</v>
      </c>
      <c r="N1124" t="s">
        <v>27</v>
      </c>
      <c r="O1124">
        <v>630</v>
      </c>
      <c r="P1124">
        <v>630</v>
      </c>
      <c r="Q1124" t="s">
        <v>30</v>
      </c>
      <c r="R1124" s="2">
        <v>0.7</v>
      </c>
      <c r="S1124">
        <v>441</v>
      </c>
      <c r="T1124" t="s">
        <v>27</v>
      </c>
      <c r="U1124">
        <v>441</v>
      </c>
      <c r="V1124" s="7" t="str">
        <f>IF(ISERROR(VLOOKUP(K1124,[1]작가별정산률!$R:$S,2,0)),"스토리위즈",VLOOKUP(K1124,[1]작가별정산률!$R:$S,2,0))</f>
        <v>스토리위즈</v>
      </c>
      <c r="W1124" s="7" t="str">
        <f>IF(V1124="스토리위즈",VLOOKUP(K1124,[1]작가별정산률!$A:$B,2,0),V1124)</f>
        <v>김광수</v>
      </c>
    </row>
    <row r="1125" spans="1:23" x14ac:dyDescent="0.4">
      <c r="A1125" t="s">
        <v>262</v>
      </c>
      <c r="B1125" t="s">
        <v>1411</v>
      </c>
      <c r="C1125" t="s">
        <v>1440</v>
      </c>
      <c r="D1125" t="s">
        <v>64</v>
      </c>
      <c r="E1125" t="s">
        <v>22</v>
      </c>
      <c r="F1125" t="s">
        <v>23</v>
      </c>
      <c r="G1125">
        <v>1</v>
      </c>
      <c r="H1125">
        <v>9791166069772</v>
      </c>
      <c r="I1125" t="s">
        <v>24</v>
      </c>
      <c r="J1125" t="s">
        <v>1441</v>
      </c>
      <c r="K1125" t="s">
        <v>1442</v>
      </c>
      <c r="L1125" t="s">
        <v>27</v>
      </c>
      <c r="M1125">
        <v>630</v>
      </c>
      <c r="N1125" t="s">
        <v>27</v>
      </c>
      <c r="O1125">
        <v>630</v>
      </c>
      <c r="P1125">
        <v>630</v>
      </c>
      <c r="Q1125" t="s">
        <v>30</v>
      </c>
      <c r="R1125" s="2">
        <v>0.7</v>
      </c>
      <c r="S1125">
        <v>441</v>
      </c>
      <c r="T1125" t="s">
        <v>27</v>
      </c>
      <c r="U1125">
        <v>441</v>
      </c>
      <c r="V1125" s="7" t="str">
        <f>IF(ISERROR(VLOOKUP(K1125,[1]작가별정산률!$R:$S,2,0)),"스토리위즈",VLOOKUP(K1125,[1]작가별정산률!$R:$S,2,0))</f>
        <v>스토리위즈</v>
      </c>
      <c r="W1125" s="7" t="str">
        <f>IF(V1125="스토리위즈",VLOOKUP(K1125,[1]작가별정산률!$A:$B,2,0),V1125)</f>
        <v>청빙</v>
      </c>
    </row>
    <row r="1126" spans="1:23" x14ac:dyDescent="0.4">
      <c r="A1126" t="s">
        <v>262</v>
      </c>
      <c r="B1126" t="s">
        <v>1411</v>
      </c>
      <c r="C1126" t="s">
        <v>1443</v>
      </c>
      <c r="D1126" t="s">
        <v>64</v>
      </c>
      <c r="E1126" t="s">
        <v>22</v>
      </c>
      <c r="F1126" t="s">
        <v>23</v>
      </c>
      <c r="G1126">
        <v>1</v>
      </c>
      <c r="H1126">
        <v>9791166064449</v>
      </c>
      <c r="I1126" t="s">
        <v>24</v>
      </c>
      <c r="J1126" t="s">
        <v>115</v>
      </c>
      <c r="K1126" t="s">
        <v>102</v>
      </c>
      <c r="L1126" t="s">
        <v>27</v>
      </c>
      <c r="M1126">
        <v>720</v>
      </c>
      <c r="N1126" t="s">
        <v>27</v>
      </c>
      <c r="O1126">
        <v>720</v>
      </c>
      <c r="P1126">
        <v>720</v>
      </c>
      <c r="Q1126" t="s">
        <v>30</v>
      </c>
      <c r="R1126" s="2">
        <v>0.7</v>
      </c>
      <c r="S1126">
        <v>504</v>
      </c>
      <c r="T1126" t="s">
        <v>27</v>
      </c>
      <c r="U1126">
        <v>504</v>
      </c>
      <c r="V1126" s="7" t="str">
        <f>IF(ISERROR(VLOOKUP(K1126,[1]작가별정산률!$R:$S,2,0)),"스토리위즈",VLOOKUP(K1126,[1]작가별정산률!$R:$S,2,0))</f>
        <v>스토리위즈</v>
      </c>
      <c r="W1126" s="7" t="str">
        <f>IF(V1126="스토리위즈",VLOOKUP(K1126,[1]작가별정산률!$A:$B,2,0),V1126)</f>
        <v>예로나</v>
      </c>
    </row>
    <row r="1127" spans="1:23" x14ac:dyDescent="0.4">
      <c r="A1127" t="s">
        <v>262</v>
      </c>
      <c r="B1127" t="s">
        <v>1411</v>
      </c>
      <c r="C1127" t="s">
        <v>1444</v>
      </c>
      <c r="D1127" t="s">
        <v>64</v>
      </c>
      <c r="E1127" t="s">
        <v>22</v>
      </c>
      <c r="F1127" t="s">
        <v>23</v>
      </c>
      <c r="G1127">
        <v>1</v>
      </c>
      <c r="H1127">
        <v>9791166300165</v>
      </c>
      <c r="I1127" t="s">
        <v>24</v>
      </c>
      <c r="J1127" t="s">
        <v>126</v>
      </c>
      <c r="K1127" t="s">
        <v>119</v>
      </c>
      <c r="L1127" t="s">
        <v>27</v>
      </c>
      <c r="M1127">
        <v>630</v>
      </c>
      <c r="N1127" t="s">
        <v>27</v>
      </c>
      <c r="O1127">
        <v>630</v>
      </c>
      <c r="P1127">
        <v>630</v>
      </c>
      <c r="Q1127" t="s">
        <v>30</v>
      </c>
      <c r="R1127" s="2">
        <v>0.7</v>
      </c>
      <c r="S1127">
        <v>441</v>
      </c>
      <c r="T1127" t="s">
        <v>27</v>
      </c>
      <c r="U1127">
        <v>441</v>
      </c>
      <c r="V1127" s="7" t="str">
        <f>IF(ISERROR(VLOOKUP(K1127,[1]작가별정산률!$R:$S,2,0)),"스토리위즈",VLOOKUP(K1127,[1]작가별정산률!$R:$S,2,0))</f>
        <v>스토리위즈</v>
      </c>
      <c r="W1127" s="7" t="str">
        <f>IF(V1127="스토리위즈",VLOOKUP(K1127,[1]작가별정산률!$A:$B,2,0),V1127)</f>
        <v>김광수</v>
      </c>
    </row>
    <row r="1128" spans="1:23" x14ac:dyDescent="0.4">
      <c r="A1128" t="s">
        <v>262</v>
      </c>
      <c r="B1128" t="s">
        <v>1411</v>
      </c>
      <c r="C1128" t="s">
        <v>1445</v>
      </c>
      <c r="D1128" t="s">
        <v>21</v>
      </c>
      <c r="E1128" t="s">
        <v>22</v>
      </c>
      <c r="F1128" t="s">
        <v>23</v>
      </c>
      <c r="G1128">
        <v>1</v>
      </c>
      <c r="H1128">
        <v>9791189084455</v>
      </c>
      <c r="I1128" t="s">
        <v>143</v>
      </c>
      <c r="J1128" t="s">
        <v>1446</v>
      </c>
      <c r="K1128" t="s">
        <v>1378</v>
      </c>
      <c r="L1128" t="s">
        <v>27</v>
      </c>
      <c r="M1128" s="3">
        <v>3000</v>
      </c>
      <c r="N1128" t="s">
        <v>27</v>
      </c>
      <c r="O1128" s="3">
        <v>3000</v>
      </c>
      <c r="P1128" s="3">
        <v>3000</v>
      </c>
      <c r="Q1128" t="s">
        <v>30</v>
      </c>
      <c r="R1128" s="2">
        <v>0.7</v>
      </c>
      <c r="S1128" s="3">
        <v>2100</v>
      </c>
      <c r="T1128" t="s">
        <v>27</v>
      </c>
      <c r="U1128" s="3">
        <v>2100</v>
      </c>
      <c r="V1128" s="7" t="str">
        <f>IF(ISERROR(VLOOKUP(K1128,[1]작가별정산률!$R:$S,2,0)),"스토리위즈",VLOOKUP(K1128,[1]작가별정산률!$R:$S,2,0))</f>
        <v>스토리위즈</v>
      </c>
      <c r="W1128" s="7" t="str">
        <f>IF(V1128="스토리위즈",VLOOKUP(K1128,[1]작가별정산률!$A:$B,2,0),V1128)</f>
        <v>밈스</v>
      </c>
    </row>
    <row r="1129" spans="1:23" x14ac:dyDescent="0.4">
      <c r="A1129" t="s">
        <v>262</v>
      </c>
      <c r="B1129" t="s">
        <v>1411</v>
      </c>
      <c r="C1129" t="s">
        <v>1447</v>
      </c>
      <c r="D1129" t="s">
        <v>64</v>
      </c>
      <c r="E1129" t="s">
        <v>22</v>
      </c>
      <c r="F1129" t="s">
        <v>23</v>
      </c>
      <c r="G1129">
        <v>1</v>
      </c>
      <c r="H1129">
        <v>9791166300578</v>
      </c>
      <c r="I1129" t="s">
        <v>24</v>
      </c>
      <c r="J1129" t="s">
        <v>159</v>
      </c>
      <c r="K1129" t="s">
        <v>119</v>
      </c>
      <c r="L1129" t="s">
        <v>27</v>
      </c>
      <c r="M1129">
        <v>630</v>
      </c>
      <c r="N1129" t="s">
        <v>27</v>
      </c>
      <c r="O1129">
        <v>630</v>
      </c>
      <c r="P1129">
        <v>630</v>
      </c>
      <c r="Q1129" t="s">
        <v>30</v>
      </c>
      <c r="R1129" s="2">
        <v>0.7</v>
      </c>
      <c r="S1129">
        <v>441</v>
      </c>
      <c r="T1129" t="s">
        <v>27</v>
      </c>
      <c r="U1129">
        <v>441</v>
      </c>
      <c r="V1129" s="7" t="str">
        <f>IF(ISERROR(VLOOKUP(K1129,[1]작가별정산률!$R:$S,2,0)),"스토리위즈",VLOOKUP(K1129,[1]작가별정산률!$R:$S,2,0))</f>
        <v>스토리위즈</v>
      </c>
      <c r="W1129" s="7" t="str">
        <f>IF(V1129="스토리위즈",VLOOKUP(K1129,[1]작가별정산률!$A:$B,2,0),V1129)</f>
        <v>김광수</v>
      </c>
    </row>
    <row r="1130" spans="1:23" x14ac:dyDescent="0.4">
      <c r="A1130" t="s">
        <v>262</v>
      </c>
      <c r="B1130" t="s">
        <v>1411</v>
      </c>
      <c r="C1130" t="s">
        <v>1448</v>
      </c>
      <c r="D1130" t="s">
        <v>64</v>
      </c>
      <c r="E1130" t="s">
        <v>22</v>
      </c>
      <c r="F1130" t="s">
        <v>23</v>
      </c>
      <c r="G1130">
        <v>1</v>
      </c>
      <c r="H1130">
        <v>9791166300134</v>
      </c>
      <c r="I1130" t="s">
        <v>24</v>
      </c>
      <c r="J1130" t="s">
        <v>123</v>
      </c>
      <c r="K1130" t="s">
        <v>119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2">
        <v>0.7</v>
      </c>
      <c r="S1130">
        <v>441</v>
      </c>
      <c r="T1130" t="s">
        <v>27</v>
      </c>
      <c r="U1130">
        <v>441</v>
      </c>
      <c r="V1130" s="7" t="str">
        <f>IF(ISERROR(VLOOKUP(K1130,[1]작가별정산률!$R:$S,2,0)),"스토리위즈",VLOOKUP(K1130,[1]작가별정산률!$R:$S,2,0))</f>
        <v>스토리위즈</v>
      </c>
      <c r="W1130" s="7" t="str">
        <f>IF(V1130="스토리위즈",VLOOKUP(K1130,[1]작가별정산률!$A:$B,2,0),V1130)</f>
        <v>김광수</v>
      </c>
    </row>
    <row r="1131" spans="1:23" x14ac:dyDescent="0.4">
      <c r="A1131" t="s">
        <v>262</v>
      </c>
      <c r="B1131" t="s">
        <v>1411</v>
      </c>
      <c r="C1131" t="s">
        <v>1449</v>
      </c>
      <c r="D1131" t="s">
        <v>64</v>
      </c>
      <c r="E1131" t="s">
        <v>22</v>
      </c>
      <c r="F1131" t="s">
        <v>23</v>
      </c>
      <c r="G1131">
        <v>1</v>
      </c>
      <c r="H1131">
        <v>9791166300103</v>
      </c>
      <c r="I1131" t="s">
        <v>24</v>
      </c>
      <c r="J1131" t="s">
        <v>120</v>
      </c>
      <c r="K1131" t="s">
        <v>119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  <c r="V1131" s="7" t="str">
        <f>IF(ISERROR(VLOOKUP(K1131,[1]작가별정산률!$R:$S,2,0)),"스토리위즈",VLOOKUP(K1131,[1]작가별정산률!$R:$S,2,0))</f>
        <v>스토리위즈</v>
      </c>
      <c r="W1131" s="7" t="str">
        <f>IF(V1131="스토리위즈",VLOOKUP(K1131,[1]작가별정산률!$A:$B,2,0),V1131)</f>
        <v>김광수</v>
      </c>
    </row>
    <row r="1132" spans="1:23" x14ac:dyDescent="0.4">
      <c r="A1132" t="s">
        <v>262</v>
      </c>
      <c r="B1132" t="s">
        <v>1411</v>
      </c>
      <c r="C1132" t="s">
        <v>1450</v>
      </c>
      <c r="D1132" t="s">
        <v>64</v>
      </c>
      <c r="E1132" t="s">
        <v>22</v>
      </c>
      <c r="F1132" t="s">
        <v>23</v>
      </c>
      <c r="G1132">
        <v>1</v>
      </c>
      <c r="H1132">
        <v>9791166064456</v>
      </c>
      <c r="I1132" t="s">
        <v>24</v>
      </c>
      <c r="J1132" t="s">
        <v>116</v>
      </c>
      <c r="K1132" t="s">
        <v>102</v>
      </c>
      <c r="L1132" t="s">
        <v>27</v>
      </c>
      <c r="M1132">
        <v>720</v>
      </c>
      <c r="N1132" t="s">
        <v>27</v>
      </c>
      <c r="O1132">
        <v>720</v>
      </c>
      <c r="P1132">
        <v>720</v>
      </c>
      <c r="Q1132" t="s">
        <v>30</v>
      </c>
      <c r="R1132" s="2">
        <v>0.7</v>
      </c>
      <c r="S1132">
        <v>504</v>
      </c>
      <c r="T1132" t="s">
        <v>27</v>
      </c>
      <c r="U1132">
        <v>504</v>
      </c>
      <c r="V1132" s="7" t="str">
        <f>IF(ISERROR(VLOOKUP(K1132,[1]작가별정산률!$R:$S,2,0)),"스토리위즈",VLOOKUP(K1132,[1]작가별정산률!$R:$S,2,0))</f>
        <v>스토리위즈</v>
      </c>
      <c r="W1132" s="7" t="str">
        <f>IF(V1132="스토리위즈",VLOOKUP(K1132,[1]작가별정산률!$A:$B,2,0),V1132)</f>
        <v>예로나</v>
      </c>
    </row>
    <row r="1133" spans="1:23" x14ac:dyDescent="0.4">
      <c r="A1133" t="s">
        <v>262</v>
      </c>
      <c r="B1133" t="s">
        <v>1411</v>
      </c>
      <c r="C1133" t="s">
        <v>1451</v>
      </c>
      <c r="D1133" t="s">
        <v>64</v>
      </c>
      <c r="E1133" t="s">
        <v>22</v>
      </c>
      <c r="F1133" t="s">
        <v>23</v>
      </c>
      <c r="G1133">
        <v>1</v>
      </c>
      <c r="H1133">
        <v>9791166300516</v>
      </c>
      <c r="I1133" t="s">
        <v>24</v>
      </c>
      <c r="J1133" t="s">
        <v>149</v>
      </c>
      <c r="K1133" t="s">
        <v>119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  <c r="V1133" s="7" t="str">
        <f>IF(ISERROR(VLOOKUP(K1133,[1]작가별정산률!$R:$S,2,0)),"스토리위즈",VLOOKUP(K1133,[1]작가별정산률!$R:$S,2,0))</f>
        <v>스토리위즈</v>
      </c>
      <c r="W1133" s="7" t="str">
        <f>IF(V1133="스토리위즈",VLOOKUP(K1133,[1]작가별정산률!$A:$B,2,0),V1133)</f>
        <v>김광수</v>
      </c>
    </row>
    <row r="1134" spans="1:23" x14ac:dyDescent="0.4">
      <c r="A1134" t="s">
        <v>262</v>
      </c>
      <c r="B1134" t="s">
        <v>1411</v>
      </c>
      <c r="C1134" t="s">
        <v>1452</v>
      </c>
      <c r="D1134" t="s">
        <v>64</v>
      </c>
      <c r="E1134" t="s">
        <v>22</v>
      </c>
      <c r="F1134" t="s">
        <v>23</v>
      </c>
      <c r="G1134">
        <v>1</v>
      </c>
      <c r="H1134">
        <v>9791166300608</v>
      </c>
      <c r="I1134" t="s">
        <v>24</v>
      </c>
      <c r="J1134" t="s">
        <v>162</v>
      </c>
      <c r="K1134" t="s">
        <v>119</v>
      </c>
      <c r="L1134" t="s">
        <v>27</v>
      </c>
      <c r="M1134">
        <v>630</v>
      </c>
      <c r="N1134" t="s">
        <v>27</v>
      </c>
      <c r="O1134">
        <v>630</v>
      </c>
      <c r="P1134">
        <v>630</v>
      </c>
      <c r="Q1134" t="s">
        <v>30</v>
      </c>
      <c r="R1134" s="2">
        <v>0.7</v>
      </c>
      <c r="S1134">
        <v>441</v>
      </c>
      <c r="T1134" t="s">
        <v>27</v>
      </c>
      <c r="U1134">
        <v>441</v>
      </c>
      <c r="V1134" s="7" t="str">
        <f>IF(ISERROR(VLOOKUP(K1134,[1]작가별정산률!$R:$S,2,0)),"스토리위즈",VLOOKUP(K1134,[1]작가별정산률!$R:$S,2,0))</f>
        <v>스토리위즈</v>
      </c>
      <c r="W1134" s="7" t="str">
        <f>IF(V1134="스토리위즈",VLOOKUP(K1134,[1]작가별정산률!$A:$B,2,0),V1134)</f>
        <v>김광수</v>
      </c>
    </row>
    <row r="1135" spans="1:23" x14ac:dyDescent="0.4">
      <c r="A1135" t="s">
        <v>262</v>
      </c>
      <c r="B1135" t="s">
        <v>1411</v>
      </c>
      <c r="C1135" t="s">
        <v>1453</v>
      </c>
      <c r="D1135" t="s">
        <v>21</v>
      </c>
      <c r="E1135" t="s">
        <v>22</v>
      </c>
      <c r="F1135" t="s">
        <v>23</v>
      </c>
      <c r="G1135">
        <v>1</v>
      </c>
      <c r="H1135">
        <v>9791166300257</v>
      </c>
      <c r="I1135" t="s">
        <v>24</v>
      </c>
      <c r="J1135" t="s">
        <v>134</v>
      </c>
      <c r="K1135" t="s">
        <v>119</v>
      </c>
      <c r="L1135" t="s">
        <v>27</v>
      </c>
      <c r="M1135" s="3">
        <v>3200</v>
      </c>
      <c r="N1135" t="s">
        <v>27</v>
      </c>
      <c r="O1135" s="3">
        <v>3200</v>
      </c>
      <c r="P1135" s="3">
        <v>3200</v>
      </c>
      <c r="Q1135" t="s">
        <v>30</v>
      </c>
      <c r="R1135" s="2">
        <v>0.7</v>
      </c>
      <c r="S1135" s="3">
        <v>2240</v>
      </c>
      <c r="T1135" t="s">
        <v>27</v>
      </c>
      <c r="U1135" s="3">
        <v>2240</v>
      </c>
      <c r="V1135" s="7" t="str">
        <f>IF(ISERROR(VLOOKUP(K1135,[1]작가별정산률!$R:$S,2,0)),"스토리위즈",VLOOKUP(K1135,[1]작가별정산률!$R:$S,2,0))</f>
        <v>스토리위즈</v>
      </c>
      <c r="W1135" s="7" t="str">
        <f>IF(V1135="스토리위즈",VLOOKUP(K1135,[1]작가별정산률!$A:$B,2,0),V1135)</f>
        <v>김광수</v>
      </c>
    </row>
    <row r="1136" spans="1:23" x14ac:dyDescent="0.4">
      <c r="A1136" t="s">
        <v>262</v>
      </c>
      <c r="B1136" t="s">
        <v>1411</v>
      </c>
      <c r="C1136" t="s">
        <v>1454</v>
      </c>
      <c r="D1136" t="s">
        <v>64</v>
      </c>
      <c r="E1136" t="s">
        <v>22</v>
      </c>
      <c r="F1136" t="s">
        <v>23</v>
      </c>
      <c r="G1136">
        <v>1</v>
      </c>
      <c r="H1136">
        <v>9791159284953</v>
      </c>
      <c r="I1136" t="s">
        <v>24</v>
      </c>
      <c r="J1136" t="s">
        <v>46</v>
      </c>
      <c r="K1136" t="s">
        <v>47</v>
      </c>
      <c r="L1136" t="s">
        <v>27</v>
      </c>
      <c r="M1136">
        <v>630</v>
      </c>
      <c r="N1136" t="s">
        <v>27</v>
      </c>
      <c r="O1136">
        <v>630</v>
      </c>
      <c r="P1136">
        <v>630</v>
      </c>
      <c r="Q1136" t="s">
        <v>30</v>
      </c>
      <c r="R1136" s="2">
        <v>0.7</v>
      </c>
      <c r="S1136">
        <v>441</v>
      </c>
      <c r="T1136" t="s">
        <v>27</v>
      </c>
      <c r="U1136">
        <v>441</v>
      </c>
      <c r="V1136" s="7" t="str">
        <f>IF(ISERROR(VLOOKUP(K1136,[1]작가별정산률!$R:$S,2,0)),"스토리위즈",VLOOKUP(K1136,[1]작가별정산률!$R:$S,2,0))</f>
        <v>스토리위즈</v>
      </c>
      <c r="W1136" s="7" t="str">
        <f>IF(V1136="스토리위즈",VLOOKUP(K1136,[1]작가별정산률!$A:$B,2,0),V1136)</f>
        <v>전혁</v>
      </c>
    </row>
    <row r="1137" spans="1:23" x14ac:dyDescent="0.4">
      <c r="A1137" t="s">
        <v>262</v>
      </c>
      <c r="B1137" t="s">
        <v>1411</v>
      </c>
      <c r="C1137" t="s">
        <v>1455</v>
      </c>
      <c r="D1137" t="s">
        <v>64</v>
      </c>
      <c r="E1137" t="s">
        <v>22</v>
      </c>
      <c r="F1137" t="s">
        <v>23</v>
      </c>
      <c r="G1137">
        <v>1</v>
      </c>
      <c r="H1137">
        <v>9791166300110</v>
      </c>
      <c r="I1137" t="s">
        <v>24</v>
      </c>
      <c r="J1137" t="s">
        <v>121</v>
      </c>
      <c r="K1137" t="s">
        <v>119</v>
      </c>
      <c r="L1137" t="s">
        <v>27</v>
      </c>
      <c r="M1137">
        <v>630</v>
      </c>
      <c r="N1137" t="s">
        <v>27</v>
      </c>
      <c r="O1137">
        <v>630</v>
      </c>
      <c r="P1137">
        <v>630</v>
      </c>
      <c r="Q1137" t="s">
        <v>30</v>
      </c>
      <c r="R1137" s="2">
        <v>0.7</v>
      </c>
      <c r="S1137">
        <v>441</v>
      </c>
      <c r="T1137" t="s">
        <v>27</v>
      </c>
      <c r="U1137">
        <v>441</v>
      </c>
      <c r="V1137" s="7" t="str">
        <f>IF(ISERROR(VLOOKUP(K1137,[1]작가별정산률!$R:$S,2,0)),"스토리위즈",VLOOKUP(K1137,[1]작가별정산률!$R:$S,2,0))</f>
        <v>스토리위즈</v>
      </c>
      <c r="W1137" s="7" t="str">
        <f>IF(V1137="스토리위즈",VLOOKUP(K1137,[1]작가별정산률!$A:$B,2,0),V1137)</f>
        <v>김광수</v>
      </c>
    </row>
    <row r="1138" spans="1:23" x14ac:dyDescent="0.4">
      <c r="A1138" t="s">
        <v>262</v>
      </c>
      <c r="B1138" t="s">
        <v>1411</v>
      </c>
      <c r="C1138" t="s">
        <v>1456</v>
      </c>
      <c r="D1138" t="s">
        <v>21</v>
      </c>
      <c r="E1138" t="s">
        <v>22</v>
      </c>
      <c r="F1138" t="s">
        <v>23</v>
      </c>
      <c r="G1138">
        <v>1</v>
      </c>
      <c r="H1138">
        <v>9791189084813</v>
      </c>
      <c r="I1138" t="s">
        <v>143</v>
      </c>
      <c r="J1138" t="s">
        <v>563</v>
      </c>
      <c r="K1138" t="s">
        <v>564</v>
      </c>
      <c r="L1138" t="s">
        <v>27</v>
      </c>
      <c r="M1138" s="3">
        <v>4000</v>
      </c>
      <c r="N1138" t="s">
        <v>27</v>
      </c>
      <c r="O1138" s="3">
        <v>4000</v>
      </c>
      <c r="P1138" s="3">
        <v>4000</v>
      </c>
      <c r="Q1138" t="s">
        <v>30</v>
      </c>
      <c r="R1138" s="2">
        <v>0.7</v>
      </c>
      <c r="S1138" s="3">
        <v>2800</v>
      </c>
      <c r="T1138" t="s">
        <v>27</v>
      </c>
      <c r="U1138" s="3">
        <v>2800</v>
      </c>
      <c r="V1138" s="7" t="str">
        <f>IF(ISERROR(VLOOKUP(K1138,[1]작가별정산률!$R:$S,2,0)),"스토리위즈",VLOOKUP(K1138,[1]작가별정산률!$R:$S,2,0))</f>
        <v>스토리위즈</v>
      </c>
      <c r="W1138" s="7" t="str">
        <f>IF(V1138="스토리위즈",VLOOKUP(K1138,[1]작가별정산률!$A:$B,2,0),V1138)</f>
        <v>셔틀</v>
      </c>
    </row>
    <row r="1139" spans="1:23" x14ac:dyDescent="0.4">
      <c r="A1139" t="s">
        <v>262</v>
      </c>
      <c r="B1139" t="s">
        <v>1411</v>
      </c>
      <c r="C1139" t="s">
        <v>1457</v>
      </c>
      <c r="D1139" t="s">
        <v>64</v>
      </c>
      <c r="E1139" t="s">
        <v>22</v>
      </c>
      <c r="F1139" t="s">
        <v>23</v>
      </c>
      <c r="G1139">
        <v>1</v>
      </c>
      <c r="H1139">
        <v>9791188630134</v>
      </c>
      <c r="I1139" t="s">
        <v>24</v>
      </c>
      <c r="J1139" t="s">
        <v>203</v>
      </c>
      <c r="K1139" t="s">
        <v>41</v>
      </c>
      <c r="L1139" t="s">
        <v>27</v>
      </c>
      <c r="M1139">
        <v>630</v>
      </c>
      <c r="N1139" t="s">
        <v>27</v>
      </c>
      <c r="O1139">
        <v>630</v>
      </c>
      <c r="P1139">
        <v>630</v>
      </c>
      <c r="Q1139" t="s">
        <v>30</v>
      </c>
      <c r="R1139" s="2">
        <v>0.7</v>
      </c>
      <c r="S1139">
        <v>441</v>
      </c>
      <c r="T1139" t="s">
        <v>27</v>
      </c>
      <c r="U1139">
        <v>441</v>
      </c>
      <c r="V1139" s="7" t="str">
        <f>IF(ISERROR(VLOOKUP(K1139,[1]작가별정산률!$R:$S,2,0)),"스토리위즈",VLOOKUP(K1139,[1]작가별정산률!$R:$S,2,0))</f>
        <v>스토리위즈</v>
      </c>
      <c r="W1139" s="7" t="str">
        <f>IF(V1139="스토리위즈",VLOOKUP(K1139,[1]작가별정산률!$A:$B,2,0),V1139)</f>
        <v>무장</v>
      </c>
    </row>
    <row r="1140" spans="1:23" x14ac:dyDescent="0.4">
      <c r="A1140" t="s">
        <v>262</v>
      </c>
      <c r="B1140" t="s">
        <v>1411</v>
      </c>
      <c r="C1140" t="s">
        <v>1458</v>
      </c>
      <c r="D1140" t="s">
        <v>21</v>
      </c>
      <c r="E1140" t="s">
        <v>22</v>
      </c>
      <c r="F1140" t="s">
        <v>23</v>
      </c>
      <c r="G1140">
        <v>1</v>
      </c>
      <c r="H1140">
        <v>9791191562286</v>
      </c>
      <c r="I1140" t="s">
        <v>143</v>
      </c>
      <c r="J1140" t="s">
        <v>238</v>
      </c>
      <c r="K1140" t="s">
        <v>239</v>
      </c>
      <c r="L1140" t="s">
        <v>27</v>
      </c>
      <c r="M1140" s="3">
        <v>2000</v>
      </c>
      <c r="N1140" t="s">
        <v>176</v>
      </c>
      <c r="O1140">
        <v>222</v>
      </c>
      <c r="P1140">
        <v>202</v>
      </c>
      <c r="Q1140" t="s">
        <v>177</v>
      </c>
      <c r="R1140" s="2">
        <v>0.7</v>
      </c>
      <c r="S1140">
        <v>141</v>
      </c>
      <c r="T1140" t="s">
        <v>27</v>
      </c>
      <c r="U1140" s="3">
        <v>1403</v>
      </c>
      <c r="V1140" s="7" t="str">
        <f>IF(ISERROR(VLOOKUP(K1140,[1]작가별정산률!$R:$S,2,0)),"스토리위즈",VLOOKUP(K1140,[1]작가별정산률!$R:$S,2,0))</f>
        <v>밀리의 서재</v>
      </c>
      <c r="W1140" s="7" t="str">
        <f>IF(V1140="스토리위즈",VLOOKUP(K1140,[1]작가별정산률!$A:$B,2,0),V1140)</f>
        <v>밀리의 서재</v>
      </c>
    </row>
    <row r="1141" spans="1:23" x14ac:dyDescent="0.4">
      <c r="A1141" t="s">
        <v>262</v>
      </c>
      <c r="B1141" t="s">
        <v>1411</v>
      </c>
      <c r="C1141" t="s">
        <v>1459</v>
      </c>
      <c r="D1141" t="s">
        <v>64</v>
      </c>
      <c r="E1141" t="s">
        <v>22</v>
      </c>
      <c r="F1141" t="s">
        <v>23</v>
      </c>
      <c r="G1141">
        <v>1</v>
      </c>
      <c r="H1141">
        <v>9791166300257</v>
      </c>
      <c r="I1141" t="s">
        <v>24</v>
      </c>
      <c r="J1141" t="s">
        <v>134</v>
      </c>
      <c r="K1141" t="s">
        <v>119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  <c r="V1141" s="7" t="str">
        <f>IF(ISERROR(VLOOKUP(K1141,[1]작가별정산률!$R:$S,2,0)),"스토리위즈",VLOOKUP(K1141,[1]작가별정산률!$R:$S,2,0))</f>
        <v>스토리위즈</v>
      </c>
      <c r="W1141" s="7" t="str">
        <f>IF(V1141="스토리위즈",VLOOKUP(K1141,[1]작가별정산률!$A:$B,2,0),V1141)</f>
        <v>김광수</v>
      </c>
    </row>
    <row r="1142" spans="1:23" x14ac:dyDescent="0.4">
      <c r="A1142" t="s">
        <v>262</v>
      </c>
      <c r="B1142" t="s">
        <v>1411</v>
      </c>
      <c r="C1142" t="s">
        <v>1460</v>
      </c>
      <c r="D1142" t="s">
        <v>21</v>
      </c>
      <c r="E1142" t="s">
        <v>22</v>
      </c>
      <c r="F1142" t="s">
        <v>23</v>
      </c>
      <c r="G1142">
        <v>1</v>
      </c>
      <c r="H1142">
        <v>9791191562262</v>
      </c>
      <c r="I1142" t="s">
        <v>143</v>
      </c>
      <c r="J1142" t="s">
        <v>250</v>
      </c>
      <c r="K1142" t="s">
        <v>251</v>
      </c>
      <c r="L1142" t="s">
        <v>27</v>
      </c>
      <c r="M1142" s="3">
        <v>2000</v>
      </c>
      <c r="N1142" t="s">
        <v>27</v>
      </c>
      <c r="O1142" s="3">
        <v>2000</v>
      </c>
      <c r="P1142" s="3">
        <v>2000</v>
      </c>
      <c r="Q1142" t="s">
        <v>30</v>
      </c>
      <c r="R1142" s="2">
        <v>0.7</v>
      </c>
      <c r="S1142" s="3">
        <v>1400</v>
      </c>
      <c r="T1142" t="s">
        <v>27</v>
      </c>
      <c r="U1142" s="3">
        <v>1400</v>
      </c>
      <c r="V1142" s="7" t="str">
        <f>IF(ISERROR(VLOOKUP(K1142,[1]작가별정산률!$R:$S,2,0)),"스토리위즈",VLOOKUP(K1142,[1]작가별정산률!$R:$S,2,0))</f>
        <v>밀리의 서재</v>
      </c>
      <c r="W1142" s="7" t="str">
        <f>IF(V1142="스토리위즈",VLOOKUP(K1142,[1]작가별정산률!$A:$B,2,0),V1142)</f>
        <v>밀리의 서재</v>
      </c>
    </row>
    <row r="1143" spans="1:23" x14ac:dyDescent="0.4">
      <c r="A1143" t="s">
        <v>262</v>
      </c>
      <c r="B1143" t="s">
        <v>1411</v>
      </c>
      <c r="C1143" t="s">
        <v>1461</v>
      </c>
      <c r="D1143" t="s">
        <v>64</v>
      </c>
      <c r="E1143" t="s">
        <v>22</v>
      </c>
      <c r="F1143" t="s">
        <v>23</v>
      </c>
      <c r="G1143">
        <v>1</v>
      </c>
      <c r="H1143">
        <v>9791159284960</v>
      </c>
      <c r="I1143" t="s">
        <v>24</v>
      </c>
      <c r="J1143" t="s">
        <v>48</v>
      </c>
      <c r="K1143" t="s">
        <v>47</v>
      </c>
      <c r="L1143" t="s">
        <v>27</v>
      </c>
      <c r="M1143">
        <v>630</v>
      </c>
      <c r="N1143" t="s">
        <v>27</v>
      </c>
      <c r="O1143">
        <v>630</v>
      </c>
      <c r="P1143">
        <v>630</v>
      </c>
      <c r="Q1143" t="s">
        <v>30</v>
      </c>
      <c r="R1143" s="2">
        <v>0.7</v>
      </c>
      <c r="S1143">
        <v>441</v>
      </c>
      <c r="T1143" t="s">
        <v>27</v>
      </c>
      <c r="U1143">
        <v>441</v>
      </c>
      <c r="V1143" s="7" t="str">
        <f>IF(ISERROR(VLOOKUP(K1143,[1]작가별정산률!$R:$S,2,0)),"스토리위즈",VLOOKUP(K1143,[1]작가별정산률!$R:$S,2,0))</f>
        <v>스토리위즈</v>
      </c>
      <c r="W1143" s="7" t="str">
        <f>IF(V1143="스토리위즈",VLOOKUP(K1143,[1]작가별정산률!$A:$B,2,0),V1143)</f>
        <v>전혁</v>
      </c>
    </row>
    <row r="1144" spans="1:23" x14ac:dyDescent="0.4">
      <c r="A1144" t="s">
        <v>262</v>
      </c>
      <c r="B1144" t="s">
        <v>1411</v>
      </c>
      <c r="C1144" t="s">
        <v>1462</v>
      </c>
      <c r="D1144" t="s">
        <v>64</v>
      </c>
      <c r="E1144" t="s">
        <v>22</v>
      </c>
      <c r="F1144" t="s">
        <v>23</v>
      </c>
      <c r="G1144">
        <v>1</v>
      </c>
      <c r="H1144">
        <v>9791159283208</v>
      </c>
      <c r="I1144" t="s">
        <v>24</v>
      </c>
      <c r="J1144" t="s">
        <v>105</v>
      </c>
      <c r="K1144" t="s">
        <v>37</v>
      </c>
      <c r="L1144" t="s">
        <v>27</v>
      </c>
      <c r="M1144">
        <v>630</v>
      </c>
      <c r="N1144" t="s">
        <v>27</v>
      </c>
      <c r="O1144">
        <v>630</v>
      </c>
      <c r="P1144">
        <v>630</v>
      </c>
      <c r="Q1144" t="s">
        <v>30</v>
      </c>
      <c r="R1144" s="2">
        <v>0.7</v>
      </c>
      <c r="S1144">
        <v>441</v>
      </c>
      <c r="T1144" t="s">
        <v>27</v>
      </c>
      <c r="U1144">
        <v>441</v>
      </c>
      <c r="V1144" s="7" t="str">
        <f>IF(ISERROR(VLOOKUP(K1144,[1]작가별정산률!$R:$S,2,0)),"스토리위즈",VLOOKUP(K1144,[1]작가별정산률!$R:$S,2,0))</f>
        <v>스토리위즈</v>
      </c>
      <c r="W1144" s="7" t="str">
        <f>IF(V1144="스토리위즈",VLOOKUP(K1144,[1]작가별정산률!$A:$B,2,0),V1144)</f>
        <v>권용찬</v>
      </c>
    </row>
    <row r="1145" spans="1:23" x14ac:dyDescent="0.4">
      <c r="A1145" t="s">
        <v>262</v>
      </c>
      <c r="B1145" t="s">
        <v>1411</v>
      </c>
      <c r="C1145" t="s">
        <v>1463</v>
      </c>
      <c r="D1145" t="s">
        <v>21</v>
      </c>
      <c r="E1145" t="s">
        <v>22</v>
      </c>
      <c r="F1145" t="s">
        <v>23</v>
      </c>
      <c r="G1145">
        <v>1</v>
      </c>
      <c r="H1145">
        <v>9791191562286</v>
      </c>
      <c r="I1145" t="s">
        <v>143</v>
      </c>
      <c r="J1145" t="s">
        <v>238</v>
      </c>
      <c r="K1145" t="s">
        <v>239</v>
      </c>
      <c r="L1145" t="s">
        <v>27</v>
      </c>
      <c r="M1145" s="3">
        <v>2000</v>
      </c>
      <c r="N1145" t="s">
        <v>27</v>
      </c>
      <c r="O1145" s="3">
        <v>2000</v>
      </c>
      <c r="P1145" s="3">
        <v>2000</v>
      </c>
      <c r="Q1145" t="s">
        <v>30</v>
      </c>
      <c r="R1145" s="2">
        <v>0.7</v>
      </c>
      <c r="S1145" s="3">
        <v>1400</v>
      </c>
      <c r="T1145" t="s">
        <v>27</v>
      </c>
      <c r="U1145" s="3">
        <v>1400</v>
      </c>
      <c r="V1145" s="7" t="str">
        <f>IF(ISERROR(VLOOKUP(K1145,[1]작가별정산률!$R:$S,2,0)),"스토리위즈",VLOOKUP(K1145,[1]작가별정산률!$R:$S,2,0))</f>
        <v>밀리의 서재</v>
      </c>
      <c r="W1145" s="7" t="str">
        <f>IF(V1145="스토리위즈",VLOOKUP(K1145,[1]작가별정산률!$A:$B,2,0),V1145)</f>
        <v>밀리의 서재</v>
      </c>
    </row>
    <row r="1146" spans="1:23" x14ac:dyDescent="0.4">
      <c r="A1146" t="s">
        <v>262</v>
      </c>
      <c r="B1146" t="s">
        <v>1411</v>
      </c>
      <c r="C1146" t="s">
        <v>1464</v>
      </c>
      <c r="D1146" t="s">
        <v>21</v>
      </c>
      <c r="E1146" t="s">
        <v>22</v>
      </c>
      <c r="F1146" t="s">
        <v>23</v>
      </c>
      <c r="G1146">
        <v>1</v>
      </c>
      <c r="H1146">
        <v>9791166300264</v>
      </c>
      <c r="I1146" t="s">
        <v>24</v>
      </c>
      <c r="J1146" t="s">
        <v>135</v>
      </c>
      <c r="K1146" t="s">
        <v>119</v>
      </c>
      <c r="L1146" t="s">
        <v>27</v>
      </c>
      <c r="M1146" s="3">
        <v>3200</v>
      </c>
      <c r="N1146" t="s">
        <v>27</v>
      </c>
      <c r="O1146" s="3">
        <v>3200</v>
      </c>
      <c r="P1146" s="3">
        <v>3200</v>
      </c>
      <c r="Q1146" t="s">
        <v>30</v>
      </c>
      <c r="R1146" s="2">
        <v>0.7</v>
      </c>
      <c r="S1146" s="3">
        <v>2240</v>
      </c>
      <c r="T1146" t="s">
        <v>27</v>
      </c>
      <c r="U1146" s="3">
        <v>2240</v>
      </c>
      <c r="V1146" s="7" t="str">
        <f>IF(ISERROR(VLOOKUP(K1146,[1]작가별정산률!$R:$S,2,0)),"스토리위즈",VLOOKUP(K1146,[1]작가별정산률!$R:$S,2,0))</f>
        <v>스토리위즈</v>
      </c>
      <c r="W1146" s="7" t="str">
        <f>IF(V1146="스토리위즈",VLOOKUP(K1146,[1]작가별정산률!$A:$B,2,0),V1146)</f>
        <v>김광수</v>
      </c>
    </row>
    <row r="1147" spans="1:23" x14ac:dyDescent="0.4">
      <c r="A1147" t="s">
        <v>262</v>
      </c>
      <c r="B1147" t="s">
        <v>1411</v>
      </c>
      <c r="C1147" t="s">
        <v>1465</v>
      </c>
      <c r="D1147" t="s">
        <v>21</v>
      </c>
      <c r="E1147" t="s">
        <v>22</v>
      </c>
      <c r="F1147" t="s">
        <v>23</v>
      </c>
      <c r="G1147">
        <v>1</v>
      </c>
      <c r="H1147">
        <v>9791137600553</v>
      </c>
      <c r="I1147" t="s">
        <v>24</v>
      </c>
      <c r="J1147" t="s">
        <v>227</v>
      </c>
      <c r="K1147" t="s">
        <v>228</v>
      </c>
      <c r="L1147" t="s">
        <v>27</v>
      </c>
      <c r="M1147" s="3">
        <v>3200</v>
      </c>
      <c r="N1147" t="s">
        <v>27</v>
      </c>
      <c r="O1147" s="3">
        <v>3200</v>
      </c>
      <c r="P1147" s="3">
        <v>3200</v>
      </c>
      <c r="Q1147" t="s">
        <v>30</v>
      </c>
      <c r="R1147" s="2">
        <v>0.7</v>
      </c>
      <c r="S1147" s="3">
        <v>2240</v>
      </c>
      <c r="T1147" t="s">
        <v>27</v>
      </c>
      <c r="U1147" s="3">
        <v>2240</v>
      </c>
      <c r="V1147" s="7" t="str">
        <f>IF(ISERROR(VLOOKUP(K1147,[1]작가별정산률!$R:$S,2,0)),"스토리위즈",VLOOKUP(K1147,[1]작가별정산률!$R:$S,2,0))</f>
        <v>스토리위즈</v>
      </c>
      <c r="W1147" s="7" t="str">
        <f>IF(V1147="스토리위즈",VLOOKUP(K1147,[1]작가별정산률!$A:$B,2,0),V1147)</f>
        <v>청빙</v>
      </c>
    </row>
    <row r="1148" spans="1:23" x14ac:dyDescent="0.4">
      <c r="A1148" t="s">
        <v>262</v>
      </c>
      <c r="B1148" t="s">
        <v>1411</v>
      </c>
      <c r="C1148" t="s">
        <v>1466</v>
      </c>
      <c r="D1148" t="s">
        <v>64</v>
      </c>
      <c r="E1148" t="s">
        <v>22</v>
      </c>
      <c r="F1148" t="s">
        <v>23</v>
      </c>
      <c r="G1148">
        <v>1</v>
      </c>
      <c r="H1148">
        <v>9791159282911</v>
      </c>
      <c r="I1148" t="s">
        <v>24</v>
      </c>
      <c r="J1148" t="s">
        <v>39</v>
      </c>
      <c r="K1148" t="s">
        <v>26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2">
        <v>0.7</v>
      </c>
      <c r="S1148">
        <v>441</v>
      </c>
      <c r="T1148" t="s">
        <v>27</v>
      </c>
      <c r="U1148">
        <v>441</v>
      </c>
      <c r="V1148" s="7" t="str">
        <f>IF(ISERROR(VLOOKUP(K1148,[1]작가별정산률!$R:$S,2,0)),"스토리위즈",VLOOKUP(K1148,[1]작가별정산률!$R:$S,2,0))</f>
        <v>스토리위즈</v>
      </c>
      <c r="W1148" s="7" t="str">
        <f>IF(V1148="스토리위즈",VLOOKUP(K1148,[1]작가별정산률!$A:$B,2,0),V1148)</f>
        <v>독고진</v>
      </c>
    </row>
    <row r="1149" spans="1:23" x14ac:dyDescent="0.4">
      <c r="A1149" t="s">
        <v>262</v>
      </c>
      <c r="B1149" t="s">
        <v>1411</v>
      </c>
      <c r="C1149" t="s">
        <v>1467</v>
      </c>
      <c r="D1149" t="s">
        <v>64</v>
      </c>
      <c r="E1149" t="s">
        <v>22</v>
      </c>
      <c r="F1149" t="s">
        <v>23</v>
      </c>
      <c r="G1149">
        <v>1</v>
      </c>
      <c r="H1149">
        <v>9791166300103</v>
      </c>
      <c r="I1149" t="s">
        <v>24</v>
      </c>
      <c r="J1149" t="s">
        <v>120</v>
      </c>
      <c r="K1149" t="s">
        <v>119</v>
      </c>
      <c r="L1149" t="s">
        <v>27</v>
      </c>
      <c r="M1149">
        <v>630</v>
      </c>
      <c r="N1149" t="s">
        <v>27</v>
      </c>
      <c r="O1149">
        <v>630</v>
      </c>
      <c r="P1149">
        <v>630</v>
      </c>
      <c r="Q1149" t="s">
        <v>30</v>
      </c>
      <c r="R1149" s="2">
        <v>0.7</v>
      </c>
      <c r="S1149">
        <v>441</v>
      </c>
      <c r="T1149" t="s">
        <v>27</v>
      </c>
      <c r="U1149">
        <v>441</v>
      </c>
      <c r="V1149" s="7" t="str">
        <f>IF(ISERROR(VLOOKUP(K1149,[1]작가별정산률!$R:$S,2,0)),"스토리위즈",VLOOKUP(K1149,[1]작가별정산률!$R:$S,2,0))</f>
        <v>스토리위즈</v>
      </c>
      <c r="W1149" s="7" t="str">
        <f>IF(V1149="스토리위즈",VLOOKUP(K1149,[1]작가별정산률!$A:$B,2,0),V1149)</f>
        <v>김광수</v>
      </c>
    </row>
    <row r="1150" spans="1:23" x14ac:dyDescent="0.4">
      <c r="A1150" t="s">
        <v>262</v>
      </c>
      <c r="B1150" t="s">
        <v>1411</v>
      </c>
      <c r="C1150" t="s">
        <v>1468</v>
      </c>
      <c r="D1150" t="s">
        <v>64</v>
      </c>
      <c r="E1150" t="s">
        <v>22</v>
      </c>
      <c r="F1150" t="s">
        <v>23</v>
      </c>
      <c r="G1150">
        <v>1</v>
      </c>
      <c r="H1150">
        <v>9791166300615</v>
      </c>
      <c r="I1150" t="s">
        <v>24</v>
      </c>
      <c r="J1150" t="s">
        <v>163</v>
      </c>
      <c r="K1150" t="s">
        <v>119</v>
      </c>
      <c r="L1150" t="s">
        <v>27</v>
      </c>
      <c r="M1150">
        <v>630</v>
      </c>
      <c r="N1150" t="s">
        <v>27</v>
      </c>
      <c r="O1150">
        <v>630</v>
      </c>
      <c r="P1150">
        <v>630</v>
      </c>
      <c r="Q1150" t="s">
        <v>30</v>
      </c>
      <c r="R1150" s="2">
        <v>0.7</v>
      </c>
      <c r="S1150">
        <v>441</v>
      </c>
      <c r="T1150" t="s">
        <v>27</v>
      </c>
      <c r="U1150">
        <v>441</v>
      </c>
      <c r="V1150" s="7" t="str">
        <f>IF(ISERROR(VLOOKUP(K1150,[1]작가별정산률!$R:$S,2,0)),"스토리위즈",VLOOKUP(K1150,[1]작가별정산률!$R:$S,2,0))</f>
        <v>스토리위즈</v>
      </c>
      <c r="W1150" s="7" t="str">
        <f>IF(V1150="스토리위즈",VLOOKUP(K1150,[1]작가별정산률!$A:$B,2,0),V1150)</f>
        <v>김광수</v>
      </c>
    </row>
    <row r="1151" spans="1:23" x14ac:dyDescent="0.4">
      <c r="A1151" t="s">
        <v>262</v>
      </c>
      <c r="B1151" t="s">
        <v>1411</v>
      </c>
      <c r="C1151" t="s">
        <v>1469</v>
      </c>
      <c r="D1151" t="s">
        <v>64</v>
      </c>
      <c r="E1151" t="s">
        <v>22</v>
      </c>
      <c r="F1151" t="s">
        <v>23</v>
      </c>
      <c r="G1151">
        <v>1</v>
      </c>
      <c r="H1151">
        <v>9791166300622</v>
      </c>
      <c r="I1151" t="s">
        <v>24</v>
      </c>
      <c r="J1151" t="s">
        <v>164</v>
      </c>
      <c r="K1151" t="s">
        <v>119</v>
      </c>
      <c r="L1151" t="s">
        <v>27</v>
      </c>
      <c r="M1151">
        <v>630</v>
      </c>
      <c r="N1151" t="s">
        <v>27</v>
      </c>
      <c r="O1151">
        <v>630</v>
      </c>
      <c r="P1151">
        <v>630</v>
      </c>
      <c r="Q1151" t="s">
        <v>30</v>
      </c>
      <c r="R1151" s="2">
        <v>0.7</v>
      </c>
      <c r="S1151">
        <v>441</v>
      </c>
      <c r="T1151" t="s">
        <v>27</v>
      </c>
      <c r="U1151">
        <v>441</v>
      </c>
      <c r="V1151" s="7" t="str">
        <f>IF(ISERROR(VLOOKUP(K1151,[1]작가별정산률!$R:$S,2,0)),"스토리위즈",VLOOKUP(K1151,[1]작가별정산률!$R:$S,2,0))</f>
        <v>스토리위즈</v>
      </c>
      <c r="W1151" s="7" t="str">
        <f>IF(V1151="스토리위즈",VLOOKUP(K1151,[1]작가별정산률!$A:$B,2,0),V1151)</f>
        <v>김광수</v>
      </c>
    </row>
    <row r="1152" spans="1:23" x14ac:dyDescent="0.4">
      <c r="A1152" t="s">
        <v>262</v>
      </c>
      <c r="B1152" t="s">
        <v>1411</v>
      </c>
      <c r="C1152" t="s">
        <v>1470</v>
      </c>
      <c r="D1152" t="s">
        <v>64</v>
      </c>
      <c r="E1152" t="s">
        <v>22</v>
      </c>
      <c r="F1152" t="s">
        <v>23</v>
      </c>
      <c r="G1152">
        <v>1</v>
      </c>
      <c r="H1152">
        <v>9791166300202</v>
      </c>
      <c r="I1152" t="s">
        <v>24</v>
      </c>
      <c r="J1152" t="s">
        <v>129</v>
      </c>
      <c r="K1152" t="s">
        <v>119</v>
      </c>
      <c r="L1152" t="s">
        <v>27</v>
      </c>
      <c r="M1152">
        <v>630</v>
      </c>
      <c r="N1152" t="s">
        <v>27</v>
      </c>
      <c r="O1152">
        <v>630</v>
      </c>
      <c r="P1152">
        <v>630</v>
      </c>
      <c r="Q1152" t="s">
        <v>30</v>
      </c>
      <c r="R1152" s="2">
        <v>0.7</v>
      </c>
      <c r="S1152">
        <v>441</v>
      </c>
      <c r="T1152" t="s">
        <v>27</v>
      </c>
      <c r="U1152">
        <v>441</v>
      </c>
      <c r="V1152" s="7" t="str">
        <f>IF(ISERROR(VLOOKUP(K1152,[1]작가별정산률!$R:$S,2,0)),"스토리위즈",VLOOKUP(K1152,[1]작가별정산률!$R:$S,2,0))</f>
        <v>스토리위즈</v>
      </c>
      <c r="W1152" s="7" t="str">
        <f>IF(V1152="스토리위즈",VLOOKUP(K1152,[1]작가별정산률!$A:$B,2,0),V1152)</f>
        <v>김광수</v>
      </c>
    </row>
    <row r="1153" spans="1:23" x14ac:dyDescent="0.4">
      <c r="A1153" t="s">
        <v>262</v>
      </c>
      <c r="B1153" t="s">
        <v>1411</v>
      </c>
      <c r="C1153" t="s">
        <v>1471</v>
      </c>
      <c r="D1153" t="s">
        <v>64</v>
      </c>
      <c r="E1153" t="s">
        <v>22</v>
      </c>
      <c r="F1153" t="s">
        <v>23</v>
      </c>
      <c r="G1153">
        <v>1</v>
      </c>
      <c r="H1153">
        <v>9791166061080</v>
      </c>
      <c r="I1153" t="s">
        <v>24</v>
      </c>
      <c r="J1153" t="s">
        <v>74</v>
      </c>
      <c r="K1153" t="s">
        <v>37</v>
      </c>
      <c r="L1153" t="s">
        <v>27</v>
      </c>
      <c r="M1153">
        <v>900</v>
      </c>
      <c r="N1153" t="s">
        <v>27</v>
      </c>
      <c r="O1153">
        <v>900</v>
      </c>
      <c r="P1153">
        <v>900</v>
      </c>
      <c r="Q1153" t="s">
        <v>30</v>
      </c>
      <c r="R1153" s="2">
        <v>0.7</v>
      </c>
      <c r="S1153">
        <v>630</v>
      </c>
      <c r="T1153" t="s">
        <v>27</v>
      </c>
      <c r="U1153">
        <v>630</v>
      </c>
      <c r="V1153" s="7" t="str">
        <f>IF(ISERROR(VLOOKUP(K1153,[1]작가별정산률!$R:$S,2,0)),"스토리위즈",VLOOKUP(K1153,[1]작가별정산률!$R:$S,2,0))</f>
        <v>스토리위즈</v>
      </c>
      <c r="W1153" s="7" t="str">
        <f>IF(V1153="스토리위즈",VLOOKUP(K1153,[1]작가별정산률!$A:$B,2,0),V1153)</f>
        <v>권용찬</v>
      </c>
    </row>
    <row r="1154" spans="1:23" x14ac:dyDescent="0.4">
      <c r="A1154" t="s">
        <v>262</v>
      </c>
      <c r="B1154" t="s">
        <v>1411</v>
      </c>
      <c r="C1154" t="s">
        <v>1472</v>
      </c>
      <c r="D1154" t="s">
        <v>21</v>
      </c>
      <c r="E1154" t="s">
        <v>22</v>
      </c>
      <c r="F1154" t="s">
        <v>23</v>
      </c>
      <c r="G1154">
        <v>1</v>
      </c>
      <c r="H1154">
        <v>9791191562125</v>
      </c>
      <c r="I1154" t="s">
        <v>143</v>
      </c>
      <c r="J1154" t="s">
        <v>212</v>
      </c>
      <c r="K1154" t="s">
        <v>213</v>
      </c>
      <c r="L1154" t="s">
        <v>27</v>
      </c>
      <c r="M1154" s="3">
        <v>2500</v>
      </c>
      <c r="N1154" t="s">
        <v>27</v>
      </c>
      <c r="O1154" s="3">
        <v>2500</v>
      </c>
      <c r="P1154" s="3">
        <v>2500</v>
      </c>
      <c r="Q1154" t="s">
        <v>30</v>
      </c>
      <c r="R1154" s="2">
        <v>0.7</v>
      </c>
      <c r="S1154" s="3">
        <v>1750</v>
      </c>
      <c r="T1154" t="s">
        <v>27</v>
      </c>
      <c r="U1154" s="3">
        <v>1750</v>
      </c>
      <c r="V1154" s="7" t="str">
        <f>IF(ISERROR(VLOOKUP(K1154,[1]작가별정산률!$R:$S,2,0)),"스토리위즈",VLOOKUP(K1154,[1]작가별정산률!$R:$S,2,0))</f>
        <v>밀리의 서재</v>
      </c>
      <c r="W1154" s="7" t="str">
        <f>IF(V1154="스토리위즈",VLOOKUP(K1154,[1]작가별정산률!$A:$B,2,0),V1154)</f>
        <v>밀리의 서재</v>
      </c>
    </row>
    <row r="1155" spans="1:23" x14ac:dyDescent="0.4">
      <c r="A1155" t="s">
        <v>262</v>
      </c>
      <c r="B1155" t="s">
        <v>1411</v>
      </c>
      <c r="C1155" t="s">
        <v>1473</v>
      </c>
      <c r="D1155" t="s">
        <v>64</v>
      </c>
      <c r="E1155" t="s">
        <v>22</v>
      </c>
      <c r="F1155" t="s">
        <v>23</v>
      </c>
      <c r="G1155">
        <v>1</v>
      </c>
      <c r="H1155">
        <v>9791159283154</v>
      </c>
      <c r="I1155" t="s">
        <v>24</v>
      </c>
      <c r="J1155" t="s">
        <v>84</v>
      </c>
      <c r="K1155" t="s">
        <v>37</v>
      </c>
      <c r="L1155" t="s">
        <v>27</v>
      </c>
      <c r="M1155">
        <v>900</v>
      </c>
      <c r="N1155" t="s">
        <v>27</v>
      </c>
      <c r="O1155">
        <v>900</v>
      </c>
      <c r="P1155">
        <v>900</v>
      </c>
      <c r="Q1155" t="s">
        <v>30</v>
      </c>
      <c r="R1155" s="2">
        <v>0.7</v>
      </c>
      <c r="S1155">
        <v>630</v>
      </c>
      <c r="T1155" t="s">
        <v>27</v>
      </c>
      <c r="U1155">
        <v>630</v>
      </c>
      <c r="V1155" s="7" t="str">
        <f>IF(ISERROR(VLOOKUP(K1155,[1]작가별정산률!$R:$S,2,0)),"스토리위즈",VLOOKUP(K1155,[1]작가별정산률!$R:$S,2,0))</f>
        <v>스토리위즈</v>
      </c>
      <c r="W1155" s="7" t="str">
        <f>IF(V1155="스토리위즈",VLOOKUP(K1155,[1]작가별정산률!$A:$B,2,0),V1155)</f>
        <v>권용찬</v>
      </c>
    </row>
    <row r="1156" spans="1:23" x14ac:dyDescent="0.4">
      <c r="A1156" t="s">
        <v>262</v>
      </c>
      <c r="B1156" t="s">
        <v>1411</v>
      </c>
      <c r="C1156" t="s">
        <v>1474</v>
      </c>
      <c r="D1156" t="s">
        <v>21</v>
      </c>
      <c r="E1156" t="s">
        <v>22</v>
      </c>
      <c r="F1156" t="s">
        <v>23</v>
      </c>
      <c r="G1156">
        <v>1</v>
      </c>
      <c r="H1156">
        <v>9791191562286</v>
      </c>
      <c r="I1156" t="s">
        <v>143</v>
      </c>
      <c r="J1156" t="s">
        <v>238</v>
      </c>
      <c r="K1156" t="s">
        <v>239</v>
      </c>
      <c r="L1156" t="s">
        <v>27</v>
      </c>
      <c r="M1156" s="3">
        <v>2000</v>
      </c>
      <c r="N1156" t="s">
        <v>27</v>
      </c>
      <c r="O1156" s="3">
        <v>2000</v>
      </c>
      <c r="P1156" s="3">
        <v>2000</v>
      </c>
      <c r="Q1156" t="s">
        <v>30</v>
      </c>
      <c r="R1156" s="2">
        <v>0.7</v>
      </c>
      <c r="S1156" s="3">
        <v>1400</v>
      </c>
      <c r="T1156" t="s">
        <v>27</v>
      </c>
      <c r="U1156" s="3">
        <v>1400</v>
      </c>
      <c r="V1156" s="7" t="str">
        <f>IF(ISERROR(VLOOKUP(K1156,[1]작가별정산률!$R:$S,2,0)),"스토리위즈",VLOOKUP(K1156,[1]작가별정산률!$R:$S,2,0))</f>
        <v>밀리의 서재</v>
      </c>
      <c r="W1156" s="7" t="str">
        <f>IF(V1156="스토리위즈",VLOOKUP(K1156,[1]작가별정산률!$A:$B,2,0),V1156)</f>
        <v>밀리의 서재</v>
      </c>
    </row>
    <row r="1157" spans="1:23" x14ac:dyDescent="0.4">
      <c r="A1157" t="s">
        <v>262</v>
      </c>
      <c r="B1157" t="s">
        <v>1411</v>
      </c>
      <c r="C1157" t="s">
        <v>1475</v>
      </c>
      <c r="D1157" t="s">
        <v>21</v>
      </c>
      <c r="E1157" t="s">
        <v>22</v>
      </c>
      <c r="F1157" t="s">
        <v>23</v>
      </c>
      <c r="G1157">
        <v>1</v>
      </c>
      <c r="H1157">
        <v>9791189627508</v>
      </c>
      <c r="I1157" t="s">
        <v>143</v>
      </c>
      <c r="J1157" t="s">
        <v>1476</v>
      </c>
      <c r="K1157" t="s">
        <v>1477</v>
      </c>
      <c r="L1157" t="s">
        <v>27</v>
      </c>
      <c r="M1157" s="3">
        <v>3500</v>
      </c>
      <c r="N1157" t="s">
        <v>27</v>
      </c>
      <c r="O1157" s="3">
        <v>3500</v>
      </c>
      <c r="P1157" s="3">
        <v>3500</v>
      </c>
      <c r="Q1157" t="s">
        <v>30</v>
      </c>
      <c r="R1157" s="2">
        <v>0.7</v>
      </c>
      <c r="S1157" s="3">
        <v>2450</v>
      </c>
      <c r="T1157" t="s">
        <v>27</v>
      </c>
      <c r="U1157" s="3">
        <v>2450</v>
      </c>
      <c r="V1157" s="7" t="str">
        <f>IF(ISERROR(VLOOKUP(K1157,[1]작가별정산률!$R:$S,2,0)),"스토리위즈",VLOOKUP(K1157,[1]작가별정산률!$R:$S,2,0))</f>
        <v>스토리위즈</v>
      </c>
      <c r="W1157" s="7" t="str">
        <f>IF(V1157="스토리위즈",VLOOKUP(K1157,[1]작가별정산률!$A:$B,2,0),V1157)</f>
        <v>발상</v>
      </c>
    </row>
    <row r="1158" spans="1:23" x14ac:dyDescent="0.4">
      <c r="A1158" t="s">
        <v>262</v>
      </c>
      <c r="B1158" t="s">
        <v>1411</v>
      </c>
      <c r="C1158" t="s">
        <v>1478</v>
      </c>
      <c r="D1158" t="s">
        <v>21</v>
      </c>
      <c r="E1158" t="s">
        <v>22</v>
      </c>
      <c r="F1158" t="s">
        <v>23</v>
      </c>
      <c r="G1158">
        <v>1</v>
      </c>
      <c r="H1158">
        <v>9791189627515</v>
      </c>
      <c r="I1158" t="s">
        <v>143</v>
      </c>
      <c r="J1158" t="s">
        <v>1479</v>
      </c>
      <c r="K1158" t="s">
        <v>1477</v>
      </c>
      <c r="L1158" t="s">
        <v>27</v>
      </c>
      <c r="M1158" s="3">
        <v>3500</v>
      </c>
      <c r="N1158" t="s">
        <v>27</v>
      </c>
      <c r="O1158" s="3">
        <v>3500</v>
      </c>
      <c r="P1158" s="3">
        <v>3500</v>
      </c>
      <c r="Q1158" t="s">
        <v>30</v>
      </c>
      <c r="R1158" s="2">
        <v>0.7</v>
      </c>
      <c r="S1158" s="3">
        <v>2450</v>
      </c>
      <c r="T1158" t="s">
        <v>27</v>
      </c>
      <c r="U1158" s="3">
        <v>2450</v>
      </c>
      <c r="V1158" s="7" t="str">
        <f>IF(ISERROR(VLOOKUP(K1158,[1]작가별정산률!$R:$S,2,0)),"스토리위즈",VLOOKUP(K1158,[1]작가별정산률!$R:$S,2,0))</f>
        <v>스토리위즈</v>
      </c>
      <c r="W1158" s="7" t="str">
        <f>IF(V1158="스토리위즈",VLOOKUP(K1158,[1]작가별정산률!$A:$B,2,0),V1158)</f>
        <v>발상</v>
      </c>
    </row>
    <row r="1159" spans="1:23" x14ac:dyDescent="0.4">
      <c r="A1159" t="s">
        <v>262</v>
      </c>
      <c r="B1159" t="s">
        <v>1411</v>
      </c>
      <c r="C1159" t="s">
        <v>1480</v>
      </c>
      <c r="D1159" t="s">
        <v>21</v>
      </c>
      <c r="E1159" t="s">
        <v>22</v>
      </c>
      <c r="F1159" t="s">
        <v>23</v>
      </c>
      <c r="G1159">
        <v>1</v>
      </c>
      <c r="H1159">
        <v>9791189627522</v>
      </c>
      <c r="I1159" t="s">
        <v>143</v>
      </c>
      <c r="J1159" t="s">
        <v>1481</v>
      </c>
      <c r="K1159" t="s">
        <v>1477</v>
      </c>
      <c r="L1159" t="s">
        <v>27</v>
      </c>
      <c r="M1159" s="3">
        <v>3500</v>
      </c>
      <c r="N1159" t="s">
        <v>27</v>
      </c>
      <c r="O1159" s="3">
        <v>3500</v>
      </c>
      <c r="P1159" s="3">
        <v>3500</v>
      </c>
      <c r="Q1159" t="s">
        <v>30</v>
      </c>
      <c r="R1159" s="2">
        <v>0.7</v>
      </c>
      <c r="S1159" s="3">
        <v>2450</v>
      </c>
      <c r="T1159" t="s">
        <v>27</v>
      </c>
      <c r="U1159" s="3">
        <v>2450</v>
      </c>
      <c r="V1159" s="7" t="str">
        <f>IF(ISERROR(VLOOKUP(K1159,[1]작가별정산률!$R:$S,2,0)),"스토리위즈",VLOOKUP(K1159,[1]작가별정산률!$R:$S,2,0))</f>
        <v>스토리위즈</v>
      </c>
      <c r="W1159" s="7" t="str">
        <f>IF(V1159="스토리위즈",VLOOKUP(K1159,[1]작가별정산률!$A:$B,2,0),V1159)</f>
        <v>발상</v>
      </c>
    </row>
    <row r="1160" spans="1:23" x14ac:dyDescent="0.4">
      <c r="A1160" t="s">
        <v>262</v>
      </c>
      <c r="B1160" t="s">
        <v>1411</v>
      </c>
      <c r="C1160" t="s">
        <v>1482</v>
      </c>
      <c r="D1160" t="s">
        <v>21</v>
      </c>
      <c r="E1160" t="s">
        <v>22</v>
      </c>
      <c r="F1160" t="s">
        <v>23</v>
      </c>
      <c r="G1160">
        <v>1</v>
      </c>
      <c r="H1160">
        <v>9791189627539</v>
      </c>
      <c r="I1160" t="s">
        <v>143</v>
      </c>
      <c r="J1160" t="s">
        <v>1483</v>
      </c>
      <c r="K1160" t="s">
        <v>1477</v>
      </c>
      <c r="L1160" t="s">
        <v>27</v>
      </c>
      <c r="M1160" s="3">
        <v>3500</v>
      </c>
      <c r="N1160" t="s">
        <v>27</v>
      </c>
      <c r="O1160" s="3">
        <v>3500</v>
      </c>
      <c r="P1160" s="3">
        <v>3500</v>
      </c>
      <c r="Q1160" t="s">
        <v>30</v>
      </c>
      <c r="R1160" s="2">
        <v>0.7</v>
      </c>
      <c r="S1160" s="3">
        <v>2450</v>
      </c>
      <c r="T1160" t="s">
        <v>27</v>
      </c>
      <c r="U1160" s="3">
        <v>2450</v>
      </c>
      <c r="V1160" s="7" t="str">
        <f>IF(ISERROR(VLOOKUP(K1160,[1]작가별정산률!$R:$S,2,0)),"스토리위즈",VLOOKUP(K1160,[1]작가별정산률!$R:$S,2,0))</f>
        <v>스토리위즈</v>
      </c>
      <c r="W1160" s="7" t="str">
        <f>IF(V1160="스토리위즈",VLOOKUP(K1160,[1]작가별정산률!$A:$B,2,0),V1160)</f>
        <v>발상</v>
      </c>
    </row>
    <row r="1161" spans="1:23" x14ac:dyDescent="0.4">
      <c r="A1161" t="s">
        <v>262</v>
      </c>
      <c r="B1161" t="s">
        <v>1411</v>
      </c>
      <c r="C1161" t="s">
        <v>1484</v>
      </c>
      <c r="D1161" t="s">
        <v>21</v>
      </c>
      <c r="E1161" t="s">
        <v>22</v>
      </c>
      <c r="F1161" t="s">
        <v>23</v>
      </c>
      <c r="G1161">
        <v>1</v>
      </c>
      <c r="H1161">
        <v>9791189627546</v>
      </c>
      <c r="I1161" t="s">
        <v>143</v>
      </c>
      <c r="J1161" t="s">
        <v>1485</v>
      </c>
      <c r="K1161" t="s">
        <v>1477</v>
      </c>
      <c r="L1161" t="s">
        <v>27</v>
      </c>
      <c r="M1161" s="3">
        <v>2400</v>
      </c>
      <c r="N1161" t="s">
        <v>27</v>
      </c>
      <c r="O1161" s="3">
        <v>2400</v>
      </c>
      <c r="P1161" s="3">
        <v>2400</v>
      </c>
      <c r="Q1161" t="s">
        <v>30</v>
      </c>
      <c r="R1161" s="2">
        <v>0.7</v>
      </c>
      <c r="S1161" s="3">
        <v>1680</v>
      </c>
      <c r="T1161" t="s">
        <v>27</v>
      </c>
      <c r="U1161" s="3">
        <v>1680</v>
      </c>
      <c r="V1161" s="7" t="str">
        <f>IF(ISERROR(VLOOKUP(K1161,[1]작가별정산률!$R:$S,2,0)),"스토리위즈",VLOOKUP(K1161,[1]작가별정산률!$R:$S,2,0))</f>
        <v>스토리위즈</v>
      </c>
      <c r="W1161" s="7" t="str">
        <f>IF(V1161="스토리위즈",VLOOKUP(K1161,[1]작가별정산률!$A:$B,2,0),V1161)</f>
        <v>발상</v>
      </c>
    </row>
    <row r="1162" spans="1:23" x14ac:dyDescent="0.4">
      <c r="A1162" t="s">
        <v>262</v>
      </c>
      <c r="B1162" t="s">
        <v>1411</v>
      </c>
      <c r="C1162" t="s">
        <v>1486</v>
      </c>
      <c r="D1162" t="s">
        <v>64</v>
      </c>
      <c r="E1162" t="s">
        <v>22</v>
      </c>
      <c r="F1162" t="s">
        <v>23</v>
      </c>
      <c r="G1162">
        <v>1</v>
      </c>
      <c r="H1162">
        <v>9791166064166</v>
      </c>
      <c r="I1162" t="s">
        <v>24</v>
      </c>
      <c r="J1162" t="s">
        <v>87</v>
      </c>
      <c r="K1162" t="s">
        <v>37</v>
      </c>
      <c r="L1162" t="s">
        <v>27</v>
      </c>
      <c r="M1162">
        <v>900</v>
      </c>
      <c r="N1162" t="s">
        <v>27</v>
      </c>
      <c r="O1162">
        <v>900</v>
      </c>
      <c r="P1162">
        <v>900</v>
      </c>
      <c r="Q1162" t="s">
        <v>30</v>
      </c>
      <c r="R1162" s="2">
        <v>0.7</v>
      </c>
      <c r="S1162">
        <v>630</v>
      </c>
      <c r="T1162" t="s">
        <v>27</v>
      </c>
      <c r="U1162">
        <v>630</v>
      </c>
      <c r="V1162" s="7" t="str">
        <f>IF(ISERROR(VLOOKUP(K1162,[1]작가별정산률!$R:$S,2,0)),"스토리위즈",VLOOKUP(K1162,[1]작가별정산률!$R:$S,2,0))</f>
        <v>스토리위즈</v>
      </c>
      <c r="W1162" s="7" t="str">
        <f>IF(V1162="스토리위즈",VLOOKUP(K1162,[1]작가별정산률!$A:$B,2,0),V1162)</f>
        <v>권용찬</v>
      </c>
    </row>
    <row r="1163" spans="1:23" x14ac:dyDescent="0.4">
      <c r="A1163" t="s">
        <v>262</v>
      </c>
      <c r="B1163" t="s">
        <v>1411</v>
      </c>
      <c r="C1163" t="s">
        <v>1487</v>
      </c>
      <c r="D1163" t="s">
        <v>21</v>
      </c>
      <c r="E1163" t="s">
        <v>22</v>
      </c>
      <c r="F1163" t="s">
        <v>23</v>
      </c>
      <c r="G1163">
        <v>1</v>
      </c>
      <c r="H1163">
        <v>9791191562248</v>
      </c>
      <c r="I1163" t="s">
        <v>143</v>
      </c>
      <c r="J1163" t="s">
        <v>231</v>
      </c>
      <c r="K1163" t="s">
        <v>232</v>
      </c>
      <c r="L1163" t="s">
        <v>27</v>
      </c>
      <c r="M1163" s="3">
        <v>2000</v>
      </c>
      <c r="N1163" t="s">
        <v>27</v>
      </c>
      <c r="O1163" s="3">
        <v>2000</v>
      </c>
      <c r="P1163" s="3">
        <v>2000</v>
      </c>
      <c r="Q1163" t="s">
        <v>30</v>
      </c>
      <c r="R1163" s="2">
        <v>0.7</v>
      </c>
      <c r="S1163" s="3">
        <v>1400</v>
      </c>
      <c r="T1163" t="s">
        <v>27</v>
      </c>
      <c r="U1163" s="3">
        <v>1400</v>
      </c>
      <c r="V1163" s="7" t="str">
        <f>IF(ISERROR(VLOOKUP(K1163,[1]작가별정산률!$R:$S,2,0)),"스토리위즈",VLOOKUP(K1163,[1]작가별정산률!$R:$S,2,0))</f>
        <v>밀리의 서재</v>
      </c>
      <c r="W1163" s="7" t="str">
        <f>IF(V1163="스토리위즈",VLOOKUP(K1163,[1]작가별정산률!$A:$B,2,0),V1163)</f>
        <v>밀리의 서재</v>
      </c>
    </row>
    <row r="1164" spans="1:23" x14ac:dyDescent="0.4">
      <c r="A1164" t="s">
        <v>262</v>
      </c>
      <c r="B1164" t="s">
        <v>1411</v>
      </c>
      <c r="C1164" t="s">
        <v>1488</v>
      </c>
      <c r="D1164" t="s">
        <v>64</v>
      </c>
      <c r="E1164" t="s">
        <v>22</v>
      </c>
      <c r="F1164" t="s">
        <v>23</v>
      </c>
      <c r="G1164">
        <v>1</v>
      </c>
      <c r="H1164">
        <v>9791166300530</v>
      </c>
      <c r="I1164" t="s">
        <v>24</v>
      </c>
      <c r="J1164" t="s">
        <v>151</v>
      </c>
      <c r="K1164" t="s">
        <v>119</v>
      </c>
      <c r="L1164" t="s">
        <v>27</v>
      </c>
      <c r="M1164">
        <v>630</v>
      </c>
      <c r="N1164" t="s">
        <v>27</v>
      </c>
      <c r="O1164">
        <v>630</v>
      </c>
      <c r="P1164">
        <v>630</v>
      </c>
      <c r="Q1164" t="s">
        <v>30</v>
      </c>
      <c r="R1164" s="2">
        <v>0.7</v>
      </c>
      <c r="S1164">
        <v>441</v>
      </c>
      <c r="T1164" t="s">
        <v>27</v>
      </c>
      <c r="U1164">
        <v>441</v>
      </c>
      <c r="V1164" s="7" t="str">
        <f>IF(ISERROR(VLOOKUP(K1164,[1]작가별정산률!$R:$S,2,0)),"스토리위즈",VLOOKUP(K1164,[1]작가별정산률!$R:$S,2,0))</f>
        <v>스토리위즈</v>
      </c>
      <c r="W1164" s="7" t="str">
        <f>IF(V1164="스토리위즈",VLOOKUP(K1164,[1]작가별정산률!$A:$B,2,0),V1164)</f>
        <v>김광수</v>
      </c>
    </row>
    <row r="1165" spans="1:23" x14ac:dyDescent="0.4">
      <c r="A1165" t="s">
        <v>262</v>
      </c>
      <c r="B1165" t="s">
        <v>1411</v>
      </c>
      <c r="C1165" t="s">
        <v>1489</v>
      </c>
      <c r="D1165" t="s">
        <v>64</v>
      </c>
      <c r="E1165" t="s">
        <v>22</v>
      </c>
      <c r="F1165" t="s">
        <v>23</v>
      </c>
      <c r="G1165">
        <v>1</v>
      </c>
      <c r="H1165">
        <v>9791166300127</v>
      </c>
      <c r="I1165" t="s">
        <v>24</v>
      </c>
      <c r="J1165" t="s">
        <v>122</v>
      </c>
      <c r="K1165" t="s">
        <v>119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  <c r="V1165" s="7" t="str">
        <f>IF(ISERROR(VLOOKUP(K1165,[1]작가별정산률!$R:$S,2,0)),"스토리위즈",VLOOKUP(K1165,[1]작가별정산률!$R:$S,2,0))</f>
        <v>스토리위즈</v>
      </c>
      <c r="W1165" s="7" t="str">
        <f>IF(V1165="스토리위즈",VLOOKUP(K1165,[1]작가별정산률!$A:$B,2,0),V1165)</f>
        <v>김광수</v>
      </c>
    </row>
    <row r="1166" spans="1:23" x14ac:dyDescent="0.4">
      <c r="A1166" t="s">
        <v>262</v>
      </c>
      <c r="B1166" t="s">
        <v>1411</v>
      </c>
      <c r="C1166" t="s">
        <v>1490</v>
      </c>
      <c r="D1166" t="s">
        <v>64</v>
      </c>
      <c r="E1166" t="s">
        <v>22</v>
      </c>
      <c r="F1166" t="s">
        <v>23</v>
      </c>
      <c r="G1166">
        <v>1</v>
      </c>
      <c r="H1166">
        <v>9791159284977</v>
      </c>
      <c r="I1166" t="s">
        <v>24</v>
      </c>
      <c r="J1166" t="s">
        <v>49</v>
      </c>
      <c r="K1166" t="s">
        <v>47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2">
        <v>0.7</v>
      </c>
      <c r="S1166">
        <v>441</v>
      </c>
      <c r="T1166" t="s">
        <v>27</v>
      </c>
      <c r="U1166">
        <v>441</v>
      </c>
      <c r="V1166" s="7" t="str">
        <f>IF(ISERROR(VLOOKUP(K1166,[1]작가별정산률!$R:$S,2,0)),"스토리위즈",VLOOKUP(K1166,[1]작가별정산률!$R:$S,2,0))</f>
        <v>스토리위즈</v>
      </c>
      <c r="W1166" s="7" t="str">
        <f>IF(V1166="스토리위즈",VLOOKUP(K1166,[1]작가별정산률!$A:$B,2,0),V1166)</f>
        <v>전혁</v>
      </c>
    </row>
    <row r="1167" spans="1:23" x14ac:dyDescent="0.4">
      <c r="A1167" t="s">
        <v>262</v>
      </c>
      <c r="B1167" t="s">
        <v>1411</v>
      </c>
      <c r="C1167" t="s">
        <v>1491</v>
      </c>
      <c r="D1167" t="s">
        <v>64</v>
      </c>
      <c r="E1167" t="s">
        <v>22</v>
      </c>
      <c r="F1167" t="s">
        <v>23</v>
      </c>
      <c r="G1167">
        <v>1</v>
      </c>
      <c r="H1167">
        <v>9791159283246</v>
      </c>
      <c r="I1167" t="s">
        <v>24</v>
      </c>
      <c r="J1167" t="s">
        <v>67</v>
      </c>
      <c r="K1167" t="s">
        <v>37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  <c r="V1167" s="7" t="str">
        <f>IF(ISERROR(VLOOKUP(K1167,[1]작가별정산률!$R:$S,2,0)),"스토리위즈",VLOOKUP(K1167,[1]작가별정산률!$R:$S,2,0))</f>
        <v>스토리위즈</v>
      </c>
      <c r="W1167" s="7" t="str">
        <f>IF(V1167="스토리위즈",VLOOKUP(K1167,[1]작가별정산률!$A:$B,2,0),V1167)</f>
        <v>권용찬</v>
      </c>
    </row>
    <row r="1168" spans="1:23" x14ac:dyDescent="0.4">
      <c r="A1168" t="s">
        <v>262</v>
      </c>
      <c r="B1168" t="s">
        <v>1411</v>
      </c>
      <c r="C1168" t="s">
        <v>1492</v>
      </c>
      <c r="D1168" t="s">
        <v>64</v>
      </c>
      <c r="E1168" t="s">
        <v>22</v>
      </c>
      <c r="F1168" t="s">
        <v>23</v>
      </c>
      <c r="G1168">
        <v>1</v>
      </c>
      <c r="H1168">
        <v>9791159282843</v>
      </c>
      <c r="I1168" t="s">
        <v>24</v>
      </c>
      <c r="J1168" t="s">
        <v>25</v>
      </c>
      <c r="K1168" t="s">
        <v>26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2">
        <v>0.7</v>
      </c>
      <c r="S1168">
        <v>441</v>
      </c>
      <c r="T1168" t="s">
        <v>27</v>
      </c>
      <c r="U1168">
        <v>441</v>
      </c>
      <c r="V1168" s="7" t="str">
        <f>IF(ISERROR(VLOOKUP(K1168,[1]작가별정산률!$R:$S,2,0)),"스토리위즈",VLOOKUP(K1168,[1]작가별정산률!$R:$S,2,0))</f>
        <v>스토리위즈</v>
      </c>
      <c r="W1168" s="7" t="str">
        <f>IF(V1168="스토리위즈",VLOOKUP(K1168,[1]작가별정산률!$A:$B,2,0),V1168)</f>
        <v>독고진</v>
      </c>
    </row>
    <row r="1169" spans="1:23" x14ac:dyDescent="0.4">
      <c r="A1169" t="s">
        <v>262</v>
      </c>
      <c r="B1169" t="s">
        <v>1411</v>
      </c>
      <c r="C1169" t="s">
        <v>1493</v>
      </c>
      <c r="D1169" t="s">
        <v>21</v>
      </c>
      <c r="E1169" t="s">
        <v>22</v>
      </c>
      <c r="F1169" t="s">
        <v>23</v>
      </c>
      <c r="G1169">
        <v>1</v>
      </c>
      <c r="H1169">
        <v>9791191562262</v>
      </c>
      <c r="I1169" t="s">
        <v>143</v>
      </c>
      <c r="J1169" t="s">
        <v>250</v>
      </c>
      <c r="K1169" t="s">
        <v>251</v>
      </c>
      <c r="L1169" t="s">
        <v>27</v>
      </c>
      <c r="M1169" s="3">
        <v>2000</v>
      </c>
      <c r="N1169" t="s">
        <v>27</v>
      </c>
      <c r="O1169" s="3">
        <v>2000</v>
      </c>
      <c r="P1169" s="3">
        <v>2000</v>
      </c>
      <c r="Q1169" t="s">
        <v>30</v>
      </c>
      <c r="R1169" s="2">
        <v>0.7</v>
      </c>
      <c r="S1169" s="3">
        <v>1400</v>
      </c>
      <c r="T1169" t="s">
        <v>27</v>
      </c>
      <c r="U1169" s="3">
        <v>1400</v>
      </c>
      <c r="V1169" s="7" t="str">
        <f>IF(ISERROR(VLOOKUP(K1169,[1]작가별정산률!$R:$S,2,0)),"스토리위즈",VLOOKUP(K1169,[1]작가별정산률!$R:$S,2,0))</f>
        <v>밀리의 서재</v>
      </c>
      <c r="W1169" s="7" t="str">
        <f>IF(V1169="스토리위즈",VLOOKUP(K1169,[1]작가별정산률!$A:$B,2,0),V1169)</f>
        <v>밀리의 서재</v>
      </c>
    </row>
    <row r="1170" spans="1:23" x14ac:dyDescent="0.4">
      <c r="A1170" t="s">
        <v>262</v>
      </c>
      <c r="B1170" t="s">
        <v>1411</v>
      </c>
      <c r="C1170" t="s">
        <v>1494</v>
      </c>
      <c r="D1170" t="s">
        <v>21</v>
      </c>
      <c r="E1170" t="s">
        <v>22</v>
      </c>
      <c r="F1170" t="s">
        <v>23</v>
      </c>
      <c r="G1170">
        <v>1</v>
      </c>
      <c r="H1170">
        <v>9791159289583</v>
      </c>
      <c r="I1170" t="s">
        <v>24</v>
      </c>
      <c r="J1170" t="s">
        <v>141</v>
      </c>
      <c r="K1170" t="s">
        <v>140</v>
      </c>
      <c r="L1170" t="s">
        <v>27</v>
      </c>
      <c r="M1170" s="3">
        <v>3200</v>
      </c>
      <c r="N1170" t="s">
        <v>27</v>
      </c>
      <c r="O1170" s="3">
        <v>3200</v>
      </c>
      <c r="P1170" s="3">
        <v>3200</v>
      </c>
      <c r="Q1170" t="s">
        <v>30</v>
      </c>
      <c r="R1170" s="2">
        <v>0.7</v>
      </c>
      <c r="S1170" s="3">
        <v>2240</v>
      </c>
      <c r="T1170" t="s">
        <v>27</v>
      </c>
      <c r="U1170" s="3">
        <v>2240</v>
      </c>
      <c r="V1170" s="7" t="str">
        <f>IF(ISERROR(VLOOKUP(K1170,[1]작가별정산률!$R:$S,2,0)),"스토리위즈",VLOOKUP(K1170,[1]작가별정산률!$R:$S,2,0))</f>
        <v>스토리위즈</v>
      </c>
      <c r="W1170" s="7" t="str">
        <f>IF(V1170="스토리위즈",VLOOKUP(K1170,[1]작가별정산률!$A:$B,2,0),V1170)</f>
        <v>이동열</v>
      </c>
    </row>
    <row r="1171" spans="1:23" x14ac:dyDescent="0.4">
      <c r="A1171" t="s">
        <v>262</v>
      </c>
      <c r="B1171" t="s">
        <v>1411</v>
      </c>
      <c r="C1171" t="s">
        <v>1495</v>
      </c>
      <c r="D1171" t="s">
        <v>64</v>
      </c>
      <c r="E1171" t="s">
        <v>22</v>
      </c>
      <c r="F1171" t="s">
        <v>23</v>
      </c>
      <c r="G1171">
        <v>1</v>
      </c>
      <c r="H1171">
        <v>9791166061080</v>
      </c>
      <c r="I1171" t="s">
        <v>24</v>
      </c>
      <c r="J1171" t="s">
        <v>74</v>
      </c>
      <c r="K1171" t="s">
        <v>37</v>
      </c>
      <c r="L1171" t="s">
        <v>27</v>
      </c>
      <c r="M1171">
        <v>900</v>
      </c>
      <c r="N1171" t="s">
        <v>27</v>
      </c>
      <c r="O1171">
        <v>900</v>
      </c>
      <c r="P1171">
        <v>900</v>
      </c>
      <c r="Q1171" t="s">
        <v>30</v>
      </c>
      <c r="R1171" s="2">
        <v>0.7</v>
      </c>
      <c r="S1171">
        <v>630</v>
      </c>
      <c r="T1171" t="s">
        <v>27</v>
      </c>
      <c r="U1171">
        <v>630</v>
      </c>
      <c r="V1171" s="7" t="str">
        <f>IF(ISERROR(VLOOKUP(K1171,[1]작가별정산률!$R:$S,2,0)),"스토리위즈",VLOOKUP(K1171,[1]작가별정산률!$R:$S,2,0))</f>
        <v>스토리위즈</v>
      </c>
      <c r="W1171" s="7" t="str">
        <f>IF(V1171="스토리위즈",VLOOKUP(K1171,[1]작가별정산률!$A:$B,2,0),V1171)</f>
        <v>권용찬</v>
      </c>
    </row>
    <row r="1172" spans="1:23" x14ac:dyDescent="0.4">
      <c r="A1172" t="s">
        <v>262</v>
      </c>
      <c r="B1172" t="s">
        <v>1411</v>
      </c>
      <c r="C1172" t="s">
        <v>1496</v>
      </c>
      <c r="D1172" t="s">
        <v>21</v>
      </c>
      <c r="E1172" t="s">
        <v>22</v>
      </c>
      <c r="F1172" t="s">
        <v>23</v>
      </c>
      <c r="G1172">
        <v>1</v>
      </c>
      <c r="H1172">
        <v>9791191562286</v>
      </c>
      <c r="I1172" t="s">
        <v>143</v>
      </c>
      <c r="J1172" t="s">
        <v>238</v>
      </c>
      <c r="K1172" t="s">
        <v>239</v>
      </c>
      <c r="L1172" t="s">
        <v>27</v>
      </c>
      <c r="M1172" s="3">
        <v>2000</v>
      </c>
      <c r="N1172" t="s">
        <v>27</v>
      </c>
      <c r="O1172" s="3">
        <v>2000</v>
      </c>
      <c r="P1172" s="3">
        <v>2000</v>
      </c>
      <c r="Q1172" t="s">
        <v>30</v>
      </c>
      <c r="R1172" s="2">
        <v>0.7</v>
      </c>
      <c r="S1172" s="3">
        <v>1400</v>
      </c>
      <c r="T1172" t="s">
        <v>27</v>
      </c>
      <c r="U1172" s="3">
        <v>1400</v>
      </c>
      <c r="V1172" s="7" t="str">
        <f>IF(ISERROR(VLOOKUP(K1172,[1]작가별정산률!$R:$S,2,0)),"스토리위즈",VLOOKUP(K1172,[1]작가별정산률!$R:$S,2,0))</f>
        <v>밀리의 서재</v>
      </c>
      <c r="W1172" s="7" t="str">
        <f>IF(V1172="스토리위즈",VLOOKUP(K1172,[1]작가별정산률!$A:$B,2,0),V1172)</f>
        <v>밀리의 서재</v>
      </c>
    </row>
    <row r="1173" spans="1:23" x14ac:dyDescent="0.4">
      <c r="A1173" t="s">
        <v>262</v>
      </c>
      <c r="B1173" t="s">
        <v>1411</v>
      </c>
      <c r="C1173" t="s">
        <v>1497</v>
      </c>
      <c r="D1173" t="s">
        <v>64</v>
      </c>
      <c r="E1173" t="s">
        <v>22</v>
      </c>
      <c r="F1173" t="s">
        <v>23</v>
      </c>
      <c r="G1173">
        <v>1</v>
      </c>
      <c r="H1173">
        <v>9791166300639</v>
      </c>
      <c r="I1173" t="s">
        <v>24</v>
      </c>
      <c r="J1173" t="s">
        <v>165</v>
      </c>
      <c r="K1173" t="s">
        <v>119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  <c r="V1173" s="7" t="str">
        <f>IF(ISERROR(VLOOKUP(K1173,[1]작가별정산률!$R:$S,2,0)),"스토리위즈",VLOOKUP(K1173,[1]작가별정산률!$R:$S,2,0))</f>
        <v>스토리위즈</v>
      </c>
      <c r="W1173" s="7" t="str">
        <f>IF(V1173="스토리위즈",VLOOKUP(K1173,[1]작가별정산률!$A:$B,2,0),V1173)</f>
        <v>김광수</v>
      </c>
    </row>
    <row r="1174" spans="1:23" x14ac:dyDescent="0.4">
      <c r="A1174" t="s">
        <v>262</v>
      </c>
      <c r="B1174" t="s">
        <v>1411</v>
      </c>
      <c r="C1174" t="s">
        <v>1498</v>
      </c>
      <c r="D1174" t="s">
        <v>64</v>
      </c>
      <c r="E1174" t="s">
        <v>22</v>
      </c>
      <c r="F1174" t="s">
        <v>23</v>
      </c>
      <c r="G1174">
        <v>1</v>
      </c>
      <c r="H1174">
        <v>9791166300264</v>
      </c>
      <c r="I1174" t="s">
        <v>24</v>
      </c>
      <c r="J1174" t="s">
        <v>135</v>
      </c>
      <c r="K1174" t="s">
        <v>119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  <c r="V1174" s="7" t="str">
        <f>IF(ISERROR(VLOOKUP(K1174,[1]작가별정산률!$R:$S,2,0)),"스토리위즈",VLOOKUP(K1174,[1]작가별정산률!$R:$S,2,0))</f>
        <v>스토리위즈</v>
      </c>
      <c r="W1174" s="7" t="str">
        <f>IF(V1174="스토리위즈",VLOOKUP(K1174,[1]작가별정산률!$A:$B,2,0),V1174)</f>
        <v>김광수</v>
      </c>
    </row>
    <row r="1175" spans="1:23" x14ac:dyDescent="0.4">
      <c r="A1175" t="s">
        <v>262</v>
      </c>
      <c r="B1175" t="s">
        <v>1411</v>
      </c>
      <c r="C1175" t="s">
        <v>1499</v>
      </c>
      <c r="D1175" t="s">
        <v>21</v>
      </c>
      <c r="E1175" t="s">
        <v>22</v>
      </c>
      <c r="F1175" t="s">
        <v>23</v>
      </c>
      <c r="G1175">
        <v>1</v>
      </c>
      <c r="H1175">
        <v>9791195863044</v>
      </c>
      <c r="I1175" t="s">
        <v>24</v>
      </c>
      <c r="J1175" t="s">
        <v>1500</v>
      </c>
      <c r="K1175" t="s">
        <v>41</v>
      </c>
      <c r="L1175" t="s">
        <v>27</v>
      </c>
      <c r="M1175" s="3">
        <v>3200</v>
      </c>
      <c r="N1175" t="s">
        <v>28</v>
      </c>
      <c r="O1175">
        <v>2.64</v>
      </c>
      <c r="P1175">
        <v>2.64</v>
      </c>
      <c r="Q1175" t="s">
        <v>29</v>
      </c>
      <c r="R1175" s="2">
        <v>0.7</v>
      </c>
      <c r="S1175">
        <v>1.85</v>
      </c>
      <c r="T1175" t="s">
        <v>27</v>
      </c>
      <c r="U1175" s="3">
        <v>2363</v>
      </c>
      <c r="V1175" s="7" t="str">
        <f>IF(ISERROR(VLOOKUP(K1175,[1]작가별정산률!$R:$S,2,0)),"스토리위즈",VLOOKUP(K1175,[1]작가별정산률!$R:$S,2,0))</f>
        <v>스토리위즈</v>
      </c>
      <c r="W1175" s="7" t="str">
        <f>IF(V1175="스토리위즈",VLOOKUP(K1175,[1]작가별정산률!$A:$B,2,0),V1175)</f>
        <v>무장</v>
      </c>
    </row>
    <row r="1176" spans="1:23" x14ac:dyDescent="0.4">
      <c r="A1176" t="s">
        <v>262</v>
      </c>
      <c r="B1176" t="s">
        <v>1411</v>
      </c>
      <c r="C1176" t="s">
        <v>1499</v>
      </c>
      <c r="D1176" t="s">
        <v>21</v>
      </c>
      <c r="E1176" t="s">
        <v>22</v>
      </c>
      <c r="F1176" t="s">
        <v>23</v>
      </c>
      <c r="G1176">
        <v>1</v>
      </c>
      <c r="H1176">
        <v>9791188630035</v>
      </c>
      <c r="I1176" t="s">
        <v>24</v>
      </c>
      <c r="J1176" t="s">
        <v>1501</v>
      </c>
      <c r="K1176" t="s">
        <v>41</v>
      </c>
      <c r="L1176" t="s">
        <v>27</v>
      </c>
      <c r="M1176" s="3">
        <v>3200</v>
      </c>
      <c r="N1176" t="s">
        <v>28</v>
      </c>
      <c r="O1176">
        <v>2.64</v>
      </c>
      <c r="P1176">
        <v>2.64</v>
      </c>
      <c r="Q1176" t="s">
        <v>29</v>
      </c>
      <c r="R1176" s="2">
        <v>0.7</v>
      </c>
      <c r="S1176">
        <v>1.85</v>
      </c>
      <c r="T1176" t="s">
        <v>27</v>
      </c>
      <c r="U1176" s="3">
        <v>2363</v>
      </c>
      <c r="V1176" s="7" t="str">
        <f>IF(ISERROR(VLOOKUP(K1176,[1]작가별정산률!$R:$S,2,0)),"스토리위즈",VLOOKUP(K1176,[1]작가별정산률!$R:$S,2,0))</f>
        <v>스토리위즈</v>
      </c>
      <c r="W1176" s="7" t="str">
        <f>IF(V1176="스토리위즈",VLOOKUP(K1176,[1]작가별정산률!$A:$B,2,0),V1176)</f>
        <v>무장</v>
      </c>
    </row>
    <row r="1177" spans="1:23" x14ac:dyDescent="0.4">
      <c r="A1177" t="s">
        <v>262</v>
      </c>
      <c r="B1177" t="s">
        <v>1411</v>
      </c>
      <c r="C1177" t="s">
        <v>1499</v>
      </c>
      <c r="D1177" t="s">
        <v>21</v>
      </c>
      <c r="E1177" t="s">
        <v>22</v>
      </c>
      <c r="F1177" t="s">
        <v>23</v>
      </c>
      <c r="G1177">
        <v>1</v>
      </c>
      <c r="H1177">
        <v>9791188630042</v>
      </c>
      <c r="I1177" t="s">
        <v>24</v>
      </c>
      <c r="J1177" t="s">
        <v>1502</v>
      </c>
      <c r="K1177" t="s">
        <v>41</v>
      </c>
      <c r="L1177" t="s">
        <v>27</v>
      </c>
      <c r="M1177" s="3">
        <v>3200</v>
      </c>
      <c r="N1177" t="s">
        <v>28</v>
      </c>
      <c r="O1177">
        <v>2.64</v>
      </c>
      <c r="P1177">
        <v>2.64</v>
      </c>
      <c r="Q1177" t="s">
        <v>29</v>
      </c>
      <c r="R1177" s="2">
        <v>0.7</v>
      </c>
      <c r="S1177">
        <v>1.85</v>
      </c>
      <c r="T1177" t="s">
        <v>27</v>
      </c>
      <c r="U1177" s="3">
        <v>2363</v>
      </c>
      <c r="V1177" s="7" t="str">
        <f>IF(ISERROR(VLOOKUP(K1177,[1]작가별정산률!$R:$S,2,0)),"스토리위즈",VLOOKUP(K1177,[1]작가별정산률!$R:$S,2,0))</f>
        <v>스토리위즈</v>
      </c>
      <c r="W1177" s="7" t="str">
        <f>IF(V1177="스토리위즈",VLOOKUP(K1177,[1]작가별정산률!$A:$B,2,0),V1177)</f>
        <v>무장</v>
      </c>
    </row>
    <row r="1178" spans="1:23" x14ac:dyDescent="0.4">
      <c r="A1178" t="s">
        <v>262</v>
      </c>
      <c r="B1178" t="s">
        <v>1411</v>
      </c>
      <c r="C1178" t="s">
        <v>1499</v>
      </c>
      <c r="D1178" t="s">
        <v>21</v>
      </c>
      <c r="E1178" t="s">
        <v>22</v>
      </c>
      <c r="F1178" t="s">
        <v>23</v>
      </c>
      <c r="G1178">
        <v>1</v>
      </c>
      <c r="H1178">
        <v>9791195863051</v>
      </c>
      <c r="I1178" t="s">
        <v>24</v>
      </c>
      <c r="J1178" t="s">
        <v>1503</v>
      </c>
      <c r="K1178" t="s">
        <v>41</v>
      </c>
      <c r="L1178" t="s">
        <v>27</v>
      </c>
      <c r="M1178" s="3">
        <v>3200</v>
      </c>
      <c r="N1178" t="s">
        <v>28</v>
      </c>
      <c r="O1178">
        <v>2.64</v>
      </c>
      <c r="P1178">
        <v>2.64</v>
      </c>
      <c r="Q1178" t="s">
        <v>29</v>
      </c>
      <c r="R1178" s="2">
        <v>0.7</v>
      </c>
      <c r="S1178">
        <v>1.85</v>
      </c>
      <c r="T1178" t="s">
        <v>27</v>
      </c>
      <c r="U1178" s="3">
        <v>2363</v>
      </c>
      <c r="V1178" s="7" t="str">
        <f>IF(ISERROR(VLOOKUP(K1178,[1]작가별정산률!$R:$S,2,0)),"스토리위즈",VLOOKUP(K1178,[1]작가별정산률!$R:$S,2,0))</f>
        <v>스토리위즈</v>
      </c>
      <c r="W1178" s="7" t="str">
        <f>IF(V1178="스토리위즈",VLOOKUP(K1178,[1]작가별정산률!$A:$B,2,0),V1178)</f>
        <v>무장</v>
      </c>
    </row>
    <row r="1179" spans="1:23" x14ac:dyDescent="0.4">
      <c r="A1179" t="s">
        <v>262</v>
      </c>
      <c r="B1179" t="s">
        <v>1411</v>
      </c>
      <c r="C1179" t="s">
        <v>1499</v>
      </c>
      <c r="D1179" t="s">
        <v>21</v>
      </c>
      <c r="E1179" t="s">
        <v>22</v>
      </c>
      <c r="F1179" t="s">
        <v>23</v>
      </c>
      <c r="G1179">
        <v>1</v>
      </c>
      <c r="H1179">
        <v>9791195863068</v>
      </c>
      <c r="I1179" t="s">
        <v>24</v>
      </c>
      <c r="J1179" t="s">
        <v>1504</v>
      </c>
      <c r="K1179" t="s">
        <v>41</v>
      </c>
      <c r="L1179" t="s">
        <v>27</v>
      </c>
      <c r="M1179" s="3">
        <v>3200</v>
      </c>
      <c r="N1179" t="s">
        <v>28</v>
      </c>
      <c r="O1179">
        <v>2.64</v>
      </c>
      <c r="P1179">
        <v>2.64</v>
      </c>
      <c r="Q1179" t="s">
        <v>29</v>
      </c>
      <c r="R1179" s="2">
        <v>0.7</v>
      </c>
      <c r="S1179">
        <v>1.85</v>
      </c>
      <c r="T1179" t="s">
        <v>27</v>
      </c>
      <c r="U1179" s="3">
        <v>2363</v>
      </c>
      <c r="V1179" s="7" t="str">
        <f>IF(ISERROR(VLOOKUP(K1179,[1]작가별정산률!$R:$S,2,0)),"스토리위즈",VLOOKUP(K1179,[1]작가별정산률!$R:$S,2,0))</f>
        <v>스토리위즈</v>
      </c>
      <c r="W1179" s="7" t="str">
        <f>IF(V1179="스토리위즈",VLOOKUP(K1179,[1]작가별정산률!$A:$B,2,0),V1179)</f>
        <v>무장</v>
      </c>
    </row>
    <row r="1180" spans="1:23" x14ac:dyDescent="0.4">
      <c r="A1180" t="s">
        <v>262</v>
      </c>
      <c r="B1180" t="s">
        <v>1411</v>
      </c>
      <c r="C1180" t="s">
        <v>1499</v>
      </c>
      <c r="D1180" t="s">
        <v>21</v>
      </c>
      <c r="E1180" t="s">
        <v>22</v>
      </c>
      <c r="F1180" t="s">
        <v>23</v>
      </c>
      <c r="G1180">
        <v>1</v>
      </c>
      <c r="H1180">
        <v>9791195863075</v>
      </c>
      <c r="I1180" t="s">
        <v>24</v>
      </c>
      <c r="J1180" t="s">
        <v>1505</v>
      </c>
      <c r="K1180" t="s">
        <v>41</v>
      </c>
      <c r="L1180" t="s">
        <v>27</v>
      </c>
      <c r="M1180" s="3">
        <v>3200</v>
      </c>
      <c r="N1180" t="s">
        <v>28</v>
      </c>
      <c r="O1180">
        <v>2.64</v>
      </c>
      <c r="P1180">
        <v>2.64</v>
      </c>
      <c r="Q1180" t="s">
        <v>29</v>
      </c>
      <c r="R1180" s="2">
        <v>0.7</v>
      </c>
      <c r="S1180">
        <v>1.85</v>
      </c>
      <c r="T1180" t="s">
        <v>27</v>
      </c>
      <c r="U1180" s="3">
        <v>2363</v>
      </c>
      <c r="V1180" s="7" t="str">
        <f>IF(ISERROR(VLOOKUP(K1180,[1]작가별정산률!$R:$S,2,0)),"스토리위즈",VLOOKUP(K1180,[1]작가별정산률!$R:$S,2,0))</f>
        <v>스토리위즈</v>
      </c>
      <c r="W1180" s="7" t="str">
        <f>IF(V1180="스토리위즈",VLOOKUP(K1180,[1]작가별정산률!$A:$B,2,0),V1180)</f>
        <v>무장</v>
      </c>
    </row>
    <row r="1181" spans="1:23" x14ac:dyDescent="0.4">
      <c r="A1181" t="s">
        <v>262</v>
      </c>
      <c r="B1181" t="s">
        <v>1411</v>
      </c>
      <c r="C1181" t="s">
        <v>1499</v>
      </c>
      <c r="D1181" t="s">
        <v>21</v>
      </c>
      <c r="E1181" t="s">
        <v>22</v>
      </c>
      <c r="F1181" t="s">
        <v>23</v>
      </c>
      <c r="G1181">
        <v>1</v>
      </c>
      <c r="H1181">
        <v>9791195863082</v>
      </c>
      <c r="I1181" t="s">
        <v>24</v>
      </c>
      <c r="J1181" t="s">
        <v>1506</v>
      </c>
      <c r="K1181" t="s">
        <v>41</v>
      </c>
      <c r="L1181" t="s">
        <v>27</v>
      </c>
      <c r="M1181" s="3">
        <v>3200</v>
      </c>
      <c r="N1181" t="s">
        <v>28</v>
      </c>
      <c r="O1181">
        <v>2.64</v>
      </c>
      <c r="P1181">
        <v>2.64</v>
      </c>
      <c r="Q1181" t="s">
        <v>29</v>
      </c>
      <c r="R1181" s="2">
        <v>0.7</v>
      </c>
      <c r="S1181">
        <v>1.85</v>
      </c>
      <c r="T1181" t="s">
        <v>27</v>
      </c>
      <c r="U1181" s="3">
        <v>2363</v>
      </c>
      <c r="V1181" s="7" t="str">
        <f>IF(ISERROR(VLOOKUP(K1181,[1]작가별정산률!$R:$S,2,0)),"스토리위즈",VLOOKUP(K1181,[1]작가별정산률!$R:$S,2,0))</f>
        <v>스토리위즈</v>
      </c>
      <c r="W1181" s="7" t="str">
        <f>IF(V1181="스토리위즈",VLOOKUP(K1181,[1]작가별정산률!$A:$B,2,0),V1181)</f>
        <v>무장</v>
      </c>
    </row>
    <row r="1182" spans="1:23" x14ac:dyDescent="0.4">
      <c r="A1182" t="s">
        <v>262</v>
      </c>
      <c r="B1182" t="s">
        <v>1411</v>
      </c>
      <c r="C1182" t="s">
        <v>1499</v>
      </c>
      <c r="D1182" t="s">
        <v>21</v>
      </c>
      <c r="E1182" t="s">
        <v>22</v>
      </c>
      <c r="F1182" t="s">
        <v>23</v>
      </c>
      <c r="G1182">
        <v>1</v>
      </c>
      <c r="H1182">
        <v>9791195863099</v>
      </c>
      <c r="I1182" t="s">
        <v>24</v>
      </c>
      <c r="J1182" t="s">
        <v>1507</v>
      </c>
      <c r="K1182" t="s">
        <v>41</v>
      </c>
      <c r="L1182" t="s">
        <v>27</v>
      </c>
      <c r="M1182" s="3">
        <v>3200</v>
      </c>
      <c r="N1182" t="s">
        <v>28</v>
      </c>
      <c r="O1182">
        <v>2.64</v>
      </c>
      <c r="P1182">
        <v>2.64</v>
      </c>
      <c r="Q1182" t="s">
        <v>29</v>
      </c>
      <c r="R1182" s="2">
        <v>0.7</v>
      </c>
      <c r="S1182">
        <v>1.85</v>
      </c>
      <c r="T1182" t="s">
        <v>27</v>
      </c>
      <c r="U1182" s="3">
        <v>2363</v>
      </c>
      <c r="V1182" s="7" t="str">
        <f>IF(ISERROR(VLOOKUP(K1182,[1]작가별정산률!$R:$S,2,0)),"스토리위즈",VLOOKUP(K1182,[1]작가별정산률!$R:$S,2,0))</f>
        <v>스토리위즈</v>
      </c>
      <c r="W1182" s="7" t="str">
        <f>IF(V1182="스토리위즈",VLOOKUP(K1182,[1]작가별정산률!$A:$B,2,0),V1182)</f>
        <v>무장</v>
      </c>
    </row>
    <row r="1183" spans="1:23" x14ac:dyDescent="0.4">
      <c r="A1183" t="s">
        <v>262</v>
      </c>
      <c r="B1183" t="s">
        <v>1411</v>
      </c>
      <c r="C1183" t="s">
        <v>1499</v>
      </c>
      <c r="D1183" t="s">
        <v>21</v>
      </c>
      <c r="E1183" t="s">
        <v>22</v>
      </c>
      <c r="F1183" t="s">
        <v>23</v>
      </c>
      <c r="G1183">
        <v>1</v>
      </c>
      <c r="H1183">
        <v>9791188630004</v>
      </c>
      <c r="I1183" t="s">
        <v>24</v>
      </c>
      <c r="J1183" t="s">
        <v>1508</v>
      </c>
      <c r="K1183" t="s">
        <v>41</v>
      </c>
      <c r="L1183" t="s">
        <v>27</v>
      </c>
      <c r="M1183" s="3">
        <v>3200</v>
      </c>
      <c r="N1183" t="s">
        <v>28</v>
      </c>
      <c r="O1183">
        <v>2.64</v>
      </c>
      <c r="P1183">
        <v>2.64</v>
      </c>
      <c r="Q1183" t="s">
        <v>29</v>
      </c>
      <c r="R1183" s="2">
        <v>0.7</v>
      </c>
      <c r="S1183">
        <v>1.85</v>
      </c>
      <c r="T1183" t="s">
        <v>27</v>
      </c>
      <c r="U1183" s="3">
        <v>2363</v>
      </c>
      <c r="V1183" s="7" t="str">
        <f>IF(ISERROR(VLOOKUP(K1183,[1]작가별정산률!$R:$S,2,0)),"스토리위즈",VLOOKUP(K1183,[1]작가별정산률!$R:$S,2,0))</f>
        <v>스토리위즈</v>
      </c>
      <c r="W1183" s="7" t="str">
        <f>IF(V1183="스토리위즈",VLOOKUP(K1183,[1]작가별정산률!$A:$B,2,0),V1183)</f>
        <v>무장</v>
      </c>
    </row>
    <row r="1184" spans="1:23" x14ac:dyDescent="0.4">
      <c r="A1184" t="s">
        <v>262</v>
      </c>
      <c r="B1184" t="s">
        <v>1411</v>
      </c>
      <c r="C1184" t="s">
        <v>1499</v>
      </c>
      <c r="D1184" t="s">
        <v>21</v>
      </c>
      <c r="E1184" t="s">
        <v>22</v>
      </c>
      <c r="F1184" t="s">
        <v>23</v>
      </c>
      <c r="G1184">
        <v>1</v>
      </c>
      <c r="H1184">
        <v>9791188630011</v>
      </c>
      <c r="I1184" t="s">
        <v>24</v>
      </c>
      <c r="J1184" t="s">
        <v>1509</v>
      </c>
      <c r="K1184" t="s">
        <v>41</v>
      </c>
      <c r="L1184" t="s">
        <v>27</v>
      </c>
      <c r="M1184" s="3">
        <v>3200</v>
      </c>
      <c r="N1184" t="s">
        <v>28</v>
      </c>
      <c r="O1184">
        <v>2.64</v>
      </c>
      <c r="P1184">
        <v>2.64</v>
      </c>
      <c r="Q1184" t="s">
        <v>29</v>
      </c>
      <c r="R1184" s="2">
        <v>0.7</v>
      </c>
      <c r="S1184">
        <v>1.85</v>
      </c>
      <c r="T1184" t="s">
        <v>27</v>
      </c>
      <c r="U1184" s="3">
        <v>2363</v>
      </c>
      <c r="V1184" s="7" t="str">
        <f>IF(ISERROR(VLOOKUP(K1184,[1]작가별정산률!$R:$S,2,0)),"스토리위즈",VLOOKUP(K1184,[1]작가별정산률!$R:$S,2,0))</f>
        <v>스토리위즈</v>
      </c>
      <c r="W1184" s="7" t="str">
        <f>IF(V1184="스토리위즈",VLOOKUP(K1184,[1]작가별정산률!$A:$B,2,0),V1184)</f>
        <v>무장</v>
      </c>
    </row>
    <row r="1185" spans="1:23" x14ac:dyDescent="0.4">
      <c r="A1185" t="s">
        <v>262</v>
      </c>
      <c r="B1185" t="s">
        <v>1411</v>
      </c>
      <c r="C1185" t="s">
        <v>1499</v>
      </c>
      <c r="D1185" t="s">
        <v>21</v>
      </c>
      <c r="E1185" t="s">
        <v>22</v>
      </c>
      <c r="F1185" t="s">
        <v>23</v>
      </c>
      <c r="G1185">
        <v>1</v>
      </c>
      <c r="H1185">
        <v>9791188630028</v>
      </c>
      <c r="I1185" t="s">
        <v>24</v>
      </c>
      <c r="J1185" t="s">
        <v>1510</v>
      </c>
      <c r="K1185" t="s">
        <v>41</v>
      </c>
      <c r="L1185" t="s">
        <v>27</v>
      </c>
      <c r="M1185" s="3">
        <v>3200</v>
      </c>
      <c r="N1185" t="s">
        <v>28</v>
      </c>
      <c r="O1185">
        <v>2.64</v>
      </c>
      <c r="P1185">
        <v>2.64</v>
      </c>
      <c r="Q1185" t="s">
        <v>29</v>
      </c>
      <c r="R1185" s="2">
        <v>0.7</v>
      </c>
      <c r="S1185">
        <v>1.85</v>
      </c>
      <c r="T1185" t="s">
        <v>27</v>
      </c>
      <c r="U1185" s="3">
        <v>2363</v>
      </c>
      <c r="V1185" s="7" t="str">
        <f>IF(ISERROR(VLOOKUP(K1185,[1]작가별정산률!$R:$S,2,0)),"스토리위즈",VLOOKUP(K1185,[1]작가별정산률!$R:$S,2,0))</f>
        <v>스토리위즈</v>
      </c>
      <c r="W1185" s="7" t="str">
        <f>IF(V1185="스토리위즈",VLOOKUP(K1185,[1]작가별정산률!$A:$B,2,0),V1185)</f>
        <v>무장</v>
      </c>
    </row>
    <row r="1186" spans="1:23" x14ac:dyDescent="0.4">
      <c r="A1186" t="s">
        <v>262</v>
      </c>
      <c r="B1186" t="s">
        <v>1411</v>
      </c>
      <c r="C1186" t="s">
        <v>1511</v>
      </c>
      <c r="D1186" t="s">
        <v>21</v>
      </c>
      <c r="E1186" t="s">
        <v>22</v>
      </c>
      <c r="F1186" t="s">
        <v>23</v>
      </c>
      <c r="G1186">
        <v>1</v>
      </c>
      <c r="H1186">
        <v>9791166300141</v>
      </c>
      <c r="I1186" t="s">
        <v>24</v>
      </c>
      <c r="J1186" t="s">
        <v>124</v>
      </c>
      <c r="K1186" t="s">
        <v>119</v>
      </c>
      <c r="L1186" t="s">
        <v>27</v>
      </c>
      <c r="M1186" s="3">
        <v>3200</v>
      </c>
      <c r="N1186" t="s">
        <v>27</v>
      </c>
      <c r="O1186" s="3">
        <v>3200</v>
      </c>
      <c r="P1186" s="3">
        <v>3200</v>
      </c>
      <c r="Q1186" t="s">
        <v>30</v>
      </c>
      <c r="R1186" s="2">
        <v>0.7</v>
      </c>
      <c r="S1186" s="3">
        <v>2240</v>
      </c>
      <c r="T1186" t="s">
        <v>27</v>
      </c>
      <c r="U1186" s="3">
        <v>2240</v>
      </c>
      <c r="V1186" s="7" t="str">
        <f>IF(ISERROR(VLOOKUP(K1186,[1]작가별정산률!$R:$S,2,0)),"스토리위즈",VLOOKUP(K1186,[1]작가별정산률!$R:$S,2,0))</f>
        <v>스토리위즈</v>
      </c>
      <c r="W1186" s="7" t="str">
        <f>IF(V1186="스토리위즈",VLOOKUP(K1186,[1]작가별정산률!$A:$B,2,0),V1186)</f>
        <v>김광수</v>
      </c>
    </row>
    <row r="1187" spans="1:23" x14ac:dyDescent="0.4">
      <c r="A1187" t="s">
        <v>262</v>
      </c>
      <c r="B1187" t="s">
        <v>1411</v>
      </c>
      <c r="C1187" t="s">
        <v>1512</v>
      </c>
      <c r="D1187" t="s">
        <v>21</v>
      </c>
      <c r="E1187" t="s">
        <v>22</v>
      </c>
      <c r="F1187" t="s">
        <v>23</v>
      </c>
      <c r="G1187">
        <v>1</v>
      </c>
      <c r="H1187">
        <v>9791166065873</v>
      </c>
      <c r="I1187" t="s">
        <v>24</v>
      </c>
      <c r="J1187" t="s">
        <v>1513</v>
      </c>
      <c r="K1187" t="s">
        <v>228</v>
      </c>
      <c r="L1187" t="s">
        <v>27</v>
      </c>
      <c r="M1187" s="3">
        <v>3200</v>
      </c>
      <c r="N1187" t="s">
        <v>28</v>
      </c>
      <c r="O1187">
        <v>2.64</v>
      </c>
      <c r="P1187">
        <v>2.64</v>
      </c>
      <c r="Q1187" t="s">
        <v>29</v>
      </c>
      <c r="R1187" s="2">
        <v>0.7</v>
      </c>
      <c r="S1187">
        <v>1.85</v>
      </c>
      <c r="T1187" t="s">
        <v>27</v>
      </c>
      <c r="U1187" s="3">
        <v>2364</v>
      </c>
      <c r="V1187" s="7" t="str">
        <f>IF(ISERROR(VLOOKUP(K1187,[1]작가별정산률!$R:$S,2,0)),"스토리위즈",VLOOKUP(K1187,[1]작가별정산률!$R:$S,2,0))</f>
        <v>스토리위즈</v>
      </c>
      <c r="W1187" s="7" t="str">
        <f>IF(V1187="스토리위즈",VLOOKUP(K1187,[1]작가별정산률!$A:$B,2,0),V1187)</f>
        <v>청빙</v>
      </c>
    </row>
    <row r="1188" spans="1:23" x14ac:dyDescent="0.4">
      <c r="A1188" t="s">
        <v>262</v>
      </c>
      <c r="B1188" t="s">
        <v>1514</v>
      </c>
      <c r="C1188" t="s">
        <v>1515</v>
      </c>
      <c r="D1188" t="s">
        <v>64</v>
      </c>
      <c r="E1188" t="s">
        <v>22</v>
      </c>
      <c r="F1188" t="s">
        <v>23</v>
      </c>
      <c r="G1188">
        <v>1</v>
      </c>
      <c r="H1188">
        <v>9791166300646</v>
      </c>
      <c r="I1188" t="s">
        <v>24</v>
      </c>
      <c r="J1188" t="s">
        <v>155</v>
      </c>
      <c r="K1188" t="s">
        <v>119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2">
        <v>0.7</v>
      </c>
      <c r="S1188">
        <v>441</v>
      </c>
      <c r="T1188" t="s">
        <v>27</v>
      </c>
      <c r="U1188">
        <v>441</v>
      </c>
      <c r="V1188" s="7" t="str">
        <f>IF(ISERROR(VLOOKUP(K1188,[1]작가별정산률!$R:$S,2,0)),"스토리위즈",VLOOKUP(K1188,[1]작가별정산률!$R:$S,2,0))</f>
        <v>스토리위즈</v>
      </c>
      <c r="W1188" s="7" t="str">
        <f>IF(V1188="스토리위즈",VLOOKUP(K1188,[1]작가별정산률!$A:$B,2,0),V1188)</f>
        <v>김광수</v>
      </c>
    </row>
    <row r="1189" spans="1:23" x14ac:dyDescent="0.4">
      <c r="A1189" t="s">
        <v>262</v>
      </c>
      <c r="B1189" t="s">
        <v>1514</v>
      </c>
      <c r="C1189" t="s">
        <v>1516</v>
      </c>
      <c r="D1189" t="s">
        <v>21</v>
      </c>
      <c r="E1189" t="s">
        <v>22</v>
      </c>
      <c r="F1189" t="s">
        <v>23</v>
      </c>
      <c r="G1189">
        <v>1</v>
      </c>
      <c r="H1189">
        <v>9791191562033</v>
      </c>
      <c r="I1189" t="s">
        <v>143</v>
      </c>
      <c r="J1189" t="s">
        <v>189</v>
      </c>
      <c r="K1189" t="s">
        <v>187</v>
      </c>
      <c r="L1189" t="s">
        <v>27</v>
      </c>
      <c r="M1189" s="3">
        <v>2000</v>
      </c>
      <c r="N1189" t="s">
        <v>27</v>
      </c>
      <c r="O1189" s="3">
        <v>2000</v>
      </c>
      <c r="P1189" s="3">
        <v>2000</v>
      </c>
      <c r="Q1189" t="s">
        <v>30</v>
      </c>
      <c r="R1189" s="2">
        <v>0.7</v>
      </c>
      <c r="S1189" s="3">
        <v>1400</v>
      </c>
      <c r="T1189" t="s">
        <v>27</v>
      </c>
      <c r="U1189" s="3">
        <v>1400</v>
      </c>
      <c r="V1189" s="7" t="str">
        <f>IF(ISERROR(VLOOKUP(K1189,[1]작가별정산률!$R:$S,2,0)),"스토리위즈",VLOOKUP(K1189,[1]작가별정산률!$R:$S,2,0))</f>
        <v>밀리의 서재</v>
      </c>
      <c r="W1189" s="7" t="str">
        <f>IF(V1189="스토리위즈",VLOOKUP(K1189,[1]작가별정산률!$A:$B,2,0),V1189)</f>
        <v>밀리의 서재</v>
      </c>
    </row>
    <row r="1190" spans="1:23" x14ac:dyDescent="0.4">
      <c r="A1190" t="s">
        <v>262</v>
      </c>
      <c r="B1190" t="s">
        <v>1514</v>
      </c>
      <c r="C1190" t="s">
        <v>1517</v>
      </c>
      <c r="D1190" t="s">
        <v>21</v>
      </c>
      <c r="E1190" t="s">
        <v>22</v>
      </c>
      <c r="F1190" t="s">
        <v>23</v>
      </c>
      <c r="G1190">
        <v>1</v>
      </c>
      <c r="H1190">
        <v>9791191562286</v>
      </c>
      <c r="I1190" t="s">
        <v>143</v>
      </c>
      <c r="J1190" t="s">
        <v>238</v>
      </c>
      <c r="K1190" t="s">
        <v>239</v>
      </c>
      <c r="L1190" t="s">
        <v>27</v>
      </c>
      <c r="M1190" s="3">
        <v>2000</v>
      </c>
      <c r="N1190" t="s">
        <v>27</v>
      </c>
      <c r="O1190" s="3">
        <v>2000</v>
      </c>
      <c r="P1190" s="3">
        <v>2000</v>
      </c>
      <c r="Q1190" t="s">
        <v>30</v>
      </c>
      <c r="R1190" s="2">
        <v>0.7</v>
      </c>
      <c r="S1190" s="3">
        <v>1400</v>
      </c>
      <c r="T1190" t="s">
        <v>27</v>
      </c>
      <c r="U1190" s="3">
        <v>1400</v>
      </c>
      <c r="V1190" s="7" t="str">
        <f>IF(ISERROR(VLOOKUP(K1190,[1]작가별정산률!$R:$S,2,0)),"스토리위즈",VLOOKUP(K1190,[1]작가별정산률!$R:$S,2,0))</f>
        <v>밀리의 서재</v>
      </c>
      <c r="W1190" s="7" t="str">
        <f>IF(V1190="스토리위즈",VLOOKUP(K1190,[1]작가별정산률!$A:$B,2,0),V1190)</f>
        <v>밀리의 서재</v>
      </c>
    </row>
    <row r="1191" spans="1:23" x14ac:dyDescent="0.4">
      <c r="A1191" t="s">
        <v>262</v>
      </c>
      <c r="B1191" t="s">
        <v>1514</v>
      </c>
      <c r="C1191" t="s">
        <v>1518</v>
      </c>
      <c r="D1191" t="s">
        <v>64</v>
      </c>
      <c r="E1191" t="s">
        <v>22</v>
      </c>
      <c r="F1191" t="s">
        <v>23</v>
      </c>
      <c r="G1191">
        <v>1</v>
      </c>
      <c r="H1191">
        <v>9791166061103</v>
      </c>
      <c r="I1191" t="s">
        <v>24</v>
      </c>
      <c r="J1191" t="s">
        <v>96</v>
      </c>
      <c r="K1191" t="s">
        <v>37</v>
      </c>
      <c r="L1191" t="s">
        <v>27</v>
      </c>
      <c r="M1191">
        <v>900</v>
      </c>
      <c r="N1191" t="s">
        <v>27</v>
      </c>
      <c r="O1191">
        <v>900</v>
      </c>
      <c r="P1191">
        <v>900</v>
      </c>
      <c r="Q1191" t="s">
        <v>30</v>
      </c>
      <c r="R1191" s="2">
        <v>0.7</v>
      </c>
      <c r="S1191">
        <v>630</v>
      </c>
      <c r="T1191" t="s">
        <v>27</v>
      </c>
      <c r="U1191">
        <v>630</v>
      </c>
      <c r="V1191" s="7" t="str">
        <f>IF(ISERROR(VLOOKUP(K1191,[1]작가별정산률!$R:$S,2,0)),"스토리위즈",VLOOKUP(K1191,[1]작가별정산률!$R:$S,2,0))</f>
        <v>스토리위즈</v>
      </c>
      <c r="W1191" s="7" t="str">
        <f>IF(V1191="스토리위즈",VLOOKUP(K1191,[1]작가별정산률!$A:$B,2,0),V1191)</f>
        <v>권용찬</v>
      </c>
    </row>
    <row r="1192" spans="1:23" x14ac:dyDescent="0.4">
      <c r="A1192" t="s">
        <v>262</v>
      </c>
      <c r="B1192" t="s">
        <v>1514</v>
      </c>
      <c r="C1192" t="s">
        <v>1519</v>
      </c>
      <c r="D1192" t="s">
        <v>64</v>
      </c>
      <c r="E1192" t="s">
        <v>22</v>
      </c>
      <c r="F1192" t="s">
        <v>23</v>
      </c>
      <c r="G1192">
        <v>1</v>
      </c>
      <c r="H1192">
        <v>9791166300240</v>
      </c>
      <c r="I1192" t="s">
        <v>24</v>
      </c>
      <c r="J1192" t="s">
        <v>133</v>
      </c>
      <c r="K1192" t="s">
        <v>119</v>
      </c>
      <c r="L1192" t="s">
        <v>27</v>
      </c>
      <c r="M1192">
        <v>630</v>
      </c>
      <c r="N1192" t="s">
        <v>27</v>
      </c>
      <c r="O1192">
        <v>630</v>
      </c>
      <c r="P1192">
        <v>630</v>
      </c>
      <c r="Q1192" t="s">
        <v>30</v>
      </c>
      <c r="R1192" s="2">
        <v>0.7</v>
      </c>
      <c r="S1192">
        <v>441</v>
      </c>
      <c r="T1192" t="s">
        <v>27</v>
      </c>
      <c r="U1192">
        <v>441</v>
      </c>
      <c r="V1192" s="7" t="str">
        <f>IF(ISERROR(VLOOKUP(K1192,[1]작가별정산률!$R:$S,2,0)),"스토리위즈",VLOOKUP(K1192,[1]작가별정산률!$R:$S,2,0))</f>
        <v>스토리위즈</v>
      </c>
      <c r="W1192" s="7" t="str">
        <f>IF(V1192="스토리위즈",VLOOKUP(K1192,[1]작가별정산률!$A:$B,2,0),V1192)</f>
        <v>김광수</v>
      </c>
    </row>
    <row r="1193" spans="1:23" x14ac:dyDescent="0.4">
      <c r="A1193" t="s">
        <v>262</v>
      </c>
      <c r="B1193" t="s">
        <v>1514</v>
      </c>
      <c r="C1193" t="s">
        <v>1520</v>
      </c>
      <c r="D1193" t="s">
        <v>21</v>
      </c>
      <c r="E1193" t="s">
        <v>22</v>
      </c>
      <c r="F1193" t="s">
        <v>23</v>
      </c>
      <c r="G1193">
        <v>1</v>
      </c>
      <c r="H1193">
        <v>9791166300264</v>
      </c>
      <c r="I1193" t="s">
        <v>24</v>
      </c>
      <c r="J1193" t="s">
        <v>135</v>
      </c>
      <c r="K1193" t="s">
        <v>119</v>
      </c>
      <c r="L1193" t="s">
        <v>27</v>
      </c>
      <c r="M1193" s="3">
        <v>3200</v>
      </c>
      <c r="N1193" t="s">
        <v>27</v>
      </c>
      <c r="O1193" s="3">
        <v>3200</v>
      </c>
      <c r="P1193" s="3">
        <v>3200</v>
      </c>
      <c r="Q1193" t="s">
        <v>30</v>
      </c>
      <c r="R1193" s="2">
        <v>0.7</v>
      </c>
      <c r="S1193" s="3">
        <v>2240</v>
      </c>
      <c r="T1193" t="s">
        <v>27</v>
      </c>
      <c r="U1193" s="3">
        <v>2240</v>
      </c>
      <c r="V1193" s="7" t="str">
        <f>IF(ISERROR(VLOOKUP(K1193,[1]작가별정산률!$R:$S,2,0)),"스토리위즈",VLOOKUP(K1193,[1]작가별정산률!$R:$S,2,0))</f>
        <v>스토리위즈</v>
      </c>
      <c r="W1193" s="7" t="str">
        <f>IF(V1193="스토리위즈",VLOOKUP(K1193,[1]작가별정산률!$A:$B,2,0),V1193)</f>
        <v>김광수</v>
      </c>
    </row>
    <row r="1194" spans="1:23" x14ac:dyDescent="0.4">
      <c r="A1194" t="s">
        <v>262</v>
      </c>
      <c r="B1194" t="s">
        <v>1514</v>
      </c>
      <c r="C1194" t="s">
        <v>1521</v>
      </c>
      <c r="D1194" t="s">
        <v>64</v>
      </c>
      <c r="E1194" t="s">
        <v>22</v>
      </c>
      <c r="F1194" t="s">
        <v>23</v>
      </c>
      <c r="G1194">
        <v>1</v>
      </c>
      <c r="H1194">
        <v>9791166300134</v>
      </c>
      <c r="I1194" t="s">
        <v>24</v>
      </c>
      <c r="J1194" t="s">
        <v>123</v>
      </c>
      <c r="K1194" t="s">
        <v>119</v>
      </c>
      <c r="L1194" t="s">
        <v>27</v>
      </c>
      <c r="M1194">
        <v>630</v>
      </c>
      <c r="N1194" t="s">
        <v>27</v>
      </c>
      <c r="O1194">
        <v>630</v>
      </c>
      <c r="P1194">
        <v>630</v>
      </c>
      <c r="Q1194" t="s">
        <v>30</v>
      </c>
      <c r="R1194" s="2">
        <v>0.7</v>
      </c>
      <c r="S1194">
        <v>441</v>
      </c>
      <c r="T1194" t="s">
        <v>27</v>
      </c>
      <c r="U1194">
        <v>441</v>
      </c>
      <c r="V1194" s="7" t="str">
        <f>IF(ISERROR(VLOOKUP(K1194,[1]작가별정산률!$R:$S,2,0)),"스토리위즈",VLOOKUP(K1194,[1]작가별정산률!$R:$S,2,0))</f>
        <v>스토리위즈</v>
      </c>
      <c r="W1194" s="7" t="str">
        <f>IF(V1194="스토리위즈",VLOOKUP(K1194,[1]작가별정산률!$A:$B,2,0),V1194)</f>
        <v>김광수</v>
      </c>
    </row>
    <row r="1195" spans="1:23" x14ac:dyDescent="0.4">
      <c r="A1195" t="s">
        <v>262</v>
      </c>
      <c r="B1195" t="s">
        <v>1514</v>
      </c>
      <c r="C1195" t="s">
        <v>1522</v>
      </c>
      <c r="D1195" t="s">
        <v>64</v>
      </c>
      <c r="E1195" t="s">
        <v>22</v>
      </c>
      <c r="F1195" t="s">
        <v>23</v>
      </c>
      <c r="G1195">
        <v>1</v>
      </c>
      <c r="H1195">
        <v>9791166300592</v>
      </c>
      <c r="I1195" t="s">
        <v>24</v>
      </c>
      <c r="J1195" t="s">
        <v>161</v>
      </c>
      <c r="K1195" t="s">
        <v>119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  <c r="V1195" s="7" t="str">
        <f>IF(ISERROR(VLOOKUP(K1195,[1]작가별정산률!$R:$S,2,0)),"스토리위즈",VLOOKUP(K1195,[1]작가별정산률!$R:$S,2,0))</f>
        <v>스토리위즈</v>
      </c>
      <c r="W1195" s="7" t="str">
        <f>IF(V1195="스토리위즈",VLOOKUP(K1195,[1]작가별정산률!$A:$B,2,0),V1195)</f>
        <v>김광수</v>
      </c>
    </row>
    <row r="1196" spans="1:23" x14ac:dyDescent="0.4">
      <c r="A1196" t="s">
        <v>262</v>
      </c>
      <c r="B1196" t="s">
        <v>1514</v>
      </c>
      <c r="C1196" t="s">
        <v>1523</v>
      </c>
      <c r="D1196" t="s">
        <v>64</v>
      </c>
      <c r="E1196" t="s">
        <v>22</v>
      </c>
      <c r="F1196" t="s">
        <v>23</v>
      </c>
      <c r="G1196">
        <v>1</v>
      </c>
      <c r="H1196">
        <v>9791166300103</v>
      </c>
      <c r="I1196" t="s">
        <v>24</v>
      </c>
      <c r="J1196" t="s">
        <v>120</v>
      </c>
      <c r="K1196" t="s">
        <v>119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  <c r="V1196" s="7" t="str">
        <f>IF(ISERROR(VLOOKUP(K1196,[1]작가별정산률!$R:$S,2,0)),"스토리위즈",VLOOKUP(K1196,[1]작가별정산률!$R:$S,2,0))</f>
        <v>스토리위즈</v>
      </c>
      <c r="W1196" s="7" t="str">
        <f>IF(V1196="스토리위즈",VLOOKUP(K1196,[1]작가별정산률!$A:$B,2,0),V1196)</f>
        <v>김광수</v>
      </c>
    </row>
    <row r="1197" spans="1:23" x14ac:dyDescent="0.4">
      <c r="A1197" t="s">
        <v>262</v>
      </c>
      <c r="B1197" t="s">
        <v>1514</v>
      </c>
      <c r="C1197" t="s">
        <v>1524</v>
      </c>
      <c r="D1197" t="s">
        <v>64</v>
      </c>
      <c r="E1197" t="s">
        <v>22</v>
      </c>
      <c r="F1197" t="s">
        <v>23</v>
      </c>
      <c r="G1197">
        <v>1</v>
      </c>
      <c r="H1197">
        <v>9791166300110</v>
      </c>
      <c r="I1197" t="s">
        <v>24</v>
      </c>
      <c r="J1197" t="s">
        <v>121</v>
      </c>
      <c r="K1197" t="s">
        <v>119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2">
        <v>0.7</v>
      </c>
      <c r="S1197">
        <v>441</v>
      </c>
      <c r="T1197" t="s">
        <v>27</v>
      </c>
      <c r="U1197">
        <v>441</v>
      </c>
      <c r="V1197" s="7" t="str">
        <f>IF(ISERROR(VLOOKUP(K1197,[1]작가별정산률!$R:$S,2,0)),"스토리위즈",VLOOKUP(K1197,[1]작가별정산률!$R:$S,2,0))</f>
        <v>스토리위즈</v>
      </c>
      <c r="W1197" s="7" t="str">
        <f>IF(V1197="스토리위즈",VLOOKUP(K1197,[1]작가별정산률!$A:$B,2,0),V1197)</f>
        <v>김광수</v>
      </c>
    </row>
    <row r="1198" spans="1:23" x14ac:dyDescent="0.4">
      <c r="A1198" t="s">
        <v>262</v>
      </c>
      <c r="B1198" t="s">
        <v>1514</v>
      </c>
      <c r="C1198" t="s">
        <v>1525</v>
      </c>
      <c r="D1198" t="s">
        <v>21</v>
      </c>
      <c r="E1198" t="s">
        <v>22</v>
      </c>
      <c r="F1198" t="s">
        <v>23</v>
      </c>
      <c r="G1198">
        <v>1</v>
      </c>
      <c r="H1198">
        <v>9791191562262</v>
      </c>
      <c r="I1198" t="s">
        <v>143</v>
      </c>
      <c r="J1198" t="s">
        <v>250</v>
      </c>
      <c r="K1198" t="s">
        <v>251</v>
      </c>
      <c r="L1198" t="s">
        <v>27</v>
      </c>
      <c r="M1198" s="3">
        <v>2000</v>
      </c>
      <c r="N1198" t="s">
        <v>27</v>
      </c>
      <c r="O1198" s="3">
        <v>2000</v>
      </c>
      <c r="P1198" s="3">
        <v>2000</v>
      </c>
      <c r="Q1198" t="s">
        <v>30</v>
      </c>
      <c r="R1198" s="2">
        <v>0.7</v>
      </c>
      <c r="S1198" s="3">
        <v>1400</v>
      </c>
      <c r="T1198" t="s">
        <v>27</v>
      </c>
      <c r="U1198" s="3">
        <v>1400</v>
      </c>
      <c r="V1198" s="7" t="str">
        <f>IF(ISERROR(VLOOKUP(K1198,[1]작가별정산률!$R:$S,2,0)),"스토리위즈",VLOOKUP(K1198,[1]작가별정산률!$R:$S,2,0))</f>
        <v>밀리의 서재</v>
      </c>
      <c r="W1198" s="7" t="str">
        <f>IF(V1198="스토리위즈",VLOOKUP(K1198,[1]작가별정산률!$A:$B,2,0),V1198)</f>
        <v>밀리의 서재</v>
      </c>
    </row>
    <row r="1199" spans="1:23" x14ac:dyDescent="0.4">
      <c r="A1199" t="s">
        <v>262</v>
      </c>
      <c r="B1199" t="s">
        <v>1514</v>
      </c>
      <c r="C1199" t="s">
        <v>1526</v>
      </c>
      <c r="D1199" t="s">
        <v>64</v>
      </c>
      <c r="E1199" t="s">
        <v>22</v>
      </c>
      <c r="F1199" t="s">
        <v>23</v>
      </c>
      <c r="G1199">
        <v>1</v>
      </c>
      <c r="H1199">
        <v>9791166300219</v>
      </c>
      <c r="I1199" t="s">
        <v>24</v>
      </c>
      <c r="J1199" t="s">
        <v>130</v>
      </c>
      <c r="K1199" t="s">
        <v>119</v>
      </c>
      <c r="L1199" t="s">
        <v>27</v>
      </c>
      <c r="M1199">
        <v>630</v>
      </c>
      <c r="N1199" t="s">
        <v>27</v>
      </c>
      <c r="O1199">
        <v>630</v>
      </c>
      <c r="P1199">
        <v>630</v>
      </c>
      <c r="Q1199" t="s">
        <v>30</v>
      </c>
      <c r="R1199" s="2">
        <v>0.7</v>
      </c>
      <c r="S1199">
        <v>441</v>
      </c>
      <c r="T1199" t="s">
        <v>27</v>
      </c>
      <c r="U1199">
        <v>441</v>
      </c>
      <c r="V1199" s="7" t="str">
        <f>IF(ISERROR(VLOOKUP(K1199,[1]작가별정산률!$R:$S,2,0)),"스토리위즈",VLOOKUP(K1199,[1]작가별정산률!$R:$S,2,0))</f>
        <v>스토리위즈</v>
      </c>
      <c r="W1199" s="7" t="str">
        <f>IF(V1199="스토리위즈",VLOOKUP(K1199,[1]작가별정산률!$A:$B,2,0),V1199)</f>
        <v>김광수</v>
      </c>
    </row>
    <row r="1200" spans="1:23" x14ac:dyDescent="0.4">
      <c r="A1200" t="s">
        <v>262</v>
      </c>
      <c r="B1200" t="s">
        <v>1514</v>
      </c>
      <c r="C1200" t="s">
        <v>1527</v>
      </c>
      <c r="D1200" t="s">
        <v>64</v>
      </c>
      <c r="E1200" t="s">
        <v>22</v>
      </c>
      <c r="F1200" t="s">
        <v>23</v>
      </c>
      <c r="G1200">
        <v>1</v>
      </c>
      <c r="H1200">
        <v>9791166300141</v>
      </c>
      <c r="I1200" t="s">
        <v>24</v>
      </c>
      <c r="J1200" t="s">
        <v>124</v>
      </c>
      <c r="K1200" t="s">
        <v>119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2">
        <v>0.7</v>
      </c>
      <c r="S1200">
        <v>441</v>
      </c>
      <c r="T1200" t="s">
        <v>27</v>
      </c>
      <c r="U1200">
        <v>441</v>
      </c>
      <c r="V1200" s="7" t="str">
        <f>IF(ISERROR(VLOOKUP(K1200,[1]작가별정산률!$R:$S,2,0)),"스토리위즈",VLOOKUP(K1200,[1]작가별정산률!$R:$S,2,0))</f>
        <v>스토리위즈</v>
      </c>
      <c r="W1200" s="7" t="str">
        <f>IF(V1200="스토리위즈",VLOOKUP(K1200,[1]작가별정산률!$A:$B,2,0),V1200)</f>
        <v>김광수</v>
      </c>
    </row>
    <row r="1201" spans="1:23" x14ac:dyDescent="0.4">
      <c r="A1201" t="s">
        <v>262</v>
      </c>
      <c r="B1201" t="s">
        <v>1514</v>
      </c>
      <c r="C1201" t="s">
        <v>1528</v>
      </c>
      <c r="D1201" t="s">
        <v>21</v>
      </c>
      <c r="E1201" t="s">
        <v>22</v>
      </c>
      <c r="F1201" t="s">
        <v>23</v>
      </c>
      <c r="G1201">
        <v>1</v>
      </c>
      <c r="H1201">
        <v>9791166300271</v>
      </c>
      <c r="I1201" t="s">
        <v>24</v>
      </c>
      <c r="J1201" t="s">
        <v>136</v>
      </c>
      <c r="K1201" t="s">
        <v>119</v>
      </c>
      <c r="L1201" t="s">
        <v>27</v>
      </c>
      <c r="M1201" s="3">
        <v>3200</v>
      </c>
      <c r="N1201" t="s">
        <v>27</v>
      </c>
      <c r="O1201" s="3">
        <v>3200</v>
      </c>
      <c r="P1201" s="3">
        <v>3200</v>
      </c>
      <c r="Q1201" t="s">
        <v>30</v>
      </c>
      <c r="R1201" s="2">
        <v>0.7</v>
      </c>
      <c r="S1201" s="3">
        <v>2240</v>
      </c>
      <c r="T1201" t="s">
        <v>27</v>
      </c>
      <c r="U1201" s="3">
        <v>2240</v>
      </c>
      <c r="V1201" s="7" t="str">
        <f>IF(ISERROR(VLOOKUP(K1201,[1]작가별정산률!$R:$S,2,0)),"스토리위즈",VLOOKUP(K1201,[1]작가별정산률!$R:$S,2,0))</f>
        <v>스토리위즈</v>
      </c>
      <c r="W1201" s="7" t="str">
        <f>IF(V1201="스토리위즈",VLOOKUP(K1201,[1]작가별정산률!$A:$B,2,0),V1201)</f>
        <v>김광수</v>
      </c>
    </row>
    <row r="1202" spans="1:23" x14ac:dyDescent="0.4">
      <c r="A1202" t="s">
        <v>262</v>
      </c>
      <c r="B1202" t="s">
        <v>1514</v>
      </c>
      <c r="C1202" t="s">
        <v>1529</v>
      </c>
      <c r="D1202" t="s">
        <v>64</v>
      </c>
      <c r="E1202" t="s">
        <v>22</v>
      </c>
      <c r="F1202" t="s">
        <v>23</v>
      </c>
      <c r="G1202">
        <v>1</v>
      </c>
      <c r="H1202">
        <v>9791166300660</v>
      </c>
      <c r="I1202" t="s">
        <v>24</v>
      </c>
      <c r="J1202" t="s">
        <v>156</v>
      </c>
      <c r="K1202" t="s">
        <v>119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2">
        <v>0.7</v>
      </c>
      <c r="S1202">
        <v>441</v>
      </c>
      <c r="T1202" t="s">
        <v>27</v>
      </c>
      <c r="U1202">
        <v>441</v>
      </c>
      <c r="V1202" s="7" t="str">
        <f>IF(ISERROR(VLOOKUP(K1202,[1]작가별정산률!$R:$S,2,0)),"스토리위즈",VLOOKUP(K1202,[1]작가별정산률!$R:$S,2,0))</f>
        <v>스토리위즈</v>
      </c>
      <c r="W1202" s="7" t="str">
        <f>IF(V1202="스토리위즈",VLOOKUP(K1202,[1]작가별정산률!$A:$B,2,0),V1202)</f>
        <v>김광수</v>
      </c>
    </row>
    <row r="1203" spans="1:23" x14ac:dyDescent="0.4">
      <c r="A1203" t="s">
        <v>262</v>
      </c>
      <c r="B1203" t="s">
        <v>1514</v>
      </c>
      <c r="C1203" t="s">
        <v>1530</v>
      </c>
      <c r="D1203" t="s">
        <v>64</v>
      </c>
      <c r="E1203" t="s">
        <v>22</v>
      </c>
      <c r="F1203" t="s">
        <v>23</v>
      </c>
      <c r="G1203">
        <v>1</v>
      </c>
      <c r="H1203">
        <v>9791159284984</v>
      </c>
      <c r="I1203" t="s">
        <v>24</v>
      </c>
      <c r="J1203" t="s">
        <v>50</v>
      </c>
      <c r="K1203" t="s">
        <v>47</v>
      </c>
      <c r="L1203" t="s">
        <v>27</v>
      </c>
      <c r="M1203">
        <v>630</v>
      </c>
      <c r="N1203" t="s">
        <v>27</v>
      </c>
      <c r="O1203">
        <v>630</v>
      </c>
      <c r="P1203">
        <v>630</v>
      </c>
      <c r="Q1203" t="s">
        <v>30</v>
      </c>
      <c r="R1203" s="2">
        <v>0.7</v>
      </c>
      <c r="S1203">
        <v>441</v>
      </c>
      <c r="T1203" t="s">
        <v>27</v>
      </c>
      <c r="U1203">
        <v>441</v>
      </c>
      <c r="V1203" s="7" t="str">
        <f>IF(ISERROR(VLOOKUP(K1203,[1]작가별정산률!$R:$S,2,0)),"스토리위즈",VLOOKUP(K1203,[1]작가별정산률!$R:$S,2,0))</f>
        <v>스토리위즈</v>
      </c>
      <c r="W1203" s="7" t="str">
        <f>IF(V1203="스토리위즈",VLOOKUP(K1203,[1]작가별정산률!$A:$B,2,0),V1203)</f>
        <v>전혁</v>
      </c>
    </row>
    <row r="1204" spans="1:23" x14ac:dyDescent="0.4">
      <c r="A1204" t="s">
        <v>262</v>
      </c>
      <c r="B1204" t="s">
        <v>1514</v>
      </c>
      <c r="C1204" t="s">
        <v>1531</v>
      </c>
      <c r="D1204" t="s">
        <v>64</v>
      </c>
      <c r="E1204" t="s">
        <v>22</v>
      </c>
      <c r="F1204" t="s">
        <v>23</v>
      </c>
      <c r="G1204">
        <v>1</v>
      </c>
      <c r="H1204">
        <v>9791166300561</v>
      </c>
      <c r="I1204" t="s">
        <v>24</v>
      </c>
      <c r="J1204" t="s">
        <v>158</v>
      </c>
      <c r="K1204" t="s">
        <v>119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2">
        <v>0.7</v>
      </c>
      <c r="S1204">
        <v>441</v>
      </c>
      <c r="T1204" t="s">
        <v>27</v>
      </c>
      <c r="U1204">
        <v>441</v>
      </c>
      <c r="V1204" s="7" t="str">
        <f>IF(ISERROR(VLOOKUP(K1204,[1]작가별정산률!$R:$S,2,0)),"스토리위즈",VLOOKUP(K1204,[1]작가별정산률!$R:$S,2,0))</f>
        <v>스토리위즈</v>
      </c>
      <c r="W1204" s="7" t="str">
        <f>IF(V1204="스토리위즈",VLOOKUP(K1204,[1]작가별정산률!$A:$B,2,0),V1204)</f>
        <v>김광수</v>
      </c>
    </row>
    <row r="1205" spans="1:23" x14ac:dyDescent="0.4">
      <c r="A1205" t="s">
        <v>262</v>
      </c>
      <c r="B1205" t="s">
        <v>1514</v>
      </c>
      <c r="C1205" t="s">
        <v>1532</v>
      </c>
      <c r="D1205" t="s">
        <v>21</v>
      </c>
      <c r="E1205" t="s">
        <v>22</v>
      </c>
      <c r="F1205" t="s">
        <v>23</v>
      </c>
      <c r="G1205">
        <v>1</v>
      </c>
      <c r="H1205">
        <v>9791191562187</v>
      </c>
      <c r="I1205" t="s">
        <v>143</v>
      </c>
      <c r="J1205" t="s">
        <v>217</v>
      </c>
      <c r="K1205" t="s">
        <v>218</v>
      </c>
      <c r="L1205" t="s">
        <v>27</v>
      </c>
      <c r="M1205" s="3">
        <v>2000</v>
      </c>
      <c r="N1205" t="s">
        <v>27</v>
      </c>
      <c r="O1205" s="3">
        <v>2000</v>
      </c>
      <c r="P1205" s="3">
        <v>2000</v>
      </c>
      <c r="Q1205" t="s">
        <v>30</v>
      </c>
      <c r="R1205" s="2">
        <v>0.7</v>
      </c>
      <c r="S1205" s="3">
        <v>1400</v>
      </c>
      <c r="T1205" t="s">
        <v>27</v>
      </c>
      <c r="U1205" s="3">
        <v>1400</v>
      </c>
      <c r="V1205" s="7" t="str">
        <f>IF(ISERROR(VLOOKUP(K1205,[1]작가별정산률!$R:$S,2,0)),"스토리위즈",VLOOKUP(K1205,[1]작가별정산률!$R:$S,2,0))</f>
        <v>밀리의 서재</v>
      </c>
      <c r="W1205" s="7" t="str">
        <f>IF(V1205="스토리위즈",VLOOKUP(K1205,[1]작가별정산률!$A:$B,2,0),V1205)</f>
        <v>밀리의 서재</v>
      </c>
    </row>
    <row r="1206" spans="1:23" x14ac:dyDescent="0.4">
      <c r="A1206" t="s">
        <v>262</v>
      </c>
      <c r="B1206" t="s">
        <v>1514</v>
      </c>
      <c r="C1206" t="s">
        <v>1533</v>
      </c>
      <c r="D1206" t="s">
        <v>21</v>
      </c>
      <c r="E1206" t="s">
        <v>22</v>
      </c>
      <c r="F1206" t="s">
        <v>23</v>
      </c>
      <c r="G1206">
        <v>1</v>
      </c>
      <c r="H1206">
        <v>9791189084813</v>
      </c>
      <c r="I1206" t="s">
        <v>143</v>
      </c>
      <c r="J1206" t="s">
        <v>563</v>
      </c>
      <c r="K1206" t="s">
        <v>564</v>
      </c>
      <c r="L1206" t="s">
        <v>27</v>
      </c>
      <c r="M1206" s="3">
        <v>4000</v>
      </c>
      <c r="N1206" t="s">
        <v>27</v>
      </c>
      <c r="O1206" s="3">
        <v>4000</v>
      </c>
      <c r="P1206" s="3">
        <v>4000</v>
      </c>
      <c r="Q1206" t="s">
        <v>30</v>
      </c>
      <c r="R1206" s="2">
        <v>0.7</v>
      </c>
      <c r="S1206" s="3">
        <v>2800</v>
      </c>
      <c r="T1206" t="s">
        <v>27</v>
      </c>
      <c r="U1206" s="3">
        <v>2800</v>
      </c>
      <c r="V1206" s="7" t="str">
        <f>IF(ISERROR(VLOOKUP(K1206,[1]작가별정산률!$R:$S,2,0)),"스토리위즈",VLOOKUP(K1206,[1]작가별정산률!$R:$S,2,0))</f>
        <v>스토리위즈</v>
      </c>
      <c r="W1206" s="7" t="str">
        <f>IF(V1206="스토리위즈",VLOOKUP(K1206,[1]작가별정산률!$A:$B,2,0),V1206)</f>
        <v>셔틀</v>
      </c>
    </row>
    <row r="1207" spans="1:23" x14ac:dyDescent="0.4">
      <c r="A1207" t="s">
        <v>262</v>
      </c>
      <c r="B1207" t="s">
        <v>1514</v>
      </c>
      <c r="C1207" t="s">
        <v>1534</v>
      </c>
      <c r="D1207" t="s">
        <v>64</v>
      </c>
      <c r="E1207" t="s">
        <v>22</v>
      </c>
      <c r="F1207" t="s">
        <v>23</v>
      </c>
      <c r="G1207">
        <v>1</v>
      </c>
      <c r="H1207">
        <v>9791166300547</v>
      </c>
      <c r="I1207" t="s">
        <v>24</v>
      </c>
      <c r="J1207" t="s">
        <v>153</v>
      </c>
      <c r="K1207" t="s">
        <v>119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  <c r="V1207" s="7" t="str">
        <f>IF(ISERROR(VLOOKUP(K1207,[1]작가별정산률!$R:$S,2,0)),"스토리위즈",VLOOKUP(K1207,[1]작가별정산률!$R:$S,2,0))</f>
        <v>스토리위즈</v>
      </c>
      <c r="W1207" s="7" t="str">
        <f>IF(V1207="스토리위즈",VLOOKUP(K1207,[1]작가별정산률!$A:$B,2,0),V1207)</f>
        <v>김광수</v>
      </c>
    </row>
    <row r="1208" spans="1:23" x14ac:dyDescent="0.4">
      <c r="A1208" t="s">
        <v>262</v>
      </c>
      <c r="B1208" t="s">
        <v>1514</v>
      </c>
      <c r="C1208" t="s">
        <v>1535</v>
      </c>
      <c r="D1208" t="s">
        <v>64</v>
      </c>
      <c r="E1208" t="s">
        <v>22</v>
      </c>
      <c r="F1208" t="s">
        <v>23</v>
      </c>
      <c r="G1208">
        <v>1</v>
      </c>
      <c r="H1208">
        <v>9791188630141</v>
      </c>
      <c r="I1208" t="s">
        <v>24</v>
      </c>
      <c r="J1208" t="s">
        <v>204</v>
      </c>
      <c r="K1208" t="s">
        <v>41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2">
        <v>0.7</v>
      </c>
      <c r="S1208">
        <v>441</v>
      </c>
      <c r="T1208" t="s">
        <v>27</v>
      </c>
      <c r="U1208">
        <v>441</v>
      </c>
      <c r="V1208" s="7" t="str">
        <f>IF(ISERROR(VLOOKUP(K1208,[1]작가별정산률!$R:$S,2,0)),"스토리위즈",VLOOKUP(K1208,[1]작가별정산률!$R:$S,2,0))</f>
        <v>스토리위즈</v>
      </c>
      <c r="W1208" s="7" t="str">
        <f>IF(V1208="스토리위즈",VLOOKUP(K1208,[1]작가별정산률!$A:$B,2,0),V1208)</f>
        <v>무장</v>
      </c>
    </row>
    <row r="1209" spans="1:23" x14ac:dyDescent="0.4">
      <c r="A1209" t="s">
        <v>262</v>
      </c>
      <c r="B1209" t="s">
        <v>1514</v>
      </c>
      <c r="C1209" t="s">
        <v>1536</v>
      </c>
      <c r="D1209" t="s">
        <v>64</v>
      </c>
      <c r="E1209" t="s">
        <v>22</v>
      </c>
      <c r="F1209" t="s">
        <v>23</v>
      </c>
      <c r="G1209">
        <v>1</v>
      </c>
      <c r="H1209">
        <v>9791166300219</v>
      </c>
      <c r="I1209" t="s">
        <v>24</v>
      </c>
      <c r="J1209" t="s">
        <v>130</v>
      </c>
      <c r="K1209" t="s">
        <v>119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  <c r="V1209" s="7" t="str">
        <f>IF(ISERROR(VLOOKUP(K1209,[1]작가별정산률!$R:$S,2,0)),"스토리위즈",VLOOKUP(K1209,[1]작가별정산률!$R:$S,2,0))</f>
        <v>스토리위즈</v>
      </c>
      <c r="W1209" s="7" t="str">
        <f>IF(V1209="스토리위즈",VLOOKUP(K1209,[1]작가별정산률!$A:$B,2,0),V1209)</f>
        <v>김광수</v>
      </c>
    </row>
    <row r="1210" spans="1:23" x14ac:dyDescent="0.4">
      <c r="A1210" t="s">
        <v>262</v>
      </c>
      <c r="B1210" t="s">
        <v>1514</v>
      </c>
      <c r="C1210" t="s">
        <v>1537</v>
      </c>
      <c r="D1210" t="s">
        <v>64</v>
      </c>
      <c r="E1210" t="s">
        <v>22</v>
      </c>
      <c r="F1210" t="s">
        <v>23</v>
      </c>
      <c r="G1210">
        <v>1</v>
      </c>
      <c r="H1210">
        <v>9791166300653</v>
      </c>
      <c r="I1210" t="s">
        <v>24</v>
      </c>
      <c r="J1210" t="s">
        <v>157</v>
      </c>
      <c r="K1210" t="s">
        <v>119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  <c r="V1210" s="7" t="str">
        <f>IF(ISERROR(VLOOKUP(K1210,[1]작가별정산률!$R:$S,2,0)),"스토리위즈",VLOOKUP(K1210,[1]작가별정산률!$R:$S,2,0))</f>
        <v>스토리위즈</v>
      </c>
      <c r="W1210" s="7" t="str">
        <f>IF(V1210="스토리위즈",VLOOKUP(K1210,[1]작가별정산률!$A:$B,2,0),V1210)</f>
        <v>김광수</v>
      </c>
    </row>
    <row r="1211" spans="1:23" x14ac:dyDescent="0.4">
      <c r="A1211" t="s">
        <v>262</v>
      </c>
      <c r="B1211" t="s">
        <v>1514</v>
      </c>
      <c r="C1211" t="s">
        <v>1538</v>
      </c>
      <c r="D1211" t="s">
        <v>64</v>
      </c>
      <c r="E1211" t="s">
        <v>22</v>
      </c>
      <c r="F1211" t="s">
        <v>23</v>
      </c>
      <c r="G1211">
        <v>1</v>
      </c>
      <c r="H1211">
        <v>9791166300141</v>
      </c>
      <c r="I1211" t="s">
        <v>24</v>
      </c>
      <c r="J1211" t="s">
        <v>124</v>
      </c>
      <c r="K1211" t="s">
        <v>119</v>
      </c>
      <c r="L1211" t="s">
        <v>27</v>
      </c>
      <c r="M1211">
        <v>630</v>
      </c>
      <c r="N1211" t="s">
        <v>27</v>
      </c>
      <c r="O1211">
        <v>630</v>
      </c>
      <c r="P1211">
        <v>630</v>
      </c>
      <c r="Q1211" t="s">
        <v>30</v>
      </c>
      <c r="R1211" s="2">
        <v>0.7</v>
      </c>
      <c r="S1211">
        <v>441</v>
      </c>
      <c r="T1211" t="s">
        <v>27</v>
      </c>
      <c r="U1211">
        <v>441</v>
      </c>
      <c r="V1211" s="7" t="str">
        <f>IF(ISERROR(VLOOKUP(K1211,[1]작가별정산률!$R:$S,2,0)),"스토리위즈",VLOOKUP(K1211,[1]작가별정산률!$R:$S,2,0))</f>
        <v>스토리위즈</v>
      </c>
      <c r="W1211" s="7" t="str">
        <f>IF(V1211="스토리위즈",VLOOKUP(K1211,[1]작가별정산률!$A:$B,2,0),V1211)</f>
        <v>김광수</v>
      </c>
    </row>
    <row r="1212" spans="1:23" x14ac:dyDescent="0.4">
      <c r="A1212" t="s">
        <v>262</v>
      </c>
      <c r="B1212" t="s">
        <v>1514</v>
      </c>
      <c r="C1212" t="s">
        <v>1539</v>
      </c>
      <c r="D1212" t="s">
        <v>64</v>
      </c>
      <c r="E1212" t="s">
        <v>22</v>
      </c>
      <c r="F1212" t="s">
        <v>23</v>
      </c>
      <c r="G1212">
        <v>1</v>
      </c>
      <c r="H1212">
        <v>9791166061097</v>
      </c>
      <c r="I1212" t="s">
        <v>24</v>
      </c>
      <c r="J1212" t="s">
        <v>95</v>
      </c>
      <c r="K1212" t="s">
        <v>37</v>
      </c>
      <c r="L1212" t="s">
        <v>27</v>
      </c>
      <c r="M1212">
        <v>900</v>
      </c>
      <c r="N1212" t="s">
        <v>27</v>
      </c>
      <c r="O1212">
        <v>900</v>
      </c>
      <c r="P1212">
        <v>900</v>
      </c>
      <c r="Q1212" t="s">
        <v>30</v>
      </c>
      <c r="R1212" s="2">
        <v>0.7</v>
      </c>
      <c r="S1212">
        <v>630</v>
      </c>
      <c r="T1212" t="s">
        <v>27</v>
      </c>
      <c r="U1212">
        <v>630</v>
      </c>
      <c r="V1212" s="7" t="str">
        <f>IF(ISERROR(VLOOKUP(K1212,[1]작가별정산률!$R:$S,2,0)),"스토리위즈",VLOOKUP(K1212,[1]작가별정산률!$R:$S,2,0))</f>
        <v>스토리위즈</v>
      </c>
      <c r="W1212" s="7" t="str">
        <f>IF(V1212="스토리위즈",VLOOKUP(K1212,[1]작가별정산률!$A:$B,2,0),V1212)</f>
        <v>권용찬</v>
      </c>
    </row>
    <row r="1213" spans="1:23" x14ac:dyDescent="0.4">
      <c r="A1213" t="s">
        <v>262</v>
      </c>
      <c r="B1213" t="s">
        <v>1514</v>
      </c>
      <c r="C1213" t="s">
        <v>1540</v>
      </c>
      <c r="D1213" t="s">
        <v>21</v>
      </c>
      <c r="E1213" t="s">
        <v>22</v>
      </c>
      <c r="F1213" t="s">
        <v>23</v>
      </c>
      <c r="G1213">
        <v>1</v>
      </c>
      <c r="H1213">
        <v>9791191562286</v>
      </c>
      <c r="I1213" t="s">
        <v>143</v>
      </c>
      <c r="J1213" t="s">
        <v>238</v>
      </c>
      <c r="K1213" t="s">
        <v>239</v>
      </c>
      <c r="L1213" t="s">
        <v>27</v>
      </c>
      <c r="M1213" s="3">
        <v>2000</v>
      </c>
      <c r="N1213" t="s">
        <v>27</v>
      </c>
      <c r="O1213" s="3">
        <v>2000</v>
      </c>
      <c r="P1213" s="3">
        <v>2000</v>
      </c>
      <c r="Q1213" t="s">
        <v>30</v>
      </c>
      <c r="R1213" s="2">
        <v>0.7</v>
      </c>
      <c r="S1213" s="3">
        <v>1400</v>
      </c>
      <c r="T1213" t="s">
        <v>27</v>
      </c>
      <c r="U1213" s="3">
        <v>1400</v>
      </c>
      <c r="V1213" s="7" t="str">
        <f>IF(ISERROR(VLOOKUP(K1213,[1]작가별정산률!$R:$S,2,0)),"스토리위즈",VLOOKUP(K1213,[1]작가별정산률!$R:$S,2,0))</f>
        <v>밀리의 서재</v>
      </c>
      <c r="W1213" s="7" t="str">
        <f>IF(V1213="스토리위즈",VLOOKUP(K1213,[1]작가별정산률!$A:$B,2,0),V1213)</f>
        <v>밀리의 서재</v>
      </c>
    </row>
    <row r="1214" spans="1:23" x14ac:dyDescent="0.4">
      <c r="A1214" t="s">
        <v>262</v>
      </c>
      <c r="B1214" t="s">
        <v>1514</v>
      </c>
      <c r="C1214" t="s">
        <v>1541</v>
      </c>
      <c r="D1214" t="s">
        <v>21</v>
      </c>
      <c r="E1214" t="s">
        <v>22</v>
      </c>
      <c r="F1214" t="s">
        <v>23</v>
      </c>
      <c r="G1214">
        <v>1</v>
      </c>
      <c r="H1214">
        <v>9791166300158</v>
      </c>
      <c r="I1214" t="s">
        <v>24</v>
      </c>
      <c r="J1214" t="s">
        <v>125</v>
      </c>
      <c r="K1214" t="s">
        <v>119</v>
      </c>
      <c r="L1214" t="s">
        <v>27</v>
      </c>
      <c r="M1214" s="3">
        <v>3200</v>
      </c>
      <c r="N1214" t="s">
        <v>27</v>
      </c>
      <c r="O1214" s="3">
        <v>3200</v>
      </c>
      <c r="P1214" s="3">
        <v>3200</v>
      </c>
      <c r="Q1214" t="s">
        <v>30</v>
      </c>
      <c r="R1214" s="2">
        <v>0.7</v>
      </c>
      <c r="S1214" s="3">
        <v>2240</v>
      </c>
      <c r="T1214" t="s">
        <v>27</v>
      </c>
      <c r="U1214" s="3">
        <v>2240</v>
      </c>
      <c r="V1214" s="7" t="str">
        <f>IF(ISERROR(VLOOKUP(K1214,[1]작가별정산률!$R:$S,2,0)),"스토리위즈",VLOOKUP(K1214,[1]작가별정산률!$R:$S,2,0))</f>
        <v>스토리위즈</v>
      </c>
      <c r="W1214" s="7" t="str">
        <f>IF(V1214="스토리위즈",VLOOKUP(K1214,[1]작가별정산률!$A:$B,2,0),V1214)</f>
        <v>김광수</v>
      </c>
    </row>
    <row r="1215" spans="1:23" x14ac:dyDescent="0.4">
      <c r="A1215" t="s">
        <v>262</v>
      </c>
      <c r="B1215" t="s">
        <v>1514</v>
      </c>
      <c r="C1215" t="s">
        <v>1542</v>
      </c>
      <c r="D1215" t="s">
        <v>64</v>
      </c>
      <c r="E1215" t="s">
        <v>22</v>
      </c>
      <c r="F1215" t="s">
        <v>23</v>
      </c>
      <c r="G1215">
        <v>1</v>
      </c>
      <c r="H1215">
        <v>9791166300585</v>
      </c>
      <c r="I1215" t="s">
        <v>24</v>
      </c>
      <c r="J1215" t="s">
        <v>160</v>
      </c>
      <c r="K1215" t="s">
        <v>119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2">
        <v>0.7</v>
      </c>
      <c r="S1215">
        <v>441</v>
      </c>
      <c r="T1215" t="s">
        <v>27</v>
      </c>
      <c r="U1215">
        <v>441</v>
      </c>
      <c r="V1215" s="7" t="str">
        <f>IF(ISERROR(VLOOKUP(K1215,[1]작가별정산률!$R:$S,2,0)),"스토리위즈",VLOOKUP(K1215,[1]작가별정산률!$R:$S,2,0))</f>
        <v>스토리위즈</v>
      </c>
      <c r="W1215" s="7" t="str">
        <f>IF(V1215="스토리위즈",VLOOKUP(K1215,[1]작가별정산률!$A:$B,2,0),V1215)</f>
        <v>김광수</v>
      </c>
    </row>
    <row r="1216" spans="1:23" x14ac:dyDescent="0.4">
      <c r="A1216" t="s">
        <v>262</v>
      </c>
      <c r="B1216" t="s">
        <v>1514</v>
      </c>
      <c r="C1216" t="s">
        <v>1543</v>
      </c>
      <c r="D1216" t="s">
        <v>64</v>
      </c>
      <c r="E1216" t="s">
        <v>22</v>
      </c>
      <c r="F1216" t="s">
        <v>23</v>
      </c>
      <c r="G1216">
        <v>1</v>
      </c>
      <c r="H1216">
        <v>9791166300271</v>
      </c>
      <c r="I1216" t="s">
        <v>24</v>
      </c>
      <c r="J1216" t="s">
        <v>136</v>
      </c>
      <c r="K1216" t="s">
        <v>119</v>
      </c>
      <c r="L1216" t="s">
        <v>27</v>
      </c>
      <c r="M1216">
        <v>630</v>
      </c>
      <c r="N1216" t="s">
        <v>27</v>
      </c>
      <c r="O1216">
        <v>630</v>
      </c>
      <c r="P1216">
        <v>630</v>
      </c>
      <c r="Q1216" t="s">
        <v>30</v>
      </c>
      <c r="R1216" s="2">
        <v>0.7</v>
      </c>
      <c r="S1216">
        <v>441</v>
      </c>
      <c r="T1216" t="s">
        <v>27</v>
      </c>
      <c r="U1216">
        <v>441</v>
      </c>
      <c r="V1216" s="7" t="str">
        <f>IF(ISERROR(VLOOKUP(K1216,[1]작가별정산률!$R:$S,2,0)),"스토리위즈",VLOOKUP(K1216,[1]작가별정산률!$R:$S,2,0))</f>
        <v>스토리위즈</v>
      </c>
      <c r="W1216" s="7" t="str">
        <f>IF(V1216="스토리위즈",VLOOKUP(K1216,[1]작가별정산률!$A:$B,2,0),V1216)</f>
        <v>김광수</v>
      </c>
    </row>
    <row r="1217" spans="1:23" x14ac:dyDescent="0.4">
      <c r="A1217" t="s">
        <v>262</v>
      </c>
      <c r="B1217" t="s">
        <v>1514</v>
      </c>
      <c r="C1217" t="s">
        <v>1544</v>
      </c>
      <c r="D1217" t="s">
        <v>21</v>
      </c>
      <c r="E1217" t="s">
        <v>22</v>
      </c>
      <c r="F1217" t="s">
        <v>23</v>
      </c>
      <c r="G1217">
        <v>1</v>
      </c>
      <c r="H1217">
        <v>9791196945268</v>
      </c>
      <c r="I1217" t="s">
        <v>143</v>
      </c>
      <c r="J1217" t="s">
        <v>185</v>
      </c>
      <c r="K1217" t="s">
        <v>188</v>
      </c>
      <c r="L1217" t="s">
        <v>27</v>
      </c>
      <c r="M1217" s="3">
        <v>2500</v>
      </c>
      <c r="N1217" t="s">
        <v>27</v>
      </c>
      <c r="O1217" s="3">
        <v>2500</v>
      </c>
      <c r="P1217" s="3">
        <v>2500</v>
      </c>
      <c r="Q1217" t="s">
        <v>30</v>
      </c>
      <c r="R1217" s="2">
        <v>0.7</v>
      </c>
      <c r="S1217" s="3">
        <v>1750</v>
      </c>
      <c r="T1217" t="s">
        <v>27</v>
      </c>
      <c r="U1217" s="3">
        <v>1750</v>
      </c>
      <c r="V1217" s="7" t="str">
        <f>IF(ISERROR(VLOOKUP(K1217,[1]작가별정산률!$R:$S,2,0)),"스토리위즈",VLOOKUP(K1217,[1]작가별정산률!$R:$S,2,0))</f>
        <v>밀리의 서재</v>
      </c>
      <c r="W1217" s="7" t="str">
        <f>IF(V1217="스토리위즈",VLOOKUP(K1217,[1]작가별정산률!$A:$B,2,0),V1217)</f>
        <v>밀리의 서재</v>
      </c>
    </row>
    <row r="1218" spans="1:23" x14ac:dyDescent="0.4">
      <c r="A1218" t="s">
        <v>262</v>
      </c>
      <c r="B1218" t="s">
        <v>1514</v>
      </c>
      <c r="C1218" t="s">
        <v>1545</v>
      </c>
      <c r="D1218" t="s">
        <v>21</v>
      </c>
      <c r="E1218" t="s">
        <v>22</v>
      </c>
      <c r="F1218" t="s">
        <v>23</v>
      </c>
      <c r="G1218">
        <v>1</v>
      </c>
      <c r="H1218">
        <v>9791189627843</v>
      </c>
      <c r="I1218" t="s">
        <v>143</v>
      </c>
      <c r="J1218" t="s">
        <v>1546</v>
      </c>
      <c r="K1218" t="s">
        <v>1035</v>
      </c>
      <c r="L1218" t="s">
        <v>27</v>
      </c>
      <c r="M1218" s="3">
        <v>3200</v>
      </c>
      <c r="N1218" t="s">
        <v>27</v>
      </c>
      <c r="O1218" s="3">
        <v>3200</v>
      </c>
      <c r="P1218" s="3">
        <v>3200</v>
      </c>
      <c r="Q1218" t="s">
        <v>30</v>
      </c>
      <c r="R1218" s="2">
        <v>0.7</v>
      </c>
      <c r="S1218" s="3">
        <v>2240</v>
      </c>
      <c r="T1218" t="s">
        <v>27</v>
      </c>
      <c r="U1218" s="3">
        <v>2240</v>
      </c>
      <c r="V1218" s="7" t="str">
        <f>IF(ISERROR(VLOOKUP(K1218,[1]작가별정산률!$R:$S,2,0)),"스토리위즈",VLOOKUP(K1218,[1]작가별정산률!$R:$S,2,0))</f>
        <v>스토리위즈</v>
      </c>
      <c r="W1218" s="7" t="str">
        <f>IF(V1218="스토리위즈",VLOOKUP(K1218,[1]작가별정산률!$A:$B,2,0),V1218)</f>
        <v>모리미</v>
      </c>
    </row>
    <row r="1219" spans="1:23" x14ac:dyDescent="0.4">
      <c r="A1219" t="s">
        <v>262</v>
      </c>
      <c r="B1219" t="s">
        <v>1514</v>
      </c>
      <c r="C1219" t="s">
        <v>1547</v>
      </c>
      <c r="D1219" t="s">
        <v>21</v>
      </c>
      <c r="E1219" t="s">
        <v>22</v>
      </c>
      <c r="F1219" t="s">
        <v>23</v>
      </c>
      <c r="G1219">
        <v>1</v>
      </c>
      <c r="H1219">
        <v>9791191562286</v>
      </c>
      <c r="I1219" t="s">
        <v>143</v>
      </c>
      <c r="J1219" t="s">
        <v>238</v>
      </c>
      <c r="K1219" t="s">
        <v>239</v>
      </c>
      <c r="L1219" t="s">
        <v>27</v>
      </c>
      <c r="M1219" s="3">
        <v>2000</v>
      </c>
      <c r="N1219" t="s">
        <v>27</v>
      </c>
      <c r="O1219" s="3">
        <v>2000</v>
      </c>
      <c r="P1219" s="3">
        <v>2000</v>
      </c>
      <c r="Q1219" t="s">
        <v>30</v>
      </c>
      <c r="R1219" s="2">
        <v>0.7</v>
      </c>
      <c r="S1219" s="3">
        <v>1400</v>
      </c>
      <c r="T1219" t="s">
        <v>27</v>
      </c>
      <c r="U1219" s="3">
        <v>1400</v>
      </c>
      <c r="V1219" s="7" t="str">
        <f>IF(ISERROR(VLOOKUP(K1219,[1]작가별정산률!$R:$S,2,0)),"스토리위즈",VLOOKUP(K1219,[1]작가별정산률!$R:$S,2,0))</f>
        <v>밀리의 서재</v>
      </c>
      <c r="W1219" s="7" t="str">
        <f>IF(V1219="스토리위즈",VLOOKUP(K1219,[1]작가별정산률!$A:$B,2,0),V1219)</f>
        <v>밀리의 서재</v>
      </c>
    </row>
    <row r="1220" spans="1:23" x14ac:dyDescent="0.4">
      <c r="A1220" t="s">
        <v>262</v>
      </c>
      <c r="B1220" t="s">
        <v>1514</v>
      </c>
      <c r="C1220" t="s">
        <v>1548</v>
      </c>
      <c r="D1220" t="s">
        <v>64</v>
      </c>
      <c r="E1220" t="s">
        <v>22</v>
      </c>
      <c r="F1220" t="s">
        <v>23</v>
      </c>
      <c r="G1220">
        <v>1</v>
      </c>
      <c r="H1220">
        <v>9791166300134</v>
      </c>
      <c r="I1220" t="s">
        <v>24</v>
      </c>
      <c r="J1220" t="s">
        <v>123</v>
      </c>
      <c r="K1220" t="s">
        <v>119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  <c r="V1220" s="7" t="str">
        <f>IF(ISERROR(VLOOKUP(K1220,[1]작가별정산률!$R:$S,2,0)),"스토리위즈",VLOOKUP(K1220,[1]작가별정산률!$R:$S,2,0))</f>
        <v>스토리위즈</v>
      </c>
      <c r="W1220" s="7" t="str">
        <f>IF(V1220="스토리위즈",VLOOKUP(K1220,[1]작가별정산률!$A:$B,2,0),V1220)</f>
        <v>김광수</v>
      </c>
    </row>
    <row r="1221" spans="1:23" x14ac:dyDescent="0.4">
      <c r="A1221" t="s">
        <v>262</v>
      </c>
      <c r="B1221" t="s">
        <v>1514</v>
      </c>
      <c r="C1221" t="s">
        <v>1549</v>
      </c>
      <c r="D1221" t="s">
        <v>21</v>
      </c>
      <c r="E1221" t="s">
        <v>22</v>
      </c>
      <c r="F1221" t="s">
        <v>23</v>
      </c>
      <c r="G1221">
        <v>1</v>
      </c>
      <c r="H1221">
        <v>9791166300288</v>
      </c>
      <c r="I1221" t="s">
        <v>24</v>
      </c>
      <c r="J1221" t="s">
        <v>137</v>
      </c>
      <c r="K1221" t="s">
        <v>119</v>
      </c>
      <c r="L1221" t="s">
        <v>27</v>
      </c>
      <c r="M1221" s="3">
        <v>3200</v>
      </c>
      <c r="N1221" t="s">
        <v>27</v>
      </c>
      <c r="O1221" s="3">
        <v>3200</v>
      </c>
      <c r="P1221" s="3">
        <v>3200</v>
      </c>
      <c r="Q1221" t="s">
        <v>30</v>
      </c>
      <c r="R1221" s="2">
        <v>0.7</v>
      </c>
      <c r="S1221" s="3">
        <v>2240</v>
      </c>
      <c r="T1221" t="s">
        <v>27</v>
      </c>
      <c r="U1221" s="3">
        <v>2240</v>
      </c>
      <c r="V1221" s="7" t="str">
        <f>IF(ISERROR(VLOOKUP(K1221,[1]작가별정산률!$R:$S,2,0)),"스토리위즈",VLOOKUP(K1221,[1]작가별정산률!$R:$S,2,0))</f>
        <v>스토리위즈</v>
      </c>
      <c r="W1221" s="7" t="str">
        <f>IF(V1221="스토리위즈",VLOOKUP(K1221,[1]작가별정산률!$A:$B,2,0),V1221)</f>
        <v>김광수</v>
      </c>
    </row>
    <row r="1222" spans="1:23" x14ac:dyDescent="0.4">
      <c r="A1222" t="s">
        <v>262</v>
      </c>
      <c r="B1222" t="s">
        <v>1514</v>
      </c>
      <c r="C1222" t="s">
        <v>1550</v>
      </c>
      <c r="D1222" t="s">
        <v>64</v>
      </c>
      <c r="E1222" t="s">
        <v>22</v>
      </c>
      <c r="F1222" t="s">
        <v>23</v>
      </c>
      <c r="G1222">
        <v>1</v>
      </c>
      <c r="H1222">
        <v>9791166300622</v>
      </c>
      <c r="I1222" t="s">
        <v>24</v>
      </c>
      <c r="J1222" t="s">
        <v>164</v>
      </c>
      <c r="K1222" t="s">
        <v>119</v>
      </c>
      <c r="L1222" t="s">
        <v>27</v>
      </c>
      <c r="M1222">
        <v>630</v>
      </c>
      <c r="N1222" t="s">
        <v>27</v>
      </c>
      <c r="O1222">
        <v>630</v>
      </c>
      <c r="P1222">
        <v>630</v>
      </c>
      <c r="Q1222" t="s">
        <v>30</v>
      </c>
      <c r="R1222" s="2">
        <v>0.7</v>
      </c>
      <c r="S1222">
        <v>441</v>
      </c>
      <c r="T1222" t="s">
        <v>27</v>
      </c>
      <c r="U1222">
        <v>441</v>
      </c>
      <c r="V1222" s="7" t="str">
        <f>IF(ISERROR(VLOOKUP(K1222,[1]작가별정산률!$R:$S,2,0)),"스토리위즈",VLOOKUP(K1222,[1]작가별정산률!$R:$S,2,0))</f>
        <v>스토리위즈</v>
      </c>
      <c r="W1222" s="7" t="str">
        <f>IF(V1222="스토리위즈",VLOOKUP(K1222,[1]작가별정산률!$A:$B,2,0),V1222)</f>
        <v>김광수</v>
      </c>
    </row>
    <row r="1223" spans="1:23" x14ac:dyDescent="0.4">
      <c r="A1223" t="s">
        <v>262</v>
      </c>
      <c r="B1223" t="s">
        <v>1514</v>
      </c>
      <c r="C1223" t="s">
        <v>1551</v>
      </c>
      <c r="D1223" t="s">
        <v>64</v>
      </c>
      <c r="E1223" t="s">
        <v>22</v>
      </c>
      <c r="F1223" t="s">
        <v>23</v>
      </c>
      <c r="G1223">
        <v>1</v>
      </c>
      <c r="H1223">
        <v>9791166300288</v>
      </c>
      <c r="I1223" t="s">
        <v>24</v>
      </c>
      <c r="J1223" t="s">
        <v>137</v>
      </c>
      <c r="K1223" t="s">
        <v>119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2">
        <v>0.7</v>
      </c>
      <c r="S1223">
        <v>441</v>
      </c>
      <c r="T1223" t="s">
        <v>27</v>
      </c>
      <c r="U1223">
        <v>441</v>
      </c>
      <c r="V1223" s="7" t="str">
        <f>IF(ISERROR(VLOOKUP(K1223,[1]작가별정산률!$R:$S,2,0)),"스토리위즈",VLOOKUP(K1223,[1]작가별정산률!$R:$S,2,0))</f>
        <v>스토리위즈</v>
      </c>
      <c r="W1223" s="7" t="str">
        <f>IF(V1223="스토리위즈",VLOOKUP(K1223,[1]작가별정산률!$A:$B,2,0),V1223)</f>
        <v>김광수</v>
      </c>
    </row>
    <row r="1224" spans="1:23" x14ac:dyDescent="0.4">
      <c r="A1224" t="s">
        <v>262</v>
      </c>
      <c r="B1224" t="s">
        <v>1514</v>
      </c>
      <c r="C1224" t="s">
        <v>1552</v>
      </c>
      <c r="D1224" t="s">
        <v>64</v>
      </c>
      <c r="E1224" t="s">
        <v>22</v>
      </c>
      <c r="F1224" t="s">
        <v>23</v>
      </c>
      <c r="G1224">
        <v>1</v>
      </c>
      <c r="H1224">
        <v>9791166300523</v>
      </c>
      <c r="I1224" t="s">
        <v>24</v>
      </c>
      <c r="J1224" t="s">
        <v>150</v>
      </c>
      <c r="K1224" t="s">
        <v>119</v>
      </c>
      <c r="L1224" t="s">
        <v>27</v>
      </c>
      <c r="M1224">
        <v>630</v>
      </c>
      <c r="N1224" t="s">
        <v>27</v>
      </c>
      <c r="O1224">
        <v>630</v>
      </c>
      <c r="P1224">
        <v>630</v>
      </c>
      <c r="Q1224" t="s">
        <v>30</v>
      </c>
      <c r="R1224" s="2">
        <v>0.7</v>
      </c>
      <c r="S1224">
        <v>441</v>
      </c>
      <c r="T1224" t="s">
        <v>27</v>
      </c>
      <c r="U1224">
        <v>441</v>
      </c>
      <c r="V1224" s="7" t="str">
        <f>IF(ISERROR(VLOOKUP(K1224,[1]작가별정산률!$R:$S,2,0)),"스토리위즈",VLOOKUP(K1224,[1]작가별정산률!$R:$S,2,0))</f>
        <v>스토리위즈</v>
      </c>
      <c r="W1224" s="7" t="str">
        <f>IF(V1224="스토리위즈",VLOOKUP(K1224,[1]작가별정산률!$A:$B,2,0),V1224)</f>
        <v>김광수</v>
      </c>
    </row>
    <row r="1225" spans="1:23" x14ac:dyDescent="0.4">
      <c r="A1225" t="s">
        <v>262</v>
      </c>
      <c r="B1225" t="s">
        <v>1514</v>
      </c>
      <c r="C1225" t="s">
        <v>1553</v>
      </c>
      <c r="D1225" t="s">
        <v>64</v>
      </c>
      <c r="E1225" t="s">
        <v>22</v>
      </c>
      <c r="F1225" t="s">
        <v>23</v>
      </c>
      <c r="G1225">
        <v>1</v>
      </c>
      <c r="H1225">
        <v>9791166300639</v>
      </c>
      <c r="I1225" t="s">
        <v>24</v>
      </c>
      <c r="J1225" t="s">
        <v>165</v>
      </c>
      <c r="K1225" t="s">
        <v>119</v>
      </c>
      <c r="L1225" t="s">
        <v>27</v>
      </c>
      <c r="M1225">
        <v>630</v>
      </c>
      <c r="N1225" t="s">
        <v>27</v>
      </c>
      <c r="O1225">
        <v>630</v>
      </c>
      <c r="P1225">
        <v>630</v>
      </c>
      <c r="Q1225" t="s">
        <v>30</v>
      </c>
      <c r="R1225" s="2">
        <v>0.7</v>
      </c>
      <c r="S1225">
        <v>441</v>
      </c>
      <c r="T1225" t="s">
        <v>27</v>
      </c>
      <c r="U1225">
        <v>441</v>
      </c>
      <c r="V1225" s="7" t="str">
        <f>IF(ISERROR(VLOOKUP(K1225,[1]작가별정산률!$R:$S,2,0)),"스토리위즈",VLOOKUP(K1225,[1]작가별정산률!$R:$S,2,0))</f>
        <v>스토리위즈</v>
      </c>
      <c r="W1225" s="7" t="str">
        <f>IF(V1225="스토리위즈",VLOOKUP(K1225,[1]작가별정산률!$A:$B,2,0),V1225)</f>
        <v>김광수</v>
      </c>
    </row>
    <row r="1226" spans="1:23" x14ac:dyDescent="0.4">
      <c r="A1226" t="s">
        <v>262</v>
      </c>
      <c r="B1226" t="s">
        <v>1514</v>
      </c>
      <c r="C1226" t="s">
        <v>1554</v>
      </c>
      <c r="D1226" t="s">
        <v>64</v>
      </c>
      <c r="E1226" t="s">
        <v>22</v>
      </c>
      <c r="F1226" t="s">
        <v>23</v>
      </c>
      <c r="G1226">
        <v>1</v>
      </c>
      <c r="H1226">
        <v>9791166300615</v>
      </c>
      <c r="I1226" t="s">
        <v>24</v>
      </c>
      <c r="J1226" t="s">
        <v>163</v>
      </c>
      <c r="K1226" t="s">
        <v>119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  <c r="V1226" s="7" t="str">
        <f>IF(ISERROR(VLOOKUP(K1226,[1]작가별정산률!$R:$S,2,0)),"스토리위즈",VLOOKUP(K1226,[1]작가별정산률!$R:$S,2,0))</f>
        <v>스토리위즈</v>
      </c>
      <c r="W1226" s="7" t="str">
        <f>IF(V1226="스토리위즈",VLOOKUP(K1226,[1]작가별정산률!$A:$B,2,0),V1226)</f>
        <v>김광수</v>
      </c>
    </row>
    <row r="1227" spans="1:23" x14ac:dyDescent="0.4">
      <c r="A1227" t="s">
        <v>262</v>
      </c>
      <c r="B1227" t="s">
        <v>1514</v>
      </c>
      <c r="C1227" t="s">
        <v>1555</v>
      </c>
      <c r="D1227" t="s">
        <v>21</v>
      </c>
      <c r="E1227" t="s">
        <v>22</v>
      </c>
      <c r="F1227" t="s">
        <v>23</v>
      </c>
      <c r="G1227">
        <v>1</v>
      </c>
      <c r="H1227">
        <v>9791166300271</v>
      </c>
      <c r="I1227" t="s">
        <v>24</v>
      </c>
      <c r="J1227" t="s">
        <v>136</v>
      </c>
      <c r="K1227" t="s">
        <v>119</v>
      </c>
      <c r="L1227" t="s">
        <v>27</v>
      </c>
      <c r="M1227" s="3">
        <v>3200</v>
      </c>
      <c r="N1227" t="s">
        <v>27</v>
      </c>
      <c r="O1227" s="3">
        <v>3200</v>
      </c>
      <c r="P1227" s="3">
        <v>3200</v>
      </c>
      <c r="Q1227" t="s">
        <v>30</v>
      </c>
      <c r="R1227" s="2">
        <v>0.7</v>
      </c>
      <c r="S1227" s="3">
        <v>2240</v>
      </c>
      <c r="T1227" t="s">
        <v>27</v>
      </c>
      <c r="U1227" s="3">
        <v>2240</v>
      </c>
      <c r="V1227" s="7" t="str">
        <f>IF(ISERROR(VLOOKUP(K1227,[1]작가별정산률!$R:$S,2,0)),"스토리위즈",VLOOKUP(K1227,[1]작가별정산률!$R:$S,2,0))</f>
        <v>스토리위즈</v>
      </c>
      <c r="W1227" s="7" t="str">
        <f>IF(V1227="스토리위즈",VLOOKUP(K1227,[1]작가별정산률!$A:$B,2,0),V1227)</f>
        <v>김광수</v>
      </c>
    </row>
    <row r="1228" spans="1:23" x14ac:dyDescent="0.4">
      <c r="A1228" t="s">
        <v>262</v>
      </c>
      <c r="B1228" t="s">
        <v>1514</v>
      </c>
      <c r="C1228" t="s">
        <v>1556</v>
      </c>
      <c r="D1228" t="s">
        <v>64</v>
      </c>
      <c r="E1228" t="s">
        <v>22</v>
      </c>
      <c r="F1228" t="s">
        <v>23</v>
      </c>
      <c r="G1228">
        <v>1</v>
      </c>
      <c r="H1228">
        <v>9791166300110</v>
      </c>
      <c r="I1228" t="s">
        <v>24</v>
      </c>
      <c r="J1228" t="s">
        <v>121</v>
      </c>
      <c r="K1228" t="s">
        <v>119</v>
      </c>
      <c r="L1228" t="s">
        <v>27</v>
      </c>
      <c r="M1228">
        <v>630</v>
      </c>
      <c r="N1228" t="s">
        <v>27</v>
      </c>
      <c r="O1228">
        <v>630</v>
      </c>
      <c r="P1228">
        <v>630</v>
      </c>
      <c r="Q1228" t="s">
        <v>30</v>
      </c>
      <c r="R1228" s="2">
        <v>0.7</v>
      </c>
      <c r="S1228">
        <v>441</v>
      </c>
      <c r="T1228" t="s">
        <v>27</v>
      </c>
      <c r="U1228">
        <v>441</v>
      </c>
      <c r="V1228" s="7" t="str">
        <f>IF(ISERROR(VLOOKUP(K1228,[1]작가별정산률!$R:$S,2,0)),"스토리위즈",VLOOKUP(K1228,[1]작가별정산률!$R:$S,2,0))</f>
        <v>스토리위즈</v>
      </c>
      <c r="W1228" s="7" t="str">
        <f>IF(V1228="스토리위즈",VLOOKUP(K1228,[1]작가별정산률!$A:$B,2,0),V1228)</f>
        <v>김광수</v>
      </c>
    </row>
    <row r="1229" spans="1:23" x14ac:dyDescent="0.4">
      <c r="A1229" t="s">
        <v>262</v>
      </c>
      <c r="B1229" t="s">
        <v>1514</v>
      </c>
      <c r="C1229" t="s">
        <v>1557</v>
      </c>
      <c r="D1229" t="s">
        <v>64</v>
      </c>
      <c r="E1229" t="s">
        <v>22</v>
      </c>
      <c r="F1229" t="s">
        <v>23</v>
      </c>
      <c r="G1229">
        <v>1</v>
      </c>
      <c r="H1229">
        <v>9791166061080</v>
      </c>
      <c r="I1229" t="s">
        <v>24</v>
      </c>
      <c r="J1229" t="s">
        <v>74</v>
      </c>
      <c r="K1229" t="s">
        <v>37</v>
      </c>
      <c r="L1229" t="s">
        <v>27</v>
      </c>
      <c r="M1229">
        <v>900</v>
      </c>
      <c r="N1229" t="s">
        <v>27</v>
      </c>
      <c r="O1229">
        <v>900</v>
      </c>
      <c r="P1229">
        <v>900</v>
      </c>
      <c r="Q1229" t="s">
        <v>30</v>
      </c>
      <c r="R1229" s="2">
        <v>0.7</v>
      </c>
      <c r="S1229">
        <v>630</v>
      </c>
      <c r="T1229" t="s">
        <v>27</v>
      </c>
      <c r="U1229">
        <v>630</v>
      </c>
      <c r="V1229" s="7" t="str">
        <f>IF(ISERROR(VLOOKUP(K1229,[1]작가별정산률!$R:$S,2,0)),"스토리위즈",VLOOKUP(K1229,[1]작가별정산률!$R:$S,2,0))</f>
        <v>스토리위즈</v>
      </c>
      <c r="W1229" s="7" t="str">
        <f>IF(V1229="스토리위즈",VLOOKUP(K1229,[1]작가별정산률!$A:$B,2,0),V1229)</f>
        <v>권용찬</v>
      </c>
    </row>
    <row r="1230" spans="1:23" x14ac:dyDescent="0.4">
      <c r="A1230" t="s">
        <v>262</v>
      </c>
      <c r="B1230" t="s">
        <v>1514</v>
      </c>
      <c r="C1230" t="s">
        <v>1558</v>
      </c>
      <c r="D1230" t="s">
        <v>64</v>
      </c>
      <c r="E1230" t="s">
        <v>22</v>
      </c>
      <c r="F1230" t="s">
        <v>23</v>
      </c>
      <c r="G1230">
        <v>1</v>
      </c>
      <c r="H1230">
        <v>9791166300554</v>
      </c>
      <c r="I1230" t="s">
        <v>24</v>
      </c>
      <c r="J1230" t="s">
        <v>154</v>
      </c>
      <c r="K1230" t="s">
        <v>119</v>
      </c>
      <c r="L1230" t="s">
        <v>27</v>
      </c>
      <c r="M1230">
        <v>630</v>
      </c>
      <c r="N1230" t="s">
        <v>27</v>
      </c>
      <c r="O1230">
        <v>630</v>
      </c>
      <c r="P1230">
        <v>630</v>
      </c>
      <c r="Q1230" t="s">
        <v>30</v>
      </c>
      <c r="R1230" s="2">
        <v>0.7</v>
      </c>
      <c r="S1230">
        <v>441</v>
      </c>
      <c r="T1230" t="s">
        <v>27</v>
      </c>
      <c r="U1230">
        <v>441</v>
      </c>
      <c r="V1230" s="7" t="str">
        <f>IF(ISERROR(VLOOKUP(K1230,[1]작가별정산률!$R:$S,2,0)),"스토리위즈",VLOOKUP(K1230,[1]작가별정산률!$R:$S,2,0))</f>
        <v>스토리위즈</v>
      </c>
      <c r="W1230" s="7" t="str">
        <f>IF(V1230="스토리위즈",VLOOKUP(K1230,[1]작가별정산률!$A:$B,2,0),V1230)</f>
        <v>김광수</v>
      </c>
    </row>
    <row r="1231" spans="1:23" x14ac:dyDescent="0.4">
      <c r="A1231" t="s">
        <v>262</v>
      </c>
      <c r="B1231" t="s">
        <v>1514</v>
      </c>
      <c r="C1231" t="s">
        <v>1559</v>
      </c>
      <c r="D1231" t="s">
        <v>21</v>
      </c>
      <c r="E1231" t="s">
        <v>22</v>
      </c>
      <c r="F1231" t="s">
        <v>23</v>
      </c>
      <c r="G1231">
        <v>1</v>
      </c>
      <c r="H1231">
        <v>9791191562286</v>
      </c>
      <c r="I1231" t="s">
        <v>143</v>
      </c>
      <c r="J1231" t="s">
        <v>238</v>
      </c>
      <c r="K1231" t="s">
        <v>239</v>
      </c>
      <c r="L1231" t="s">
        <v>27</v>
      </c>
      <c r="M1231" s="3">
        <v>2000</v>
      </c>
      <c r="N1231" t="s">
        <v>27</v>
      </c>
      <c r="O1231" s="3">
        <v>2000</v>
      </c>
      <c r="P1231" s="3">
        <v>2000</v>
      </c>
      <c r="Q1231" t="s">
        <v>30</v>
      </c>
      <c r="R1231" s="2">
        <v>0.7</v>
      </c>
      <c r="S1231" s="3">
        <v>1400</v>
      </c>
      <c r="T1231" t="s">
        <v>27</v>
      </c>
      <c r="U1231" s="3">
        <v>1400</v>
      </c>
      <c r="V1231" s="7" t="str">
        <f>IF(ISERROR(VLOOKUP(K1231,[1]작가별정산률!$R:$S,2,0)),"스토리위즈",VLOOKUP(K1231,[1]작가별정산률!$R:$S,2,0))</f>
        <v>밀리의 서재</v>
      </c>
      <c r="W1231" s="7" t="str">
        <f>IF(V1231="스토리위즈",VLOOKUP(K1231,[1]작가별정산률!$A:$B,2,0),V1231)</f>
        <v>밀리의 서재</v>
      </c>
    </row>
    <row r="1232" spans="1:23" x14ac:dyDescent="0.4">
      <c r="A1232" t="s">
        <v>262</v>
      </c>
      <c r="B1232" t="s">
        <v>1514</v>
      </c>
      <c r="C1232" t="s">
        <v>1560</v>
      </c>
      <c r="D1232" t="s">
        <v>64</v>
      </c>
      <c r="E1232" t="s">
        <v>22</v>
      </c>
      <c r="F1232" t="s">
        <v>23</v>
      </c>
      <c r="G1232">
        <v>1</v>
      </c>
      <c r="H1232">
        <v>9791188630158</v>
      </c>
      <c r="I1232" t="s">
        <v>24</v>
      </c>
      <c r="J1232" t="s">
        <v>205</v>
      </c>
      <c r="K1232" t="s">
        <v>41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2">
        <v>0.7</v>
      </c>
      <c r="S1232">
        <v>441</v>
      </c>
      <c r="T1232" t="s">
        <v>27</v>
      </c>
      <c r="U1232">
        <v>441</v>
      </c>
      <c r="V1232" s="7" t="str">
        <f>IF(ISERROR(VLOOKUP(K1232,[1]작가별정산률!$R:$S,2,0)),"스토리위즈",VLOOKUP(K1232,[1]작가별정산률!$R:$S,2,0))</f>
        <v>스토리위즈</v>
      </c>
      <c r="W1232" s="7" t="str">
        <f>IF(V1232="스토리위즈",VLOOKUP(K1232,[1]작가별정산률!$A:$B,2,0),V1232)</f>
        <v>무장</v>
      </c>
    </row>
    <row r="1233" spans="1:23" x14ac:dyDescent="0.4">
      <c r="A1233" t="s">
        <v>262</v>
      </c>
      <c r="B1233" t="s">
        <v>1514</v>
      </c>
      <c r="C1233" t="s">
        <v>1561</v>
      </c>
      <c r="D1233" t="s">
        <v>21</v>
      </c>
      <c r="E1233" t="s">
        <v>22</v>
      </c>
      <c r="F1233" t="s">
        <v>23</v>
      </c>
      <c r="G1233">
        <v>1</v>
      </c>
      <c r="H1233">
        <v>9791166065880</v>
      </c>
      <c r="I1233" t="s">
        <v>24</v>
      </c>
      <c r="J1233" t="s">
        <v>1562</v>
      </c>
      <c r="K1233" t="s">
        <v>228</v>
      </c>
      <c r="L1233" t="s">
        <v>27</v>
      </c>
      <c r="M1233" s="3">
        <v>3200</v>
      </c>
      <c r="N1233" t="s">
        <v>28</v>
      </c>
      <c r="O1233">
        <v>2.64</v>
      </c>
      <c r="P1233">
        <v>2.64</v>
      </c>
      <c r="Q1233" t="s">
        <v>29</v>
      </c>
      <c r="R1233" s="2">
        <v>0.7</v>
      </c>
      <c r="S1233">
        <v>1.85</v>
      </c>
      <c r="T1233" t="s">
        <v>27</v>
      </c>
      <c r="U1233" s="3">
        <v>2359</v>
      </c>
      <c r="V1233" s="7" t="str">
        <f>IF(ISERROR(VLOOKUP(K1233,[1]작가별정산률!$R:$S,2,0)),"스토리위즈",VLOOKUP(K1233,[1]작가별정산률!$R:$S,2,0))</f>
        <v>스토리위즈</v>
      </c>
      <c r="W1233" s="7" t="str">
        <f>IF(V1233="스토리위즈",VLOOKUP(K1233,[1]작가별정산률!$A:$B,2,0),V1233)</f>
        <v>청빙</v>
      </c>
    </row>
    <row r="1234" spans="1:23" x14ac:dyDescent="0.4">
      <c r="A1234" t="s">
        <v>262</v>
      </c>
      <c r="B1234" t="s">
        <v>1514</v>
      </c>
      <c r="C1234" t="s">
        <v>1563</v>
      </c>
      <c r="D1234" t="s">
        <v>21</v>
      </c>
      <c r="E1234" t="s">
        <v>22</v>
      </c>
      <c r="F1234" t="s">
        <v>23</v>
      </c>
      <c r="G1234">
        <v>1</v>
      </c>
      <c r="H1234">
        <v>9791166065897</v>
      </c>
      <c r="I1234" t="s">
        <v>24</v>
      </c>
      <c r="J1234" t="s">
        <v>245</v>
      </c>
      <c r="K1234" t="s">
        <v>228</v>
      </c>
      <c r="L1234" t="s">
        <v>27</v>
      </c>
      <c r="M1234" s="3">
        <v>3200</v>
      </c>
      <c r="N1234" t="s">
        <v>28</v>
      </c>
      <c r="O1234">
        <v>2.64</v>
      </c>
      <c r="P1234">
        <v>2.64</v>
      </c>
      <c r="Q1234" t="s">
        <v>29</v>
      </c>
      <c r="R1234" s="2">
        <v>0.7</v>
      </c>
      <c r="S1234">
        <v>1.85</v>
      </c>
      <c r="T1234" t="s">
        <v>27</v>
      </c>
      <c r="U1234" s="3">
        <v>2359</v>
      </c>
      <c r="V1234" s="7" t="str">
        <f>IF(ISERROR(VLOOKUP(K1234,[1]작가별정산률!$R:$S,2,0)),"스토리위즈",VLOOKUP(K1234,[1]작가별정산률!$R:$S,2,0))</f>
        <v>스토리위즈</v>
      </c>
      <c r="W1234" s="7" t="str">
        <f>IF(V1234="스토리위즈",VLOOKUP(K1234,[1]작가별정산률!$A:$B,2,0),V1234)</f>
        <v>청빙</v>
      </c>
    </row>
    <row r="1235" spans="1:23" x14ac:dyDescent="0.4">
      <c r="A1235" t="s">
        <v>262</v>
      </c>
      <c r="B1235" t="s">
        <v>1514</v>
      </c>
      <c r="C1235" t="s">
        <v>1564</v>
      </c>
      <c r="D1235" t="s">
        <v>64</v>
      </c>
      <c r="E1235" t="s">
        <v>22</v>
      </c>
      <c r="F1235" t="s">
        <v>23</v>
      </c>
      <c r="G1235">
        <v>1</v>
      </c>
      <c r="H1235">
        <v>9791166300196</v>
      </c>
      <c r="I1235" t="s">
        <v>24</v>
      </c>
      <c r="J1235" t="s">
        <v>128</v>
      </c>
      <c r="K1235" t="s">
        <v>119</v>
      </c>
      <c r="L1235" t="s">
        <v>27</v>
      </c>
      <c r="M1235">
        <v>630</v>
      </c>
      <c r="N1235" t="s">
        <v>27</v>
      </c>
      <c r="O1235">
        <v>630</v>
      </c>
      <c r="P1235">
        <v>630</v>
      </c>
      <c r="Q1235" t="s">
        <v>30</v>
      </c>
      <c r="R1235" s="2">
        <v>0.7</v>
      </c>
      <c r="S1235">
        <v>441</v>
      </c>
      <c r="T1235" t="s">
        <v>27</v>
      </c>
      <c r="U1235">
        <v>441</v>
      </c>
      <c r="V1235" s="7" t="str">
        <f>IF(ISERROR(VLOOKUP(K1235,[1]작가별정산률!$R:$S,2,0)),"스토리위즈",VLOOKUP(K1235,[1]작가별정산률!$R:$S,2,0))</f>
        <v>스토리위즈</v>
      </c>
      <c r="W1235" s="7" t="str">
        <f>IF(V1235="스토리위즈",VLOOKUP(K1235,[1]작가별정산률!$A:$B,2,0),V1235)</f>
        <v>김광수</v>
      </c>
    </row>
    <row r="1236" spans="1:23" x14ac:dyDescent="0.4">
      <c r="A1236" t="s">
        <v>262</v>
      </c>
      <c r="B1236" t="s">
        <v>1514</v>
      </c>
      <c r="C1236" t="s">
        <v>1565</v>
      </c>
      <c r="D1236" t="s">
        <v>64</v>
      </c>
      <c r="E1236" t="s">
        <v>22</v>
      </c>
      <c r="F1236" t="s">
        <v>23</v>
      </c>
      <c r="G1236">
        <v>1</v>
      </c>
      <c r="H1236">
        <v>9791166064395</v>
      </c>
      <c r="I1236" t="s">
        <v>24</v>
      </c>
      <c r="J1236" t="s">
        <v>104</v>
      </c>
      <c r="K1236" t="s">
        <v>102</v>
      </c>
      <c r="L1236" t="s">
        <v>27</v>
      </c>
      <c r="M1236">
        <v>720</v>
      </c>
      <c r="N1236" t="s">
        <v>27</v>
      </c>
      <c r="O1236">
        <v>720</v>
      </c>
      <c r="P1236">
        <v>720</v>
      </c>
      <c r="Q1236" t="s">
        <v>30</v>
      </c>
      <c r="R1236" s="2">
        <v>0.7</v>
      </c>
      <c r="S1236">
        <v>504</v>
      </c>
      <c r="T1236" t="s">
        <v>27</v>
      </c>
      <c r="U1236">
        <v>507</v>
      </c>
      <c r="V1236" s="7" t="str">
        <f>IF(ISERROR(VLOOKUP(K1236,[1]작가별정산률!$R:$S,2,0)),"스토리위즈",VLOOKUP(K1236,[1]작가별정산률!$R:$S,2,0))</f>
        <v>스토리위즈</v>
      </c>
      <c r="W1236" s="7" t="str">
        <f>IF(V1236="스토리위즈",VLOOKUP(K1236,[1]작가별정산률!$A:$B,2,0),V1236)</f>
        <v>예로나</v>
      </c>
    </row>
    <row r="1237" spans="1:23" x14ac:dyDescent="0.4">
      <c r="A1237" t="s">
        <v>262</v>
      </c>
      <c r="B1237" t="s">
        <v>1514</v>
      </c>
      <c r="C1237" t="s">
        <v>1566</v>
      </c>
      <c r="D1237" t="s">
        <v>64</v>
      </c>
      <c r="E1237" t="s">
        <v>22</v>
      </c>
      <c r="F1237" t="s">
        <v>23</v>
      </c>
      <c r="G1237">
        <v>1</v>
      </c>
      <c r="H1237">
        <v>9791166061097</v>
      </c>
      <c r="I1237" t="s">
        <v>24</v>
      </c>
      <c r="J1237" t="s">
        <v>95</v>
      </c>
      <c r="K1237" t="s">
        <v>37</v>
      </c>
      <c r="L1237" t="s">
        <v>27</v>
      </c>
      <c r="M1237">
        <v>900</v>
      </c>
      <c r="N1237" t="s">
        <v>27</v>
      </c>
      <c r="O1237">
        <v>900</v>
      </c>
      <c r="P1237">
        <v>900</v>
      </c>
      <c r="Q1237" t="s">
        <v>30</v>
      </c>
      <c r="R1237" s="2">
        <v>0.7</v>
      </c>
      <c r="S1237">
        <v>630</v>
      </c>
      <c r="T1237" t="s">
        <v>27</v>
      </c>
      <c r="U1237">
        <v>630</v>
      </c>
      <c r="V1237" s="7" t="str">
        <f>IF(ISERROR(VLOOKUP(K1237,[1]작가별정산률!$R:$S,2,0)),"스토리위즈",VLOOKUP(K1237,[1]작가별정산률!$R:$S,2,0))</f>
        <v>스토리위즈</v>
      </c>
      <c r="W1237" s="7" t="str">
        <f>IF(V1237="스토리위즈",VLOOKUP(K1237,[1]작가별정산률!$A:$B,2,0),V1237)</f>
        <v>권용찬</v>
      </c>
    </row>
    <row r="1238" spans="1:23" x14ac:dyDescent="0.4">
      <c r="A1238" t="s">
        <v>262</v>
      </c>
      <c r="B1238" t="s">
        <v>1514</v>
      </c>
      <c r="C1238" t="s">
        <v>1567</v>
      </c>
      <c r="D1238" t="s">
        <v>64</v>
      </c>
      <c r="E1238" t="s">
        <v>22</v>
      </c>
      <c r="F1238" t="s">
        <v>23</v>
      </c>
      <c r="G1238">
        <v>1</v>
      </c>
      <c r="H1238">
        <v>9791166300110</v>
      </c>
      <c r="I1238" t="s">
        <v>24</v>
      </c>
      <c r="J1238" t="s">
        <v>121</v>
      </c>
      <c r="K1238" t="s">
        <v>119</v>
      </c>
      <c r="L1238" t="s">
        <v>27</v>
      </c>
      <c r="M1238">
        <v>630</v>
      </c>
      <c r="N1238" t="s">
        <v>27</v>
      </c>
      <c r="O1238">
        <v>630</v>
      </c>
      <c r="P1238">
        <v>630</v>
      </c>
      <c r="Q1238" t="s">
        <v>30</v>
      </c>
      <c r="R1238" s="2">
        <v>0.7</v>
      </c>
      <c r="S1238">
        <v>441</v>
      </c>
      <c r="T1238" t="s">
        <v>27</v>
      </c>
      <c r="U1238">
        <v>441</v>
      </c>
      <c r="V1238" s="7" t="str">
        <f>IF(ISERROR(VLOOKUP(K1238,[1]작가별정산률!$R:$S,2,0)),"스토리위즈",VLOOKUP(K1238,[1]작가별정산률!$R:$S,2,0))</f>
        <v>스토리위즈</v>
      </c>
      <c r="W1238" s="7" t="str">
        <f>IF(V1238="스토리위즈",VLOOKUP(K1238,[1]작가별정산률!$A:$B,2,0),V1238)</f>
        <v>김광수</v>
      </c>
    </row>
    <row r="1239" spans="1:23" x14ac:dyDescent="0.4">
      <c r="A1239" t="s">
        <v>262</v>
      </c>
      <c r="B1239" t="s">
        <v>1514</v>
      </c>
      <c r="C1239" t="s">
        <v>1568</v>
      </c>
      <c r="D1239" t="s">
        <v>64</v>
      </c>
      <c r="E1239" t="s">
        <v>22</v>
      </c>
      <c r="F1239" t="s">
        <v>23</v>
      </c>
      <c r="G1239">
        <v>1</v>
      </c>
      <c r="H1239">
        <v>9791159283246</v>
      </c>
      <c r="I1239" t="s">
        <v>24</v>
      </c>
      <c r="J1239" t="s">
        <v>67</v>
      </c>
      <c r="K1239" t="s">
        <v>37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  <c r="V1239" s="7" t="str">
        <f>IF(ISERROR(VLOOKUP(K1239,[1]작가별정산률!$R:$S,2,0)),"스토리위즈",VLOOKUP(K1239,[1]작가별정산률!$R:$S,2,0))</f>
        <v>스토리위즈</v>
      </c>
      <c r="W1239" s="7" t="str">
        <f>IF(V1239="스토리위즈",VLOOKUP(K1239,[1]작가별정산률!$A:$B,2,0),V1239)</f>
        <v>권용찬</v>
      </c>
    </row>
    <row r="1240" spans="1:23" x14ac:dyDescent="0.4">
      <c r="A1240" t="s">
        <v>262</v>
      </c>
      <c r="B1240" t="s">
        <v>1514</v>
      </c>
      <c r="C1240" t="s">
        <v>1569</v>
      </c>
      <c r="D1240" t="s">
        <v>21</v>
      </c>
      <c r="E1240" t="s">
        <v>22</v>
      </c>
      <c r="F1240" t="s">
        <v>23</v>
      </c>
      <c r="G1240">
        <v>1</v>
      </c>
      <c r="H1240">
        <v>9791166300295</v>
      </c>
      <c r="I1240" t="s">
        <v>24</v>
      </c>
      <c r="J1240" t="s">
        <v>138</v>
      </c>
      <c r="K1240" t="s">
        <v>119</v>
      </c>
      <c r="L1240" t="s">
        <v>27</v>
      </c>
      <c r="M1240" s="3">
        <v>3200</v>
      </c>
      <c r="N1240" t="s">
        <v>27</v>
      </c>
      <c r="O1240" s="3">
        <v>3200</v>
      </c>
      <c r="P1240" s="3">
        <v>3200</v>
      </c>
      <c r="Q1240" t="s">
        <v>30</v>
      </c>
      <c r="R1240" s="2">
        <v>0.7</v>
      </c>
      <c r="S1240" s="3">
        <v>2240</v>
      </c>
      <c r="T1240" t="s">
        <v>27</v>
      </c>
      <c r="U1240" s="3">
        <v>2240</v>
      </c>
      <c r="V1240" s="7" t="str">
        <f>IF(ISERROR(VLOOKUP(K1240,[1]작가별정산률!$R:$S,2,0)),"스토리위즈",VLOOKUP(K1240,[1]작가별정산률!$R:$S,2,0))</f>
        <v>스토리위즈</v>
      </c>
      <c r="W1240" s="7" t="str">
        <f>IF(V1240="스토리위즈",VLOOKUP(K1240,[1]작가별정산률!$A:$B,2,0),V1240)</f>
        <v>김광수</v>
      </c>
    </row>
    <row r="1241" spans="1:23" x14ac:dyDescent="0.4">
      <c r="A1241" t="s">
        <v>262</v>
      </c>
      <c r="B1241" t="s">
        <v>1514</v>
      </c>
      <c r="C1241" t="s">
        <v>1570</v>
      </c>
      <c r="D1241" t="s">
        <v>64</v>
      </c>
      <c r="E1241" t="s">
        <v>22</v>
      </c>
      <c r="F1241" t="s">
        <v>23</v>
      </c>
      <c r="G1241">
        <v>1</v>
      </c>
      <c r="H1241">
        <v>9791166300226</v>
      </c>
      <c r="I1241" t="s">
        <v>24</v>
      </c>
      <c r="J1241" t="s">
        <v>131</v>
      </c>
      <c r="K1241" t="s">
        <v>119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  <c r="V1241" s="7" t="str">
        <f>IF(ISERROR(VLOOKUP(K1241,[1]작가별정산률!$R:$S,2,0)),"스토리위즈",VLOOKUP(K1241,[1]작가별정산률!$R:$S,2,0))</f>
        <v>스토리위즈</v>
      </c>
      <c r="W1241" s="7" t="str">
        <f>IF(V1241="스토리위즈",VLOOKUP(K1241,[1]작가별정산률!$A:$B,2,0),V1241)</f>
        <v>김광수</v>
      </c>
    </row>
    <row r="1242" spans="1:23" x14ac:dyDescent="0.4">
      <c r="A1242" t="s">
        <v>262</v>
      </c>
      <c r="B1242" t="s">
        <v>1514</v>
      </c>
      <c r="C1242" t="s">
        <v>1571</v>
      </c>
      <c r="D1242" t="s">
        <v>64</v>
      </c>
      <c r="E1242" t="s">
        <v>22</v>
      </c>
      <c r="F1242" t="s">
        <v>23</v>
      </c>
      <c r="G1242">
        <v>1</v>
      </c>
      <c r="H1242">
        <v>9791166064401</v>
      </c>
      <c r="I1242" t="s">
        <v>24</v>
      </c>
      <c r="J1242" t="s">
        <v>111</v>
      </c>
      <c r="K1242" t="s">
        <v>102</v>
      </c>
      <c r="L1242" t="s">
        <v>27</v>
      </c>
      <c r="M1242">
        <v>720</v>
      </c>
      <c r="N1242" t="s">
        <v>27</v>
      </c>
      <c r="O1242">
        <v>720</v>
      </c>
      <c r="P1242">
        <v>720</v>
      </c>
      <c r="Q1242" t="s">
        <v>30</v>
      </c>
      <c r="R1242" s="2">
        <v>0.7</v>
      </c>
      <c r="S1242">
        <v>504</v>
      </c>
      <c r="T1242" t="s">
        <v>27</v>
      </c>
      <c r="U1242">
        <v>509</v>
      </c>
      <c r="V1242" s="7" t="str">
        <f>IF(ISERROR(VLOOKUP(K1242,[1]작가별정산률!$R:$S,2,0)),"스토리위즈",VLOOKUP(K1242,[1]작가별정산률!$R:$S,2,0))</f>
        <v>스토리위즈</v>
      </c>
      <c r="W1242" s="7" t="str">
        <f>IF(V1242="스토리위즈",VLOOKUP(K1242,[1]작가별정산률!$A:$B,2,0),V1242)</f>
        <v>예로나</v>
      </c>
    </row>
    <row r="1243" spans="1:23" x14ac:dyDescent="0.4">
      <c r="A1243" t="s">
        <v>262</v>
      </c>
      <c r="B1243" t="s">
        <v>1514</v>
      </c>
      <c r="C1243" t="s">
        <v>1572</v>
      </c>
      <c r="D1243" t="s">
        <v>64</v>
      </c>
      <c r="E1243" t="s">
        <v>22</v>
      </c>
      <c r="F1243" t="s">
        <v>23</v>
      </c>
      <c r="G1243">
        <v>1</v>
      </c>
      <c r="H1243">
        <v>9791166300691</v>
      </c>
      <c r="I1243" t="s">
        <v>24</v>
      </c>
      <c r="J1243" t="s">
        <v>152</v>
      </c>
      <c r="K1243" t="s">
        <v>119</v>
      </c>
      <c r="L1243" t="s">
        <v>27</v>
      </c>
      <c r="M1243">
        <v>630</v>
      </c>
      <c r="N1243" t="s">
        <v>27</v>
      </c>
      <c r="O1243">
        <v>630</v>
      </c>
      <c r="P1243">
        <v>630</v>
      </c>
      <c r="Q1243" t="s">
        <v>30</v>
      </c>
      <c r="R1243" s="2">
        <v>0.7</v>
      </c>
      <c r="S1243">
        <v>441</v>
      </c>
      <c r="T1243" t="s">
        <v>27</v>
      </c>
      <c r="U1243">
        <v>441</v>
      </c>
      <c r="V1243" s="7" t="str">
        <f>IF(ISERROR(VLOOKUP(K1243,[1]작가별정산률!$R:$S,2,0)),"스토리위즈",VLOOKUP(K1243,[1]작가별정산률!$R:$S,2,0))</f>
        <v>스토리위즈</v>
      </c>
      <c r="W1243" s="7" t="str">
        <f>IF(V1243="스토리위즈",VLOOKUP(K1243,[1]작가별정산률!$A:$B,2,0),V1243)</f>
        <v>김광수</v>
      </c>
    </row>
    <row r="1244" spans="1:23" x14ac:dyDescent="0.4">
      <c r="A1244" t="s">
        <v>262</v>
      </c>
      <c r="B1244" t="s">
        <v>1514</v>
      </c>
      <c r="C1244" t="s">
        <v>1573</v>
      </c>
      <c r="D1244" t="s">
        <v>64</v>
      </c>
      <c r="E1244" t="s">
        <v>22</v>
      </c>
      <c r="F1244" t="s">
        <v>23</v>
      </c>
      <c r="G1244">
        <v>1</v>
      </c>
      <c r="H1244">
        <v>9791166300295</v>
      </c>
      <c r="I1244" t="s">
        <v>24</v>
      </c>
      <c r="J1244" t="s">
        <v>138</v>
      </c>
      <c r="K1244" t="s">
        <v>119</v>
      </c>
      <c r="L1244" t="s">
        <v>27</v>
      </c>
      <c r="M1244">
        <v>630</v>
      </c>
      <c r="N1244" t="s">
        <v>27</v>
      </c>
      <c r="O1244">
        <v>630</v>
      </c>
      <c r="P1244">
        <v>630</v>
      </c>
      <c r="Q1244" t="s">
        <v>30</v>
      </c>
      <c r="R1244" s="2">
        <v>0.7</v>
      </c>
      <c r="S1244">
        <v>441</v>
      </c>
      <c r="T1244" t="s">
        <v>27</v>
      </c>
      <c r="U1244">
        <v>441</v>
      </c>
      <c r="V1244" s="7" t="str">
        <f>IF(ISERROR(VLOOKUP(K1244,[1]작가별정산률!$R:$S,2,0)),"스토리위즈",VLOOKUP(K1244,[1]작가별정산률!$R:$S,2,0))</f>
        <v>스토리위즈</v>
      </c>
      <c r="W1244" s="7" t="str">
        <f>IF(V1244="스토리위즈",VLOOKUP(K1244,[1]작가별정산률!$A:$B,2,0),V1244)</f>
        <v>김광수</v>
      </c>
    </row>
    <row r="1245" spans="1:23" x14ac:dyDescent="0.4">
      <c r="A1245" t="s">
        <v>262</v>
      </c>
      <c r="B1245" t="s">
        <v>1514</v>
      </c>
      <c r="C1245" t="s">
        <v>1574</v>
      </c>
      <c r="D1245" t="s">
        <v>64</v>
      </c>
      <c r="E1245" t="s">
        <v>22</v>
      </c>
      <c r="F1245" t="s">
        <v>23</v>
      </c>
      <c r="G1245">
        <v>1</v>
      </c>
      <c r="H1245">
        <v>9791159284991</v>
      </c>
      <c r="I1245" t="s">
        <v>24</v>
      </c>
      <c r="J1245" t="s">
        <v>51</v>
      </c>
      <c r="K1245" t="s">
        <v>47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2">
        <v>0.7</v>
      </c>
      <c r="S1245">
        <v>441</v>
      </c>
      <c r="T1245" t="s">
        <v>27</v>
      </c>
      <c r="U1245">
        <v>441</v>
      </c>
      <c r="V1245" s="7" t="str">
        <f>IF(ISERROR(VLOOKUP(K1245,[1]작가별정산률!$R:$S,2,0)),"스토리위즈",VLOOKUP(K1245,[1]작가별정산률!$R:$S,2,0))</f>
        <v>스토리위즈</v>
      </c>
      <c r="W1245" s="7" t="str">
        <f>IF(V1245="스토리위즈",VLOOKUP(K1245,[1]작가별정산률!$A:$B,2,0),V1245)</f>
        <v>전혁</v>
      </c>
    </row>
    <row r="1246" spans="1:23" x14ac:dyDescent="0.4">
      <c r="A1246" t="s">
        <v>262</v>
      </c>
      <c r="B1246" t="s">
        <v>1514</v>
      </c>
      <c r="C1246" t="s">
        <v>1575</v>
      </c>
      <c r="D1246" t="s">
        <v>64</v>
      </c>
      <c r="E1246" t="s">
        <v>22</v>
      </c>
      <c r="F1246" t="s">
        <v>23</v>
      </c>
      <c r="G1246">
        <v>1</v>
      </c>
      <c r="H1246">
        <v>9791166300141</v>
      </c>
      <c r="I1246" t="s">
        <v>24</v>
      </c>
      <c r="J1246" t="s">
        <v>124</v>
      </c>
      <c r="K1246" t="s">
        <v>119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  <c r="V1246" s="7" t="str">
        <f>IF(ISERROR(VLOOKUP(K1246,[1]작가별정산률!$R:$S,2,0)),"스토리위즈",VLOOKUP(K1246,[1]작가별정산률!$R:$S,2,0))</f>
        <v>스토리위즈</v>
      </c>
      <c r="W1246" s="7" t="str">
        <f>IF(V1246="스토리위즈",VLOOKUP(K1246,[1]작가별정산률!$A:$B,2,0),V1246)</f>
        <v>김광수</v>
      </c>
    </row>
    <row r="1247" spans="1:23" x14ac:dyDescent="0.4">
      <c r="A1247" t="s">
        <v>262</v>
      </c>
      <c r="B1247" t="s">
        <v>1514</v>
      </c>
      <c r="C1247" t="s">
        <v>1576</v>
      </c>
      <c r="D1247" t="s">
        <v>64</v>
      </c>
      <c r="E1247" t="s">
        <v>22</v>
      </c>
      <c r="F1247" t="s">
        <v>23</v>
      </c>
      <c r="G1247">
        <v>1</v>
      </c>
      <c r="H1247">
        <v>9791166300103</v>
      </c>
      <c r="I1247" t="s">
        <v>24</v>
      </c>
      <c r="J1247" t="s">
        <v>120</v>
      </c>
      <c r="K1247" t="s">
        <v>119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  <c r="V1247" s="7" t="str">
        <f>IF(ISERROR(VLOOKUP(K1247,[1]작가별정산률!$R:$S,2,0)),"스토리위즈",VLOOKUP(K1247,[1]작가별정산률!$R:$S,2,0))</f>
        <v>스토리위즈</v>
      </c>
      <c r="W1247" s="7" t="str">
        <f>IF(V1247="스토리위즈",VLOOKUP(K1247,[1]작가별정산률!$A:$B,2,0),V1247)</f>
        <v>김광수</v>
      </c>
    </row>
    <row r="1248" spans="1:23" x14ac:dyDescent="0.4">
      <c r="A1248" t="s">
        <v>262</v>
      </c>
      <c r="B1248" t="s">
        <v>1514</v>
      </c>
      <c r="C1248" t="s">
        <v>1577</v>
      </c>
      <c r="D1248" t="s">
        <v>64</v>
      </c>
      <c r="E1248" t="s">
        <v>22</v>
      </c>
      <c r="F1248" t="s">
        <v>23</v>
      </c>
      <c r="G1248">
        <v>1</v>
      </c>
      <c r="H1248">
        <v>9791159283215</v>
      </c>
      <c r="I1248" t="s">
        <v>24</v>
      </c>
      <c r="J1248" t="s">
        <v>103</v>
      </c>
      <c r="K1248" t="s">
        <v>37</v>
      </c>
      <c r="L1248" t="s">
        <v>27</v>
      </c>
      <c r="M1248">
        <v>630</v>
      </c>
      <c r="N1248" t="s">
        <v>27</v>
      </c>
      <c r="O1248">
        <v>630</v>
      </c>
      <c r="P1248">
        <v>630</v>
      </c>
      <c r="Q1248" t="s">
        <v>30</v>
      </c>
      <c r="R1248" s="2">
        <v>0.7</v>
      </c>
      <c r="S1248">
        <v>441</v>
      </c>
      <c r="T1248" t="s">
        <v>27</v>
      </c>
      <c r="U1248">
        <v>441</v>
      </c>
      <c r="V1248" s="7" t="str">
        <f>IF(ISERROR(VLOOKUP(K1248,[1]작가별정산률!$R:$S,2,0)),"스토리위즈",VLOOKUP(K1248,[1]작가별정산률!$R:$S,2,0))</f>
        <v>스토리위즈</v>
      </c>
      <c r="W1248" s="7" t="str">
        <f>IF(V1248="스토리위즈",VLOOKUP(K1248,[1]작가별정산률!$A:$B,2,0),V1248)</f>
        <v>권용찬</v>
      </c>
    </row>
    <row r="1249" spans="1:23" x14ac:dyDescent="0.4">
      <c r="A1249" t="s">
        <v>262</v>
      </c>
      <c r="B1249" t="s">
        <v>1514</v>
      </c>
      <c r="C1249" t="s">
        <v>1578</v>
      </c>
      <c r="D1249" t="s">
        <v>64</v>
      </c>
      <c r="E1249" t="s">
        <v>22</v>
      </c>
      <c r="F1249" t="s">
        <v>23</v>
      </c>
      <c r="G1249">
        <v>1</v>
      </c>
      <c r="H1249">
        <v>9791188630165</v>
      </c>
      <c r="I1249" t="s">
        <v>24</v>
      </c>
      <c r="J1249" t="s">
        <v>206</v>
      </c>
      <c r="K1249" t="s">
        <v>41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  <c r="V1249" s="7" t="str">
        <f>IF(ISERROR(VLOOKUP(K1249,[1]작가별정산률!$R:$S,2,0)),"스토리위즈",VLOOKUP(K1249,[1]작가별정산률!$R:$S,2,0))</f>
        <v>스토리위즈</v>
      </c>
      <c r="W1249" s="7" t="str">
        <f>IF(V1249="스토리위즈",VLOOKUP(K1249,[1]작가별정산률!$A:$B,2,0),V1249)</f>
        <v>무장</v>
      </c>
    </row>
    <row r="1250" spans="1:23" x14ac:dyDescent="0.4">
      <c r="A1250" t="s">
        <v>262</v>
      </c>
      <c r="B1250" t="s">
        <v>1579</v>
      </c>
      <c r="C1250" t="s">
        <v>1580</v>
      </c>
      <c r="D1250" t="s">
        <v>64</v>
      </c>
      <c r="E1250" t="s">
        <v>22</v>
      </c>
      <c r="F1250" t="s">
        <v>23</v>
      </c>
      <c r="G1250">
        <v>1</v>
      </c>
      <c r="H1250">
        <v>9791159283093</v>
      </c>
      <c r="I1250" t="s">
        <v>24</v>
      </c>
      <c r="J1250" t="s">
        <v>73</v>
      </c>
      <c r="K1250" t="s">
        <v>37</v>
      </c>
      <c r="L1250" t="s">
        <v>27</v>
      </c>
      <c r="M1250">
        <v>900</v>
      </c>
      <c r="N1250" t="s">
        <v>27</v>
      </c>
      <c r="O1250">
        <v>900</v>
      </c>
      <c r="P1250">
        <v>900</v>
      </c>
      <c r="Q1250" t="s">
        <v>30</v>
      </c>
      <c r="R1250" s="2">
        <v>0.7</v>
      </c>
      <c r="S1250">
        <v>630</v>
      </c>
      <c r="T1250" t="s">
        <v>27</v>
      </c>
      <c r="U1250">
        <v>630</v>
      </c>
      <c r="V1250" s="7" t="str">
        <f>IF(ISERROR(VLOOKUP(K1250,[1]작가별정산률!$R:$S,2,0)),"스토리위즈",VLOOKUP(K1250,[1]작가별정산률!$R:$S,2,0))</f>
        <v>스토리위즈</v>
      </c>
      <c r="W1250" s="7" t="str">
        <f>IF(V1250="스토리위즈",VLOOKUP(K1250,[1]작가별정산률!$A:$B,2,0),V1250)</f>
        <v>권용찬</v>
      </c>
    </row>
    <row r="1251" spans="1:23" x14ac:dyDescent="0.4">
      <c r="A1251" t="s">
        <v>262</v>
      </c>
      <c r="B1251" t="s">
        <v>1579</v>
      </c>
      <c r="C1251" t="s">
        <v>1581</v>
      </c>
      <c r="D1251" t="s">
        <v>64</v>
      </c>
      <c r="E1251" t="s">
        <v>22</v>
      </c>
      <c r="F1251" t="s">
        <v>23</v>
      </c>
      <c r="G1251">
        <v>1</v>
      </c>
      <c r="H1251">
        <v>9791166061103</v>
      </c>
      <c r="I1251" t="s">
        <v>24</v>
      </c>
      <c r="J1251" t="s">
        <v>96</v>
      </c>
      <c r="K1251" t="s">
        <v>37</v>
      </c>
      <c r="L1251" t="s">
        <v>27</v>
      </c>
      <c r="M1251">
        <v>900</v>
      </c>
      <c r="N1251" t="s">
        <v>27</v>
      </c>
      <c r="O1251">
        <v>900</v>
      </c>
      <c r="P1251">
        <v>900</v>
      </c>
      <c r="Q1251" t="s">
        <v>30</v>
      </c>
      <c r="R1251" s="2">
        <v>0.7</v>
      </c>
      <c r="S1251">
        <v>630</v>
      </c>
      <c r="T1251" t="s">
        <v>27</v>
      </c>
      <c r="U1251">
        <v>630</v>
      </c>
      <c r="V1251" s="7" t="str">
        <f>IF(ISERROR(VLOOKUP(K1251,[1]작가별정산률!$R:$S,2,0)),"스토리위즈",VLOOKUP(K1251,[1]작가별정산률!$R:$S,2,0))</f>
        <v>스토리위즈</v>
      </c>
      <c r="W1251" s="7" t="str">
        <f>IF(V1251="스토리위즈",VLOOKUP(K1251,[1]작가별정산률!$A:$B,2,0),V1251)</f>
        <v>권용찬</v>
      </c>
    </row>
    <row r="1252" spans="1:23" x14ac:dyDescent="0.4">
      <c r="A1252" t="s">
        <v>262</v>
      </c>
      <c r="B1252" t="s">
        <v>1579</v>
      </c>
      <c r="C1252" t="s">
        <v>1582</v>
      </c>
      <c r="D1252" t="s">
        <v>64</v>
      </c>
      <c r="E1252" t="s">
        <v>22</v>
      </c>
      <c r="F1252" t="s">
        <v>23</v>
      </c>
      <c r="G1252">
        <v>1</v>
      </c>
      <c r="H1252">
        <v>9791166300127</v>
      </c>
      <c r="I1252" t="s">
        <v>24</v>
      </c>
      <c r="J1252" t="s">
        <v>122</v>
      </c>
      <c r="K1252" t="s">
        <v>119</v>
      </c>
      <c r="L1252" t="s">
        <v>27</v>
      </c>
      <c r="M1252">
        <v>630</v>
      </c>
      <c r="N1252" t="s">
        <v>27</v>
      </c>
      <c r="O1252">
        <v>630</v>
      </c>
      <c r="P1252">
        <v>630</v>
      </c>
      <c r="Q1252" t="s">
        <v>30</v>
      </c>
      <c r="R1252" s="2">
        <v>0.7</v>
      </c>
      <c r="S1252">
        <v>441</v>
      </c>
      <c r="T1252" t="s">
        <v>27</v>
      </c>
      <c r="U1252">
        <v>441</v>
      </c>
      <c r="V1252" s="7" t="str">
        <f>IF(ISERROR(VLOOKUP(K1252,[1]작가별정산률!$R:$S,2,0)),"스토리위즈",VLOOKUP(K1252,[1]작가별정산률!$R:$S,2,0))</f>
        <v>스토리위즈</v>
      </c>
      <c r="W1252" s="7" t="str">
        <f>IF(V1252="스토리위즈",VLOOKUP(K1252,[1]작가별정산률!$A:$B,2,0),V1252)</f>
        <v>김광수</v>
      </c>
    </row>
    <row r="1253" spans="1:23" x14ac:dyDescent="0.4">
      <c r="A1253" t="s">
        <v>262</v>
      </c>
      <c r="B1253" t="s">
        <v>1579</v>
      </c>
      <c r="C1253" t="s">
        <v>1583</v>
      </c>
      <c r="D1253" t="s">
        <v>64</v>
      </c>
      <c r="E1253" t="s">
        <v>22</v>
      </c>
      <c r="F1253" t="s">
        <v>23</v>
      </c>
      <c r="G1253">
        <v>1</v>
      </c>
      <c r="H1253">
        <v>9791166300158</v>
      </c>
      <c r="I1253" t="s">
        <v>24</v>
      </c>
      <c r="J1253" t="s">
        <v>125</v>
      </c>
      <c r="K1253" t="s">
        <v>119</v>
      </c>
      <c r="L1253" t="s">
        <v>27</v>
      </c>
      <c r="M1253">
        <v>630</v>
      </c>
      <c r="N1253" t="s">
        <v>27</v>
      </c>
      <c r="O1253">
        <v>630</v>
      </c>
      <c r="P1253">
        <v>630</v>
      </c>
      <c r="Q1253" t="s">
        <v>30</v>
      </c>
      <c r="R1253" s="2">
        <v>0.7</v>
      </c>
      <c r="S1253">
        <v>441</v>
      </c>
      <c r="T1253" t="s">
        <v>27</v>
      </c>
      <c r="U1253">
        <v>441</v>
      </c>
      <c r="V1253" s="7" t="str">
        <f>IF(ISERROR(VLOOKUP(K1253,[1]작가별정산률!$R:$S,2,0)),"스토리위즈",VLOOKUP(K1253,[1]작가별정산률!$R:$S,2,0))</f>
        <v>스토리위즈</v>
      </c>
      <c r="W1253" s="7" t="str">
        <f>IF(V1253="스토리위즈",VLOOKUP(K1253,[1]작가별정산률!$A:$B,2,0),V1253)</f>
        <v>김광수</v>
      </c>
    </row>
    <row r="1254" spans="1:23" x14ac:dyDescent="0.4">
      <c r="A1254" t="s">
        <v>262</v>
      </c>
      <c r="B1254" t="s">
        <v>1579</v>
      </c>
      <c r="C1254" t="s">
        <v>1584</v>
      </c>
      <c r="D1254" t="s">
        <v>64</v>
      </c>
      <c r="E1254" t="s">
        <v>22</v>
      </c>
      <c r="F1254" t="s">
        <v>23</v>
      </c>
      <c r="G1254">
        <v>1</v>
      </c>
      <c r="H1254">
        <v>9791166300219</v>
      </c>
      <c r="I1254" t="s">
        <v>24</v>
      </c>
      <c r="J1254" t="s">
        <v>130</v>
      </c>
      <c r="K1254" t="s">
        <v>119</v>
      </c>
      <c r="L1254" t="s">
        <v>27</v>
      </c>
      <c r="M1254">
        <v>630</v>
      </c>
      <c r="N1254" t="s">
        <v>27</v>
      </c>
      <c r="O1254">
        <v>630</v>
      </c>
      <c r="P1254">
        <v>630</v>
      </c>
      <c r="Q1254" t="s">
        <v>30</v>
      </c>
      <c r="R1254" s="2">
        <v>0.7</v>
      </c>
      <c r="S1254">
        <v>441</v>
      </c>
      <c r="T1254" t="s">
        <v>27</v>
      </c>
      <c r="U1254">
        <v>441</v>
      </c>
      <c r="V1254" s="7" t="str">
        <f>IF(ISERROR(VLOOKUP(K1254,[1]작가별정산률!$R:$S,2,0)),"스토리위즈",VLOOKUP(K1254,[1]작가별정산률!$R:$S,2,0))</f>
        <v>스토리위즈</v>
      </c>
      <c r="W1254" s="7" t="str">
        <f>IF(V1254="스토리위즈",VLOOKUP(K1254,[1]작가별정산률!$A:$B,2,0),V1254)</f>
        <v>김광수</v>
      </c>
    </row>
    <row r="1255" spans="1:23" x14ac:dyDescent="0.4">
      <c r="A1255" t="s">
        <v>262</v>
      </c>
      <c r="B1255" t="s">
        <v>1579</v>
      </c>
      <c r="C1255" t="s">
        <v>1585</v>
      </c>
      <c r="D1255" t="s">
        <v>21</v>
      </c>
      <c r="E1255" t="s">
        <v>22</v>
      </c>
      <c r="F1255" t="s">
        <v>23</v>
      </c>
      <c r="G1255">
        <v>1</v>
      </c>
      <c r="H1255">
        <v>9791190937153</v>
      </c>
      <c r="I1255" t="s">
        <v>24</v>
      </c>
      <c r="J1255" t="s">
        <v>240</v>
      </c>
      <c r="K1255" t="s">
        <v>241</v>
      </c>
      <c r="L1255" t="s">
        <v>27</v>
      </c>
      <c r="M1255" s="3">
        <v>3200</v>
      </c>
      <c r="N1255" t="s">
        <v>27</v>
      </c>
      <c r="O1255" s="3">
        <v>3200</v>
      </c>
      <c r="P1255" s="3">
        <v>3200</v>
      </c>
      <c r="Q1255" t="s">
        <v>30</v>
      </c>
      <c r="R1255" s="2">
        <v>0.7</v>
      </c>
      <c r="S1255" s="3">
        <v>2240</v>
      </c>
      <c r="T1255" t="s">
        <v>27</v>
      </c>
      <c r="U1255" s="3">
        <v>2240</v>
      </c>
      <c r="V1255" s="7" t="str">
        <f>IF(ISERROR(VLOOKUP(K1255,[1]작가별정산률!$R:$S,2,0)),"스토리위즈",VLOOKUP(K1255,[1]작가별정산률!$R:$S,2,0))</f>
        <v>스토리위즈</v>
      </c>
      <c r="W1255" s="7" t="str">
        <f>IF(V1255="스토리위즈",VLOOKUP(K1255,[1]작가별정산률!$A:$B,2,0),V1255)</f>
        <v>루이세</v>
      </c>
    </row>
    <row r="1256" spans="1:23" x14ac:dyDescent="0.4">
      <c r="A1256" t="s">
        <v>262</v>
      </c>
      <c r="B1256" t="s">
        <v>1579</v>
      </c>
      <c r="C1256" t="s">
        <v>1585</v>
      </c>
      <c r="D1256" t="s">
        <v>21</v>
      </c>
      <c r="E1256" t="s">
        <v>22</v>
      </c>
      <c r="F1256" t="s">
        <v>23</v>
      </c>
      <c r="G1256">
        <v>1</v>
      </c>
      <c r="H1256">
        <v>9791190937160</v>
      </c>
      <c r="I1256" t="s">
        <v>24</v>
      </c>
      <c r="J1256" t="s">
        <v>242</v>
      </c>
      <c r="K1256" t="s">
        <v>241</v>
      </c>
      <c r="L1256" t="s">
        <v>27</v>
      </c>
      <c r="M1256" s="3">
        <v>3200</v>
      </c>
      <c r="N1256" t="s">
        <v>27</v>
      </c>
      <c r="O1256" s="3">
        <v>3200</v>
      </c>
      <c r="P1256" s="3">
        <v>3200</v>
      </c>
      <c r="Q1256" t="s">
        <v>30</v>
      </c>
      <c r="R1256" s="2">
        <v>0.7</v>
      </c>
      <c r="S1256" s="3">
        <v>2240</v>
      </c>
      <c r="T1256" t="s">
        <v>27</v>
      </c>
      <c r="U1256" s="3">
        <v>2240</v>
      </c>
      <c r="V1256" s="7" t="str">
        <f>IF(ISERROR(VLOOKUP(K1256,[1]작가별정산률!$R:$S,2,0)),"스토리위즈",VLOOKUP(K1256,[1]작가별정산률!$R:$S,2,0))</f>
        <v>스토리위즈</v>
      </c>
      <c r="W1256" s="7" t="str">
        <f>IF(V1256="스토리위즈",VLOOKUP(K1256,[1]작가별정산률!$A:$B,2,0),V1256)</f>
        <v>루이세</v>
      </c>
    </row>
    <row r="1257" spans="1:23" x14ac:dyDescent="0.4">
      <c r="A1257" t="s">
        <v>262</v>
      </c>
      <c r="B1257" t="s">
        <v>1579</v>
      </c>
      <c r="C1257" t="s">
        <v>1586</v>
      </c>
      <c r="D1257" t="s">
        <v>21</v>
      </c>
      <c r="E1257" t="s">
        <v>22</v>
      </c>
      <c r="F1257" t="s">
        <v>23</v>
      </c>
      <c r="G1257">
        <v>1</v>
      </c>
      <c r="H1257">
        <v>9791166300301</v>
      </c>
      <c r="I1257" t="s">
        <v>24</v>
      </c>
      <c r="J1257" t="s">
        <v>139</v>
      </c>
      <c r="K1257" t="s">
        <v>119</v>
      </c>
      <c r="L1257" t="s">
        <v>27</v>
      </c>
      <c r="M1257" s="3">
        <v>3200</v>
      </c>
      <c r="N1257" t="s">
        <v>27</v>
      </c>
      <c r="O1257" s="3">
        <v>3200</v>
      </c>
      <c r="P1257" s="3">
        <v>3200</v>
      </c>
      <c r="Q1257" t="s">
        <v>30</v>
      </c>
      <c r="R1257" s="2">
        <v>0.7</v>
      </c>
      <c r="S1257" s="3">
        <v>2240</v>
      </c>
      <c r="T1257" t="s">
        <v>27</v>
      </c>
      <c r="U1257" s="3">
        <v>2240</v>
      </c>
      <c r="V1257" s="7" t="str">
        <f>IF(ISERROR(VLOOKUP(K1257,[1]작가별정산률!$R:$S,2,0)),"스토리위즈",VLOOKUP(K1257,[1]작가별정산률!$R:$S,2,0))</f>
        <v>스토리위즈</v>
      </c>
      <c r="W1257" s="7" t="str">
        <f>IF(V1257="스토리위즈",VLOOKUP(K1257,[1]작가별정산률!$A:$B,2,0),V1257)</f>
        <v>김광수</v>
      </c>
    </row>
    <row r="1258" spans="1:23" x14ac:dyDescent="0.4">
      <c r="A1258" t="s">
        <v>262</v>
      </c>
      <c r="B1258" t="s">
        <v>1579</v>
      </c>
      <c r="C1258" t="s">
        <v>1587</v>
      </c>
      <c r="D1258" t="s">
        <v>64</v>
      </c>
      <c r="E1258" t="s">
        <v>22</v>
      </c>
      <c r="F1258" t="s">
        <v>23</v>
      </c>
      <c r="G1258">
        <v>1</v>
      </c>
      <c r="H1258">
        <v>9791166300103</v>
      </c>
      <c r="I1258" t="s">
        <v>24</v>
      </c>
      <c r="J1258" t="s">
        <v>120</v>
      </c>
      <c r="K1258" t="s">
        <v>119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  <c r="V1258" s="7" t="str">
        <f>IF(ISERROR(VLOOKUP(K1258,[1]작가별정산률!$R:$S,2,0)),"스토리위즈",VLOOKUP(K1258,[1]작가별정산률!$R:$S,2,0))</f>
        <v>스토리위즈</v>
      </c>
      <c r="W1258" s="7" t="str">
        <f>IF(V1258="스토리위즈",VLOOKUP(K1258,[1]작가별정산률!$A:$B,2,0),V1258)</f>
        <v>김광수</v>
      </c>
    </row>
    <row r="1259" spans="1:23" x14ac:dyDescent="0.4">
      <c r="A1259" t="s">
        <v>262</v>
      </c>
      <c r="B1259" t="s">
        <v>1579</v>
      </c>
      <c r="C1259" t="s">
        <v>1588</v>
      </c>
      <c r="D1259" t="s">
        <v>64</v>
      </c>
      <c r="E1259" t="s">
        <v>22</v>
      </c>
      <c r="F1259" t="s">
        <v>23</v>
      </c>
      <c r="G1259">
        <v>1</v>
      </c>
      <c r="H1259">
        <v>9791166061103</v>
      </c>
      <c r="I1259" t="s">
        <v>24</v>
      </c>
      <c r="J1259" t="s">
        <v>96</v>
      </c>
      <c r="K1259" t="s">
        <v>37</v>
      </c>
      <c r="L1259" t="s">
        <v>27</v>
      </c>
      <c r="M1259">
        <v>900</v>
      </c>
      <c r="N1259" t="s">
        <v>27</v>
      </c>
      <c r="O1259">
        <v>900</v>
      </c>
      <c r="P1259">
        <v>900</v>
      </c>
      <c r="Q1259" t="s">
        <v>30</v>
      </c>
      <c r="R1259" s="2">
        <v>0.7</v>
      </c>
      <c r="S1259">
        <v>630</v>
      </c>
      <c r="T1259" t="s">
        <v>27</v>
      </c>
      <c r="U1259">
        <v>630</v>
      </c>
      <c r="V1259" s="7" t="str">
        <f>IF(ISERROR(VLOOKUP(K1259,[1]작가별정산률!$R:$S,2,0)),"스토리위즈",VLOOKUP(K1259,[1]작가별정산률!$R:$S,2,0))</f>
        <v>스토리위즈</v>
      </c>
      <c r="W1259" s="7" t="str">
        <f>IF(V1259="스토리위즈",VLOOKUP(K1259,[1]작가별정산률!$A:$B,2,0),V1259)</f>
        <v>권용찬</v>
      </c>
    </row>
    <row r="1260" spans="1:23" x14ac:dyDescent="0.4">
      <c r="A1260" t="s">
        <v>262</v>
      </c>
      <c r="B1260" t="s">
        <v>1579</v>
      </c>
      <c r="C1260" t="s">
        <v>1589</v>
      </c>
      <c r="D1260" t="s">
        <v>64</v>
      </c>
      <c r="E1260" t="s">
        <v>22</v>
      </c>
      <c r="F1260" t="s">
        <v>23</v>
      </c>
      <c r="G1260">
        <v>1</v>
      </c>
      <c r="H1260">
        <v>9791166064418</v>
      </c>
      <c r="I1260" t="s">
        <v>24</v>
      </c>
      <c r="J1260" t="s">
        <v>112</v>
      </c>
      <c r="K1260" t="s">
        <v>102</v>
      </c>
      <c r="L1260" t="s">
        <v>27</v>
      </c>
      <c r="M1260">
        <v>720</v>
      </c>
      <c r="N1260" t="s">
        <v>27</v>
      </c>
      <c r="O1260">
        <v>720</v>
      </c>
      <c r="P1260">
        <v>720</v>
      </c>
      <c r="Q1260" t="s">
        <v>30</v>
      </c>
      <c r="R1260" s="2">
        <v>0.7</v>
      </c>
      <c r="S1260">
        <v>504</v>
      </c>
      <c r="T1260" t="s">
        <v>27</v>
      </c>
      <c r="U1260">
        <v>507</v>
      </c>
      <c r="V1260" s="7" t="str">
        <f>IF(ISERROR(VLOOKUP(K1260,[1]작가별정산률!$R:$S,2,0)),"스토리위즈",VLOOKUP(K1260,[1]작가별정산률!$R:$S,2,0))</f>
        <v>스토리위즈</v>
      </c>
      <c r="W1260" s="7" t="str">
        <f>IF(V1260="스토리위즈",VLOOKUP(K1260,[1]작가별정산률!$A:$B,2,0),V1260)</f>
        <v>예로나</v>
      </c>
    </row>
    <row r="1261" spans="1:23" x14ac:dyDescent="0.4">
      <c r="A1261" t="s">
        <v>262</v>
      </c>
      <c r="B1261" t="s">
        <v>1579</v>
      </c>
      <c r="C1261" t="s">
        <v>1590</v>
      </c>
      <c r="D1261" t="s">
        <v>64</v>
      </c>
      <c r="E1261" t="s">
        <v>22</v>
      </c>
      <c r="F1261" t="s">
        <v>23</v>
      </c>
      <c r="G1261">
        <v>1</v>
      </c>
      <c r="H1261">
        <v>9791166300127</v>
      </c>
      <c r="I1261" t="s">
        <v>24</v>
      </c>
      <c r="J1261" t="s">
        <v>122</v>
      </c>
      <c r="K1261" t="s">
        <v>119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2">
        <v>0.7</v>
      </c>
      <c r="S1261">
        <v>441</v>
      </c>
      <c r="T1261" t="s">
        <v>27</v>
      </c>
      <c r="U1261">
        <v>441</v>
      </c>
      <c r="V1261" s="7" t="str">
        <f>IF(ISERROR(VLOOKUP(K1261,[1]작가별정산률!$R:$S,2,0)),"스토리위즈",VLOOKUP(K1261,[1]작가별정산률!$R:$S,2,0))</f>
        <v>스토리위즈</v>
      </c>
      <c r="W1261" s="7" t="str">
        <f>IF(V1261="스토리위즈",VLOOKUP(K1261,[1]작가별정산률!$A:$B,2,0),V1261)</f>
        <v>김광수</v>
      </c>
    </row>
    <row r="1262" spans="1:23" x14ac:dyDescent="0.4">
      <c r="A1262" t="s">
        <v>262</v>
      </c>
      <c r="B1262" t="s">
        <v>1579</v>
      </c>
      <c r="C1262" t="s">
        <v>1591</v>
      </c>
      <c r="D1262" t="s">
        <v>64</v>
      </c>
      <c r="E1262" t="s">
        <v>22</v>
      </c>
      <c r="F1262" t="s">
        <v>23</v>
      </c>
      <c r="G1262">
        <v>1</v>
      </c>
      <c r="H1262">
        <v>9791166300578</v>
      </c>
      <c r="I1262" t="s">
        <v>24</v>
      </c>
      <c r="J1262" t="s">
        <v>159</v>
      </c>
      <c r="K1262" t="s">
        <v>119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2">
        <v>0.7</v>
      </c>
      <c r="S1262">
        <v>441</v>
      </c>
      <c r="T1262" t="s">
        <v>27</v>
      </c>
      <c r="U1262">
        <v>441</v>
      </c>
      <c r="V1262" s="7" t="str">
        <f>IF(ISERROR(VLOOKUP(K1262,[1]작가별정산률!$R:$S,2,0)),"스토리위즈",VLOOKUP(K1262,[1]작가별정산률!$R:$S,2,0))</f>
        <v>스토리위즈</v>
      </c>
      <c r="W1262" s="7" t="str">
        <f>IF(V1262="스토리위즈",VLOOKUP(K1262,[1]작가별정산률!$A:$B,2,0),V1262)</f>
        <v>김광수</v>
      </c>
    </row>
    <row r="1263" spans="1:23" x14ac:dyDescent="0.4">
      <c r="A1263" t="s">
        <v>262</v>
      </c>
      <c r="B1263" t="s">
        <v>1579</v>
      </c>
      <c r="C1263" t="s">
        <v>1592</v>
      </c>
      <c r="D1263" t="s">
        <v>64</v>
      </c>
      <c r="E1263" t="s">
        <v>22</v>
      </c>
      <c r="F1263" t="s">
        <v>23</v>
      </c>
      <c r="G1263">
        <v>1</v>
      </c>
      <c r="H1263">
        <v>9791166300134</v>
      </c>
      <c r="I1263" t="s">
        <v>24</v>
      </c>
      <c r="J1263" t="s">
        <v>123</v>
      </c>
      <c r="K1263" t="s">
        <v>119</v>
      </c>
      <c r="L1263" t="s">
        <v>27</v>
      </c>
      <c r="M1263">
        <v>630</v>
      </c>
      <c r="N1263" t="s">
        <v>27</v>
      </c>
      <c r="O1263">
        <v>630</v>
      </c>
      <c r="P1263">
        <v>630</v>
      </c>
      <c r="Q1263" t="s">
        <v>30</v>
      </c>
      <c r="R1263" s="2">
        <v>0.7</v>
      </c>
      <c r="S1263">
        <v>441</v>
      </c>
      <c r="T1263" t="s">
        <v>27</v>
      </c>
      <c r="U1263">
        <v>441</v>
      </c>
      <c r="V1263" s="7" t="str">
        <f>IF(ISERROR(VLOOKUP(K1263,[1]작가별정산률!$R:$S,2,0)),"스토리위즈",VLOOKUP(K1263,[1]작가별정산률!$R:$S,2,0))</f>
        <v>스토리위즈</v>
      </c>
      <c r="W1263" s="7" t="str">
        <f>IF(V1263="스토리위즈",VLOOKUP(K1263,[1]작가별정산률!$A:$B,2,0),V1263)</f>
        <v>김광수</v>
      </c>
    </row>
    <row r="1264" spans="1:23" x14ac:dyDescent="0.4">
      <c r="A1264" t="s">
        <v>262</v>
      </c>
      <c r="B1264" t="s">
        <v>1579</v>
      </c>
      <c r="C1264" t="s">
        <v>1593</v>
      </c>
      <c r="D1264" t="s">
        <v>64</v>
      </c>
      <c r="E1264" t="s">
        <v>22</v>
      </c>
      <c r="F1264" t="s">
        <v>23</v>
      </c>
      <c r="G1264">
        <v>1</v>
      </c>
      <c r="H1264">
        <v>9791188630172</v>
      </c>
      <c r="I1264" t="s">
        <v>24</v>
      </c>
      <c r="J1264" t="s">
        <v>207</v>
      </c>
      <c r="K1264" t="s">
        <v>41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2">
        <v>0.7</v>
      </c>
      <c r="S1264">
        <v>441</v>
      </c>
      <c r="T1264" t="s">
        <v>27</v>
      </c>
      <c r="U1264">
        <v>441</v>
      </c>
      <c r="V1264" s="7" t="str">
        <f>IF(ISERROR(VLOOKUP(K1264,[1]작가별정산률!$R:$S,2,0)),"스토리위즈",VLOOKUP(K1264,[1]작가별정산률!$R:$S,2,0))</f>
        <v>스토리위즈</v>
      </c>
      <c r="W1264" s="7" t="str">
        <f>IF(V1264="스토리위즈",VLOOKUP(K1264,[1]작가별정산률!$A:$B,2,0),V1264)</f>
        <v>무장</v>
      </c>
    </row>
    <row r="1265" spans="1:23" x14ac:dyDescent="0.4">
      <c r="A1265" t="s">
        <v>262</v>
      </c>
      <c r="B1265" t="s">
        <v>1579</v>
      </c>
      <c r="C1265" t="s">
        <v>1594</v>
      </c>
      <c r="D1265" t="s">
        <v>64</v>
      </c>
      <c r="E1265" t="s">
        <v>22</v>
      </c>
      <c r="F1265" t="s">
        <v>23</v>
      </c>
      <c r="G1265">
        <v>1</v>
      </c>
      <c r="H1265">
        <v>9791166300141</v>
      </c>
      <c r="I1265" t="s">
        <v>24</v>
      </c>
      <c r="J1265" t="s">
        <v>124</v>
      </c>
      <c r="K1265" t="s">
        <v>119</v>
      </c>
      <c r="L1265" t="s">
        <v>27</v>
      </c>
      <c r="M1265">
        <v>630</v>
      </c>
      <c r="N1265" t="s">
        <v>27</v>
      </c>
      <c r="O1265">
        <v>630</v>
      </c>
      <c r="P1265">
        <v>630</v>
      </c>
      <c r="Q1265" t="s">
        <v>30</v>
      </c>
      <c r="R1265" s="2">
        <v>0.7</v>
      </c>
      <c r="S1265">
        <v>441</v>
      </c>
      <c r="T1265" t="s">
        <v>27</v>
      </c>
      <c r="U1265">
        <v>441</v>
      </c>
      <c r="V1265" s="7" t="str">
        <f>IF(ISERROR(VLOOKUP(K1265,[1]작가별정산률!$R:$S,2,0)),"스토리위즈",VLOOKUP(K1265,[1]작가별정산률!$R:$S,2,0))</f>
        <v>스토리위즈</v>
      </c>
      <c r="W1265" s="7" t="str">
        <f>IF(V1265="스토리위즈",VLOOKUP(K1265,[1]작가별정산률!$A:$B,2,0),V1265)</f>
        <v>김광수</v>
      </c>
    </row>
    <row r="1266" spans="1:23" x14ac:dyDescent="0.4">
      <c r="A1266" t="s">
        <v>262</v>
      </c>
      <c r="B1266" t="s">
        <v>1579</v>
      </c>
      <c r="C1266" t="s">
        <v>1595</v>
      </c>
      <c r="D1266" t="s">
        <v>64</v>
      </c>
      <c r="E1266" t="s">
        <v>22</v>
      </c>
      <c r="F1266" t="s">
        <v>23</v>
      </c>
      <c r="G1266">
        <v>1</v>
      </c>
      <c r="H1266">
        <v>9791166300561</v>
      </c>
      <c r="I1266" t="s">
        <v>24</v>
      </c>
      <c r="J1266" t="s">
        <v>158</v>
      </c>
      <c r="K1266" t="s">
        <v>119</v>
      </c>
      <c r="L1266" t="s">
        <v>27</v>
      </c>
      <c r="M1266">
        <v>630</v>
      </c>
      <c r="N1266" t="s">
        <v>27</v>
      </c>
      <c r="O1266">
        <v>630</v>
      </c>
      <c r="P1266">
        <v>630</v>
      </c>
      <c r="Q1266" t="s">
        <v>30</v>
      </c>
      <c r="R1266" s="2">
        <v>0.7</v>
      </c>
      <c r="S1266">
        <v>441</v>
      </c>
      <c r="T1266" t="s">
        <v>27</v>
      </c>
      <c r="U1266">
        <v>441</v>
      </c>
      <c r="V1266" s="7" t="str">
        <f>IF(ISERROR(VLOOKUP(K1266,[1]작가별정산률!$R:$S,2,0)),"스토리위즈",VLOOKUP(K1266,[1]작가별정산률!$R:$S,2,0))</f>
        <v>스토리위즈</v>
      </c>
      <c r="W1266" s="7" t="str">
        <f>IF(V1266="스토리위즈",VLOOKUP(K1266,[1]작가별정산률!$A:$B,2,0),V1266)</f>
        <v>김광수</v>
      </c>
    </row>
    <row r="1267" spans="1:23" x14ac:dyDescent="0.4">
      <c r="A1267" t="s">
        <v>262</v>
      </c>
      <c r="B1267" t="s">
        <v>1579</v>
      </c>
      <c r="C1267" t="s">
        <v>1596</v>
      </c>
      <c r="D1267" t="s">
        <v>21</v>
      </c>
      <c r="E1267" t="s">
        <v>22</v>
      </c>
      <c r="F1267" t="s">
        <v>23</v>
      </c>
      <c r="G1267">
        <v>1</v>
      </c>
      <c r="H1267">
        <v>9791191562248</v>
      </c>
      <c r="I1267" t="s">
        <v>143</v>
      </c>
      <c r="J1267" t="s">
        <v>231</v>
      </c>
      <c r="K1267" t="s">
        <v>232</v>
      </c>
      <c r="L1267" t="s">
        <v>27</v>
      </c>
      <c r="M1267" s="3">
        <v>2000</v>
      </c>
      <c r="N1267" t="s">
        <v>27</v>
      </c>
      <c r="O1267" s="3">
        <v>2000</v>
      </c>
      <c r="P1267" s="3">
        <v>2000</v>
      </c>
      <c r="Q1267" t="s">
        <v>30</v>
      </c>
      <c r="R1267" s="2">
        <v>0.7</v>
      </c>
      <c r="S1267" s="3">
        <v>1400</v>
      </c>
      <c r="T1267" t="s">
        <v>27</v>
      </c>
      <c r="U1267" s="3">
        <v>1400</v>
      </c>
      <c r="V1267" s="7" t="str">
        <f>IF(ISERROR(VLOOKUP(K1267,[1]작가별정산률!$R:$S,2,0)),"스토리위즈",VLOOKUP(K1267,[1]작가별정산률!$R:$S,2,0))</f>
        <v>밀리의 서재</v>
      </c>
      <c r="W1267" s="7" t="str">
        <f>IF(V1267="스토리위즈",VLOOKUP(K1267,[1]작가별정산률!$A:$B,2,0),V1267)</f>
        <v>밀리의 서재</v>
      </c>
    </row>
    <row r="1268" spans="1:23" x14ac:dyDescent="0.4">
      <c r="A1268" t="s">
        <v>262</v>
      </c>
      <c r="B1268" t="s">
        <v>1579</v>
      </c>
      <c r="C1268" t="s">
        <v>1597</v>
      </c>
      <c r="D1268" t="s">
        <v>64</v>
      </c>
      <c r="E1268" t="s">
        <v>22</v>
      </c>
      <c r="F1268" t="s">
        <v>23</v>
      </c>
      <c r="G1268">
        <v>1</v>
      </c>
      <c r="H1268">
        <v>9791166300219</v>
      </c>
      <c r="I1268" t="s">
        <v>24</v>
      </c>
      <c r="J1268" t="s">
        <v>130</v>
      </c>
      <c r="K1268" t="s">
        <v>119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2">
        <v>0.7</v>
      </c>
      <c r="S1268">
        <v>441</v>
      </c>
      <c r="T1268" t="s">
        <v>27</v>
      </c>
      <c r="U1268">
        <v>441</v>
      </c>
      <c r="V1268" s="7" t="str">
        <f>IF(ISERROR(VLOOKUP(K1268,[1]작가별정산률!$R:$S,2,0)),"스토리위즈",VLOOKUP(K1268,[1]작가별정산률!$R:$S,2,0))</f>
        <v>스토리위즈</v>
      </c>
      <c r="W1268" s="7" t="str">
        <f>IF(V1268="스토리위즈",VLOOKUP(K1268,[1]작가별정산률!$A:$B,2,0),V1268)</f>
        <v>김광수</v>
      </c>
    </row>
    <row r="1269" spans="1:23" x14ac:dyDescent="0.4">
      <c r="A1269" t="s">
        <v>262</v>
      </c>
      <c r="B1269" t="s">
        <v>1579</v>
      </c>
      <c r="C1269" t="s">
        <v>1598</v>
      </c>
      <c r="D1269" t="s">
        <v>64</v>
      </c>
      <c r="E1269" t="s">
        <v>22</v>
      </c>
      <c r="F1269" t="s">
        <v>23</v>
      </c>
      <c r="G1269">
        <v>1</v>
      </c>
      <c r="H1269">
        <v>9791166300530</v>
      </c>
      <c r="I1269" t="s">
        <v>24</v>
      </c>
      <c r="J1269" t="s">
        <v>151</v>
      </c>
      <c r="K1269" t="s">
        <v>119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  <c r="V1269" s="7" t="str">
        <f>IF(ISERROR(VLOOKUP(K1269,[1]작가별정산률!$R:$S,2,0)),"스토리위즈",VLOOKUP(K1269,[1]작가별정산률!$R:$S,2,0))</f>
        <v>스토리위즈</v>
      </c>
      <c r="W1269" s="7" t="str">
        <f>IF(V1269="스토리위즈",VLOOKUP(K1269,[1]작가별정산률!$A:$B,2,0),V1269)</f>
        <v>김광수</v>
      </c>
    </row>
    <row r="1270" spans="1:23" x14ac:dyDescent="0.4">
      <c r="A1270" t="s">
        <v>262</v>
      </c>
      <c r="B1270" t="s">
        <v>1579</v>
      </c>
      <c r="C1270" t="s">
        <v>1599</v>
      </c>
      <c r="D1270" t="s">
        <v>64</v>
      </c>
      <c r="E1270" t="s">
        <v>22</v>
      </c>
      <c r="F1270" t="s">
        <v>23</v>
      </c>
      <c r="G1270">
        <v>1</v>
      </c>
      <c r="H1270">
        <v>9791166300158</v>
      </c>
      <c r="I1270" t="s">
        <v>24</v>
      </c>
      <c r="J1270" t="s">
        <v>125</v>
      </c>
      <c r="K1270" t="s">
        <v>119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  <c r="V1270" s="7" t="str">
        <f>IF(ISERROR(VLOOKUP(K1270,[1]작가별정산률!$R:$S,2,0)),"스토리위즈",VLOOKUP(K1270,[1]작가별정산률!$R:$S,2,0))</f>
        <v>스토리위즈</v>
      </c>
      <c r="W1270" s="7" t="str">
        <f>IF(V1270="스토리위즈",VLOOKUP(K1270,[1]작가별정산률!$A:$B,2,0),V1270)</f>
        <v>김광수</v>
      </c>
    </row>
    <row r="1271" spans="1:23" x14ac:dyDescent="0.4">
      <c r="A1271" t="s">
        <v>262</v>
      </c>
      <c r="B1271" t="s">
        <v>1579</v>
      </c>
      <c r="C1271" t="s">
        <v>1600</v>
      </c>
      <c r="D1271" t="s">
        <v>21</v>
      </c>
      <c r="E1271" t="s">
        <v>22</v>
      </c>
      <c r="F1271" t="s">
        <v>23</v>
      </c>
      <c r="G1271">
        <v>1</v>
      </c>
      <c r="H1271">
        <v>9791191562033</v>
      </c>
      <c r="I1271" t="s">
        <v>143</v>
      </c>
      <c r="J1271" t="s">
        <v>189</v>
      </c>
      <c r="K1271" t="s">
        <v>187</v>
      </c>
      <c r="L1271" t="s">
        <v>27</v>
      </c>
      <c r="M1271" s="3">
        <v>2000</v>
      </c>
      <c r="N1271" t="s">
        <v>27</v>
      </c>
      <c r="O1271" s="3">
        <v>2000</v>
      </c>
      <c r="P1271" s="3">
        <v>2000</v>
      </c>
      <c r="Q1271" t="s">
        <v>30</v>
      </c>
      <c r="R1271" s="2">
        <v>0.7</v>
      </c>
      <c r="S1271" s="3">
        <v>1400</v>
      </c>
      <c r="T1271" t="s">
        <v>27</v>
      </c>
      <c r="U1271" s="3">
        <v>1400</v>
      </c>
      <c r="V1271" s="7" t="str">
        <f>IF(ISERROR(VLOOKUP(K1271,[1]작가별정산률!$R:$S,2,0)),"스토리위즈",VLOOKUP(K1271,[1]작가별정산률!$R:$S,2,0))</f>
        <v>밀리의 서재</v>
      </c>
      <c r="W1271" s="7" t="str">
        <f>IF(V1271="스토리위즈",VLOOKUP(K1271,[1]작가별정산률!$A:$B,2,0),V1271)</f>
        <v>밀리의 서재</v>
      </c>
    </row>
    <row r="1272" spans="1:23" x14ac:dyDescent="0.4">
      <c r="A1272" t="s">
        <v>262</v>
      </c>
      <c r="B1272" t="s">
        <v>1579</v>
      </c>
      <c r="C1272" t="s">
        <v>1601</v>
      </c>
      <c r="D1272" t="s">
        <v>64</v>
      </c>
      <c r="E1272" t="s">
        <v>22</v>
      </c>
      <c r="F1272" t="s">
        <v>23</v>
      </c>
      <c r="G1272">
        <v>1</v>
      </c>
      <c r="H1272">
        <v>9791166061103</v>
      </c>
      <c r="I1272" t="s">
        <v>24</v>
      </c>
      <c r="J1272" t="s">
        <v>96</v>
      </c>
      <c r="K1272" t="s">
        <v>37</v>
      </c>
      <c r="L1272" t="s">
        <v>27</v>
      </c>
      <c r="M1272">
        <v>900</v>
      </c>
      <c r="N1272" t="s">
        <v>27</v>
      </c>
      <c r="O1272">
        <v>900</v>
      </c>
      <c r="P1272">
        <v>900</v>
      </c>
      <c r="Q1272" t="s">
        <v>30</v>
      </c>
      <c r="R1272" s="2">
        <v>0.7</v>
      </c>
      <c r="S1272">
        <v>630</v>
      </c>
      <c r="T1272" t="s">
        <v>27</v>
      </c>
      <c r="U1272">
        <v>630</v>
      </c>
      <c r="V1272" s="7" t="str">
        <f>IF(ISERROR(VLOOKUP(K1272,[1]작가별정산률!$R:$S,2,0)),"스토리위즈",VLOOKUP(K1272,[1]작가별정산률!$R:$S,2,0))</f>
        <v>스토리위즈</v>
      </c>
      <c r="W1272" s="7" t="str">
        <f>IF(V1272="스토리위즈",VLOOKUP(K1272,[1]작가별정산률!$A:$B,2,0),V1272)</f>
        <v>권용찬</v>
      </c>
    </row>
    <row r="1273" spans="1:23" x14ac:dyDescent="0.4">
      <c r="A1273" t="s">
        <v>262</v>
      </c>
      <c r="B1273" t="s">
        <v>1579</v>
      </c>
      <c r="C1273" t="s">
        <v>1602</v>
      </c>
      <c r="D1273" t="s">
        <v>64</v>
      </c>
      <c r="E1273" t="s">
        <v>22</v>
      </c>
      <c r="F1273" t="s">
        <v>23</v>
      </c>
      <c r="G1273">
        <v>1</v>
      </c>
      <c r="H1273">
        <v>9791159283253</v>
      </c>
      <c r="I1273" t="s">
        <v>24</v>
      </c>
      <c r="J1273" t="s">
        <v>68</v>
      </c>
      <c r="K1273" t="s">
        <v>37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  <c r="V1273" s="7" t="str">
        <f>IF(ISERROR(VLOOKUP(K1273,[1]작가별정산률!$R:$S,2,0)),"스토리위즈",VLOOKUP(K1273,[1]작가별정산률!$R:$S,2,0))</f>
        <v>스토리위즈</v>
      </c>
      <c r="W1273" s="7" t="str">
        <f>IF(V1273="스토리위즈",VLOOKUP(K1273,[1]작가별정산률!$A:$B,2,0),V1273)</f>
        <v>권용찬</v>
      </c>
    </row>
    <row r="1274" spans="1:23" x14ac:dyDescent="0.4">
      <c r="A1274" t="s">
        <v>262</v>
      </c>
      <c r="B1274" t="s">
        <v>1579</v>
      </c>
      <c r="C1274" t="s">
        <v>1603</v>
      </c>
      <c r="D1274" t="s">
        <v>64</v>
      </c>
      <c r="E1274" t="s">
        <v>22</v>
      </c>
      <c r="F1274" t="s">
        <v>23</v>
      </c>
      <c r="G1274">
        <v>1</v>
      </c>
      <c r="H1274">
        <v>9791166300103</v>
      </c>
      <c r="I1274" t="s">
        <v>24</v>
      </c>
      <c r="J1274" t="s">
        <v>120</v>
      </c>
      <c r="K1274" t="s">
        <v>119</v>
      </c>
      <c r="L1274" t="s">
        <v>27</v>
      </c>
      <c r="M1274">
        <v>630</v>
      </c>
      <c r="N1274" t="s">
        <v>27</v>
      </c>
      <c r="O1274">
        <v>630</v>
      </c>
      <c r="P1274">
        <v>630</v>
      </c>
      <c r="Q1274" t="s">
        <v>30</v>
      </c>
      <c r="R1274" s="2">
        <v>0.7</v>
      </c>
      <c r="S1274">
        <v>441</v>
      </c>
      <c r="T1274" t="s">
        <v>27</v>
      </c>
      <c r="U1274">
        <v>441</v>
      </c>
      <c r="V1274" s="7" t="str">
        <f>IF(ISERROR(VLOOKUP(K1274,[1]작가별정산률!$R:$S,2,0)),"스토리위즈",VLOOKUP(K1274,[1]작가별정산률!$R:$S,2,0))</f>
        <v>스토리위즈</v>
      </c>
      <c r="W1274" s="7" t="str">
        <f>IF(V1274="스토리위즈",VLOOKUP(K1274,[1]작가별정산률!$A:$B,2,0),V1274)</f>
        <v>김광수</v>
      </c>
    </row>
    <row r="1275" spans="1:23" x14ac:dyDescent="0.4">
      <c r="A1275" t="s">
        <v>262</v>
      </c>
      <c r="B1275" t="s">
        <v>1579</v>
      </c>
      <c r="C1275" t="s">
        <v>1604</v>
      </c>
      <c r="D1275" t="s">
        <v>64</v>
      </c>
      <c r="E1275" t="s">
        <v>22</v>
      </c>
      <c r="F1275" t="s">
        <v>23</v>
      </c>
      <c r="G1275">
        <v>1</v>
      </c>
      <c r="H1275">
        <v>9791166300165</v>
      </c>
      <c r="I1275" t="s">
        <v>24</v>
      </c>
      <c r="J1275" t="s">
        <v>126</v>
      </c>
      <c r="K1275" t="s">
        <v>119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  <c r="V1275" s="7" t="str">
        <f>IF(ISERROR(VLOOKUP(K1275,[1]작가별정산률!$R:$S,2,0)),"스토리위즈",VLOOKUP(K1275,[1]작가별정산률!$R:$S,2,0))</f>
        <v>스토리위즈</v>
      </c>
      <c r="W1275" s="7" t="str">
        <f>IF(V1275="스토리위즈",VLOOKUP(K1275,[1]작가별정산률!$A:$B,2,0),V1275)</f>
        <v>김광수</v>
      </c>
    </row>
    <row r="1276" spans="1:23" x14ac:dyDescent="0.4">
      <c r="A1276" t="s">
        <v>262</v>
      </c>
      <c r="B1276" t="s">
        <v>1579</v>
      </c>
      <c r="C1276" t="s">
        <v>1605</v>
      </c>
      <c r="D1276" t="s">
        <v>21</v>
      </c>
      <c r="E1276" t="s">
        <v>22</v>
      </c>
      <c r="F1276" t="s">
        <v>23</v>
      </c>
      <c r="G1276">
        <v>1</v>
      </c>
      <c r="H1276">
        <v>9791164370085</v>
      </c>
      <c r="I1276" t="s">
        <v>143</v>
      </c>
      <c r="J1276" t="s">
        <v>1606</v>
      </c>
      <c r="K1276" t="s">
        <v>1035</v>
      </c>
      <c r="L1276" t="s">
        <v>27</v>
      </c>
      <c r="M1276">
        <v>400</v>
      </c>
      <c r="N1276" t="s">
        <v>28</v>
      </c>
      <c r="O1276">
        <v>0.33</v>
      </c>
      <c r="P1276">
        <v>0.33</v>
      </c>
      <c r="Q1276" t="s">
        <v>29</v>
      </c>
      <c r="R1276" s="2">
        <v>0.7</v>
      </c>
      <c r="S1276">
        <v>0.23</v>
      </c>
      <c r="T1276" t="s">
        <v>27</v>
      </c>
      <c r="U1276">
        <v>291</v>
      </c>
      <c r="V1276" s="7" t="str">
        <f>IF(ISERROR(VLOOKUP(K1276,[1]작가별정산률!$R:$S,2,0)),"스토리위즈",VLOOKUP(K1276,[1]작가별정산률!$R:$S,2,0))</f>
        <v>스토리위즈</v>
      </c>
      <c r="W1276" s="7" t="str">
        <f>IF(V1276="스토리위즈",VLOOKUP(K1276,[1]작가별정산률!$A:$B,2,0),V1276)</f>
        <v>모리미</v>
      </c>
    </row>
    <row r="1277" spans="1:23" x14ac:dyDescent="0.4">
      <c r="A1277" t="s">
        <v>262</v>
      </c>
      <c r="B1277" t="s">
        <v>1579</v>
      </c>
      <c r="C1277" t="s">
        <v>1607</v>
      </c>
      <c r="D1277" t="s">
        <v>21</v>
      </c>
      <c r="E1277" t="s">
        <v>22</v>
      </c>
      <c r="F1277" t="s">
        <v>23</v>
      </c>
      <c r="G1277">
        <v>1</v>
      </c>
      <c r="H1277">
        <v>9791191562286</v>
      </c>
      <c r="I1277" t="s">
        <v>143</v>
      </c>
      <c r="J1277" t="s">
        <v>238</v>
      </c>
      <c r="K1277" t="s">
        <v>239</v>
      </c>
      <c r="L1277" t="s">
        <v>27</v>
      </c>
      <c r="M1277" s="3">
        <v>2000</v>
      </c>
      <c r="N1277" t="s">
        <v>27</v>
      </c>
      <c r="O1277" s="3">
        <v>2000</v>
      </c>
      <c r="P1277" s="3">
        <v>2000</v>
      </c>
      <c r="Q1277" t="s">
        <v>30</v>
      </c>
      <c r="R1277" s="2">
        <v>0.7</v>
      </c>
      <c r="S1277" s="3">
        <v>1400</v>
      </c>
      <c r="T1277" t="s">
        <v>27</v>
      </c>
      <c r="U1277" s="3">
        <v>1400</v>
      </c>
      <c r="V1277" s="7" t="str">
        <f>IF(ISERROR(VLOOKUP(K1277,[1]작가별정산률!$R:$S,2,0)),"스토리위즈",VLOOKUP(K1277,[1]작가별정산률!$R:$S,2,0))</f>
        <v>밀리의 서재</v>
      </c>
      <c r="W1277" s="7" t="str">
        <f>IF(V1277="스토리위즈",VLOOKUP(K1277,[1]작가별정산률!$A:$B,2,0),V1277)</f>
        <v>밀리의 서재</v>
      </c>
    </row>
    <row r="1278" spans="1:23" x14ac:dyDescent="0.4">
      <c r="A1278" t="s">
        <v>262</v>
      </c>
      <c r="B1278" t="s">
        <v>1579</v>
      </c>
      <c r="C1278" t="s">
        <v>1608</v>
      </c>
      <c r="D1278" t="s">
        <v>64</v>
      </c>
      <c r="E1278" t="s">
        <v>22</v>
      </c>
      <c r="F1278" t="s">
        <v>23</v>
      </c>
      <c r="G1278">
        <v>1</v>
      </c>
      <c r="H1278">
        <v>9791166300301</v>
      </c>
      <c r="I1278" t="s">
        <v>24</v>
      </c>
      <c r="J1278" t="s">
        <v>139</v>
      </c>
      <c r="K1278" t="s">
        <v>119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2">
        <v>0.7</v>
      </c>
      <c r="S1278">
        <v>441</v>
      </c>
      <c r="T1278" t="s">
        <v>27</v>
      </c>
      <c r="U1278">
        <v>441</v>
      </c>
      <c r="V1278" s="7" t="str">
        <f>IF(ISERROR(VLOOKUP(K1278,[1]작가별정산률!$R:$S,2,0)),"스토리위즈",VLOOKUP(K1278,[1]작가별정산률!$R:$S,2,0))</f>
        <v>스토리위즈</v>
      </c>
      <c r="W1278" s="7" t="str">
        <f>IF(V1278="스토리위즈",VLOOKUP(K1278,[1]작가별정산률!$A:$B,2,0),V1278)</f>
        <v>김광수</v>
      </c>
    </row>
    <row r="1279" spans="1:23" x14ac:dyDescent="0.4">
      <c r="A1279" t="s">
        <v>262</v>
      </c>
      <c r="B1279" t="s">
        <v>1579</v>
      </c>
      <c r="C1279" t="s">
        <v>1609</v>
      </c>
      <c r="D1279" t="s">
        <v>64</v>
      </c>
      <c r="E1279" t="s">
        <v>22</v>
      </c>
      <c r="F1279" t="s">
        <v>23</v>
      </c>
      <c r="G1279">
        <v>1</v>
      </c>
      <c r="H1279">
        <v>9791159282850</v>
      </c>
      <c r="I1279" t="s">
        <v>24</v>
      </c>
      <c r="J1279" t="s">
        <v>31</v>
      </c>
      <c r="K1279" t="s">
        <v>26</v>
      </c>
      <c r="L1279" t="s">
        <v>27</v>
      </c>
      <c r="M1279">
        <v>630</v>
      </c>
      <c r="N1279" t="s">
        <v>27</v>
      </c>
      <c r="O1279">
        <v>630</v>
      </c>
      <c r="P1279">
        <v>630</v>
      </c>
      <c r="Q1279" t="s">
        <v>30</v>
      </c>
      <c r="R1279" s="2">
        <v>0.7</v>
      </c>
      <c r="S1279">
        <v>441</v>
      </c>
      <c r="T1279" t="s">
        <v>27</v>
      </c>
      <c r="U1279">
        <v>441</v>
      </c>
      <c r="V1279" s="7" t="str">
        <f>IF(ISERROR(VLOOKUP(K1279,[1]작가별정산률!$R:$S,2,0)),"스토리위즈",VLOOKUP(K1279,[1]작가별정산률!$R:$S,2,0))</f>
        <v>스토리위즈</v>
      </c>
      <c r="W1279" s="7" t="str">
        <f>IF(V1279="스토리위즈",VLOOKUP(K1279,[1]작가별정산률!$A:$B,2,0),V1279)</f>
        <v>독고진</v>
      </c>
    </row>
    <row r="1280" spans="1:23" x14ac:dyDescent="0.4">
      <c r="A1280" t="s">
        <v>262</v>
      </c>
      <c r="B1280" t="s">
        <v>1579</v>
      </c>
      <c r="C1280" t="s">
        <v>1610</v>
      </c>
      <c r="D1280" t="s">
        <v>64</v>
      </c>
      <c r="E1280" t="s">
        <v>22</v>
      </c>
      <c r="F1280" t="s">
        <v>23</v>
      </c>
      <c r="G1280">
        <v>1</v>
      </c>
      <c r="H1280">
        <v>9791166300172</v>
      </c>
      <c r="I1280" t="s">
        <v>24</v>
      </c>
      <c r="J1280" t="s">
        <v>127</v>
      </c>
      <c r="K1280" t="s">
        <v>119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2">
        <v>0.7</v>
      </c>
      <c r="S1280">
        <v>441</v>
      </c>
      <c r="T1280" t="s">
        <v>27</v>
      </c>
      <c r="U1280">
        <v>441</v>
      </c>
      <c r="V1280" s="7" t="str">
        <f>IF(ISERROR(VLOOKUP(K1280,[1]작가별정산률!$R:$S,2,0)),"스토리위즈",VLOOKUP(K1280,[1]작가별정산률!$R:$S,2,0))</f>
        <v>스토리위즈</v>
      </c>
      <c r="W1280" s="7" t="str">
        <f>IF(V1280="스토리위즈",VLOOKUP(K1280,[1]작가별정산률!$A:$B,2,0),V1280)</f>
        <v>김광수</v>
      </c>
    </row>
    <row r="1281" spans="1:23" x14ac:dyDescent="0.4">
      <c r="A1281" t="s">
        <v>262</v>
      </c>
      <c r="B1281" t="s">
        <v>1579</v>
      </c>
      <c r="C1281" t="s">
        <v>1611</v>
      </c>
      <c r="D1281" t="s">
        <v>64</v>
      </c>
      <c r="E1281" t="s">
        <v>22</v>
      </c>
      <c r="F1281" t="s">
        <v>23</v>
      </c>
      <c r="G1281">
        <v>1</v>
      </c>
      <c r="H1281">
        <v>9791166300141</v>
      </c>
      <c r="I1281" t="s">
        <v>24</v>
      </c>
      <c r="J1281" t="s">
        <v>124</v>
      </c>
      <c r="K1281" t="s">
        <v>119</v>
      </c>
      <c r="L1281" t="s">
        <v>27</v>
      </c>
      <c r="M1281">
        <v>630</v>
      </c>
      <c r="N1281" t="s">
        <v>27</v>
      </c>
      <c r="O1281">
        <v>630</v>
      </c>
      <c r="P1281">
        <v>630</v>
      </c>
      <c r="Q1281" t="s">
        <v>30</v>
      </c>
      <c r="R1281" s="2">
        <v>0.7</v>
      </c>
      <c r="S1281">
        <v>441</v>
      </c>
      <c r="T1281" t="s">
        <v>27</v>
      </c>
      <c r="U1281">
        <v>441</v>
      </c>
      <c r="V1281" s="7" t="str">
        <f>IF(ISERROR(VLOOKUP(K1281,[1]작가별정산률!$R:$S,2,0)),"스토리위즈",VLOOKUP(K1281,[1]작가별정산률!$R:$S,2,0))</f>
        <v>스토리위즈</v>
      </c>
      <c r="W1281" s="7" t="str">
        <f>IF(V1281="스토리위즈",VLOOKUP(K1281,[1]작가별정산률!$A:$B,2,0),V1281)</f>
        <v>김광수</v>
      </c>
    </row>
    <row r="1282" spans="1:23" x14ac:dyDescent="0.4">
      <c r="A1282" t="s">
        <v>262</v>
      </c>
      <c r="B1282" t="s">
        <v>1579</v>
      </c>
      <c r="C1282" t="s">
        <v>1612</v>
      </c>
      <c r="D1282" t="s">
        <v>64</v>
      </c>
      <c r="E1282" t="s">
        <v>22</v>
      </c>
      <c r="F1282" t="s">
        <v>23</v>
      </c>
      <c r="G1282">
        <v>1</v>
      </c>
      <c r="H1282">
        <v>9791166300196</v>
      </c>
      <c r="I1282" t="s">
        <v>24</v>
      </c>
      <c r="J1282" t="s">
        <v>128</v>
      </c>
      <c r="K1282" t="s">
        <v>119</v>
      </c>
      <c r="L1282" t="s">
        <v>27</v>
      </c>
      <c r="M1282">
        <v>630</v>
      </c>
      <c r="N1282" t="s">
        <v>27</v>
      </c>
      <c r="O1282">
        <v>630</v>
      </c>
      <c r="P1282">
        <v>630</v>
      </c>
      <c r="Q1282" t="s">
        <v>30</v>
      </c>
      <c r="R1282" s="2">
        <v>0.7</v>
      </c>
      <c r="S1282">
        <v>441</v>
      </c>
      <c r="T1282" t="s">
        <v>27</v>
      </c>
      <c r="U1282">
        <v>441</v>
      </c>
      <c r="V1282" s="7" t="str">
        <f>IF(ISERROR(VLOOKUP(K1282,[1]작가별정산률!$R:$S,2,0)),"스토리위즈",VLOOKUP(K1282,[1]작가별정산률!$R:$S,2,0))</f>
        <v>스토리위즈</v>
      </c>
      <c r="W1282" s="7" t="str">
        <f>IF(V1282="스토리위즈",VLOOKUP(K1282,[1]작가별정산률!$A:$B,2,0),V1282)</f>
        <v>김광수</v>
      </c>
    </row>
    <row r="1283" spans="1:23" x14ac:dyDescent="0.4">
      <c r="A1283" t="s">
        <v>262</v>
      </c>
      <c r="B1283" t="s">
        <v>1579</v>
      </c>
      <c r="C1283" t="s">
        <v>1613</v>
      </c>
      <c r="D1283" t="s">
        <v>64</v>
      </c>
      <c r="E1283" t="s">
        <v>22</v>
      </c>
      <c r="F1283" t="s">
        <v>23</v>
      </c>
      <c r="G1283">
        <v>1</v>
      </c>
      <c r="H1283">
        <v>9791166300462</v>
      </c>
      <c r="I1283" t="s">
        <v>24</v>
      </c>
      <c r="J1283" t="s">
        <v>144</v>
      </c>
      <c r="K1283" t="s">
        <v>119</v>
      </c>
      <c r="L1283" t="s">
        <v>27</v>
      </c>
      <c r="M1283">
        <v>630</v>
      </c>
      <c r="N1283" t="s">
        <v>27</v>
      </c>
      <c r="O1283">
        <v>630</v>
      </c>
      <c r="P1283">
        <v>630</v>
      </c>
      <c r="Q1283" t="s">
        <v>30</v>
      </c>
      <c r="R1283" s="2">
        <v>0.7</v>
      </c>
      <c r="S1283">
        <v>441</v>
      </c>
      <c r="T1283" t="s">
        <v>27</v>
      </c>
      <c r="U1283">
        <v>441</v>
      </c>
      <c r="V1283" s="7" t="str">
        <f>IF(ISERROR(VLOOKUP(K1283,[1]작가별정산률!$R:$S,2,0)),"스토리위즈",VLOOKUP(K1283,[1]작가별정산률!$R:$S,2,0))</f>
        <v>스토리위즈</v>
      </c>
      <c r="W1283" s="7" t="str">
        <f>IF(V1283="스토리위즈",VLOOKUP(K1283,[1]작가별정산률!$A:$B,2,0),V1283)</f>
        <v>김광수</v>
      </c>
    </row>
    <row r="1284" spans="1:23" x14ac:dyDescent="0.4">
      <c r="A1284" t="s">
        <v>262</v>
      </c>
      <c r="B1284" t="s">
        <v>1579</v>
      </c>
      <c r="C1284" t="s">
        <v>1614</v>
      </c>
      <c r="D1284" t="s">
        <v>64</v>
      </c>
      <c r="E1284" t="s">
        <v>22</v>
      </c>
      <c r="F1284" t="s">
        <v>23</v>
      </c>
      <c r="G1284">
        <v>1</v>
      </c>
      <c r="H1284">
        <v>9791166300578</v>
      </c>
      <c r="I1284" t="s">
        <v>24</v>
      </c>
      <c r="J1284" t="s">
        <v>159</v>
      </c>
      <c r="K1284" t="s">
        <v>119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2">
        <v>0.7</v>
      </c>
      <c r="S1284">
        <v>441</v>
      </c>
      <c r="T1284" t="s">
        <v>27</v>
      </c>
      <c r="U1284">
        <v>441</v>
      </c>
      <c r="V1284" s="7" t="str">
        <f>IF(ISERROR(VLOOKUP(K1284,[1]작가별정산률!$R:$S,2,0)),"스토리위즈",VLOOKUP(K1284,[1]작가별정산률!$R:$S,2,0))</f>
        <v>스토리위즈</v>
      </c>
      <c r="W1284" s="7" t="str">
        <f>IF(V1284="스토리위즈",VLOOKUP(K1284,[1]작가별정산률!$A:$B,2,0),V1284)</f>
        <v>김광수</v>
      </c>
    </row>
    <row r="1285" spans="1:23" x14ac:dyDescent="0.4">
      <c r="A1285" t="s">
        <v>262</v>
      </c>
      <c r="B1285" t="s">
        <v>1579</v>
      </c>
      <c r="C1285" t="s">
        <v>1615</v>
      </c>
      <c r="D1285" t="s">
        <v>21</v>
      </c>
      <c r="E1285" t="s">
        <v>22</v>
      </c>
      <c r="F1285" t="s">
        <v>23</v>
      </c>
      <c r="G1285">
        <v>1</v>
      </c>
      <c r="H1285">
        <v>9791166300288</v>
      </c>
      <c r="I1285" t="s">
        <v>24</v>
      </c>
      <c r="J1285" t="s">
        <v>137</v>
      </c>
      <c r="K1285" t="s">
        <v>119</v>
      </c>
      <c r="L1285" t="s">
        <v>27</v>
      </c>
      <c r="M1285" s="3">
        <v>3200</v>
      </c>
      <c r="N1285" t="s">
        <v>27</v>
      </c>
      <c r="O1285" s="3">
        <v>3200</v>
      </c>
      <c r="P1285" s="3">
        <v>3200</v>
      </c>
      <c r="Q1285" t="s">
        <v>30</v>
      </c>
      <c r="R1285" s="2">
        <v>0.7</v>
      </c>
      <c r="S1285" s="3">
        <v>2240</v>
      </c>
      <c r="T1285" t="s">
        <v>27</v>
      </c>
      <c r="U1285" s="3">
        <v>2240</v>
      </c>
      <c r="V1285" s="7" t="str">
        <f>IF(ISERROR(VLOOKUP(K1285,[1]작가별정산률!$R:$S,2,0)),"스토리위즈",VLOOKUP(K1285,[1]작가별정산률!$R:$S,2,0))</f>
        <v>스토리위즈</v>
      </c>
      <c r="W1285" s="7" t="str">
        <f>IF(V1285="스토리위즈",VLOOKUP(K1285,[1]작가별정산률!$A:$B,2,0),V1285)</f>
        <v>김광수</v>
      </c>
    </row>
    <row r="1286" spans="1:23" x14ac:dyDescent="0.4">
      <c r="A1286" t="s">
        <v>262</v>
      </c>
      <c r="B1286" t="s">
        <v>1579</v>
      </c>
      <c r="C1286" t="s">
        <v>1616</v>
      </c>
      <c r="D1286" t="s">
        <v>64</v>
      </c>
      <c r="E1286" t="s">
        <v>22</v>
      </c>
      <c r="F1286" t="s">
        <v>23</v>
      </c>
      <c r="G1286">
        <v>1</v>
      </c>
      <c r="H1286">
        <v>9791166300134</v>
      </c>
      <c r="I1286" t="s">
        <v>24</v>
      </c>
      <c r="J1286" t="s">
        <v>123</v>
      </c>
      <c r="K1286" t="s">
        <v>119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441</v>
      </c>
      <c r="V1286" s="7" t="str">
        <f>IF(ISERROR(VLOOKUP(K1286,[1]작가별정산률!$R:$S,2,0)),"스토리위즈",VLOOKUP(K1286,[1]작가별정산률!$R:$S,2,0))</f>
        <v>스토리위즈</v>
      </c>
      <c r="W1286" s="7" t="str">
        <f>IF(V1286="스토리위즈",VLOOKUP(K1286,[1]작가별정산률!$A:$B,2,0),V1286)</f>
        <v>김광수</v>
      </c>
    </row>
    <row r="1287" spans="1:23" x14ac:dyDescent="0.4">
      <c r="A1287" t="s">
        <v>262</v>
      </c>
      <c r="B1287" t="s">
        <v>1579</v>
      </c>
      <c r="C1287" t="s">
        <v>1617</v>
      </c>
      <c r="D1287" t="s">
        <v>64</v>
      </c>
      <c r="E1287" t="s">
        <v>22</v>
      </c>
      <c r="F1287" t="s">
        <v>23</v>
      </c>
      <c r="G1287">
        <v>1</v>
      </c>
      <c r="H1287">
        <v>9791166300110</v>
      </c>
      <c r="I1287" t="s">
        <v>24</v>
      </c>
      <c r="J1287" t="s">
        <v>121</v>
      </c>
      <c r="K1287" t="s">
        <v>119</v>
      </c>
      <c r="L1287" t="s">
        <v>27</v>
      </c>
      <c r="M1287">
        <v>630</v>
      </c>
      <c r="N1287" t="s">
        <v>27</v>
      </c>
      <c r="O1287">
        <v>630</v>
      </c>
      <c r="P1287">
        <v>630</v>
      </c>
      <c r="Q1287" t="s">
        <v>30</v>
      </c>
      <c r="R1287" s="2">
        <v>0.7</v>
      </c>
      <c r="S1287">
        <v>441</v>
      </c>
      <c r="T1287" t="s">
        <v>27</v>
      </c>
      <c r="U1287">
        <v>441</v>
      </c>
      <c r="V1287" s="7" t="str">
        <f>IF(ISERROR(VLOOKUP(K1287,[1]작가별정산률!$R:$S,2,0)),"스토리위즈",VLOOKUP(K1287,[1]작가별정산률!$R:$S,2,0))</f>
        <v>스토리위즈</v>
      </c>
      <c r="W1287" s="7" t="str">
        <f>IF(V1287="스토리위즈",VLOOKUP(K1287,[1]작가별정산률!$A:$B,2,0),V1287)</f>
        <v>김광수</v>
      </c>
    </row>
    <row r="1288" spans="1:23" x14ac:dyDescent="0.4">
      <c r="A1288" t="s">
        <v>262</v>
      </c>
      <c r="B1288" t="s">
        <v>1579</v>
      </c>
      <c r="C1288" t="s">
        <v>1618</v>
      </c>
      <c r="D1288" t="s">
        <v>64</v>
      </c>
      <c r="E1288" t="s">
        <v>22</v>
      </c>
      <c r="F1288" t="s">
        <v>23</v>
      </c>
      <c r="G1288">
        <v>1</v>
      </c>
      <c r="H1288">
        <v>9791159282843</v>
      </c>
      <c r="I1288" t="s">
        <v>24</v>
      </c>
      <c r="J1288" t="s">
        <v>25</v>
      </c>
      <c r="K1288" t="s">
        <v>26</v>
      </c>
      <c r="L1288" t="s">
        <v>27</v>
      </c>
      <c r="M1288">
        <v>630</v>
      </c>
      <c r="N1288" t="s">
        <v>27</v>
      </c>
      <c r="O1288">
        <v>630</v>
      </c>
      <c r="P1288">
        <v>630</v>
      </c>
      <c r="Q1288" t="s">
        <v>30</v>
      </c>
      <c r="R1288" s="2">
        <v>0.7</v>
      </c>
      <c r="S1288">
        <v>441</v>
      </c>
      <c r="T1288" t="s">
        <v>27</v>
      </c>
      <c r="U1288">
        <v>441</v>
      </c>
      <c r="V1288" s="7" t="str">
        <f>IF(ISERROR(VLOOKUP(K1288,[1]작가별정산률!$R:$S,2,0)),"스토리위즈",VLOOKUP(K1288,[1]작가별정산률!$R:$S,2,0))</f>
        <v>스토리위즈</v>
      </c>
      <c r="W1288" s="7" t="str">
        <f>IF(V1288="스토리위즈",VLOOKUP(K1288,[1]작가별정산률!$A:$B,2,0),V1288)</f>
        <v>독고진</v>
      </c>
    </row>
    <row r="1289" spans="1:23" x14ac:dyDescent="0.4">
      <c r="A1289" t="s">
        <v>262</v>
      </c>
      <c r="B1289" t="s">
        <v>1579</v>
      </c>
      <c r="C1289" t="s">
        <v>1619</v>
      </c>
      <c r="D1289" t="s">
        <v>64</v>
      </c>
      <c r="E1289" t="s">
        <v>22</v>
      </c>
      <c r="F1289" t="s">
        <v>23</v>
      </c>
      <c r="G1289">
        <v>1</v>
      </c>
      <c r="H1289">
        <v>9791159285004</v>
      </c>
      <c r="I1289" t="s">
        <v>24</v>
      </c>
      <c r="J1289" t="s">
        <v>53</v>
      </c>
      <c r="K1289" t="s">
        <v>47</v>
      </c>
      <c r="L1289" t="s">
        <v>27</v>
      </c>
      <c r="M1289">
        <v>630</v>
      </c>
      <c r="N1289" t="s">
        <v>27</v>
      </c>
      <c r="O1289">
        <v>630</v>
      </c>
      <c r="P1289">
        <v>630</v>
      </c>
      <c r="Q1289" t="s">
        <v>30</v>
      </c>
      <c r="R1289" s="2">
        <v>0.7</v>
      </c>
      <c r="S1289">
        <v>441</v>
      </c>
      <c r="T1289" t="s">
        <v>27</v>
      </c>
      <c r="U1289">
        <v>441</v>
      </c>
      <c r="V1289" s="7" t="str">
        <f>IF(ISERROR(VLOOKUP(K1289,[1]작가별정산률!$R:$S,2,0)),"스토리위즈",VLOOKUP(K1289,[1]작가별정산률!$R:$S,2,0))</f>
        <v>스토리위즈</v>
      </c>
      <c r="W1289" s="7" t="str">
        <f>IF(V1289="스토리위즈",VLOOKUP(K1289,[1]작가별정산률!$A:$B,2,0),V1289)</f>
        <v>전혁</v>
      </c>
    </row>
    <row r="1290" spans="1:23" x14ac:dyDescent="0.4">
      <c r="A1290" t="s">
        <v>262</v>
      </c>
      <c r="B1290" t="s">
        <v>1579</v>
      </c>
      <c r="C1290" t="s">
        <v>1620</v>
      </c>
      <c r="D1290" t="s">
        <v>64</v>
      </c>
      <c r="E1290" t="s">
        <v>22</v>
      </c>
      <c r="F1290" t="s">
        <v>23</v>
      </c>
      <c r="G1290">
        <v>1</v>
      </c>
      <c r="H1290">
        <v>9791166300141</v>
      </c>
      <c r="I1290" t="s">
        <v>24</v>
      </c>
      <c r="J1290" t="s">
        <v>124</v>
      </c>
      <c r="K1290" t="s">
        <v>119</v>
      </c>
      <c r="L1290" t="s">
        <v>27</v>
      </c>
      <c r="M1290">
        <v>630</v>
      </c>
      <c r="N1290" t="s">
        <v>27</v>
      </c>
      <c r="O1290">
        <v>630</v>
      </c>
      <c r="P1290">
        <v>630</v>
      </c>
      <c r="Q1290" t="s">
        <v>30</v>
      </c>
      <c r="R1290" s="2">
        <v>0.7</v>
      </c>
      <c r="S1290">
        <v>441</v>
      </c>
      <c r="T1290" t="s">
        <v>27</v>
      </c>
      <c r="U1290">
        <v>441</v>
      </c>
      <c r="V1290" s="7" t="str">
        <f>IF(ISERROR(VLOOKUP(K1290,[1]작가별정산률!$R:$S,2,0)),"스토리위즈",VLOOKUP(K1290,[1]작가별정산률!$R:$S,2,0))</f>
        <v>스토리위즈</v>
      </c>
      <c r="W1290" s="7" t="str">
        <f>IF(V1290="스토리위즈",VLOOKUP(K1290,[1]작가별정산률!$A:$B,2,0),V1290)</f>
        <v>김광수</v>
      </c>
    </row>
    <row r="1291" spans="1:23" x14ac:dyDescent="0.4">
      <c r="A1291" t="s">
        <v>262</v>
      </c>
      <c r="B1291" t="s">
        <v>1579</v>
      </c>
      <c r="C1291" t="s">
        <v>1621</v>
      </c>
      <c r="D1291" t="s">
        <v>64</v>
      </c>
      <c r="E1291" t="s">
        <v>22</v>
      </c>
      <c r="F1291" t="s">
        <v>23</v>
      </c>
      <c r="G1291">
        <v>1</v>
      </c>
      <c r="H1291">
        <v>9791166300158</v>
      </c>
      <c r="I1291" t="s">
        <v>24</v>
      </c>
      <c r="J1291" t="s">
        <v>125</v>
      </c>
      <c r="K1291" t="s">
        <v>119</v>
      </c>
      <c r="L1291" t="s">
        <v>27</v>
      </c>
      <c r="M1291">
        <v>630</v>
      </c>
      <c r="N1291" t="s">
        <v>27</v>
      </c>
      <c r="O1291">
        <v>630</v>
      </c>
      <c r="P1291">
        <v>630</v>
      </c>
      <c r="Q1291" t="s">
        <v>30</v>
      </c>
      <c r="R1291" s="2">
        <v>0.7</v>
      </c>
      <c r="S1291">
        <v>441</v>
      </c>
      <c r="T1291" t="s">
        <v>27</v>
      </c>
      <c r="U1291">
        <v>441</v>
      </c>
      <c r="V1291" s="7" t="str">
        <f>IF(ISERROR(VLOOKUP(K1291,[1]작가별정산률!$R:$S,2,0)),"스토리위즈",VLOOKUP(K1291,[1]작가별정산률!$R:$S,2,0))</f>
        <v>스토리위즈</v>
      </c>
      <c r="W1291" s="7" t="str">
        <f>IF(V1291="스토리위즈",VLOOKUP(K1291,[1]작가별정산률!$A:$B,2,0),V1291)</f>
        <v>김광수</v>
      </c>
    </row>
    <row r="1292" spans="1:23" x14ac:dyDescent="0.4">
      <c r="A1292" t="s">
        <v>262</v>
      </c>
      <c r="B1292" t="s">
        <v>1579</v>
      </c>
      <c r="C1292" t="s">
        <v>1622</v>
      </c>
      <c r="D1292" t="s">
        <v>21</v>
      </c>
      <c r="E1292" t="s">
        <v>22</v>
      </c>
      <c r="F1292" t="s">
        <v>23</v>
      </c>
      <c r="G1292">
        <v>1</v>
      </c>
      <c r="H1292">
        <v>9791191562187</v>
      </c>
      <c r="I1292" t="s">
        <v>143</v>
      </c>
      <c r="J1292" t="s">
        <v>217</v>
      </c>
      <c r="K1292" t="s">
        <v>218</v>
      </c>
      <c r="L1292" t="s">
        <v>27</v>
      </c>
      <c r="M1292" s="3">
        <v>2000</v>
      </c>
      <c r="N1292" t="s">
        <v>27</v>
      </c>
      <c r="O1292" s="3">
        <v>2000</v>
      </c>
      <c r="P1292" s="3">
        <v>2000</v>
      </c>
      <c r="Q1292" t="s">
        <v>30</v>
      </c>
      <c r="R1292" s="2">
        <v>0.7</v>
      </c>
      <c r="S1292" s="3">
        <v>1400</v>
      </c>
      <c r="T1292" t="s">
        <v>27</v>
      </c>
      <c r="U1292" s="3">
        <v>1400</v>
      </c>
      <c r="V1292" s="7" t="str">
        <f>IF(ISERROR(VLOOKUP(K1292,[1]작가별정산률!$R:$S,2,0)),"스토리위즈",VLOOKUP(K1292,[1]작가별정산률!$R:$S,2,0))</f>
        <v>밀리의 서재</v>
      </c>
      <c r="W1292" s="7" t="str">
        <f>IF(V1292="스토리위즈",VLOOKUP(K1292,[1]작가별정산률!$A:$B,2,0),V1292)</f>
        <v>밀리의 서재</v>
      </c>
    </row>
    <row r="1293" spans="1:23" x14ac:dyDescent="0.4">
      <c r="A1293" t="s">
        <v>262</v>
      </c>
      <c r="B1293" t="s">
        <v>1579</v>
      </c>
      <c r="C1293" t="s">
        <v>1623</v>
      </c>
      <c r="D1293" t="s">
        <v>64</v>
      </c>
      <c r="E1293" t="s">
        <v>22</v>
      </c>
      <c r="F1293" t="s">
        <v>23</v>
      </c>
      <c r="G1293">
        <v>1</v>
      </c>
      <c r="H1293">
        <v>9791166061110</v>
      </c>
      <c r="I1293" t="s">
        <v>24</v>
      </c>
      <c r="J1293" t="s">
        <v>97</v>
      </c>
      <c r="K1293" t="s">
        <v>37</v>
      </c>
      <c r="L1293" t="s">
        <v>27</v>
      </c>
      <c r="M1293">
        <v>900</v>
      </c>
      <c r="N1293" t="s">
        <v>27</v>
      </c>
      <c r="O1293">
        <v>900</v>
      </c>
      <c r="P1293">
        <v>900</v>
      </c>
      <c r="Q1293" t="s">
        <v>30</v>
      </c>
      <c r="R1293" s="2">
        <v>0.7</v>
      </c>
      <c r="S1293">
        <v>630</v>
      </c>
      <c r="T1293" t="s">
        <v>27</v>
      </c>
      <c r="U1293">
        <v>630</v>
      </c>
      <c r="V1293" s="7" t="str">
        <f>IF(ISERROR(VLOOKUP(K1293,[1]작가별정산률!$R:$S,2,0)),"스토리위즈",VLOOKUP(K1293,[1]작가별정산률!$R:$S,2,0))</f>
        <v>스토리위즈</v>
      </c>
      <c r="W1293" s="7" t="str">
        <f>IF(V1293="스토리위즈",VLOOKUP(K1293,[1]작가별정산률!$A:$B,2,0),V1293)</f>
        <v>권용찬</v>
      </c>
    </row>
    <row r="1294" spans="1:23" x14ac:dyDescent="0.4">
      <c r="A1294" t="s">
        <v>262</v>
      </c>
      <c r="B1294" t="s">
        <v>1579</v>
      </c>
      <c r="C1294" t="s">
        <v>1624</v>
      </c>
      <c r="D1294" t="s">
        <v>64</v>
      </c>
      <c r="E1294" t="s">
        <v>22</v>
      </c>
      <c r="F1294" t="s">
        <v>23</v>
      </c>
      <c r="G1294">
        <v>1</v>
      </c>
      <c r="H1294">
        <v>9791166300585</v>
      </c>
      <c r="I1294" t="s">
        <v>24</v>
      </c>
      <c r="J1294" t="s">
        <v>160</v>
      </c>
      <c r="K1294" t="s">
        <v>119</v>
      </c>
      <c r="L1294" t="s">
        <v>27</v>
      </c>
      <c r="M1294">
        <v>630</v>
      </c>
      <c r="N1294" t="s">
        <v>27</v>
      </c>
      <c r="O1294">
        <v>630</v>
      </c>
      <c r="P1294">
        <v>630</v>
      </c>
      <c r="Q1294" t="s">
        <v>30</v>
      </c>
      <c r="R1294" s="2">
        <v>0.7</v>
      </c>
      <c r="S1294">
        <v>441</v>
      </c>
      <c r="T1294" t="s">
        <v>27</v>
      </c>
      <c r="U1294">
        <v>441</v>
      </c>
      <c r="V1294" s="7" t="str">
        <f>IF(ISERROR(VLOOKUP(K1294,[1]작가별정산률!$R:$S,2,0)),"스토리위즈",VLOOKUP(K1294,[1]작가별정산률!$R:$S,2,0))</f>
        <v>스토리위즈</v>
      </c>
      <c r="W1294" s="7" t="str">
        <f>IF(V1294="스토리위즈",VLOOKUP(K1294,[1]작가별정산률!$A:$B,2,0),V1294)</f>
        <v>김광수</v>
      </c>
    </row>
    <row r="1295" spans="1:23" x14ac:dyDescent="0.4">
      <c r="A1295" t="s">
        <v>262</v>
      </c>
      <c r="B1295" t="s">
        <v>1579</v>
      </c>
      <c r="C1295" t="s">
        <v>1625</v>
      </c>
      <c r="D1295" t="s">
        <v>64</v>
      </c>
      <c r="E1295" t="s">
        <v>22</v>
      </c>
      <c r="F1295" t="s">
        <v>23</v>
      </c>
      <c r="G1295">
        <v>1</v>
      </c>
      <c r="H1295">
        <v>9791159285011</v>
      </c>
      <c r="I1295" t="s">
        <v>24</v>
      </c>
      <c r="J1295" t="s">
        <v>54</v>
      </c>
      <c r="K1295" t="s">
        <v>47</v>
      </c>
      <c r="L1295" t="s">
        <v>27</v>
      </c>
      <c r="M1295">
        <v>630</v>
      </c>
      <c r="N1295" t="s">
        <v>27</v>
      </c>
      <c r="O1295">
        <v>630</v>
      </c>
      <c r="P1295">
        <v>630</v>
      </c>
      <c r="Q1295" t="s">
        <v>30</v>
      </c>
      <c r="R1295" s="2">
        <v>0.7</v>
      </c>
      <c r="S1295">
        <v>441</v>
      </c>
      <c r="T1295" t="s">
        <v>27</v>
      </c>
      <c r="U1295">
        <v>441</v>
      </c>
      <c r="V1295" s="7" t="str">
        <f>IF(ISERROR(VLOOKUP(K1295,[1]작가별정산률!$R:$S,2,0)),"스토리위즈",VLOOKUP(K1295,[1]작가별정산률!$R:$S,2,0))</f>
        <v>스토리위즈</v>
      </c>
      <c r="W1295" s="7" t="str">
        <f>IF(V1295="스토리위즈",VLOOKUP(K1295,[1]작가별정산률!$A:$B,2,0),V1295)</f>
        <v>전혁</v>
      </c>
    </row>
    <row r="1296" spans="1:23" x14ac:dyDescent="0.4">
      <c r="A1296" t="s">
        <v>262</v>
      </c>
      <c r="B1296" t="s">
        <v>1579</v>
      </c>
      <c r="C1296" t="s">
        <v>1626</v>
      </c>
      <c r="D1296" t="s">
        <v>21</v>
      </c>
      <c r="E1296" t="s">
        <v>22</v>
      </c>
      <c r="F1296" t="s">
        <v>23</v>
      </c>
      <c r="G1296">
        <v>1</v>
      </c>
      <c r="H1296">
        <v>9791191562309</v>
      </c>
      <c r="I1296" t="s">
        <v>143</v>
      </c>
      <c r="J1296" t="s">
        <v>225</v>
      </c>
      <c r="K1296" t="s">
        <v>226</v>
      </c>
      <c r="L1296" t="s">
        <v>27</v>
      </c>
      <c r="M1296" s="3">
        <v>2500</v>
      </c>
      <c r="N1296" t="s">
        <v>28</v>
      </c>
      <c r="O1296">
        <v>2.06</v>
      </c>
      <c r="P1296">
        <v>2.06</v>
      </c>
      <c r="Q1296" t="s">
        <v>29</v>
      </c>
      <c r="R1296" s="2">
        <v>0.7</v>
      </c>
      <c r="S1296">
        <v>1.44</v>
      </c>
      <c r="T1296" t="s">
        <v>27</v>
      </c>
      <c r="U1296" s="3">
        <v>1824</v>
      </c>
      <c r="V1296" s="7" t="str">
        <f>IF(ISERROR(VLOOKUP(K1296,[1]작가별정산률!$R:$S,2,0)),"스토리위즈",VLOOKUP(K1296,[1]작가별정산률!$R:$S,2,0))</f>
        <v>밀리의 서재</v>
      </c>
      <c r="W1296" s="7" t="str">
        <f>IF(V1296="스토리위즈",VLOOKUP(K1296,[1]작가별정산률!$A:$B,2,0),V1296)</f>
        <v>밀리의 서재</v>
      </c>
    </row>
    <row r="1297" spans="1:23" x14ac:dyDescent="0.4">
      <c r="A1297" t="s">
        <v>262</v>
      </c>
      <c r="B1297" t="s">
        <v>1579</v>
      </c>
      <c r="C1297" t="s">
        <v>1627</v>
      </c>
      <c r="D1297" t="s">
        <v>64</v>
      </c>
      <c r="E1297" t="s">
        <v>22</v>
      </c>
      <c r="F1297" t="s">
        <v>23</v>
      </c>
      <c r="G1297">
        <v>1</v>
      </c>
      <c r="H1297">
        <v>9791166300592</v>
      </c>
      <c r="I1297" t="s">
        <v>24</v>
      </c>
      <c r="J1297" t="s">
        <v>161</v>
      </c>
      <c r="K1297" t="s">
        <v>119</v>
      </c>
      <c r="L1297" t="s">
        <v>27</v>
      </c>
      <c r="M1297">
        <v>630</v>
      </c>
      <c r="N1297" t="s">
        <v>27</v>
      </c>
      <c r="O1297">
        <v>630</v>
      </c>
      <c r="P1297">
        <v>630</v>
      </c>
      <c r="Q1297" t="s">
        <v>30</v>
      </c>
      <c r="R1297" s="2">
        <v>0.7</v>
      </c>
      <c r="S1297">
        <v>441</v>
      </c>
      <c r="T1297" t="s">
        <v>27</v>
      </c>
      <c r="U1297">
        <v>441</v>
      </c>
      <c r="V1297" s="7" t="str">
        <f>IF(ISERROR(VLOOKUP(K1297,[1]작가별정산률!$R:$S,2,0)),"스토리위즈",VLOOKUP(K1297,[1]작가별정산률!$R:$S,2,0))</f>
        <v>스토리위즈</v>
      </c>
      <c r="W1297" s="7" t="str">
        <f>IF(V1297="스토리위즈",VLOOKUP(K1297,[1]작가별정산률!$A:$B,2,0),V1297)</f>
        <v>김광수</v>
      </c>
    </row>
    <row r="1298" spans="1:23" x14ac:dyDescent="0.4">
      <c r="A1298" t="s">
        <v>262</v>
      </c>
      <c r="B1298" t="s">
        <v>1579</v>
      </c>
      <c r="C1298" t="s">
        <v>1628</v>
      </c>
      <c r="D1298" t="s">
        <v>64</v>
      </c>
      <c r="E1298" t="s">
        <v>22</v>
      </c>
      <c r="F1298" t="s">
        <v>23</v>
      </c>
      <c r="G1298">
        <v>1</v>
      </c>
      <c r="H1298">
        <v>9791188630189</v>
      </c>
      <c r="I1298" t="s">
        <v>24</v>
      </c>
      <c r="J1298" t="s">
        <v>208</v>
      </c>
      <c r="K1298" t="s">
        <v>41</v>
      </c>
      <c r="L1298" t="s">
        <v>27</v>
      </c>
      <c r="M1298">
        <v>630</v>
      </c>
      <c r="N1298" t="s">
        <v>27</v>
      </c>
      <c r="O1298">
        <v>630</v>
      </c>
      <c r="P1298">
        <v>630</v>
      </c>
      <c r="Q1298" t="s">
        <v>30</v>
      </c>
      <c r="R1298" s="2">
        <v>0.7</v>
      </c>
      <c r="S1298">
        <v>441</v>
      </c>
      <c r="T1298" t="s">
        <v>27</v>
      </c>
      <c r="U1298">
        <v>441</v>
      </c>
      <c r="V1298" s="7" t="str">
        <f>IF(ISERROR(VLOOKUP(K1298,[1]작가별정산률!$R:$S,2,0)),"스토리위즈",VLOOKUP(K1298,[1]작가별정산률!$R:$S,2,0))</f>
        <v>스토리위즈</v>
      </c>
      <c r="W1298" s="7" t="str">
        <f>IF(V1298="스토리위즈",VLOOKUP(K1298,[1]작가별정산률!$A:$B,2,0),V1298)</f>
        <v>무장</v>
      </c>
    </row>
    <row r="1299" spans="1:23" x14ac:dyDescent="0.4">
      <c r="A1299" t="s">
        <v>262</v>
      </c>
      <c r="B1299" t="s">
        <v>1579</v>
      </c>
      <c r="C1299" t="s">
        <v>1629</v>
      </c>
      <c r="D1299" t="s">
        <v>64</v>
      </c>
      <c r="E1299" t="s">
        <v>22</v>
      </c>
      <c r="F1299" t="s">
        <v>23</v>
      </c>
      <c r="G1299">
        <v>1</v>
      </c>
      <c r="H1299">
        <v>9791166300233</v>
      </c>
      <c r="I1299" t="s">
        <v>24</v>
      </c>
      <c r="J1299" t="s">
        <v>132</v>
      </c>
      <c r="K1299" t="s">
        <v>119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  <c r="V1299" s="7" t="str">
        <f>IF(ISERROR(VLOOKUP(K1299,[1]작가별정산률!$R:$S,2,0)),"스토리위즈",VLOOKUP(K1299,[1]작가별정산률!$R:$S,2,0))</f>
        <v>스토리위즈</v>
      </c>
      <c r="W1299" s="7" t="str">
        <f>IF(V1299="스토리위즈",VLOOKUP(K1299,[1]작가별정산률!$A:$B,2,0),V1299)</f>
        <v>김광수</v>
      </c>
    </row>
    <row r="1300" spans="1:23" x14ac:dyDescent="0.4">
      <c r="A1300" t="s">
        <v>262</v>
      </c>
      <c r="B1300" t="s">
        <v>1579</v>
      </c>
      <c r="C1300" t="s">
        <v>1630</v>
      </c>
      <c r="D1300" t="s">
        <v>64</v>
      </c>
      <c r="E1300" t="s">
        <v>22</v>
      </c>
      <c r="F1300" t="s">
        <v>23</v>
      </c>
      <c r="G1300">
        <v>1</v>
      </c>
      <c r="H1300">
        <v>9791159282867</v>
      </c>
      <c r="I1300" t="s">
        <v>24</v>
      </c>
      <c r="J1300" t="s">
        <v>32</v>
      </c>
      <c r="K1300" t="s">
        <v>26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  <c r="V1300" s="7" t="str">
        <f>IF(ISERROR(VLOOKUP(K1300,[1]작가별정산률!$R:$S,2,0)),"스토리위즈",VLOOKUP(K1300,[1]작가별정산률!$R:$S,2,0))</f>
        <v>스토리위즈</v>
      </c>
      <c r="W1300" s="7" t="str">
        <f>IF(V1300="스토리위즈",VLOOKUP(K1300,[1]작가별정산률!$A:$B,2,0),V1300)</f>
        <v>독고진</v>
      </c>
    </row>
    <row r="1301" spans="1:23" x14ac:dyDescent="0.4">
      <c r="A1301" t="s">
        <v>262</v>
      </c>
      <c r="B1301" t="s">
        <v>1579</v>
      </c>
      <c r="C1301" t="s">
        <v>1631</v>
      </c>
      <c r="D1301" t="s">
        <v>64</v>
      </c>
      <c r="E1301" t="s">
        <v>22</v>
      </c>
      <c r="F1301" t="s">
        <v>23</v>
      </c>
      <c r="G1301">
        <v>1</v>
      </c>
      <c r="H1301">
        <v>9791159282850</v>
      </c>
      <c r="I1301" t="s">
        <v>24</v>
      </c>
      <c r="J1301" t="s">
        <v>31</v>
      </c>
      <c r="K1301" t="s">
        <v>26</v>
      </c>
      <c r="L1301" t="s">
        <v>27</v>
      </c>
      <c r="M1301">
        <v>630</v>
      </c>
      <c r="N1301" t="s">
        <v>27</v>
      </c>
      <c r="O1301">
        <v>630</v>
      </c>
      <c r="P1301">
        <v>630</v>
      </c>
      <c r="Q1301" t="s">
        <v>30</v>
      </c>
      <c r="R1301" s="2">
        <v>0.7</v>
      </c>
      <c r="S1301">
        <v>441</v>
      </c>
      <c r="T1301" t="s">
        <v>27</v>
      </c>
      <c r="U1301">
        <v>441</v>
      </c>
      <c r="V1301" s="7" t="str">
        <f>IF(ISERROR(VLOOKUP(K1301,[1]작가별정산률!$R:$S,2,0)),"스토리위즈",VLOOKUP(K1301,[1]작가별정산률!$R:$S,2,0))</f>
        <v>스토리위즈</v>
      </c>
      <c r="W1301" s="7" t="str">
        <f>IF(V1301="스토리위즈",VLOOKUP(K1301,[1]작가별정산률!$A:$B,2,0),V1301)</f>
        <v>독고진</v>
      </c>
    </row>
    <row r="1302" spans="1:23" x14ac:dyDescent="0.4">
      <c r="A1302" t="s">
        <v>262</v>
      </c>
      <c r="B1302" t="s">
        <v>1579</v>
      </c>
      <c r="C1302" t="s">
        <v>1632</v>
      </c>
      <c r="D1302" t="s">
        <v>64</v>
      </c>
      <c r="E1302" t="s">
        <v>22</v>
      </c>
      <c r="F1302" t="s">
        <v>23</v>
      </c>
      <c r="G1302">
        <v>1</v>
      </c>
      <c r="H1302">
        <v>9791166300226</v>
      </c>
      <c r="I1302" t="s">
        <v>24</v>
      </c>
      <c r="J1302" t="s">
        <v>131</v>
      </c>
      <c r="K1302" t="s">
        <v>119</v>
      </c>
      <c r="L1302" t="s">
        <v>27</v>
      </c>
      <c r="M1302">
        <v>630</v>
      </c>
      <c r="N1302" t="s">
        <v>27</v>
      </c>
      <c r="O1302">
        <v>630</v>
      </c>
      <c r="P1302">
        <v>630</v>
      </c>
      <c r="Q1302" t="s">
        <v>30</v>
      </c>
      <c r="R1302" s="2">
        <v>0.7</v>
      </c>
      <c r="S1302">
        <v>441</v>
      </c>
      <c r="T1302" t="s">
        <v>27</v>
      </c>
      <c r="U1302">
        <v>441</v>
      </c>
      <c r="V1302" s="7" t="str">
        <f>IF(ISERROR(VLOOKUP(K1302,[1]작가별정산률!$R:$S,2,0)),"스토리위즈",VLOOKUP(K1302,[1]작가별정산률!$R:$S,2,0))</f>
        <v>스토리위즈</v>
      </c>
      <c r="W1302" s="7" t="str">
        <f>IF(V1302="스토리위즈",VLOOKUP(K1302,[1]작가별정산률!$A:$B,2,0),V1302)</f>
        <v>김광수</v>
      </c>
    </row>
    <row r="1303" spans="1:23" x14ac:dyDescent="0.4">
      <c r="A1303" t="s">
        <v>262</v>
      </c>
      <c r="B1303" t="s">
        <v>1579</v>
      </c>
      <c r="C1303" t="s">
        <v>1633</v>
      </c>
      <c r="D1303" t="s">
        <v>64</v>
      </c>
      <c r="E1303" t="s">
        <v>22</v>
      </c>
      <c r="F1303" t="s">
        <v>23</v>
      </c>
      <c r="G1303">
        <v>1</v>
      </c>
      <c r="H1303">
        <v>9791159285844</v>
      </c>
      <c r="I1303" t="s">
        <v>24</v>
      </c>
      <c r="J1303" t="s">
        <v>52</v>
      </c>
      <c r="K1303" t="s">
        <v>37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2">
        <v>0.7</v>
      </c>
      <c r="S1303">
        <v>441</v>
      </c>
      <c r="T1303" t="s">
        <v>27</v>
      </c>
      <c r="U1303">
        <v>441</v>
      </c>
      <c r="V1303" s="7" t="str">
        <f>IF(ISERROR(VLOOKUP(K1303,[1]작가별정산률!$R:$S,2,0)),"스토리위즈",VLOOKUP(K1303,[1]작가별정산률!$R:$S,2,0))</f>
        <v>스토리위즈</v>
      </c>
      <c r="W1303" s="7" t="str">
        <f>IF(V1303="스토리위즈",VLOOKUP(K1303,[1]작가별정산률!$A:$B,2,0),V1303)</f>
        <v>권용찬</v>
      </c>
    </row>
    <row r="1304" spans="1:23" x14ac:dyDescent="0.4">
      <c r="A1304" t="s">
        <v>262</v>
      </c>
      <c r="B1304" t="s">
        <v>1579</v>
      </c>
      <c r="C1304" t="s">
        <v>1634</v>
      </c>
      <c r="D1304" t="s">
        <v>21</v>
      </c>
      <c r="E1304" t="s">
        <v>22</v>
      </c>
      <c r="F1304" t="s">
        <v>23</v>
      </c>
      <c r="G1304">
        <v>1</v>
      </c>
      <c r="H1304">
        <v>9791191562033</v>
      </c>
      <c r="I1304" t="s">
        <v>143</v>
      </c>
      <c r="J1304" t="s">
        <v>189</v>
      </c>
      <c r="K1304" t="s">
        <v>187</v>
      </c>
      <c r="L1304" t="s">
        <v>27</v>
      </c>
      <c r="M1304" s="3">
        <v>2000</v>
      </c>
      <c r="N1304" t="s">
        <v>27</v>
      </c>
      <c r="O1304" s="3">
        <v>2000</v>
      </c>
      <c r="P1304" s="3">
        <v>2000</v>
      </c>
      <c r="Q1304" t="s">
        <v>30</v>
      </c>
      <c r="R1304" s="2">
        <v>0.7</v>
      </c>
      <c r="S1304" s="3">
        <v>1400</v>
      </c>
      <c r="T1304" t="s">
        <v>27</v>
      </c>
      <c r="U1304" s="3">
        <v>1400</v>
      </c>
      <c r="V1304" s="7" t="str">
        <f>IF(ISERROR(VLOOKUP(K1304,[1]작가별정산률!$R:$S,2,0)),"스토리위즈",VLOOKUP(K1304,[1]작가별정산률!$R:$S,2,0))</f>
        <v>밀리의 서재</v>
      </c>
      <c r="W1304" s="7" t="str">
        <f>IF(V1304="스토리위즈",VLOOKUP(K1304,[1]작가별정산률!$A:$B,2,0),V1304)</f>
        <v>밀리의 서재</v>
      </c>
    </row>
    <row r="1305" spans="1:23" x14ac:dyDescent="0.4">
      <c r="A1305" t="s">
        <v>262</v>
      </c>
      <c r="B1305" t="s">
        <v>1579</v>
      </c>
      <c r="C1305" t="s">
        <v>1635</v>
      </c>
      <c r="D1305" t="s">
        <v>21</v>
      </c>
      <c r="E1305" t="s">
        <v>22</v>
      </c>
      <c r="F1305" t="s">
        <v>23</v>
      </c>
      <c r="G1305">
        <v>1</v>
      </c>
      <c r="H1305">
        <v>9791191562248</v>
      </c>
      <c r="I1305" t="s">
        <v>143</v>
      </c>
      <c r="J1305" t="s">
        <v>231</v>
      </c>
      <c r="K1305" t="s">
        <v>232</v>
      </c>
      <c r="L1305" t="s">
        <v>27</v>
      </c>
      <c r="M1305" s="3">
        <v>2000</v>
      </c>
      <c r="N1305" t="s">
        <v>27</v>
      </c>
      <c r="O1305" s="3">
        <v>2000</v>
      </c>
      <c r="P1305" s="3">
        <v>2000</v>
      </c>
      <c r="Q1305" t="s">
        <v>30</v>
      </c>
      <c r="R1305" s="2">
        <v>0.7</v>
      </c>
      <c r="S1305" s="3">
        <v>1400</v>
      </c>
      <c r="T1305" t="s">
        <v>27</v>
      </c>
      <c r="U1305" s="3">
        <v>1400</v>
      </c>
      <c r="V1305" s="7" t="str">
        <f>IF(ISERROR(VLOOKUP(K1305,[1]작가별정산률!$R:$S,2,0)),"스토리위즈",VLOOKUP(K1305,[1]작가별정산률!$R:$S,2,0))</f>
        <v>밀리의 서재</v>
      </c>
      <c r="W1305" s="7" t="str">
        <f>IF(V1305="스토리위즈",VLOOKUP(K1305,[1]작가별정산률!$A:$B,2,0),V1305)</f>
        <v>밀리의 서재</v>
      </c>
    </row>
    <row r="1306" spans="1:23" x14ac:dyDescent="0.4">
      <c r="A1306" t="s">
        <v>262</v>
      </c>
      <c r="B1306" t="s">
        <v>1579</v>
      </c>
      <c r="C1306" t="s">
        <v>1636</v>
      </c>
      <c r="D1306" t="s">
        <v>64</v>
      </c>
      <c r="E1306" t="s">
        <v>22</v>
      </c>
      <c r="F1306" t="s">
        <v>23</v>
      </c>
      <c r="G1306">
        <v>1</v>
      </c>
      <c r="H1306">
        <v>9791166300110</v>
      </c>
      <c r="I1306" t="s">
        <v>24</v>
      </c>
      <c r="J1306" t="s">
        <v>121</v>
      </c>
      <c r="K1306" t="s">
        <v>119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2">
        <v>0.7</v>
      </c>
      <c r="S1306">
        <v>441</v>
      </c>
      <c r="T1306" t="s">
        <v>27</v>
      </c>
      <c r="U1306">
        <v>441</v>
      </c>
      <c r="V1306" s="7" t="str">
        <f>IF(ISERROR(VLOOKUP(K1306,[1]작가별정산률!$R:$S,2,0)),"스토리위즈",VLOOKUP(K1306,[1]작가별정산률!$R:$S,2,0))</f>
        <v>스토리위즈</v>
      </c>
      <c r="W1306" s="7" t="str">
        <f>IF(V1306="스토리위즈",VLOOKUP(K1306,[1]작가별정산률!$A:$B,2,0),V1306)</f>
        <v>김광수</v>
      </c>
    </row>
    <row r="1307" spans="1:23" x14ac:dyDescent="0.4">
      <c r="A1307" t="s">
        <v>262</v>
      </c>
      <c r="B1307" t="s">
        <v>1579</v>
      </c>
      <c r="C1307" t="s">
        <v>1637</v>
      </c>
      <c r="D1307" t="s">
        <v>64</v>
      </c>
      <c r="E1307" t="s">
        <v>22</v>
      </c>
      <c r="F1307" t="s">
        <v>23</v>
      </c>
      <c r="G1307">
        <v>1</v>
      </c>
      <c r="H1307">
        <v>9791159283222</v>
      </c>
      <c r="I1307" t="s">
        <v>24</v>
      </c>
      <c r="J1307" t="s">
        <v>65</v>
      </c>
      <c r="K1307" t="s">
        <v>37</v>
      </c>
      <c r="L1307" t="s">
        <v>27</v>
      </c>
      <c r="M1307">
        <v>630</v>
      </c>
      <c r="N1307" t="s">
        <v>27</v>
      </c>
      <c r="O1307">
        <v>630</v>
      </c>
      <c r="P1307">
        <v>630</v>
      </c>
      <c r="Q1307" t="s">
        <v>30</v>
      </c>
      <c r="R1307" s="2">
        <v>0.7</v>
      </c>
      <c r="S1307">
        <v>441</v>
      </c>
      <c r="T1307" t="s">
        <v>27</v>
      </c>
      <c r="U1307">
        <v>441</v>
      </c>
      <c r="V1307" s="7" t="str">
        <f>IF(ISERROR(VLOOKUP(K1307,[1]작가별정산률!$R:$S,2,0)),"스토리위즈",VLOOKUP(K1307,[1]작가별정산률!$R:$S,2,0))</f>
        <v>스토리위즈</v>
      </c>
      <c r="W1307" s="7" t="str">
        <f>IF(V1307="스토리위즈",VLOOKUP(K1307,[1]작가별정산률!$A:$B,2,0),V1307)</f>
        <v>권용찬</v>
      </c>
    </row>
    <row r="1308" spans="1:23" x14ac:dyDescent="0.4">
      <c r="A1308" t="s">
        <v>262</v>
      </c>
      <c r="B1308" t="s">
        <v>1579</v>
      </c>
      <c r="C1308" t="s">
        <v>1638</v>
      </c>
      <c r="D1308" t="s">
        <v>21</v>
      </c>
      <c r="E1308" t="s">
        <v>22</v>
      </c>
      <c r="F1308" t="s">
        <v>23</v>
      </c>
      <c r="G1308">
        <v>1</v>
      </c>
      <c r="H1308">
        <v>9791189084813</v>
      </c>
      <c r="I1308" t="s">
        <v>143</v>
      </c>
      <c r="J1308" t="s">
        <v>563</v>
      </c>
      <c r="K1308" t="s">
        <v>564</v>
      </c>
      <c r="L1308" t="s">
        <v>27</v>
      </c>
      <c r="M1308" s="3">
        <v>4000</v>
      </c>
      <c r="N1308" t="s">
        <v>27</v>
      </c>
      <c r="O1308" s="3">
        <v>4000</v>
      </c>
      <c r="P1308" s="3">
        <v>4000</v>
      </c>
      <c r="Q1308" t="s">
        <v>30</v>
      </c>
      <c r="R1308" s="2">
        <v>0.7</v>
      </c>
      <c r="S1308" s="3">
        <v>2800</v>
      </c>
      <c r="T1308" t="s">
        <v>27</v>
      </c>
      <c r="U1308" s="3">
        <v>2800</v>
      </c>
      <c r="V1308" s="7" t="str">
        <f>IF(ISERROR(VLOOKUP(K1308,[1]작가별정산률!$R:$S,2,0)),"스토리위즈",VLOOKUP(K1308,[1]작가별정산률!$R:$S,2,0))</f>
        <v>스토리위즈</v>
      </c>
      <c r="W1308" s="7" t="str">
        <f>IF(V1308="스토리위즈",VLOOKUP(K1308,[1]작가별정산률!$A:$B,2,0),V1308)</f>
        <v>셔틀</v>
      </c>
    </row>
    <row r="1309" spans="1:23" x14ac:dyDescent="0.4">
      <c r="A1309" t="s">
        <v>262</v>
      </c>
      <c r="B1309" t="s">
        <v>1639</v>
      </c>
      <c r="C1309" t="s">
        <v>1640</v>
      </c>
      <c r="D1309" t="s">
        <v>21</v>
      </c>
      <c r="E1309" t="s">
        <v>22</v>
      </c>
      <c r="F1309" t="s">
        <v>23</v>
      </c>
      <c r="G1309">
        <v>1</v>
      </c>
      <c r="H1309">
        <v>9791166300462</v>
      </c>
      <c r="I1309" t="s">
        <v>24</v>
      </c>
      <c r="J1309" t="s">
        <v>144</v>
      </c>
      <c r="K1309" t="s">
        <v>119</v>
      </c>
      <c r="L1309" t="s">
        <v>27</v>
      </c>
      <c r="M1309" s="3">
        <v>3200</v>
      </c>
      <c r="N1309" t="s">
        <v>27</v>
      </c>
      <c r="O1309" s="3">
        <v>3200</v>
      </c>
      <c r="P1309" s="3">
        <v>3200</v>
      </c>
      <c r="Q1309" t="s">
        <v>30</v>
      </c>
      <c r="R1309" s="2">
        <v>0.7</v>
      </c>
      <c r="S1309" s="3">
        <v>2240</v>
      </c>
      <c r="T1309" t="s">
        <v>27</v>
      </c>
      <c r="U1309" s="3">
        <v>2240</v>
      </c>
      <c r="V1309" s="7" t="str">
        <f>IF(ISERROR(VLOOKUP(K1309,[1]작가별정산률!$R:$S,2,0)),"스토리위즈",VLOOKUP(K1309,[1]작가별정산률!$R:$S,2,0))</f>
        <v>스토리위즈</v>
      </c>
      <c r="W1309" s="7" t="str">
        <f>IF(V1309="스토리위즈",VLOOKUP(K1309,[1]작가별정산률!$A:$B,2,0),V1309)</f>
        <v>김광수</v>
      </c>
    </row>
    <row r="1310" spans="1:23" x14ac:dyDescent="0.4">
      <c r="A1310" t="s">
        <v>262</v>
      </c>
      <c r="B1310" t="s">
        <v>1639</v>
      </c>
      <c r="C1310" t="s">
        <v>1641</v>
      </c>
      <c r="D1310" t="s">
        <v>64</v>
      </c>
      <c r="E1310" t="s">
        <v>22</v>
      </c>
      <c r="F1310" t="s">
        <v>23</v>
      </c>
      <c r="G1310">
        <v>1</v>
      </c>
      <c r="H1310">
        <v>9791166300608</v>
      </c>
      <c r="I1310" t="s">
        <v>24</v>
      </c>
      <c r="J1310" t="s">
        <v>162</v>
      </c>
      <c r="K1310" t="s">
        <v>119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2">
        <v>0.7</v>
      </c>
      <c r="S1310">
        <v>441</v>
      </c>
      <c r="T1310" t="s">
        <v>27</v>
      </c>
      <c r="U1310">
        <v>441</v>
      </c>
      <c r="V1310" s="7" t="str">
        <f>IF(ISERROR(VLOOKUP(K1310,[1]작가별정산률!$R:$S,2,0)),"스토리위즈",VLOOKUP(K1310,[1]작가별정산률!$R:$S,2,0))</f>
        <v>스토리위즈</v>
      </c>
      <c r="W1310" s="7" t="str">
        <f>IF(V1310="스토리위즈",VLOOKUP(K1310,[1]작가별정산률!$A:$B,2,0),V1310)</f>
        <v>김광수</v>
      </c>
    </row>
    <row r="1311" spans="1:23" x14ac:dyDescent="0.4">
      <c r="A1311" t="s">
        <v>262</v>
      </c>
      <c r="B1311" t="s">
        <v>1639</v>
      </c>
      <c r="C1311" t="s">
        <v>1642</v>
      </c>
      <c r="D1311" t="s">
        <v>64</v>
      </c>
      <c r="E1311" t="s">
        <v>22</v>
      </c>
      <c r="F1311" t="s">
        <v>23</v>
      </c>
      <c r="G1311">
        <v>1</v>
      </c>
      <c r="H1311">
        <v>9791188630196</v>
      </c>
      <c r="I1311" t="s">
        <v>24</v>
      </c>
      <c r="J1311" t="s">
        <v>44</v>
      </c>
      <c r="K1311" t="s">
        <v>41</v>
      </c>
      <c r="L1311" t="s">
        <v>27</v>
      </c>
      <c r="M1311">
        <v>630</v>
      </c>
      <c r="N1311" t="s">
        <v>27</v>
      </c>
      <c r="O1311">
        <v>630</v>
      </c>
      <c r="P1311">
        <v>630</v>
      </c>
      <c r="Q1311" t="s">
        <v>30</v>
      </c>
      <c r="R1311" s="2">
        <v>0.7</v>
      </c>
      <c r="S1311">
        <v>441</v>
      </c>
      <c r="T1311" t="s">
        <v>27</v>
      </c>
      <c r="U1311">
        <v>441</v>
      </c>
      <c r="V1311" s="7" t="str">
        <f>IF(ISERROR(VLOOKUP(K1311,[1]작가별정산률!$R:$S,2,0)),"스토리위즈",VLOOKUP(K1311,[1]작가별정산률!$R:$S,2,0))</f>
        <v>스토리위즈</v>
      </c>
      <c r="W1311" s="7" t="str">
        <f>IF(V1311="스토리위즈",VLOOKUP(K1311,[1]작가별정산률!$A:$B,2,0),V1311)</f>
        <v>무장</v>
      </c>
    </row>
    <row r="1312" spans="1:23" x14ac:dyDescent="0.4">
      <c r="A1312" t="s">
        <v>262</v>
      </c>
      <c r="B1312" t="s">
        <v>1639</v>
      </c>
      <c r="C1312" t="s">
        <v>1643</v>
      </c>
      <c r="D1312" t="s">
        <v>21</v>
      </c>
      <c r="E1312" t="s">
        <v>22</v>
      </c>
      <c r="F1312" t="s">
        <v>23</v>
      </c>
      <c r="G1312">
        <v>1</v>
      </c>
      <c r="H1312">
        <v>9791166300295</v>
      </c>
      <c r="I1312" t="s">
        <v>24</v>
      </c>
      <c r="J1312" t="s">
        <v>138</v>
      </c>
      <c r="K1312" t="s">
        <v>119</v>
      </c>
      <c r="L1312" t="s">
        <v>27</v>
      </c>
      <c r="M1312" s="3">
        <v>3200</v>
      </c>
      <c r="N1312" t="s">
        <v>27</v>
      </c>
      <c r="O1312" s="3">
        <v>3200</v>
      </c>
      <c r="P1312" s="3">
        <v>3200</v>
      </c>
      <c r="Q1312" t="s">
        <v>30</v>
      </c>
      <c r="R1312" s="2">
        <v>0.7</v>
      </c>
      <c r="S1312" s="3">
        <v>2240</v>
      </c>
      <c r="T1312" t="s">
        <v>27</v>
      </c>
      <c r="U1312" s="3">
        <v>2240</v>
      </c>
      <c r="V1312" s="7" t="str">
        <f>IF(ISERROR(VLOOKUP(K1312,[1]작가별정산률!$R:$S,2,0)),"스토리위즈",VLOOKUP(K1312,[1]작가별정산률!$R:$S,2,0))</f>
        <v>스토리위즈</v>
      </c>
      <c r="W1312" s="7" t="str">
        <f>IF(V1312="스토리위즈",VLOOKUP(K1312,[1]작가별정산률!$A:$B,2,0),V1312)</f>
        <v>김광수</v>
      </c>
    </row>
    <row r="1313" spans="1:23" x14ac:dyDescent="0.4">
      <c r="A1313" t="s">
        <v>262</v>
      </c>
      <c r="B1313" t="s">
        <v>1639</v>
      </c>
      <c r="C1313" t="s">
        <v>1644</v>
      </c>
      <c r="D1313" t="s">
        <v>64</v>
      </c>
      <c r="E1313" t="s">
        <v>22</v>
      </c>
      <c r="F1313" t="s">
        <v>23</v>
      </c>
      <c r="G1313">
        <v>1</v>
      </c>
      <c r="H1313">
        <v>9791166300547</v>
      </c>
      <c r="I1313" t="s">
        <v>24</v>
      </c>
      <c r="J1313" t="s">
        <v>153</v>
      </c>
      <c r="K1313" t="s">
        <v>119</v>
      </c>
      <c r="L1313" t="s">
        <v>27</v>
      </c>
      <c r="M1313">
        <v>630</v>
      </c>
      <c r="N1313" t="s">
        <v>27</v>
      </c>
      <c r="O1313">
        <v>630</v>
      </c>
      <c r="P1313">
        <v>630</v>
      </c>
      <c r="Q1313" t="s">
        <v>30</v>
      </c>
      <c r="R1313" s="2">
        <v>0.7</v>
      </c>
      <c r="S1313">
        <v>441</v>
      </c>
      <c r="T1313" t="s">
        <v>27</v>
      </c>
      <c r="U1313">
        <v>441</v>
      </c>
      <c r="V1313" s="7" t="str">
        <f>IF(ISERROR(VLOOKUP(K1313,[1]작가별정산률!$R:$S,2,0)),"스토리위즈",VLOOKUP(K1313,[1]작가별정산률!$R:$S,2,0))</f>
        <v>스토리위즈</v>
      </c>
      <c r="W1313" s="7" t="str">
        <f>IF(V1313="스토리위즈",VLOOKUP(K1313,[1]작가별정산률!$A:$B,2,0),V1313)</f>
        <v>김광수</v>
      </c>
    </row>
    <row r="1314" spans="1:23" x14ac:dyDescent="0.4">
      <c r="A1314" t="s">
        <v>262</v>
      </c>
      <c r="B1314" t="s">
        <v>1639</v>
      </c>
      <c r="C1314" t="s">
        <v>1645</v>
      </c>
      <c r="D1314" t="s">
        <v>21</v>
      </c>
      <c r="E1314" t="s">
        <v>22</v>
      </c>
      <c r="F1314" t="s">
        <v>23</v>
      </c>
      <c r="G1314">
        <v>1</v>
      </c>
      <c r="H1314">
        <v>9791191562286</v>
      </c>
      <c r="I1314" t="s">
        <v>143</v>
      </c>
      <c r="J1314" t="s">
        <v>238</v>
      </c>
      <c r="K1314" t="s">
        <v>239</v>
      </c>
      <c r="L1314" t="s">
        <v>27</v>
      </c>
      <c r="M1314" s="3">
        <v>2000</v>
      </c>
      <c r="N1314" t="s">
        <v>27</v>
      </c>
      <c r="O1314" s="3">
        <v>2000</v>
      </c>
      <c r="P1314" s="3">
        <v>2000</v>
      </c>
      <c r="Q1314" t="s">
        <v>30</v>
      </c>
      <c r="R1314" s="2">
        <v>0.7</v>
      </c>
      <c r="S1314" s="3">
        <v>1400</v>
      </c>
      <c r="T1314" t="s">
        <v>27</v>
      </c>
      <c r="U1314" s="3">
        <v>1400</v>
      </c>
      <c r="V1314" s="7" t="str">
        <f>IF(ISERROR(VLOOKUP(K1314,[1]작가별정산률!$R:$S,2,0)),"스토리위즈",VLOOKUP(K1314,[1]작가별정산률!$R:$S,2,0))</f>
        <v>밀리의 서재</v>
      </c>
      <c r="W1314" s="7" t="str">
        <f>IF(V1314="스토리위즈",VLOOKUP(K1314,[1]작가별정산률!$A:$B,2,0),V1314)</f>
        <v>밀리의 서재</v>
      </c>
    </row>
    <row r="1315" spans="1:23" x14ac:dyDescent="0.4">
      <c r="A1315" t="s">
        <v>262</v>
      </c>
      <c r="B1315" t="s">
        <v>1639</v>
      </c>
      <c r="C1315" t="s">
        <v>1646</v>
      </c>
      <c r="D1315" t="s">
        <v>64</v>
      </c>
      <c r="E1315" t="s">
        <v>22</v>
      </c>
      <c r="F1315" t="s">
        <v>23</v>
      </c>
      <c r="G1315">
        <v>1</v>
      </c>
      <c r="H1315">
        <v>9791166061158</v>
      </c>
      <c r="I1315" t="s">
        <v>24</v>
      </c>
      <c r="J1315" t="s">
        <v>101</v>
      </c>
      <c r="K1315" t="s">
        <v>37</v>
      </c>
      <c r="L1315" t="s">
        <v>27</v>
      </c>
      <c r="M1315">
        <v>900</v>
      </c>
      <c r="N1315" t="s">
        <v>27</v>
      </c>
      <c r="O1315">
        <v>900</v>
      </c>
      <c r="P1315">
        <v>900</v>
      </c>
      <c r="Q1315" t="s">
        <v>30</v>
      </c>
      <c r="R1315" s="2">
        <v>0.7</v>
      </c>
      <c r="S1315">
        <v>630</v>
      </c>
      <c r="T1315" t="s">
        <v>27</v>
      </c>
      <c r="U1315">
        <v>630</v>
      </c>
      <c r="V1315" s="7" t="str">
        <f>IF(ISERROR(VLOOKUP(K1315,[1]작가별정산률!$R:$S,2,0)),"스토리위즈",VLOOKUP(K1315,[1]작가별정산률!$R:$S,2,0))</f>
        <v>스토리위즈</v>
      </c>
      <c r="W1315" s="7" t="str">
        <f>IF(V1315="스토리위즈",VLOOKUP(K1315,[1]작가별정산률!$A:$B,2,0),V1315)</f>
        <v>권용찬</v>
      </c>
    </row>
    <row r="1316" spans="1:23" x14ac:dyDescent="0.4">
      <c r="A1316" t="s">
        <v>262</v>
      </c>
      <c r="B1316" t="s">
        <v>1639</v>
      </c>
      <c r="C1316" t="s">
        <v>1647</v>
      </c>
      <c r="D1316" t="s">
        <v>21</v>
      </c>
      <c r="E1316" t="s">
        <v>22</v>
      </c>
      <c r="F1316" t="s">
        <v>23</v>
      </c>
      <c r="G1316">
        <v>1</v>
      </c>
      <c r="H1316">
        <v>9791189084462</v>
      </c>
      <c r="I1316" t="s">
        <v>143</v>
      </c>
      <c r="J1316" t="s">
        <v>1648</v>
      </c>
      <c r="K1316" t="s">
        <v>1378</v>
      </c>
      <c r="L1316" t="s">
        <v>27</v>
      </c>
      <c r="M1316" s="3">
        <v>3000</v>
      </c>
      <c r="N1316" t="s">
        <v>27</v>
      </c>
      <c r="O1316" s="3">
        <v>3000</v>
      </c>
      <c r="P1316" s="3">
        <v>3000</v>
      </c>
      <c r="Q1316" t="s">
        <v>30</v>
      </c>
      <c r="R1316" s="2">
        <v>0.7</v>
      </c>
      <c r="S1316" s="3">
        <v>2100</v>
      </c>
      <c r="T1316" t="s">
        <v>27</v>
      </c>
      <c r="U1316" s="3">
        <v>2100</v>
      </c>
      <c r="V1316" s="7" t="str">
        <f>IF(ISERROR(VLOOKUP(K1316,[1]작가별정산률!$R:$S,2,0)),"스토리위즈",VLOOKUP(K1316,[1]작가별정산률!$R:$S,2,0))</f>
        <v>스토리위즈</v>
      </c>
      <c r="W1316" s="7" t="str">
        <f>IF(V1316="스토리위즈",VLOOKUP(K1316,[1]작가별정산률!$A:$B,2,0),V1316)</f>
        <v>밈스</v>
      </c>
    </row>
    <row r="1317" spans="1:23" x14ac:dyDescent="0.4">
      <c r="A1317" t="s">
        <v>262</v>
      </c>
      <c r="B1317" t="s">
        <v>1639</v>
      </c>
      <c r="C1317" t="s">
        <v>1649</v>
      </c>
      <c r="D1317" t="s">
        <v>64</v>
      </c>
      <c r="E1317" t="s">
        <v>22</v>
      </c>
      <c r="F1317" t="s">
        <v>23</v>
      </c>
      <c r="G1317">
        <v>1</v>
      </c>
      <c r="H1317">
        <v>9791166300479</v>
      </c>
      <c r="I1317" t="s">
        <v>24</v>
      </c>
      <c r="J1317" t="s">
        <v>145</v>
      </c>
      <c r="K1317" t="s">
        <v>119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  <c r="V1317" s="7" t="str">
        <f>IF(ISERROR(VLOOKUP(K1317,[1]작가별정산률!$R:$S,2,0)),"스토리위즈",VLOOKUP(K1317,[1]작가별정산률!$R:$S,2,0))</f>
        <v>스토리위즈</v>
      </c>
      <c r="W1317" s="7" t="str">
        <f>IF(V1317="스토리위즈",VLOOKUP(K1317,[1]작가별정산률!$A:$B,2,0),V1317)</f>
        <v>김광수</v>
      </c>
    </row>
    <row r="1318" spans="1:23" x14ac:dyDescent="0.4">
      <c r="A1318" t="s">
        <v>262</v>
      </c>
      <c r="B1318" t="s">
        <v>1639</v>
      </c>
      <c r="C1318" t="s">
        <v>1650</v>
      </c>
      <c r="D1318" t="s">
        <v>21</v>
      </c>
      <c r="E1318" t="s">
        <v>22</v>
      </c>
      <c r="F1318" t="s">
        <v>23</v>
      </c>
      <c r="G1318">
        <v>1</v>
      </c>
      <c r="H1318">
        <v>9791191562033</v>
      </c>
      <c r="I1318" t="s">
        <v>143</v>
      </c>
      <c r="J1318" t="s">
        <v>189</v>
      </c>
      <c r="K1318" t="s">
        <v>187</v>
      </c>
      <c r="L1318" t="s">
        <v>27</v>
      </c>
      <c r="M1318" s="3">
        <v>2000</v>
      </c>
      <c r="N1318" t="s">
        <v>27</v>
      </c>
      <c r="O1318" s="3">
        <v>2000</v>
      </c>
      <c r="P1318" s="3">
        <v>2000</v>
      </c>
      <c r="Q1318" t="s">
        <v>30</v>
      </c>
      <c r="R1318" s="2">
        <v>0.7</v>
      </c>
      <c r="S1318" s="3">
        <v>1400</v>
      </c>
      <c r="T1318" t="s">
        <v>27</v>
      </c>
      <c r="U1318" s="3">
        <v>1400</v>
      </c>
      <c r="V1318" s="7" t="str">
        <f>IF(ISERROR(VLOOKUP(K1318,[1]작가별정산률!$R:$S,2,0)),"스토리위즈",VLOOKUP(K1318,[1]작가별정산률!$R:$S,2,0))</f>
        <v>밀리의 서재</v>
      </c>
      <c r="W1318" s="7" t="str">
        <f>IF(V1318="스토리위즈",VLOOKUP(K1318,[1]작가별정산률!$A:$B,2,0),V1318)</f>
        <v>밀리의 서재</v>
      </c>
    </row>
    <row r="1319" spans="1:23" x14ac:dyDescent="0.4">
      <c r="A1319" t="s">
        <v>262</v>
      </c>
      <c r="B1319" t="s">
        <v>1639</v>
      </c>
      <c r="C1319" t="s">
        <v>1651</v>
      </c>
      <c r="D1319" t="s">
        <v>64</v>
      </c>
      <c r="E1319" t="s">
        <v>22</v>
      </c>
      <c r="F1319" t="s">
        <v>23</v>
      </c>
      <c r="G1319">
        <v>1</v>
      </c>
      <c r="H1319">
        <v>9791166300585</v>
      </c>
      <c r="I1319" t="s">
        <v>24</v>
      </c>
      <c r="J1319" t="s">
        <v>160</v>
      </c>
      <c r="K1319" t="s">
        <v>119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  <c r="V1319" s="7" t="str">
        <f>IF(ISERROR(VLOOKUP(K1319,[1]작가별정산률!$R:$S,2,0)),"스토리위즈",VLOOKUP(K1319,[1]작가별정산률!$R:$S,2,0))</f>
        <v>스토리위즈</v>
      </c>
      <c r="W1319" s="7" t="str">
        <f>IF(V1319="스토리위즈",VLOOKUP(K1319,[1]작가별정산률!$A:$B,2,0),V1319)</f>
        <v>김광수</v>
      </c>
    </row>
    <row r="1320" spans="1:23" x14ac:dyDescent="0.4">
      <c r="A1320" t="s">
        <v>262</v>
      </c>
      <c r="B1320" t="s">
        <v>1639</v>
      </c>
      <c r="C1320" t="s">
        <v>1652</v>
      </c>
      <c r="D1320" t="s">
        <v>64</v>
      </c>
      <c r="E1320" t="s">
        <v>22</v>
      </c>
      <c r="F1320" t="s">
        <v>23</v>
      </c>
      <c r="G1320">
        <v>1</v>
      </c>
      <c r="H1320">
        <v>9791166061127</v>
      </c>
      <c r="I1320" t="s">
        <v>24</v>
      </c>
      <c r="J1320" t="s">
        <v>100</v>
      </c>
      <c r="K1320" t="s">
        <v>37</v>
      </c>
      <c r="L1320" t="s">
        <v>27</v>
      </c>
      <c r="M1320">
        <v>900</v>
      </c>
      <c r="N1320" t="s">
        <v>27</v>
      </c>
      <c r="O1320">
        <v>900</v>
      </c>
      <c r="P1320">
        <v>900</v>
      </c>
      <c r="Q1320" t="s">
        <v>30</v>
      </c>
      <c r="R1320" s="2">
        <v>0.7</v>
      </c>
      <c r="S1320">
        <v>630</v>
      </c>
      <c r="T1320" t="s">
        <v>27</v>
      </c>
      <c r="U1320">
        <v>630</v>
      </c>
      <c r="V1320" s="7" t="str">
        <f>IF(ISERROR(VLOOKUP(K1320,[1]작가별정산률!$R:$S,2,0)),"스토리위즈",VLOOKUP(K1320,[1]작가별정산률!$R:$S,2,0))</f>
        <v>스토리위즈</v>
      </c>
      <c r="W1320" s="7" t="str">
        <f>IF(V1320="스토리위즈",VLOOKUP(K1320,[1]작가별정산률!$A:$B,2,0),V1320)</f>
        <v>권용찬</v>
      </c>
    </row>
    <row r="1321" spans="1:23" x14ac:dyDescent="0.4">
      <c r="A1321" t="s">
        <v>262</v>
      </c>
      <c r="B1321" t="s">
        <v>1639</v>
      </c>
      <c r="C1321" t="s">
        <v>1653</v>
      </c>
      <c r="D1321" t="s">
        <v>64</v>
      </c>
      <c r="E1321" t="s">
        <v>22</v>
      </c>
      <c r="F1321" t="s">
        <v>23</v>
      </c>
      <c r="G1321">
        <v>1</v>
      </c>
      <c r="H1321">
        <v>9791166300127</v>
      </c>
      <c r="I1321" t="s">
        <v>24</v>
      </c>
      <c r="J1321" t="s">
        <v>122</v>
      </c>
      <c r="K1321" t="s">
        <v>119</v>
      </c>
      <c r="L1321" t="s">
        <v>27</v>
      </c>
      <c r="M1321">
        <v>630</v>
      </c>
      <c r="N1321" t="s">
        <v>27</v>
      </c>
      <c r="O1321">
        <v>630</v>
      </c>
      <c r="P1321">
        <v>630</v>
      </c>
      <c r="Q1321" t="s">
        <v>30</v>
      </c>
      <c r="R1321" s="2">
        <v>0.7</v>
      </c>
      <c r="S1321">
        <v>441</v>
      </c>
      <c r="T1321" t="s">
        <v>27</v>
      </c>
      <c r="U1321">
        <v>441</v>
      </c>
      <c r="V1321" s="7" t="str">
        <f>IF(ISERROR(VLOOKUP(K1321,[1]작가별정산률!$R:$S,2,0)),"스토리위즈",VLOOKUP(K1321,[1]작가별정산률!$R:$S,2,0))</f>
        <v>스토리위즈</v>
      </c>
      <c r="W1321" s="7" t="str">
        <f>IF(V1321="스토리위즈",VLOOKUP(K1321,[1]작가별정산률!$A:$B,2,0),V1321)</f>
        <v>김광수</v>
      </c>
    </row>
    <row r="1322" spans="1:23" x14ac:dyDescent="0.4">
      <c r="A1322" t="s">
        <v>262</v>
      </c>
      <c r="B1322" t="s">
        <v>1639</v>
      </c>
      <c r="C1322" t="s">
        <v>1654</v>
      </c>
      <c r="D1322" t="s">
        <v>21</v>
      </c>
      <c r="E1322" t="s">
        <v>22</v>
      </c>
      <c r="F1322" t="s">
        <v>23</v>
      </c>
      <c r="G1322">
        <v>1</v>
      </c>
      <c r="H1322">
        <v>9791166300295</v>
      </c>
      <c r="I1322" t="s">
        <v>24</v>
      </c>
      <c r="J1322" t="s">
        <v>138</v>
      </c>
      <c r="K1322" t="s">
        <v>119</v>
      </c>
      <c r="L1322" t="s">
        <v>27</v>
      </c>
      <c r="M1322" s="3">
        <v>3200</v>
      </c>
      <c r="N1322" t="s">
        <v>27</v>
      </c>
      <c r="O1322" s="3">
        <v>3200</v>
      </c>
      <c r="P1322" s="3">
        <v>3200</v>
      </c>
      <c r="Q1322" t="s">
        <v>30</v>
      </c>
      <c r="R1322" s="2">
        <v>0.7</v>
      </c>
      <c r="S1322" s="3">
        <v>2240</v>
      </c>
      <c r="T1322" t="s">
        <v>27</v>
      </c>
      <c r="U1322" s="3">
        <v>2240</v>
      </c>
      <c r="V1322" s="7" t="str">
        <f>IF(ISERROR(VLOOKUP(K1322,[1]작가별정산률!$R:$S,2,0)),"스토리위즈",VLOOKUP(K1322,[1]작가별정산률!$R:$S,2,0))</f>
        <v>스토리위즈</v>
      </c>
      <c r="W1322" s="7" t="str">
        <f>IF(V1322="스토리위즈",VLOOKUP(K1322,[1]작가별정산률!$A:$B,2,0),V1322)</f>
        <v>김광수</v>
      </c>
    </row>
    <row r="1323" spans="1:23" x14ac:dyDescent="0.4">
      <c r="A1323" t="s">
        <v>262</v>
      </c>
      <c r="B1323" t="s">
        <v>1639</v>
      </c>
      <c r="C1323" t="s">
        <v>1655</v>
      </c>
      <c r="D1323" t="s">
        <v>21</v>
      </c>
      <c r="E1323" t="s">
        <v>22</v>
      </c>
      <c r="F1323" t="s">
        <v>23</v>
      </c>
      <c r="G1323">
        <v>1</v>
      </c>
      <c r="H1323">
        <v>9791166300165</v>
      </c>
      <c r="I1323" t="s">
        <v>24</v>
      </c>
      <c r="J1323" t="s">
        <v>126</v>
      </c>
      <c r="K1323" t="s">
        <v>119</v>
      </c>
      <c r="L1323" t="s">
        <v>27</v>
      </c>
      <c r="M1323" s="3">
        <v>3200</v>
      </c>
      <c r="N1323" t="s">
        <v>27</v>
      </c>
      <c r="O1323" s="3">
        <v>3200</v>
      </c>
      <c r="P1323" s="3">
        <v>3200</v>
      </c>
      <c r="Q1323" t="s">
        <v>30</v>
      </c>
      <c r="R1323" s="2">
        <v>0.7</v>
      </c>
      <c r="S1323" s="3">
        <v>2240</v>
      </c>
      <c r="T1323" t="s">
        <v>27</v>
      </c>
      <c r="U1323" s="3">
        <v>2240</v>
      </c>
      <c r="V1323" s="7" t="str">
        <f>IF(ISERROR(VLOOKUP(K1323,[1]작가별정산률!$R:$S,2,0)),"스토리위즈",VLOOKUP(K1323,[1]작가별정산률!$R:$S,2,0))</f>
        <v>스토리위즈</v>
      </c>
      <c r="W1323" s="7" t="str">
        <f>IF(V1323="스토리위즈",VLOOKUP(K1323,[1]작가별정산률!$A:$B,2,0),V1323)</f>
        <v>김광수</v>
      </c>
    </row>
    <row r="1324" spans="1:23" x14ac:dyDescent="0.4">
      <c r="A1324" t="s">
        <v>262</v>
      </c>
      <c r="B1324" t="s">
        <v>1639</v>
      </c>
      <c r="C1324" t="s">
        <v>1656</v>
      </c>
      <c r="D1324" t="s">
        <v>64</v>
      </c>
      <c r="E1324" t="s">
        <v>22</v>
      </c>
      <c r="F1324" t="s">
        <v>23</v>
      </c>
      <c r="G1324">
        <v>1</v>
      </c>
      <c r="H1324">
        <v>9791166300592</v>
      </c>
      <c r="I1324" t="s">
        <v>24</v>
      </c>
      <c r="J1324" t="s">
        <v>161</v>
      </c>
      <c r="K1324" t="s">
        <v>119</v>
      </c>
      <c r="L1324" t="s">
        <v>27</v>
      </c>
      <c r="M1324">
        <v>630</v>
      </c>
      <c r="N1324" t="s">
        <v>27</v>
      </c>
      <c r="O1324">
        <v>630</v>
      </c>
      <c r="P1324">
        <v>630</v>
      </c>
      <c r="Q1324" t="s">
        <v>30</v>
      </c>
      <c r="R1324" s="2">
        <v>0.7</v>
      </c>
      <c r="S1324">
        <v>441</v>
      </c>
      <c r="T1324" t="s">
        <v>27</v>
      </c>
      <c r="U1324">
        <v>441</v>
      </c>
      <c r="V1324" s="7" t="str">
        <f>IF(ISERROR(VLOOKUP(K1324,[1]작가별정산률!$R:$S,2,0)),"스토리위즈",VLOOKUP(K1324,[1]작가별정산률!$R:$S,2,0))</f>
        <v>스토리위즈</v>
      </c>
      <c r="W1324" s="7" t="str">
        <f>IF(V1324="스토리위즈",VLOOKUP(K1324,[1]작가별정산률!$A:$B,2,0),V1324)</f>
        <v>김광수</v>
      </c>
    </row>
    <row r="1325" spans="1:23" x14ac:dyDescent="0.4">
      <c r="A1325" t="s">
        <v>262</v>
      </c>
      <c r="B1325" t="s">
        <v>1639</v>
      </c>
      <c r="C1325" t="s">
        <v>1657</v>
      </c>
      <c r="D1325" t="s">
        <v>21</v>
      </c>
      <c r="E1325" t="s">
        <v>22</v>
      </c>
      <c r="F1325" t="s">
        <v>23</v>
      </c>
      <c r="G1325">
        <v>1</v>
      </c>
      <c r="H1325">
        <v>9791166300301</v>
      </c>
      <c r="I1325" t="s">
        <v>24</v>
      </c>
      <c r="J1325" t="s">
        <v>139</v>
      </c>
      <c r="K1325" t="s">
        <v>119</v>
      </c>
      <c r="L1325" t="s">
        <v>27</v>
      </c>
      <c r="M1325" s="3">
        <v>3200</v>
      </c>
      <c r="N1325" t="s">
        <v>27</v>
      </c>
      <c r="O1325" s="3">
        <v>3200</v>
      </c>
      <c r="P1325" s="3">
        <v>3200</v>
      </c>
      <c r="Q1325" t="s">
        <v>30</v>
      </c>
      <c r="R1325" s="2">
        <v>0.7</v>
      </c>
      <c r="S1325" s="3">
        <v>2240</v>
      </c>
      <c r="T1325" t="s">
        <v>27</v>
      </c>
      <c r="U1325" s="3">
        <v>2240</v>
      </c>
      <c r="V1325" s="7" t="str">
        <f>IF(ISERROR(VLOOKUP(K1325,[1]작가별정산률!$R:$S,2,0)),"스토리위즈",VLOOKUP(K1325,[1]작가별정산률!$R:$S,2,0))</f>
        <v>스토리위즈</v>
      </c>
      <c r="W1325" s="7" t="str">
        <f>IF(V1325="스토리위즈",VLOOKUP(K1325,[1]작가별정산률!$A:$B,2,0),V1325)</f>
        <v>김광수</v>
      </c>
    </row>
    <row r="1326" spans="1:23" x14ac:dyDescent="0.4">
      <c r="A1326" t="s">
        <v>262</v>
      </c>
      <c r="B1326" t="s">
        <v>1639</v>
      </c>
      <c r="C1326" t="s">
        <v>1658</v>
      </c>
      <c r="D1326" t="s">
        <v>64</v>
      </c>
      <c r="E1326" t="s">
        <v>22</v>
      </c>
      <c r="F1326" t="s">
        <v>23</v>
      </c>
      <c r="G1326">
        <v>1</v>
      </c>
      <c r="H1326">
        <v>9791159283093</v>
      </c>
      <c r="I1326" t="s">
        <v>24</v>
      </c>
      <c r="J1326" t="s">
        <v>73</v>
      </c>
      <c r="K1326" t="s">
        <v>37</v>
      </c>
      <c r="L1326" t="s">
        <v>27</v>
      </c>
      <c r="M1326">
        <v>900</v>
      </c>
      <c r="N1326" t="s">
        <v>27</v>
      </c>
      <c r="O1326">
        <v>900</v>
      </c>
      <c r="P1326">
        <v>900</v>
      </c>
      <c r="Q1326" t="s">
        <v>30</v>
      </c>
      <c r="R1326" s="2">
        <v>0.7</v>
      </c>
      <c r="S1326">
        <v>630</v>
      </c>
      <c r="T1326" t="s">
        <v>27</v>
      </c>
      <c r="U1326">
        <v>630</v>
      </c>
      <c r="V1326" s="7" t="str">
        <f>IF(ISERROR(VLOOKUP(K1326,[1]작가별정산률!$R:$S,2,0)),"스토리위즈",VLOOKUP(K1326,[1]작가별정산률!$R:$S,2,0))</f>
        <v>스토리위즈</v>
      </c>
      <c r="W1326" s="7" t="str">
        <f>IF(V1326="스토리위즈",VLOOKUP(K1326,[1]작가별정산률!$A:$B,2,0),V1326)</f>
        <v>권용찬</v>
      </c>
    </row>
    <row r="1327" spans="1:23" x14ac:dyDescent="0.4">
      <c r="A1327" t="s">
        <v>262</v>
      </c>
      <c r="B1327" t="s">
        <v>1639</v>
      </c>
      <c r="C1327" t="s">
        <v>1659</v>
      </c>
      <c r="D1327" t="s">
        <v>64</v>
      </c>
      <c r="E1327" t="s">
        <v>22</v>
      </c>
      <c r="F1327" t="s">
        <v>23</v>
      </c>
      <c r="G1327">
        <v>1</v>
      </c>
      <c r="H1327">
        <v>9791188630202</v>
      </c>
      <c r="I1327" t="s">
        <v>24</v>
      </c>
      <c r="J1327" t="s">
        <v>45</v>
      </c>
      <c r="K1327" t="s">
        <v>41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  <c r="V1327" s="7" t="str">
        <f>IF(ISERROR(VLOOKUP(K1327,[1]작가별정산률!$R:$S,2,0)),"스토리위즈",VLOOKUP(K1327,[1]작가별정산률!$R:$S,2,0))</f>
        <v>스토리위즈</v>
      </c>
      <c r="W1327" s="7" t="str">
        <f>IF(V1327="스토리위즈",VLOOKUP(K1327,[1]작가별정산률!$A:$B,2,0),V1327)</f>
        <v>무장</v>
      </c>
    </row>
    <row r="1328" spans="1:23" x14ac:dyDescent="0.4">
      <c r="A1328" t="s">
        <v>262</v>
      </c>
      <c r="B1328" t="s">
        <v>1639</v>
      </c>
      <c r="C1328" t="s">
        <v>1660</v>
      </c>
      <c r="D1328" t="s">
        <v>21</v>
      </c>
      <c r="E1328" t="s">
        <v>22</v>
      </c>
      <c r="F1328" t="s">
        <v>216</v>
      </c>
      <c r="G1328">
        <v>1</v>
      </c>
      <c r="H1328">
        <v>9791191562439</v>
      </c>
      <c r="I1328" t="s">
        <v>143</v>
      </c>
      <c r="J1328" t="s">
        <v>1661</v>
      </c>
      <c r="K1328" t="s">
        <v>188</v>
      </c>
      <c r="L1328" t="s">
        <v>27</v>
      </c>
      <c r="M1328" s="3">
        <v>2500</v>
      </c>
      <c r="N1328" t="s">
        <v>28</v>
      </c>
      <c r="O1328">
        <v>2.06</v>
      </c>
      <c r="P1328">
        <v>2.06</v>
      </c>
      <c r="Q1328" t="s">
        <v>29</v>
      </c>
      <c r="R1328" s="2">
        <v>0.7</v>
      </c>
      <c r="S1328">
        <v>1.44</v>
      </c>
      <c r="T1328" t="s">
        <v>27</v>
      </c>
      <c r="U1328" s="3">
        <v>1832</v>
      </c>
      <c r="V1328" s="7" t="str">
        <f>IF(ISERROR(VLOOKUP(K1328,[1]작가별정산률!$R:$S,2,0)),"스토리위즈",VLOOKUP(K1328,[1]작가별정산률!$R:$S,2,0))</f>
        <v>밀리의 서재</v>
      </c>
      <c r="W1328" s="7" t="str">
        <f>IF(V1328="스토리위즈",VLOOKUP(K1328,[1]작가별정산률!$A:$B,2,0),V1328)</f>
        <v>밀리의 서재</v>
      </c>
    </row>
    <row r="1329" spans="1:23" x14ac:dyDescent="0.4">
      <c r="A1329" t="s">
        <v>262</v>
      </c>
      <c r="B1329" t="s">
        <v>1639</v>
      </c>
      <c r="C1329" t="s">
        <v>1662</v>
      </c>
      <c r="D1329" t="s">
        <v>21</v>
      </c>
      <c r="E1329" t="s">
        <v>22</v>
      </c>
      <c r="F1329" t="s">
        <v>23</v>
      </c>
      <c r="G1329">
        <v>1</v>
      </c>
      <c r="H1329">
        <v>9791191562248</v>
      </c>
      <c r="I1329" t="s">
        <v>143</v>
      </c>
      <c r="J1329" t="s">
        <v>231</v>
      </c>
      <c r="K1329" t="s">
        <v>232</v>
      </c>
      <c r="L1329" t="s">
        <v>27</v>
      </c>
      <c r="M1329" s="3">
        <v>2000</v>
      </c>
      <c r="N1329" t="s">
        <v>27</v>
      </c>
      <c r="O1329" s="3">
        <v>2000</v>
      </c>
      <c r="P1329" s="3">
        <v>2000</v>
      </c>
      <c r="Q1329" t="s">
        <v>30</v>
      </c>
      <c r="R1329" s="2">
        <v>0.7</v>
      </c>
      <c r="S1329" s="3">
        <v>1400</v>
      </c>
      <c r="T1329" t="s">
        <v>27</v>
      </c>
      <c r="U1329" s="3">
        <v>1400</v>
      </c>
      <c r="V1329" s="7" t="str">
        <f>IF(ISERROR(VLOOKUP(K1329,[1]작가별정산률!$R:$S,2,0)),"스토리위즈",VLOOKUP(K1329,[1]작가별정산률!$R:$S,2,0))</f>
        <v>밀리의 서재</v>
      </c>
      <c r="W1329" s="7" t="str">
        <f>IF(V1329="스토리위즈",VLOOKUP(K1329,[1]작가별정산률!$A:$B,2,0),V1329)</f>
        <v>밀리의 서재</v>
      </c>
    </row>
    <row r="1330" spans="1:23" x14ac:dyDescent="0.4">
      <c r="A1330" t="s">
        <v>262</v>
      </c>
      <c r="B1330" t="s">
        <v>1639</v>
      </c>
      <c r="C1330" t="s">
        <v>1663</v>
      </c>
      <c r="D1330" t="s">
        <v>64</v>
      </c>
      <c r="E1330" t="s">
        <v>22</v>
      </c>
      <c r="F1330" t="s">
        <v>23</v>
      </c>
      <c r="G1330">
        <v>1</v>
      </c>
      <c r="H1330">
        <v>9791166061110</v>
      </c>
      <c r="I1330" t="s">
        <v>24</v>
      </c>
      <c r="J1330" t="s">
        <v>97</v>
      </c>
      <c r="K1330" t="s">
        <v>37</v>
      </c>
      <c r="L1330" t="s">
        <v>27</v>
      </c>
      <c r="M1330">
        <v>900</v>
      </c>
      <c r="N1330" t="s">
        <v>27</v>
      </c>
      <c r="O1330">
        <v>900</v>
      </c>
      <c r="P1330">
        <v>900</v>
      </c>
      <c r="Q1330" t="s">
        <v>30</v>
      </c>
      <c r="R1330" s="2">
        <v>0.7</v>
      </c>
      <c r="S1330">
        <v>630</v>
      </c>
      <c r="T1330" t="s">
        <v>27</v>
      </c>
      <c r="U1330">
        <v>630</v>
      </c>
      <c r="V1330" s="7" t="str">
        <f>IF(ISERROR(VLOOKUP(K1330,[1]작가별정산률!$R:$S,2,0)),"스토리위즈",VLOOKUP(K1330,[1]작가별정산률!$R:$S,2,0))</f>
        <v>스토리위즈</v>
      </c>
      <c r="W1330" s="7" t="str">
        <f>IF(V1330="스토리위즈",VLOOKUP(K1330,[1]작가별정산률!$A:$B,2,0),V1330)</f>
        <v>권용찬</v>
      </c>
    </row>
    <row r="1331" spans="1:23" x14ac:dyDescent="0.4">
      <c r="A1331" t="s">
        <v>262</v>
      </c>
      <c r="B1331" t="s">
        <v>1639</v>
      </c>
      <c r="C1331" t="s">
        <v>1664</v>
      </c>
      <c r="D1331" t="s">
        <v>21</v>
      </c>
      <c r="E1331" t="s">
        <v>22</v>
      </c>
      <c r="F1331" t="s">
        <v>23</v>
      </c>
      <c r="G1331">
        <v>1</v>
      </c>
      <c r="H1331">
        <v>9791164370986</v>
      </c>
      <c r="I1331" t="s">
        <v>143</v>
      </c>
      <c r="J1331" t="s">
        <v>1665</v>
      </c>
      <c r="K1331" t="s">
        <v>1098</v>
      </c>
      <c r="L1331" t="s">
        <v>27</v>
      </c>
      <c r="M1331">
        <v>500</v>
      </c>
      <c r="N1331" t="s">
        <v>27</v>
      </c>
      <c r="O1331">
        <v>500</v>
      </c>
      <c r="P1331">
        <v>500</v>
      </c>
      <c r="Q1331" t="s">
        <v>30</v>
      </c>
      <c r="R1331" s="2">
        <v>0.7</v>
      </c>
      <c r="S1331">
        <v>350</v>
      </c>
      <c r="T1331" t="s">
        <v>27</v>
      </c>
      <c r="U1331">
        <v>350</v>
      </c>
      <c r="V1331" s="7" t="str">
        <f>IF(ISERROR(VLOOKUP(K1331,[1]작가별정산률!$R:$S,2,0)),"스토리위즈",VLOOKUP(K1331,[1]작가별정산률!$R:$S,2,0))</f>
        <v>스토리위즈</v>
      </c>
      <c r="W1331" s="7" t="str">
        <f>IF(V1331="스토리위즈",VLOOKUP(K1331,[1]작가별정산률!$A:$B,2,0),V1331)</f>
        <v>차홍주</v>
      </c>
    </row>
    <row r="1332" spans="1:23" x14ac:dyDescent="0.4">
      <c r="A1332" t="s">
        <v>262</v>
      </c>
      <c r="B1332" t="s">
        <v>1639</v>
      </c>
      <c r="C1332" t="s">
        <v>1666</v>
      </c>
      <c r="D1332" t="s">
        <v>64</v>
      </c>
      <c r="E1332" t="s">
        <v>22</v>
      </c>
      <c r="F1332" t="s">
        <v>23</v>
      </c>
      <c r="G1332">
        <v>1</v>
      </c>
      <c r="H1332">
        <v>9791166300165</v>
      </c>
      <c r="I1332" t="s">
        <v>24</v>
      </c>
      <c r="J1332" t="s">
        <v>126</v>
      </c>
      <c r="K1332" t="s">
        <v>119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  <c r="V1332" s="7" t="str">
        <f>IF(ISERROR(VLOOKUP(K1332,[1]작가별정산률!$R:$S,2,0)),"스토리위즈",VLOOKUP(K1332,[1]작가별정산률!$R:$S,2,0))</f>
        <v>스토리위즈</v>
      </c>
      <c r="W1332" s="7" t="str">
        <f>IF(V1332="스토리위즈",VLOOKUP(K1332,[1]작가별정산률!$A:$B,2,0),V1332)</f>
        <v>김광수</v>
      </c>
    </row>
    <row r="1333" spans="1:23" x14ac:dyDescent="0.4">
      <c r="A1333" t="s">
        <v>262</v>
      </c>
      <c r="B1333" t="s">
        <v>1639</v>
      </c>
      <c r="C1333" t="s">
        <v>1667</v>
      </c>
      <c r="D1333" t="s">
        <v>21</v>
      </c>
      <c r="E1333" t="s">
        <v>22</v>
      </c>
      <c r="F1333" t="s">
        <v>23</v>
      </c>
      <c r="G1333">
        <v>1</v>
      </c>
      <c r="H1333">
        <v>9791191562439</v>
      </c>
      <c r="I1333" t="s">
        <v>143</v>
      </c>
      <c r="J1333" t="s">
        <v>1661</v>
      </c>
      <c r="K1333" t="s">
        <v>188</v>
      </c>
      <c r="L1333" t="s">
        <v>27</v>
      </c>
      <c r="M1333" s="3">
        <v>2500</v>
      </c>
      <c r="N1333" t="s">
        <v>27</v>
      </c>
      <c r="O1333" s="3">
        <v>2500</v>
      </c>
      <c r="P1333" s="3">
        <v>2500</v>
      </c>
      <c r="Q1333" t="s">
        <v>30</v>
      </c>
      <c r="R1333" s="2">
        <v>0.7</v>
      </c>
      <c r="S1333" s="3">
        <v>1750</v>
      </c>
      <c r="T1333" t="s">
        <v>27</v>
      </c>
      <c r="U1333" s="3">
        <v>1750</v>
      </c>
      <c r="V1333" s="7" t="str">
        <f>IF(ISERROR(VLOOKUP(K1333,[1]작가별정산률!$R:$S,2,0)),"스토리위즈",VLOOKUP(K1333,[1]작가별정산률!$R:$S,2,0))</f>
        <v>밀리의 서재</v>
      </c>
      <c r="W1333" s="7" t="str">
        <f>IF(V1333="스토리위즈",VLOOKUP(K1333,[1]작가별정산률!$A:$B,2,0),V1333)</f>
        <v>밀리의 서재</v>
      </c>
    </row>
    <row r="1334" spans="1:23" x14ac:dyDescent="0.4">
      <c r="A1334" t="s">
        <v>262</v>
      </c>
      <c r="B1334" t="s">
        <v>1639</v>
      </c>
      <c r="C1334" t="s">
        <v>1668</v>
      </c>
      <c r="D1334" t="s">
        <v>64</v>
      </c>
      <c r="E1334" t="s">
        <v>22</v>
      </c>
      <c r="F1334" t="s">
        <v>23</v>
      </c>
      <c r="G1334">
        <v>1</v>
      </c>
      <c r="H1334">
        <v>9791159282843</v>
      </c>
      <c r="I1334" t="s">
        <v>24</v>
      </c>
      <c r="J1334" t="s">
        <v>25</v>
      </c>
      <c r="K1334" t="s">
        <v>26</v>
      </c>
      <c r="L1334" t="s">
        <v>27</v>
      </c>
      <c r="M1334">
        <v>630</v>
      </c>
      <c r="N1334" t="s">
        <v>27</v>
      </c>
      <c r="O1334">
        <v>630</v>
      </c>
      <c r="P1334">
        <v>630</v>
      </c>
      <c r="Q1334" t="s">
        <v>30</v>
      </c>
      <c r="R1334" s="2">
        <v>0.7</v>
      </c>
      <c r="S1334">
        <v>441</v>
      </c>
      <c r="T1334" t="s">
        <v>27</v>
      </c>
      <c r="U1334">
        <v>441</v>
      </c>
      <c r="V1334" s="7" t="str">
        <f>IF(ISERROR(VLOOKUP(K1334,[1]작가별정산률!$R:$S,2,0)),"스토리위즈",VLOOKUP(K1334,[1]작가별정산률!$R:$S,2,0))</f>
        <v>스토리위즈</v>
      </c>
      <c r="W1334" s="7" t="str">
        <f>IF(V1334="스토리위즈",VLOOKUP(K1334,[1]작가별정산률!$A:$B,2,0),V1334)</f>
        <v>독고진</v>
      </c>
    </row>
    <row r="1335" spans="1:23" x14ac:dyDescent="0.4">
      <c r="A1335" t="s">
        <v>262</v>
      </c>
      <c r="B1335" t="s">
        <v>1639</v>
      </c>
      <c r="C1335" t="s">
        <v>1669</v>
      </c>
      <c r="D1335" t="s">
        <v>64</v>
      </c>
      <c r="E1335" t="s">
        <v>22</v>
      </c>
      <c r="F1335" t="s">
        <v>23</v>
      </c>
      <c r="G1335">
        <v>1</v>
      </c>
      <c r="H1335">
        <v>9791166300158</v>
      </c>
      <c r="I1335" t="s">
        <v>24</v>
      </c>
      <c r="J1335" t="s">
        <v>125</v>
      </c>
      <c r="K1335" t="s">
        <v>119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  <c r="V1335" s="7" t="str">
        <f>IF(ISERROR(VLOOKUP(K1335,[1]작가별정산률!$R:$S,2,0)),"스토리위즈",VLOOKUP(K1335,[1]작가별정산률!$R:$S,2,0))</f>
        <v>스토리위즈</v>
      </c>
      <c r="W1335" s="7" t="str">
        <f>IF(V1335="스토리위즈",VLOOKUP(K1335,[1]작가별정산률!$A:$B,2,0),V1335)</f>
        <v>김광수</v>
      </c>
    </row>
    <row r="1336" spans="1:23" x14ac:dyDescent="0.4">
      <c r="A1336" t="s">
        <v>262</v>
      </c>
      <c r="B1336" t="s">
        <v>1639</v>
      </c>
      <c r="C1336" t="s">
        <v>1670</v>
      </c>
      <c r="D1336" t="s">
        <v>21</v>
      </c>
      <c r="E1336" t="s">
        <v>22</v>
      </c>
      <c r="F1336" t="s">
        <v>23</v>
      </c>
      <c r="G1336">
        <v>1</v>
      </c>
      <c r="H1336">
        <v>9791191562033</v>
      </c>
      <c r="I1336" t="s">
        <v>143</v>
      </c>
      <c r="J1336" t="s">
        <v>189</v>
      </c>
      <c r="K1336" t="s">
        <v>187</v>
      </c>
      <c r="L1336" t="s">
        <v>27</v>
      </c>
      <c r="M1336" s="3">
        <v>2000</v>
      </c>
      <c r="N1336" t="s">
        <v>27</v>
      </c>
      <c r="O1336" s="3">
        <v>2000</v>
      </c>
      <c r="P1336" s="3">
        <v>2000</v>
      </c>
      <c r="Q1336" t="s">
        <v>30</v>
      </c>
      <c r="R1336" s="2">
        <v>0.7</v>
      </c>
      <c r="S1336" s="3">
        <v>1400</v>
      </c>
      <c r="T1336" t="s">
        <v>27</v>
      </c>
      <c r="U1336" s="3">
        <v>1400</v>
      </c>
      <c r="V1336" s="7" t="str">
        <f>IF(ISERROR(VLOOKUP(K1336,[1]작가별정산률!$R:$S,2,0)),"스토리위즈",VLOOKUP(K1336,[1]작가별정산률!$R:$S,2,0))</f>
        <v>밀리의 서재</v>
      </c>
      <c r="W1336" s="7" t="str">
        <f>IF(V1336="스토리위즈",VLOOKUP(K1336,[1]작가별정산률!$A:$B,2,0),V1336)</f>
        <v>밀리의 서재</v>
      </c>
    </row>
    <row r="1337" spans="1:23" x14ac:dyDescent="0.4">
      <c r="A1337" t="s">
        <v>262</v>
      </c>
      <c r="B1337" t="s">
        <v>1639</v>
      </c>
      <c r="C1337" t="s">
        <v>1671</v>
      </c>
      <c r="D1337" t="s">
        <v>64</v>
      </c>
      <c r="E1337" t="s">
        <v>22</v>
      </c>
      <c r="F1337" t="s">
        <v>23</v>
      </c>
      <c r="G1337">
        <v>1</v>
      </c>
      <c r="H1337">
        <v>9791166300486</v>
      </c>
      <c r="I1337" t="s">
        <v>24</v>
      </c>
      <c r="J1337" t="s">
        <v>146</v>
      </c>
      <c r="K1337" t="s">
        <v>119</v>
      </c>
      <c r="L1337" t="s">
        <v>27</v>
      </c>
      <c r="M1337">
        <v>630</v>
      </c>
      <c r="N1337" t="s">
        <v>27</v>
      </c>
      <c r="O1337">
        <v>630</v>
      </c>
      <c r="P1337">
        <v>630</v>
      </c>
      <c r="Q1337" t="s">
        <v>30</v>
      </c>
      <c r="R1337" s="2">
        <v>0.7</v>
      </c>
      <c r="S1337">
        <v>441</v>
      </c>
      <c r="T1337" t="s">
        <v>27</v>
      </c>
      <c r="U1337">
        <v>441</v>
      </c>
      <c r="V1337" s="7" t="str">
        <f>IF(ISERROR(VLOOKUP(K1337,[1]작가별정산률!$R:$S,2,0)),"스토리위즈",VLOOKUP(K1337,[1]작가별정산률!$R:$S,2,0))</f>
        <v>스토리위즈</v>
      </c>
      <c r="W1337" s="7" t="str">
        <f>IF(V1337="스토리위즈",VLOOKUP(K1337,[1]작가별정산률!$A:$B,2,0),V1337)</f>
        <v>김광수</v>
      </c>
    </row>
    <row r="1338" spans="1:23" x14ac:dyDescent="0.4">
      <c r="A1338" t="s">
        <v>262</v>
      </c>
      <c r="B1338" t="s">
        <v>1639</v>
      </c>
      <c r="C1338" t="s">
        <v>1672</v>
      </c>
      <c r="D1338" t="s">
        <v>21</v>
      </c>
      <c r="E1338" t="s">
        <v>22</v>
      </c>
      <c r="F1338" t="s">
        <v>23</v>
      </c>
      <c r="G1338">
        <v>1</v>
      </c>
      <c r="H1338">
        <v>9791191562316</v>
      </c>
      <c r="I1338" t="s">
        <v>143</v>
      </c>
      <c r="J1338" t="s">
        <v>229</v>
      </c>
      <c r="K1338" t="s">
        <v>230</v>
      </c>
      <c r="L1338" t="s">
        <v>27</v>
      </c>
      <c r="M1338" s="3">
        <v>2500</v>
      </c>
      <c r="N1338" t="s">
        <v>28</v>
      </c>
      <c r="O1338">
        <v>2.06</v>
      </c>
      <c r="P1338">
        <v>2.06</v>
      </c>
      <c r="Q1338" t="s">
        <v>29</v>
      </c>
      <c r="R1338" s="2">
        <v>0.7</v>
      </c>
      <c r="S1338">
        <v>1.44</v>
      </c>
      <c r="T1338" t="s">
        <v>27</v>
      </c>
      <c r="U1338" s="3">
        <v>1840</v>
      </c>
      <c r="V1338" s="7" t="str">
        <f>IF(ISERROR(VLOOKUP(K1338,[1]작가별정산률!$R:$S,2,0)),"스토리위즈",VLOOKUP(K1338,[1]작가별정산률!$R:$S,2,0))</f>
        <v>밀리의 서재</v>
      </c>
      <c r="W1338" s="7" t="str">
        <f>IF(V1338="스토리위즈",VLOOKUP(K1338,[1]작가별정산률!$A:$B,2,0),V1338)</f>
        <v>밀리의 서재</v>
      </c>
    </row>
    <row r="1339" spans="1:23" x14ac:dyDescent="0.4">
      <c r="A1339" t="s">
        <v>262</v>
      </c>
      <c r="B1339" t="s">
        <v>1639</v>
      </c>
      <c r="C1339" t="s">
        <v>1673</v>
      </c>
      <c r="D1339" t="s">
        <v>21</v>
      </c>
      <c r="E1339" t="s">
        <v>22</v>
      </c>
      <c r="F1339" t="s">
        <v>23</v>
      </c>
      <c r="G1339">
        <v>1</v>
      </c>
      <c r="H1339">
        <v>9791166300301</v>
      </c>
      <c r="I1339" t="s">
        <v>24</v>
      </c>
      <c r="J1339" t="s">
        <v>139</v>
      </c>
      <c r="K1339" t="s">
        <v>119</v>
      </c>
      <c r="L1339" t="s">
        <v>27</v>
      </c>
      <c r="M1339" s="3">
        <v>3200</v>
      </c>
      <c r="N1339" t="s">
        <v>27</v>
      </c>
      <c r="O1339" s="3">
        <v>3200</v>
      </c>
      <c r="P1339" s="3">
        <v>3200</v>
      </c>
      <c r="Q1339" t="s">
        <v>30</v>
      </c>
      <c r="R1339" s="2">
        <v>0.7</v>
      </c>
      <c r="S1339" s="3">
        <v>2240</v>
      </c>
      <c r="T1339" t="s">
        <v>27</v>
      </c>
      <c r="U1339" s="3">
        <v>2240</v>
      </c>
      <c r="V1339" s="7" t="str">
        <f>IF(ISERROR(VLOOKUP(K1339,[1]작가별정산률!$R:$S,2,0)),"스토리위즈",VLOOKUP(K1339,[1]작가별정산률!$R:$S,2,0))</f>
        <v>스토리위즈</v>
      </c>
      <c r="W1339" s="7" t="str">
        <f>IF(V1339="스토리위즈",VLOOKUP(K1339,[1]작가별정산률!$A:$B,2,0),V1339)</f>
        <v>김광수</v>
      </c>
    </row>
    <row r="1340" spans="1:23" x14ac:dyDescent="0.4">
      <c r="A1340" t="s">
        <v>262</v>
      </c>
      <c r="B1340" t="s">
        <v>1639</v>
      </c>
      <c r="C1340" t="s">
        <v>1674</v>
      </c>
      <c r="D1340" t="s">
        <v>64</v>
      </c>
      <c r="E1340" t="s">
        <v>22</v>
      </c>
      <c r="F1340" t="s">
        <v>23</v>
      </c>
      <c r="G1340">
        <v>1</v>
      </c>
      <c r="H1340">
        <v>9791166300608</v>
      </c>
      <c r="I1340" t="s">
        <v>24</v>
      </c>
      <c r="J1340" t="s">
        <v>162</v>
      </c>
      <c r="K1340" t="s">
        <v>119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2">
        <v>0.7</v>
      </c>
      <c r="S1340">
        <v>441</v>
      </c>
      <c r="T1340" t="s">
        <v>27</v>
      </c>
      <c r="U1340">
        <v>441</v>
      </c>
      <c r="V1340" s="7" t="str">
        <f>IF(ISERROR(VLOOKUP(K1340,[1]작가별정산률!$R:$S,2,0)),"스토리위즈",VLOOKUP(K1340,[1]작가별정산률!$R:$S,2,0))</f>
        <v>스토리위즈</v>
      </c>
      <c r="W1340" s="7" t="str">
        <f>IF(V1340="스토리위즈",VLOOKUP(K1340,[1]작가별정산률!$A:$B,2,0),V1340)</f>
        <v>김광수</v>
      </c>
    </row>
    <row r="1341" spans="1:23" x14ac:dyDescent="0.4">
      <c r="A1341" t="s">
        <v>262</v>
      </c>
      <c r="B1341" t="s">
        <v>1639</v>
      </c>
      <c r="C1341" t="s">
        <v>1675</v>
      </c>
      <c r="D1341" t="s">
        <v>64</v>
      </c>
      <c r="E1341" t="s">
        <v>22</v>
      </c>
      <c r="F1341" t="s">
        <v>23</v>
      </c>
      <c r="G1341">
        <v>1</v>
      </c>
      <c r="H1341">
        <v>9791166300127</v>
      </c>
      <c r="I1341" t="s">
        <v>24</v>
      </c>
      <c r="J1341" t="s">
        <v>122</v>
      </c>
      <c r="K1341" t="s">
        <v>119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  <c r="V1341" s="7" t="str">
        <f>IF(ISERROR(VLOOKUP(K1341,[1]작가별정산률!$R:$S,2,0)),"스토리위즈",VLOOKUP(K1341,[1]작가별정산률!$R:$S,2,0))</f>
        <v>스토리위즈</v>
      </c>
      <c r="W1341" s="7" t="str">
        <f>IF(V1341="스토리위즈",VLOOKUP(K1341,[1]작가별정산률!$A:$B,2,0),V1341)</f>
        <v>김광수</v>
      </c>
    </row>
    <row r="1342" spans="1:23" x14ac:dyDescent="0.4">
      <c r="A1342" t="s">
        <v>262</v>
      </c>
      <c r="B1342" t="s">
        <v>1639</v>
      </c>
      <c r="C1342" t="s">
        <v>1676</v>
      </c>
      <c r="D1342" t="s">
        <v>21</v>
      </c>
      <c r="E1342" t="s">
        <v>22</v>
      </c>
      <c r="F1342" t="s">
        <v>23</v>
      </c>
      <c r="G1342">
        <v>1</v>
      </c>
      <c r="H1342">
        <v>9791166300462</v>
      </c>
      <c r="I1342" t="s">
        <v>24</v>
      </c>
      <c r="J1342" t="s">
        <v>144</v>
      </c>
      <c r="K1342" t="s">
        <v>119</v>
      </c>
      <c r="L1342" t="s">
        <v>27</v>
      </c>
      <c r="M1342" s="3">
        <v>3200</v>
      </c>
      <c r="N1342" t="s">
        <v>27</v>
      </c>
      <c r="O1342" s="3">
        <v>3200</v>
      </c>
      <c r="P1342" s="3">
        <v>3200</v>
      </c>
      <c r="Q1342" t="s">
        <v>30</v>
      </c>
      <c r="R1342" s="2">
        <v>0.7</v>
      </c>
      <c r="S1342" s="3">
        <v>2240</v>
      </c>
      <c r="T1342" t="s">
        <v>27</v>
      </c>
      <c r="U1342" s="3">
        <v>2240</v>
      </c>
      <c r="V1342" s="7" t="str">
        <f>IF(ISERROR(VLOOKUP(K1342,[1]작가별정산률!$R:$S,2,0)),"스토리위즈",VLOOKUP(K1342,[1]작가별정산률!$R:$S,2,0))</f>
        <v>스토리위즈</v>
      </c>
      <c r="W1342" s="7" t="str">
        <f>IF(V1342="스토리위즈",VLOOKUP(K1342,[1]작가별정산률!$A:$B,2,0),V1342)</f>
        <v>김광수</v>
      </c>
    </row>
    <row r="1343" spans="1:23" x14ac:dyDescent="0.4">
      <c r="A1343" t="s">
        <v>262</v>
      </c>
      <c r="B1343" t="s">
        <v>1639</v>
      </c>
      <c r="C1343" t="s">
        <v>1677</v>
      </c>
      <c r="D1343" t="s">
        <v>21</v>
      </c>
      <c r="E1343" t="s">
        <v>22</v>
      </c>
      <c r="F1343" t="s">
        <v>23</v>
      </c>
      <c r="G1343">
        <v>1</v>
      </c>
      <c r="H1343">
        <v>9791191562033</v>
      </c>
      <c r="I1343" t="s">
        <v>143</v>
      </c>
      <c r="J1343" t="s">
        <v>189</v>
      </c>
      <c r="K1343" t="s">
        <v>187</v>
      </c>
      <c r="L1343" t="s">
        <v>27</v>
      </c>
      <c r="M1343" s="3">
        <v>2000</v>
      </c>
      <c r="N1343" t="s">
        <v>27</v>
      </c>
      <c r="O1343" s="3">
        <v>2000</v>
      </c>
      <c r="P1343" s="3">
        <v>2000</v>
      </c>
      <c r="Q1343" t="s">
        <v>30</v>
      </c>
      <c r="R1343" s="2">
        <v>0.7</v>
      </c>
      <c r="S1343" s="3">
        <v>1400</v>
      </c>
      <c r="T1343" t="s">
        <v>27</v>
      </c>
      <c r="U1343" s="3">
        <v>1400</v>
      </c>
      <c r="V1343" s="7" t="str">
        <f>IF(ISERROR(VLOOKUP(K1343,[1]작가별정산률!$R:$S,2,0)),"스토리위즈",VLOOKUP(K1343,[1]작가별정산률!$R:$S,2,0))</f>
        <v>밀리의 서재</v>
      </c>
      <c r="W1343" s="7" t="str">
        <f>IF(V1343="스토리위즈",VLOOKUP(K1343,[1]작가별정산률!$A:$B,2,0),V1343)</f>
        <v>밀리의 서재</v>
      </c>
    </row>
    <row r="1344" spans="1:23" x14ac:dyDescent="0.4">
      <c r="A1344" t="s">
        <v>262</v>
      </c>
      <c r="B1344" t="s">
        <v>1639</v>
      </c>
      <c r="C1344" t="s">
        <v>1678</v>
      </c>
      <c r="D1344" t="s">
        <v>21</v>
      </c>
      <c r="E1344" t="s">
        <v>22</v>
      </c>
      <c r="F1344" t="s">
        <v>23</v>
      </c>
      <c r="G1344">
        <v>1</v>
      </c>
      <c r="H1344">
        <v>9791164370672</v>
      </c>
      <c r="I1344" t="s">
        <v>143</v>
      </c>
      <c r="J1344" t="s">
        <v>1679</v>
      </c>
      <c r="K1344" t="s">
        <v>1098</v>
      </c>
      <c r="L1344" t="s">
        <v>27</v>
      </c>
      <c r="M1344" s="3">
        <v>3000</v>
      </c>
      <c r="N1344" t="s">
        <v>27</v>
      </c>
      <c r="O1344" s="3">
        <v>3000</v>
      </c>
      <c r="P1344" s="3">
        <v>3000</v>
      </c>
      <c r="Q1344" t="s">
        <v>30</v>
      </c>
      <c r="R1344" s="2">
        <v>0.7</v>
      </c>
      <c r="S1344" s="3">
        <v>2100</v>
      </c>
      <c r="T1344" t="s">
        <v>27</v>
      </c>
      <c r="U1344" s="3">
        <v>2100</v>
      </c>
      <c r="V1344" s="7" t="str">
        <f>IF(ISERROR(VLOOKUP(K1344,[1]작가별정산률!$R:$S,2,0)),"스토리위즈",VLOOKUP(K1344,[1]작가별정산률!$R:$S,2,0))</f>
        <v>스토리위즈</v>
      </c>
      <c r="W1344" s="7" t="str">
        <f>IF(V1344="스토리위즈",VLOOKUP(K1344,[1]작가별정산률!$A:$B,2,0),V1344)</f>
        <v>차홍주</v>
      </c>
    </row>
    <row r="1345" spans="1:23" x14ac:dyDescent="0.4">
      <c r="A1345" t="s">
        <v>262</v>
      </c>
      <c r="B1345" t="s">
        <v>1639</v>
      </c>
      <c r="C1345" t="s">
        <v>1680</v>
      </c>
      <c r="D1345" t="s">
        <v>64</v>
      </c>
      <c r="E1345" t="s">
        <v>22</v>
      </c>
      <c r="F1345" t="s">
        <v>23</v>
      </c>
      <c r="G1345">
        <v>1</v>
      </c>
      <c r="H1345">
        <v>9791166300219</v>
      </c>
      <c r="I1345" t="s">
        <v>24</v>
      </c>
      <c r="J1345" t="s">
        <v>130</v>
      </c>
      <c r="K1345" t="s">
        <v>119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  <c r="V1345" s="7" t="str">
        <f>IF(ISERROR(VLOOKUP(K1345,[1]작가별정산률!$R:$S,2,0)),"스토리위즈",VLOOKUP(K1345,[1]작가별정산률!$R:$S,2,0))</f>
        <v>스토리위즈</v>
      </c>
      <c r="W1345" s="7" t="str">
        <f>IF(V1345="스토리위즈",VLOOKUP(K1345,[1]작가별정산률!$A:$B,2,0),V1345)</f>
        <v>김광수</v>
      </c>
    </row>
    <row r="1346" spans="1:23" x14ac:dyDescent="0.4">
      <c r="A1346" t="s">
        <v>262</v>
      </c>
      <c r="B1346" t="s">
        <v>1639</v>
      </c>
      <c r="C1346" t="s">
        <v>1681</v>
      </c>
      <c r="D1346" t="s">
        <v>21</v>
      </c>
      <c r="E1346" t="s">
        <v>22</v>
      </c>
      <c r="F1346" t="s">
        <v>23</v>
      </c>
      <c r="G1346">
        <v>1</v>
      </c>
      <c r="H1346">
        <v>9791191562286</v>
      </c>
      <c r="I1346" t="s">
        <v>143</v>
      </c>
      <c r="J1346" t="s">
        <v>238</v>
      </c>
      <c r="K1346" t="s">
        <v>239</v>
      </c>
      <c r="L1346" t="s">
        <v>27</v>
      </c>
      <c r="M1346" s="3">
        <v>2000</v>
      </c>
      <c r="N1346" t="s">
        <v>28</v>
      </c>
      <c r="O1346">
        <v>1.65</v>
      </c>
      <c r="P1346">
        <v>1.65</v>
      </c>
      <c r="Q1346" t="s">
        <v>29</v>
      </c>
      <c r="R1346" s="2">
        <v>0.7</v>
      </c>
      <c r="S1346">
        <v>1.1499999999999999</v>
      </c>
      <c r="T1346" t="s">
        <v>27</v>
      </c>
      <c r="U1346" s="3">
        <v>1469</v>
      </c>
      <c r="V1346" s="7" t="str">
        <f>IF(ISERROR(VLOOKUP(K1346,[1]작가별정산률!$R:$S,2,0)),"스토리위즈",VLOOKUP(K1346,[1]작가별정산률!$R:$S,2,0))</f>
        <v>밀리의 서재</v>
      </c>
      <c r="W1346" s="7" t="str">
        <f>IF(V1346="스토리위즈",VLOOKUP(K1346,[1]작가별정산률!$A:$B,2,0),V1346)</f>
        <v>밀리의 서재</v>
      </c>
    </row>
    <row r="1347" spans="1:23" x14ac:dyDescent="0.4">
      <c r="A1347" t="s">
        <v>262</v>
      </c>
      <c r="B1347" t="s">
        <v>1639</v>
      </c>
      <c r="C1347" t="s">
        <v>1682</v>
      </c>
      <c r="D1347" t="s">
        <v>64</v>
      </c>
      <c r="E1347" t="s">
        <v>22</v>
      </c>
      <c r="F1347" t="s">
        <v>23</v>
      </c>
      <c r="G1347">
        <v>1</v>
      </c>
      <c r="H1347">
        <v>9791159282874</v>
      </c>
      <c r="I1347" t="s">
        <v>24</v>
      </c>
      <c r="J1347" t="s">
        <v>33</v>
      </c>
      <c r="K1347" t="s">
        <v>26</v>
      </c>
      <c r="L1347" t="s">
        <v>27</v>
      </c>
      <c r="M1347">
        <v>630</v>
      </c>
      <c r="N1347" t="s">
        <v>27</v>
      </c>
      <c r="O1347">
        <v>630</v>
      </c>
      <c r="P1347">
        <v>630</v>
      </c>
      <c r="Q1347" t="s">
        <v>30</v>
      </c>
      <c r="R1347" s="2">
        <v>0.7</v>
      </c>
      <c r="S1347">
        <v>441</v>
      </c>
      <c r="T1347" t="s">
        <v>27</v>
      </c>
      <c r="U1347">
        <v>441</v>
      </c>
      <c r="V1347" s="7" t="str">
        <f>IF(ISERROR(VLOOKUP(K1347,[1]작가별정산률!$R:$S,2,0)),"스토리위즈",VLOOKUP(K1347,[1]작가별정산률!$R:$S,2,0))</f>
        <v>스토리위즈</v>
      </c>
      <c r="W1347" s="7" t="str">
        <f>IF(V1347="스토리위즈",VLOOKUP(K1347,[1]작가별정산률!$A:$B,2,0),V1347)</f>
        <v>독고진</v>
      </c>
    </row>
    <row r="1348" spans="1:23" x14ac:dyDescent="0.4">
      <c r="A1348" t="s">
        <v>262</v>
      </c>
      <c r="B1348" t="s">
        <v>1639</v>
      </c>
      <c r="C1348" t="s">
        <v>1683</v>
      </c>
      <c r="D1348" t="s">
        <v>21</v>
      </c>
      <c r="E1348" t="s">
        <v>22</v>
      </c>
      <c r="F1348" t="s">
        <v>23</v>
      </c>
      <c r="G1348">
        <v>1</v>
      </c>
      <c r="H1348">
        <v>9791137603400</v>
      </c>
      <c r="I1348" t="s">
        <v>143</v>
      </c>
      <c r="J1348" t="s">
        <v>1684</v>
      </c>
      <c r="K1348" t="s">
        <v>1685</v>
      </c>
      <c r="L1348" t="s">
        <v>27</v>
      </c>
      <c r="M1348" s="3">
        <v>3500</v>
      </c>
      <c r="N1348" t="s">
        <v>223</v>
      </c>
      <c r="O1348">
        <v>321.86</v>
      </c>
      <c r="P1348">
        <v>321.86</v>
      </c>
      <c r="Q1348" t="s">
        <v>224</v>
      </c>
      <c r="R1348" s="2">
        <v>0.7</v>
      </c>
      <c r="S1348">
        <v>225.3</v>
      </c>
      <c r="T1348" t="s">
        <v>27</v>
      </c>
      <c r="U1348" s="3">
        <v>2432</v>
      </c>
      <c r="V1348" s="7" t="str">
        <f>IF(ISERROR(VLOOKUP(K1348,[1]작가별정산률!$R:$S,2,0)),"스토리위즈",VLOOKUP(K1348,[1]작가별정산률!$R:$S,2,0))</f>
        <v>스토리위즈</v>
      </c>
      <c r="W1348" s="7" t="str">
        <f>IF(V1348="스토리위즈",VLOOKUP(K1348,[1]작가별정산률!$A:$B,2,0),V1348)</f>
        <v>윈델</v>
      </c>
    </row>
    <row r="1349" spans="1:23" x14ac:dyDescent="0.4">
      <c r="A1349" t="s">
        <v>262</v>
      </c>
      <c r="B1349" t="s">
        <v>1639</v>
      </c>
      <c r="C1349" t="s">
        <v>1686</v>
      </c>
      <c r="D1349" t="s">
        <v>21</v>
      </c>
      <c r="E1349" t="s">
        <v>22</v>
      </c>
      <c r="F1349" t="s">
        <v>23</v>
      </c>
      <c r="G1349">
        <v>1</v>
      </c>
      <c r="H1349">
        <v>9791191562439</v>
      </c>
      <c r="I1349" t="s">
        <v>143</v>
      </c>
      <c r="J1349" t="s">
        <v>1661</v>
      </c>
      <c r="K1349" t="s">
        <v>188</v>
      </c>
      <c r="L1349" t="s">
        <v>27</v>
      </c>
      <c r="M1349" s="3">
        <v>2500</v>
      </c>
      <c r="N1349" t="s">
        <v>176</v>
      </c>
      <c r="O1349">
        <v>278</v>
      </c>
      <c r="P1349">
        <v>253</v>
      </c>
      <c r="Q1349" t="s">
        <v>177</v>
      </c>
      <c r="R1349" s="2">
        <v>0.7</v>
      </c>
      <c r="S1349">
        <v>177</v>
      </c>
      <c r="T1349" t="s">
        <v>27</v>
      </c>
      <c r="U1349" s="3">
        <v>1770</v>
      </c>
      <c r="V1349" s="7" t="str">
        <f>IF(ISERROR(VLOOKUP(K1349,[1]작가별정산률!$R:$S,2,0)),"스토리위즈",VLOOKUP(K1349,[1]작가별정산률!$R:$S,2,0))</f>
        <v>밀리의 서재</v>
      </c>
      <c r="W1349" s="7" t="str">
        <f>IF(V1349="스토리위즈",VLOOKUP(K1349,[1]작가별정산률!$A:$B,2,0),V1349)</f>
        <v>밀리의 서재</v>
      </c>
    </row>
    <row r="1350" spans="1:23" x14ac:dyDescent="0.4">
      <c r="A1350" t="s">
        <v>262</v>
      </c>
      <c r="B1350" t="s">
        <v>1639</v>
      </c>
      <c r="C1350" t="s">
        <v>1638</v>
      </c>
      <c r="D1350" t="s">
        <v>21</v>
      </c>
      <c r="E1350" t="s">
        <v>210</v>
      </c>
      <c r="F1350" t="s">
        <v>23</v>
      </c>
      <c r="G1350">
        <v>-1</v>
      </c>
      <c r="H1350">
        <v>9791189084813</v>
      </c>
      <c r="I1350" t="s">
        <v>143</v>
      </c>
      <c r="J1350" t="s">
        <v>563</v>
      </c>
      <c r="K1350" t="s">
        <v>564</v>
      </c>
      <c r="L1350" t="s">
        <v>27</v>
      </c>
      <c r="M1350" s="3">
        <v>4000</v>
      </c>
      <c r="N1350" t="s">
        <v>27</v>
      </c>
      <c r="O1350" s="3">
        <v>4000</v>
      </c>
      <c r="P1350" s="3">
        <v>4000</v>
      </c>
      <c r="Q1350" t="s">
        <v>30</v>
      </c>
      <c r="R1350" s="2">
        <v>0.7</v>
      </c>
      <c r="S1350" s="3">
        <v>-2800</v>
      </c>
      <c r="T1350" t="s">
        <v>27</v>
      </c>
      <c r="U1350" s="3">
        <v>-2800</v>
      </c>
      <c r="V1350" s="7" t="str">
        <f>IF(ISERROR(VLOOKUP(K1350,[1]작가별정산률!$R:$S,2,0)),"스토리위즈",VLOOKUP(K1350,[1]작가별정산률!$R:$S,2,0))</f>
        <v>스토리위즈</v>
      </c>
      <c r="W1350" s="7" t="str">
        <f>IF(V1350="스토리위즈",VLOOKUP(K1350,[1]작가별정산률!$A:$B,2,0),V1350)</f>
        <v>셔틀</v>
      </c>
    </row>
    <row r="1351" spans="1:23" x14ac:dyDescent="0.4">
      <c r="A1351" t="s">
        <v>262</v>
      </c>
      <c r="B1351" t="s">
        <v>1639</v>
      </c>
      <c r="C1351" t="s">
        <v>1687</v>
      </c>
      <c r="D1351" t="s">
        <v>21</v>
      </c>
      <c r="E1351" t="s">
        <v>22</v>
      </c>
      <c r="F1351" t="s">
        <v>23</v>
      </c>
      <c r="G1351">
        <v>1</v>
      </c>
      <c r="H1351">
        <v>9791191562286</v>
      </c>
      <c r="I1351" t="s">
        <v>143</v>
      </c>
      <c r="J1351" t="s">
        <v>238</v>
      </c>
      <c r="K1351" t="s">
        <v>239</v>
      </c>
      <c r="L1351" t="s">
        <v>27</v>
      </c>
      <c r="M1351" s="3">
        <v>2000</v>
      </c>
      <c r="N1351" t="s">
        <v>28</v>
      </c>
      <c r="O1351">
        <v>1.65</v>
      </c>
      <c r="P1351">
        <v>1.65</v>
      </c>
      <c r="Q1351" t="s">
        <v>29</v>
      </c>
      <c r="R1351" s="2">
        <v>0.7</v>
      </c>
      <c r="S1351">
        <v>1.1499999999999999</v>
      </c>
      <c r="T1351" t="s">
        <v>27</v>
      </c>
      <c r="U1351" s="3">
        <v>1457</v>
      </c>
      <c r="V1351" s="7" t="str">
        <f>IF(ISERROR(VLOOKUP(K1351,[1]작가별정산률!$R:$S,2,0)),"스토리위즈",VLOOKUP(K1351,[1]작가별정산률!$R:$S,2,0))</f>
        <v>밀리의 서재</v>
      </c>
      <c r="W1351" s="7" t="str">
        <f>IF(V1351="스토리위즈",VLOOKUP(K1351,[1]작가별정산률!$A:$B,2,0),V1351)</f>
        <v>밀리의 서재</v>
      </c>
    </row>
    <row r="1352" spans="1:23" x14ac:dyDescent="0.4">
      <c r="A1352" t="s">
        <v>262</v>
      </c>
      <c r="B1352" t="s">
        <v>1639</v>
      </c>
      <c r="C1352" t="s">
        <v>1688</v>
      </c>
      <c r="D1352" t="s">
        <v>64</v>
      </c>
      <c r="E1352" t="s">
        <v>22</v>
      </c>
      <c r="F1352" t="s">
        <v>23</v>
      </c>
      <c r="G1352">
        <v>1</v>
      </c>
      <c r="H1352">
        <v>9791188630219</v>
      </c>
      <c r="I1352" t="s">
        <v>24</v>
      </c>
      <c r="J1352" t="s">
        <v>43</v>
      </c>
      <c r="K1352" t="s">
        <v>41</v>
      </c>
      <c r="L1352" t="s">
        <v>27</v>
      </c>
      <c r="M1352">
        <v>630</v>
      </c>
      <c r="N1352" t="s">
        <v>27</v>
      </c>
      <c r="O1352">
        <v>630</v>
      </c>
      <c r="P1352">
        <v>630</v>
      </c>
      <c r="Q1352" t="s">
        <v>30</v>
      </c>
      <c r="R1352" s="2">
        <v>0.7</v>
      </c>
      <c r="S1352">
        <v>441</v>
      </c>
      <c r="T1352" t="s">
        <v>27</v>
      </c>
      <c r="U1352">
        <v>441</v>
      </c>
      <c r="V1352" s="7" t="str">
        <f>IF(ISERROR(VLOOKUP(K1352,[1]작가별정산률!$R:$S,2,0)),"스토리위즈",VLOOKUP(K1352,[1]작가별정산률!$R:$S,2,0))</f>
        <v>스토리위즈</v>
      </c>
      <c r="W1352" s="7" t="str">
        <f>IF(V1352="스토리위즈",VLOOKUP(K1352,[1]작가별정산률!$A:$B,2,0),V1352)</f>
        <v>무장</v>
      </c>
    </row>
    <row r="1353" spans="1:23" x14ac:dyDescent="0.4">
      <c r="A1353" t="s">
        <v>262</v>
      </c>
      <c r="B1353" t="s">
        <v>1639</v>
      </c>
      <c r="C1353" t="s">
        <v>1689</v>
      </c>
      <c r="D1353" t="s">
        <v>64</v>
      </c>
      <c r="E1353" t="s">
        <v>22</v>
      </c>
      <c r="F1353" t="s">
        <v>23</v>
      </c>
      <c r="G1353">
        <v>1</v>
      </c>
      <c r="H1353">
        <v>9791166061134</v>
      </c>
      <c r="I1353" t="s">
        <v>24</v>
      </c>
      <c r="J1353" t="s">
        <v>98</v>
      </c>
      <c r="K1353" t="s">
        <v>37</v>
      </c>
      <c r="L1353" t="s">
        <v>27</v>
      </c>
      <c r="M1353">
        <v>900</v>
      </c>
      <c r="N1353" t="s">
        <v>27</v>
      </c>
      <c r="O1353">
        <v>900</v>
      </c>
      <c r="P1353">
        <v>900</v>
      </c>
      <c r="Q1353" t="s">
        <v>30</v>
      </c>
      <c r="R1353" s="2">
        <v>0.7</v>
      </c>
      <c r="S1353">
        <v>630</v>
      </c>
      <c r="T1353" t="s">
        <v>27</v>
      </c>
      <c r="U1353">
        <v>630</v>
      </c>
      <c r="V1353" s="7" t="str">
        <f>IF(ISERROR(VLOOKUP(K1353,[1]작가별정산률!$R:$S,2,0)),"스토리위즈",VLOOKUP(K1353,[1]작가별정산률!$R:$S,2,0))</f>
        <v>스토리위즈</v>
      </c>
      <c r="W1353" s="7" t="str">
        <f>IF(V1353="스토리위즈",VLOOKUP(K1353,[1]작가별정산률!$A:$B,2,0),V1353)</f>
        <v>권용찬</v>
      </c>
    </row>
    <row r="1354" spans="1:23" x14ac:dyDescent="0.4">
      <c r="A1354" t="s">
        <v>262</v>
      </c>
      <c r="B1354" t="s">
        <v>1639</v>
      </c>
      <c r="C1354" t="s">
        <v>1690</v>
      </c>
      <c r="D1354" t="s">
        <v>21</v>
      </c>
      <c r="E1354" t="s">
        <v>22</v>
      </c>
      <c r="F1354" t="s">
        <v>23</v>
      </c>
      <c r="G1354">
        <v>1</v>
      </c>
      <c r="H1354">
        <v>9791189084448</v>
      </c>
      <c r="I1354" t="s">
        <v>143</v>
      </c>
      <c r="J1354" t="s">
        <v>1377</v>
      </c>
      <c r="K1354" t="s">
        <v>1378</v>
      </c>
      <c r="L1354" t="s">
        <v>27</v>
      </c>
      <c r="M1354" s="3">
        <v>3000</v>
      </c>
      <c r="N1354" t="s">
        <v>27</v>
      </c>
      <c r="O1354" s="3">
        <v>3000</v>
      </c>
      <c r="P1354" s="3">
        <v>3000</v>
      </c>
      <c r="Q1354" t="s">
        <v>30</v>
      </c>
      <c r="R1354" s="2">
        <v>0.7</v>
      </c>
      <c r="S1354" s="3">
        <v>2100</v>
      </c>
      <c r="T1354" t="s">
        <v>27</v>
      </c>
      <c r="U1354" s="3">
        <v>2100</v>
      </c>
      <c r="V1354" s="7" t="str">
        <f>IF(ISERROR(VLOOKUP(K1354,[1]작가별정산률!$R:$S,2,0)),"스토리위즈",VLOOKUP(K1354,[1]작가별정산률!$R:$S,2,0))</f>
        <v>스토리위즈</v>
      </c>
      <c r="W1354" s="7" t="str">
        <f>IF(V1354="스토리위즈",VLOOKUP(K1354,[1]작가별정산률!$A:$B,2,0),V1354)</f>
        <v>밈스</v>
      </c>
    </row>
    <row r="1355" spans="1:23" x14ac:dyDescent="0.4">
      <c r="A1355" t="s">
        <v>262</v>
      </c>
      <c r="B1355" t="s">
        <v>1639</v>
      </c>
      <c r="C1355" t="s">
        <v>1691</v>
      </c>
      <c r="D1355" t="s">
        <v>64</v>
      </c>
      <c r="E1355" t="s">
        <v>22</v>
      </c>
      <c r="F1355" t="s">
        <v>23</v>
      </c>
      <c r="G1355">
        <v>1</v>
      </c>
      <c r="H1355">
        <v>9791159283253</v>
      </c>
      <c r="I1355" t="s">
        <v>24</v>
      </c>
      <c r="J1355" t="s">
        <v>68</v>
      </c>
      <c r="K1355" t="s">
        <v>37</v>
      </c>
      <c r="L1355" t="s">
        <v>27</v>
      </c>
      <c r="M1355">
        <v>630</v>
      </c>
      <c r="N1355" t="s">
        <v>27</v>
      </c>
      <c r="O1355">
        <v>630</v>
      </c>
      <c r="P1355">
        <v>630</v>
      </c>
      <c r="Q1355" t="s">
        <v>30</v>
      </c>
      <c r="R1355" s="2">
        <v>0.7</v>
      </c>
      <c r="S1355">
        <v>441</v>
      </c>
      <c r="T1355" t="s">
        <v>27</v>
      </c>
      <c r="U1355">
        <v>441</v>
      </c>
      <c r="V1355" s="7" t="str">
        <f>IF(ISERROR(VLOOKUP(K1355,[1]작가별정산률!$R:$S,2,0)),"스토리위즈",VLOOKUP(K1355,[1]작가별정산률!$R:$S,2,0))</f>
        <v>스토리위즈</v>
      </c>
      <c r="W1355" s="7" t="str">
        <f>IF(V1355="스토리위즈",VLOOKUP(K1355,[1]작가별정산률!$A:$B,2,0),V1355)</f>
        <v>권용찬</v>
      </c>
    </row>
    <row r="1356" spans="1:23" x14ac:dyDescent="0.4">
      <c r="A1356" t="s">
        <v>262</v>
      </c>
      <c r="B1356" t="s">
        <v>1639</v>
      </c>
      <c r="C1356" t="s">
        <v>1692</v>
      </c>
      <c r="D1356" t="s">
        <v>21</v>
      </c>
      <c r="E1356" t="s">
        <v>22</v>
      </c>
      <c r="F1356" t="s">
        <v>23</v>
      </c>
      <c r="G1356">
        <v>1</v>
      </c>
      <c r="H1356">
        <v>9791166300301</v>
      </c>
      <c r="I1356" t="s">
        <v>24</v>
      </c>
      <c r="J1356" t="s">
        <v>139</v>
      </c>
      <c r="K1356" t="s">
        <v>119</v>
      </c>
      <c r="L1356" t="s">
        <v>27</v>
      </c>
      <c r="M1356" s="3">
        <v>3200</v>
      </c>
      <c r="N1356" t="s">
        <v>28</v>
      </c>
      <c r="O1356">
        <v>2.64</v>
      </c>
      <c r="P1356">
        <v>2.64</v>
      </c>
      <c r="Q1356" t="s">
        <v>29</v>
      </c>
      <c r="R1356" s="2">
        <v>0.7</v>
      </c>
      <c r="S1356">
        <v>1.85</v>
      </c>
      <c r="T1356" t="s">
        <v>27</v>
      </c>
      <c r="U1356" s="3">
        <v>2345</v>
      </c>
      <c r="V1356" s="7" t="str">
        <f>IF(ISERROR(VLOOKUP(K1356,[1]작가별정산률!$R:$S,2,0)),"스토리위즈",VLOOKUP(K1356,[1]작가별정산률!$R:$S,2,0))</f>
        <v>스토리위즈</v>
      </c>
      <c r="W1356" s="7" t="str">
        <f>IF(V1356="스토리위즈",VLOOKUP(K1356,[1]작가별정산률!$A:$B,2,0),V1356)</f>
        <v>김광수</v>
      </c>
    </row>
    <row r="1357" spans="1:23" x14ac:dyDescent="0.4">
      <c r="A1357" t="s">
        <v>262</v>
      </c>
      <c r="B1357" t="s">
        <v>1639</v>
      </c>
      <c r="C1357" t="s">
        <v>1692</v>
      </c>
      <c r="D1357" t="s">
        <v>21</v>
      </c>
      <c r="E1357" t="s">
        <v>22</v>
      </c>
      <c r="F1357" t="s">
        <v>23</v>
      </c>
      <c r="G1357">
        <v>1</v>
      </c>
      <c r="H1357">
        <v>9791166300462</v>
      </c>
      <c r="I1357" t="s">
        <v>24</v>
      </c>
      <c r="J1357" t="s">
        <v>144</v>
      </c>
      <c r="K1357" t="s">
        <v>119</v>
      </c>
      <c r="L1357" t="s">
        <v>27</v>
      </c>
      <c r="M1357" s="3">
        <v>3200</v>
      </c>
      <c r="N1357" t="s">
        <v>28</v>
      </c>
      <c r="O1357">
        <v>2.64</v>
      </c>
      <c r="P1357">
        <v>2.64</v>
      </c>
      <c r="Q1357" t="s">
        <v>29</v>
      </c>
      <c r="R1357" s="2">
        <v>0.7</v>
      </c>
      <c r="S1357">
        <v>1.85</v>
      </c>
      <c r="T1357" t="s">
        <v>27</v>
      </c>
      <c r="U1357" s="3">
        <v>2345</v>
      </c>
      <c r="V1357" s="7" t="str">
        <f>IF(ISERROR(VLOOKUP(K1357,[1]작가별정산률!$R:$S,2,0)),"스토리위즈",VLOOKUP(K1357,[1]작가별정산률!$R:$S,2,0))</f>
        <v>스토리위즈</v>
      </c>
      <c r="W1357" s="7" t="str">
        <f>IF(V1357="스토리위즈",VLOOKUP(K1357,[1]작가별정산률!$A:$B,2,0),V1357)</f>
        <v>김광수</v>
      </c>
    </row>
    <row r="1358" spans="1:23" x14ac:dyDescent="0.4">
      <c r="A1358" t="s">
        <v>262</v>
      </c>
      <c r="B1358" t="s">
        <v>1639</v>
      </c>
      <c r="C1358" t="s">
        <v>1692</v>
      </c>
      <c r="D1358" t="s">
        <v>21</v>
      </c>
      <c r="E1358" t="s">
        <v>22</v>
      </c>
      <c r="F1358" t="s">
        <v>23</v>
      </c>
      <c r="G1358">
        <v>1</v>
      </c>
      <c r="H1358">
        <v>9791166300479</v>
      </c>
      <c r="I1358" t="s">
        <v>24</v>
      </c>
      <c r="J1358" t="s">
        <v>145</v>
      </c>
      <c r="K1358" t="s">
        <v>119</v>
      </c>
      <c r="L1358" t="s">
        <v>27</v>
      </c>
      <c r="M1358" s="3">
        <v>3200</v>
      </c>
      <c r="N1358" t="s">
        <v>28</v>
      </c>
      <c r="O1358">
        <v>2.64</v>
      </c>
      <c r="P1358">
        <v>2.64</v>
      </c>
      <c r="Q1358" t="s">
        <v>29</v>
      </c>
      <c r="R1358" s="2">
        <v>0.7</v>
      </c>
      <c r="S1358">
        <v>1.85</v>
      </c>
      <c r="T1358" t="s">
        <v>27</v>
      </c>
      <c r="U1358" s="3">
        <v>2345</v>
      </c>
      <c r="V1358" s="7" t="str">
        <f>IF(ISERROR(VLOOKUP(K1358,[1]작가별정산률!$R:$S,2,0)),"스토리위즈",VLOOKUP(K1358,[1]작가별정산률!$R:$S,2,0))</f>
        <v>스토리위즈</v>
      </c>
      <c r="W1358" s="7" t="str">
        <f>IF(V1358="스토리위즈",VLOOKUP(K1358,[1]작가별정산률!$A:$B,2,0),V1358)</f>
        <v>김광수</v>
      </c>
    </row>
    <row r="1359" spans="1:23" x14ac:dyDescent="0.4">
      <c r="A1359" t="s">
        <v>262</v>
      </c>
      <c r="B1359" t="s">
        <v>1639</v>
      </c>
      <c r="C1359" t="s">
        <v>1693</v>
      </c>
      <c r="D1359" t="s">
        <v>64</v>
      </c>
      <c r="E1359" t="s">
        <v>22</v>
      </c>
      <c r="F1359" t="s">
        <v>23</v>
      </c>
      <c r="G1359">
        <v>1</v>
      </c>
      <c r="H1359">
        <v>9791166300134</v>
      </c>
      <c r="I1359" t="s">
        <v>24</v>
      </c>
      <c r="J1359" t="s">
        <v>123</v>
      </c>
      <c r="K1359" t="s">
        <v>119</v>
      </c>
      <c r="L1359" t="s">
        <v>27</v>
      </c>
      <c r="M1359">
        <v>630</v>
      </c>
      <c r="N1359" t="s">
        <v>27</v>
      </c>
      <c r="O1359">
        <v>630</v>
      </c>
      <c r="P1359">
        <v>630</v>
      </c>
      <c r="Q1359" t="s">
        <v>30</v>
      </c>
      <c r="R1359" s="2">
        <v>0.7</v>
      </c>
      <c r="S1359">
        <v>441</v>
      </c>
      <c r="T1359" t="s">
        <v>27</v>
      </c>
      <c r="U1359">
        <v>441</v>
      </c>
      <c r="V1359" s="7" t="str">
        <f>IF(ISERROR(VLOOKUP(K1359,[1]작가별정산률!$R:$S,2,0)),"스토리위즈",VLOOKUP(K1359,[1]작가별정산률!$R:$S,2,0))</f>
        <v>스토리위즈</v>
      </c>
      <c r="W1359" s="7" t="str">
        <f>IF(V1359="스토리위즈",VLOOKUP(K1359,[1]작가별정산률!$A:$B,2,0),V1359)</f>
        <v>김광수</v>
      </c>
    </row>
    <row r="1360" spans="1:23" x14ac:dyDescent="0.4">
      <c r="A1360" t="s">
        <v>262</v>
      </c>
      <c r="B1360" t="s">
        <v>1639</v>
      </c>
      <c r="C1360" t="s">
        <v>1694</v>
      </c>
      <c r="D1360" t="s">
        <v>64</v>
      </c>
      <c r="E1360" t="s">
        <v>22</v>
      </c>
      <c r="F1360" t="s">
        <v>23</v>
      </c>
      <c r="G1360">
        <v>1</v>
      </c>
      <c r="H1360">
        <v>9791159282850</v>
      </c>
      <c r="I1360" t="s">
        <v>24</v>
      </c>
      <c r="J1360" t="s">
        <v>31</v>
      </c>
      <c r="K1360" t="s">
        <v>26</v>
      </c>
      <c r="L1360" t="s">
        <v>27</v>
      </c>
      <c r="M1360">
        <v>630</v>
      </c>
      <c r="N1360" t="s">
        <v>27</v>
      </c>
      <c r="O1360">
        <v>630</v>
      </c>
      <c r="P1360">
        <v>630</v>
      </c>
      <c r="Q1360" t="s">
        <v>30</v>
      </c>
      <c r="R1360" s="2">
        <v>0.7</v>
      </c>
      <c r="S1360">
        <v>441</v>
      </c>
      <c r="T1360" t="s">
        <v>27</v>
      </c>
      <c r="U1360">
        <v>441</v>
      </c>
      <c r="V1360" s="7" t="str">
        <f>IF(ISERROR(VLOOKUP(K1360,[1]작가별정산률!$R:$S,2,0)),"스토리위즈",VLOOKUP(K1360,[1]작가별정산률!$R:$S,2,0))</f>
        <v>스토리위즈</v>
      </c>
      <c r="W1360" s="7" t="str">
        <f>IF(V1360="스토리위즈",VLOOKUP(K1360,[1]작가별정산률!$A:$B,2,0),V1360)</f>
        <v>독고진</v>
      </c>
    </row>
    <row r="1361" spans="1:23" x14ac:dyDescent="0.4">
      <c r="A1361" t="s">
        <v>262</v>
      </c>
      <c r="B1361" t="s">
        <v>1639</v>
      </c>
      <c r="C1361" t="s">
        <v>1695</v>
      </c>
      <c r="D1361" t="s">
        <v>64</v>
      </c>
      <c r="E1361" t="s">
        <v>22</v>
      </c>
      <c r="F1361" t="s">
        <v>23</v>
      </c>
      <c r="G1361">
        <v>1</v>
      </c>
      <c r="H1361">
        <v>9791166300240</v>
      </c>
      <c r="I1361" t="s">
        <v>24</v>
      </c>
      <c r="J1361" t="s">
        <v>133</v>
      </c>
      <c r="K1361" t="s">
        <v>119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  <c r="V1361" s="7" t="str">
        <f>IF(ISERROR(VLOOKUP(K1361,[1]작가별정산률!$R:$S,2,0)),"스토리위즈",VLOOKUP(K1361,[1]작가별정산률!$R:$S,2,0))</f>
        <v>스토리위즈</v>
      </c>
      <c r="W1361" s="7" t="str">
        <f>IF(V1361="스토리위즈",VLOOKUP(K1361,[1]작가별정산률!$A:$B,2,0),V1361)</f>
        <v>김광수</v>
      </c>
    </row>
    <row r="1362" spans="1:23" x14ac:dyDescent="0.4">
      <c r="A1362" t="s">
        <v>262</v>
      </c>
      <c r="B1362" t="s">
        <v>1639</v>
      </c>
      <c r="C1362" t="s">
        <v>1696</v>
      </c>
      <c r="D1362" t="s">
        <v>21</v>
      </c>
      <c r="E1362" t="s">
        <v>22</v>
      </c>
      <c r="F1362" t="s">
        <v>23</v>
      </c>
      <c r="G1362">
        <v>1</v>
      </c>
      <c r="H1362">
        <v>9791189084448</v>
      </c>
      <c r="I1362" t="s">
        <v>143</v>
      </c>
      <c r="J1362" t="s">
        <v>1377</v>
      </c>
      <c r="K1362" t="s">
        <v>1378</v>
      </c>
      <c r="L1362" t="s">
        <v>27</v>
      </c>
      <c r="M1362" s="3">
        <v>3000</v>
      </c>
      <c r="N1362" t="s">
        <v>27</v>
      </c>
      <c r="O1362" s="3">
        <v>3000</v>
      </c>
      <c r="P1362" s="3">
        <v>3000</v>
      </c>
      <c r="Q1362" t="s">
        <v>30</v>
      </c>
      <c r="R1362" s="2">
        <v>0.7</v>
      </c>
      <c r="S1362" s="3">
        <v>2100</v>
      </c>
      <c r="T1362" t="s">
        <v>27</v>
      </c>
      <c r="U1362" s="3">
        <v>2100</v>
      </c>
      <c r="V1362" s="7" t="str">
        <f>IF(ISERROR(VLOOKUP(K1362,[1]작가별정산률!$R:$S,2,0)),"스토리위즈",VLOOKUP(K1362,[1]작가별정산률!$R:$S,2,0))</f>
        <v>스토리위즈</v>
      </c>
      <c r="W1362" s="7" t="str">
        <f>IF(V1362="스토리위즈",VLOOKUP(K1362,[1]작가별정산률!$A:$B,2,0),V1362)</f>
        <v>밈스</v>
      </c>
    </row>
    <row r="1363" spans="1:23" x14ac:dyDescent="0.4">
      <c r="A1363" t="s">
        <v>262</v>
      </c>
      <c r="B1363" t="s">
        <v>1639</v>
      </c>
      <c r="C1363" t="s">
        <v>1697</v>
      </c>
      <c r="D1363" t="s">
        <v>21</v>
      </c>
      <c r="E1363" t="s">
        <v>22</v>
      </c>
      <c r="F1363" t="s">
        <v>23</v>
      </c>
      <c r="G1363">
        <v>1</v>
      </c>
      <c r="H1363">
        <v>9791189084004</v>
      </c>
      <c r="I1363" t="s">
        <v>143</v>
      </c>
      <c r="J1363" t="s">
        <v>1146</v>
      </c>
      <c r="K1363" t="s">
        <v>983</v>
      </c>
      <c r="L1363" t="s">
        <v>27</v>
      </c>
      <c r="M1363" s="3">
        <v>3600</v>
      </c>
      <c r="N1363" t="s">
        <v>27</v>
      </c>
      <c r="O1363" s="3">
        <v>3600</v>
      </c>
      <c r="P1363" s="3">
        <v>3600</v>
      </c>
      <c r="Q1363" t="s">
        <v>30</v>
      </c>
      <c r="R1363" s="2">
        <v>0.7</v>
      </c>
      <c r="S1363" s="3">
        <v>2520</v>
      </c>
      <c r="T1363" t="s">
        <v>27</v>
      </c>
      <c r="U1363" s="3">
        <v>2520</v>
      </c>
      <c r="V1363" s="7" t="str">
        <f>IF(ISERROR(VLOOKUP(K1363,[1]작가별정산률!$R:$S,2,0)),"스토리위즈",VLOOKUP(K1363,[1]작가별정산률!$R:$S,2,0))</f>
        <v>스토리위즈</v>
      </c>
      <c r="W1363" s="7" t="str">
        <f>IF(V1363="스토리위즈",VLOOKUP(K1363,[1]작가별정산률!$A:$B,2,0),V1363)</f>
        <v>스내치</v>
      </c>
    </row>
    <row r="1364" spans="1:23" x14ac:dyDescent="0.4">
      <c r="A1364" t="s">
        <v>262</v>
      </c>
      <c r="B1364" t="s">
        <v>1639</v>
      </c>
      <c r="C1364" t="s">
        <v>1698</v>
      </c>
      <c r="D1364" t="s">
        <v>64</v>
      </c>
      <c r="E1364" t="s">
        <v>22</v>
      </c>
      <c r="F1364" t="s">
        <v>23</v>
      </c>
      <c r="G1364">
        <v>1</v>
      </c>
      <c r="H1364">
        <v>9791166300226</v>
      </c>
      <c r="I1364" t="s">
        <v>24</v>
      </c>
      <c r="J1364" t="s">
        <v>131</v>
      </c>
      <c r="K1364" t="s">
        <v>119</v>
      </c>
      <c r="L1364" t="s">
        <v>27</v>
      </c>
      <c r="M1364">
        <v>630</v>
      </c>
      <c r="N1364" t="s">
        <v>27</v>
      </c>
      <c r="O1364">
        <v>630</v>
      </c>
      <c r="P1364">
        <v>630</v>
      </c>
      <c r="Q1364" t="s">
        <v>30</v>
      </c>
      <c r="R1364" s="2">
        <v>0.7</v>
      </c>
      <c r="S1364">
        <v>441</v>
      </c>
      <c r="T1364" t="s">
        <v>27</v>
      </c>
      <c r="U1364">
        <v>441</v>
      </c>
      <c r="V1364" s="7" t="str">
        <f>IF(ISERROR(VLOOKUP(K1364,[1]작가별정산률!$R:$S,2,0)),"스토리위즈",VLOOKUP(K1364,[1]작가별정산률!$R:$S,2,0))</f>
        <v>스토리위즈</v>
      </c>
      <c r="W1364" s="7" t="str">
        <f>IF(V1364="스토리위즈",VLOOKUP(K1364,[1]작가별정산률!$A:$B,2,0),V1364)</f>
        <v>김광수</v>
      </c>
    </row>
    <row r="1365" spans="1:23" x14ac:dyDescent="0.4">
      <c r="A1365" t="s">
        <v>262</v>
      </c>
      <c r="B1365" t="s">
        <v>1639</v>
      </c>
      <c r="C1365" t="s">
        <v>1699</v>
      </c>
      <c r="D1365" t="s">
        <v>21</v>
      </c>
      <c r="E1365" t="s">
        <v>22</v>
      </c>
      <c r="F1365" t="s">
        <v>23</v>
      </c>
      <c r="G1365">
        <v>1</v>
      </c>
      <c r="H1365">
        <v>9791166300479</v>
      </c>
      <c r="I1365" t="s">
        <v>24</v>
      </c>
      <c r="J1365" t="s">
        <v>145</v>
      </c>
      <c r="K1365" t="s">
        <v>119</v>
      </c>
      <c r="L1365" t="s">
        <v>27</v>
      </c>
      <c r="M1365" s="3">
        <v>3200</v>
      </c>
      <c r="N1365" t="s">
        <v>27</v>
      </c>
      <c r="O1365" s="3">
        <v>3200</v>
      </c>
      <c r="P1365" s="3">
        <v>3200</v>
      </c>
      <c r="Q1365" t="s">
        <v>30</v>
      </c>
      <c r="R1365" s="2">
        <v>0.7</v>
      </c>
      <c r="S1365" s="3">
        <v>2240</v>
      </c>
      <c r="T1365" t="s">
        <v>27</v>
      </c>
      <c r="U1365" s="3">
        <v>2240</v>
      </c>
      <c r="V1365" s="7" t="str">
        <f>IF(ISERROR(VLOOKUP(K1365,[1]작가별정산률!$R:$S,2,0)),"스토리위즈",VLOOKUP(K1365,[1]작가별정산률!$R:$S,2,0))</f>
        <v>스토리위즈</v>
      </c>
      <c r="W1365" s="7" t="str">
        <f>IF(V1365="스토리위즈",VLOOKUP(K1365,[1]작가별정산률!$A:$B,2,0),V1365)</f>
        <v>김광수</v>
      </c>
    </row>
    <row r="1366" spans="1:23" x14ac:dyDescent="0.4">
      <c r="A1366" t="s">
        <v>262</v>
      </c>
      <c r="B1366" t="s">
        <v>1639</v>
      </c>
      <c r="C1366" t="s">
        <v>1700</v>
      </c>
      <c r="D1366" t="s">
        <v>64</v>
      </c>
      <c r="E1366" t="s">
        <v>22</v>
      </c>
      <c r="F1366" t="s">
        <v>23</v>
      </c>
      <c r="G1366">
        <v>1</v>
      </c>
      <c r="H1366">
        <v>9791166300134</v>
      </c>
      <c r="I1366" t="s">
        <v>24</v>
      </c>
      <c r="J1366" t="s">
        <v>123</v>
      </c>
      <c r="K1366" t="s">
        <v>119</v>
      </c>
      <c r="L1366" t="s">
        <v>27</v>
      </c>
      <c r="M1366">
        <v>630</v>
      </c>
      <c r="N1366" t="s">
        <v>27</v>
      </c>
      <c r="O1366">
        <v>630</v>
      </c>
      <c r="P1366">
        <v>630</v>
      </c>
      <c r="Q1366" t="s">
        <v>30</v>
      </c>
      <c r="R1366" s="2">
        <v>0.7</v>
      </c>
      <c r="S1366">
        <v>441</v>
      </c>
      <c r="T1366" t="s">
        <v>27</v>
      </c>
      <c r="U1366">
        <v>441</v>
      </c>
      <c r="V1366" s="7" t="str">
        <f>IF(ISERROR(VLOOKUP(K1366,[1]작가별정산률!$R:$S,2,0)),"스토리위즈",VLOOKUP(K1366,[1]작가별정산률!$R:$S,2,0))</f>
        <v>스토리위즈</v>
      </c>
      <c r="W1366" s="7" t="str">
        <f>IF(V1366="스토리위즈",VLOOKUP(K1366,[1]작가별정산률!$A:$B,2,0),V1366)</f>
        <v>김광수</v>
      </c>
    </row>
    <row r="1367" spans="1:23" x14ac:dyDescent="0.4">
      <c r="A1367" t="s">
        <v>262</v>
      </c>
      <c r="B1367" t="s">
        <v>1639</v>
      </c>
      <c r="C1367" t="s">
        <v>1701</v>
      </c>
      <c r="D1367" t="s">
        <v>64</v>
      </c>
      <c r="E1367" t="s">
        <v>22</v>
      </c>
      <c r="F1367" t="s">
        <v>23</v>
      </c>
      <c r="G1367">
        <v>1</v>
      </c>
      <c r="H1367">
        <v>9791159283239</v>
      </c>
      <c r="I1367" t="s">
        <v>24</v>
      </c>
      <c r="J1367" t="s">
        <v>66</v>
      </c>
      <c r="K1367" t="s">
        <v>37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2">
        <v>0.7</v>
      </c>
      <c r="S1367">
        <v>441</v>
      </c>
      <c r="T1367" t="s">
        <v>27</v>
      </c>
      <c r="U1367">
        <v>441</v>
      </c>
      <c r="V1367" s="7" t="str">
        <f>IF(ISERROR(VLOOKUP(K1367,[1]작가별정산률!$R:$S,2,0)),"스토리위즈",VLOOKUP(K1367,[1]작가별정산률!$R:$S,2,0))</f>
        <v>스토리위즈</v>
      </c>
      <c r="W1367" s="7" t="str">
        <f>IF(V1367="스토리위즈",VLOOKUP(K1367,[1]작가별정산률!$A:$B,2,0),V1367)</f>
        <v>권용찬</v>
      </c>
    </row>
    <row r="1368" spans="1:23" x14ac:dyDescent="0.4">
      <c r="A1368" t="s">
        <v>262</v>
      </c>
      <c r="B1368" t="s">
        <v>1639</v>
      </c>
      <c r="C1368" t="s">
        <v>1702</v>
      </c>
      <c r="D1368" t="s">
        <v>64</v>
      </c>
      <c r="E1368" t="s">
        <v>22</v>
      </c>
      <c r="F1368" t="s">
        <v>23</v>
      </c>
      <c r="G1368">
        <v>1</v>
      </c>
      <c r="H1368">
        <v>9791159285851</v>
      </c>
      <c r="I1368" t="s">
        <v>24</v>
      </c>
      <c r="J1368" t="s">
        <v>55</v>
      </c>
      <c r="K1368" t="s">
        <v>37</v>
      </c>
      <c r="L1368" t="s">
        <v>27</v>
      </c>
      <c r="M1368">
        <v>630</v>
      </c>
      <c r="N1368" t="s">
        <v>27</v>
      </c>
      <c r="O1368">
        <v>630</v>
      </c>
      <c r="P1368">
        <v>630</v>
      </c>
      <c r="Q1368" t="s">
        <v>30</v>
      </c>
      <c r="R1368" s="2">
        <v>0.7</v>
      </c>
      <c r="S1368">
        <v>441</v>
      </c>
      <c r="T1368" t="s">
        <v>27</v>
      </c>
      <c r="U1368">
        <v>441</v>
      </c>
      <c r="V1368" s="7" t="str">
        <f>IF(ISERROR(VLOOKUP(K1368,[1]작가별정산률!$R:$S,2,0)),"스토리위즈",VLOOKUP(K1368,[1]작가별정산률!$R:$S,2,0))</f>
        <v>스토리위즈</v>
      </c>
      <c r="W1368" s="7" t="str">
        <f>IF(V1368="스토리위즈",VLOOKUP(K1368,[1]작가별정산률!$A:$B,2,0),V1368)</f>
        <v>권용찬</v>
      </c>
    </row>
    <row r="1369" spans="1:23" x14ac:dyDescent="0.4">
      <c r="A1369" t="s">
        <v>262</v>
      </c>
      <c r="B1369" t="s">
        <v>1639</v>
      </c>
      <c r="C1369" t="s">
        <v>1703</v>
      </c>
      <c r="D1369" t="s">
        <v>21</v>
      </c>
      <c r="E1369" t="s">
        <v>22</v>
      </c>
      <c r="F1369" t="s">
        <v>23</v>
      </c>
      <c r="G1369">
        <v>1</v>
      </c>
      <c r="H1369">
        <v>9791191562187</v>
      </c>
      <c r="I1369" t="s">
        <v>143</v>
      </c>
      <c r="J1369" t="s">
        <v>217</v>
      </c>
      <c r="K1369" t="s">
        <v>218</v>
      </c>
      <c r="L1369" t="s">
        <v>27</v>
      </c>
      <c r="M1369" s="3">
        <v>2000</v>
      </c>
      <c r="N1369" t="s">
        <v>27</v>
      </c>
      <c r="O1369" s="3">
        <v>2000</v>
      </c>
      <c r="P1369" s="3">
        <v>2000</v>
      </c>
      <c r="Q1369" t="s">
        <v>30</v>
      </c>
      <c r="R1369" s="2">
        <v>0.7</v>
      </c>
      <c r="S1369" s="3">
        <v>1400</v>
      </c>
      <c r="T1369" t="s">
        <v>27</v>
      </c>
      <c r="U1369" s="3">
        <v>1400</v>
      </c>
      <c r="V1369" s="7" t="str">
        <f>IF(ISERROR(VLOOKUP(K1369,[1]작가별정산률!$R:$S,2,0)),"스토리위즈",VLOOKUP(K1369,[1]작가별정산률!$R:$S,2,0))</f>
        <v>밀리의 서재</v>
      </c>
      <c r="W1369" s="7" t="str">
        <f>IF(V1369="스토리위즈",VLOOKUP(K1369,[1]작가별정산률!$A:$B,2,0),V1369)</f>
        <v>밀리의 서재</v>
      </c>
    </row>
    <row r="1370" spans="1:23" x14ac:dyDescent="0.4">
      <c r="A1370" t="s">
        <v>262</v>
      </c>
      <c r="B1370" t="s">
        <v>1704</v>
      </c>
      <c r="C1370" t="s">
        <v>1705</v>
      </c>
      <c r="D1370" t="s">
        <v>64</v>
      </c>
      <c r="E1370" t="s">
        <v>22</v>
      </c>
      <c r="F1370" t="s">
        <v>23</v>
      </c>
      <c r="G1370">
        <v>1</v>
      </c>
      <c r="H1370">
        <v>9791166061110</v>
      </c>
      <c r="I1370" t="s">
        <v>24</v>
      </c>
      <c r="J1370" t="s">
        <v>97</v>
      </c>
      <c r="K1370" t="s">
        <v>37</v>
      </c>
      <c r="L1370" t="s">
        <v>27</v>
      </c>
      <c r="M1370">
        <v>900</v>
      </c>
      <c r="N1370" t="s">
        <v>27</v>
      </c>
      <c r="O1370">
        <v>900</v>
      </c>
      <c r="P1370">
        <v>900</v>
      </c>
      <c r="Q1370" t="s">
        <v>30</v>
      </c>
      <c r="R1370" s="2">
        <v>0.7</v>
      </c>
      <c r="S1370">
        <v>630</v>
      </c>
      <c r="T1370" t="s">
        <v>27</v>
      </c>
      <c r="U1370">
        <v>630</v>
      </c>
      <c r="V1370" s="7" t="str">
        <f>IF(ISERROR(VLOOKUP(K1370,[1]작가별정산률!$R:$S,2,0)),"스토리위즈",VLOOKUP(K1370,[1]작가별정산률!$R:$S,2,0))</f>
        <v>스토리위즈</v>
      </c>
      <c r="W1370" s="7" t="str">
        <f>IF(V1370="스토리위즈",VLOOKUP(K1370,[1]작가별정산률!$A:$B,2,0),V1370)</f>
        <v>권용찬</v>
      </c>
    </row>
    <row r="1371" spans="1:23" x14ac:dyDescent="0.4">
      <c r="A1371" t="s">
        <v>262</v>
      </c>
      <c r="B1371" t="s">
        <v>1704</v>
      </c>
      <c r="C1371" t="s">
        <v>1706</v>
      </c>
      <c r="D1371" t="s">
        <v>21</v>
      </c>
      <c r="E1371" t="s">
        <v>22</v>
      </c>
      <c r="F1371" t="s">
        <v>23</v>
      </c>
      <c r="G1371">
        <v>1</v>
      </c>
      <c r="H1371">
        <v>9791189084455</v>
      </c>
      <c r="I1371" t="s">
        <v>143</v>
      </c>
      <c r="J1371" t="s">
        <v>1446</v>
      </c>
      <c r="K1371" t="s">
        <v>1378</v>
      </c>
      <c r="L1371" t="s">
        <v>27</v>
      </c>
      <c r="M1371" s="3">
        <v>3000</v>
      </c>
      <c r="N1371" t="s">
        <v>27</v>
      </c>
      <c r="O1371" s="3">
        <v>3000</v>
      </c>
      <c r="P1371" s="3">
        <v>3000</v>
      </c>
      <c r="Q1371" t="s">
        <v>30</v>
      </c>
      <c r="R1371" s="2">
        <v>0.7</v>
      </c>
      <c r="S1371" s="3">
        <v>2100</v>
      </c>
      <c r="T1371" t="s">
        <v>27</v>
      </c>
      <c r="U1371" s="3">
        <v>2100</v>
      </c>
      <c r="V1371" s="7" t="str">
        <f>IF(ISERROR(VLOOKUP(K1371,[1]작가별정산률!$R:$S,2,0)),"스토리위즈",VLOOKUP(K1371,[1]작가별정산률!$R:$S,2,0))</f>
        <v>스토리위즈</v>
      </c>
      <c r="W1371" s="7" t="str">
        <f>IF(V1371="스토리위즈",VLOOKUP(K1371,[1]작가별정산률!$A:$B,2,0),V1371)</f>
        <v>밈스</v>
      </c>
    </row>
    <row r="1372" spans="1:23" x14ac:dyDescent="0.4">
      <c r="A1372" t="s">
        <v>262</v>
      </c>
      <c r="B1372" t="s">
        <v>1704</v>
      </c>
      <c r="C1372" t="s">
        <v>1707</v>
      </c>
      <c r="D1372" t="s">
        <v>21</v>
      </c>
      <c r="E1372" t="s">
        <v>22</v>
      </c>
      <c r="F1372" t="s">
        <v>23</v>
      </c>
      <c r="G1372">
        <v>1</v>
      </c>
      <c r="H1372">
        <v>9791191562439</v>
      </c>
      <c r="I1372" t="s">
        <v>143</v>
      </c>
      <c r="J1372" t="s">
        <v>1661</v>
      </c>
      <c r="K1372" t="s">
        <v>188</v>
      </c>
      <c r="L1372" t="s">
        <v>27</v>
      </c>
      <c r="M1372" s="3">
        <v>2500</v>
      </c>
      <c r="N1372" t="s">
        <v>27</v>
      </c>
      <c r="O1372" s="3">
        <v>2500</v>
      </c>
      <c r="P1372" s="3">
        <v>2500</v>
      </c>
      <c r="Q1372" t="s">
        <v>30</v>
      </c>
      <c r="R1372" s="2">
        <v>0.7</v>
      </c>
      <c r="S1372" s="3">
        <v>1750</v>
      </c>
      <c r="T1372" t="s">
        <v>27</v>
      </c>
      <c r="U1372" s="3">
        <v>1750</v>
      </c>
      <c r="V1372" s="7" t="str">
        <f>IF(ISERROR(VLOOKUP(K1372,[1]작가별정산률!$R:$S,2,0)),"스토리위즈",VLOOKUP(K1372,[1]작가별정산률!$R:$S,2,0))</f>
        <v>밀리의 서재</v>
      </c>
      <c r="W1372" s="7" t="str">
        <f>IF(V1372="스토리위즈",VLOOKUP(K1372,[1]작가별정산률!$A:$B,2,0),V1372)</f>
        <v>밀리의 서재</v>
      </c>
    </row>
    <row r="1373" spans="1:23" x14ac:dyDescent="0.4">
      <c r="A1373" t="s">
        <v>262</v>
      </c>
      <c r="B1373" t="s">
        <v>1704</v>
      </c>
      <c r="C1373" t="s">
        <v>1708</v>
      </c>
      <c r="D1373" t="s">
        <v>21</v>
      </c>
      <c r="E1373" t="s">
        <v>22</v>
      </c>
      <c r="F1373" t="s">
        <v>23</v>
      </c>
      <c r="G1373">
        <v>1</v>
      </c>
      <c r="H1373">
        <v>9791159289583</v>
      </c>
      <c r="I1373" t="s">
        <v>24</v>
      </c>
      <c r="J1373" t="s">
        <v>141</v>
      </c>
      <c r="K1373" t="s">
        <v>140</v>
      </c>
      <c r="L1373" t="s">
        <v>27</v>
      </c>
      <c r="M1373" s="3">
        <v>3200</v>
      </c>
      <c r="N1373" t="s">
        <v>27</v>
      </c>
      <c r="O1373" s="3">
        <v>3200</v>
      </c>
      <c r="P1373" s="3">
        <v>3200</v>
      </c>
      <c r="Q1373" t="s">
        <v>30</v>
      </c>
      <c r="R1373" s="2">
        <v>0.7</v>
      </c>
      <c r="S1373" s="3">
        <v>2240</v>
      </c>
      <c r="T1373" t="s">
        <v>27</v>
      </c>
      <c r="U1373" s="3">
        <v>2240</v>
      </c>
      <c r="V1373" s="7" t="str">
        <f>IF(ISERROR(VLOOKUP(K1373,[1]작가별정산률!$R:$S,2,0)),"스토리위즈",VLOOKUP(K1373,[1]작가별정산률!$R:$S,2,0))</f>
        <v>스토리위즈</v>
      </c>
      <c r="W1373" s="7" t="str">
        <f>IF(V1373="스토리위즈",VLOOKUP(K1373,[1]작가별정산률!$A:$B,2,0),V1373)</f>
        <v>이동열</v>
      </c>
    </row>
    <row r="1374" spans="1:23" x14ac:dyDescent="0.4">
      <c r="A1374" t="s">
        <v>262</v>
      </c>
      <c r="B1374" t="s">
        <v>1704</v>
      </c>
      <c r="C1374" t="s">
        <v>1708</v>
      </c>
      <c r="D1374" t="s">
        <v>21</v>
      </c>
      <c r="E1374" t="s">
        <v>22</v>
      </c>
      <c r="F1374" t="s">
        <v>23</v>
      </c>
      <c r="G1374">
        <v>1</v>
      </c>
      <c r="H1374">
        <v>9791159289590</v>
      </c>
      <c r="I1374" t="s">
        <v>24</v>
      </c>
      <c r="J1374" t="s">
        <v>170</v>
      </c>
      <c r="K1374" t="s">
        <v>140</v>
      </c>
      <c r="L1374" t="s">
        <v>27</v>
      </c>
      <c r="M1374" s="3">
        <v>3200</v>
      </c>
      <c r="N1374" t="s">
        <v>27</v>
      </c>
      <c r="O1374" s="3">
        <v>3200</v>
      </c>
      <c r="P1374" s="3">
        <v>3200</v>
      </c>
      <c r="Q1374" t="s">
        <v>30</v>
      </c>
      <c r="R1374" s="2">
        <v>0.7</v>
      </c>
      <c r="S1374" s="3">
        <v>2240</v>
      </c>
      <c r="T1374" t="s">
        <v>27</v>
      </c>
      <c r="U1374" s="3">
        <v>2240</v>
      </c>
      <c r="V1374" s="7" t="str">
        <f>IF(ISERROR(VLOOKUP(K1374,[1]작가별정산률!$R:$S,2,0)),"스토리위즈",VLOOKUP(K1374,[1]작가별정산률!$R:$S,2,0))</f>
        <v>스토리위즈</v>
      </c>
      <c r="W1374" s="7" t="str">
        <f>IF(V1374="스토리위즈",VLOOKUP(K1374,[1]작가별정산률!$A:$B,2,0),V1374)</f>
        <v>이동열</v>
      </c>
    </row>
    <row r="1375" spans="1:23" x14ac:dyDescent="0.4">
      <c r="A1375" t="s">
        <v>262</v>
      </c>
      <c r="B1375" t="s">
        <v>1704</v>
      </c>
      <c r="C1375" t="s">
        <v>1708</v>
      </c>
      <c r="D1375" t="s">
        <v>21</v>
      </c>
      <c r="E1375" t="s">
        <v>22</v>
      </c>
      <c r="F1375" t="s">
        <v>23</v>
      </c>
      <c r="G1375">
        <v>1</v>
      </c>
      <c r="H1375">
        <v>9791159289606</v>
      </c>
      <c r="I1375" t="s">
        <v>24</v>
      </c>
      <c r="J1375" t="s">
        <v>171</v>
      </c>
      <c r="K1375" t="s">
        <v>140</v>
      </c>
      <c r="L1375" t="s">
        <v>27</v>
      </c>
      <c r="M1375" s="3">
        <v>3200</v>
      </c>
      <c r="N1375" t="s">
        <v>27</v>
      </c>
      <c r="O1375" s="3">
        <v>3200</v>
      </c>
      <c r="P1375" s="3">
        <v>3200</v>
      </c>
      <c r="Q1375" t="s">
        <v>30</v>
      </c>
      <c r="R1375" s="2">
        <v>0.7</v>
      </c>
      <c r="S1375" s="3">
        <v>2240</v>
      </c>
      <c r="T1375" t="s">
        <v>27</v>
      </c>
      <c r="U1375" s="3">
        <v>2240</v>
      </c>
      <c r="V1375" s="7" t="str">
        <f>IF(ISERROR(VLOOKUP(K1375,[1]작가별정산률!$R:$S,2,0)),"스토리위즈",VLOOKUP(K1375,[1]작가별정산률!$R:$S,2,0))</f>
        <v>스토리위즈</v>
      </c>
      <c r="W1375" s="7" t="str">
        <f>IF(V1375="스토리위즈",VLOOKUP(K1375,[1]작가별정산률!$A:$B,2,0),V1375)</f>
        <v>이동열</v>
      </c>
    </row>
    <row r="1376" spans="1:23" x14ac:dyDescent="0.4">
      <c r="A1376" t="s">
        <v>262</v>
      </c>
      <c r="B1376" t="s">
        <v>1704</v>
      </c>
      <c r="C1376" t="s">
        <v>1708</v>
      </c>
      <c r="D1376" t="s">
        <v>21</v>
      </c>
      <c r="E1376" t="s">
        <v>22</v>
      </c>
      <c r="F1376" t="s">
        <v>23</v>
      </c>
      <c r="G1376">
        <v>1</v>
      </c>
      <c r="H1376">
        <v>9791159289613</v>
      </c>
      <c r="I1376" t="s">
        <v>24</v>
      </c>
      <c r="J1376" t="s">
        <v>173</v>
      </c>
      <c r="K1376" t="s">
        <v>140</v>
      </c>
      <c r="L1376" t="s">
        <v>27</v>
      </c>
      <c r="M1376" s="3">
        <v>3200</v>
      </c>
      <c r="N1376" t="s">
        <v>27</v>
      </c>
      <c r="O1376" s="3">
        <v>3200</v>
      </c>
      <c r="P1376" s="3">
        <v>3200</v>
      </c>
      <c r="Q1376" t="s">
        <v>30</v>
      </c>
      <c r="R1376" s="2">
        <v>0.7</v>
      </c>
      <c r="S1376" s="3">
        <v>2240</v>
      </c>
      <c r="T1376" t="s">
        <v>27</v>
      </c>
      <c r="U1376" s="3">
        <v>2240</v>
      </c>
      <c r="V1376" s="7" t="str">
        <f>IF(ISERROR(VLOOKUP(K1376,[1]작가별정산률!$R:$S,2,0)),"스토리위즈",VLOOKUP(K1376,[1]작가별정산률!$R:$S,2,0))</f>
        <v>스토리위즈</v>
      </c>
      <c r="W1376" s="7" t="str">
        <f>IF(V1376="스토리위즈",VLOOKUP(K1376,[1]작가별정산률!$A:$B,2,0),V1376)</f>
        <v>이동열</v>
      </c>
    </row>
    <row r="1377" spans="1:23" x14ac:dyDescent="0.4">
      <c r="A1377" t="s">
        <v>262</v>
      </c>
      <c r="B1377" t="s">
        <v>1704</v>
      </c>
      <c r="C1377" t="s">
        <v>1708</v>
      </c>
      <c r="D1377" t="s">
        <v>21</v>
      </c>
      <c r="E1377" t="s">
        <v>22</v>
      </c>
      <c r="F1377" t="s">
        <v>23</v>
      </c>
      <c r="G1377">
        <v>1</v>
      </c>
      <c r="H1377">
        <v>9791159289620</v>
      </c>
      <c r="I1377" t="s">
        <v>24</v>
      </c>
      <c r="J1377" t="s">
        <v>172</v>
      </c>
      <c r="K1377" t="s">
        <v>140</v>
      </c>
      <c r="L1377" t="s">
        <v>27</v>
      </c>
      <c r="M1377" s="3">
        <v>3200</v>
      </c>
      <c r="N1377" t="s">
        <v>27</v>
      </c>
      <c r="O1377" s="3">
        <v>3200</v>
      </c>
      <c r="P1377" s="3">
        <v>3200</v>
      </c>
      <c r="Q1377" t="s">
        <v>30</v>
      </c>
      <c r="R1377" s="2">
        <v>0.7</v>
      </c>
      <c r="S1377" s="3">
        <v>2240</v>
      </c>
      <c r="T1377" t="s">
        <v>27</v>
      </c>
      <c r="U1377" s="3">
        <v>2240</v>
      </c>
      <c r="V1377" s="7" t="str">
        <f>IF(ISERROR(VLOOKUP(K1377,[1]작가별정산률!$R:$S,2,0)),"스토리위즈",VLOOKUP(K1377,[1]작가별정산률!$R:$S,2,0))</f>
        <v>스토리위즈</v>
      </c>
      <c r="W1377" s="7" t="str">
        <f>IF(V1377="스토리위즈",VLOOKUP(K1377,[1]작가별정산률!$A:$B,2,0),V1377)</f>
        <v>이동열</v>
      </c>
    </row>
    <row r="1378" spans="1:23" x14ac:dyDescent="0.4">
      <c r="A1378" t="s">
        <v>262</v>
      </c>
      <c r="B1378" t="s">
        <v>1704</v>
      </c>
      <c r="C1378" t="s">
        <v>1708</v>
      </c>
      <c r="D1378" t="s">
        <v>21</v>
      </c>
      <c r="E1378" t="s">
        <v>22</v>
      </c>
      <c r="F1378" t="s">
        <v>23</v>
      </c>
      <c r="G1378">
        <v>1</v>
      </c>
      <c r="H1378">
        <v>9791159289637</v>
      </c>
      <c r="I1378" t="s">
        <v>24</v>
      </c>
      <c r="J1378" t="s">
        <v>255</v>
      </c>
      <c r="K1378" t="s">
        <v>140</v>
      </c>
      <c r="L1378" t="s">
        <v>27</v>
      </c>
      <c r="M1378" s="3">
        <v>3200</v>
      </c>
      <c r="N1378" t="s">
        <v>27</v>
      </c>
      <c r="O1378" s="3">
        <v>3200</v>
      </c>
      <c r="P1378" s="3">
        <v>3200</v>
      </c>
      <c r="Q1378" t="s">
        <v>30</v>
      </c>
      <c r="R1378" s="2">
        <v>0.7</v>
      </c>
      <c r="S1378" s="3">
        <v>2240</v>
      </c>
      <c r="T1378" t="s">
        <v>27</v>
      </c>
      <c r="U1378" s="3">
        <v>2240</v>
      </c>
      <c r="V1378" s="7" t="str">
        <f>IF(ISERROR(VLOOKUP(K1378,[1]작가별정산률!$R:$S,2,0)),"스토리위즈",VLOOKUP(K1378,[1]작가별정산률!$R:$S,2,0))</f>
        <v>스토리위즈</v>
      </c>
      <c r="W1378" s="7" t="str">
        <f>IF(V1378="스토리위즈",VLOOKUP(K1378,[1]작가별정산률!$A:$B,2,0),V1378)</f>
        <v>이동열</v>
      </c>
    </row>
    <row r="1379" spans="1:23" x14ac:dyDescent="0.4">
      <c r="A1379" t="s">
        <v>262</v>
      </c>
      <c r="B1379" t="s">
        <v>1704</v>
      </c>
      <c r="C1379" t="s">
        <v>1708</v>
      </c>
      <c r="D1379" t="s">
        <v>21</v>
      </c>
      <c r="E1379" t="s">
        <v>22</v>
      </c>
      <c r="F1379" t="s">
        <v>23</v>
      </c>
      <c r="G1379">
        <v>1</v>
      </c>
      <c r="H1379">
        <v>9791159289644</v>
      </c>
      <c r="I1379" t="s">
        <v>24</v>
      </c>
      <c r="J1379" t="s">
        <v>256</v>
      </c>
      <c r="K1379" t="s">
        <v>140</v>
      </c>
      <c r="L1379" t="s">
        <v>27</v>
      </c>
      <c r="M1379" s="3">
        <v>3200</v>
      </c>
      <c r="N1379" t="s">
        <v>27</v>
      </c>
      <c r="O1379" s="3">
        <v>3200</v>
      </c>
      <c r="P1379" s="3">
        <v>3200</v>
      </c>
      <c r="Q1379" t="s">
        <v>30</v>
      </c>
      <c r="R1379" s="2">
        <v>0.7</v>
      </c>
      <c r="S1379" s="3">
        <v>2240</v>
      </c>
      <c r="T1379" t="s">
        <v>27</v>
      </c>
      <c r="U1379" s="3">
        <v>2240</v>
      </c>
      <c r="V1379" s="7" t="str">
        <f>IF(ISERROR(VLOOKUP(K1379,[1]작가별정산률!$R:$S,2,0)),"스토리위즈",VLOOKUP(K1379,[1]작가별정산률!$R:$S,2,0))</f>
        <v>스토리위즈</v>
      </c>
      <c r="W1379" s="7" t="str">
        <f>IF(V1379="스토리위즈",VLOOKUP(K1379,[1]작가별정산률!$A:$B,2,0),V1379)</f>
        <v>이동열</v>
      </c>
    </row>
    <row r="1380" spans="1:23" x14ac:dyDescent="0.4">
      <c r="A1380" t="s">
        <v>262</v>
      </c>
      <c r="B1380" t="s">
        <v>1704</v>
      </c>
      <c r="C1380" t="s">
        <v>1708</v>
      </c>
      <c r="D1380" t="s">
        <v>21</v>
      </c>
      <c r="E1380" t="s">
        <v>22</v>
      </c>
      <c r="F1380" t="s">
        <v>23</v>
      </c>
      <c r="G1380">
        <v>1</v>
      </c>
      <c r="H1380">
        <v>9791159289651</v>
      </c>
      <c r="I1380" t="s">
        <v>24</v>
      </c>
      <c r="J1380" t="s">
        <v>257</v>
      </c>
      <c r="K1380" t="s">
        <v>140</v>
      </c>
      <c r="L1380" t="s">
        <v>27</v>
      </c>
      <c r="M1380" s="3">
        <v>3200</v>
      </c>
      <c r="N1380" t="s">
        <v>27</v>
      </c>
      <c r="O1380" s="3">
        <v>3200</v>
      </c>
      <c r="P1380" s="3">
        <v>3200</v>
      </c>
      <c r="Q1380" t="s">
        <v>30</v>
      </c>
      <c r="R1380" s="2">
        <v>0.7</v>
      </c>
      <c r="S1380" s="3">
        <v>2240</v>
      </c>
      <c r="T1380" t="s">
        <v>27</v>
      </c>
      <c r="U1380" s="3">
        <v>2240</v>
      </c>
      <c r="V1380" s="7" t="str">
        <f>IF(ISERROR(VLOOKUP(K1380,[1]작가별정산률!$R:$S,2,0)),"스토리위즈",VLOOKUP(K1380,[1]작가별정산률!$R:$S,2,0))</f>
        <v>스토리위즈</v>
      </c>
      <c r="W1380" s="7" t="str">
        <f>IF(V1380="스토리위즈",VLOOKUP(K1380,[1]작가별정산률!$A:$B,2,0),V1380)</f>
        <v>이동열</v>
      </c>
    </row>
    <row r="1381" spans="1:23" x14ac:dyDescent="0.4">
      <c r="A1381" t="s">
        <v>262</v>
      </c>
      <c r="B1381" t="s">
        <v>1704</v>
      </c>
      <c r="C1381" t="s">
        <v>1709</v>
      </c>
      <c r="D1381" t="s">
        <v>64</v>
      </c>
      <c r="E1381" t="s">
        <v>22</v>
      </c>
      <c r="F1381" t="s">
        <v>23</v>
      </c>
      <c r="G1381">
        <v>1</v>
      </c>
      <c r="H1381">
        <v>9791166300554</v>
      </c>
      <c r="I1381" t="s">
        <v>24</v>
      </c>
      <c r="J1381" t="s">
        <v>154</v>
      </c>
      <c r="K1381" t="s">
        <v>119</v>
      </c>
      <c r="L1381" t="s">
        <v>27</v>
      </c>
      <c r="M1381">
        <v>630</v>
      </c>
      <c r="N1381" t="s">
        <v>27</v>
      </c>
      <c r="O1381">
        <v>630</v>
      </c>
      <c r="P1381">
        <v>630</v>
      </c>
      <c r="Q1381" t="s">
        <v>30</v>
      </c>
      <c r="R1381" s="2">
        <v>0.7</v>
      </c>
      <c r="S1381">
        <v>441</v>
      </c>
      <c r="T1381" t="s">
        <v>27</v>
      </c>
      <c r="U1381">
        <v>441</v>
      </c>
      <c r="V1381" s="7" t="str">
        <f>IF(ISERROR(VLOOKUP(K1381,[1]작가별정산률!$R:$S,2,0)),"스토리위즈",VLOOKUP(K1381,[1]작가별정산률!$R:$S,2,0))</f>
        <v>스토리위즈</v>
      </c>
      <c r="W1381" s="7" t="str">
        <f>IF(V1381="스토리위즈",VLOOKUP(K1381,[1]작가별정산률!$A:$B,2,0),V1381)</f>
        <v>김광수</v>
      </c>
    </row>
    <row r="1382" spans="1:23" x14ac:dyDescent="0.4">
      <c r="A1382" t="s">
        <v>262</v>
      </c>
      <c r="B1382" t="s">
        <v>1704</v>
      </c>
      <c r="C1382" t="s">
        <v>1710</v>
      </c>
      <c r="D1382" t="s">
        <v>64</v>
      </c>
      <c r="E1382" t="s">
        <v>22</v>
      </c>
      <c r="F1382" t="s">
        <v>23</v>
      </c>
      <c r="G1382">
        <v>1</v>
      </c>
      <c r="H1382">
        <v>9791166300578</v>
      </c>
      <c r="I1382" t="s">
        <v>24</v>
      </c>
      <c r="J1382" t="s">
        <v>159</v>
      </c>
      <c r="K1382" t="s">
        <v>119</v>
      </c>
      <c r="L1382" t="s">
        <v>27</v>
      </c>
      <c r="M1382">
        <v>630</v>
      </c>
      <c r="N1382" t="s">
        <v>27</v>
      </c>
      <c r="O1382">
        <v>630</v>
      </c>
      <c r="P1382">
        <v>630</v>
      </c>
      <c r="Q1382" t="s">
        <v>30</v>
      </c>
      <c r="R1382" s="2">
        <v>0.7</v>
      </c>
      <c r="S1382">
        <v>441</v>
      </c>
      <c r="T1382" t="s">
        <v>27</v>
      </c>
      <c r="U1382">
        <v>441</v>
      </c>
      <c r="V1382" s="7" t="str">
        <f>IF(ISERROR(VLOOKUP(K1382,[1]작가별정산률!$R:$S,2,0)),"스토리위즈",VLOOKUP(K1382,[1]작가별정산률!$R:$S,2,0))</f>
        <v>스토리위즈</v>
      </c>
      <c r="W1382" s="7" t="str">
        <f>IF(V1382="스토리위즈",VLOOKUP(K1382,[1]작가별정산률!$A:$B,2,0),V1382)</f>
        <v>김광수</v>
      </c>
    </row>
    <row r="1383" spans="1:23" x14ac:dyDescent="0.4">
      <c r="A1383" t="s">
        <v>262</v>
      </c>
      <c r="B1383" t="s">
        <v>1704</v>
      </c>
      <c r="C1383" t="s">
        <v>1711</v>
      </c>
      <c r="D1383" t="s">
        <v>64</v>
      </c>
      <c r="E1383" t="s">
        <v>22</v>
      </c>
      <c r="F1383" t="s">
        <v>23</v>
      </c>
      <c r="G1383">
        <v>1</v>
      </c>
      <c r="H1383">
        <v>9791159282867</v>
      </c>
      <c r="I1383" t="s">
        <v>24</v>
      </c>
      <c r="J1383" t="s">
        <v>32</v>
      </c>
      <c r="K1383" t="s">
        <v>26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  <c r="V1383" s="7" t="str">
        <f>IF(ISERROR(VLOOKUP(K1383,[1]작가별정산률!$R:$S,2,0)),"스토리위즈",VLOOKUP(K1383,[1]작가별정산률!$R:$S,2,0))</f>
        <v>스토리위즈</v>
      </c>
      <c r="W1383" s="7" t="str">
        <f>IF(V1383="스토리위즈",VLOOKUP(K1383,[1]작가별정산률!$A:$B,2,0),V1383)</f>
        <v>독고진</v>
      </c>
    </row>
    <row r="1384" spans="1:23" x14ac:dyDescent="0.4">
      <c r="A1384" t="s">
        <v>262</v>
      </c>
      <c r="B1384" t="s">
        <v>1704</v>
      </c>
      <c r="C1384" t="s">
        <v>1712</v>
      </c>
      <c r="D1384" t="s">
        <v>21</v>
      </c>
      <c r="E1384" t="s">
        <v>22</v>
      </c>
      <c r="F1384" t="s">
        <v>23</v>
      </c>
      <c r="G1384">
        <v>1</v>
      </c>
      <c r="H1384">
        <v>9791166300486</v>
      </c>
      <c r="I1384" t="s">
        <v>24</v>
      </c>
      <c r="J1384" t="s">
        <v>146</v>
      </c>
      <c r="K1384" t="s">
        <v>119</v>
      </c>
      <c r="L1384" t="s">
        <v>27</v>
      </c>
      <c r="M1384" s="3">
        <v>3200</v>
      </c>
      <c r="N1384" t="s">
        <v>27</v>
      </c>
      <c r="O1384" s="3">
        <v>3200</v>
      </c>
      <c r="P1384" s="3">
        <v>3200</v>
      </c>
      <c r="Q1384" t="s">
        <v>30</v>
      </c>
      <c r="R1384" s="2">
        <v>0.7</v>
      </c>
      <c r="S1384" s="3">
        <v>2240</v>
      </c>
      <c r="T1384" t="s">
        <v>27</v>
      </c>
      <c r="U1384" s="3">
        <v>2240</v>
      </c>
      <c r="V1384" s="7" t="str">
        <f>IF(ISERROR(VLOOKUP(K1384,[1]작가별정산률!$R:$S,2,0)),"스토리위즈",VLOOKUP(K1384,[1]작가별정산률!$R:$S,2,0))</f>
        <v>스토리위즈</v>
      </c>
      <c r="W1384" s="7" t="str">
        <f>IF(V1384="스토리위즈",VLOOKUP(K1384,[1]작가별정산률!$A:$B,2,0),V1384)</f>
        <v>김광수</v>
      </c>
    </row>
    <row r="1385" spans="1:23" x14ac:dyDescent="0.4">
      <c r="A1385" t="s">
        <v>262</v>
      </c>
      <c r="B1385" t="s">
        <v>1704</v>
      </c>
      <c r="C1385" t="s">
        <v>1713</v>
      </c>
      <c r="D1385" t="s">
        <v>21</v>
      </c>
      <c r="E1385" t="s">
        <v>22</v>
      </c>
      <c r="F1385" t="s">
        <v>23</v>
      </c>
      <c r="G1385">
        <v>1</v>
      </c>
      <c r="H1385">
        <v>9791164370689</v>
      </c>
      <c r="I1385" t="s">
        <v>143</v>
      </c>
      <c r="J1385" t="s">
        <v>1097</v>
      </c>
      <c r="K1385" t="s">
        <v>1098</v>
      </c>
      <c r="L1385" t="s">
        <v>27</v>
      </c>
      <c r="M1385" s="3">
        <v>3000</v>
      </c>
      <c r="N1385" t="s">
        <v>27</v>
      </c>
      <c r="O1385" s="3">
        <v>3000</v>
      </c>
      <c r="P1385" s="3">
        <v>3000</v>
      </c>
      <c r="Q1385" t="s">
        <v>30</v>
      </c>
      <c r="R1385" s="2">
        <v>0.7</v>
      </c>
      <c r="S1385" s="3">
        <v>2100</v>
      </c>
      <c r="T1385" t="s">
        <v>27</v>
      </c>
      <c r="U1385" s="3">
        <v>2100</v>
      </c>
      <c r="V1385" s="7" t="str">
        <f>IF(ISERROR(VLOOKUP(K1385,[1]작가별정산률!$R:$S,2,0)),"스토리위즈",VLOOKUP(K1385,[1]작가별정산률!$R:$S,2,0))</f>
        <v>스토리위즈</v>
      </c>
      <c r="W1385" s="7" t="str">
        <f>IF(V1385="스토리위즈",VLOOKUP(K1385,[1]작가별정산률!$A:$B,2,0),V1385)</f>
        <v>차홍주</v>
      </c>
    </row>
    <row r="1386" spans="1:23" x14ac:dyDescent="0.4">
      <c r="A1386" t="s">
        <v>262</v>
      </c>
      <c r="B1386" t="s">
        <v>1704</v>
      </c>
      <c r="C1386" t="s">
        <v>1714</v>
      </c>
      <c r="D1386" t="s">
        <v>21</v>
      </c>
      <c r="E1386" t="s">
        <v>22</v>
      </c>
      <c r="F1386" t="s">
        <v>23</v>
      </c>
      <c r="G1386">
        <v>1</v>
      </c>
      <c r="H1386">
        <v>9791166300462</v>
      </c>
      <c r="I1386" t="s">
        <v>24</v>
      </c>
      <c r="J1386" t="s">
        <v>144</v>
      </c>
      <c r="K1386" t="s">
        <v>119</v>
      </c>
      <c r="L1386" t="s">
        <v>27</v>
      </c>
      <c r="M1386" s="3">
        <v>3200</v>
      </c>
      <c r="N1386" t="s">
        <v>27</v>
      </c>
      <c r="O1386" s="3">
        <v>3200</v>
      </c>
      <c r="P1386" s="3">
        <v>3200</v>
      </c>
      <c r="Q1386" t="s">
        <v>30</v>
      </c>
      <c r="R1386" s="2">
        <v>0.7</v>
      </c>
      <c r="S1386" s="3">
        <v>2240</v>
      </c>
      <c r="T1386" t="s">
        <v>27</v>
      </c>
      <c r="U1386" s="3">
        <v>2240</v>
      </c>
      <c r="V1386" s="7" t="str">
        <f>IF(ISERROR(VLOOKUP(K1386,[1]작가별정산률!$R:$S,2,0)),"스토리위즈",VLOOKUP(K1386,[1]작가별정산률!$R:$S,2,0))</f>
        <v>스토리위즈</v>
      </c>
      <c r="W1386" s="7" t="str">
        <f>IF(V1386="스토리위즈",VLOOKUP(K1386,[1]작가별정산률!$A:$B,2,0),V1386)</f>
        <v>김광수</v>
      </c>
    </row>
    <row r="1387" spans="1:23" x14ac:dyDescent="0.4">
      <c r="A1387" t="s">
        <v>262</v>
      </c>
      <c r="B1387" t="s">
        <v>1704</v>
      </c>
      <c r="C1387" t="s">
        <v>1715</v>
      </c>
      <c r="D1387" t="s">
        <v>64</v>
      </c>
      <c r="E1387" t="s">
        <v>22</v>
      </c>
      <c r="F1387" t="s">
        <v>23</v>
      </c>
      <c r="G1387">
        <v>1</v>
      </c>
      <c r="H1387">
        <v>9791166300271</v>
      </c>
      <c r="I1387" t="s">
        <v>24</v>
      </c>
      <c r="J1387" t="s">
        <v>136</v>
      </c>
      <c r="K1387" t="s">
        <v>119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  <c r="V1387" s="7" t="str">
        <f>IF(ISERROR(VLOOKUP(K1387,[1]작가별정산률!$R:$S,2,0)),"스토리위즈",VLOOKUP(K1387,[1]작가별정산률!$R:$S,2,0))</f>
        <v>스토리위즈</v>
      </c>
      <c r="W1387" s="7" t="str">
        <f>IF(V1387="스토리위즈",VLOOKUP(K1387,[1]작가별정산률!$A:$B,2,0),V1387)</f>
        <v>김광수</v>
      </c>
    </row>
    <row r="1388" spans="1:23" x14ac:dyDescent="0.4">
      <c r="A1388" t="s">
        <v>262</v>
      </c>
      <c r="B1388" t="s">
        <v>1704</v>
      </c>
      <c r="C1388" t="s">
        <v>1716</v>
      </c>
      <c r="D1388" t="s">
        <v>64</v>
      </c>
      <c r="E1388" t="s">
        <v>22</v>
      </c>
      <c r="F1388" t="s">
        <v>23</v>
      </c>
      <c r="G1388">
        <v>1</v>
      </c>
      <c r="H1388">
        <v>9791166300158</v>
      </c>
      <c r="I1388" t="s">
        <v>24</v>
      </c>
      <c r="J1388" t="s">
        <v>125</v>
      </c>
      <c r="K1388" t="s">
        <v>119</v>
      </c>
      <c r="L1388" t="s">
        <v>27</v>
      </c>
      <c r="M1388">
        <v>630</v>
      </c>
      <c r="N1388" t="s">
        <v>27</v>
      </c>
      <c r="O1388">
        <v>630</v>
      </c>
      <c r="P1388">
        <v>630</v>
      </c>
      <c r="Q1388" t="s">
        <v>30</v>
      </c>
      <c r="R1388" s="2">
        <v>0.7</v>
      </c>
      <c r="S1388">
        <v>441</v>
      </c>
      <c r="T1388" t="s">
        <v>27</v>
      </c>
      <c r="U1388">
        <v>441</v>
      </c>
      <c r="V1388" s="7" t="str">
        <f>IF(ISERROR(VLOOKUP(K1388,[1]작가별정산률!$R:$S,2,0)),"스토리위즈",VLOOKUP(K1388,[1]작가별정산률!$R:$S,2,0))</f>
        <v>스토리위즈</v>
      </c>
      <c r="W1388" s="7" t="str">
        <f>IF(V1388="스토리위즈",VLOOKUP(K1388,[1]작가별정산률!$A:$B,2,0),V1388)</f>
        <v>김광수</v>
      </c>
    </row>
    <row r="1389" spans="1:23" x14ac:dyDescent="0.4">
      <c r="A1389" t="s">
        <v>262</v>
      </c>
      <c r="B1389" t="s">
        <v>1704</v>
      </c>
      <c r="C1389" t="s">
        <v>1717</v>
      </c>
      <c r="D1389" t="s">
        <v>64</v>
      </c>
      <c r="E1389" t="s">
        <v>22</v>
      </c>
      <c r="F1389" t="s">
        <v>23</v>
      </c>
      <c r="G1389">
        <v>1</v>
      </c>
      <c r="H1389">
        <v>9791188630226</v>
      </c>
      <c r="I1389" t="s">
        <v>24</v>
      </c>
      <c r="J1389" t="s">
        <v>197</v>
      </c>
      <c r="K1389" t="s">
        <v>41</v>
      </c>
      <c r="L1389" t="s">
        <v>27</v>
      </c>
      <c r="M1389">
        <v>630</v>
      </c>
      <c r="N1389" t="s">
        <v>27</v>
      </c>
      <c r="O1389">
        <v>630</v>
      </c>
      <c r="P1389">
        <v>630</v>
      </c>
      <c r="Q1389" t="s">
        <v>30</v>
      </c>
      <c r="R1389" s="2">
        <v>0.7</v>
      </c>
      <c r="S1389">
        <v>441</v>
      </c>
      <c r="T1389" t="s">
        <v>27</v>
      </c>
      <c r="U1389">
        <v>441</v>
      </c>
      <c r="V1389" s="7" t="str">
        <f>IF(ISERROR(VLOOKUP(K1389,[1]작가별정산률!$R:$S,2,0)),"스토리위즈",VLOOKUP(K1389,[1]작가별정산률!$R:$S,2,0))</f>
        <v>스토리위즈</v>
      </c>
      <c r="W1389" s="7" t="str">
        <f>IF(V1389="스토리위즈",VLOOKUP(K1389,[1]작가별정산률!$A:$B,2,0),V1389)</f>
        <v>무장</v>
      </c>
    </row>
    <row r="1390" spans="1:23" x14ac:dyDescent="0.4">
      <c r="A1390" t="s">
        <v>262</v>
      </c>
      <c r="B1390" t="s">
        <v>1704</v>
      </c>
      <c r="C1390" t="s">
        <v>1718</v>
      </c>
      <c r="D1390" t="s">
        <v>21</v>
      </c>
      <c r="E1390" t="s">
        <v>22</v>
      </c>
      <c r="F1390" t="s">
        <v>23</v>
      </c>
      <c r="G1390">
        <v>1</v>
      </c>
      <c r="H1390">
        <v>9791166300479</v>
      </c>
      <c r="I1390" t="s">
        <v>24</v>
      </c>
      <c r="J1390" t="s">
        <v>145</v>
      </c>
      <c r="K1390" t="s">
        <v>119</v>
      </c>
      <c r="L1390" t="s">
        <v>27</v>
      </c>
      <c r="M1390" s="3">
        <v>3200</v>
      </c>
      <c r="N1390" t="s">
        <v>27</v>
      </c>
      <c r="O1390" s="3">
        <v>3200</v>
      </c>
      <c r="P1390" s="3">
        <v>3200</v>
      </c>
      <c r="Q1390" t="s">
        <v>30</v>
      </c>
      <c r="R1390" s="2">
        <v>0.7</v>
      </c>
      <c r="S1390" s="3">
        <v>2240</v>
      </c>
      <c r="T1390" t="s">
        <v>27</v>
      </c>
      <c r="U1390" s="3">
        <v>2240</v>
      </c>
      <c r="V1390" s="7" t="str">
        <f>IF(ISERROR(VLOOKUP(K1390,[1]작가별정산률!$R:$S,2,0)),"스토리위즈",VLOOKUP(K1390,[1]작가별정산률!$R:$S,2,0))</f>
        <v>스토리위즈</v>
      </c>
      <c r="W1390" s="7" t="str">
        <f>IF(V1390="스토리위즈",VLOOKUP(K1390,[1]작가별정산률!$A:$B,2,0),V1390)</f>
        <v>김광수</v>
      </c>
    </row>
    <row r="1391" spans="1:23" x14ac:dyDescent="0.4">
      <c r="A1391" t="s">
        <v>262</v>
      </c>
      <c r="B1391" t="s">
        <v>1704</v>
      </c>
      <c r="C1391" t="s">
        <v>1719</v>
      </c>
      <c r="D1391" t="s">
        <v>64</v>
      </c>
      <c r="E1391" t="s">
        <v>22</v>
      </c>
      <c r="F1391" t="s">
        <v>23</v>
      </c>
      <c r="G1391">
        <v>1</v>
      </c>
      <c r="H1391">
        <v>9791188630110</v>
      </c>
      <c r="I1391" t="s">
        <v>24</v>
      </c>
      <c r="J1391" t="s">
        <v>40</v>
      </c>
      <c r="K1391" t="s">
        <v>41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2">
        <v>0.7</v>
      </c>
      <c r="S1391">
        <v>441</v>
      </c>
      <c r="T1391" t="s">
        <v>27</v>
      </c>
      <c r="U1391">
        <v>441</v>
      </c>
      <c r="V1391" s="7" t="str">
        <f>IF(ISERROR(VLOOKUP(K1391,[1]작가별정산률!$R:$S,2,0)),"스토리위즈",VLOOKUP(K1391,[1]작가별정산률!$R:$S,2,0))</f>
        <v>스토리위즈</v>
      </c>
      <c r="W1391" s="7" t="str">
        <f>IF(V1391="스토리위즈",VLOOKUP(K1391,[1]작가별정산률!$A:$B,2,0),V1391)</f>
        <v>무장</v>
      </c>
    </row>
    <row r="1392" spans="1:23" x14ac:dyDescent="0.4">
      <c r="A1392" t="s">
        <v>262</v>
      </c>
      <c r="B1392" t="s">
        <v>1704</v>
      </c>
      <c r="C1392" t="s">
        <v>1720</v>
      </c>
      <c r="D1392" t="s">
        <v>21</v>
      </c>
      <c r="E1392" t="s">
        <v>22</v>
      </c>
      <c r="F1392" t="s">
        <v>23</v>
      </c>
      <c r="G1392">
        <v>1</v>
      </c>
      <c r="H1392">
        <v>9791166300172</v>
      </c>
      <c r="I1392" t="s">
        <v>24</v>
      </c>
      <c r="J1392" t="s">
        <v>127</v>
      </c>
      <c r="K1392" t="s">
        <v>119</v>
      </c>
      <c r="L1392" t="s">
        <v>27</v>
      </c>
      <c r="M1392" s="3">
        <v>3200</v>
      </c>
      <c r="N1392" t="s">
        <v>27</v>
      </c>
      <c r="O1392" s="3">
        <v>3200</v>
      </c>
      <c r="P1392" s="3">
        <v>3200</v>
      </c>
      <c r="Q1392" t="s">
        <v>30</v>
      </c>
      <c r="R1392" s="2">
        <v>0.7</v>
      </c>
      <c r="S1392" s="3">
        <v>2240</v>
      </c>
      <c r="T1392" t="s">
        <v>27</v>
      </c>
      <c r="U1392" s="3">
        <v>2240</v>
      </c>
      <c r="V1392" s="7" t="str">
        <f>IF(ISERROR(VLOOKUP(K1392,[1]작가별정산률!$R:$S,2,0)),"스토리위즈",VLOOKUP(K1392,[1]작가별정산률!$R:$S,2,0))</f>
        <v>스토리위즈</v>
      </c>
      <c r="W1392" s="7" t="str">
        <f>IF(V1392="스토리위즈",VLOOKUP(K1392,[1]작가별정산률!$A:$B,2,0),V1392)</f>
        <v>김광수</v>
      </c>
    </row>
    <row r="1393" spans="1:23" x14ac:dyDescent="0.4">
      <c r="A1393" t="s">
        <v>262</v>
      </c>
      <c r="B1393" t="s">
        <v>1704</v>
      </c>
      <c r="C1393" t="s">
        <v>1721</v>
      </c>
      <c r="D1393" t="s">
        <v>21</v>
      </c>
      <c r="E1393" t="s">
        <v>22</v>
      </c>
      <c r="F1393" t="s">
        <v>23</v>
      </c>
      <c r="G1393">
        <v>1</v>
      </c>
      <c r="H1393">
        <v>9791189084455</v>
      </c>
      <c r="I1393" t="s">
        <v>143</v>
      </c>
      <c r="J1393" t="s">
        <v>1446</v>
      </c>
      <c r="K1393" t="s">
        <v>1378</v>
      </c>
      <c r="L1393" t="s">
        <v>27</v>
      </c>
      <c r="M1393" s="3">
        <v>3000</v>
      </c>
      <c r="N1393" t="s">
        <v>27</v>
      </c>
      <c r="O1393" s="3">
        <v>3000</v>
      </c>
      <c r="P1393" s="3">
        <v>3000</v>
      </c>
      <c r="Q1393" t="s">
        <v>30</v>
      </c>
      <c r="R1393" s="2">
        <v>0.7</v>
      </c>
      <c r="S1393" s="3">
        <v>2100</v>
      </c>
      <c r="T1393" t="s">
        <v>27</v>
      </c>
      <c r="U1393" s="3">
        <v>2100</v>
      </c>
      <c r="V1393" s="7" t="str">
        <f>IF(ISERROR(VLOOKUP(K1393,[1]작가별정산률!$R:$S,2,0)),"스토리위즈",VLOOKUP(K1393,[1]작가별정산률!$R:$S,2,0))</f>
        <v>스토리위즈</v>
      </c>
      <c r="W1393" s="7" t="str">
        <f>IF(V1393="스토리위즈",VLOOKUP(K1393,[1]작가별정산률!$A:$B,2,0),V1393)</f>
        <v>밈스</v>
      </c>
    </row>
    <row r="1394" spans="1:23" x14ac:dyDescent="0.4">
      <c r="A1394" t="s">
        <v>262</v>
      </c>
      <c r="B1394" t="s">
        <v>1704</v>
      </c>
      <c r="C1394" t="s">
        <v>1722</v>
      </c>
      <c r="D1394" t="s">
        <v>64</v>
      </c>
      <c r="E1394" t="s">
        <v>22</v>
      </c>
      <c r="F1394" t="s">
        <v>23</v>
      </c>
      <c r="G1394">
        <v>1</v>
      </c>
      <c r="H1394">
        <v>9791159282874</v>
      </c>
      <c r="I1394" t="s">
        <v>24</v>
      </c>
      <c r="J1394" t="s">
        <v>33</v>
      </c>
      <c r="K1394" t="s">
        <v>26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2">
        <v>0.7</v>
      </c>
      <c r="S1394">
        <v>441</v>
      </c>
      <c r="T1394" t="s">
        <v>27</v>
      </c>
      <c r="U1394">
        <v>441</v>
      </c>
      <c r="V1394" s="7" t="str">
        <f>IF(ISERROR(VLOOKUP(K1394,[1]작가별정산률!$R:$S,2,0)),"스토리위즈",VLOOKUP(K1394,[1]작가별정산률!$R:$S,2,0))</f>
        <v>스토리위즈</v>
      </c>
      <c r="W1394" s="7" t="str">
        <f>IF(V1394="스토리위즈",VLOOKUP(K1394,[1]작가별정산률!$A:$B,2,0),V1394)</f>
        <v>독고진</v>
      </c>
    </row>
    <row r="1395" spans="1:23" x14ac:dyDescent="0.4">
      <c r="A1395" t="s">
        <v>262</v>
      </c>
      <c r="B1395" t="s">
        <v>1704</v>
      </c>
      <c r="C1395" t="s">
        <v>1723</v>
      </c>
      <c r="D1395" t="s">
        <v>21</v>
      </c>
      <c r="E1395" t="s">
        <v>22</v>
      </c>
      <c r="F1395" t="s">
        <v>23</v>
      </c>
      <c r="G1395">
        <v>1</v>
      </c>
      <c r="H1395">
        <v>9791189084813</v>
      </c>
      <c r="I1395" t="s">
        <v>143</v>
      </c>
      <c r="J1395" t="s">
        <v>563</v>
      </c>
      <c r="K1395" t="s">
        <v>564</v>
      </c>
      <c r="L1395" t="s">
        <v>27</v>
      </c>
      <c r="M1395" s="3">
        <v>4000</v>
      </c>
      <c r="N1395" t="s">
        <v>27</v>
      </c>
      <c r="O1395" s="3">
        <v>4000</v>
      </c>
      <c r="P1395" s="3">
        <v>4000</v>
      </c>
      <c r="Q1395" t="s">
        <v>30</v>
      </c>
      <c r="R1395" s="2">
        <v>0.7</v>
      </c>
      <c r="S1395" s="3">
        <v>2800</v>
      </c>
      <c r="T1395" t="s">
        <v>27</v>
      </c>
      <c r="U1395" s="3">
        <v>2800</v>
      </c>
      <c r="V1395" s="7" t="str">
        <f>IF(ISERROR(VLOOKUP(K1395,[1]작가별정산률!$R:$S,2,0)),"스토리위즈",VLOOKUP(K1395,[1]작가별정산률!$R:$S,2,0))</f>
        <v>스토리위즈</v>
      </c>
      <c r="W1395" s="7" t="str">
        <f>IF(V1395="스토리위즈",VLOOKUP(K1395,[1]작가별정산률!$A:$B,2,0),V1395)</f>
        <v>셔틀</v>
      </c>
    </row>
    <row r="1396" spans="1:23" x14ac:dyDescent="0.4">
      <c r="A1396" t="s">
        <v>262</v>
      </c>
      <c r="B1396" t="s">
        <v>1704</v>
      </c>
      <c r="C1396" t="s">
        <v>1724</v>
      </c>
      <c r="D1396" t="s">
        <v>64</v>
      </c>
      <c r="E1396" t="s">
        <v>22</v>
      </c>
      <c r="F1396" t="s">
        <v>23</v>
      </c>
      <c r="G1396">
        <v>1</v>
      </c>
      <c r="H1396">
        <v>9791159282881</v>
      </c>
      <c r="I1396" t="s">
        <v>24</v>
      </c>
      <c r="J1396" t="s">
        <v>34</v>
      </c>
      <c r="K1396" t="s">
        <v>26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2">
        <v>0.7</v>
      </c>
      <c r="S1396">
        <v>441</v>
      </c>
      <c r="T1396" t="s">
        <v>27</v>
      </c>
      <c r="U1396">
        <v>441</v>
      </c>
      <c r="V1396" s="7" t="str">
        <f>IF(ISERROR(VLOOKUP(K1396,[1]작가별정산률!$R:$S,2,0)),"스토리위즈",VLOOKUP(K1396,[1]작가별정산률!$R:$S,2,0))</f>
        <v>스토리위즈</v>
      </c>
      <c r="W1396" s="7" t="str">
        <f>IF(V1396="스토리위즈",VLOOKUP(K1396,[1]작가별정산률!$A:$B,2,0),V1396)</f>
        <v>독고진</v>
      </c>
    </row>
    <row r="1397" spans="1:23" x14ac:dyDescent="0.4">
      <c r="A1397" t="s">
        <v>262</v>
      </c>
      <c r="B1397" t="s">
        <v>1704</v>
      </c>
      <c r="C1397" t="s">
        <v>1725</v>
      </c>
      <c r="D1397" t="s">
        <v>21</v>
      </c>
      <c r="E1397" t="s">
        <v>22</v>
      </c>
      <c r="F1397" t="s">
        <v>23</v>
      </c>
      <c r="G1397">
        <v>1</v>
      </c>
      <c r="H1397">
        <v>9791191562033</v>
      </c>
      <c r="I1397" t="s">
        <v>143</v>
      </c>
      <c r="J1397" t="s">
        <v>189</v>
      </c>
      <c r="K1397" t="s">
        <v>187</v>
      </c>
      <c r="L1397" t="s">
        <v>27</v>
      </c>
      <c r="M1397" s="3">
        <v>2000</v>
      </c>
      <c r="N1397" t="s">
        <v>27</v>
      </c>
      <c r="O1397" s="3">
        <v>2000</v>
      </c>
      <c r="P1397" s="3">
        <v>2000</v>
      </c>
      <c r="Q1397" t="s">
        <v>30</v>
      </c>
      <c r="R1397" s="2">
        <v>0.7</v>
      </c>
      <c r="S1397" s="3">
        <v>1400</v>
      </c>
      <c r="T1397" t="s">
        <v>27</v>
      </c>
      <c r="U1397" s="3">
        <v>1400</v>
      </c>
      <c r="V1397" s="7" t="str">
        <f>IF(ISERROR(VLOOKUP(K1397,[1]작가별정산률!$R:$S,2,0)),"스토리위즈",VLOOKUP(K1397,[1]작가별정산률!$R:$S,2,0))</f>
        <v>밀리의 서재</v>
      </c>
      <c r="W1397" s="7" t="str">
        <f>IF(V1397="스토리위즈",VLOOKUP(K1397,[1]작가별정산률!$A:$B,2,0),V1397)</f>
        <v>밀리의 서재</v>
      </c>
    </row>
    <row r="1398" spans="1:23" x14ac:dyDescent="0.4">
      <c r="A1398" t="s">
        <v>262</v>
      </c>
      <c r="B1398" t="s">
        <v>1704</v>
      </c>
      <c r="C1398" t="s">
        <v>1726</v>
      </c>
      <c r="D1398" t="s">
        <v>64</v>
      </c>
      <c r="E1398" t="s">
        <v>22</v>
      </c>
      <c r="F1398" t="s">
        <v>23</v>
      </c>
      <c r="G1398">
        <v>1</v>
      </c>
      <c r="H1398">
        <v>9791166300615</v>
      </c>
      <c r="I1398" t="s">
        <v>24</v>
      </c>
      <c r="J1398" t="s">
        <v>163</v>
      </c>
      <c r="K1398" t="s">
        <v>119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  <c r="V1398" s="7" t="str">
        <f>IF(ISERROR(VLOOKUP(K1398,[1]작가별정산률!$R:$S,2,0)),"스토리위즈",VLOOKUP(K1398,[1]작가별정산률!$R:$S,2,0))</f>
        <v>스토리위즈</v>
      </c>
      <c r="W1398" s="7" t="str">
        <f>IF(V1398="스토리위즈",VLOOKUP(K1398,[1]작가별정산률!$A:$B,2,0),V1398)</f>
        <v>김광수</v>
      </c>
    </row>
    <row r="1399" spans="1:23" x14ac:dyDescent="0.4">
      <c r="A1399" t="s">
        <v>262</v>
      </c>
      <c r="B1399" t="s">
        <v>1704</v>
      </c>
      <c r="C1399" t="s">
        <v>1727</v>
      </c>
      <c r="D1399" t="s">
        <v>64</v>
      </c>
      <c r="E1399" t="s">
        <v>22</v>
      </c>
      <c r="F1399" t="s">
        <v>23</v>
      </c>
      <c r="G1399">
        <v>1</v>
      </c>
      <c r="H1399">
        <v>9791188630233</v>
      </c>
      <c r="I1399" t="s">
        <v>24</v>
      </c>
      <c r="J1399" t="s">
        <v>198</v>
      </c>
      <c r="K1399" t="s">
        <v>41</v>
      </c>
      <c r="L1399" t="s">
        <v>27</v>
      </c>
      <c r="M1399">
        <v>630</v>
      </c>
      <c r="N1399" t="s">
        <v>27</v>
      </c>
      <c r="O1399">
        <v>630</v>
      </c>
      <c r="P1399">
        <v>630</v>
      </c>
      <c r="Q1399" t="s">
        <v>30</v>
      </c>
      <c r="R1399" s="2">
        <v>0.7</v>
      </c>
      <c r="S1399">
        <v>441</v>
      </c>
      <c r="T1399" t="s">
        <v>27</v>
      </c>
      <c r="U1399">
        <v>441</v>
      </c>
      <c r="V1399" s="7" t="str">
        <f>IF(ISERROR(VLOOKUP(K1399,[1]작가별정산률!$R:$S,2,0)),"스토리위즈",VLOOKUP(K1399,[1]작가별정산률!$R:$S,2,0))</f>
        <v>스토리위즈</v>
      </c>
      <c r="W1399" s="7" t="str">
        <f>IF(V1399="스토리위즈",VLOOKUP(K1399,[1]작가별정산률!$A:$B,2,0),V1399)</f>
        <v>무장</v>
      </c>
    </row>
    <row r="1400" spans="1:23" x14ac:dyDescent="0.4">
      <c r="A1400" t="s">
        <v>262</v>
      </c>
      <c r="B1400" t="s">
        <v>1704</v>
      </c>
      <c r="C1400" t="s">
        <v>1728</v>
      </c>
      <c r="D1400" t="s">
        <v>64</v>
      </c>
      <c r="E1400" t="s">
        <v>22</v>
      </c>
      <c r="F1400" t="s">
        <v>23</v>
      </c>
      <c r="G1400">
        <v>1</v>
      </c>
      <c r="H1400">
        <v>9791166300561</v>
      </c>
      <c r="I1400" t="s">
        <v>24</v>
      </c>
      <c r="J1400" t="s">
        <v>158</v>
      </c>
      <c r="K1400" t="s">
        <v>119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  <c r="V1400" s="7" t="str">
        <f>IF(ISERROR(VLOOKUP(K1400,[1]작가별정산률!$R:$S,2,0)),"스토리위즈",VLOOKUP(K1400,[1]작가별정산률!$R:$S,2,0))</f>
        <v>스토리위즈</v>
      </c>
      <c r="W1400" s="7" t="str">
        <f>IF(V1400="스토리위즈",VLOOKUP(K1400,[1]작가별정산률!$A:$B,2,0),V1400)</f>
        <v>김광수</v>
      </c>
    </row>
    <row r="1401" spans="1:23" x14ac:dyDescent="0.4">
      <c r="A1401" t="s">
        <v>262</v>
      </c>
      <c r="B1401" t="s">
        <v>1704</v>
      </c>
      <c r="C1401" t="s">
        <v>1729</v>
      </c>
      <c r="D1401" t="s">
        <v>64</v>
      </c>
      <c r="E1401" t="s">
        <v>22</v>
      </c>
      <c r="F1401" t="s">
        <v>23</v>
      </c>
      <c r="G1401">
        <v>1</v>
      </c>
      <c r="H1401">
        <v>9791166300165</v>
      </c>
      <c r="I1401" t="s">
        <v>24</v>
      </c>
      <c r="J1401" t="s">
        <v>126</v>
      </c>
      <c r="K1401" t="s">
        <v>119</v>
      </c>
      <c r="L1401" t="s">
        <v>27</v>
      </c>
      <c r="M1401">
        <v>630</v>
      </c>
      <c r="N1401" t="s">
        <v>27</v>
      </c>
      <c r="O1401">
        <v>630</v>
      </c>
      <c r="P1401">
        <v>630</v>
      </c>
      <c r="Q1401" t="s">
        <v>30</v>
      </c>
      <c r="R1401" s="2">
        <v>0.7</v>
      </c>
      <c r="S1401">
        <v>441</v>
      </c>
      <c r="T1401" t="s">
        <v>27</v>
      </c>
      <c r="U1401">
        <v>441</v>
      </c>
      <c r="V1401" s="7" t="str">
        <f>IF(ISERROR(VLOOKUP(K1401,[1]작가별정산률!$R:$S,2,0)),"스토리위즈",VLOOKUP(K1401,[1]작가별정산률!$R:$S,2,0))</f>
        <v>스토리위즈</v>
      </c>
      <c r="W1401" s="7" t="str">
        <f>IF(V1401="스토리위즈",VLOOKUP(K1401,[1]작가별정산률!$A:$B,2,0),V1401)</f>
        <v>김광수</v>
      </c>
    </row>
    <row r="1402" spans="1:23" x14ac:dyDescent="0.4">
      <c r="A1402" t="s">
        <v>262</v>
      </c>
      <c r="B1402" t="s">
        <v>1704</v>
      </c>
      <c r="C1402" t="s">
        <v>1730</v>
      </c>
      <c r="D1402" t="s">
        <v>64</v>
      </c>
      <c r="E1402" t="s">
        <v>22</v>
      </c>
      <c r="F1402" t="s">
        <v>23</v>
      </c>
      <c r="G1402">
        <v>1</v>
      </c>
      <c r="H1402">
        <v>9791159282881</v>
      </c>
      <c r="I1402" t="s">
        <v>24</v>
      </c>
      <c r="J1402" t="s">
        <v>34</v>
      </c>
      <c r="K1402" t="s">
        <v>26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  <c r="V1402" s="7" t="str">
        <f>IF(ISERROR(VLOOKUP(K1402,[1]작가별정산률!$R:$S,2,0)),"스토리위즈",VLOOKUP(K1402,[1]작가별정산률!$R:$S,2,0))</f>
        <v>스토리위즈</v>
      </c>
      <c r="W1402" s="7" t="str">
        <f>IF(V1402="스토리위즈",VLOOKUP(K1402,[1]작가별정산률!$A:$B,2,0),V1402)</f>
        <v>독고진</v>
      </c>
    </row>
    <row r="1403" spans="1:23" x14ac:dyDescent="0.4">
      <c r="A1403" t="s">
        <v>262</v>
      </c>
      <c r="B1403" t="s">
        <v>1704</v>
      </c>
      <c r="C1403" t="s">
        <v>1731</v>
      </c>
      <c r="D1403" t="s">
        <v>64</v>
      </c>
      <c r="E1403" t="s">
        <v>22</v>
      </c>
      <c r="F1403" t="s">
        <v>23</v>
      </c>
      <c r="G1403">
        <v>1</v>
      </c>
      <c r="H1403">
        <v>9791166300592</v>
      </c>
      <c r="I1403" t="s">
        <v>24</v>
      </c>
      <c r="J1403" t="s">
        <v>161</v>
      </c>
      <c r="K1403" t="s">
        <v>119</v>
      </c>
      <c r="L1403" t="s">
        <v>27</v>
      </c>
      <c r="M1403">
        <v>630</v>
      </c>
      <c r="N1403" t="s">
        <v>27</v>
      </c>
      <c r="O1403">
        <v>630</v>
      </c>
      <c r="P1403">
        <v>630</v>
      </c>
      <c r="Q1403" t="s">
        <v>30</v>
      </c>
      <c r="R1403" s="2">
        <v>0.7</v>
      </c>
      <c r="S1403">
        <v>441</v>
      </c>
      <c r="T1403" t="s">
        <v>27</v>
      </c>
      <c r="U1403">
        <v>441</v>
      </c>
      <c r="V1403" s="7" t="str">
        <f>IF(ISERROR(VLOOKUP(K1403,[1]작가별정산률!$R:$S,2,0)),"스토리위즈",VLOOKUP(K1403,[1]작가별정산률!$R:$S,2,0))</f>
        <v>스토리위즈</v>
      </c>
      <c r="W1403" s="7" t="str">
        <f>IF(V1403="스토리위즈",VLOOKUP(K1403,[1]작가별정산률!$A:$B,2,0),V1403)</f>
        <v>김광수</v>
      </c>
    </row>
    <row r="1404" spans="1:23" x14ac:dyDescent="0.4">
      <c r="A1404" t="s">
        <v>262</v>
      </c>
      <c r="B1404" t="s">
        <v>1704</v>
      </c>
      <c r="C1404" t="s">
        <v>1732</v>
      </c>
      <c r="D1404" t="s">
        <v>21</v>
      </c>
      <c r="E1404" t="s">
        <v>22</v>
      </c>
      <c r="F1404" t="s">
        <v>23</v>
      </c>
      <c r="G1404">
        <v>1</v>
      </c>
      <c r="H1404">
        <v>9791166300141</v>
      </c>
      <c r="I1404" t="s">
        <v>24</v>
      </c>
      <c r="J1404" t="s">
        <v>124</v>
      </c>
      <c r="K1404" t="s">
        <v>119</v>
      </c>
      <c r="L1404" t="s">
        <v>27</v>
      </c>
      <c r="M1404" s="3">
        <v>3200</v>
      </c>
      <c r="N1404" t="s">
        <v>27</v>
      </c>
      <c r="O1404" s="3">
        <v>3200</v>
      </c>
      <c r="P1404" s="3">
        <v>3200</v>
      </c>
      <c r="Q1404" t="s">
        <v>30</v>
      </c>
      <c r="R1404" s="2">
        <v>0.7</v>
      </c>
      <c r="S1404" s="3">
        <v>2240</v>
      </c>
      <c r="T1404" t="s">
        <v>27</v>
      </c>
      <c r="U1404" s="3">
        <v>2240</v>
      </c>
      <c r="V1404" s="7" t="str">
        <f>IF(ISERROR(VLOOKUP(K1404,[1]작가별정산률!$R:$S,2,0)),"스토리위즈",VLOOKUP(K1404,[1]작가별정산률!$R:$S,2,0))</f>
        <v>스토리위즈</v>
      </c>
      <c r="W1404" s="7" t="str">
        <f>IF(V1404="스토리위즈",VLOOKUP(K1404,[1]작가별정산률!$A:$B,2,0),V1404)</f>
        <v>김광수</v>
      </c>
    </row>
    <row r="1405" spans="1:23" x14ac:dyDescent="0.4">
      <c r="A1405" t="s">
        <v>262</v>
      </c>
      <c r="B1405" t="s">
        <v>1704</v>
      </c>
      <c r="C1405" t="s">
        <v>1733</v>
      </c>
      <c r="D1405" t="s">
        <v>64</v>
      </c>
      <c r="E1405" t="s">
        <v>22</v>
      </c>
      <c r="F1405" t="s">
        <v>23</v>
      </c>
      <c r="G1405">
        <v>1</v>
      </c>
      <c r="H1405">
        <v>9791166300226</v>
      </c>
      <c r="I1405" t="s">
        <v>24</v>
      </c>
      <c r="J1405" t="s">
        <v>131</v>
      </c>
      <c r="K1405" t="s">
        <v>119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  <c r="V1405" s="7" t="str">
        <f>IF(ISERROR(VLOOKUP(K1405,[1]작가별정산률!$R:$S,2,0)),"스토리위즈",VLOOKUP(K1405,[1]작가별정산률!$R:$S,2,0))</f>
        <v>스토리위즈</v>
      </c>
      <c r="W1405" s="7" t="str">
        <f>IF(V1405="스토리위즈",VLOOKUP(K1405,[1]작가별정산률!$A:$B,2,0),V1405)</f>
        <v>김광수</v>
      </c>
    </row>
    <row r="1406" spans="1:23" x14ac:dyDescent="0.4">
      <c r="A1406" t="s">
        <v>262</v>
      </c>
      <c r="B1406" t="s">
        <v>1704</v>
      </c>
      <c r="C1406" t="s">
        <v>1734</v>
      </c>
      <c r="D1406" t="s">
        <v>21</v>
      </c>
      <c r="E1406" t="s">
        <v>22</v>
      </c>
      <c r="F1406" t="s">
        <v>23</v>
      </c>
      <c r="G1406">
        <v>1</v>
      </c>
      <c r="H1406">
        <v>9791166300196</v>
      </c>
      <c r="I1406" t="s">
        <v>24</v>
      </c>
      <c r="J1406" t="s">
        <v>128</v>
      </c>
      <c r="K1406" t="s">
        <v>119</v>
      </c>
      <c r="L1406" t="s">
        <v>27</v>
      </c>
      <c r="M1406" s="3">
        <v>3200</v>
      </c>
      <c r="N1406" t="s">
        <v>27</v>
      </c>
      <c r="O1406" s="3">
        <v>3200</v>
      </c>
      <c r="P1406" s="3">
        <v>3200</v>
      </c>
      <c r="Q1406" t="s">
        <v>30</v>
      </c>
      <c r="R1406" s="2">
        <v>0.7</v>
      </c>
      <c r="S1406" s="3">
        <v>2240</v>
      </c>
      <c r="T1406" t="s">
        <v>27</v>
      </c>
      <c r="U1406" s="3">
        <v>2240</v>
      </c>
      <c r="V1406" s="7" t="str">
        <f>IF(ISERROR(VLOOKUP(K1406,[1]작가별정산률!$R:$S,2,0)),"스토리위즈",VLOOKUP(K1406,[1]작가별정산률!$R:$S,2,0))</f>
        <v>스토리위즈</v>
      </c>
      <c r="W1406" s="7" t="str">
        <f>IF(V1406="스토리위즈",VLOOKUP(K1406,[1]작가별정산률!$A:$B,2,0),V1406)</f>
        <v>김광수</v>
      </c>
    </row>
    <row r="1407" spans="1:23" x14ac:dyDescent="0.4">
      <c r="A1407" t="s">
        <v>262</v>
      </c>
      <c r="B1407" t="s">
        <v>1704</v>
      </c>
      <c r="C1407" t="s">
        <v>1735</v>
      </c>
      <c r="D1407" t="s">
        <v>64</v>
      </c>
      <c r="E1407" t="s">
        <v>22</v>
      </c>
      <c r="F1407" t="s">
        <v>23</v>
      </c>
      <c r="G1407">
        <v>1</v>
      </c>
      <c r="H1407">
        <v>9791166300233</v>
      </c>
      <c r="I1407" t="s">
        <v>24</v>
      </c>
      <c r="J1407" t="s">
        <v>132</v>
      </c>
      <c r="K1407" t="s">
        <v>119</v>
      </c>
      <c r="L1407" t="s">
        <v>27</v>
      </c>
      <c r="M1407">
        <v>630</v>
      </c>
      <c r="N1407" t="s">
        <v>27</v>
      </c>
      <c r="O1407">
        <v>630</v>
      </c>
      <c r="P1407">
        <v>630</v>
      </c>
      <c r="Q1407" t="s">
        <v>30</v>
      </c>
      <c r="R1407" s="2">
        <v>0.7</v>
      </c>
      <c r="S1407">
        <v>441</v>
      </c>
      <c r="T1407" t="s">
        <v>27</v>
      </c>
      <c r="U1407">
        <v>441</v>
      </c>
      <c r="V1407" s="7" t="str">
        <f>IF(ISERROR(VLOOKUP(K1407,[1]작가별정산률!$R:$S,2,0)),"스토리위즈",VLOOKUP(K1407,[1]작가별정산률!$R:$S,2,0))</f>
        <v>스토리위즈</v>
      </c>
      <c r="W1407" s="7" t="str">
        <f>IF(V1407="스토리위즈",VLOOKUP(K1407,[1]작가별정산률!$A:$B,2,0),V1407)</f>
        <v>김광수</v>
      </c>
    </row>
    <row r="1408" spans="1:23" x14ac:dyDescent="0.4">
      <c r="A1408" t="s">
        <v>262</v>
      </c>
      <c r="B1408" t="s">
        <v>1704</v>
      </c>
      <c r="C1408" t="s">
        <v>1736</v>
      </c>
      <c r="D1408" t="s">
        <v>21</v>
      </c>
      <c r="E1408" t="s">
        <v>22</v>
      </c>
      <c r="F1408" t="s">
        <v>23</v>
      </c>
      <c r="G1408">
        <v>1</v>
      </c>
      <c r="H1408">
        <v>9791189084448</v>
      </c>
      <c r="I1408" t="s">
        <v>143</v>
      </c>
      <c r="J1408" t="s">
        <v>1377</v>
      </c>
      <c r="K1408" t="s">
        <v>1378</v>
      </c>
      <c r="L1408" t="s">
        <v>27</v>
      </c>
      <c r="M1408" s="3">
        <v>3000</v>
      </c>
      <c r="N1408" t="s">
        <v>27</v>
      </c>
      <c r="O1408" s="3">
        <v>3000</v>
      </c>
      <c r="P1408" s="3">
        <v>3000</v>
      </c>
      <c r="Q1408" t="s">
        <v>30</v>
      </c>
      <c r="R1408" s="2">
        <v>0.7</v>
      </c>
      <c r="S1408" s="3">
        <v>2100</v>
      </c>
      <c r="T1408" t="s">
        <v>27</v>
      </c>
      <c r="U1408" s="3">
        <v>2100</v>
      </c>
      <c r="V1408" s="7" t="str">
        <f>IF(ISERROR(VLOOKUP(K1408,[1]작가별정산률!$R:$S,2,0)),"스토리위즈",VLOOKUP(K1408,[1]작가별정산률!$R:$S,2,0))</f>
        <v>스토리위즈</v>
      </c>
      <c r="W1408" s="7" t="str">
        <f>IF(V1408="스토리위즈",VLOOKUP(K1408,[1]작가별정산률!$A:$B,2,0),V1408)</f>
        <v>밈스</v>
      </c>
    </row>
    <row r="1409" spans="1:23" x14ac:dyDescent="0.4">
      <c r="A1409" t="s">
        <v>262</v>
      </c>
      <c r="B1409" t="s">
        <v>1704</v>
      </c>
      <c r="C1409" t="s">
        <v>1737</v>
      </c>
      <c r="D1409" t="s">
        <v>21</v>
      </c>
      <c r="E1409" t="s">
        <v>22</v>
      </c>
      <c r="F1409" t="s">
        <v>23</v>
      </c>
      <c r="G1409">
        <v>1</v>
      </c>
      <c r="H1409">
        <v>9791164370986</v>
      </c>
      <c r="I1409" t="s">
        <v>143</v>
      </c>
      <c r="J1409" t="s">
        <v>1665</v>
      </c>
      <c r="K1409" t="s">
        <v>1098</v>
      </c>
      <c r="L1409" t="s">
        <v>27</v>
      </c>
      <c r="M1409">
        <v>500</v>
      </c>
      <c r="N1409" t="s">
        <v>27</v>
      </c>
      <c r="O1409">
        <v>500</v>
      </c>
      <c r="P1409">
        <v>500</v>
      </c>
      <c r="Q1409" t="s">
        <v>30</v>
      </c>
      <c r="R1409" s="2">
        <v>0.7</v>
      </c>
      <c r="S1409">
        <v>350</v>
      </c>
      <c r="T1409" t="s">
        <v>27</v>
      </c>
      <c r="U1409">
        <v>350</v>
      </c>
      <c r="V1409" s="7" t="str">
        <f>IF(ISERROR(VLOOKUP(K1409,[1]작가별정산률!$R:$S,2,0)),"스토리위즈",VLOOKUP(K1409,[1]작가별정산률!$R:$S,2,0))</f>
        <v>스토리위즈</v>
      </c>
      <c r="W1409" s="7" t="str">
        <f>IF(V1409="스토리위즈",VLOOKUP(K1409,[1]작가별정산률!$A:$B,2,0),V1409)</f>
        <v>차홍주</v>
      </c>
    </row>
    <row r="1410" spans="1:23" x14ac:dyDescent="0.4">
      <c r="A1410" t="s">
        <v>262</v>
      </c>
      <c r="B1410" t="s">
        <v>1704</v>
      </c>
      <c r="C1410" t="s">
        <v>1738</v>
      </c>
      <c r="D1410" t="s">
        <v>64</v>
      </c>
      <c r="E1410" t="s">
        <v>22</v>
      </c>
      <c r="F1410" t="s">
        <v>23</v>
      </c>
      <c r="G1410">
        <v>1</v>
      </c>
      <c r="H1410">
        <v>9791166061141</v>
      </c>
      <c r="I1410" t="s">
        <v>24</v>
      </c>
      <c r="J1410" t="s">
        <v>99</v>
      </c>
      <c r="K1410" t="s">
        <v>37</v>
      </c>
      <c r="L1410" t="s">
        <v>27</v>
      </c>
      <c r="M1410">
        <v>900</v>
      </c>
      <c r="N1410" t="s">
        <v>27</v>
      </c>
      <c r="O1410">
        <v>900</v>
      </c>
      <c r="P1410">
        <v>900</v>
      </c>
      <c r="Q1410" t="s">
        <v>30</v>
      </c>
      <c r="R1410" s="2">
        <v>0.7</v>
      </c>
      <c r="S1410">
        <v>630</v>
      </c>
      <c r="T1410" t="s">
        <v>27</v>
      </c>
      <c r="U1410">
        <v>630</v>
      </c>
      <c r="V1410" s="7" t="str">
        <f>IF(ISERROR(VLOOKUP(K1410,[1]작가별정산률!$R:$S,2,0)),"스토리위즈",VLOOKUP(K1410,[1]작가별정산률!$R:$S,2,0))</f>
        <v>스토리위즈</v>
      </c>
      <c r="W1410" s="7" t="str">
        <f>IF(V1410="스토리위즈",VLOOKUP(K1410,[1]작가별정산률!$A:$B,2,0),V1410)</f>
        <v>권용찬</v>
      </c>
    </row>
    <row r="1411" spans="1:23" x14ac:dyDescent="0.4">
      <c r="A1411" t="s">
        <v>262</v>
      </c>
      <c r="B1411" t="s">
        <v>1704</v>
      </c>
      <c r="C1411" t="s">
        <v>1739</v>
      </c>
      <c r="D1411" t="s">
        <v>64</v>
      </c>
      <c r="E1411" t="s">
        <v>22</v>
      </c>
      <c r="F1411" t="s">
        <v>23</v>
      </c>
      <c r="G1411">
        <v>1</v>
      </c>
      <c r="H1411">
        <v>9791166300141</v>
      </c>
      <c r="I1411" t="s">
        <v>24</v>
      </c>
      <c r="J1411" t="s">
        <v>124</v>
      </c>
      <c r="K1411" t="s">
        <v>119</v>
      </c>
      <c r="L1411" t="s">
        <v>27</v>
      </c>
      <c r="M1411">
        <v>630</v>
      </c>
      <c r="N1411" t="s">
        <v>27</v>
      </c>
      <c r="O1411">
        <v>630</v>
      </c>
      <c r="P1411">
        <v>630</v>
      </c>
      <c r="Q1411" t="s">
        <v>30</v>
      </c>
      <c r="R1411" s="2">
        <v>0.7</v>
      </c>
      <c r="S1411">
        <v>441</v>
      </c>
      <c r="T1411" t="s">
        <v>27</v>
      </c>
      <c r="U1411">
        <v>441</v>
      </c>
      <c r="V1411" s="7" t="str">
        <f>IF(ISERROR(VLOOKUP(K1411,[1]작가별정산률!$R:$S,2,0)),"스토리위즈",VLOOKUP(K1411,[1]작가별정산률!$R:$S,2,0))</f>
        <v>스토리위즈</v>
      </c>
      <c r="W1411" s="7" t="str">
        <f>IF(V1411="스토리위즈",VLOOKUP(K1411,[1]작가별정산률!$A:$B,2,0),V1411)</f>
        <v>김광수</v>
      </c>
    </row>
    <row r="1412" spans="1:23" x14ac:dyDescent="0.4">
      <c r="A1412" t="s">
        <v>262</v>
      </c>
      <c r="B1412" t="s">
        <v>1704</v>
      </c>
      <c r="C1412" t="s">
        <v>1740</v>
      </c>
      <c r="D1412" t="s">
        <v>21</v>
      </c>
      <c r="E1412" t="s">
        <v>22</v>
      </c>
      <c r="F1412" t="s">
        <v>23</v>
      </c>
      <c r="G1412">
        <v>1</v>
      </c>
      <c r="H1412">
        <v>9791166300479</v>
      </c>
      <c r="I1412" t="s">
        <v>24</v>
      </c>
      <c r="J1412" t="s">
        <v>145</v>
      </c>
      <c r="K1412" t="s">
        <v>119</v>
      </c>
      <c r="L1412" t="s">
        <v>27</v>
      </c>
      <c r="M1412" s="3">
        <v>3200</v>
      </c>
      <c r="N1412" t="s">
        <v>27</v>
      </c>
      <c r="O1412" s="3">
        <v>3200</v>
      </c>
      <c r="P1412" s="3">
        <v>3200</v>
      </c>
      <c r="Q1412" t="s">
        <v>30</v>
      </c>
      <c r="R1412" s="2">
        <v>0.7</v>
      </c>
      <c r="S1412" s="3">
        <v>2240</v>
      </c>
      <c r="T1412" t="s">
        <v>27</v>
      </c>
      <c r="U1412" s="3">
        <v>2240</v>
      </c>
      <c r="V1412" s="7" t="str">
        <f>IF(ISERROR(VLOOKUP(K1412,[1]작가별정산률!$R:$S,2,0)),"스토리위즈",VLOOKUP(K1412,[1]작가별정산률!$R:$S,2,0))</f>
        <v>스토리위즈</v>
      </c>
      <c r="W1412" s="7" t="str">
        <f>IF(V1412="스토리위즈",VLOOKUP(K1412,[1]작가별정산률!$A:$B,2,0),V1412)</f>
        <v>김광수</v>
      </c>
    </row>
    <row r="1413" spans="1:23" x14ac:dyDescent="0.4">
      <c r="A1413" t="s">
        <v>262</v>
      </c>
      <c r="B1413" t="s">
        <v>1704</v>
      </c>
      <c r="C1413" t="s">
        <v>1741</v>
      </c>
      <c r="D1413" t="s">
        <v>21</v>
      </c>
      <c r="E1413" t="s">
        <v>22</v>
      </c>
      <c r="F1413" t="s">
        <v>23</v>
      </c>
      <c r="G1413">
        <v>1</v>
      </c>
      <c r="H1413">
        <v>9791191562286</v>
      </c>
      <c r="I1413" t="s">
        <v>143</v>
      </c>
      <c r="J1413" t="s">
        <v>238</v>
      </c>
      <c r="K1413" t="s">
        <v>239</v>
      </c>
      <c r="L1413" t="s">
        <v>27</v>
      </c>
      <c r="M1413" s="3">
        <v>2000</v>
      </c>
      <c r="N1413" t="s">
        <v>27</v>
      </c>
      <c r="O1413" s="3">
        <v>2000</v>
      </c>
      <c r="P1413" s="3">
        <v>2000</v>
      </c>
      <c r="Q1413" t="s">
        <v>30</v>
      </c>
      <c r="R1413" s="2">
        <v>0.7</v>
      </c>
      <c r="S1413" s="3">
        <v>1400</v>
      </c>
      <c r="T1413" t="s">
        <v>27</v>
      </c>
      <c r="U1413" s="3">
        <v>1400</v>
      </c>
      <c r="V1413" s="7" t="str">
        <f>IF(ISERROR(VLOOKUP(K1413,[1]작가별정산률!$R:$S,2,0)),"스토리위즈",VLOOKUP(K1413,[1]작가별정산률!$R:$S,2,0))</f>
        <v>밀리의 서재</v>
      </c>
      <c r="W1413" s="7" t="str">
        <f>IF(V1413="스토리위즈",VLOOKUP(K1413,[1]작가별정산률!$A:$B,2,0),V1413)</f>
        <v>밀리의 서재</v>
      </c>
    </row>
    <row r="1414" spans="1:23" x14ac:dyDescent="0.4">
      <c r="A1414" t="s">
        <v>262</v>
      </c>
      <c r="B1414" t="s">
        <v>1704</v>
      </c>
      <c r="C1414" t="s">
        <v>1742</v>
      </c>
      <c r="D1414" t="s">
        <v>64</v>
      </c>
      <c r="E1414" t="s">
        <v>22</v>
      </c>
      <c r="F1414" t="s">
        <v>23</v>
      </c>
      <c r="G1414">
        <v>1</v>
      </c>
      <c r="H1414">
        <v>9791166064395</v>
      </c>
      <c r="I1414" t="s">
        <v>24</v>
      </c>
      <c r="J1414" t="s">
        <v>104</v>
      </c>
      <c r="K1414" t="s">
        <v>102</v>
      </c>
      <c r="L1414" t="s">
        <v>27</v>
      </c>
      <c r="M1414">
        <v>720</v>
      </c>
      <c r="N1414" t="s">
        <v>27</v>
      </c>
      <c r="O1414">
        <v>720</v>
      </c>
      <c r="P1414">
        <v>720</v>
      </c>
      <c r="Q1414" t="s">
        <v>30</v>
      </c>
      <c r="R1414" s="2">
        <v>0.7</v>
      </c>
      <c r="S1414">
        <v>504</v>
      </c>
      <c r="T1414" t="s">
        <v>27</v>
      </c>
      <c r="U1414">
        <v>504</v>
      </c>
      <c r="V1414" s="7" t="str">
        <f>IF(ISERROR(VLOOKUP(K1414,[1]작가별정산률!$R:$S,2,0)),"스토리위즈",VLOOKUP(K1414,[1]작가별정산률!$R:$S,2,0))</f>
        <v>스토리위즈</v>
      </c>
      <c r="W1414" s="7" t="str">
        <f>IF(V1414="스토리위즈",VLOOKUP(K1414,[1]작가별정산률!$A:$B,2,0),V1414)</f>
        <v>예로나</v>
      </c>
    </row>
    <row r="1415" spans="1:23" x14ac:dyDescent="0.4">
      <c r="A1415" t="s">
        <v>262</v>
      </c>
      <c r="B1415" t="s">
        <v>1704</v>
      </c>
      <c r="C1415" t="s">
        <v>1743</v>
      </c>
      <c r="D1415" t="s">
        <v>64</v>
      </c>
      <c r="E1415" t="s">
        <v>22</v>
      </c>
      <c r="F1415" t="s">
        <v>23</v>
      </c>
      <c r="G1415">
        <v>1</v>
      </c>
      <c r="H1415">
        <v>9791166300615</v>
      </c>
      <c r="I1415" t="s">
        <v>24</v>
      </c>
      <c r="J1415" t="s">
        <v>163</v>
      </c>
      <c r="K1415" t="s">
        <v>119</v>
      </c>
      <c r="L1415" t="s">
        <v>27</v>
      </c>
      <c r="M1415">
        <v>630</v>
      </c>
      <c r="N1415" t="s">
        <v>27</v>
      </c>
      <c r="O1415">
        <v>630</v>
      </c>
      <c r="P1415">
        <v>630</v>
      </c>
      <c r="Q1415" t="s">
        <v>30</v>
      </c>
      <c r="R1415" s="2">
        <v>0.7</v>
      </c>
      <c r="S1415">
        <v>441</v>
      </c>
      <c r="T1415" t="s">
        <v>27</v>
      </c>
      <c r="U1415">
        <v>441</v>
      </c>
      <c r="V1415" s="7" t="str">
        <f>IF(ISERROR(VLOOKUP(K1415,[1]작가별정산률!$R:$S,2,0)),"스토리위즈",VLOOKUP(K1415,[1]작가별정산률!$R:$S,2,0))</f>
        <v>스토리위즈</v>
      </c>
      <c r="W1415" s="7" t="str">
        <f>IF(V1415="스토리위즈",VLOOKUP(K1415,[1]작가별정산률!$A:$B,2,0),V1415)</f>
        <v>김광수</v>
      </c>
    </row>
    <row r="1416" spans="1:23" x14ac:dyDescent="0.4">
      <c r="A1416" t="s">
        <v>262</v>
      </c>
      <c r="B1416" t="s">
        <v>1704</v>
      </c>
      <c r="C1416" t="s">
        <v>1744</v>
      </c>
      <c r="D1416" t="s">
        <v>64</v>
      </c>
      <c r="E1416" t="s">
        <v>22</v>
      </c>
      <c r="F1416" t="s">
        <v>23</v>
      </c>
      <c r="G1416">
        <v>1</v>
      </c>
      <c r="H1416">
        <v>9791159282898</v>
      </c>
      <c r="I1416" t="s">
        <v>24</v>
      </c>
      <c r="J1416" t="s">
        <v>35</v>
      </c>
      <c r="K1416" t="s">
        <v>26</v>
      </c>
      <c r="L1416" t="s">
        <v>27</v>
      </c>
      <c r="M1416">
        <v>630</v>
      </c>
      <c r="N1416" t="s">
        <v>27</v>
      </c>
      <c r="O1416">
        <v>630</v>
      </c>
      <c r="P1416">
        <v>630</v>
      </c>
      <c r="Q1416" t="s">
        <v>30</v>
      </c>
      <c r="R1416" s="2">
        <v>0.7</v>
      </c>
      <c r="S1416">
        <v>441</v>
      </c>
      <c r="T1416" t="s">
        <v>27</v>
      </c>
      <c r="U1416">
        <v>441</v>
      </c>
      <c r="V1416" s="7" t="str">
        <f>IF(ISERROR(VLOOKUP(K1416,[1]작가별정산률!$R:$S,2,0)),"스토리위즈",VLOOKUP(K1416,[1]작가별정산률!$R:$S,2,0))</f>
        <v>스토리위즈</v>
      </c>
      <c r="W1416" s="7" t="str">
        <f>IF(V1416="스토리위즈",VLOOKUP(K1416,[1]작가별정산률!$A:$B,2,0),V1416)</f>
        <v>독고진</v>
      </c>
    </row>
    <row r="1417" spans="1:23" x14ac:dyDescent="0.4">
      <c r="A1417" t="s">
        <v>262</v>
      </c>
      <c r="B1417" t="s">
        <v>1704</v>
      </c>
      <c r="C1417" t="s">
        <v>1745</v>
      </c>
      <c r="D1417" t="s">
        <v>21</v>
      </c>
      <c r="E1417" t="s">
        <v>22</v>
      </c>
      <c r="F1417" t="s">
        <v>23</v>
      </c>
      <c r="G1417">
        <v>1</v>
      </c>
      <c r="H1417">
        <v>9791191562187</v>
      </c>
      <c r="I1417" t="s">
        <v>143</v>
      </c>
      <c r="J1417" t="s">
        <v>217</v>
      </c>
      <c r="K1417" t="s">
        <v>218</v>
      </c>
      <c r="L1417" t="s">
        <v>27</v>
      </c>
      <c r="M1417" s="3">
        <v>2000</v>
      </c>
      <c r="N1417" t="s">
        <v>28</v>
      </c>
      <c r="O1417">
        <v>1.65</v>
      </c>
      <c r="P1417">
        <v>1.65</v>
      </c>
      <c r="Q1417" t="s">
        <v>29</v>
      </c>
      <c r="R1417" s="2">
        <v>0.7</v>
      </c>
      <c r="S1417">
        <v>1.1499999999999999</v>
      </c>
      <c r="T1417" t="s">
        <v>27</v>
      </c>
      <c r="U1417" s="3">
        <v>1458</v>
      </c>
      <c r="V1417" s="7" t="str">
        <f>IF(ISERROR(VLOOKUP(K1417,[1]작가별정산률!$R:$S,2,0)),"스토리위즈",VLOOKUP(K1417,[1]작가별정산률!$R:$S,2,0))</f>
        <v>밀리의 서재</v>
      </c>
      <c r="W1417" s="7" t="str">
        <f>IF(V1417="스토리위즈",VLOOKUP(K1417,[1]작가별정산률!$A:$B,2,0),V1417)</f>
        <v>밀리의 서재</v>
      </c>
    </row>
    <row r="1418" spans="1:23" x14ac:dyDescent="0.4">
      <c r="A1418" t="s">
        <v>262</v>
      </c>
      <c r="B1418" t="s">
        <v>1704</v>
      </c>
      <c r="C1418" t="s">
        <v>1746</v>
      </c>
      <c r="D1418" t="s">
        <v>21</v>
      </c>
      <c r="E1418" t="s">
        <v>22</v>
      </c>
      <c r="F1418" t="s">
        <v>23</v>
      </c>
      <c r="G1418">
        <v>1</v>
      </c>
      <c r="H1418">
        <v>9791191562286</v>
      </c>
      <c r="I1418" t="s">
        <v>143</v>
      </c>
      <c r="J1418" t="s">
        <v>238</v>
      </c>
      <c r="K1418" t="s">
        <v>239</v>
      </c>
      <c r="L1418" t="s">
        <v>27</v>
      </c>
      <c r="M1418" s="3">
        <v>2000</v>
      </c>
      <c r="N1418" t="s">
        <v>27</v>
      </c>
      <c r="O1418" s="3">
        <v>2000</v>
      </c>
      <c r="P1418" s="3">
        <v>2000</v>
      </c>
      <c r="Q1418" t="s">
        <v>30</v>
      </c>
      <c r="R1418" s="2">
        <v>0.7</v>
      </c>
      <c r="S1418" s="3">
        <v>1400</v>
      </c>
      <c r="T1418" t="s">
        <v>27</v>
      </c>
      <c r="U1418" s="3">
        <v>1400</v>
      </c>
      <c r="V1418" s="7" t="str">
        <f>IF(ISERROR(VLOOKUP(K1418,[1]작가별정산률!$R:$S,2,0)),"스토리위즈",VLOOKUP(K1418,[1]작가별정산률!$R:$S,2,0))</f>
        <v>밀리의 서재</v>
      </c>
      <c r="W1418" s="7" t="str">
        <f>IF(V1418="스토리위즈",VLOOKUP(K1418,[1]작가별정산률!$A:$B,2,0),V1418)</f>
        <v>밀리의 서재</v>
      </c>
    </row>
    <row r="1419" spans="1:23" x14ac:dyDescent="0.4">
      <c r="A1419" t="s">
        <v>262</v>
      </c>
      <c r="B1419" t="s">
        <v>1704</v>
      </c>
      <c r="C1419" t="s">
        <v>1747</v>
      </c>
      <c r="D1419" t="s">
        <v>21</v>
      </c>
      <c r="E1419" t="s">
        <v>22</v>
      </c>
      <c r="F1419" t="s">
        <v>23</v>
      </c>
      <c r="G1419">
        <v>1</v>
      </c>
      <c r="H1419">
        <v>9791191562286</v>
      </c>
      <c r="I1419" t="s">
        <v>143</v>
      </c>
      <c r="J1419" t="s">
        <v>238</v>
      </c>
      <c r="K1419" t="s">
        <v>239</v>
      </c>
      <c r="L1419" t="s">
        <v>27</v>
      </c>
      <c r="M1419" s="3">
        <v>2000</v>
      </c>
      <c r="N1419" t="s">
        <v>27</v>
      </c>
      <c r="O1419" s="3">
        <v>2000</v>
      </c>
      <c r="P1419" s="3">
        <v>2000</v>
      </c>
      <c r="Q1419" t="s">
        <v>30</v>
      </c>
      <c r="R1419" s="2">
        <v>0.7</v>
      </c>
      <c r="S1419" s="3">
        <v>1400</v>
      </c>
      <c r="T1419" t="s">
        <v>27</v>
      </c>
      <c r="U1419" s="3">
        <v>1400</v>
      </c>
      <c r="V1419" s="7" t="str">
        <f>IF(ISERROR(VLOOKUP(K1419,[1]작가별정산률!$R:$S,2,0)),"스토리위즈",VLOOKUP(K1419,[1]작가별정산률!$R:$S,2,0))</f>
        <v>밀리의 서재</v>
      </c>
      <c r="W1419" s="7" t="str">
        <f>IF(V1419="스토리위즈",VLOOKUP(K1419,[1]작가별정산률!$A:$B,2,0),V1419)</f>
        <v>밀리의 서재</v>
      </c>
    </row>
    <row r="1420" spans="1:23" x14ac:dyDescent="0.4">
      <c r="A1420" t="s">
        <v>262</v>
      </c>
      <c r="B1420" t="s">
        <v>1704</v>
      </c>
      <c r="C1420" t="s">
        <v>1748</v>
      </c>
      <c r="D1420" t="s">
        <v>64</v>
      </c>
      <c r="E1420" t="s">
        <v>22</v>
      </c>
      <c r="F1420" t="s">
        <v>23</v>
      </c>
      <c r="G1420">
        <v>1</v>
      </c>
      <c r="H1420">
        <v>9791166069772</v>
      </c>
      <c r="I1420" t="s">
        <v>24</v>
      </c>
      <c r="J1420" t="s">
        <v>1441</v>
      </c>
      <c r="K1420" t="s">
        <v>1442</v>
      </c>
      <c r="L1420" t="s">
        <v>27</v>
      </c>
      <c r="M1420">
        <v>630</v>
      </c>
      <c r="N1420" t="s">
        <v>27</v>
      </c>
      <c r="O1420">
        <v>630</v>
      </c>
      <c r="P1420">
        <v>630</v>
      </c>
      <c r="Q1420" t="s">
        <v>30</v>
      </c>
      <c r="R1420" s="2">
        <v>0.7</v>
      </c>
      <c r="S1420">
        <v>441</v>
      </c>
      <c r="T1420" t="s">
        <v>27</v>
      </c>
      <c r="U1420">
        <v>441</v>
      </c>
      <c r="V1420" s="7" t="str">
        <f>IF(ISERROR(VLOOKUP(K1420,[1]작가별정산률!$R:$S,2,0)),"스토리위즈",VLOOKUP(K1420,[1]작가별정산률!$R:$S,2,0))</f>
        <v>스토리위즈</v>
      </c>
      <c r="W1420" s="7" t="str">
        <f>IF(V1420="스토리위즈",VLOOKUP(K1420,[1]작가별정산률!$A:$B,2,0),V1420)</f>
        <v>청빙</v>
      </c>
    </row>
    <row r="1421" spans="1:23" x14ac:dyDescent="0.4">
      <c r="A1421" t="s">
        <v>262</v>
      </c>
      <c r="B1421" t="s">
        <v>1704</v>
      </c>
      <c r="C1421" t="s">
        <v>1749</v>
      </c>
      <c r="D1421" t="s">
        <v>64</v>
      </c>
      <c r="E1421" t="s">
        <v>22</v>
      </c>
      <c r="F1421" t="s">
        <v>23</v>
      </c>
      <c r="G1421">
        <v>1</v>
      </c>
      <c r="H1421">
        <v>9791188630127</v>
      </c>
      <c r="I1421" t="s">
        <v>24</v>
      </c>
      <c r="J1421" t="s">
        <v>42</v>
      </c>
      <c r="K1421" t="s">
        <v>41</v>
      </c>
      <c r="L1421" t="s">
        <v>27</v>
      </c>
      <c r="M1421">
        <v>630</v>
      </c>
      <c r="N1421" t="s">
        <v>27</v>
      </c>
      <c r="O1421">
        <v>630</v>
      </c>
      <c r="P1421">
        <v>630</v>
      </c>
      <c r="Q1421" t="s">
        <v>30</v>
      </c>
      <c r="R1421" s="2">
        <v>0.7</v>
      </c>
      <c r="S1421">
        <v>441</v>
      </c>
      <c r="T1421" t="s">
        <v>27</v>
      </c>
      <c r="U1421">
        <v>441</v>
      </c>
      <c r="V1421" s="7" t="str">
        <f>IF(ISERROR(VLOOKUP(K1421,[1]작가별정산률!$R:$S,2,0)),"스토리위즈",VLOOKUP(K1421,[1]작가별정산률!$R:$S,2,0))</f>
        <v>스토리위즈</v>
      </c>
      <c r="W1421" s="7" t="str">
        <f>IF(V1421="스토리위즈",VLOOKUP(K1421,[1]작가별정산률!$A:$B,2,0),V1421)</f>
        <v>무장</v>
      </c>
    </row>
    <row r="1422" spans="1:23" x14ac:dyDescent="0.4">
      <c r="A1422" t="s">
        <v>262</v>
      </c>
      <c r="B1422" t="s">
        <v>1704</v>
      </c>
      <c r="C1422" t="s">
        <v>1750</v>
      </c>
      <c r="D1422" t="s">
        <v>64</v>
      </c>
      <c r="E1422" t="s">
        <v>22</v>
      </c>
      <c r="F1422" t="s">
        <v>23</v>
      </c>
      <c r="G1422">
        <v>1</v>
      </c>
      <c r="H1422">
        <v>9791166300479</v>
      </c>
      <c r="I1422" t="s">
        <v>24</v>
      </c>
      <c r="J1422" t="s">
        <v>145</v>
      </c>
      <c r="K1422" t="s">
        <v>119</v>
      </c>
      <c r="L1422" t="s">
        <v>27</v>
      </c>
      <c r="M1422">
        <v>630</v>
      </c>
      <c r="N1422" t="s">
        <v>27</v>
      </c>
      <c r="O1422">
        <v>630</v>
      </c>
      <c r="P1422">
        <v>630</v>
      </c>
      <c r="Q1422" t="s">
        <v>30</v>
      </c>
      <c r="R1422" s="2">
        <v>0.7</v>
      </c>
      <c r="S1422">
        <v>441</v>
      </c>
      <c r="T1422" t="s">
        <v>27</v>
      </c>
      <c r="U1422">
        <v>441</v>
      </c>
      <c r="V1422" s="7" t="str">
        <f>IF(ISERROR(VLOOKUP(K1422,[1]작가별정산률!$R:$S,2,0)),"스토리위즈",VLOOKUP(K1422,[1]작가별정산률!$R:$S,2,0))</f>
        <v>스토리위즈</v>
      </c>
      <c r="W1422" s="7" t="str">
        <f>IF(V1422="스토리위즈",VLOOKUP(K1422,[1]작가별정산률!$A:$B,2,0),V1422)</f>
        <v>김광수</v>
      </c>
    </row>
    <row r="1423" spans="1:23" x14ac:dyDescent="0.4">
      <c r="A1423" t="s">
        <v>262</v>
      </c>
      <c r="B1423" t="s">
        <v>1704</v>
      </c>
      <c r="C1423" t="s">
        <v>1751</v>
      </c>
      <c r="D1423" t="s">
        <v>21</v>
      </c>
      <c r="E1423" t="s">
        <v>22</v>
      </c>
      <c r="F1423" t="s">
        <v>23</v>
      </c>
      <c r="G1423">
        <v>1</v>
      </c>
      <c r="H1423">
        <v>9791191562163</v>
      </c>
      <c r="I1423" t="s">
        <v>143</v>
      </c>
      <c r="J1423" t="s">
        <v>214</v>
      </c>
      <c r="K1423" t="s">
        <v>215</v>
      </c>
      <c r="L1423" t="s">
        <v>27</v>
      </c>
      <c r="M1423" s="3">
        <v>2000</v>
      </c>
      <c r="N1423" t="s">
        <v>27</v>
      </c>
      <c r="O1423" s="3">
        <v>2000</v>
      </c>
      <c r="P1423" s="3">
        <v>2000</v>
      </c>
      <c r="Q1423" t="s">
        <v>30</v>
      </c>
      <c r="R1423" s="2">
        <v>0.7</v>
      </c>
      <c r="S1423" s="3">
        <v>1400</v>
      </c>
      <c r="T1423" t="s">
        <v>27</v>
      </c>
      <c r="U1423" s="3">
        <v>1400</v>
      </c>
      <c r="V1423" s="7" t="str">
        <f>IF(ISERROR(VLOOKUP(K1423,[1]작가별정산률!$R:$S,2,0)),"스토리위즈",VLOOKUP(K1423,[1]작가별정산률!$R:$S,2,0))</f>
        <v>밀리의 서재</v>
      </c>
      <c r="W1423" s="7" t="str">
        <f>IF(V1423="스토리위즈",VLOOKUP(K1423,[1]작가별정산률!$A:$B,2,0),V1423)</f>
        <v>밀리의 서재</v>
      </c>
    </row>
    <row r="1424" spans="1:23" x14ac:dyDescent="0.4">
      <c r="A1424" t="s">
        <v>262</v>
      </c>
      <c r="B1424" t="s">
        <v>1704</v>
      </c>
      <c r="C1424" t="s">
        <v>1752</v>
      </c>
      <c r="D1424" t="s">
        <v>64</v>
      </c>
      <c r="E1424" t="s">
        <v>22</v>
      </c>
      <c r="F1424" t="s">
        <v>23</v>
      </c>
      <c r="G1424">
        <v>1</v>
      </c>
      <c r="H1424">
        <v>9791159283246</v>
      </c>
      <c r="I1424" t="s">
        <v>24</v>
      </c>
      <c r="J1424" t="s">
        <v>67</v>
      </c>
      <c r="K1424" t="s">
        <v>37</v>
      </c>
      <c r="L1424" t="s">
        <v>27</v>
      </c>
      <c r="M1424">
        <v>630</v>
      </c>
      <c r="N1424" t="s">
        <v>27</v>
      </c>
      <c r="O1424">
        <v>630</v>
      </c>
      <c r="P1424">
        <v>630</v>
      </c>
      <c r="Q1424" t="s">
        <v>30</v>
      </c>
      <c r="R1424" s="2">
        <v>0.7</v>
      </c>
      <c r="S1424">
        <v>441</v>
      </c>
      <c r="T1424" t="s">
        <v>27</v>
      </c>
      <c r="U1424">
        <v>441</v>
      </c>
      <c r="V1424" s="7" t="str">
        <f>IF(ISERROR(VLOOKUP(K1424,[1]작가별정산률!$R:$S,2,0)),"스토리위즈",VLOOKUP(K1424,[1]작가별정산률!$R:$S,2,0))</f>
        <v>스토리위즈</v>
      </c>
      <c r="W1424" s="7" t="str">
        <f>IF(V1424="스토리위즈",VLOOKUP(K1424,[1]작가별정산률!$A:$B,2,0),V1424)</f>
        <v>권용찬</v>
      </c>
    </row>
    <row r="1425" spans="1:23" x14ac:dyDescent="0.4">
      <c r="A1425" t="s">
        <v>262</v>
      </c>
      <c r="B1425" t="s">
        <v>1704</v>
      </c>
      <c r="C1425" t="s">
        <v>1753</v>
      </c>
      <c r="D1425" t="s">
        <v>21</v>
      </c>
      <c r="E1425" t="s">
        <v>22</v>
      </c>
      <c r="F1425" t="s">
        <v>23</v>
      </c>
      <c r="G1425">
        <v>1</v>
      </c>
      <c r="H1425">
        <v>9791191562101</v>
      </c>
      <c r="I1425" t="s">
        <v>143</v>
      </c>
      <c r="J1425" t="s">
        <v>196</v>
      </c>
      <c r="K1425" t="s">
        <v>201</v>
      </c>
      <c r="L1425" t="s">
        <v>27</v>
      </c>
      <c r="M1425" s="3">
        <v>3000</v>
      </c>
      <c r="N1425" t="s">
        <v>27</v>
      </c>
      <c r="O1425" s="3">
        <v>3000</v>
      </c>
      <c r="P1425" s="3">
        <v>3000</v>
      </c>
      <c r="Q1425" t="s">
        <v>30</v>
      </c>
      <c r="R1425" s="2">
        <v>0.7</v>
      </c>
      <c r="S1425" s="3">
        <v>2100</v>
      </c>
      <c r="T1425" t="s">
        <v>27</v>
      </c>
      <c r="U1425" s="3">
        <v>2100</v>
      </c>
      <c r="V1425" s="7" t="str">
        <f>IF(ISERROR(VLOOKUP(K1425,[1]작가별정산률!$R:$S,2,0)),"스토리위즈",VLOOKUP(K1425,[1]작가별정산률!$R:$S,2,0))</f>
        <v>밀리의 서재</v>
      </c>
      <c r="W1425" s="7" t="str">
        <f>IF(V1425="스토리위즈",VLOOKUP(K1425,[1]작가별정산률!$A:$B,2,0),V1425)</f>
        <v>밀리의 서재</v>
      </c>
    </row>
    <row r="1426" spans="1:23" x14ac:dyDescent="0.4">
      <c r="A1426" t="s">
        <v>262</v>
      </c>
      <c r="B1426" t="s">
        <v>1704</v>
      </c>
      <c r="C1426" t="s">
        <v>1754</v>
      </c>
      <c r="D1426" t="s">
        <v>21</v>
      </c>
      <c r="E1426" t="s">
        <v>22</v>
      </c>
      <c r="F1426" t="s">
        <v>23</v>
      </c>
      <c r="G1426">
        <v>1</v>
      </c>
      <c r="H1426">
        <v>9791166300493</v>
      </c>
      <c r="I1426" t="s">
        <v>24</v>
      </c>
      <c r="J1426" t="s">
        <v>147</v>
      </c>
      <c r="K1426" t="s">
        <v>119</v>
      </c>
      <c r="L1426" t="s">
        <v>27</v>
      </c>
      <c r="M1426" s="3">
        <v>3200</v>
      </c>
      <c r="N1426" t="s">
        <v>27</v>
      </c>
      <c r="O1426" s="3">
        <v>3200</v>
      </c>
      <c r="P1426" s="3">
        <v>3200</v>
      </c>
      <c r="Q1426" t="s">
        <v>30</v>
      </c>
      <c r="R1426" s="2">
        <v>0.7</v>
      </c>
      <c r="S1426" s="3">
        <v>2240</v>
      </c>
      <c r="T1426" t="s">
        <v>27</v>
      </c>
      <c r="U1426" s="3">
        <v>2240</v>
      </c>
      <c r="V1426" s="7" t="str">
        <f>IF(ISERROR(VLOOKUP(K1426,[1]작가별정산률!$R:$S,2,0)),"스토리위즈",VLOOKUP(K1426,[1]작가별정산률!$R:$S,2,0))</f>
        <v>스토리위즈</v>
      </c>
      <c r="W1426" s="7" t="str">
        <f>IF(V1426="스토리위즈",VLOOKUP(K1426,[1]작가별정산률!$A:$B,2,0),V1426)</f>
        <v>김광수</v>
      </c>
    </row>
    <row r="1427" spans="1:23" x14ac:dyDescent="0.4">
      <c r="A1427" t="s">
        <v>262</v>
      </c>
      <c r="B1427" t="s">
        <v>1704</v>
      </c>
      <c r="C1427" t="s">
        <v>1755</v>
      </c>
      <c r="D1427" t="s">
        <v>21</v>
      </c>
      <c r="E1427" t="s">
        <v>22</v>
      </c>
      <c r="F1427" t="s">
        <v>23</v>
      </c>
      <c r="G1427">
        <v>1</v>
      </c>
      <c r="H1427">
        <v>9791191562286</v>
      </c>
      <c r="I1427" t="s">
        <v>143</v>
      </c>
      <c r="J1427" t="s">
        <v>238</v>
      </c>
      <c r="K1427" t="s">
        <v>239</v>
      </c>
      <c r="L1427" t="s">
        <v>27</v>
      </c>
      <c r="M1427" s="3">
        <v>2000</v>
      </c>
      <c r="N1427" t="s">
        <v>27</v>
      </c>
      <c r="O1427" s="3">
        <v>2000</v>
      </c>
      <c r="P1427" s="3">
        <v>2000</v>
      </c>
      <c r="Q1427" t="s">
        <v>30</v>
      </c>
      <c r="R1427" s="2">
        <v>0.7</v>
      </c>
      <c r="S1427" s="3">
        <v>1400</v>
      </c>
      <c r="T1427" t="s">
        <v>27</v>
      </c>
      <c r="U1427" s="3">
        <v>1400</v>
      </c>
      <c r="V1427" s="7" t="str">
        <f>IF(ISERROR(VLOOKUP(K1427,[1]작가별정산률!$R:$S,2,0)),"스토리위즈",VLOOKUP(K1427,[1]작가별정산률!$R:$S,2,0))</f>
        <v>밀리의 서재</v>
      </c>
      <c r="W1427" s="7" t="str">
        <f>IF(V1427="스토리위즈",VLOOKUP(K1427,[1]작가별정산률!$A:$B,2,0),V1427)</f>
        <v>밀리의 서재</v>
      </c>
    </row>
    <row r="1428" spans="1:23" x14ac:dyDescent="0.4">
      <c r="A1428" t="s">
        <v>262</v>
      </c>
      <c r="B1428" t="s">
        <v>1704</v>
      </c>
      <c r="C1428" t="s">
        <v>1756</v>
      </c>
      <c r="D1428" t="s">
        <v>21</v>
      </c>
      <c r="E1428" t="s">
        <v>22</v>
      </c>
      <c r="F1428" t="s">
        <v>23</v>
      </c>
      <c r="G1428">
        <v>1</v>
      </c>
      <c r="H1428">
        <v>9791166300509</v>
      </c>
      <c r="I1428" t="s">
        <v>24</v>
      </c>
      <c r="J1428" t="s">
        <v>148</v>
      </c>
      <c r="K1428" t="s">
        <v>119</v>
      </c>
      <c r="L1428" t="s">
        <v>27</v>
      </c>
      <c r="M1428" s="3">
        <v>3200</v>
      </c>
      <c r="N1428" t="s">
        <v>27</v>
      </c>
      <c r="O1428" s="3">
        <v>3200</v>
      </c>
      <c r="P1428" s="3">
        <v>3200</v>
      </c>
      <c r="Q1428" t="s">
        <v>30</v>
      </c>
      <c r="R1428" s="2">
        <v>0.7</v>
      </c>
      <c r="S1428" s="3">
        <v>2240</v>
      </c>
      <c r="T1428" t="s">
        <v>27</v>
      </c>
      <c r="U1428" s="3">
        <v>2240</v>
      </c>
      <c r="V1428" s="7" t="str">
        <f>IF(ISERROR(VLOOKUP(K1428,[1]작가별정산률!$R:$S,2,0)),"스토리위즈",VLOOKUP(K1428,[1]작가별정산률!$R:$S,2,0))</f>
        <v>스토리위즈</v>
      </c>
      <c r="W1428" s="7" t="str">
        <f>IF(V1428="스토리위즈",VLOOKUP(K1428,[1]작가별정산률!$A:$B,2,0),V1428)</f>
        <v>김광수</v>
      </c>
    </row>
    <row r="1429" spans="1:23" x14ac:dyDescent="0.4">
      <c r="A1429" t="s">
        <v>262</v>
      </c>
      <c r="B1429" t="s">
        <v>1704</v>
      </c>
      <c r="C1429" t="s">
        <v>1757</v>
      </c>
      <c r="D1429" t="s">
        <v>21</v>
      </c>
      <c r="E1429" t="s">
        <v>22</v>
      </c>
      <c r="F1429" t="s">
        <v>23</v>
      </c>
      <c r="G1429">
        <v>1</v>
      </c>
      <c r="H1429">
        <v>9791166300486</v>
      </c>
      <c r="I1429" t="s">
        <v>24</v>
      </c>
      <c r="J1429" t="s">
        <v>146</v>
      </c>
      <c r="K1429" t="s">
        <v>119</v>
      </c>
      <c r="L1429" t="s">
        <v>27</v>
      </c>
      <c r="M1429" s="3">
        <v>3200</v>
      </c>
      <c r="N1429" t="s">
        <v>27</v>
      </c>
      <c r="O1429" s="3">
        <v>3200</v>
      </c>
      <c r="P1429" s="3">
        <v>3200</v>
      </c>
      <c r="Q1429" t="s">
        <v>30</v>
      </c>
      <c r="R1429" s="2">
        <v>0.7</v>
      </c>
      <c r="S1429" s="3">
        <v>2240</v>
      </c>
      <c r="T1429" t="s">
        <v>27</v>
      </c>
      <c r="U1429" s="3">
        <v>2240</v>
      </c>
      <c r="V1429" s="7" t="str">
        <f>IF(ISERROR(VLOOKUP(K1429,[1]작가별정산률!$R:$S,2,0)),"스토리위즈",VLOOKUP(K1429,[1]작가별정산률!$R:$S,2,0))</f>
        <v>스토리위즈</v>
      </c>
      <c r="W1429" s="7" t="str">
        <f>IF(V1429="스토리위즈",VLOOKUP(K1429,[1]작가별정산률!$A:$B,2,0),V1429)</f>
        <v>김광수</v>
      </c>
    </row>
    <row r="1430" spans="1:23" x14ac:dyDescent="0.4">
      <c r="A1430" t="s">
        <v>262</v>
      </c>
      <c r="B1430" t="s">
        <v>1704</v>
      </c>
      <c r="C1430" t="s">
        <v>1758</v>
      </c>
      <c r="D1430" t="s">
        <v>21</v>
      </c>
      <c r="E1430" t="s">
        <v>22</v>
      </c>
      <c r="F1430" t="s">
        <v>23</v>
      </c>
      <c r="G1430">
        <v>1</v>
      </c>
      <c r="H1430">
        <v>9791191562439</v>
      </c>
      <c r="I1430" t="s">
        <v>143</v>
      </c>
      <c r="J1430" t="s">
        <v>1661</v>
      </c>
      <c r="K1430" t="s">
        <v>188</v>
      </c>
      <c r="L1430" t="s">
        <v>27</v>
      </c>
      <c r="M1430" s="3">
        <v>2500</v>
      </c>
      <c r="N1430" t="s">
        <v>27</v>
      </c>
      <c r="O1430" s="3">
        <v>2500</v>
      </c>
      <c r="P1430" s="3">
        <v>2500</v>
      </c>
      <c r="Q1430" t="s">
        <v>30</v>
      </c>
      <c r="R1430" s="2">
        <v>0.7</v>
      </c>
      <c r="S1430" s="3">
        <v>1750</v>
      </c>
      <c r="T1430" t="s">
        <v>27</v>
      </c>
      <c r="U1430" s="3">
        <v>1750</v>
      </c>
      <c r="V1430" s="7" t="str">
        <f>IF(ISERROR(VLOOKUP(K1430,[1]작가별정산률!$R:$S,2,0)),"스토리위즈",VLOOKUP(K1430,[1]작가별정산률!$R:$S,2,0))</f>
        <v>밀리의 서재</v>
      </c>
      <c r="W1430" s="7" t="str">
        <f>IF(V1430="스토리위즈",VLOOKUP(K1430,[1]작가별정산률!$A:$B,2,0),V1430)</f>
        <v>밀리의 서재</v>
      </c>
    </row>
    <row r="1431" spans="1:23" x14ac:dyDescent="0.4">
      <c r="A1431" t="s">
        <v>262</v>
      </c>
      <c r="B1431" t="s">
        <v>1704</v>
      </c>
      <c r="C1431" t="s">
        <v>1759</v>
      </c>
      <c r="D1431" t="s">
        <v>64</v>
      </c>
      <c r="E1431" t="s">
        <v>22</v>
      </c>
      <c r="F1431" t="s">
        <v>23</v>
      </c>
      <c r="G1431">
        <v>1</v>
      </c>
      <c r="H1431">
        <v>9791166061158</v>
      </c>
      <c r="I1431" t="s">
        <v>24</v>
      </c>
      <c r="J1431" t="s">
        <v>101</v>
      </c>
      <c r="K1431" t="s">
        <v>37</v>
      </c>
      <c r="L1431" t="s">
        <v>27</v>
      </c>
      <c r="M1431">
        <v>900</v>
      </c>
      <c r="N1431" t="s">
        <v>27</v>
      </c>
      <c r="O1431">
        <v>900</v>
      </c>
      <c r="P1431">
        <v>900</v>
      </c>
      <c r="Q1431" t="s">
        <v>30</v>
      </c>
      <c r="R1431" s="2">
        <v>0.7</v>
      </c>
      <c r="S1431">
        <v>630</v>
      </c>
      <c r="T1431" t="s">
        <v>27</v>
      </c>
      <c r="U1431">
        <v>630</v>
      </c>
      <c r="V1431" s="7" t="str">
        <f>IF(ISERROR(VLOOKUP(K1431,[1]작가별정산률!$R:$S,2,0)),"스토리위즈",VLOOKUP(K1431,[1]작가별정산률!$R:$S,2,0))</f>
        <v>스토리위즈</v>
      </c>
      <c r="W1431" s="7" t="str">
        <f>IF(V1431="스토리위즈",VLOOKUP(K1431,[1]작가별정산률!$A:$B,2,0),V1431)</f>
        <v>권용찬</v>
      </c>
    </row>
    <row r="1432" spans="1:23" x14ac:dyDescent="0.4">
      <c r="A1432" t="s">
        <v>262</v>
      </c>
      <c r="B1432" t="s">
        <v>1704</v>
      </c>
      <c r="C1432" t="s">
        <v>1760</v>
      </c>
      <c r="D1432" t="s">
        <v>64</v>
      </c>
      <c r="E1432" t="s">
        <v>22</v>
      </c>
      <c r="F1432" t="s">
        <v>23</v>
      </c>
      <c r="G1432">
        <v>1</v>
      </c>
      <c r="H1432">
        <v>9791166300516</v>
      </c>
      <c r="I1432" t="s">
        <v>24</v>
      </c>
      <c r="J1432" t="s">
        <v>149</v>
      </c>
      <c r="K1432" t="s">
        <v>119</v>
      </c>
      <c r="L1432" t="s">
        <v>27</v>
      </c>
      <c r="M1432">
        <v>630</v>
      </c>
      <c r="N1432" t="s">
        <v>27</v>
      </c>
      <c r="O1432">
        <v>630</v>
      </c>
      <c r="P1432">
        <v>630</v>
      </c>
      <c r="Q1432" t="s">
        <v>30</v>
      </c>
      <c r="R1432" s="2">
        <v>0.7</v>
      </c>
      <c r="S1432">
        <v>441</v>
      </c>
      <c r="T1432" t="s">
        <v>27</v>
      </c>
      <c r="U1432">
        <v>441</v>
      </c>
      <c r="V1432" s="7" t="str">
        <f>IF(ISERROR(VLOOKUP(K1432,[1]작가별정산률!$R:$S,2,0)),"스토리위즈",VLOOKUP(K1432,[1]작가별정산률!$R:$S,2,0))</f>
        <v>스토리위즈</v>
      </c>
      <c r="W1432" s="7" t="str">
        <f>IF(V1432="스토리위즈",VLOOKUP(K1432,[1]작가별정산률!$A:$B,2,0),V1432)</f>
        <v>김광수</v>
      </c>
    </row>
    <row r="1433" spans="1:23" x14ac:dyDescent="0.4">
      <c r="A1433" t="s">
        <v>262</v>
      </c>
      <c r="B1433" t="s">
        <v>1704</v>
      </c>
      <c r="C1433" t="s">
        <v>1761</v>
      </c>
      <c r="D1433" t="s">
        <v>64</v>
      </c>
      <c r="E1433" t="s">
        <v>22</v>
      </c>
      <c r="F1433" t="s">
        <v>23</v>
      </c>
      <c r="G1433">
        <v>1</v>
      </c>
      <c r="H1433">
        <v>9791159282904</v>
      </c>
      <c r="I1433" t="s">
        <v>24</v>
      </c>
      <c r="J1433" t="s">
        <v>38</v>
      </c>
      <c r="K1433" t="s">
        <v>26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  <c r="V1433" s="7" t="str">
        <f>IF(ISERROR(VLOOKUP(K1433,[1]작가별정산률!$R:$S,2,0)),"스토리위즈",VLOOKUP(K1433,[1]작가별정산률!$R:$S,2,0))</f>
        <v>스토리위즈</v>
      </c>
      <c r="W1433" s="7" t="str">
        <f>IF(V1433="스토리위즈",VLOOKUP(K1433,[1]작가별정산률!$A:$B,2,0),V1433)</f>
        <v>독고진</v>
      </c>
    </row>
    <row r="1434" spans="1:23" x14ac:dyDescent="0.4">
      <c r="A1434" t="s">
        <v>262</v>
      </c>
      <c r="B1434" t="s">
        <v>1704</v>
      </c>
      <c r="C1434" t="s">
        <v>1762</v>
      </c>
      <c r="D1434" t="s">
        <v>64</v>
      </c>
      <c r="E1434" t="s">
        <v>22</v>
      </c>
      <c r="F1434" t="s">
        <v>23</v>
      </c>
      <c r="G1434">
        <v>1</v>
      </c>
      <c r="H1434">
        <v>9791188630240</v>
      </c>
      <c r="I1434" t="s">
        <v>24</v>
      </c>
      <c r="J1434" t="s">
        <v>195</v>
      </c>
      <c r="K1434" t="s">
        <v>41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2">
        <v>0.7</v>
      </c>
      <c r="S1434">
        <v>441</v>
      </c>
      <c r="T1434" t="s">
        <v>27</v>
      </c>
      <c r="U1434">
        <v>441</v>
      </c>
      <c r="V1434" s="7" t="str">
        <f>IF(ISERROR(VLOOKUP(K1434,[1]작가별정산률!$R:$S,2,0)),"스토리위즈",VLOOKUP(K1434,[1]작가별정산률!$R:$S,2,0))</f>
        <v>스토리위즈</v>
      </c>
      <c r="W1434" s="7" t="str">
        <f>IF(V1434="스토리위즈",VLOOKUP(K1434,[1]작가별정산률!$A:$B,2,0),V1434)</f>
        <v>무장</v>
      </c>
    </row>
    <row r="1435" spans="1:23" x14ac:dyDescent="0.4">
      <c r="A1435" t="s">
        <v>262</v>
      </c>
      <c r="B1435" t="s">
        <v>1704</v>
      </c>
      <c r="C1435" t="s">
        <v>1763</v>
      </c>
      <c r="D1435" t="s">
        <v>21</v>
      </c>
      <c r="E1435" t="s">
        <v>22</v>
      </c>
      <c r="F1435" t="s">
        <v>23</v>
      </c>
      <c r="G1435">
        <v>1</v>
      </c>
      <c r="H1435">
        <v>9791191562248</v>
      </c>
      <c r="I1435" t="s">
        <v>143</v>
      </c>
      <c r="J1435" t="s">
        <v>231</v>
      </c>
      <c r="K1435" t="s">
        <v>232</v>
      </c>
      <c r="L1435" t="s">
        <v>27</v>
      </c>
      <c r="M1435" s="3">
        <v>2000</v>
      </c>
      <c r="N1435" t="s">
        <v>176</v>
      </c>
      <c r="O1435">
        <v>222</v>
      </c>
      <c r="P1435">
        <v>202</v>
      </c>
      <c r="Q1435" t="s">
        <v>177</v>
      </c>
      <c r="R1435" s="2">
        <v>0.7</v>
      </c>
      <c r="S1435">
        <v>141</v>
      </c>
      <c r="T1435" t="s">
        <v>27</v>
      </c>
      <c r="U1435" s="3">
        <v>1398</v>
      </c>
      <c r="V1435" s="7" t="str">
        <f>IF(ISERROR(VLOOKUP(K1435,[1]작가별정산률!$R:$S,2,0)),"스토리위즈",VLOOKUP(K1435,[1]작가별정산률!$R:$S,2,0))</f>
        <v>밀리의 서재</v>
      </c>
      <c r="W1435" s="7" t="str">
        <f>IF(V1435="스토리위즈",VLOOKUP(K1435,[1]작가별정산률!$A:$B,2,0),V1435)</f>
        <v>밀리의 서재</v>
      </c>
    </row>
    <row r="1436" spans="1:23" x14ac:dyDescent="0.4">
      <c r="A1436" t="s">
        <v>262</v>
      </c>
      <c r="B1436" t="s">
        <v>1704</v>
      </c>
      <c r="C1436" t="s">
        <v>1764</v>
      </c>
      <c r="D1436" t="s">
        <v>64</v>
      </c>
      <c r="E1436" t="s">
        <v>22</v>
      </c>
      <c r="F1436" t="s">
        <v>23</v>
      </c>
      <c r="G1436">
        <v>1</v>
      </c>
      <c r="H1436">
        <v>9791166300158</v>
      </c>
      <c r="I1436" t="s">
        <v>24</v>
      </c>
      <c r="J1436" t="s">
        <v>125</v>
      </c>
      <c r="K1436" t="s">
        <v>119</v>
      </c>
      <c r="L1436" t="s">
        <v>27</v>
      </c>
      <c r="M1436">
        <v>630</v>
      </c>
      <c r="N1436" t="s">
        <v>27</v>
      </c>
      <c r="O1436">
        <v>630</v>
      </c>
      <c r="P1436">
        <v>630</v>
      </c>
      <c r="Q1436" t="s">
        <v>30</v>
      </c>
      <c r="R1436" s="2">
        <v>0.7</v>
      </c>
      <c r="S1436">
        <v>441</v>
      </c>
      <c r="T1436" t="s">
        <v>27</v>
      </c>
      <c r="U1436">
        <v>441</v>
      </c>
      <c r="V1436" s="7" t="str">
        <f>IF(ISERROR(VLOOKUP(K1436,[1]작가별정산률!$R:$S,2,0)),"스토리위즈",VLOOKUP(K1436,[1]작가별정산률!$R:$S,2,0))</f>
        <v>스토리위즈</v>
      </c>
      <c r="W1436" s="7" t="str">
        <f>IF(V1436="스토리위즈",VLOOKUP(K1436,[1]작가별정산률!$A:$B,2,0),V1436)</f>
        <v>김광수</v>
      </c>
    </row>
    <row r="1437" spans="1:23" x14ac:dyDescent="0.4">
      <c r="A1437" t="s">
        <v>262</v>
      </c>
      <c r="B1437" t="s">
        <v>1704</v>
      </c>
      <c r="C1437" t="s">
        <v>1765</v>
      </c>
      <c r="D1437" t="s">
        <v>64</v>
      </c>
      <c r="E1437" t="s">
        <v>22</v>
      </c>
      <c r="F1437" t="s">
        <v>23</v>
      </c>
      <c r="G1437">
        <v>1</v>
      </c>
      <c r="H1437">
        <v>9791166300103</v>
      </c>
      <c r="I1437" t="s">
        <v>24</v>
      </c>
      <c r="J1437" t="s">
        <v>120</v>
      </c>
      <c r="K1437" t="s">
        <v>119</v>
      </c>
      <c r="L1437" t="s">
        <v>27</v>
      </c>
      <c r="M1437">
        <v>630</v>
      </c>
      <c r="N1437" t="s">
        <v>27</v>
      </c>
      <c r="O1437">
        <v>630</v>
      </c>
      <c r="P1437">
        <v>630</v>
      </c>
      <c r="Q1437" t="s">
        <v>30</v>
      </c>
      <c r="R1437" s="2">
        <v>0.7</v>
      </c>
      <c r="S1437">
        <v>441</v>
      </c>
      <c r="T1437" t="s">
        <v>27</v>
      </c>
      <c r="U1437">
        <v>441</v>
      </c>
      <c r="V1437" s="7" t="str">
        <f>IF(ISERROR(VLOOKUP(K1437,[1]작가별정산률!$R:$S,2,0)),"스토리위즈",VLOOKUP(K1437,[1]작가별정산률!$R:$S,2,0))</f>
        <v>스토리위즈</v>
      </c>
      <c r="W1437" s="7" t="str">
        <f>IF(V1437="스토리위즈",VLOOKUP(K1437,[1]작가별정산률!$A:$B,2,0),V1437)</f>
        <v>김광수</v>
      </c>
    </row>
    <row r="1438" spans="1:23" x14ac:dyDescent="0.4">
      <c r="A1438" t="s">
        <v>262</v>
      </c>
      <c r="B1438" t="s">
        <v>1766</v>
      </c>
      <c r="C1438" t="s">
        <v>1767</v>
      </c>
      <c r="D1438" t="s">
        <v>64</v>
      </c>
      <c r="E1438" t="s">
        <v>22</v>
      </c>
      <c r="F1438" t="s">
        <v>23</v>
      </c>
      <c r="G1438">
        <v>1</v>
      </c>
      <c r="H1438">
        <v>9791166061110</v>
      </c>
      <c r="I1438" t="s">
        <v>24</v>
      </c>
      <c r="J1438" t="s">
        <v>97</v>
      </c>
      <c r="K1438" t="s">
        <v>37</v>
      </c>
      <c r="L1438" t="s">
        <v>27</v>
      </c>
      <c r="M1438">
        <v>900</v>
      </c>
      <c r="N1438" t="s">
        <v>27</v>
      </c>
      <c r="O1438">
        <v>900</v>
      </c>
      <c r="P1438">
        <v>900</v>
      </c>
      <c r="Q1438" t="s">
        <v>30</v>
      </c>
      <c r="R1438" s="2">
        <v>0.7</v>
      </c>
      <c r="S1438">
        <v>630</v>
      </c>
      <c r="T1438" t="s">
        <v>27</v>
      </c>
      <c r="U1438">
        <v>630</v>
      </c>
      <c r="V1438" s="7" t="str">
        <f>IF(ISERROR(VLOOKUP(K1438,[1]작가별정산률!$R:$S,2,0)),"스토리위즈",VLOOKUP(K1438,[1]작가별정산률!$R:$S,2,0))</f>
        <v>스토리위즈</v>
      </c>
      <c r="W1438" s="7" t="str">
        <f>IF(V1438="스토리위즈",VLOOKUP(K1438,[1]작가별정산률!$A:$B,2,0),V1438)</f>
        <v>권용찬</v>
      </c>
    </row>
    <row r="1439" spans="1:23" x14ac:dyDescent="0.4">
      <c r="A1439" t="s">
        <v>262</v>
      </c>
      <c r="B1439" t="s">
        <v>1766</v>
      </c>
      <c r="C1439" t="s">
        <v>1768</v>
      </c>
      <c r="D1439" t="s">
        <v>21</v>
      </c>
      <c r="E1439" t="s">
        <v>22</v>
      </c>
      <c r="F1439" t="s">
        <v>23</v>
      </c>
      <c r="G1439">
        <v>1</v>
      </c>
      <c r="H1439">
        <v>9791191562286</v>
      </c>
      <c r="I1439" t="s">
        <v>143</v>
      </c>
      <c r="J1439" t="s">
        <v>238</v>
      </c>
      <c r="K1439" t="s">
        <v>239</v>
      </c>
      <c r="L1439" t="s">
        <v>27</v>
      </c>
      <c r="M1439" s="3">
        <v>2000</v>
      </c>
      <c r="N1439" t="s">
        <v>27</v>
      </c>
      <c r="O1439" s="3">
        <v>2000</v>
      </c>
      <c r="P1439" s="3">
        <v>2000</v>
      </c>
      <c r="Q1439" t="s">
        <v>30</v>
      </c>
      <c r="R1439" s="2">
        <v>0.7</v>
      </c>
      <c r="S1439" s="3">
        <v>1400</v>
      </c>
      <c r="T1439" t="s">
        <v>27</v>
      </c>
      <c r="U1439" s="3">
        <v>1400</v>
      </c>
      <c r="V1439" s="7" t="str">
        <f>IF(ISERROR(VLOOKUP(K1439,[1]작가별정산률!$R:$S,2,0)),"스토리위즈",VLOOKUP(K1439,[1]작가별정산률!$R:$S,2,0))</f>
        <v>밀리의 서재</v>
      </c>
      <c r="W1439" s="7" t="str">
        <f>IF(V1439="스토리위즈",VLOOKUP(K1439,[1]작가별정산률!$A:$B,2,0),V1439)</f>
        <v>밀리의 서재</v>
      </c>
    </row>
    <row r="1440" spans="1:23" x14ac:dyDescent="0.4">
      <c r="A1440" t="s">
        <v>262</v>
      </c>
      <c r="B1440" t="s">
        <v>1766</v>
      </c>
      <c r="C1440" t="s">
        <v>1769</v>
      </c>
      <c r="D1440" t="s">
        <v>64</v>
      </c>
      <c r="E1440" t="s">
        <v>22</v>
      </c>
      <c r="F1440" t="s">
        <v>23</v>
      </c>
      <c r="G1440">
        <v>1</v>
      </c>
      <c r="H1440">
        <v>9791159282898</v>
      </c>
      <c r="I1440" t="s">
        <v>24</v>
      </c>
      <c r="J1440" t="s">
        <v>35</v>
      </c>
      <c r="K1440" t="s">
        <v>26</v>
      </c>
      <c r="L1440" t="s">
        <v>27</v>
      </c>
      <c r="M1440">
        <v>630</v>
      </c>
      <c r="N1440" t="s">
        <v>27</v>
      </c>
      <c r="O1440">
        <v>630</v>
      </c>
      <c r="P1440">
        <v>630</v>
      </c>
      <c r="Q1440" t="s">
        <v>30</v>
      </c>
      <c r="R1440" s="2">
        <v>0.7</v>
      </c>
      <c r="S1440">
        <v>441</v>
      </c>
      <c r="T1440" t="s">
        <v>27</v>
      </c>
      <c r="U1440">
        <v>441</v>
      </c>
      <c r="V1440" s="7" t="str">
        <f>IF(ISERROR(VLOOKUP(K1440,[1]작가별정산률!$R:$S,2,0)),"스토리위즈",VLOOKUP(K1440,[1]작가별정산률!$R:$S,2,0))</f>
        <v>스토리위즈</v>
      </c>
      <c r="W1440" s="7" t="str">
        <f>IF(V1440="스토리위즈",VLOOKUP(K1440,[1]작가별정산률!$A:$B,2,0),V1440)</f>
        <v>독고진</v>
      </c>
    </row>
    <row r="1441" spans="1:23" x14ac:dyDescent="0.4">
      <c r="A1441" t="s">
        <v>262</v>
      </c>
      <c r="B1441" t="s">
        <v>1766</v>
      </c>
      <c r="C1441" t="s">
        <v>1770</v>
      </c>
      <c r="D1441" t="s">
        <v>64</v>
      </c>
      <c r="E1441" t="s">
        <v>22</v>
      </c>
      <c r="F1441" t="s">
        <v>23</v>
      </c>
      <c r="G1441">
        <v>1</v>
      </c>
      <c r="H1441">
        <v>9791188630134</v>
      </c>
      <c r="I1441" t="s">
        <v>24</v>
      </c>
      <c r="J1441" t="s">
        <v>203</v>
      </c>
      <c r="K1441" t="s">
        <v>41</v>
      </c>
      <c r="L1441" t="s">
        <v>27</v>
      </c>
      <c r="M1441">
        <v>630</v>
      </c>
      <c r="N1441" t="s">
        <v>27</v>
      </c>
      <c r="O1441">
        <v>630</v>
      </c>
      <c r="P1441">
        <v>630</v>
      </c>
      <c r="Q1441" t="s">
        <v>30</v>
      </c>
      <c r="R1441" s="2">
        <v>0.7</v>
      </c>
      <c r="S1441">
        <v>441</v>
      </c>
      <c r="T1441" t="s">
        <v>27</v>
      </c>
      <c r="U1441">
        <v>441</v>
      </c>
      <c r="V1441" s="7" t="str">
        <f>IF(ISERROR(VLOOKUP(K1441,[1]작가별정산률!$R:$S,2,0)),"스토리위즈",VLOOKUP(K1441,[1]작가별정산률!$R:$S,2,0))</f>
        <v>스토리위즈</v>
      </c>
      <c r="W1441" s="7" t="str">
        <f>IF(V1441="스토리위즈",VLOOKUP(K1441,[1]작가별정산률!$A:$B,2,0),V1441)</f>
        <v>무장</v>
      </c>
    </row>
    <row r="1442" spans="1:23" x14ac:dyDescent="0.4">
      <c r="A1442" t="s">
        <v>262</v>
      </c>
      <c r="B1442" t="s">
        <v>1766</v>
      </c>
      <c r="C1442" t="s">
        <v>1771</v>
      </c>
      <c r="D1442" t="s">
        <v>21</v>
      </c>
      <c r="E1442" t="s">
        <v>22</v>
      </c>
      <c r="F1442" t="s">
        <v>23</v>
      </c>
      <c r="G1442">
        <v>1</v>
      </c>
      <c r="H1442">
        <v>9791189084615</v>
      </c>
      <c r="I1442" t="s">
        <v>143</v>
      </c>
      <c r="J1442" t="s">
        <v>1772</v>
      </c>
      <c r="K1442" t="s">
        <v>1773</v>
      </c>
      <c r="L1442" t="s">
        <v>27</v>
      </c>
      <c r="M1442" s="3">
        <v>3300</v>
      </c>
      <c r="N1442" t="s">
        <v>27</v>
      </c>
      <c r="O1442" s="3">
        <v>3300</v>
      </c>
      <c r="P1442" s="3">
        <v>3300</v>
      </c>
      <c r="Q1442" t="s">
        <v>30</v>
      </c>
      <c r="R1442" s="2">
        <v>0.7</v>
      </c>
      <c r="S1442" s="3">
        <v>2310</v>
      </c>
      <c r="T1442" t="s">
        <v>27</v>
      </c>
      <c r="U1442" s="3">
        <v>2310</v>
      </c>
      <c r="V1442" s="7" t="str">
        <f>IF(ISERROR(VLOOKUP(K1442,[1]작가별정산률!$R:$S,2,0)),"스토리위즈",VLOOKUP(K1442,[1]작가별정산률!$R:$S,2,0))</f>
        <v>스토리위즈</v>
      </c>
      <c r="W1442" s="7" t="str">
        <f>IF(V1442="스토리위즈",VLOOKUP(K1442,[1]작가별정산률!$A:$B,2,0),V1442)</f>
        <v>세어</v>
      </c>
    </row>
    <row r="1443" spans="1:23" x14ac:dyDescent="0.4">
      <c r="A1443" t="s">
        <v>262</v>
      </c>
      <c r="B1443" t="s">
        <v>1766</v>
      </c>
      <c r="C1443" t="s">
        <v>1774</v>
      </c>
      <c r="D1443" t="s">
        <v>64</v>
      </c>
      <c r="E1443" t="s">
        <v>22</v>
      </c>
      <c r="F1443" t="s">
        <v>23</v>
      </c>
      <c r="G1443">
        <v>1</v>
      </c>
      <c r="H1443">
        <v>9791166300554</v>
      </c>
      <c r="I1443" t="s">
        <v>24</v>
      </c>
      <c r="J1443" t="s">
        <v>154</v>
      </c>
      <c r="K1443" t="s">
        <v>119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2">
        <v>0.7</v>
      </c>
      <c r="S1443">
        <v>441</v>
      </c>
      <c r="T1443" t="s">
        <v>27</v>
      </c>
      <c r="U1443">
        <v>441</v>
      </c>
      <c r="V1443" s="7" t="str">
        <f>IF(ISERROR(VLOOKUP(K1443,[1]작가별정산률!$R:$S,2,0)),"스토리위즈",VLOOKUP(K1443,[1]작가별정산률!$R:$S,2,0))</f>
        <v>스토리위즈</v>
      </c>
      <c r="W1443" s="7" t="str">
        <f>IF(V1443="스토리위즈",VLOOKUP(K1443,[1]작가별정산률!$A:$B,2,0),V1443)</f>
        <v>김광수</v>
      </c>
    </row>
    <row r="1444" spans="1:23" x14ac:dyDescent="0.4">
      <c r="A1444" t="s">
        <v>262</v>
      </c>
      <c r="B1444" t="s">
        <v>1766</v>
      </c>
      <c r="C1444" t="s">
        <v>1775</v>
      </c>
      <c r="D1444" t="s">
        <v>64</v>
      </c>
      <c r="E1444" t="s">
        <v>22</v>
      </c>
      <c r="F1444" t="s">
        <v>23</v>
      </c>
      <c r="G1444">
        <v>1</v>
      </c>
      <c r="H1444">
        <v>9791166300233</v>
      </c>
      <c r="I1444" t="s">
        <v>24</v>
      </c>
      <c r="J1444" t="s">
        <v>132</v>
      </c>
      <c r="K1444" t="s">
        <v>119</v>
      </c>
      <c r="L1444" t="s">
        <v>27</v>
      </c>
      <c r="M1444">
        <v>630</v>
      </c>
      <c r="N1444" t="s">
        <v>27</v>
      </c>
      <c r="O1444">
        <v>630</v>
      </c>
      <c r="P1444">
        <v>630</v>
      </c>
      <c r="Q1444" t="s">
        <v>30</v>
      </c>
      <c r="R1444" s="2">
        <v>0.7</v>
      </c>
      <c r="S1444">
        <v>441</v>
      </c>
      <c r="T1444" t="s">
        <v>27</v>
      </c>
      <c r="U1444">
        <v>441</v>
      </c>
      <c r="V1444" s="7" t="str">
        <f>IF(ISERROR(VLOOKUP(K1444,[1]작가별정산률!$R:$S,2,0)),"스토리위즈",VLOOKUP(K1444,[1]작가별정산률!$R:$S,2,0))</f>
        <v>스토리위즈</v>
      </c>
      <c r="W1444" s="7" t="str">
        <f>IF(V1444="스토리위즈",VLOOKUP(K1444,[1]작가별정산률!$A:$B,2,0),V1444)</f>
        <v>김광수</v>
      </c>
    </row>
    <row r="1445" spans="1:23" x14ac:dyDescent="0.4">
      <c r="A1445" t="s">
        <v>262</v>
      </c>
      <c r="B1445" t="s">
        <v>1766</v>
      </c>
      <c r="C1445" t="s">
        <v>1776</v>
      </c>
      <c r="D1445" t="s">
        <v>21</v>
      </c>
      <c r="E1445" t="s">
        <v>22</v>
      </c>
      <c r="F1445" t="s">
        <v>23</v>
      </c>
      <c r="G1445">
        <v>1</v>
      </c>
      <c r="H1445">
        <v>9791159289583</v>
      </c>
      <c r="I1445" t="s">
        <v>24</v>
      </c>
      <c r="J1445" t="s">
        <v>141</v>
      </c>
      <c r="K1445" t="s">
        <v>140</v>
      </c>
      <c r="L1445" t="s">
        <v>27</v>
      </c>
      <c r="M1445" s="3">
        <v>3200</v>
      </c>
      <c r="N1445" t="s">
        <v>27</v>
      </c>
      <c r="O1445" s="3">
        <v>3200</v>
      </c>
      <c r="P1445" s="3">
        <v>3200</v>
      </c>
      <c r="Q1445" t="s">
        <v>30</v>
      </c>
      <c r="R1445" s="2">
        <v>0.7</v>
      </c>
      <c r="S1445" s="3">
        <v>2240</v>
      </c>
      <c r="T1445" t="s">
        <v>27</v>
      </c>
      <c r="U1445" s="3">
        <v>2240</v>
      </c>
      <c r="V1445" s="7" t="str">
        <f>IF(ISERROR(VLOOKUP(K1445,[1]작가별정산률!$R:$S,2,0)),"스토리위즈",VLOOKUP(K1445,[1]작가별정산률!$R:$S,2,0))</f>
        <v>스토리위즈</v>
      </c>
      <c r="W1445" s="7" t="str">
        <f>IF(V1445="스토리위즈",VLOOKUP(K1445,[1]작가별정산률!$A:$B,2,0),V1445)</f>
        <v>이동열</v>
      </c>
    </row>
    <row r="1446" spans="1:23" x14ac:dyDescent="0.4">
      <c r="A1446" t="s">
        <v>262</v>
      </c>
      <c r="B1446" t="s">
        <v>1766</v>
      </c>
      <c r="C1446" t="s">
        <v>1777</v>
      </c>
      <c r="D1446" t="s">
        <v>64</v>
      </c>
      <c r="E1446" t="s">
        <v>22</v>
      </c>
      <c r="F1446" t="s">
        <v>23</v>
      </c>
      <c r="G1446">
        <v>1</v>
      </c>
      <c r="H1446">
        <v>9791159282911</v>
      </c>
      <c r="I1446" t="s">
        <v>24</v>
      </c>
      <c r="J1446" t="s">
        <v>39</v>
      </c>
      <c r="K1446" t="s">
        <v>26</v>
      </c>
      <c r="L1446" t="s">
        <v>27</v>
      </c>
      <c r="M1446">
        <v>630</v>
      </c>
      <c r="N1446" t="s">
        <v>27</v>
      </c>
      <c r="O1446">
        <v>630</v>
      </c>
      <c r="P1446">
        <v>630</v>
      </c>
      <c r="Q1446" t="s">
        <v>30</v>
      </c>
      <c r="R1446" s="2">
        <v>0.7</v>
      </c>
      <c r="S1446">
        <v>441</v>
      </c>
      <c r="T1446" t="s">
        <v>27</v>
      </c>
      <c r="U1446">
        <v>441</v>
      </c>
      <c r="V1446" s="7" t="str">
        <f>IF(ISERROR(VLOOKUP(K1446,[1]작가별정산률!$R:$S,2,0)),"스토리위즈",VLOOKUP(K1446,[1]작가별정산률!$R:$S,2,0))</f>
        <v>스토리위즈</v>
      </c>
      <c r="W1446" s="7" t="str">
        <f>IF(V1446="스토리위즈",VLOOKUP(K1446,[1]작가별정산률!$A:$B,2,0),V1446)</f>
        <v>독고진</v>
      </c>
    </row>
    <row r="1447" spans="1:23" x14ac:dyDescent="0.4">
      <c r="A1447" t="s">
        <v>262</v>
      </c>
      <c r="B1447" t="s">
        <v>1766</v>
      </c>
      <c r="C1447" t="s">
        <v>1778</v>
      </c>
      <c r="D1447" t="s">
        <v>64</v>
      </c>
      <c r="E1447" t="s">
        <v>22</v>
      </c>
      <c r="F1447" t="s">
        <v>23</v>
      </c>
      <c r="G1447">
        <v>1</v>
      </c>
      <c r="H1447">
        <v>9791166300110</v>
      </c>
      <c r="I1447" t="s">
        <v>24</v>
      </c>
      <c r="J1447" t="s">
        <v>121</v>
      </c>
      <c r="K1447" t="s">
        <v>119</v>
      </c>
      <c r="L1447" t="s">
        <v>27</v>
      </c>
      <c r="M1447">
        <v>630</v>
      </c>
      <c r="N1447" t="s">
        <v>27</v>
      </c>
      <c r="O1447">
        <v>630</v>
      </c>
      <c r="P1447">
        <v>630</v>
      </c>
      <c r="Q1447" t="s">
        <v>30</v>
      </c>
      <c r="R1447" s="2">
        <v>0.7</v>
      </c>
      <c r="S1447">
        <v>441</v>
      </c>
      <c r="T1447" t="s">
        <v>27</v>
      </c>
      <c r="U1447">
        <v>441</v>
      </c>
      <c r="V1447" s="7" t="str">
        <f>IF(ISERROR(VLOOKUP(K1447,[1]작가별정산률!$R:$S,2,0)),"스토리위즈",VLOOKUP(K1447,[1]작가별정산률!$R:$S,2,0))</f>
        <v>스토리위즈</v>
      </c>
      <c r="W1447" s="7" t="str">
        <f>IF(V1447="스토리위즈",VLOOKUP(K1447,[1]작가별정산률!$A:$B,2,0),V1447)</f>
        <v>김광수</v>
      </c>
    </row>
    <row r="1448" spans="1:23" x14ac:dyDescent="0.4">
      <c r="A1448" t="s">
        <v>262</v>
      </c>
      <c r="B1448" t="s">
        <v>1766</v>
      </c>
      <c r="C1448" t="s">
        <v>1779</v>
      </c>
      <c r="D1448" t="s">
        <v>64</v>
      </c>
      <c r="E1448" t="s">
        <v>22</v>
      </c>
      <c r="F1448" t="s">
        <v>23</v>
      </c>
      <c r="G1448">
        <v>1</v>
      </c>
      <c r="H1448">
        <v>9791166300240</v>
      </c>
      <c r="I1448" t="s">
        <v>24</v>
      </c>
      <c r="J1448" t="s">
        <v>133</v>
      </c>
      <c r="K1448" t="s">
        <v>119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  <c r="V1448" s="7" t="str">
        <f>IF(ISERROR(VLOOKUP(K1448,[1]작가별정산률!$R:$S,2,0)),"스토리위즈",VLOOKUP(K1448,[1]작가별정산률!$R:$S,2,0))</f>
        <v>스토리위즈</v>
      </c>
      <c r="W1448" s="7" t="str">
        <f>IF(V1448="스토리위즈",VLOOKUP(K1448,[1]작가별정산률!$A:$B,2,0),V1448)</f>
        <v>김광수</v>
      </c>
    </row>
    <row r="1449" spans="1:23" x14ac:dyDescent="0.4">
      <c r="A1449" t="s">
        <v>262</v>
      </c>
      <c r="B1449" t="s">
        <v>1766</v>
      </c>
      <c r="C1449" t="s">
        <v>1780</v>
      </c>
      <c r="D1449" t="s">
        <v>64</v>
      </c>
      <c r="E1449" t="s">
        <v>22</v>
      </c>
      <c r="F1449" t="s">
        <v>23</v>
      </c>
      <c r="G1449">
        <v>1</v>
      </c>
      <c r="H1449">
        <v>9791166300127</v>
      </c>
      <c r="I1449" t="s">
        <v>24</v>
      </c>
      <c r="J1449" t="s">
        <v>122</v>
      </c>
      <c r="K1449" t="s">
        <v>119</v>
      </c>
      <c r="L1449" t="s">
        <v>27</v>
      </c>
      <c r="M1449">
        <v>630</v>
      </c>
      <c r="N1449" t="s">
        <v>27</v>
      </c>
      <c r="O1449">
        <v>630</v>
      </c>
      <c r="P1449">
        <v>630</v>
      </c>
      <c r="Q1449" t="s">
        <v>30</v>
      </c>
      <c r="R1449" s="2">
        <v>0.7</v>
      </c>
      <c r="S1449">
        <v>441</v>
      </c>
      <c r="T1449" t="s">
        <v>27</v>
      </c>
      <c r="U1449">
        <v>441</v>
      </c>
      <c r="V1449" s="7" t="str">
        <f>IF(ISERROR(VLOOKUP(K1449,[1]작가별정산률!$R:$S,2,0)),"스토리위즈",VLOOKUP(K1449,[1]작가별정산률!$R:$S,2,0))</f>
        <v>스토리위즈</v>
      </c>
      <c r="W1449" s="7" t="str">
        <f>IF(V1449="스토리위즈",VLOOKUP(K1449,[1]작가별정산률!$A:$B,2,0),V1449)</f>
        <v>김광수</v>
      </c>
    </row>
    <row r="1450" spans="1:23" x14ac:dyDescent="0.4">
      <c r="A1450" t="s">
        <v>262</v>
      </c>
      <c r="B1450" t="s">
        <v>1766</v>
      </c>
      <c r="C1450" t="s">
        <v>1781</v>
      </c>
      <c r="D1450" t="s">
        <v>64</v>
      </c>
      <c r="E1450" t="s">
        <v>22</v>
      </c>
      <c r="F1450" t="s">
        <v>23</v>
      </c>
      <c r="G1450">
        <v>1</v>
      </c>
      <c r="H1450">
        <v>9791166300578</v>
      </c>
      <c r="I1450" t="s">
        <v>24</v>
      </c>
      <c r="J1450" t="s">
        <v>159</v>
      </c>
      <c r="K1450" t="s">
        <v>119</v>
      </c>
      <c r="L1450" t="s">
        <v>27</v>
      </c>
      <c r="M1450">
        <v>630</v>
      </c>
      <c r="N1450" t="s">
        <v>27</v>
      </c>
      <c r="O1450">
        <v>630</v>
      </c>
      <c r="P1450">
        <v>630</v>
      </c>
      <c r="Q1450" t="s">
        <v>30</v>
      </c>
      <c r="R1450" s="2">
        <v>0.7</v>
      </c>
      <c r="S1450">
        <v>441</v>
      </c>
      <c r="T1450" t="s">
        <v>27</v>
      </c>
      <c r="U1450">
        <v>441</v>
      </c>
      <c r="V1450" s="7" t="str">
        <f>IF(ISERROR(VLOOKUP(K1450,[1]작가별정산률!$R:$S,2,0)),"스토리위즈",VLOOKUP(K1450,[1]작가별정산률!$R:$S,2,0))</f>
        <v>스토리위즈</v>
      </c>
      <c r="W1450" s="7" t="str">
        <f>IF(V1450="스토리위즈",VLOOKUP(K1450,[1]작가별정산률!$A:$B,2,0),V1450)</f>
        <v>김광수</v>
      </c>
    </row>
    <row r="1451" spans="1:23" x14ac:dyDescent="0.4">
      <c r="A1451" t="s">
        <v>262</v>
      </c>
      <c r="B1451" t="s">
        <v>1766</v>
      </c>
      <c r="C1451" t="s">
        <v>1782</v>
      </c>
      <c r="D1451" t="s">
        <v>21</v>
      </c>
      <c r="E1451" t="s">
        <v>22</v>
      </c>
      <c r="F1451" t="s">
        <v>23</v>
      </c>
      <c r="G1451">
        <v>1</v>
      </c>
      <c r="H1451">
        <v>9791166300493</v>
      </c>
      <c r="I1451" t="s">
        <v>24</v>
      </c>
      <c r="J1451" t="s">
        <v>147</v>
      </c>
      <c r="K1451" t="s">
        <v>119</v>
      </c>
      <c r="L1451" t="s">
        <v>27</v>
      </c>
      <c r="M1451" s="3">
        <v>3200</v>
      </c>
      <c r="N1451" t="s">
        <v>27</v>
      </c>
      <c r="O1451" s="3">
        <v>3200</v>
      </c>
      <c r="P1451" s="3">
        <v>3200</v>
      </c>
      <c r="Q1451" t="s">
        <v>30</v>
      </c>
      <c r="R1451" s="2">
        <v>0.7</v>
      </c>
      <c r="S1451" s="3">
        <v>2240</v>
      </c>
      <c r="T1451" t="s">
        <v>27</v>
      </c>
      <c r="U1451" s="3">
        <v>2240</v>
      </c>
      <c r="V1451" s="7" t="str">
        <f>IF(ISERROR(VLOOKUP(K1451,[1]작가별정산률!$R:$S,2,0)),"스토리위즈",VLOOKUP(K1451,[1]작가별정산률!$R:$S,2,0))</f>
        <v>스토리위즈</v>
      </c>
      <c r="W1451" s="7" t="str">
        <f>IF(V1451="스토리위즈",VLOOKUP(K1451,[1]작가별정산률!$A:$B,2,0),V1451)</f>
        <v>김광수</v>
      </c>
    </row>
    <row r="1452" spans="1:23" x14ac:dyDescent="0.4">
      <c r="A1452" t="s">
        <v>262</v>
      </c>
      <c r="B1452" t="s">
        <v>1766</v>
      </c>
      <c r="C1452" t="s">
        <v>1783</v>
      </c>
      <c r="D1452" t="s">
        <v>21</v>
      </c>
      <c r="E1452" t="s">
        <v>22</v>
      </c>
      <c r="F1452" t="s">
        <v>23</v>
      </c>
      <c r="G1452">
        <v>1</v>
      </c>
      <c r="H1452">
        <v>9791191562415</v>
      </c>
      <c r="I1452" t="s">
        <v>143</v>
      </c>
      <c r="J1452" t="s">
        <v>1077</v>
      </c>
      <c r="K1452" t="s">
        <v>1078</v>
      </c>
      <c r="L1452" t="s">
        <v>27</v>
      </c>
      <c r="M1452" s="3">
        <v>2000</v>
      </c>
      <c r="N1452" t="s">
        <v>27</v>
      </c>
      <c r="O1452" s="3">
        <v>2000</v>
      </c>
      <c r="P1452" s="3">
        <v>2000</v>
      </c>
      <c r="Q1452" t="s">
        <v>30</v>
      </c>
      <c r="R1452" s="2">
        <v>0.7</v>
      </c>
      <c r="S1452" s="3">
        <v>1400</v>
      </c>
      <c r="T1452" t="s">
        <v>27</v>
      </c>
      <c r="U1452" s="3">
        <v>1400</v>
      </c>
      <c r="V1452" s="7" t="str">
        <f>IF(ISERROR(VLOOKUP(K1452,[1]작가별정산률!$R:$S,2,0)),"스토리위즈",VLOOKUP(K1452,[1]작가별정산률!$R:$S,2,0))</f>
        <v>밀리의 서재</v>
      </c>
      <c r="W1452" s="7" t="str">
        <f>IF(V1452="스토리위즈",VLOOKUP(K1452,[1]작가별정산률!$A:$B,2,0),V1452)</f>
        <v>밀리의 서재</v>
      </c>
    </row>
    <row r="1453" spans="1:23" x14ac:dyDescent="0.4">
      <c r="A1453" t="s">
        <v>262</v>
      </c>
      <c r="B1453" t="s">
        <v>1766</v>
      </c>
      <c r="C1453" t="s">
        <v>1784</v>
      </c>
      <c r="D1453" t="s">
        <v>21</v>
      </c>
      <c r="E1453" t="s">
        <v>22</v>
      </c>
      <c r="F1453" t="s">
        <v>23</v>
      </c>
      <c r="G1453">
        <v>1</v>
      </c>
      <c r="H1453">
        <v>9791166300486</v>
      </c>
      <c r="I1453" t="s">
        <v>24</v>
      </c>
      <c r="J1453" t="s">
        <v>146</v>
      </c>
      <c r="K1453" t="s">
        <v>119</v>
      </c>
      <c r="L1453" t="s">
        <v>27</v>
      </c>
      <c r="M1453" s="3">
        <v>3200</v>
      </c>
      <c r="N1453" t="s">
        <v>27</v>
      </c>
      <c r="O1453" s="3">
        <v>3200</v>
      </c>
      <c r="P1453" s="3">
        <v>3200</v>
      </c>
      <c r="Q1453" t="s">
        <v>30</v>
      </c>
      <c r="R1453" s="2">
        <v>0.7</v>
      </c>
      <c r="S1453" s="3">
        <v>2240</v>
      </c>
      <c r="T1453" t="s">
        <v>27</v>
      </c>
      <c r="U1453" s="3">
        <v>2240</v>
      </c>
      <c r="V1453" s="7" t="str">
        <f>IF(ISERROR(VLOOKUP(K1453,[1]작가별정산률!$R:$S,2,0)),"스토리위즈",VLOOKUP(K1453,[1]작가별정산률!$R:$S,2,0))</f>
        <v>스토리위즈</v>
      </c>
      <c r="W1453" s="7" t="str">
        <f>IF(V1453="스토리위즈",VLOOKUP(K1453,[1]작가별정산률!$A:$B,2,0),V1453)</f>
        <v>김광수</v>
      </c>
    </row>
    <row r="1454" spans="1:23" x14ac:dyDescent="0.4">
      <c r="A1454" t="s">
        <v>262</v>
      </c>
      <c r="B1454" t="s">
        <v>1766</v>
      </c>
      <c r="C1454" t="s">
        <v>1785</v>
      </c>
      <c r="D1454" t="s">
        <v>21</v>
      </c>
      <c r="E1454" t="s">
        <v>22</v>
      </c>
      <c r="F1454" t="s">
        <v>23</v>
      </c>
      <c r="G1454">
        <v>1</v>
      </c>
      <c r="H1454">
        <v>9791189084813</v>
      </c>
      <c r="I1454" t="s">
        <v>143</v>
      </c>
      <c r="J1454" t="s">
        <v>563</v>
      </c>
      <c r="K1454" t="s">
        <v>564</v>
      </c>
      <c r="L1454" t="s">
        <v>27</v>
      </c>
      <c r="M1454" s="3">
        <v>4000</v>
      </c>
      <c r="N1454" t="s">
        <v>27</v>
      </c>
      <c r="O1454" s="3">
        <v>4000</v>
      </c>
      <c r="P1454" s="3">
        <v>4000</v>
      </c>
      <c r="Q1454" t="s">
        <v>30</v>
      </c>
      <c r="R1454" s="2">
        <v>0.7</v>
      </c>
      <c r="S1454" s="3">
        <v>2800</v>
      </c>
      <c r="T1454" t="s">
        <v>27</v>
      </c>
      <c r="U1454" s="3">
        <v>2800</v>
      </c>
      <c r="V1454" s="7" t="str">
        <f>IF(ISERROR(VLOOKUP(K1454,[1]작가별정산률!$R:$S,2,0)),"스토리위즈",VLOOKUP(K1454,[1]작가별정산률!$R:$S,2,0))</f>
        <v>스토리위즈</v>
      </c>
      <c r="W1454" s="7" t="str">
        <f>IF(V1454="스토리위즈",VLOOKUP(K1454,[1]작가별정산률!$A:$B,2,0),V1454)</f>
        <v>셔틀</v>
      </c>
    </row>
    <row r="1455" spans="1:23" x14ac:dyDescent="0.4">
      <c r="A1455" t="s">
        <v>262</v>
      </c>
      <c r="B1455" t="s">
        <v>1766</v>
      </c>
      <c r="C1455" t="s">
        <v>1786</v>
      </c>
      <c r="D1455" t="s">
        <v>21</v>
      </c>
      <c r="E1455" t="s">
        <v>22</v>
      </c>
      <c r="F1455" t="s">
        <v>23</v>
      </c>
      <c r="G1455">
        <v>1</v>
      </c>
      <c r="H1455">
        <v>9791166300202</v>
      </c>
      <c r="I1455" t="s">
        <v>24</v>
      </c>
      <c r="J1455" t="s">
        <v>129</v>
      </c>
      <c r="K1455" t="s">
        <v>119</v>
      </c>
      <c r="L1455" t="s">
        <v>27</v>
      </c>
      <c r="M1455" s="3">
        <v>3200</v>
      </c>
      <c r="N1455" t="s">
        <v>27</v>
      </c>
      <c r="O1455" s="3">
        <v>3200</v>
      </c>
      <c r="P1455" s="3">
        <v>3200</v>
      </c>
      <c r="Q1455" t="s">
        <v>30</v>
      </c>
      <c r="R1455" s="2">
        <v>0.7</v>
      </c>
      <c r="S1455" s="3">
        <v>2240</v>
      </c>
      <c r="T1455" t="s">
        <v>27</v>
      </c>
      <c r="U1455" s="3">
        <v>2240</v>
      </c>
      <c r="V1455" s="7" t="str">
        <f>IF(ISERROR(VLOOKUP(K1455,[1]작가별정산률!$R:$S,2,0)),"스토리위즈",VLOOKUP(K1455,[1]작가별정산률!$R:$S,2,0))</f>
        <v>스토리위즈</v>
      </c>
      <c r="W1455" s="7" t="str">
        <f>IF(V1455="스토리위즈",VLOOKUP(K1455,[1]작가별정산률!$A:$B,2,0),V1455)</f>
        <v>김광수</v>
      </c>
    </row>
    <row r="1456" spans="1:23" x14ac:dyDescent="0.4">
      <c r="A1456" t="s">
        <v>262</v>
      </c>
      <c r="B1456" t="s">
        <v>1766</v>
      </c>
      <c r="C1456" t="s">
        <v>1787</v>
      </c>
      <c r="D1456" t="s">
        <v>64</v>
      </c>
      <c r="E1456" t="s">
        <v>22</v>
      </c>
      <c r="F1456" t="s">
        <v>23</v>
      </c>
      <c r="G1456">
        <v>1</v>
      </c>
      <c r="H1456">
        <v>9791159282928</v>
      </c>
      <c r="I1456" t="s">
        <v>24</v>
      </c>
      <c r="J1456" t="s">
        <v>178</v>
      </c>
      <c r="K1456" t="s">
        <v>26</v>
      </c>
      <c r="L1456" t="s">
        <v>27</v>
      </c>
      <c r="M1456">
        <v>630</v>
      </c>
      <c r="N1456" t="s">
        <v>27</v>
      </c>
      <c r="O1456">
        <v>630</v>
      </c>
      <c r="P1456">
        <v>630</v>
      </c>
      <c r="Q1456" t="s">
        <v>30</v>
      </c>
      <c r="R1456" s="2">
        <v>0.7</v>
      </c>
      <c r="S1456">
        <v>441</v>
      </c>
      <c r="T1456" t="s">
        <v>27</v>
      </c>
      <c r="U1456">
        <v>441</v>
      </c>
      <c r="V1456" s="7" t="str">
        <f>IF(ISERROR(VLOOKUP(K1456,[1]작가별정산률!$R:$S,2,0)),"스토리위즈",VLOOKUP(K1456,[1]작가별정산률!$R:$S,2,0))</f>
        <v>스토리위즈</v>
      </c>
      <c r="W1456" s="7" t="str">
        <f>IF(V1456="스토리위즈",VLOOKUP(K1456,[1]작가별정산률!$A:$B,2,0),V1456)</f>
        <v>독고진</v>
      </c>
    </row>
    <row r="1457" spans="1:23" x14ac:dyDescent="0.4">
      <c r="A1457" t="s">
        <v>262</v>
      </c>
      <c r="B1457" t="s">
        <v>1766</v>
      </c>
      <c r="C1457" t="s">
        <v>1788</v>
      </c>
      <c r="D1457" t="s">
        <v>21</v>
      </c>
      <c r="E1457" t="s">
        <v>22</v>
      </c>
      <c r="F1457" t="s">
        <v>23</v>
      </c>
      <c r="G1457">
        <v>1</v>
      </c>
      <c r="H1457">
        <v>9791166300516</v>
      </c>
      <c r="I1457" t="s">
        <v>24</v>
      </c>
      <c r="J1457" t="s">
        <v>149</v>
      </c>
      <c r="K1457" t="s">
        <v>119</v>
      </c>
      <c r="L1457" t="s">
        <v>27</v>
      </c>
      <c r="M1457" s="3">
        <v>3200</v>
      </c>
      <c r="N1457" t="s">
        <v>27</v>
      </c>
      <c r="O1457" s="3">
        <v>3200</v>
      </c>
      <c r="P1457" s="3">
        <v>3200</v>
      </c>
      <c r="Q1457" t="s">
        <v>30</v>
      </c>
      <c r="R1457" s="2">
        <v>0.7</v>
      </c>
      <c r="S1457" s="3">
        <v>2240</v>
      </c>
      <c r="T1457" t="s">
        <v>27</v>
      </c>
      <c r="U1457" s="3">
        <v>2240</v>
      </c>
      <c r="V1457" s="7" t="str">
        <f>IF(ISERROR(VLOOKUP(K1457,[1]작가별정산률!$R:$S,2,0)),"스토리위즈",VLOOKUP(K1457,[1]작가별정산률!$R:$S,2,0))</f>
        <v>스토리위즈</v>
      </c>
      <c r="W1457" s="7" t="str">
        <f>IF(V1457="스토리위즈",VLOOKUP(K1457,[1]작가별정산률!$A:$B,2,0),V1457)</f>
        <v>김광수</v>
      </c>
    </row>
    <row r="1458" spans="1:23" x14ac:dyDescent="0.4">
      <c r="A1458" t="s">
        <v>262</v>
      </c>
      <c r="B1458" t="s">
        <v>1766</v>
      </c>
      <c r="C1458" t="s">
        <v>1788</v>
      </c>
      <c r="D1458" t="s">
        <v>21</v>
      </c>
      <c r="E1458" t="s">
        <v>22</v>
      </c>
      <c r="F1458" t="s">
        <v>23</v>
      </c>
      <c r="G1458">
        <v>1</v>
      </c>
      <c r="H1458">
        <v>9791166300523</v>
      </c>
      <c r="I1458" t="s">
        <v>24</v>
      </c>
      <c r="J1458" t="s">
        <v>150</v>
      </c>
      <c r="K1458" t="s">
        <v>119</v>
      </c>
      <c r="L1458" t="s">
        <v>27</v>
      </c>
      <c r="M1458" s="3">
        <v>3200</v>
      </c>
      <c r="N1458" t="s">
        <v>27</v>
      </c>
      <c r="O1458" s="3">
        <v>3200</v>
      </c>
      <c r="P1458" s="3">
        <v>3200</v>
      </c>
      <c r="Q1458" t="s">
        <v>30</v>
      </c>
      <c r="R1458" s="2">
        <v>0.7</v>
      </c>
      <c r="S1458" s="3">
        <v>2240</v>
      </c>
      <c r="T1458" t="s">
        <v>27</v>
      </c>
      <c r="U1458" s="3">
        <v>2240</v>
      </c>
      <c r="V1458" s="7" t="str">
        <f>IF(ISERROR(VLOOKUP(K1458,[1]작가별정산률!$R:$S,2,0)),"스토리위즈",VLOOKUP(K1458,[1]작가별정산률!$R:$S,2,0))</f>
        <v>스토리위즈</v>
      </c>
      <c r="W1458" s="7" t="str">
        <f>IF(V1458="스토리위즈",VLOOKUP(K1458,[1]작가별정산률!$A:$B,2,0),V1458)</f>
        <v>김광수</v>
      </c>
    </row>
    <row r="1459" spans="1:23" x14ac:dyDescent="0.4">
      <c r="A1459" t="s">
        <v>262</v>
      </c>
      <c r="B1459" t="s">
        <v>1766</v>
      </c>
      <c r="C1459" t="s">
        <v>1788</v>
      </c>
      <c r="D1459" t="s">
        <v>21</v>
      </c>
      <c r="E1459" t="s">
        <v>22</v>
      </c>
      <c r="F1459" t="s">
        <v>23</v>
      </c>
      <c r="G1459">
        <v>1</v>
      </c>
      <c r="H1459">
        <v>9791166300615</v>
      </c>
      <c r="I1459" t="s">
        <v>24</v>
      </c>
      <c r="J1459" t="s">
        <v>163</v>
      </c>
      <c r="K1459" t="s">
        <v>119</v>
      </c>
      <c r="L1459" t="s">
        <v>27</v>
      </c>
      <c r="M1459" s="3">
        <v>3200</v>
      </c>
      <c r="N1459" t="s">
        <v>27</v>
      </c>
      <c r="O1459" s="3">
        <v>3200</v>
      </c>
      <c r="P1459" s="3">
        <v>3200</v>
      </c>
      <c r="Q1459" t="s">
        <v>30</v>
      </c>
      <c r="R1459" s="2">
        <v>0.7</v>
      </c>
      <c r="S1459" s="3">
        <v>2240</v>
      </c>
      <c r="T1459" t="s">
        <v>27</v>
      </c>
      <c r="U1459" s="3">
        <v>2240</v>
      </c>
      <c r="V1459" s="7" t="str">
        <f>IF(ISERROR(VLOOKUP(K1459,[1]작가별정산률!$R:$S,2,0)),"스토리위즈",VLOOKUP(K1459,[1]작가별정산률!$R:$S,2,0))</f>
        <v>스토리위즈</v>
      </c>
      <c r="W1459" s="7" t="str">
        <f>IF(V1459="스토리위즈",VLOOKUP(K1459,[1]작가별정산률!$A:$B,2,0),V1459)</f>
        <v>김광수</v>
      </c>
    </row>
    <row r="1460" spans="1:23" x14ac:dyDescent="0.4">
      <c r="A1460" t="s">
        <v>262</v>
      </c>
      <c r="B1460" t="s">
        <v>1766</v>
      </c>
      <c r="C1460" t="s">
        <v>1788</v>
      </c>
      <c r="D1460" t="s">
        <v>21</v>
      </c>
      <c r="E1460" t="s">
        <v>22</v>
      </c>
      <c r="F1460" t="s">
        <v>23</v>
      </c>
      <c r="G1460">
        <v>1</v>
      </c>
      <c r="H1460">
        <v>9791166300622</v>
      </c>
      <c r="I1460" t="s">
        <v>24</v>
      </c>
      <c r="J1460" t="s">
        <v>164</v>
      </c>
      <c r="K1460" t="s">
        <v>119</v>
      </c>
      <c r="L1460" t="s">
        <v>27</v>
      </c>
      <c r="M1460" s="3">
        <v>3200</v>
      </c>
      <c r="N1460" t="s">
        <v>27</v>
      </c>
      <c r="O1460" s="3">
        <v>3200</v>
      </c>
      <c r="P1460" s="3">
        <v>3200</v>
      </c>
      <c r="Q1460" t="s">
        <v>30</v>
      </c>
      <c r="R1460" s="2">
        <v>0.7</v>
      </c>
      <c r="S1460" s="3">
        <v>2240</v>
      </c>
      <c r="T1460" t="s">
        <v>27</v>
      </c>
      <c r="U1460" s="3">
        <v>2240</v>
      </c>
      <c r="V1460" s="7" t="str">
        <f>IF(ISERROR(VLOOKUP(K1460,[1]작가별정산률!$R:$S,2,0)),"스토리위즈",VLOOKUP(K1460,[1]작가별정산률!$R:$S,2,0))</f>
        <v>스토리위즈</v>
      </c>
      <c r="W1460" s="7" t="str">
        <f>IF(V1460="스토리위즈",VLOOKUP(K1460,[1]작가별정산률!$A:$B,2,0),V1460)</f>
        <v>김광수</v>
      </c>
    </row>
    <row r="1461" spans="1:23" x14ac:dyDescent="0.4">
      <c r="A1461" t="s">
        <v>262</v>
      </c>
      <c r="B1461" t="s">
        <v>1766</v>
      </c>
      <c r="C1461" t="s">
        <v>1788</v>
      </c>
      <c r="D1461" t="s">
        <v>21</v>
      </c>
      <c r="E1461" t="s">
        <v>22</v>
      </c>
      <c r="F1461" t="s">
        <v>23</v>
      </c>
      <c r="G1461">
        <v>1</v>
      </c>
      <c r="H1461">
        <v>9791166300639</v>
      </c>
      <c r="I1461" t="s">
        <v>24</v>
      </c>
      <c r="J1461" t="s">
        <v>165</v>
      </c>
      <c r="K1461" t="s">
        <v>119</v>
      </c>
      <c r="L1461" t="s">
        <v>27</v>
      </c>
      <c r="M1461" s="3">
        <v>3200</v>
      </c>
      <c r="N1461" t="s">
        <v>27</v>
      </c>
      <c r="O1461" s="3">
        <v>3200</v>
      </c>
      <c r="P1461" s="3">
        <v>3200</v>
      </c>
      <c r="Q1461" t="s">
        <v>30</v>
      </c>
      <c r="R1461" s="2">
        <v>0.7</v>
      </c>
      <c r="S1461" s="3">
        <v>2240</v>
      </c>
      <c r="T1461" t="s">
        <v>27</v>
      </c>
      <c r="U1461" s="3">
        <v>2240</v>
      </c>
      <c r="V1461" s="7" t="str">
        <f>IF(ISERROR(VLOOKUP(K1461,[1]작가별정산률!$R:$S,2,0)),"스토리위즈",VLOOKUP(K1461,[1]작가별정산률!$R:$S,2,0))</f>
        <v>스토리위즈</v>
      </c>
      <c r="W1461" s="7" t="str">
        <f>IF(V1461="스토리위즈",VLOOKUP(K1461,[1]작가별정산률!$A:$B,2,0),V1461)</f>
        <v>김광수</v>
      </c>
    </row>
    <row r="1462" spans="1:23" x14ac:dyDescent="0.4">
      <c r="A1462" t="s">
        <v>262</v>
      </c>
      <c r="B1462" t="s">
        <v>1766</v>
      </c>
      <c r="C1462" t="s">
        <v>1788</v>
      </c>
      <c r="D1462" t="s">
        <v>21</v>
      </c>
      <c r="E1462" t="s">
        <v>22</v>
      </c>
      <c r="F1462" t="s">
        <v>23</v>
      </c>
      <c r="G1462">
        <v>1</v>
      </c>
      <c r="H1462">
        <v>9791166300646</v>
      </c>
      <c r="I1462" t="s">
        <v>24</v>
      </c>
      <c r="J1462" t="s">
        <v>155</v>
      </c>
      <c r="K1462" t="s">
        <v>119</v>
      </c>
      <c r="L1462" t="s">
        <v>27</v>
      </c>
      <c r="M1462" s="3">
        <v>3200</v>
      </c>
      <c r="N1462" t="s">
        <v>27</v>
      </c>
      <c r="O1462" s="3">
        <v>3200</v>
      </c>
      <c r="P1462" s="3">
        <v>3200</v>
      </c>
      <c r="Q1462" t="s">
        <v>30</v>
      </c>
      <c r="R1462" s="2">
        <v>0.7</v>
      </c>
      <c r="S1462" s="3">
        <v>2240</v>
      </c>
      <c r="T1462" t="s">
        <v>27</v>
      </c>
      <c r="U1462" s="3">
        <v>2240</v>
      </c>
      <c r="V1462" s="7" t="str">
        <f>IF(ISERROR(VLOOKUP(K1462,[1]작가별정산률!$R:$S,2,0)),"스토리위즈",VLOOKUP(K1462,[1]작가별정산률!$R:$S,2,0))</f>
        <v>스토리위즈</v>
      </c>
      <c r="W1462" s="7" t="str">
        <f>IF(V1462="스토리위즈",VLOOKUP(K1462,[1]작가별정산률!$A:$B,2,0),V1462)</f>
        <v>김광수</v>
      </c>
    </row>
    <row r="1463" spans="1:23" x14ac:dyDescent="0.4">
      <c r="A1463" t="s">
        <v>262</v>
      </c>
      <c r="B1463" t="s">
        <v>1766</v>
      </c>
      <c r="C1463" t="s">
        <v>1788</v>
      </c>
      <c r="D1463" t="s">
        <v>21</v>
      </c>
      <c r="E1463" t="s">
        <v>22</v>
      </c>
      <c r="F1463" t="s">
        <v>23</v>
      </c>
      <c r="G1463">
        <v>1</v>
      </c>
      <c r="H1463">
        <v>9791166300660</v>
      </c>
      <c r="I1463" t="s">
        <v>24</v>
      </c>
      <c r="J1463" t="s">
        <v>156</v>
      </c>
      <c r="K1463" t="s">
        <v>119</v>
      </c>
      <c r="L1463" t="s">
        <v>27</v>
      </c>
      <c r="M1463" s="3">
        <v>3200</v>
      </c>
      <c r="N1463" t="s">
        <v>27</v>
      </c>
      <c r="O1463" s="3">
        <v>3200</v>
      </c>
      <c r="P1463" s="3">
        <v>3200</v>
      </c>
      <c r="Q1463" t="s">
        <v>30</v>
      </c>
      <c r="R1463" s="2">
        <v>0.7</v>
      </c>
      <c r="S1463" s="3">
        <v>2240</v>
      </c>
      <c r="T1463" t="s">
        <v>27</v>
      </c>
      <c r="U1463" s="3">
        <v>2240</v>
      </c>
      <c r="V1463" s="7" t="str">
        <f>IF(ISERROR(VLOOKUP(K1463,[1]작가별정산률!$R:$S,2,0)),"스토리위즈",VLOOKUP(K1463,[1]작가별정산률!$R:$S,2,0))</f>
        <v>스토리위즈</v>
      </c>
      <c r="W1463" s="7" t="str">
        <f>IF(V1463="스토리위즈",VLOOKUP(K1463,[1]작가별정산률!$A:$B,2,0),V1463)</f>
        <v>김광수</v>
      </c>
    </row>
    <row r="1464" spans="1:23" x14ac:dyDescent="0.4">
      <c r="A1464" t="s">
        <v>262</v>
      </c>
      <c r="B1464" t="s">
        <v>1766</v>
      </c>
      <c r="C1464" t="s">
        <v>1788</v>
      </c>
      <c r="D1464" t="s">
        <v>21</v>
      </c>
      <c r="E1464" t="s">
        <v>22</v>
      </c>
      <c r="F1464" t="s">
        <v>23</v>
      </c>
      <c r="G1464">
        <v>1</v>
      </c>
      <c r="H1464">
        <v>9791166300653</v>
      </c>
      <c r="I1464" t="s">
        <v>24</v>
      </c>
      <c r="J1464" t="s">
        <v>157</v>
      </c>
      <c r="K1464" t="s">
        <v>119</v>
      </c>
      <c r="L1464" t="s">
        <v>27</v>
      </c>
      <c r="M1464" s="3">
        <v>3200</v>
      </c>
      <c r="N1464" t="s">
        <v>27</v>
      </c>
      <c r="O1464" s="3">
        <v>3200</v>
      </c>
      <c r="P1464" s="3">
        <v>3200</v>
      </c>
      <c r="Q1464" t="s">
        <v>30</v>
      </c>
      <c r="R1464" s="2">
        <v>0.7</v>
      </c>
      <c r="S1464" s="3">
        <v>2240</v>
      </c>
      <c r="T1464" t="s">
        <v>27</v>
      </c>
      <c r="U1464" s="3">
        <v>2240</v>
      </c>
      <c r="V1464" s="7" t="str">
        <f>IF(ISERROR(VLOOKUP(K1464,[1]작가별정산률!$R:$S,2,0)),"스토리위즈",VLOOKUP(K1464,[1]작가별정산률!$R:$S,2,0))</f>
        <v>스토리위즈</v>
      </c>
      <c r="W1464" s="7" t="str">
        <f>IF(V1464="스토리위즈",VLOOKUP(K1464,[1]작가별정산률!$A:$B,2,0),V1464)</f>
        <v>김광수</v>
      </c>
    </row>
    <row r="1465" spans="1:23" x14ac:dyDescent="0.4">
      <c r="A1465" t="s">
        <v>262</v>
      </c>
      <c r="B1465" t="s">
        <v>1766</v>
      </c>
      <c r="C1465" t="s">
        <v>1788</v>
      </c>
      <c r="D1465" t="s">
        <v>21</v>
      </c>
      <c r="E1465" t="s">
        <v>22</v>
      </c>
      <c r="F1465" t="s">
        <v>23</v>
      </c>
      <c r="G1465">
        <v>1</v>
      </c>
      <c r="H1465">
        <v>9791166300691</v>
      </c>
      <c r="I1465" t="s">
        <v>24</v>
      </c>
      <c r="J1465" t="s">
        <v>152</v>
      </c>
      <c r="K1465" t="s">
        <v>119</v>
      </c>
      <c r="L1465" t="s">
        <v>27</v>
      </c>
      <c r="M1465" s="3">
        <v>3200</v>
      </c>
      <c r="N1465" t="s">
        <v>27</v>
      </c>
      <c r="O1465" s="3">
        <v>3200</v>
      </c>
      <c r="P1465" s="3">
        <v>3200</v>
      </c>
      <c r="Q1465" t="s">
        <v>30</v>
      </c>
      <c r="R1465" s="2">
        <v>0.7</v>
      </c>
      <c r="S1465" s="3">
        <v>2240</v>
      </c>
      <c r="T1465" t="s">
        <v>27</v>
      </c>
      <c r="U1465" s="3">
        <v>2240</v>
      </c>
      <c r="V1465" s="7" t="str">
        <f>IF(ISERROR(VLOOKUP(K1465,[1]작가별정산률!$R:$S,2,0)),"스토리위즈",VLOOKUP(K1465,[1]작가별정산률!$R:$S,2,0))</f>
        <v>스토리위즈</v>
      </c>
      <c r="W1465" s="7" t="str">
        <f>IF(V1465="스토리위즈",VLOOKUP(K1465,[1]작가별정산률!$A:$B,2,0),V1465)</f>
        <v>김광수</v>
      </c>
    </row>
    <row r="1466" spans="1:23" x14ac:dyDescent="0.4">
      <c r="A1466" t="s">
        <v>262</v>
      </c>
      <c r="B1466" t="s">
        <v>1766</v>
      </c>
      <c r="C1466" t="s">
        <v>1788</v>
      </c>
      <c r="D1466" t="s">
        <v>21</v>
      </c>
      <c r="E1466" t="s">
        <v>22</v>
      </c>
      <c r="F1466" t="s">
        <v>23</v>
      </c>
      <c r="G1466">
        <v>1</v>
      </c>
      <c r="H1466">
        <v>9791166300530</v>
      </c>
      <c r="I1466" t="s">
        <v>24</v>
      </c>
      <c r="J1466" t="s">
        <v>151</v>
      </c>
      <c r="K1466" t="s">
        <v>119</v>
      </c>
      <c r="L1466" t="s">
        <v>27</v>
      </c>
      <c r="M1466" s="3">
        <v>3200</v>
      </c>
      <c r="N1466" t="s">
        <v>27</v>
      </c>
      <c r="O1466" s="3">
        <v>3200</v>
      </c>
      <c r="P1466" s="3">
        <v>3200</v>
      </c>
      <c r="Q1466" t="s">
        <v>30</v>
      </c>
      <c r="R1466" s="2">
        <v>0.7</v>
      </c>
      <c r="S1466" s="3">
        <v>2240</v>
      </c>
      <c r="T1466" t="s">
        <v>27</v>
      </c>
      <c r="U1466" s="3">
        <v>2240</v>
      </c>
      <c r="V1466" s="7" t="str">
        <f>IF(ISERROR(VLOOKUP(K1466,[1]작가별정산률!$R:$S,2,0)),"스토리위즈",VLOOKUP(K1466,[1]작가별정산률!$R:$S,2,0))</f>
        <v>스토리위즈</v>
      </c>
      <c r="W1466" s="7" t="str">
        <f>IF(V1466="스토리위즈",VLOOKUP(K1466,[1]작가별정산률!$A:$B,2,0),V1466)</f>
        <v>김광수</v>
      </c>
    </row>
    <row r="1467" spans="1:23" x14ac:dyDescent="0.4">
      <c r="A1467" t="s">
        <v>262</v>
      </c>
      <c r="B1467" t="s">
        <v>1766</v>
      </c>
      <c r="C1467" t="s">
        <v>1788</v>
      </c>
      <c r="D1467" t="s">
        <v>21</v>
      </c>
      <c r="E1467" t="s">
        <v>22</v>
      </c>
      <c r="F1467" t="s">
        <v>23</v>
      </c>
      <c r="G1467">
        <v>1</v>
      </c>
      <c r="H1467">
        <v>9791166300547</v>
      </c>
      <c r="I1467" t="s">
        <v>24</v>
      </c>
      <c r="J1467" t="s">
        <v>153</v>
      </c>
      <c r="K1467" t="s">
        <v>119</v>
      </c>
      <c r="L1467" t="s">
        <v>27</v>
      </c>
      <c r="M1467" s="3">
        <v>3200</v>
      </c>
      <c r="N1467" t="s">
        <v>27</v>
      </c>
      <c r="O1467" s="3">
        <v>3200</v>
      </c>
      <c r="P1467" s="3">
        <v>3200</v>
      </c>
      <c r="Q1467" t="s">
        <v>30</v>
      </c>
      <c r="R1467" s="2">
        <v>0.7</v>
      </c>
      <c r="S1467" s="3">
        <v>2240</v>
      </c>
      <c r="T1467" t="s">
        <v>27</v>
      </c>
      <c r="U1467" s="3">
        <v>2240</v>
      </c>
      <c r="V1467" s="7" t="str">
        <f>IF(ISERROR(VLOOKUP(K1467,[1]작가별정산률!$R:$S,2,0)),"스토리위즈",VLOOKUP(K1467,[1]작가별정산률!$R:$S,2,0))</f>
        <v>스토리위즈</v>
      </c>
      <c r="W1467" s="7" t="str">
        <f>IF(V1467="스토리위즈",VLOOKUP(K1467,[1]작가별정산률!$A:$B,2,0),V1467)</f>
        <v>김광수</v>
      </c>
    </row>
    <row r="1468" spans="1:23" x14ac:dyDescent="0.4">
      <c r="A1468" t="s">
        <v>262</v>
      </c>
      <c r="B1468" t="s">
        <v>1766</v>
      </c>
      <c r="C1468" t="s">
        <v>1788</v>
      </c>
      <c r="D1468" t="s">
        <v>21</v>
      </c>
      <c r="E1468" t="s">
        <v>22</v>
      </c>
      <c r="F1468" t="s">
        <v>23</v>
      </c>
      <c r="G1468">
        <v>1</v>
      </c>
      <c r="H1468">
        <v>9791166300554</v>
      </c>
      <c r="I1468" t="s">
        <v>24</v>
      </c>
      <c r="J1468" t="s">
        <v>154</v>
      </c>
      <c r="K1468" t="s">
        <v>119</v>
      </c>
      <c r="L1468" t="s">
        <v>27</v>
      </c>
      <c r="M1468" s="3">
        <v>3200</v>
      </c>
      <c r="N1468" t="s">
        <v>27</v>
      </c>
      <c r="O1468" s="3">
        <v>3200</v>
      </c>
      <c r="P1468" s="3">
        <v>3200</v>
      </c>
      <c r="Q1468" t="s">
        <v>30</v>
      </c>
      <c r="R1468" s="2">
        <v>0.7</v>
      </c>
      <c r="S1468" s="3">
        <v>2240</v>
      </c>
      <c r="T1468" t="s">
        <v>27</v>
      </c>
      <c r="U1468" s="3">
        <v>2240</v>
      </c>
      <c r="V1468" s="7" t="str">
        <f>IF(ISERROR(VLOOKUP(K1468,[1]작가별정산률!$R:$S,2,0)),"스토리위즈",VLOOKUP(K1468,[1]작가별정산률!$R:$S,2,0))</f>
        <v>스토리위즈</v>
      </c>
      <c r="W1468" s="7" t="str">
        <f>IF(V1468="스토리위즈",VLOOKUP(K1468,[1]작가별정산률!$A:$B,2,0),V1468)</f>
        <v>김광수</v>
      </c>
    </row>
    <row r="1469" spans="1:23" x14ac:dyDescent="0.4">
      <c r="A1469" t="s">
        <v>262</v>
      </c>
      <c r="B1469" t="s">
        <v>1766</v>
      </c>
      <c r="C1469" t="s">
        <v>1788</v>
      </c>
      <c r="D1469" t="s">
        <v>21</v>
      </c>
      <c r="E1469" t="s">
        <v>22</v>
      </c>
      <c r="F1469" t="s">
        <v>23</v>
      </c>
      <c r="G1469">
        <v>1</v>
      </c>
      <c r="H1469">
        <v>9791166300561</v>
      </c>
      <c r="I1469" t="s">
        <v>24</v>
      </c>
      <c r="J1469" t="s">
        <v>158</v>
      </c>
      <c r="K1469" t="s">
        <v>119</v>
      </c>
      <c r="L1469" t="s">
        <v>27</v>
      </c>
      <c r="M1469" s="3">
        <v>3200</v>
      </c>
      <c r="N1469" t="s">
        <v>27</v>
      </c>
      <c r="O1469" s="3">
        <v>3200</v>
      </c>
      <c r="P1469" s="3">
        <v>3200</v>
      </c>
      <c r="Q1469" t="s">
        <v>30</v>
      </c>
      <c r="R1469" s="2">
        <v>0.7</v>
      </c>
      <c r="S1469" s="3">
        <v>2240</v>
      </c>
      <c r="T1469" t="s">
        <v>27</v>
      </c>
      <c r="U1469" s="3">
        <v>2240</v>
      </c>
      <c r="V1469" s="7" t="str">
        <f>IF(ISERROR(VLOOKUP(K1469,[1]작가별정산률!$R:$S,2,0)),"스토리위즈",VLOOKUP(K1469,[1]작가별정산률!$R:$S,2,0))</f>
        <v>스토리위즈</v>
      </c>
      <c r="W1469" s="7" t="str">
        <f>IF(V1469="스토리위즈",VLOOKUP(K1469,[1]작가별정산률!$A:$B,2,0),V1469)</f>
        <v>김광수</v>
      </c>
    </row>
    <row r="1470" spans="1:23" x14ac:dyDescent="0.4">
      <c r="A1470" t="s">
        <v>262</v>
      </c>
      <c r="B1470" t="s">
        <v>1766</v>
      </c>
      <c r="C1470" t="s">
        <v>1788</v>
      </c>
      <c r="D1470" t="s">
        <v>21</v>
      </c>
      <c r="E1470" t="s">
        <v>22</v>
      </c>
      <c r="F1470" t="s">
        <v>23</v>
      </c>
      <c r="G1470">
        <v>1</v>
      </c>
      <c r="H1470">
        <v>9791166300578</v>
      </c>
      <c r="I1470" t="s">
        <v>24</v>
      </c>
      <c r="J1470" t="s">
        <v>159</v>
      </c>
      <c r="K1470" t="s">
        <v>119</v>
      </c>
      <c r="L1470" t="s">
        <v>27</v>
      </c>
      <c r="M1470" s="3">
        <v>3200</v>
      </c>
      <c r="N1470" t="s">
        <v>27</v>
      </c>
      <c r="O1470" s="3">
        <v>3200</v>
      </c>
      <c r="P1470" s="3">
        <v>3200</v>
      </c>
      <c r="Q1470" t="s">
        <v>30</v>
      </c>
      <c r="R1470" s="2">
        <v>0.7</v>
      </c>
      <c r="S1470" s="3">
        <v>2240</v>
      </c>
      <c r="T1470" t="s">
        <v>27</v>
      </c>
      <c r="U1470" s="3">
        <v>2240</v>
      </c>
      <c r="V1470" s="7" t="str">
        <f>IF(ISERROR(VLOOKUP(K1470,[1]작가별정산률!$R:$S,2,0)),"스토리위즈",VLOOKUP(K1470,[1]작가별정산률!$R:$S,2,0))</f>
        <v>스토리위즈</v>
      </c>
      <c r="W1470" s="7" t="str">
        <f>IF(V1470="스토리위즈",VLOOKUP(K1470,[1]작가별정산률!$A:$B,2,0),V1470)</f>
        <v>김광수</v>
      </c>
    </row>
    <row r="1471" spans="1:23" x14ac:dyDescent="0.4">
      <c r="A1471" t="s">
        <v>262</v>
      </c>
      <c r="B1471" t="s">
        <v>1766</v>
      </c>
      <c r="C1471" t="s">
        <v>1788</v>
      </c>
      <c r="D1471" t="s">
        <v>21</v>
      </c>
      <c r="E1471" t="s">
        <v>22</v>
      </c>
      <c r="F1471" t="s">
        <v>23</v>
      </c>
      <c r="G1471">
        <v>1</v>
      </c>
      <c r="H1471">
        <v>9791166300585</v>
      </c>
      <c r="I1471" t="s">
        <v>24</v>
      </c>
      <c r="J1471" t="s">
        <v>160</v>
      </c>
      <c r="K1471" t="s">
        <v>119</v>
      </c>
      <c r="L1471" t="s">
        <v>27</v>
      </c>
      <c r="M1471" s="3">
        <v>3200</v>
      </c>
      <c r="N1471" t="s">
        <v>27</v>
      </c>
      <c r="O1471" s="3">
        <v>3200</v>
      </c>
      <c r="P1471" s="3">
        <v>3200</v>
      </c>
      <c r="Q1471" t="s">
        <v>30</v>
      </c>
      <c r="R1471" s="2">
        <v>0.7</v>
      </c>
      <c r="S1471" s="3">
        <v>2240</v>
      </c>
      <c r="T1471" t="s">
        <v>27</v>
      </c>
      <c r="U1471" s="3">
        <v>2240</v>
      </c>
      <c r="V1471" s="7" t="str">
        <f>IF(ISERROR(VLOOKUP(K1471,[1]작가별정산률!$R:$S,2,0)),"스토리위즈",VLOOKUP(K1471,[1]작가별정산률!$R:$S,2,0))</f>
        <v>스토리위즈</v>
      </c>
      <c r="W1471" s="7" t="str">
        <f>IF(V1471="스토리위즈",VLOOKUP(K1471,[1]작가별정산률!$A:$B,2,0),V1471)</f>
        <v>김광수</v>
      </c>
    </row>
    <row r="1472" spans="1:23" x14ac:dyDescent="0.4">
      <c r="A1472" t="s">
        <v>262</v>
      </c>
      <c r="B1472" t="s">
        <v>1766</v>
      </c>
      <c r="C1472" t="s">
        <v>1788</v>
      </c>
      <c r="D1472" t="s">
        <v>21</v>
      </c>
      <c r="E1472" t="s">
        <v>22</v>
      </c>
      <c r="F1472" t="s">
        <v>23</v>
      </c>
      <c r="G1472">
        <v>1</v>
      </c>
      <c r="H1472">
        <v>9791166300592</v>
      </c>
      <c r="I1472" t="s">
        <v>24</v>
      </c>
      <c r="J1472" t="s">
        <v>161</v>
      </c>
      <c r="K1472" t="s">
        <v>119</v>
      </c>
      <c r="L1472" t="s">
        <v>27</v>
      </c>
      <c r="M1472" s="3">
        <v>3200</v>
      </c>
      <c r="N1472" t="s">
        <v>27</v>
      </c>
      <c r="O1472" s="3">
        <v>3200</v>
      </c>
      <c r="P1472" s="3">
        <v>3200</v>
      </c>
      <c r="Q1472" t="s">
        <v>30</v>
      </c>
      <c r="R1472" s="2">
        <v>0.7</v>
      </c>
      <c r="S1472" s="3">
        <v>2240</v>
      </c>
      <c r="T1472" t="s">
        <v>27</v>
      </c>
      <c r="U1472" s="3">
        <v>2240</v>
      </c>
      <c r="V1472" s="7" t="str">
        <f>IF(ISERROR(VLOOKUP(K1472,[1]작가별정산률!$R:$S,2,0)),"스토리위즈",VLOOKUP(K1472,[1]작가별정산률!$R:$S,2,0))</f>
        <v>스토리위즈</v>
      </c>
      <c r="W1472" s="7" t="str">
        <f>IF(V1472="스토리위즈",VLOOKUP(K1472,[1]작가별정산률!$A:$B,2,0),V1472)</f>
        <v>김광수</v>
      </c>
    </row>
    <row r="1473" spans="1:23" x14ac:dyDescent="0.4">
      <c r="A1473" t="s">
        <v>262</v>
      </c>
      <c r="B1473" t="s">
        <v>1766</v>
      </c>
      <c r="C1473" t="s">
        <v>1788</v>
      </c>
      <c r="D1473" t="s">
        <v>21</v>
      </c>
      <c r="E1473" t="s">
        <v>22</v>
      </c>
      <c r="F1473" t="s">
        <v>23</v>
      </c>
      <c r="G1473">
        <v>1</v>
      </c>
      <c r="H1473">
        <v>9791166300608</v>
      </c>
      <c r="I1473" t="s">
        <v>24</v>
      </c>
      <c r="J1473" t="s">
        <v>162</v>
      </c>
      <c r="K1473" t="s">
        <v>119</v>
      </c>
      <c r="L1473" t="s">
        <v>27</v>
      </c>
      <c r="M1473" s="3">
        <v>3200</v>
      </c>
      <c r="N1473" t="s">
        <v>27</v>
      </c>
      <c r="O1473" s="3">
        <v>3200</v>
      </c>
      <c r="P1473" s="3">
        <v>3200</v>
      </c>
      <c r="Q1473" t="s">
        <v>30</v>
      </c>
      <c r="R1473" s="2">
        <v>0.7</v>
      </c>
      <c r="S1473" s="3">
        <v>2240</v>
      </c>
      <c r="T1473" t="s">
        <v>27</v>
      </c>
      <c r="U1473" s="3">
        <v>2240</v>
      </c>
      <c r="V1473" s="7" t="str">
        <f>IF(ISERROR(VLOOKUP(K1473,[1]작가별정산률!$R:$S,2,0)),"스토리위즈",VLOOKUP(K1473,[1]작가별정산률!$R:$S,2,0))</f>
        <v>스토리위즈</v>
      </c>
      <c r="W1473" s="7" t="str">
        <f>IF(V1473="스토리위즈",VLOOKUP(K1473,[1]작가별정산률!$A:$B,2,0),V1473)</f>
        <v>김광수</v>
      </c>
    </row>
    <row r="1474" spans="1:23" x14ac:dyDescent="0.4">
      <c r="A1474" t="s">
        <v>262</v>
      </c>
      <c r="B1474" t="s">
        <v>1766</v>
      </c>
      <c r="C1474" t="s">
        <v>1789</v>
      </c>
      <c r="D1474" t="s">
        <v>64</v>
      </c>
      <c r="E1474" t="s">
        <v>22</v>
      </c>
      <c r="F1474" t="s">
        <v>23</v>
      </c>
      <c r="G1474">
        <v>1</v>
      </c>
      <c r="H1474">
        <v>9791188630141</v>
      </c>
      <c r="I1474" t="s">
        <v>24</v>
      </c>
      <c r="J1474" t="s">
        <v>204</v>
      </c>
      <c r="K1474" t="s">
        <v>41</v>
      </c>
      <c r="L1474" t="s">
        <v>27</v>
      </c>
      <c r="M1474">
        <v>630</v>
      </c>
      <c r="N1474" t="s">
        <v>27</v>
      </c>
      <c r="O1474">
        <v>630</v>
      </c>
      <c r="P1474">
        <v>630</v>
      </c>
      <c r="Q1474" t="s">
        <v>30</v>
      </c>
      <c r="R1474" s="2">
        <v>0.7</v>
      </c>
      <c r="S1474">
        <v>441</v>
      </c>
      <c r="T1474" t="s">
        <v>27</v>
      </c>
      <c r="U1474">
        <v>441</v>
      </c>
      <c r="V1474" s="7" t="str">
        <f>IF(ISERROR(VLOOKUP(K1474,[1]작가별정산률!$R:$S,2,0)),"스토리위즈",VLOOKUP(K1474,[1]작가별정산률!$R:$S,2,0))</f>
        <v>스토리위즈</v>
      </c>
      <c r="W1474" s="7" t="str">
        <f>IF(V1474="스토리위즈",VLOOKUP(K1474,[1]작가별정산률!$A:$B,2,0),V1474)</f>
        <v>무장</v>
      </c>
    </row>
    <row r="1475" spans="1:23" x14ac:dyDescent="0.4">
      <c r="A1475" t="s">
        <v>262</v>
      </c>
      <c r="B1475" t="s">
        <v>1766</v>
      </c>
      <c r="C1475" t="s">
        <v>1790</v>
      </c>
      <c r="D1475" t="s">
        <v>21</v>
      </c>
      <c r="E1475" t="s">
        <v>22</v>
      </c>
      <c r="F1475" t="s">
        <v>23</v>
      </c>
      <c r="G1475">
        <v>1</v>
      </c>
      <c r="H1475">
        <v>9791191562415</v>
      </c>
      <c r="I1475" t="s">
        <v>143</v>
      </c>
      <c r="J1475" t="s">
        <v>1077</v>
      </c>
      <c r="K1475" t="s">
        <v>1078</v>
      </c>
      <c r="L1475" t="s">
        <v>27</v>
      </c>
      <c r="M1475" s="3">
        <v>2000</v>
      </c>
      <c r="N1475" t="s">
        <v>27</v>
      </c>
      <c r="O1475" s="3">
        <v>2000</v>
      </c>
      <c r="P1475" s="3">
        <v>2000</v>
      </c>
      <c r="Q1475" t="s">
        <v>30</v>
      </c>
      <c r="R1475" s="2">
        <v>0.7</v>
      </c>
      <c r="S1475" s="3">
        <v>1400</v>
      </c>
      <c r="T1475" t="s">
        <v>27</v>
      </c>
      <c r="U1475" s="3">
        <v>1400</v>
      </c>
      <c r="V1475" s="7" t="str">
        <f>IF(ISERROR(VLOOKUP(K1475,[1]작가별정산률!$R:$S,2,0)),"스토리위즈",VLOOKUP(K1475,[1]작가별정산률!$R:$S,2,0))</f>
        <v>밀리의 서재</v>
      </c>
      <c r="W1475" s="7" t="str">
        <f>IF(V1475="스토리위즈",VLOOKUP(K1475,[1]작가별정산률!$A:$B,2,0),V1475)</f>
        <v>밀리의 서재</v>
      </c>
    </row>
    <row r="1476" spans="1:23" x14ac:dyDescent="0.4">
      <c r="A1476" t="s">
        <v>262</v>
      </c>
      <c r="B1476" t="s">
        <v>1766</v>
      </c>
      <c r="C1476" t="s">
        <v>1791</v>
      </c>
      <c r="D1476" t="s">
        <v>21</v>
      </c>
      <c r="E1476" t="s">
        <v>22</v>
      </c>
      <c r="F1476" t="s">
        <v>23</v>
      </c>
      <c r="G1476">
        <v>1</v>
      </c>
      <c r="H1476">
        <v>9791191562149</v>
      </c>
      <c r="I1476" t="s">
        <v>143</v>
      </c>
      <c r="J1476" t="s">
        <v>1081</v>
      </c>
      <c r="K1476" t="s">
        <v>1078</v>
      </c>
      <c r="L1476" t="s">
        <v>27</v>
      </c>
      <c r="M1476" s="3">
        <v>2000</v>
      </c>
      <c r="N1476" t="s">
        <v>27</v>
      </c>
      <c r="O1476" s="3">
        <v>2000</v>
      </c>
      <c r="P1476" s="3">
        <v>2000</v>
      </c>
      <c r="Q1476" t="s">
        <v>30</v>
      </c>
      <c r="R1476" s="2">
        <v>0.7</v>
      </c>
      <c r="S1476" s="3">
        <v>1400</v>
      </c>
      <c r="T1476" t="s">
        <v>27</v>
      </c>
      <c r="U1476" s="3">
        <v>1400</v>
      </c>
      <c r="V1476" s="7" t="str">
        <f>IF(ISERROR(VLOOKUP(K1476,[1]작가별정산률!$R:$S,2,0)),"스토리위즈",VLOOKUP(K1476,[1]작가별정산률!$R:$S,2,0))</f>
        <v>밀리의 서재</v>
      </c>
      <c r="W1476" s="7" t="str">
        <f>IF(V1476="스토리위즈",VLOOKUP(K1476,[1]작가별정산률!$A:$B,2,0),V1476)</f>
        <v>밀리의 서재</v>
      </c>
    </row>
    <row r="1477" spans="1:23" x14ac:dyDescent="0.4">
      <c r="A1477" t="s">
        <v>262</v>
      </c>
      <c r="B1477" t="s">
        <v>1766</v>
      </c>
      <c r="C1477" t="s">
        <v>1792</v>
      </c>
      <c r="D1477" t="s">
        <v>21</v>
      </c>
      <c r="E1477" t="s">
        <v>22</v>
      </c>
      <c r="F1477" t="s">
        <v>23</v>
      </c>
      <c r="G1477">
        <v>1</v>
      </c>
      <c r="H1477">
        <v>9791159289590</v>
      </c>
      <c r="I1477" t="s">
        <v>24</v>
      </c>
      <c r="J1477" t="s">
        <v>170</v>
      </c>
      <c r="K1477" t="s">
        <v>140</v>
      </c>
      <c r="L1477" t="s">
        <v>27</v>
      </c>
      <c r="M1477" s="3">
        <v>3200</v>
      </c>
      <c r="N1477" t="s">
        <v>27</v>
      </c>
      <c r="O1477" s="3">
        <v>3200</v>
      </c>
      <c r="P1477" s="3">
        <v>3200</v>
      </c>
      <c r="Q1477" t="s">
        <v>30</v>
      </c>
      <c r="R1477" s="2">
        <v>0.7</v>
      </c>
      <c r="S1477" s="3">
        <v>2240</v>
      </c>
      <c r="T1477" t="s">
        <v>27</v>
      </c>
      <c r="U1477" s="3">
        <v>2240</v>
      </c>
      <c r="V1477" s="7" t="str">
        <f>IF(ISERROR(VLOOKUP(K1477,[1]작가별정산률!$R:$S,2,0)),"스토리위즈",VLOOKUP(K1477,[1]작가별정산률!$R:$S,2,0))</f>
        <v>스토리위즈</v>
      </c>
      <c r="W1477" s="7" t="str">
        <f>IF(V1477="스토리위즈",VLOOKUP(K1477,[1]작가별정산률!$A:$B,2,0),V1477)</f>
        <v>이동열</v>
      </c>
    </row>
    <row r="1478" spans="1:23" x14ac:dyDescent="0.4">
      <c r="A1478" t="s">
        <v>262</v>
      </c>
      <c r="B1478" t="s">
        <v>1766</v>
      </c>
      <c r="C1478" t="s">
        <v>1793</v>
      </c>
      <c r="D1478" t="s">
        <v>21</v>
      </c>
      <c r="E1478" t="s">
        <v>22</v>
      </c>
      <c r="F1478" t="s">
        <v>23</v>
      </c>
      <c r="G1478">
        <v>1</v>
      </c>
      <c r="H1478">
        <v>9791166300509</v>
      </c>
      <c r="I1478" t="s">
        <v>24</v>
      </c>
      <c r="J1478" t="s">
        <v>148</v>
      </c>
      <c r="K1478" t="s">
        <v>119</v>
      </c>
      <c r="L1478" t="s">
        <v>27</v>
      </c>
      <c r="M1478" s="3">
        <v>3200</v>
      </c>
      <c r="N1478" t="s">
        <v>27</v>
      </c>
      <c r="O1478" s="3">
        <v>3200</v>
      </c>
      <c r="P1478" s="3">
        <v>3200</v>
      </c>
      <c r="Q1478" t="s">
        <v>30</v>
      </c>
      <c r="R1478" s="2">
        <v>0.7</v>
      </c>
      <c r="S1478" s="3">
        <v>2240</v>
      </c>
      <c r="T1478" t="s">
        <v>27</v>
      </c>
      <c r="U1478" s="3">
        <v>2240</v>
      </c>
      <c r="V1478" s="7" t="str">
        <f>IF(ISERROR(VLOOKUP(K1478,[1]작가별정산률!$R:$S,2,0)),"스토리위즈",VLOOKUP(K1478,[1]작가별정산률!$R:$S,2,0))</f>
        <v>스토리위즈</v>
      </c>
      <c r="W1478" s="7" t="str">
        <f>IF(V1478="스토리위즈",VLOOKUP(K1478,[1]작가별정산률!$A:$B,2,0),V1478)</f>
        <v>김광수</v>
      </c>
    </row>
    <row r="1479" spans="1:23" x14ac:dyDescent="0.4">
      <c r="A1479" t="s">
        <v>262</v>
      </c>
      <c r="B1479" t="s">
        <v>1766</v>
      </c>
      <c r="C1479" t="s">
        <v>1794</v>
      </c>
      <c r="D1479" t="s">
        <v>64</v>
      </c>
      <c r="E1479" t="s">
        <v>22</v>
      </c>
      <c r="F1479" t="s">
        <v>23</v>
      </c>
      <c r="G1479">
        <v>1</v>
      </c>
      <c r="H1479">
        <v>9791166300110</v>
      </c>
      <c r="I1479" t="s">
        <v>24</v>
      </c>
      <c r="J1479" t="s">
        <v>121</v>
      </c>
      <c r="K1479" t="s">
        <v>119</v>
      </c>
      <c r="L1479" t="s">
        <v>27</v>
      </c>
      <c r="M1479">
        <v>630</v>
      </c>
      <c r="N1479" t="s">
        <v>27</v>
      </c>
      <c r="O1479">
        <v>630</v>
      </c>
      <c r="P1479">
        <v>630</v>
      </c>
      <c r="Q1479" t="s">
        <v>30</v>
      </c>
      <c r="R1479" s="2">
        <v>0.7</v>
      </c>
      <c r="S1479">
        <v>441</v>
      </c>
      <c r="T1479" t="s">
        <v>27</v>
      </c>
      <c r="U1479">
        <v>441</v>
      </c>
      <c r="V1479" s="7" t="str">
        <f>IF(ISERROR(VLOOKUP(K1479,[1]작가별정산률!$R:$S,2,0)),"스토리위즈",VLOOKUP(K1479,[1]작가별정산률!$R:$S,2,0))</f>
        <v>스토리위즈</v>
      </c>
      <c r="W1479" s="7" t="str">
        <f>IF(V1479="스토리위즈",VLOOKUP(K1479,[1]작가별정산률!$A:$B,2,0),V1479)</f>
        <v>김광수</v>
      </c>
    </row>
    <row r="1480" spans="1:23" x14ac:dyDescent="0.4">
      <c r="A1480" t="s">
        <v>262</v>
      </c>
      <c r="B1480" t="s">
        <v>1766</v>
      </c>
      <c r="C1480" t="s">
        <v>1795</v>
      </c>
      <c r="D1480" t="s">
        <v>21</v>
      </c>
      <c r="E1480" t="s">
        <v>22</v>
      </c>
      <c r="F1480" t="s">
        <v>23</v>
      </c>
      <c r="G1480">
        <v>1</v>
      </c>
      <c r="H1480">
        <v>9791159286575</v>
      </c>
      <c r="I1480" t="s">
        <v>24</v>
      </c>
      <c r="J1480" t="s">
        <v>237</v>
      </c>
      <c r="K1480" t="s">
        <v>140</v>
      </c>
      <c r="L1480" t="s">
        <v>27</v>
      </c>
      <c r="M1480" s="3">
        <v>3200</v>
      </c>
      <c r="N1480" t="s">
        <v>27</v>
      </c>
      <c r="O1480" s="3">
        <v>3200</v>
      </c>
      <c r="P1480" s="3">
        <v>3200</v>
      </c>
      <c r="Q1480" t="s">
        <v>30</v>
      </c>
      <c r="R1480" s="2">
        <v>0.7</v>
      </c>
      <c r="S1480" s="3">
        <v>2240</v>
      </c>
      <c r="T1480" t="s">
        <v>27</v>
      </c>
      <c r="U1480" s="3">
        <v>2240</v>
      </c>
      <c r="V1480" s="7" t="str">
        <f>IF(ISERROR(VLOOKUP(K1480,[1]작가별정산률!$R:$S,2,0)),"스토리위즈",VLOOKUP(K1480,[1]작가별정산률!$R:$S,2,0))</f>
        <v>스토리위즈</v>
      </c>
      <c r="W1480" s="7" t="str">
        <f>IF(V1480="스토리위즈",VLOOKUP(K1480,[1]작가별정산률!$A:$B,2,0),V1480)</f>
        <v>이동열</v>
      </c>
    </row>
    <row r="1481" spans="1:23" x14ac:dyDescent="0.4">
      <c r="A1481" t="s">
        <v>262</v>
      </c>
      <c r="B1481" t="s">
        <v>1766</v>
      </c>
      <c r="C1481" t="s">
        <v>1796</v>
      </c>
      <c r="D1481" t="s">
        <v>21</v>
      </c>
      <c r="E1481" t="s">
        <v>22</v>
      </c>
      <c r="F1481" t="s">
        <v>23</v>
      </c>
      <c r="G1481">
        <v>1</v>
      </c>
      <c r="H1481">
        <v>9791189084813</v>
      </c>
      <c r="I1481" t="s">
        <v>143</v>
      </c>
      <c r="J1481" t="s">
        <v>563</v>
      </c>
      <c r="K1481" t="s">
        <v>564</v>
      </c>
      <c r="L1481" t="s">
        <v>27</v>
      </c>
      <c r="M1481" s="3">
        <v>4000</v>
      </c>
      <c r="N1481" t="s">
        <v>27</v>
      </c>
      <c r="O1481" s="3">
        <v>4000</v>
      </c>
      <c r="P1481" s="3">
        <v>4000</v>
      </c>
      <c r="Q1481" t="s">
        <v>30</v>
      </c>
      <c r="R1481" s="2">
        <v>0.7</v>
      </c>
      <c r="S1481" s="3">
        <v>2800</v>
      </c>
      <c r="T1481" t="s">
        <v>27</v>
      </c>
      <c r="U1481" s="3">
        <v>2800</v>
      </c>
      <c r="V1481" s="7" t="str">
        <f>IF(ISERROR(VLOOKUP(K1481,[1]작가별정산률!$R:$S,2,0)),"스토리위즈",VLOOKUP(K1481,[1]작가별정산률!$R:$S,2,0))</f>
        <v>스토리위즈</v>
      </c>
      <c r="W1481" s="7" t="str">
        <f>IF(V1481="스토리위즈",VLOOKUP(K1481,[1]작가별정산률!$A:$B,2,0),V1481)</f>
        <v>셔틀</v>
      </c>
    </row>
    <row r="1482" spans="1:23" x14ac:dyDescent="0.4">
      <c r="A1482" t="s">
        <v>262</v>
      </c>
      <c r="B1482" t="s">
        <v>1766</v>
      </c>
      <c r="C1482" t="s">
        <v>1797</v>
      </c>
      <c r="D1482" t="s">
        <v>21</v>
      </c>
      <c r="E1482" t="s">
        <v>22</v>
      </c>
      <c r="F1482" t="s">
        <v>23</v>
      </c>
      <c r="G1482">
        <v>1</v>
      </c>
      <c r="H1482">
        <v>9791191562439</v>
      </c>
      <c r="I1482" t="s">
        <v>143</v>
      </c>
      <c r="J1482" t="s">
        <v>1661</v>
      </c>
      <c r="K1482" t="s">
        <v>188</v>
      </c>
      <c r="L1482" t="s">
        <v>27</v>
      </c>
      <c r="M1482" s="3">
        <v>2500</v>
      </c>
      <c r="N1482" t="s">
        <v>27</v>
      </c>
      <c r="O1482" s="3">
        <v>2500</v>
      </c>
      <c r="P1482" s="3">
        <v>2500</v>
      </c>
      <c r="Q1482" t="s">
        <v>30</v>
      </c>
      <c r="R1482" s="2">
        <v>0.7</v>
      </c>
      <c r="S1482" s="3">
        <v>1750</v>
      </c>
      <c r="T1482" t="s">
        <v>27</v>
      </c>
      <c r="U1482" s="3">
        <v>1750</v>
      </c>
      <c r="V1482" s="7" t="str">
        <f>IF(ISERROR(VLOOKUP(K1482,[1]작가별정산률!$R:$S,2,0)),"스토리위즈",VLOOKUP(K1482,[1]작가별정산률!$R:$S,2,0))</f>
        <v>밀리의 서재</v>
      </c>
      <c r="W1482" s="7" t="str">
        <f>IF(V1482="스토리위즈",VLOOKUP(K1482,[1]작가별정산률!$A:$B,2,0),V1482)</f>
        <v>밀리의 서재</v>
      </c>
    </row>
    <row r="1483" spans="1:23" x14ac:dyDescent="0.4">
      <c r="A1483" t="s">
        <v>262</v>
      </c>
      <c r="B1483" t="s">
        <v>1766</v>
      </c>
      <c r="C1483" t="s">
        <v>1798</v>
      </c>
      <c r="D1483" t="s">
        <v>64</v>
      </c>
      <c r="E1483" t="s">
        <v>22</v>
      </c>
      <c r="F1483" t="s">
        <v>23</v>
      </c>
      <c r="G1483">
        <v>1</v>
      </c>
      <c r="H1483">
        <v>9791166300622</v>
      </c>
      <c r="I1483" t="s">
        <v>24</v>
      </c>
      <c r="J1483" t="s">
        <v>164</v>
      </c>
      <c r="K1483" t="s">
        <v>119</v>
      </c>
      <c r="L1483" t="s">
        <v>27</v>
      </c>
      <c r="M1483">
        <v>630</v>
      </c>
      <c r="N1483" t="s">
        <v>27</v>
      </c>
      <c r="O1483">
        <v>630</v>
      </c>
      <c r="P1483">
        <v>630</v>
      </c>
      <c r="Q1483" t="s">
        <v>30</v>
      </c>
      <c r="R1483" s="2">
        <v>0.7</v>
      </c>
      <c r="S1483">
        <v>441</v>
      </c>
      <c r="T1483" t="s">
        <v>27</v>
      </c>
      <c r="U1483">
        <v>441</v>
      </c>
      <c r="V1483" s="7" t="str">
        <f>IF(ISERROR(VLOOKUP(K1483,[1]작가별정산률!$R:$S,2,0)),"스토리위즈",VLOOKUP(K1483,[1]작가별정산률!$R:$S,2,0))</f>
        <v>스토리위즈</v>
      </c>
      <c r="W1483" s="7" t="str">
        <f>IF(V1483="스토리위즈",VLOOKUP(K1483,[1]작가별정산률!$A:$B,2,0),V1483)</f>
        <v>김광수</v>
      </c>
    </row>
    <row r="1484" spans="1:23" x14ac:dyDescent="0.4">
      <c r="A1484" t="s">
        <v>262</v>
      </c>
      <c r="B1484" t="s">
        <v>1766</v>
      </c>
      <c r="C1484" t="s">
        <v>1799</v>
      </c>
      <c r="D1484" t="s">
        <v>21</v>
      </c>
      <c r="E1484" t="s">
        <v>22</v>
      </c>
      <c r="F1484" t="s">
        <v>23</v>
      </c>
      <c r="G1484">
        <v>1</v>
      </c>
      <c r="H1484">
        <v>9791191562415</v>
      </c>
      <c r="I1484" t="s">
        <v>143</v>
      </c>
      <c r="J1484" t="s">
        <v>1077</v>
      </c>
      <c r="K1484" t="s">
        <v>1078</v>
      </c>
      <c r="L1484" t="s">
        <v>27</v>
      </c>
      <c r="M1484" s="3">
        <v>2000</v>
      </c>
      <c r="N1484" t="s">
        <v>27</v>
      </c>
      <c r="O1484" s="3">
        <v>2000</v>
      </c>
      <c r="P1484" s="3">
        <v>2000</v>
      </c>
      <c r="Q1484" t="s">
        <v>30</v>
      </c>
      <c r="R1484" s="2">
        <v>0.7</v>
      </c>
      <c r="S1484" s="3">
        <v>1400</v>
      </c>
      <c r="T1484" t="s">
        <v>27</v>
      </c>
      <c r="U1484" s="3">
        <v>1400</v>
      </c>
      <c r="V1484" s="7" t="str">
        <f>IF(ISERROR(VLOOKUP(K1484,[1]작가별정산률!$R:$S,2,0)),"스토리위즈",VLOOKUP(K1484,[1]작가별정산률!$R:$S,2,0))</f>
        <v>밀리의 서재</v>
      </c>
      <c r="W1484" s="7" t="str">
        <f>IF(V1484="스토리위즈",VLOOKUP(K1484,[1]작가별정산률!$A:$B,2,0),V1484)</f>
        <v>밀리의 서재</v>
      </c>
    </row>
    <row r="1485" spans="1:23" x14ac:dyDescent="0.4">
      <c r="A1485" t="s">
        <v>262</v>
      </c>
      <c r="B1485" t="s">
        <v>1766</v>
      </c>
      <c r="C1485" t="s">
        <v>1800</v>
      </c>
      <c r="D1485" t="s">
        <v>64</v>
      </c>
      <c r="E1485" t="s">
        <v>22</v>
      </c>
      <c r="F1485" t="s">
        <v>23</v>
      </c>
      <c r="G1485">
        <v>1</v>
      </c>
      <c r="H1485">
        <v>9791159282935</v>
      </c>
      <c r="I1485" t="s">
        <v>24</v>
      </c>
      <c r="J1485" t="s">
        <v>182</v>
      </c>
      <c r="K1485" t="s">
        <v>26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  <c r="V1485" s="7" t="str">
        <f>IF(ISERROR(VLOOKUP(K1485,[1]작가별정산률!$R:$S,2,0)),"스토리위즈",VLOOKUP(K1485,[1]작가별정산률!$R:$S,2,0))</f>
        <v>스토리위즈</v>
      </c>
      <c r="W1485" s="7" t="str">
        <f>IF(V1485="스토리위즈",VLOOKUP(K1485,[1]작가별정산률!$A:$B,2,0),V1485)</f>
        <v>독고진</v>
      </c>
    </row>
    <row r="1486" spans="1:23" x14ac:dyDescent="0.4">
      <c r="A1486" t="s">
        <v>262</v>
      </c>
      <c r="B1486" t="s">
        <v>1766</v>
      </c>
      <c r="C1486" t="s">
        <v>1801</v>
      </c>
      <c r="D1486" t="s">
        <v>64</v>
      </c>
      <c r="E1486" t="s">
        <v>22</v>
      </c>
      <c r="F1486" t="s">
        <v>23</v>
      </c>
      <c r="G1486">
        <v>1</v>
      </c>
      <c r="H1486">
        <v>9791166300639</v>
      </c>
      <c r="I1486" t="s">
        <v>24</v>
      </c>
      <c r="J1486" t="s">
        <v>165</v>
      </c>
      <c r="K1486" t="s">
        <v>119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  <c r="V1486" s="7" t="str">
        <f>IF(ISERROR(VLOOKUP(K1486,[1]작가별정산률!$R:$S,2,0)),"스토리위즈",VLOOKUP(K1486,[1]작가별정산률!$R:$S,2,0))</f>
        <v>스토리위즈</v>
      </c>
      <c r="W1486" s="7" t="str">
        <f>IF(V1486="스토리위즈",VLOOKUP(K1486,[1]작가별정산률!$A:$B,2,0),V1486)</f>
        <v>김광수</v>
      </c>
    </row>
    <row r="1487" spans="1:23" x14ac:dyDescent="0.4">
      <c r="A1487" t="s">
        <v>262</v>
      </c>
      <c r="B1487" t="s">
        <v>1766</v>
      </c>
      <c r="C1487" t="s">
        <v>1802</v>
      </c>
      <c r="D1487" t="s">
        <v>64</v>
      </c>
      <c r="E1487" t="s">
        <v>22</v>
      </c>
      <c r="F1487" t="s">
        <v>23</v>
      </c>
      <c r="G1487">
        <v>1</v>
      </c>
      <c r="H1487">
        <v>9791166061127</v>
      </c>
      <c r="I1487" t="s">
        <v>24</v>
      </c>
      <c r="J1487" t="s">
        <v>100</v>
      </c>
      <c r="K1487" t="s">
        <v>37</v>
      </c>
      <c r="L1487" t="s">
        <v>27</v>
      </c>
      <c r="M1487">
        <v>900</v>
      </c>
      <c r="N1487" t="s">
        <v>27</v>
      </c>
      <c r="O1487">
        <v>900</v>
      </c>
      <c r="P1487">
        <v>900</v>
      </c>
      <c r="Q1487" t="s">
        <v>30</v>
      </c>
      <c r="R1487" s="2">
        <v>0.7</v>
      </c>
      <c r="S1487">
        <v>630</v>
      </c>
      <c r="T1487" t="s">
        <v>27</v>
      </c>
      <c r="U1487">
        <v>630</v>
      </c>
      <c r="V1487" s="7" t="str">
        <f>IF(ISERROR(VLOOKUP(K1487,[1]작가별정산률!$R:$S,2,0)),"스토리위즈",VLOOKUP(K1487,[1]작가별정산률!$R:$S,2,0))</f>
        <v>스토리위즈</v>
      </c>
      <c r="W1487" s="7" t="str">
        <f>IF(V1487="스토리위즈",VLOOKUP(K1487,[1]작가별정산률!$A:$B,2,0),V1487)</f>
        <v>권용찬</v>
      </c>
    </row>
    <row r="1488" spans="1:23" x14ac:dyDescent="0.4">
      <c r="A1488" t="s">
        <v>262</v>
      </c>
      <c r="B1488" t="s">
        <v>1766</v>
      </c>
      <c r="C1488" t="s">
        <v>1803</v>
      </c>
      <c r="D1488" t="s">
        <v>21</v>
      </c>
      <c r="E1488" t="s">
        <v>22</v>
      </c>
      <c r="F1488" t="s">
        <v>23</v>
      </c>
      <c r="G1488">
        <v>1</v>
      </c>
      <c r="H1488">
        <v>9791191562286</v>
      </c>
      <c r="I1488" t="s">
        <v>143</v>
      </c>
      <c r="J1488" t="s">
        <v>238</v>
      </c>
      <c r="K1488" t="s">
        <v>239</v>
      </c>
      <c r="L1488" t="s">
        <v>27</v>
      </c>
      <c r="M1488" s="3">
        <v>2000</v>
      </c>
      <c r="N1488" t="s">
        <v>27</v>
      </c>
      <c r="O1488" s="3">
        <v>2000</v>
      </c>
      <c r="P1488" s="3">
        <v>2000</v>
      </c>
      <c r="Q1488" t="s">
        <v>30</v>
      </c>
      <c r="R1488" s="2">
        <v>0.7</v>
      </c>
      <c r="S1488" s="3">
        <v>1400</v>
      </c>
      <c r="T1488" t="s">
        <v>27</v>
      </c>
      <c r="U1488" s="3">
        <v>1400</v>
      </c>
      <c r="V1488" s="7" t="str">
        <f>IF(ISERROR(VLOOKUP(K1488,[1]작가별정산률!$R:$S,2,0)),"스토리위즈",VLOOKUP(K1488,[1]작가별정산률!$R:$S,2,0))</f>
        <v>밀리의 서재</v>
      </c>
      <c r="W1488" s="7" t="str">
        <f>IF(V1488="스토리위즈",VLOOKUP(K1488,[1]작가별정산률!$A:$B,2,0),V1488)</f>
        <v>밀리의 서재</v>
      </c>
    </row>
    <row r="1489" spans="1:23" x14ac:dyDescent="0.4">
      <c r="A1489" t="s">
        <v>262</v>
      </c>
      <c r="B1489" t="s">
        <v>1766</v>
      </c>
      <c r="C1489" t="s">
        <v>1804</v>
      </c>
      <c r="D1489" t="s">
        <v>21</v>
      </c>
      <c r="E1489" t="s">
        <v>22</v>
      </c>
      <c r="F1489" t="s">
        <v>23</v>
      </c>
      <c r="G1489">
        <v>1</v>
      </c>
      <c r="H1489">
        <v>9791189084813</v>
      </c>
      <c r="I1489" t="s">
        <v>143</v>
      </c>
      <c r="J1489" t="s">
        <v>563</v>
      </c>
      <c r="K1489" t="s">
        <v>564</v>
      </c>
      <c r="L1489" t="s">
        <v>27</v>
      </c>
      <c r="M1489" s="3">
        <v>4000</v>
      </c>
      <c r="N1489" t="s">
        <v>27</v>
      </c>
      <c r="O1489" s="3">
        <v>4000</v>
      </c>
      <c r="P1489" s="3">
        <v>4000</v>
      </c>
      <c r="Q1489" t="s">
        <v>30</v>
      </c>
      <c r="R1489" s="2">
        <v>0.7</v>
      </c>
      <c r="S1489" s="3">
        <v>2800</v>
      </c>
      <c r="T1489" t="s">
        <v>27</v>
      </c>
      <c r="U1489" s="3">
        <v>2800</v>
      </c>
      <c r="V1489" s="7" t="str">
        <f>IF(ISERROR(VLOOKUP(K1489,[1]작가별정산률!$R:$S,2,0)),"스토리위즈",VLOOKUP(K1489,[1]작가별정산률!$R:$S,2,0))</f>
        <v>스토리위즈</v>
      </c>
      <c r="W1489" s="7" t="str">
        <f>IF(V1489="스토리위즈",VLOOKUP(K1489,[1]작가별정산률!$A:$B,2,0),V1489)</f>
        <v>셔틀</v>
      </c>
    </row>
    <row r="1490" spans="1:23" x14ac:dyDescent="0.4">
      <c r="A1490" t="s">
        <v>262</v>
      </c>
      <c r="B1490" t="s">
        <v>1766</v>
      </c>
      <c r="C1490" t="s">
        <v>1805</v>
      </c>
      <c r="D1490" t="s">
        <v>64</v>
      </c>
      <c r="E1490" t="s">
        <v>22</v>
      </c>
      <c r="F1490" t="s">
        <v>23</v>
      </c>
      <c r="G1490">
        <v>1</v>
      </c>
      <c r="H1490">
        <v>9791166300172</v>
      </c>
      <c r="I1490" t="s">
        <v>24</v>
      </c>
      <c r="J1490" t="s">
        <v>127</v>
      </c>
      <c r="K1490" t="s">
        <v>119</v>
      </c>
      <c r="L1490" t="s">
        <v>27</v>
      </c>
      <c r="M1490">
        <v>630</v>
      </c>
      <c r="N1490" t="s">
        <v>27</v>
      </c>
      <c r="O1490">
        <v>630</v>
      </c>
      <c r="P1490">
        <v>630</v>
      </c>
      <c r="Q1490" t="s">
        <v>30</v>
      </c>
      <c r="R1490" s="2">
        <v>0.7</v>
      </c>
      <c r="S1490">
        <v>441</v>
      </c>
      <c r="T1490" t="s">
        <v>27</v>
      </c>
      <c r="U1490">
        <v>441</v>
      </c>
      <c r="V1490" s="7" t="str">
        <f>IF(ISERROR(VLOOKUP(K1490,[1]작가별정산률!$R:$S,2,0)),"스토리위즈",VLOOKUP(K1490,[1]작가별정산률!$R:$S,2,0))</f>
        <v>스토리위즈</v>
      </c>
      <c r="W1490" s="7" t="str">
        <f>IF(V1490="스토리위즈",VLOOKUP(K1490,[1]작가별정산률!$A:$B,2,0),V1490)</f>
        <v>김광수</v>
      </c>
    </row>
    <row r="1491" spans="1:23" x14ac:dyDescent="0.4">
      <c r="A1491" t="s">
        <v>262</v>
      </c>
      <c r="B1491" t="s">
        <v>1766</v>
      </c>
      <c r="C1491" t="s">
        <v>1806</v>
      </c>
      <c r="D1491" t="s">
        <v>21</v>
      </c>
      <c r="E1491" t="s">
        <v>22</v>
      </c>
      <c r="F1491" t="s">
        <v>23</v>
      </c>
      <c r="G1491">
        <v>1</v>
      </c>
      <c r="H1491">
        <v>9791189084813</v>
      </c>
      <c r="I1491" t="s">
        <v>143</v>
      </c>
      <c r="J1491" t="s">
        <v>563</v>
      </c>
      <c r="K1491" t="s">
        <v>564</v>
      </c>
      <c r="L1491" t="s">
        <v>27</v>
      </c>
      <c r="M1491" s="3">
        <v>4000</v>
      </c>
      <c r="N1491" t="s">
        <v>27</v>
      </c>
      <c r="O1491" s="3">
        <v>4000</v>
      </c>
      <c r="P1491" s="3">
        <v>4000</v>
      </c>
      <c r="Q1491" t="s">
        <v>30</v>
      </c>
      <c r="R1491" s="2">
        <v>0.7</v>
      </c>
      <c r="S1491" s="3">
        <v>2800</v>
      </c>
      <c r="T1491" t="s">
        <v>27</v>
      </c>
      <c r="U1491" s="3">
        <v>2800</v>
      </c>
      <c r="V1491" s="7" t="str">
        <f>IF(ISERROR(VLOOKUP(K1491,[1]작가별정산률!$R:$S,2,0)),"스토리위즈",VLOOKUP(K1491,[1]작가별정산률!$R:$S,2,0))</f>
        <v>스토리위즈</v>
      </c>
      <c r="W1491" s="7" t="str">
        <f>IF(V1491="스토리위즈",VLOOKUP(K1491,[1]작가별정산률!$A:$B,2,0),V1491)</f>
        <v>셔틀</v>
      </c>
    </row>
    <row r="1492" spans="1:23" x14ac:dyDescent="0.4">
      <c r="A1492" t="s">
        <v>262</v>
      </c>
      <c r="B1492" t="s">
        <v>1766</v>
      </c>
      <c r="C1492" t="s">
        <v>1807</v>
      </c>
      <c r="D1492" t="s">
        <v>64</v>
      </c>
      <c r="E1492" t="s">
        <v>22</v>
      </c>
      <c r="F1492" t="s">
        <v>23</v>
      </c>
      <c r="G1492">
        <v>1</v>
      </c>
      <c r="H1492">
        <v>9791159282904</v>
      </c>
      <c r="I1492" t="s">
        <v>24</v>
      </c>
      <c r="J1492" t="s">
        <v>38</v>
      </c>
      <c r="K1492" t="s">
        <v>26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2">
        <v>0.7</v>
      </c>
      <c r="S1492">
        <v>441</v>
      </c>
      <c r="T1492" t="s">
        <v>27</v>
      </c>
      <c r="U1492">
        <v>441</v>
      </c>
      <c r="V1492" s="7" t="str">
        <f>IF(ISERROR(VLOOKUP(K1492,[1]작가별정산률!$R:$S,2,0)),"스토리위즈",VLOOKUP(K1492,[1]작가별정산률!$R:$S,2,0))</f>
        <v>스토리위즈</v>
      </c>
      <c r="W1492" s="7" t="str">
        <f>IF(V1492="스토리위즈",VLOOKUP(K1492,[1]작가별정산률!$A:$B,2,0),V1492)</f>
        <v>독고진</v>
      </c>
    </row>
    <row r="1493" spans="1:23" x14ac:dyDescent="0.4">
      <c r="A1493" t="s">
        <v>262</v>
      </c>
      <c r="B1493" t="s">
        <v>1766</v>
      </c>
      <c r="C1493" t="s">
        <v>1808</v>
      </c>
      <c r="D1493" t="s">
        <v>64</v>
      </c>
      <c r="E1493" t="s">
        <v>22</v>
      </c>
      <c r="F1493" t="s">
        <v>23</v>
      </c>
      <c r="G1493">
        <v>1</v>
      </c>
      <c r="H1493">
        <v>9791166300233</v>
      </c>
      <c r="I1493" t="s">
        <v>24</v>
      </c>
      <c r="J1493" t="s">
        <v>132</v>
      </c>
      <c r="K1493" t="s">
        <v>119</v>
      </c>
      <c r="L1493" t="s">
        <v>27</v>
      </c>
      <c r="M1493">
        <v>630</v>
      </c>
      <c r="N1493" t="s">
        <v>27</v>
      </c>
      <c r="O1493">
        <v>630</v>
      </c>
      <c r="P1493">
        <v>630</v>
      </c>
      <c r="Q1493" t="s">
        <v>30</v>
      </c>
      <c r="R1493" s="2">
        <v>0.7</v>
      </c>
      <c r="S1493">
        <v>441</v>
      </c>
      <c r="T1493" t="s">
        <v>27</v>
      </c>
      <c r="U1493">
        <v>441</v>
      </c>
      <c r="V1493" s="7" t="str">
        <f>IF(ISERROR(VLOOKUP(K1493,[1]작가별정산률!$R:$S,2,0)),"스토리위즈",VLOOKUP(K1493,[1]작가별정산률!$R:$S,2,0))</f>
        <v>스토리위즈</v>
      </c>
      <c r="W1493" s="7" t="str">
        <f>IF(V1493="스토리위즈",VLOOKUP(K1493,[1]작가별정산률!$A:$B,2,0),V1493)</f>
        <v>김광수</v>
      </c>
    </row>
    <row r="1494" spans="1:23" x14ac:dyDescent="0.4">
      <c r="A1494" t="s">
        <v>262</v>
      </c>
      <c r="B1494" t="s">
        <v>1766</v>
      </c>
      <c r="C1494" t="s">
        <v>1809</v>
      </c>
      <c r="D1494" t="s">
        <v>64</v>
      </c>
      <c r="E1494" t="s">
        <v>22</v>
      </c>
      <c r="F1494" t="s">
        <v>23</v>
      </c>
      <c r="G1494">
        <v>1</v>
      </c>
      <c r="H1494">
        <v>9791166300646</v>
      </c>
      <c r="I1494" t="s">
        <v>24</v>
      </c>
      <c r="J1494" t="s">
        <v>155</v>
      </c>
      <c r="K1494" t="s">
        <v>119</v>
      </c>
      <c r="L1494" t="s">
        <v>27</v>
      </c>
      <c r="M1494">
        <v>630</v>
      </c>
      <c r="N1494" t="s">
        <v>27</v>
      </c>
      <c r="O1494">
        <v>630</v>
      </c>
      <c r="P1494">
        <v>630</v>
      </c>
      <c r="Q1494" t="s">
        <v>30</v>
      </c>
      <c r="R1494" s="2">
        <v>0.7</v>
      </c>
      <c r="S1494">
        <v>441</v>
      </c>
      <c r="T1494" t="s">
        <v>27</v>
      </c>
      <c r="U1494">
        <v>441</v>
      </c>
      <c r="V1494" s="7" t="str">
        <f>IF(ISERROR(VLOOKUP(K1494,[1]작가별정산률!$R:$S,2,0)),"스토리위즈",VLOOKUP(K1494,[1]작가별정산률!$R:$S,2,0))</f>
        <v>스토리위즈</v>
      </c>
      <c r="W1494" s="7" t="str">
        <f>IF(V1494="스토리위즈",VLOOKUP(K1494,[1]작가별정산률!$A:$B,2,0),V1494)</f>
        <v>김광수</v>
      </c>
    </row>
    <row r="1495" spans="1:23" x14ac:dyDescent="0.4">
      <c r="A1495" t="s">
        <v>262</v>
      </c>
      <c r="B1495" t="s">
        <v>1766</v>
      </c>
      <c r="C1495" t="s">
        <v>1810</v>
      </c>
      <c r="D1495" t="s">
        <v>64</v>
      </c>
      <c r="E1495" t="s">
        <v>22</v>
      </c>
      <c r="F1495" t="s">
        <v>23</v>
      </c>
      <c r="G1495">
        <v>1</v>
      </c>
      <c r="H1495">
        <v>9791166061134</v>
      </c>
      <c r="I1495" t="s">
        <v>24</v>
      </c>
      <c r="J1495" t="s">
        <v>98</v>
      </c>
      <c r="K1495" t="s">
        <v>37</v>
      </c>
      <c r="L1495" t="s">
        <v>27</v>
      </c>
      <c r="M1495">
        <v>900</v>
      </c>
      <c r="N1495" t="s">
        <v>27</v>
      </c>
      <c r="O1495">
        <v>900</v>
      </c>
      <c r="P1495">
        <v>900</v>
      </c>
      <c r="Q1495" t="s">
        <v>30</v>
      </c>
      <c r="R1495" s="2">
        <v>0.7</v>
      </c>
      <c r="S1495">
        <v>630</v>
      </c>
      <c r="T1495" t="s">
        <v>27</v>
      </c>
      <c r="U1495">
        <v>630</v>
      </c>
      <c r="V1495" s="7" t="str">
        <f>IF(ISERROR(VLOOKUP(K1495,[1]작가별정산률!$R:$S,2,0)),"스토리위즈",VLOOKUP(K1495,[1]작가별정산률!$R:$S,2,0))</f>
        <v>스토리위즈</v>
      </c>
      <c r="W1495" s="7" t="str">
        <f>IF(V1495="스토리위즈",VLOOKUP(K1495,[1]작가별정산률!$A:$B,2,0),V1495)</f>
        <v>권용찬</v>
      </c>
    </row>
    <row r="1496" spans="1:23" x14ac:dyDescent="0.4">
      <c r="A1496" t="s">
        <v>262</v>
      </c>
      <c r="B1496" t="s">
        <v>1766</v>
      </c>
      <c r="C1496" t="s">
        <v>1811</v>
      </c>
      <c r="D1496" t="s">
        <v>21</v>
      </c>
      <c r="E1496" t="s">
        <v>22</v>
      </c>
      <c r="F1496" t="s">
        <v>216</v>
      </c>
      <c r="G1496">
        <v>1</v>
      </c>
      <c r="H1496">
        <v>9791191562361</v>
      </c>
      <c r="I1496" t="s">
        <v>143</v>
      </c>
      <c r="J1496" t="s">
        <v>916</v>
      </c>
      <c r="K1496" t="s">
        <v>186</v>
      </c>
      <c r="L1496" t="s">
        <v>27</v>
      </c>
      <c r="M1496" s="3">
        <v>2000</v>
      </c>
      <c r="N1496" t="s">
        <v>28</v>
      </c>
      <c r="O1496">
        <v>1.65</v>
      </c>
      <c r="P1496">
        <v>1.65</v>
      </c>
      <c r="Q1496" t="s">
        <v>29</v>
      </c>
      <c r="R1496" s="2">
        <v>0.7</v>
      </c>
      <c r="S1496">
        <v>1.1499999999999999</v>
      </c>
      <c r="T1496" t="s">
        <v>27</v>
      </c>
      <c r="U1496" s="3">
        <v>1441</v>
      </c>
      <c r="V1496" s="7" t="str">
        <f>IF(ISERROR(VLOOKUP(K1496,[1]작가별정산률!$R:$S,2,0)),"스토리위즈",VLOOKUP(K1496,[1]작가별정산률!$R:$S,2,0))</f>
        <v>밀리의 서재</v>
      </c>
      <c r="W1496" s="7" t="str">
        <f>IF(V1496="스토리위즈",VLOOKUP(K1496,[1]작가별정산률!$A:$B,2,0),V1496)</f>
        <v>밀리의 서재</v>
      </c>
    </row>
    <row r="1497" spans="1:23" x14ac:dyDescent="0.4">
      <c r="A1497" t="s">
        <v>262</v>
      </c>
      <c r="B1497" t="s">
        <v>1766</v>
      </c>
      <c r="C1497" t="s">
        <v>1812</v>
      </c>
      <c r="D1497" t="s">
        <v>21</v>
      </c>
      <c r="E1497" t="s">
        <v>22</v>
      </c>
      <c r="F1497" t="s">
        <v>23</v>
      </c>
      <c r="G1497">
        <v>1</v>
      </c>
      <c r="H1497">
        <v>9791189084455</v>
      </c>
      <c r="I1497" t="s">
        <v>143</v>
      </c>
      <c r="J1497" t="s">
        <v>1446</v>
      </c>
      <c r="K1497" t="s">
        <v>1378</v>
      </c>
      <c r="L1497" t="s">
        <v>27</v>
      </c>
      <c r="M1497" s="3">
        <v>3000</v>
      </c>
      <c r="N1497" t="s">
        <v>27</v>
      </c>
      <c r="O1497" s="3">
        <v>3000</v>
      </c>
      <c r="P1497" s="3">
        <v>3000</v>
      </c>
      <c r="Q1497" t="s">
        <v>30</v>
      </c>
      <c r="R1497" s="2">
        <v>0.7</v>
      </c>
      <c r="S1497" s="3">
        <v>2100</v>
      </c>
      <c r="T1497" t="s">
        <v>27</v>
      </c>
      <c r="U1497" s="3">
        <v>2100</v>
      </c>
      <c r="V1497" s="7" t="str">
        <f>IF(ISERROR(VLOOKUP(K1497,[1]작가별정산률!$R:$S,2,0)),"스토리위즈",VLOOKUP(K1497,[1]작가별정산률!$R:$S,2,0))</f>
        <v>스토리위즈</v>
      </c>
      <c r="W1497" s="7" t="str">
        <f>IF(V1497="스토리위즈",VLOOKUP(K1497,[1]작가별정산률!$A:$B,2,0),V1497)</f>
        <v>밈스</v>
      </c>
    </row>
    <row r="1498" spans="1:23" x14ac:dyDescent="0.4">
      <c r="A1498" t="s">
        <v>262</v>
      </c>
      <c r="B1498" t="s">
        <v>1766</v>
      </c>
      <c r="C1498" t="s">
        <v>1813</v>
      </c>
      <c r="D1498" t="s">
        <v>21</v>
      </c>
      <c r="E1498" t="s">
        <v>22</v>
      </c>
      <c r="F1498" t="s">
        <v>23</v>
      </c>
      <c r="G1498">
        <v>1</v>
      </c>
      <c r="H1498">
        <v>9791191562019</v>
      </c>
      <c r="I1498" t="s">
        <v>143</v>
      </c>
      <c r="J1498" t="s">
        <v>194</v>
      </c>
      <c r="K1498" t="s">
        <v>186</v>
      </c>
      <c r="L1498" t="s">
        <v>27</v>
      </c>
      <c r="M1498" s="3">
        <v>2000</v>
      </c>
      <c r="N1498" t="s">
        <v>28</v>
      </c>
      <c r="O1498">
        <v>1.65</v>
      </c>
      <c r="P1498">
        <v>1.65</v>
      </c>
      <c r="Q1498" t="s">
        <v>29</v>
      </c>
      <c r="R1498" s="2">
        <v>0.7</v>
      </c>
      <c r="S1498">
        <v>1.1499999999999999</v>
      </c>
      <c r="T1498" t="s">
        <v>27</v>
      </c>
      <c r="U1498" s="3">
        <v>1458</v>
      </c>
      <c r="V1498" s="7" t="str">
        <f>IF(ISERROR(VLOOKUP(K1498,[1]작가별정산률!$R:$S,2,0)),"스토리위즈",VLOOKUP(K1498,[1]작가별정산률!$R:$S,2,0))</f>
        <v>밀리의 서재</v>
      </c>
      <c r="W1498" s="7" t="str">
        <f>IF(V1498="스토리위즈",VLOOKUP(K1498,[1]작가별정산률!$A:$B,2,0),V1498)</f>
        <v>밀리의 서재</v>
      </c>
    </row>
    <row r="1499" spans="1:23" x14ac:dyDescent="0.4">
      <c r="A1499" t="s">
        <v>262</v>
      </c>
      <c r="B1499" t="s">
        <v>1766</v>
      </c>
      <c r="C1499" t="s">
        <v>1814</v>
      </c>
      <c r="D1499" t="s">
        <v>64</v>
      </c>
      <c r="E1499" t="s">
        <v>22</v>
      </c>
      <c r="F1499" t="s">
        <v>23</v>
      </c>
      <c r="G1499">
        <v>1</v>
      </c>
      <c r="H1499">
        <v>9791166300134</v>
      </c>
      <c r="I1499" t="s">
        <v>24</v>
      </c>
      <c r="J1499" t="s">
        <v>123</v>
      </c>
      <c r="K1499" t="s">
        <v>119</v>
      </c>
      <c r="L1499" t="s">
        <v>27</v>
      </c>
      <c r="M1499">
        <v>630</v>
      </c>
      <c r="N1499" t="s">
        <v>27</v>
      </c>
      <c r="O1499">
        <v>630</v>
      </c>
      <c r="P1499">
        <v>630</v>
      </c>
      <c r="Q1499" t="s">
        <v>30</v>
      </c>
      <c r="R1499" s="2">
        <v>0.7</v>
      </c>
      <c r="S1499">
        <v>441</v>
      </c>
      <c r="T1499" t="s">
        <v>27</v>
      </c>
      <c r="U1499">
        <v>441</v>
      </c>
      <c r="V1499" s="7" t="str">
        <f>IF(ISERROR(VLOOKUP(K1499,[1]작가별정산률!$R:$S,2,0)),"스토리위즈",VLOOKUP(K1499,[1]작가별정산률!$R:$S,2,0))</f>
        <v>스토리위즈</v>
      </c>
      <c r="W1499" s="7" t="str">
        <f>IF(V1499="스토리위즈",VLOOKUP(K1499,[1]작가별정산률!$A:$B,2,0),V1499)</f>
        <v>김광수</v>
      </c>
    </row>
    <row r="1500" spans="1:23" x14ac:dyDescent="0.4">
      <c r="A1500" t="s">
        <v>262</v>
      </c>
      <c r="B1500" t="s">
        <v>1766</v>
      </c>
      <c r="C1500" t="s">
        <v>1815</v>
      </c>
      <c r="D1500" t="s">
        <v>21</v>
      </c>
      <c r="E1500" t="s">
        <v>22</v>
      </c>
      <c r="F1500" t="s">
        <v>23</v>
      </c>
      <c r="G1500">
        <v>1</v>
      </c>
      <c r="H1500">
        <v>9791191562163</v>
      </c>
      <c r="I1500" t="s">
        <v>143</v>
      </c>
      <c r="J1500" t="s">
        <v>214</v>
      </c>
      <c r="K1500" t="s">
        <v>215</v>
      </c>
      <c r="L1500" t="s">
        <v>27</v>
      </c>
      <c r="M1500" s="3">
        <v>2000</v>
      </c>
      <c r="N1500" t="s">
        <v>27</v>
      </c>
      <c r="O1500" s="3">
        <v>2000</v>
      </c>
      <c r="P1500" s="3">
        <v>2000</v>
      </c>
      <c r="Q1500" t="s">
        <v>30</v>
      </c>
      <c r="R1500" s="2">
        <v>0.7</v>
      </c>
      <c r="S1500" s="3">
        <v>1400</v>
      </c>
      <c r="T1500" t="s">
        <v>27</v>
      </c>
      <c r="U1500" s="3">
        <v>1400</v>
      </c>
      <c r="V1500" s="7" t="str">
        <f>IF(ISERROR(VLOOKUP(K1500,[1]작가별정산률!$R:$S,2,0)),"스토리위즈",VLOOKUP(K1500,[1]작가별정산률!$R:$S,2,0))</f>
        <v>밀리의 서재</v>
      </c>
      <c r="W1500" s="7" t="str">
        <f>IF(V1500="스토리위즈",VLOOKUP(K1500,[1]작가별정산률!$A:$B,2,0),V1500)</f>
        <v>밀리의 서재</v>
      </c>
    </row>
    <row r="1501" spans="1:23" x14ac:dyDescent="0.4">
      <c r="A1501" t="s">
        <v>262</v>
      </c>
      <c r="B1501" t="s">
        <v>1766</v>
      </c>
      <c r="C1501" t="s">
        <v>1816</v>
      </c>
      <c r="D1501" t="s">
        <v>64</v>
      </c>
      <c r="E1501" t="s">
        <v>22</v>
      </c>
      <c r="F1501" t="s">
        <v>23</v>
      </c>
      <c r="G1501">
        <v>1</v>
      </c>
      <c r="H1501">
        <v>9791166300165</v>
      </c>
      <c r="I1501" t="s">
        <v>24</v>
      </c>
      <c r="J1501" t="s">
        <v>126</v>
      </c>
      <c r="K1501" t="s">
        <v>119</v>
      </c>
      <c r="L1501" t="s">
        <v>27</v>
      </c>
      <c r="M1501">
        <v>630</v>
      </c>
      <c r="N1501" t="s">
        <v>27</v>
      </c>
      <c r="O1501">
        <v>630</v>
      </c>
      <c r="P1501">
        <v>630</v>
      </c>
      <c r="Q1501" t="s">
        <v>30</v>
      </c>
      <c r="R1501" s="2">
        <v>0.7</v>
      </c>
      <c r="S1501">
        <v>441</v>
      </c>
      <c r="T1501" t="s">
        <v>27</v>
      </c>
      <c r="U1501">
        <v>441</v>
      </c>
      <c r="V1501" s="7" t="str">
        <f>IF(ISERROR(VLOOKUP(K1501,[1]작가별정산률!$R:$S,2,0)),"스토리위즈",VLOOKUP(K1501,[1]작가별정산률!$R:$S,2,0))</f>
        <v>스토리위즈</v>
      </c>
      <c r="W1501" s="7" t="str">
        <f>IF(V1501="스토리위즈",VLOOKUP(K1501,[1]작가별정산률!$A:$B,2,0),V1501)</f>
        <v>김광수</v>
      </c>
    </row>
    <row r="1502" spans="1:23" x14ac:dyDescent="0.4">
      <c r="A1502" t="s">
        <v>262</v>
      </c>
      <c r="B1502" t="s">
        <v>1766</v>
      </c>
      <c r="C1502" t="s">
        <v>1817</v>
      </c>
      <c r="D1502" t="s">
        <v>21</v>
      </c>
      <c r="E1502" t="s">
        <v>22</v>
      </c>
      <c r="F1502" t="s">
        <v>23</v>
      </c>
      <c r="G1502">
        <v>1</v>
      </c>
      <c r="H1502">
        <v>9791189084462</v>
      </c>
      <c r="I1502" t="s">
        <v>143</v>
      </c>
      <c r="J1502" t="s">
        <v>1648</v>
      </c>
      <c r="K1502" t="s">
        <v>1378</v>
      </c>
      <c r="L1502" t="s">
        <v>27</v>
      </c>
      <c r="M1502" s="3">
        <v>3000</v>
      </c>
      <c r="N1502" t="s">
        <v>27</v>
      </c>
      <c r="O1502" s="3">
        <v>3000</v>
      </c>
      <c r="P1502" s="3">
        <v>3000</v>
      </c>
      <c r="Q1502" t="s">
        <v>30</v>
      </c>
      <c r="R1502" s="2">
        <v>0.7</v>
      </c>
      <c r="S1502" s="3">
        <v>2100</v>
      </c>
      <c r="T1502" t="s">
        <v>27</v>
      </c>
      <c r="U1502" s="3">
        <v>2100</v>
      </c>
      <c r="V1502" s="7" t="str">
        <f>IF(ISERROR(VLOOKUP(K1502,[1]작가별정산률!$R:$S,2,0)),"스토리위즈",VLOOKUP(K1502,[1]작가별정산률!$R:$S,2,0))</f>
        <v>스토리위즈</v>
      </c>
      <c r="W1502" s="7" t="str">
        <f>IF(V1502="스토리위즈",VLOOKUP(K1502,[1]작가별정산률!$A:$B,2,0),V1502)</f>
        <v>밈스</v>
      </c>
    </row>
    <row r="1503" spans="1:23" x14ac:dyDescent="0.4">
      <c r="A1503" t="s">
        <v>262</v>
      </c>
      <c r="B1503" t="s">
        <v>1766</v>
      </c>
      <c r="C1503" t="s">
        <v>1818</v>
      </c>
      <c r="D1503" t="s">
        <v>64</v>
      </c>
      <c r="E1503" t="s">
        <v>22</v>
      </c>
      <c r="F1503" t="s">
        <v>23</v>
      </c>
      <c r="G1503">
        <v>1</v>
      </c>
      <c r="H1503">
        <v>9791159282942</v>
      </c>
      <c r="I1503" t="s">
        <v>24</v>
      </c>
      <c r="J1503" t="s">
        <v>180</v>
      </c>
      <c r="K1503" t="s">
        <v>26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2">
        <v>0.7</v>
      </c>
      <c r="S1503">
        <v>441</v>
      </c>
      <c r="T1503" t="s">
        <v>27</v>
      </c>
      <c r="U1503">
        <v>441</v>
      </c>
      <c r="V1503" s="7" t="str">
        <f>IF(ISERROR(VLOOKUP(K1503,[1]작가별정산률!$R:$S,2,0)),"스토리위즈",VLOOKUP(K1503,[1]작가별정산률!$R:$S,2,0))</f>
        <v>스토리위즈</v>
      </c>
      <c r="W1503" s="7" t="str">
        <f>IF(V1503="스토리위즈",VLOOKUP(K1503,[1]작가별정산률!$A:$B,2,0),V1503)</f>
        <v>독고진</v>
      </c>
    </row>
    <row r="1504" spans="1:23" x14ac:dyDescent="0.4">
      <c r="A1504" t="s">
        <v>262</v>
      </c>
      <c r="B1504" t="s">
        <v>1766</v>
      </c>
      <c r="C1504" t="s">
        <v>1819</v>
      </c>
      <c r="D1504" t="s">
        <v>21</v>
      </c>
      <c r="E1504" t="s">
        <v>22</v>
      </c>
      <c r="F1504" t="s">
        <v>23</v>
      </c>
      <c r="G1504">
        <v>1</v>
      </c>
      <c r="H1504">
        <v>9791166300516</v>
      </c>
      <c r="I1504" t="s">
        <v>24</v>
      </c>
      <c r="J1504" t="s">
        <v>149</v>
      </c>
      <c r="K1504" t="s">
        <v>119</v>
      </c>
      <c r="L1504" t="s">
        <v>27</v>
      </c>
      <c r="M1504" s="3">
        <v>3200</v>
      </c>
      <c r="N1504" t="s">
        <v>27</v>
      </c>
      <c r="O1504" s="3">
        <v>3200</v>
      </c>
      <c r="P1504" s="3">
        <v>3200</v>
      </c>
      <c r="Q1504" t="s">
        <v>30</v>
      </c>
      <c r="R1504" s="2">
        <v>0.7</v>
      </c>
      <c r="S1504" s="3">
        <v>2240</v>
      </c>
      <c r="T1504" t="s">
        <v>27</v>
      </c>
      <c r="U1504" s="3">
        <v>2240</v>
      </c>
      <c r="V1504" s="7" t="str">
        <f>IF(ISERROR(VLOOKUP(K1504,[1]작가별정산률!$R:$S,2,0)),"스토리위즈",VLOOKUP(K1504,[1]작가별정산률!$R:$S,2,0))</f>
        <v>스토리위즈</v>
      </c>
      <c r="W1504" s="7" t="str">
        <f>IF(V1504="스토리위즈",VLOOKUP(K1504,[1]작가별정산률!$A:$B,2,0),V1504)</f>
        <v>김광수</v>
      </c>
    </row>
    <row r="1505" spans="1:23" x14ac:dyDescent="0.4">
      <c r="A1505" t="s">
        <v>262</v>
      </c>
      <c r="B1505" t="s">
        <v>1766</v>
      </c>
      <c r="C1505" t="s">
        <v>1820</v>
      </c>
      <c r="D1505" t="s">
        <v>64</v>
      </c>
      <c r="E1505" t="s">
        <v>22</v>
      </c>
      <c r="F1505" t="s">
        <v>23</v>
      </c>
      <c r="G1505">
        <v>1</v>
      </c>
      <c r="H1505">
        <v>9791166300158</v>
      </c>
      <c r="I1505" t="s">
        <v>24</v>
      </c>
      <c r="J1505" t="s">
        <v>125</v>
      </c>
      <c r="K1505" t="s">
        <v>119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  <c r="V1505" s="7" t="str">
        <f>IF(ISERROR(VLOOKUP(K1505,[1]작가별정산률!$R:$S,2,0)),"스토리위즈",VLOOKUP(K1505,[1]작가별정산률!$R:$S,2,0))</f>
        <v>스토리위즈</v>
      </c>
      <c r="W1505" s="7" t="str">
        <f>IF(V1505="스토리위즈",VLOOKUP(K1505,[1]작가별정산률!$A:$B,2,0),V1505)</f>
        <v>김광수</v>
      </c>
    </row>
    <row r="1506" spans="1:23" x14ac:dyDescent="0.4">
      <c r="A1506" t="s">
        <v>262</v>
      </c>
      <c r="B1506" t="s">
        <v>1766</v>
      </c>
      <c r="C1506" t="s">
        <v>1821</v>
      </c>
      <c r="D1506" t="s">
        <v>64</v>
      </c>
      <c r="E1506" t="s">
        <v>22</v>
      </c>
      <c r="F1506" t="s">
        <v>23</v>
      </c>
      <c r="G1506">
        <v>1</v>
      </c>
      <c r="H1506">
        <v>9791159282911</v>
      </c>
      <c r="I1506" t="s">
        <v>24</v>
      </c>
      <c r="J1506" t="s">
        <v>39</v>
      </c>
      <c r="K1506" t="s">
        <v>26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2">
        <v>0.7</v>
      </c>
      <c r="S1506">
        <v>441</v>
      </c>
      <c r="T1506" t="s">
        <v>27</v>
      </c>
      <c r="U1506">
        <v>441</v>
      </c>
      <c r="V1506" s="7" t="str">
        <f>IF(ISERROR(VLOOKUP(K1506,[1]작가별정산률!$R:$S,2,0)),"스토리위즈",VLOOKUP(K1506,[1]작가별정산률!$R:$S,2,0))</f>
        <v>스토리위즈</v>
      </c>
      <c r="W1506" s="7" t="str">
        <f>IF(V1506="스토리위즈",VLOOKUP(K1506,[1]작가별정산률!$A:$B,2,0),V1506)</f>
        <v>독고진</v>
      </c>
    </row>
    <row r="1507" spans="1:23" x14ac:dyDescent="0.4">
      <c r="A1507" t="s">
        <v>262</v>
      </c>
      <c r="B1507" t="s">
        <v>1766</v>
      </c>
      <c r="C1507" t="s">
        <v>1822</v>
      </c>
      <c r="D1507" t="s">
        <v>21</v>
      </c>
      <c r="E1507" t="s">
        <v>22</v>
      </c>
      <c r="F1507" t="s">
        <v>23</v>
      </c>
      <c r="G1507">
        <v>1</v>
      </c>
      <c r="H1507">
        <v>9791191562224</v>
      </c>
      <c r="I1507" t="s">
        <v>143</v>
      </c>
      <c r="J1507" t="s">
        <v>221</v>
      </c>
      <c r="K1507" t="s">
        <v>222</v>
      </c>
      <c r="L1507" t="s">
        <v>27</v>
      </c>
      <c r="M1507" s="3">
        <v>2500</v>
      </c>
      <c r="N1507" t="s">
        <v>27</v>
      </c>
      <c r="O1507" s="3">
        <v>2500</v>
      </c>
      <c r="P1507" s="3">
        <v>2500</v>
      </c>
      <c r="Q1507" t="s">
        <v>30</v>
      </c>
      <c r="R1507" s="2">
        <v>0.7</v>
      </c>
      <c r="S1507" s="3">
        <v>1750</v>
      </c>
      <c r="T1507" t="s">
        <v>27</v>
      </c>
      <c r="U1507" s="3">
        <v>1750</v>
      </c>
      <c r="V1507" s="7" t="str">
        <f>IF(ISERROR(VLOOKUP(K1507,[1]작가별정산률!$R:$S,2,0)),"스토리위즈",VLOOKUP(K1507,[1]작가별정산률!$R:$S,2,0))</f>
        <v>밀리의 서재</v>
      </c>
      <c r="W1507" s="7" t="str">
        <f>IF(V1507="스토리위즈",VLOOKUP(K1507,[1]작가별정산률!$A:$B,2,0),V1507)</f>
        <v>밀리의 서재</v>
      </c>
    </row>
    <row r="1508" spans="1:23" x14ac:dyDescent="0.4">
      <c r="A1508" t="s">
        <v>262</v>
      </c>
      <c r="B1508" t="s">
        <v>1766</v>
      </c>
      <c r="C1508" t="s">
        <v>1823</v>
      </c>
      <c r="D1508" t="s">
        <v>21</v>
      </c>
      <c r="E1508" t="s">
        <v>22</v>
      </c>
      <c r="F1508" t="s">
        <v>23</v>
      </c>
      <c r="G1508">
        <v>1</v>
      </c>
      <c r="H1508">
        <v>9791189627072</v>
      </c>
      <c r="I1508" t="s">
        <v>143</v>
      </c>
      <c r="J1508" t="s">
        <v>1034</v>
      </c>
      <c r="K1508" t="s">
        <v>1035</v>
      </c>
      <c r="L1508" t="s">
        <v>27</v>
      </c>
      <c r="M1508" s="3">
        <v>2200</v>
      </c>
      <c r="N1508" t="s">
        <v>27</v>
      </c>
      <c r="O1508" s="3">
        <v>2200</v>
      </c>
      <c r="P1508" s="3">
        <v>2200</v>
      </c>
      <c r="Q1508" t="s">
        <v>30</v>
      </c>
      <c r="R1508" s="2">
        <v>0.7</v>
      </c>
      <c r="S1508" s="3">
        <v>1540</v>
      </c>
      <c r="T1508" t="s">
        <v>27</v>
      </c>
      <c r="U1508" s="3">
        <v>1540</v>
      </c>
      <c r="V1508" s="7" t="str">
        <f>IF(ISERROR(VLOOKUP(K1508,[1]작가별정산률!$R:$S,2,0)),"스토리위즈",VLOOKUP(K1508,[1]작가별정산률!$R:$S,2,0))</f>
        <v>스토리위즈</v>
      </c>
      <c r="W1508" s="7" t="str">
        <f>IF(V1508="스토리위즈",VLOOKUP(K1508,[1]작가별정산률!$A:$B,2,0),V1508)</f>
        <v>모리미</v>
      </c>
    </row>
    <row r="1509" spans="1:23" x14ac:dyDescent="0.4">
      <c r="A1509" t="s">
        <v>262</v>
      </c>
      <c r="B1509" t="s">
        <v>1766</v>
      </c>
      <c r="C1509" t="s">
        <v>1824</v>
      </c>
      <c r="D1509" t="s">
        <v>21</v>
      </c>
      <c r="E1509" t="s">
        <v>22</v>
      </c>
      <c r="F1509" t="s">
        <v>23</v>
      </c>
      <c r="G1509">
        <v>1</v>
      </c>
      <c r="H1509">
        <v>9791189627874</v>
      </c>
      <c r="I1509" t="s">
        <v>143</v>
      </c>
      <c r="J1509" t="s">
        <v>1825</v>
      </c>
      <c r="K1509" t="s">
        <v>1035</v>
      </c>
      <c r="L1509" t="s">
        <v>27</v>
      </c>
      <c r="M1509" s="3">
        <v>2800</v>
      </c>
      <c r="N1509" t="s">
        <v>27</v>
      </c>
      <c r="O1509" s="3">
        <v>2800</v>
      </c>
      <c r="P1509" s="3">
        <v>2800</v>
      </c>
      <c r="Q1509" t="s">
        <v>30</v>
      </c>
      <c r="R1509" s="2">
        <v>0.7</v>
      </c>
      <c r="S1509" s="3">
        <v>1960</v>
      </c>
      <c r="T1509" t="s">
        <v>27</v>
      </c>
      <c r="U1509" s="3">
        <v>1960</v>
      </c>
      <c r="V1509" s="7" t="str">
        <f>IF(ISERROR(VLOOKUP(K1509,[1]작가별정산률!$R:$S,2,0)),"스토리위즈",VLOOKUP(K1509,[1]작가별정산률!$R:$S,2,0))</f>
        <v>스토리위즈</v>
      </c>
      <c r="W1509" s="7" t="str">
        <f>IF(V1509="스토리위즈",VLOOKUP(K1509,[1]작가별정산률!$A:$B,2,0),V1509)</f>
        <v>모리미</v>
      </c>
    </row>
    <row r="1510" spans="1:23" x14ac:dyDescent="0.4">
      <c r="A1510" t="s">
        <v>262</v>
      </c>
      <c r="B1510" t="s">
        <v>1766</v>
      </c>
      <c r="C1510" t="s">
        <v>1826</v>
      </c>
      <c r="D1510" t="s">
        <v>21</v>
      </c>
      <c r="E1510" t="s">
        <v>22</v>
      </c>
      <c r="F1510" t="s">
        <v>23</v>
      </c>
      <c r="G1510">
        <v>1</v>
      </c>
      <c r="H1510">
        <v>9791191562262</v>
      </c>
      <c r="I1510" t="s">
        <v>143</v>
      </c>
      <c r="J1510" t="s">
        <v>250</v>
      </c>
      <c r="K1510" t="s">
        <v>251</v>
      </c>
      <c r="L1510" t="s">
        <v>27</v>
      </c>
      <c r="M1510" s="3">
        <v>2000</v>
      </c>
      <c r="N1510" t="s">
        <v>27</v>
      </c>
      <c r="O1510" s="3">
        <v>2000</v>
      </c>
      <c r="P1510" s="3">
        <v>2000</v>
      </c>
      <c r="Q1510" t="s">
        <v>30</v>
      </c>
      <c r="R1510" s="2">
        <v>0.7</v>
      </c>
      <c r="S1510" s="3">
        <v>1400</v>
      </c>
      <c r="T1510" t="s">
        <v>27</v>
      </c>
      <c r="U1510" s="3">
        <v>1400</v>
      </c>
      <c r="V1510" s="7" t="str">
        <f>IF(ISERROR(VLOOKUP(K1510,[1]작가별정산률!$R:$S,2,0)),"스토리위즈",VLOOKUP(K1510,[1]작가별정산률!$R:$S,2,0))</f>
        <v>밀리의 서재</v>
      </c>
      <c r="W1510" s="7" t="str">
        <f>IF(V1510="스토리위즈",VLOOKUP(K1510,[1]작가별정산률!$A:$B,2,0),V1510)</f>
        <v>밀리의 서재</v>
      </c>
    </row>
    <row r="1511" spans="1:23" x14ac:dyDescent="0.4">
      <c r="A1511" t="s">
        <v>262</v>
      </c>
      <c r="B1511" t="s">
        <v>1766</v>
      </c>
      <c r="C1511" t="s">
        <v>1827</v>
      </c>
      <c r="D1511" t="s">
        <v>64</v>
      </c>
      <c r="E1511" t="s">
        <v>22</v>
      </c>
      <c r="F1511" t="s">
        <v>23</v>
      </c>
      <c r="G1511">
        <v>1</v>
      </c>
      <c r="H1511">
        <v>9791166300578</v>
      </c>
      <c r="I1511" t="s">
        <v>24</v>
      </c>
      <c r="J1511" t="s">
        <v>159</v>
      </c>
      <c r="K1511" t="s">
        <v>119</v>
      </c>
      <c r="L1511" t="s">
        <v>27</v>
      </c>
      <c r="M1511">
        <v>630</v>
      </c>
      <c r="N1511" t="s">
        <v>27</v>
      </c>
      <c r="O1511">
        <v>630</v>
      </c>
      <c r="P1511">
        <v>630</v>
      </c>
      <c r="Q1511" t="s">
        <v>30</v>
      </c>
      <c r="R1511" s="2">
        <v>0.7</v>
      </c>
      <c r="S1511">
        <v>441</v>
      </c>
      <c r="T1511" t="s">
        <v>27</v>
      </c>
      <c r="U1511">
        <v>441</v>
      </c>
      <c r="V1511" s="7" t="str">
        <f>IF(ISERROR(VLOOKUP(K1511,[1]작가별정산률!$R:$S,2,0)),"스토리위즈",VLOOKUP(K1511,[1]작가별정산률!$R:$S,2,0))</f>
        <v>스토리위즈</v>
      </c>
      <c r="W1511" s="7" t="str">
        <f>IF(V1511="스토리위즈",VLOOKUP(K1511,[1]작가별정산률!$A:$B,2,0),V1511)</f>
        <v>김광수</v>
      </c>
    </row>
    <row r="1512" spans="1:23" x14ac:dyDescent="0.4">
      <c r="A1512" t="s">
        <v>262</v>
      </c>
      <c r="B1512" t="s">
        <v>1766</v>
      </c>
      <c r="C1512" t="s">
        <v>1828</v>
      </c>
      <c r="D1512" t="s">
        <v>21</v>
      </c>
      <c r="E1512" t="s">
        <v>22</v>
      </c>
      <c r="F1512" t="s">
        <v>23</v>
      </c>
      <c r="G1512">
        <v>1</v>
      </c>
      <c r="H1512">
        <v>9791189084813</v>
      </c>
      <c r="I1512" t="s">
        <v>143</v>
      </c>
      <c r="J1512" t="s">
        <v>563</v>
      </c>
      <c r="K1512" t="s">
        <v>564</v>
      </c>
      <c r="L1512" t="s">
        <v>27</v>
      </c>
      <c r="M1512" s="3">
        <v>4000</v>
      </c>
      <c r="N1512" t="s">
        <v>27</v>
      </c>
      <c r="O1512" s="3">
        <v>4000</v>
      </c>
      <c r="P1512" s="3">
        <v>4000</v>
      </c>
      <c r="Q1512" t="s">
        <v>30</v>
      </c>
      <c r="R1512" s="2">
        <v>0.7</v>
      </c>
      <c r="S1512" s="3">
        <v>2800</v>
      </c>
      <c r="T1512" t="s">
        <v>27</v>
      </c>
      <c r="U1512" s="3">
        <v>2800</v>
      </c>
      <c r="V1512" s="7" t="str">
        <f>IF(ISERROR(VLOOKUP(K1512,[1]작가별정산률!$R:$S,2,0)),"스토리위즈",VLOOKUP(K1512,[1]작가별정산률!$R:$S,2,0))</f>
        <v>스토리위즈</v>
      </c>
      <c r="W1512" s="7" t="str">
        <f>IF(V1512="스토리위즈",VLOOKUP(K1512,[1]작가별정산률!$A:$B,2,0),V1512)</f>
        <v>셔틀</v>
      </c>
    </row>
    <row r="1513" spans="1:23" x14ac:dyDescent="0.4">
      <c r="A1513" t="s">
        <v>262</v>
      </c>
      <c r="B1513" t="s">
        <v>1766</v>
      </c>
      <c r="C1513" t="s">
        <v>1829</v>
      </c>
      <c r="D1513" t="s">
        <v>64</v>
      </c>
      <c r="E1513" t="s">
        <v>22</v>
      </c>
      <c r="F1513" t="s">
        <v>23</v>
      </c>
      <c r="G1513">
        <v>1</v>
      </c>
      <c r="H1513">
        <v>9791166300660</v>
      </c>
      <c r="I1513" t="s">
        <v>24</v>
      </c>
      <c r="J1513" t="s">
        <v>156</v>
      </c>
      <c r="K1513" t="s">
        <v>119</v>
      </c>
      <c r="L1513" t="s">
        <v>27</v>
      </c>
      <c r="M1513">
        <v>630</v>
      </c>
      <c r="N1513" t="s">
        <v>27</v>
      </c>
      <c r="O1513">
        <v>630</v>
      </c>
      <c r="P1513">
        <v>630</v>
      </c>
      <c r="Q1513" t="s">
        <v>30</v>
      </c>
      <c r="R1513" s="2">
        <v>0.7</v>
      </c>
      <c r="S1513">
        <v>441</v>
      </c>
      <c r="T1513" t="s">
        <v>27</v>
      </c>
      <c r="U1513">
        <v>441</v>
      </c>
      <c r="V1513" s="7" t="str">
        <f>IF(ISERROR(VLOOKUP(K1513,[1]작가별정산률!$R:$S,2,0)),"스토리위즈",VLOOKUP(K1513,[1]작가별정산률!$R:$S,2,0))</f>
        <v>스토리위즈</v>
      </c>
      <c r="W1513" s="7" t="str">
        <f>IF(V1513="스토리위즈",VLOOKUP(K1513,[1]작가별정산률!$A:$B,2,0),V1513)</f>
        <v>김광수</v>
      </c>
    </row>
    <row r="1514" spans="1:23" x14ac:dyDescent="0.4">
      <c r="A1514" t="s">
        <v>262</v>
      </c>
      <c r="B1514" t="s">
        <v>1766</v>
      </c>
      <c r="C1514" t="s">
        <v>1830</v>
      </c>
      <c r="D1514" t="s">
        <v>21</v>
      </c>
      <c r="E1514" t="s">
        <v>22</v>
      </c>
      <c r="F1514" t="s">
        <v>23</v>
      </c>
      <c r="G1514">
        <v>1</v>
      </c>
      <c r="H1514">
        <v>9791191562187</v>
      </c>
      <c r="I1514" t="s">
        <v>143</v>
      </c>
      <c r="J1514" t="s">
        <v>217</v>
      </c>
      <c r="K1514" t="s">
        <v>218</v>
      </c>
      <c r="L1514" t="s">
        <v>27</v>
      </c>
      <c r="M1514" s="3">
        <v>2000</v>
      </c>
      <c r="N1514" t="s">
        <v>27</v>
      </c>
      <c r="O1514" s="3">
        <v>2000</v>
      </c>
      <c r="P1514" s="3">
        <v>2000</v>
      </c>
      <c r="Q1514" t="s">
        <v>30</v>
      </c>
      <c r="R1514" s="2">
        <v>0.7</v>
      </c>
      <c r="S1514" s="3">
        <v>1400</v>
      </c>
      <c r="T1514" t="s">
        <v>27</v>
      </c>
      <c r="U1514" s="3">
        <v>1400</v>
      </c>
      <c r="V1514" s="7" t="str">
        <f>IF(ISERROR(VLOOKUP(K1514,[1]작가별정산률!$R:$S,2,0)),"스토리위즈",VLOOKUP(K1514,[1]작가별정산률!$R:$S,2,0))</f>
        <v>밀리의 서재</v>
      </c>
      <c r="W1514" s="7" t="str">
        <f>IF(V1514="스토리위즈",VLOOKUP(K1514,[1]작가별정산률!$A:$B,2,0),V1514)</f>
        <v>밀리의 서재</v>
      </c>
    </row>
    <row r="1515" spans="1:23" x14ac:dyDescent="0.4">
      <c r="A1515" t="s">
        <v>262</v>
      </c>
      <c r="B1515" t="s">
        <v>1766</v>
      </c>
      <c r="C1515" t="s">
        <v>1831</v>
      </c>
      <c r="D1515" t="s">
        <v>64</v>
      </c>
      <c r="E1515" t="s">
        <v>22</v>
      </c>
      <c r="F1515" t="s">
        <v>23</v>
      </c>
      <c r="G1515">
        <v>1</v>
      </c>
      <c r="H1515">
        <v>9791188630158</v>
      </c>
      <c r="I1515" t="s">
        <v>24</v>
      </c>
      <c r="J1515" t="s">
        <v>205</v>
      </c>
      <c r="K1515" t="s">
        <v>41</v>
      </c>
      <c r="L1515" t="s">
        <v>27</v>
      </c>
      <c r="M1515">
        <v>630</v>
      </c>
      <c r="N1515" t="s">
        <v>27</v>
      </c>
      <c r="O1515">
        <v>630</v>
      </c>
      <c r="P1515">
        <v>630</v>
      </c>
      <c r="Q1515" t="s">
        <v>30</v>
      </c>
      <c r="R1515" s="2">
        <v>0.7</v>
      </c>
      <c r="S1515">
        <v>441</v>
      </c>
      <c r="T1515" t="s">
        <v>27</v>
      </c>
      <c r="U1515">
        <v>441</v>
      </c>
      <c r="V1515" s="7" t="str">
        <f>IF(ISERROR(VLOOKUP(K1515,[1]작가별정산률!$R:$S,2,0)),"스토리위즈",VLOOKUP(K1515,[1]작가별정산률!$R:$S,2,0))</f>
        <v>스토리위즈</v>
      </c>
      <c r="W1515" s="7" t="str">
        <f>IF(V1515="스토리위즈",VLOOKUP(K1515,[1]작가별정산률!$A:$B,2,0),V1515)</f>
        <v>무장</v>
      </c>
    </row>
    <row r="1516" spans="1:23" x14ac:dyDescent="0.4">
      <c r="A1516" t="s">
        <v>262</v>
      </c>
      <c r="B1516" t="s">
        <v>1766</v>
      </c>
      <c r="C1516" t="s">
        <v>1832</v>
      </c>
      <c r="D1516" t="s">
        <v>21</v>
      </c>
      <c r="E1516" t="s">
        <v>22</v>
      </c>
      <c r="F1516" t="s">
        <v>23</v>
      </c>
      <c r="G1516">
        <v>1</v>
      </c>
      <c r="H1516">
        <v>9791166300493</v>
      </c>
      <c r="I1516" t="s">
        <v>24</v>
      </c>
      <c r="J1516" t="s">
        <v>147</v>
      </c>
      <c r="K1516" t="s">
        <v>119</v>
      </c>
      <c r="L1516" t="s">
        <v>27</v>
      </c>
      <c r="M1516" s="3">
        <v>3200</v>
      </c>
      <c r="N1516" t="s">
        <v>27</v>
      </c>
      <c r="O1516" s="3">
        <v>3200</v>
      </c>
      <c r="P1516" s="3">
        <v>3200</v>
      </c>
      <c r="Q1516" t="s">
        <v>30</v>
      </c>
      <c r="R1516" s="2">
        <v>0.7</v>
      </c>
      <c r="S1516" s="3">
        <v>2240</v>
      </c>
      <c r="T1516" t="s">
        <v>27</v>
      </c>
      <c r="U1516" s="3">
        <v>2240</v>
      </c>
      <c r="V1516" s="7" t="str">
        <f>IF(ISERROR(VLOOKUP(K1516,[1]작가별정산률!$R:$S,2,0)),"스토리위즈",VLOOKUP(K1516,[1]작가별정산률!$R:$S,2,0))</f>
        <v>스토리위즈</v>
      </c>
      <c r="W1516" s="7" t="str">
        <f>IF(V1516="스토리위즈",VLOOKUP(K1516,[1]작가별정산률!$A:$B,2,0),V1516)</f>
        <v>김광수</v>
      </c>
    </row>
    <row r="1517" spans="1:23" x14ac:dyDescent="0.4">
      <c r="A1517" t="s">
        <v>262</v>
      </c>
      <c r="B1517" t="s">
        <v>1766</v>
      </c>
      <c r="C1517" t="s">
        <v>1833</v>
      </c>
      <c r="D1517" t="s">
        <v>21</v>
      </c>
      <c r="E1517" t="s">
        <v>22</v>
      </c>
      <c r="F1517" t="s">
        <v>23</v>
      </c>
      <c r="G1517">
        <v>1</v>
      </c>
      <c r="H1517">
        <v>9791191562309</v>
      </c>
      <c r="I1517" t="s">
        <v>143</v>
      </c>
      <c r="J1517" t="s">
        <v>225</v>
      </c>
      <c r="K1517" t="s">
        <v>226</v>
      </c>
      <c r="L1517" t="s">
        <v>27</v>
      </c>
      <c r="M1517" s="3">
        <v>2500</v>
      </c>
      <c r="N1517" t="s">
        <v>176</v>
      </c>
      <c r="O1517">
        <v>278</v>
      </c>
      <c r="P1517">
        <v>253</v>
      </c>
      <c r="Q1517" t="s">
        <v>177</v>
      </c>
      <c r="R1517" s="2">
        <v>0.7</v>
      </c>
      <c r="S1517">
        <v>177</v>
      </c>
      <c r="T1517" t="s">
        <v>27</v>
      </c>
      <c r="U1517" s="3">
        <v>1755</v>
      </c>
      <c r="V1517" s="7" t="str">
        <f>IF(ISERROR(VLOOKUP(K1517,[1]작가별정산률!$R:$S,2,0)),"스토리위즈",VLOOKUP(K1517,[1]작가별정산률!$R:$S,2,0))</f>
        <v>밀리의 서재</v>
      </c>
      <c r="W1517" s="7" t="str">
        <f>IF(V1517="스토리위즈",VLOOKUP(K1517,[1]작가별정산률!$A:$B,2,0),V1517)</f>
        <v>밀리의 서재</v>
      </c>
    </row>
    <row r="1518" spans="1:23" x14ac:dyDescent="0.4">
      <c r="A1518" t="s">
        <v>262</v>
      </c>
      <c r="B1518" t="s">
        <v>1766</v>
      </c>
      <c r="C1518" t="s">
        <v>1834</v>
      </c>
      <c r="D1518" t="s">
        <v>21</v>
      </c>
      <c r="E1518" t="s">
        <v>22</v>
      </c>
      <c r="F1518" t="s">
        <v>23</v>
      </c>
      <c r="G1518">
        <v>1</v>
      </c>
      <c r="H1518">
        <v>9791191562286</v>
      </c>
      <c r="I1518" t="s">
        <v>143</v>
      </c>
      <c r="J1518" t="s">
        <v>238</v>
      </c>
      <c r="K1518" t="s">
        <v>239</v>
      </c>
      <c r="L1518" t="s">
        <v>27</v>
      </c>
      <c r="M1518" s="3">
        <v>2000</v>
      </c>
      <c r="N1518" t="s">
        <v>28</v>
      </c>
      <c r="O1518">
        <v>1.65</v>
      </c>
      <c r="P1518">
        <v>1.65</v>
      </c>
      <c r="Q1518" t="s">
        <v>29</v>
      </c>
      <c r="R1518" s="2">
        <v>0.7</v>
      </c>
      <c r="S1518">
        <v>1.1499999999999999</v>
      </c>
      <c r="T1518" t="s">
        <v>27</v>
      </c>
      <c r="U1518" s="3">
        <v>1458</v>
      </c>
      <c r="V1518" s="7" t="str">
        <f>IF(ISERROR(VLOOKUP(K1518,[1]작가별정산률!$R:$S,2,0)),"스토리위즈",VLOOKUP(K1518,[1]작가별정산률!$R:$S,2,0))</f>
        <v>밀리의 서재</v>
      </c>
      <c r="W1518" s="7" t="str">
        <f>IF(V1518="스토리위즈",VLOOKUP(K1518,[1]작가별정산률!$A:$B,2,0),V1518)</f>
        <v>밀리의 서재</v>
      </c>
    </row>
    <row r="1519" spans="1:23" x14ac:dyDescent="0.4">
      <c r="A1519" t="s">
        <v>262</v>
      </c>
      <c r="B1519" t="s">
        <v>1766</v>
      </c>
      <c r="C1519" t="s">
        <v>1835</v>
      </c>
      <c r="D1519" t="s">
        <v>21</v>
      </c>
      <c r="E1519" t="s">
        <v>22</v>
      </c>
      <c r="F1519" t="s">
        <v>23</v>
      </c>
      <c r="G1519">
        <v>1</v>
      </c>
      <c r="H1519">
        <v>9791191562262</v>
      </c>
      <c r="I1519" t="s">
        <v>143</v>
      </c>
      <c r="J1519" t="s">
        <v>250</v>
      </c>
      <c r="K1519" t="s">
        <v>251</v>
      </c>
      <c r="L1519" t="s">
        <v>27</v>
      </c>
      <c r="M1519" s="3">
        <v>2000</v>
      </c>
      <c r="N1519" t="s">
        <v>191</v>
      </c>
      <c r="O1519">
        <v>2.4</v>
      </c>
      <c r="P1519">
        <v>2.1800000000000002</v>
      </c>
      <c r="Q1519" t="s">
        <v>190</v>
      </c>
      <c r="R1519" s="2">
        <v>0.7</v>
      </c>
      <c r="S1519">
        <v>1.53</v>
      </c>
      <c r="T1519" t="s">
        <v>27</v>
      </c>
      <c r="U1519" s="3">
        <v>1366</v>
      </c>
      <c r="V1519" s="7" t="str">
        <f>IF(ISERROR(VLOOKUP(K1519,[1]작가별정산률!$R:$S,2,0)),"스토리위즈",VLOOKUP(K1519,[1]작가별정산률!$R:$S,2,0))</f>
        <v>밀리의 서재</v>
      </c>
      <c r="W1519" s="7" t="str">
        <f>IF(V1519="스토리위즈",VLOOKUP(K1519,[1]작가별정산률!$A:$B,2,0),V1519)</f>
        <v>밀리의 서재</v>
      </c>
    </row>
    <row r="1520" spans="1:23" x14ac:dyDescent="0.4">
      <c r="A1520" t="s">
        <v>262</v>
      </c>
      <c r="B1520" t="s">
        <v>1766</v>
      </c>
      <c r="C1520" t="s">
        <v>1836</v>
      </c>
      <c r="D1520" t="s">
        <v>21</v>
      </c>
      <c r="E1520" t="s">
        <v>22</v>
      </c>
      <c r="F1520" t="s">
        <v>23</v>
      </c>
      <c r="G1520">
        <v>1</v>
      </c>
      <c r="H1520">
        <v>9791159286582</v>
      </c>
      <c r="I1520" t="s">
        <v>24</v>
      </c>
      <c r="J1520" t="s">
        <v>1837</v>
      </c>
      <c r="K1520" t="s">
        <v>140</v>
      </c>
      <c r="L1520" t="s">
        <v>27</v>
      </c>
      <c r="M1520" s="3">
        <v>3200</v>
      </c>
      <c r="N1520" t="s">
        <v>27</v>
      </c>
      <c r="O1520" s="3">
        <v>3200</v>
      </c>
      <c r="P1520" s="3">
        <v>3200</v>
      </c>
      <c r="Q1520" t="s">
        <v>30</v>
      </c>
      <c r="R1520" s="2">
        <v>0.7</v>
      </c>
      <c r="S1520" s="3">
        <v>2240</v>
      </c>
      <c r="T1520" t="s">
        <v>27</v>
      </c>
      <c r="U1520" s="3">
        <v>2240</v>
      </c>
      <c r="V1520" s="7" t="str">
        <f>IF(ISERROR(VLOOKUP(K1520,[1]작가별정산률!$R:$S,2,0)),"스토리위즈",VLOOKUP(K1520,[1]작가별정산률!$R:$S,2,0))</f>
        <v>스토리위즈</v>
      </c>
      <c r="W1520" s="7" t="str">
        <f>IF(V1520="스토리위즈",VLOOKUP(K1520,[1]작가별정산률!$A:$B,2,0),V1520)</f>
        <v>이동열</v>
      </c>
    </row>
    <row r="1521" spans="1:23" x14ac:dyDescent="0.4">
      <c r="A1521" t="s">
        <v>262</v>
      </c>
      <c r="B1521" t="s">
        <v>1766</v>
      </c>
      <c r="C1521" t="s">
        <v>1838</v>
      </c>
      <c r="D1521" t="s">
        <v>64</v>
      </c>
      <c r="E1521" t="s">
        <v>22</v>
      </c>
      <c r="F1521" t="s">
        <v>23</v>
      </c>
      <c r="G1521">
        <v>1</v>
      </c>
      <c r="H1521">
        <v>9791159282959</v>
      </c>
      <c r="I1521" t="s">
        <v>24</v>
      </c>
      <c r="J1521" t="s">
        <v>179</v>
      </c>
      <c r="K1521" t="s">
        <v>26</v>
      </c>
      <c r="L1521" t="s">
        <v>27</v>
      </c>
      <c r="M1521">
        <v>630</v>
      </c>
      <c r="N1521" t="s">
        <v>27</v>
      </c>
      <c r="O1521">
        <v>630</v>
      </c>
      <c r="P1521">
        <v>630</v>
      </c>
      <c r="Q1521" t="s">
        <v>30</v>
      </c>
      <c r="R1521" s="2">
        <v>0.7</v>
      </c>
      <c r="S1521">
        <v>441</v>
      </c>
      <c r="T1521" t="s">
        <v>27</v>
      </c>
      <c r="U1521">
        <v>441</v>
      </c>
      <c r="V1521" s="7" t="str">
        <f>IF(ISERROR(VLOOKUP(K1521,[1]작가별정산률!$R:$S,2,0)),"스토리위즈",VLOOKUP(K1521,[1]작가별정산률!$R:$S,2,0))</f>
        <v>스토리위즈</v>
      </c>
      <c r="W1521" s="7" t="str">
        <f>IF(V1521="스토리위즈",VLOOKUP(K1521,[1]작가별정산률!$A:$B,2,0),V1521)</f>
        <v>독고진</v>
      </c>
    </row>
    <row r="1522" spans="1:23" x14ac:dyDescent="0.4">
      <c r="A1522" t="s">
        <v>262</v>
      </c>
      <c r="B1522" t="s">
        <v>1766</v>
      </c>
      <c r="C1522" t="s">
        <v>1839</v>
      </c>
      <c r="D1522" t="s">
        <v>64</v>
      </c>
      <c r="E1522" t="s">
        <v>22</v>
      </c>
      <c r="F1522" t="s">
        <v>23</v>
      </c>
      <c r="G1522">
        <v>1</v>
      </c>
      <c r="H1522">
        <v>9791166300127</v>
      </c>
      <c r="I1522" t="s">
        <v>24</v>
      </c>
      <c r="J1522" t="s">
        <v>122</v>
      </c>
      <c r="K1522" t="s">
        <v>119</v>
      </c>
      <c r="L1522" t="s">
        <v>27</v>
      </c>
      <c r="M1522">
        <v>630</v>
      </c>
      <c r="N1522" t="s">
        <v>27</v>
      </c>
      <c r="O1522">
        <v>630</v>
      </c>
      <c r="P1522">
        <v>630</v>
      </c>
      <c r="Q1522" t="s">
        <v>30</v>
      </c>
      <c r="R1522" s="2">
        <v>0.7</v>
      </c>
      <c r="S1522">
        <v>441</v>
      </c>
      <c r="T1522" t="s">
        <v>27</v>
      </c>
      <c r="U1522">
        <v>441</v>
      </c>
      <c r="V1522" s="7" t="str">
        <f>IF(ISERROR(VLOOKUP(K1522,[1]작가별정산률!$R:$S,2,0)),"스토리위즈",VLOOKUP(K1522,[1]작가별정산률!$R:$S,2,0))</f>
        <v>스토리위즈</v>
      </c>
      <c r="W1522" s="7" t="str">
        <f>IF(V1522="스토리위즈",VLOOKUP(K1522,[1]작가별정산률!$A:$B,2,0),V1522)</f>
        <v>김광수</v>
      </c>
    </row>
    <row r="1523" spans="1:23" x14ac:dyDescent="0.4">
      <c r="A1523" t="s">
        <v>262</v>
      </c>
      <c r="B1523" t="s">
        <v>1840</v>
      </c>
      <c r="C1523" t="s">
        <v>1841</v>
      </c>
      <c r="D1523" t="s">
        <v>64</v>
      </c>
      <c r="E1523" t="s">
        <v>22</v>
      </c>
      <c r="F1523" t="s">
        <v>23</v>
      </c>
      <c r="G1523">
        <v>1</v>
      </c>
      <c r="H1523">
        <v>9791166300240</v>
      </c>
      <c r="I1523" t="s">
        <v>24</v>
      </c>
      <c r="J1523" t="s">
        <v>133</v>
      </c>
      <c r="K1523" t="s">
        <v>119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  <c r="V1523" s="7" t="str">
        <f>IF(ISERROR(VLOOKUP(K1523,[1]작가별정산률!$R:$S,2,0)),"스토리위즈",VLOOKUP(K1523,[1]작가별정산률!$R:$S,2,0))</f>
        <v>스토리위즈</v>
      </c>
      <c r="W1523" s="7" t="str">
        <f>IF(V1523="스토리위즈",VLOOKUP(K1523,[1]작가별정산률!$A:$B,2,0),V1523)</f>
        <v>김광수</v>
      </c>
    </row>
    <row r="1524" spans="1:23" x14ac:dyDescent="0.4">
      <c r="A1524" t="s">
        <v>262</v>
      </c>
      <c r="B1524" t="s">
        <v>1840</v>
      </c>
      <c r="C1524" t="s">
        <v>1842</v>
      </c>
      <c r="D1524" t="s">
        <v>21</v>
      </c>
      <c r="E1524" t="s">
        <v>22</v>
      </c>
      <c r="F1524" t="s">
        <v>23</v>
      </c>
      <c r="G1524">
        <v>1</v>
      </c>
      <c r="H1524">
        <v>9791159286599</v>
      </c>
      <c r="I1524" t="s">
        <v>24</v>
      </c>
      <c r="J1524" t="s">
        <v>1843</v>
      </c>
      <c r="K1524" t="s">
        <v>140</v>
      </c>
      <c r="L1524" t="s">
        <v>27</v>
      </c>
      <c r="M1524" s="3">
        <v>3200</v>
      </c>
      <c r="N1524" t="s">
        <v>27</v>
      </c>
      <c r="O1524" s="3">
        <v>3200</v>
      </c>
      <c r="P1524" s="3">
        <v>3200</v>
      </c>
      <c r="Q1524" t="s">
        <v>30</v>
      </c>
      <c r="R1524" s="2">
        <v>0.7</v>
      </c>
      <c r="S1524" s="3">
        <v>2240</v>
      </c>
      <c r="T1524" t="s">
        <v>27</v>
      </c>
      <c r="U1524" s="3">
        <v>2240</v>
      </c>
      <c r="V1524" s="7" t="str">
        <f>IF(ISERROR(VLOOKUP(K1524,[1]작가별정산률!$R:$S,2,0)),"스토리위즈",VLOOKUP(K1524,[1]작가별정산률!$R:$S,2,0))</f>
        <v>스토리위즈</v>
      </c>
      <c r="W1524" s="7" t="str">
        <f>IF(V1524="스토리위즈",VLOOKUP(K1524,[1]작가별정산률!$A:$B,2,0),V1524)</f>
        <v>이동열</v>
      </c>
    </row>
    <row r="1525" spans="1:23" x14ac:dyDescent="0.4">
      <c r="A1525" t="s">
        <v>262</v>
      </c>
      <c r="B1525" t="s">
        <v>1840</v>
      </c>
      <c r="C1525" t="s">
        <v>1844</v>
      </c>
      <c r="D1525" t="s">
        <v>21</v>
      </c>
      <c r="E1525" t="s">
        <v>22</v>
      </c>
      <c r="F1525" t="s">
        <v>23</v>
      </c>
      <c r="G1525">
        <v>1</v>
      </c>
      <c r="H1525">
        <v>9791191562248</v>
      </c>
      <c r="I1525" t="s">
        <v>143</v>
      </c>
      <c r="J1525" t="s">
        <v>231</v>
      </c>
      <c r="K1525" t="s">
        <v>232</v>
      </c>
      <c r="L1525" t="s">
        <v>27</v>
      </c>
      <c r="M1525" s="3">
        <v>2000</v>
      </c>
      <c r="N1525" t="s">
        <v>28</v>
      </c>
      <c r="O1525">
        <v>1.65</v>
      </c>
      <c r="P1525">
        <v>1.65</v>
      </c>
      <c r="Q1525" t="s">
        <v>29</v>
      </c>
      <c r="R1525" s="2">
        <v>0.7</v>
      </c>
      <c r="S1525">
        <v>1.1499999999999999</v>
      </c>
      <c r="T1525" t="s">
        <v>27</v>
      </c>
      <c r="U1525" s="3">
        <v>1458</v>
      </c>
      <c r="V1525" s="7" t="str">
        <f>IF(ISERROR(VLOOKUP(K1525,[1]작가별정산률!$R:$S,2,0)),"스토리위즈",VLOOKUP(K1525,[1]작가별정산률!$R:$S,2,0))</f>
        <v>밀리의 서재</v>
      </c>
      <c r="W1525" s="7" t="str">
        <f>IF(V1525="스토리위즈",VLOOKUP(K1525,[1]작가별정산률!$A:$B,2,0),V1525)</f>
        <v>밀리의 서재</v>
      </c>
    </row>
    <row r="1526" spans="1:23" x14ac:dyDescent="0.4">
      <c r="A1526" t="s">
        <v>262</v>
      </c>
      <c r="B1526" t="s">
        <v>1840</v>
      </c>
      <c r="C1526" t="s">
        <v>1845</v>
      </c>
      <c r="D1526" t="s">
        <v>64</v>
      </c>
      <c r="E1526" t="s">
        <v>22</v>
      </c>
      <c r="F1526" t="s">
        <v>23</v>
      </c>
      <c r="G1526">
        <v>1</v>
      </c>
      <c r="H1526">
        <v>9791166300646</v>
      </c>
      <c r="I1526" t="s">
        <v>24</v>
      </c>
      <c r="J1526" t="s">
        <v>155</v>
      </c>
      <c r="K1526" t="s">
        <v>119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  <c r="V1526" s="7" t="str">
        <f>IF(ISERROR(VLOOKUP(K1526,[1]작가별정산률!$R:$S,2,0)),"스토리위즈",VLOOKUP(K1526,[1]작가별정산률!$R:$S,2,0))</f>
        <v>스토리위즈</v>
      </c>
      <c r="W1526" s="7" t="str">
        <f>IF(V1526="스토리위즈",VLOOKUP(K1526,[1]작가별정산률!$A:$B,2,0),V1526)</f>
        <v>김광수</v>
      </c>
    </row>
    <row r="1527" spans="1:23" x14ac:dyDescent="0.4">
      <c r="A1527" t="s">
        <v>262</v>
      </c>
      <c r="B1527" t="s">
        <v>1840</v>
      </c>
      <c r="C1527" t="s">
        <v>1846</v>
      </c>
      <c r="D1527" t="s">
        <v>21</v>
      </c>
      <c r="E1527" t="s">
        <v>22</v>
      </c>
      <c r="F1527" t="s">
        <v>23</v>
      </c>
      <c r="G1527">
        <v>1</v>
      </c>
      <c r="H1527">
        <v>9791189084813</v>
      </c>
      <c r="I1527" t="s">
        <v>143</v>
      </c>
      <c r="J1527" t="s">
        <v>563</v>
      </c>
      <c r="K1527" t="s">
        <v>564</v>
      </c>
      <c r="L1527" t="s">
        <v>27</v>
      </c>
      <c r="M1527" s="3">
        <v>4000</v>
      </c>
      <c r="N1527" t="s">
        <v>27</v>
      </c>
      <c r="O1527" s="3">
        <v>4000</v>
      </c>
      <c r="P1527" s="3">
        <v>4000</v>
      </c>
      <c r="Q1527" t="s">
        <v>30</v>
      </c>
      <c r="R1527" s="2">
        <v>0.7</v>
      </c>
      <c r="S1527" s="3">
        <v>2800</v>
      </c>
      <c r="T1527" t="s">
        <v>27</v>
      </c>
      <c r="U1527" s="3">
        <v>2800</v>
      </c>
      <c r="V1527" s="7" t="str">
        <f>IF(ISERROR(VLOOKUP(K1527,[1]작가별정산률!$R:$S,2,0)),"스토리위즈",VLOOKUP(K1527,[1]작가별정산률!$R:$S,2,0))</f>
        <v>스토리위즈</v>
      </c>
      <c r="W1527" s="7" t="str">
        <f>IF(V1527="스토리위즈",VLOOKUP(K1527,[1]작가별정산률!$A:$B,2,0),V1527)</f>
        <v>셔틀</v>
      </c>
    </row>
    <row r="1528" spans="1:23" x14ac:dyDescent="0.4">
      <c r="A1528" t="s">
        <v>262</v>
      </c>
      <c r="B1528" t="s">
        <v>1840</v>
      </c>
      <c r="C1528" t="s">
        <v>1847</v>
      </c>
      <c r="D1528" t="s">
        <v>64</v>
      </c>
      <c r="E1528" t="s">
        <v>22</v>
      </c>
      <c r="F1528" t="s">
        <v>23</v>
      </c>
      <c r="G1528">
        <v>1</v>
      </c>
      <c r="H1528">
        <v>9791166300257</v>
      </c>
      <c r="I1528" t="s">
        <v>24</v>
      </c>
      <c r="J1528" t="s">
        <v>134</v>
      </c>
      <c r="K1528" t="s">
        <v>119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2">
        <v>0.7</v>
      </c>
      <c r="S1528">
        <v>441</v>
      </c>
      <c r="T1528" t="s">
        <v>27</v>
      </c>
      <c r="U1528">
        <v>441</v>
      </c>
      <c r="V1528" s="7" t="str">
        <f>IF(ISERROR(VLOOKUP(K1528,[1]작가별정산률!$R:$S,2,0)),"스토리위즈",VLOOKUP(K1528,[1]작가별정산률!$R:$S,2,0))</f>
        <v>스토리위즈</v>
      </c>
      <c r="W1528" s="7" t="str">
        <f>IF(V1528="스토리위즈",VLOOKUP(K1528,[1]작가별정산률!$A:$B,2,0),V1528)</f>
        <v>김광수</v>
      </c>
    </row>
    <row r="1529" spans="1:23" x14ac:dyDescent="0.4">
      <c r="A1529" t="s">
        <v>262</v>
      </c>
      <c r="B1529" t="s">
        <v>1840</v>
      </c>
      <c r="C1529" t="s">
        <v>1848</v>
      </c>
      <c r="D1529" t="s">
        <v>21</v>
      </c>
      <c r="E1529" t="s">
        <v>22</v>
      </c>
      <c r="F1529" t="s">
        <v>23</v>
      </c>
      <c r="G1529">
        <v>1</v>
      </c>
      <c r="H1529">
        <v>9791191562286</v>
      </c>
      <c r="I1529" t="s">
        <v>143</v>
      </c>
      <c r="J1529" t="s">
        <v>238</v>
      </c>
      <c r="K1529" t="s">
        <v>239</v>
      </c>
      <c r="L1529" t="s">
        <v>27</v>
      </c>
      <c r="M1529" s="3">
        <v>2000</v>
      </c>
      <c r="N1529" t="s">
        <v>27</v>
      </c>
      <c r="O1529" s="3">
        <v>2000</v>
      </c>
      <c r="P1529" s="3">
        <v>2000</v>
      </c>
      <c r="Q1529" t="s">
        <v>30</v>
      </c>
      <c r="R1529" s="2">
        <v>0.7</v>
      </c>
      <c r="S1529" s="3">
        <v>1400</v>
      </c>
      <c r="T1529" t="s">
        <v>27</v>
      </c>
      <c r="U1529" s="3">
        <v>1400</v>
      </c>
      <c r="V1529" s="7" t="str">
        <f>IF(ISERROR(VLOOKUP(K1529,[1]작가별정산률!$R:$S,2,0)),"스토리위즈",VLOOKUP(K1529,[1]작가별정산률!$R:$S,2,0))</f>
        <v>밀리의 서재</v>
      </c>
      <c r="W1529" s="7" t="str">
        <f>IF(V1529="스토리위즈",VLOOKUP(K1529,[1]작가별정산률!$A:$B,2,0),V1529)</f>
        <v>밀리의 서재</v>
      </c>
    </row>
    <row r="1530" spans="1:23" x14ac:dyDescent="0.4">
      <c r="A1530" t="s">
        <v>262</v>
      </c>
      <c r="B1530" t="s">
        <v>1840</v>
      </c>
      <c r="C1530" t="s">
        <v>1849</v>
      </c>
      <c r="D1530" t="s">
        <v>21</v>
      </c>
      <c r="E1530" t="s">
        <v>22</v>
      </c>
      <c r="F1530" t="s">
        <v>23</v>
      </c>
      <c r="G1530">
        <v>1</v>
      </c>
      <c r="H1530">
        <v>9791191562286</v>
      </c>
      <c r="I1530" t="s">
        <v>143</v>
      </c>
      <c r="J1530" t="s">
        <v>238</v>
      </c>
      <c r="K1530" t="s">
        <v>239</v>
      </c>
      <c r="L1530" t="s">
        <v>27</v>
      </c>
      <c r="M1530" s="3">
        <v>2000</v>
      </c>
      <c r="N1530" t="s">
        <v>27</v>
      </c>
      <c r="O1530" s="3">
        <v>2000</v>
      </c>
      <c r="P1530" s="3">
        <v>2000</v>
      </c>
      <c r="Q1530" t="s">
        <v>30</v>
      </c>
      <c r="R1530" s="2">
        <v>0.7</v>
      </c>
      <c r="S1530" s="3">
        <v>1400</v>
      </c>
      <c r="T1530" t="s">
        <v>27</v>
      </c>
      <c r="U1530" s="3">
        <v>1400</v>
      </c>
      <c r="V1530" s="7" t="str">
        <f>IF(ISERROR(VLOOKUP(K1530,[1]작가별정산률!$R:$S,2,0)),"스토리위즈",VLOOKUP(K1530,[1]작가별정산률!$R:$S,2,0))</f>
        <v>밀리의 서재</v>
      </c>
      <c r="W1530" s="7" t="str">
        <f>IF(V1530="스토리위즈",VLOOKUP(K1530,[1]작가별정산률!$A:$B,2,0),V1530)</f>
        <v>밀리의 서재</v>
      </c>
    </row>
    <row r="1531" spans="1:23" x14ac:dyDescent="0.4">
      <c r="A1531" t="s">
        <v>262</v>
      </c>
      <c r="B1531" t="s">
        <v>1840</v>
      </c>
      <c r="C1531" t="s">
        <v>1850</v>
      </c>
      <c r="D1531" t="s">
        <v>21</v>
      </c>
      <c r="E1531" t="s">
        <v>22</v>
      </c>
      <c r="F1531" t="s">
        <v>23</v>
      </c>
      <c r="G1531">
        <v>1</v>
      </c>
      <c r="H1531">
        <v>9791166300509</v>
      </c>
      <c r="I1531" t="s">
        <v>24</v>
      </c>
      <c r="J1531" t="s">
        <v>148</v>
      </c>
      <c r="K1531" t="s">
        <v>119</v>
      </c>
      <c r="L1531" t="s">
        <v>27</v>
      </c>
      <c r="M1531" s="3">
        <v>3200</v>
      </c>
      <c r="N1531" t="s">
        <v>27</v>
      </c>
      <c r="O1531" s="3">
        <v>3200</v>
      </c>
      <c r="P1531" s="3">
        <v>3200</v>
      </c>
      <c r="Q1531" t="s">
        <v>30</v>
      </c>
      <c r="R1531" s="2">
        <v>0.7</v>
      </c>
      <c r="S1531" s="3">
        <v>2240</v>
      </c>
      <c r="T1531" t="s">
        <v>27</v>
      </c>
      <c r="U1531" s="3">
        <v>2240</v>
      </c>
      <c r="V1531" s="7" t="str">
        <f>IF(ISERROR(VLOOKUP(K1531,[1]작가별정산률!$R:$S,2,0)),"스토리위즈",VLOOKUP(K1531,[1]작가별정산률!$R:$S,2,0))</f>
        <v>스토리위즈</v>
      </c>
      <c r="W1531" s="7" t="str">
        <f>IF(V1531="스토리위즈",VLOOKUP(K1531,[1]작가별정산률!$A:$B,2,0),V1531)</f>
        <v>김광수</v>
      </c>
    </row>
    <row r="1532" spans="1:23" x14ac:dyDescent="0.4">
      <c r="A1532" t="s">
        <v>262</v>
      </c>
      <c r="B1532" t="s">
        <v>1840</v>
      </c>
      <c r="C1532" t="s">
        <v>1851</v>
      </c>
      <c r="D1532" t="s">
        <v>21</v>
      </c>
      <c r="E1532" t="s">
        <v>22</v>
      </c>
      <c r="F1532" t="s">
        <v>23</v>
      </c>
      <c r="G1532">
        <v>1</v>
      </c>
      <c r="H1532">
        <v>9791191562002</v>
      </c>
      <c r="I1532" t="s">
        <v>143</v>
      </c>
      <c r="J1532" t="s">
        <v>193</v>
      </c>
      <c r="K1532" t="s">
        <v>192</v>
      </c>
      <c r="L1532" t="s">
        <v>27</v>
      </c>
      <c r="M1532" s="3">
        <v>2500</v>
      </c>
      <c r="N1532" t="s">
        <v>27</v>
      </c>
      <c r="O1532" s="3">
        <v>2500</v>
      </c>
      <c r="P1532" s="3">
        <v>2500</v>
      </c>
      <c r="Q1532" t="s">
        <v>30</v>
      </c>
      <c r="R1532" s="2">
        <v>0.7</v>
      </c>
      <c r="S1532" s="3">
        <v>1750</v>
      </c>
      <c r="T1532" t="s">
        <v>27</v>
      </c>
      <c r="U1532" s="3">
        <v>1750</v>
      </c>
      <c r="V1532" s="7" t="str">
        <f>IF(ISERROR(VLOOKUP(K1532,[1]작가별정산률!$R:$S,2,0)),"스토리위즈",VLOOKUP(K1532,[1]작가별정산률!$R:$S,2,0))</f>
        <v>밀리의 서재</v>
      </c>
      <c r="W1532" s="7" t="str">
        <f>IF(V1532="스토리위즈",VLOOKUP(K1532,[1]작가별정산률!$A:$B,2,0),V1532)</f>
        <v>밀리의 서재</v>
      </c>
    </row>
    <row r="1533" spans="1:23" x14ac:dyDescent="0.4">
      <c r="A1533" t="s">
        <v>262</v>
      </c>
      <c r="B1533" t="s">
        <v>1840</v>
      </c>
      <c r="C1533" t="s">
        <v>1852</v>
      </c>
      <c r="D1533" t="s">
        <v>64</v>
      </c>
      <c r="E1533" t="s">
        <v>22</v>
      </c>
      <c r="F1533" t="s">
        <v>23</v>
      </c>
      <c r="G1533">
        <v>1</v>
      </c>
      <c r="H1533">
        <v>9791166300653</v>
      </c>
      <c r="I1533" t="s">
        <v>24</v>
      </c>
      <c r="J1533" t="s">
        <v>157</v>
      </c>
      <c r="K1533" t="s">
        <v>119</v>
      </c>
      <c r="L1533" t="s">
        <v>27</v>
      </c>
      <c r="M1533">
        <v>630</v>
      </c>
      <c r="N1533" t="s">
        <v>27</v>
      </c>
      <c r="O1533">
        <v>630</v>
      </c>
      <c r="P1533">
        <v>630</v>
      </c>
      <c r="Q1533" t="s">
        <v>30</v>
      </c>
      <c r="R1533" s="2">
        <v>0.7</v>
      </c>
      <c r="S1533">
        <v>441</v>
      </c>
      <c r="T1533" t="s">
        <v>27</v>
      </c>
      <c r="U1533">
        <v>441</v>
      </c>
      <c r="V1533" s="7" t="str">
        <f>IF(ISERROR(VLOOKUP(K1533,[1]작가별정산률!$R:$S,2,0)),"스토리위즈",VLOOKUP(K1533,[1]작가별정산률!$R:$S,2,0))</f>
        <v>스토리위즈</v>
      </c>
      <c r="W1533" s="7" t="str">
        <f>IF(V1533="스토리위즈",VLOOKUP(K1533,[1]작가별정산률!$A:$B,2,0),V1533)</f>
        <v>김광수</v>
      </c>
    </row>
    <row r="1534" spans="1:23" x14ac:dyDescent="0.4">
      <c r="A1534" t="s">
        <v>262</v>
      </c>
      <c r="B1534" t="s">
        <v>1840</v>
      </c>
      <c r="C1534" t="s">
        <v>1853</v>
      </c>
      <c r="D1534" t="s">
        <v>64</v>
      </c>
      <c r="E1534" t="s">
        <v>22</v>
      </c>
      <c r="F1534" t="s">
        <v>23</v>
      </c>
      <c r="G1534">
        <v>1</v>
      </c>
      <c r="H1534">
        <v>9791188630110</v>
      </c>
      <c r="I1534" t="s">
        <v>24</v>
      </c>
      <c r="J1534" t="s">
        <v>40</v>
      </c>
      <c r="K1534" t="s">
        <v>41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  <c r="V1534" s="7" t="str">
        <f>IF(ISERROR(VLOOKUP(K1534,[1]작가별정산률!$R:$S,2,0)),"스토리위즈",VLOOKUP(K1534,[1]작가별정산률!$R:$S,2,0))</f>
        <v>스토리위즈</v>
      </c>
      <c r="W1534" s="7" t="str">
        <f>IF(V1534="스토리위즈",VLOOKUP(K1534,[1]작가별정산률!$A:$B,2,0),V1534)</f>
        <v>무장</v>
      </c>
    </row>
    <row r="1535" spans="1:23" x14ac:dyDescent="0.4">
      <c r="A1535" t="s">
        <v>262</v>
      </c>
      <c r="B1535" t="s">
        <v>1840</v>
      </c>
      <c r="C1535" t="s">
        <v>1854</v>
      </c>
      <c r="D1535" t="s">
        <v>21</v>
      </c>
      <c r="E1535" t="s">
        <v>22</v>
      </c>
      <c r="F1535" t="s">
        <v>23</v>
      </c>
      <c r="G1535">
        <v>1</v>
      </c>
      <c r="H1535">
        <v>9791189084813</v>
      </c>
      <c r="I1535" t="s">
        <v>143</v>
      </c>
      <c r="J1535" t="s">
        <v>563</v>
      </c>
      <c r="K1535" t="s">
        <v>564</v>
      </c>
      <c r="L1535" t="s">
        <v>27</v>
      </c>
      <c r="M1535" s="3">
        <v>4000</v>
      </c>
      <c r="N1535" t="s">
        <v>27</v>
      </c>
      <c r="O1535" s="3">
        <v>4000</v>
      </c>
      <c r="P1535" s="3">
        <v>4000</v>
      </c>
      <c r="Q1535" t="s">
        <v>30</v>
      </c>
      <c r="R1535" s="2">
        <v>0.7</v>
      </c>
      <c r="S1535" s="3">
        <v>2800</v>
      </c>
      <c r="T1535" t="s">
        <v>27</v>
      </c>
      <c r="U1535" s="3">
        <v>2800</v>
      </c>
      <c r="V1535" s="7" t="str">
        <f>IF(ISERROR(VLOOKUP(K1535,[1]작가별정산률!$R:$S,2,0)),"스토리위즈",VLOOKUP(K1535,[1]작가별정산률!$R:$S,2,0))</f>
        <v>스토리위즈</v>
      </c>
      <c r="W1535" s="7" t="str">
        <f>IF(V1535="스토리위즈",VLOOKUP(K1535,[1]작가별정산률!$A:$B,2,0),V1535)</f>
        <v>셔틀</v>
      </c>
    </row>
    <row r="1536" spans="1:23" x14ac:dyDescent="0.4">
      <c r="A1536" t="s">
        <v>262</v>
      </c>
      <c r="B1536" t="s">
        <v>1840</v>
      </c>
      <c r="C1536" t="s">
        <v>1855</v>
      </c>
      <c r="D1536" t="s">
        <v>64</v>
      </c>
      <c r="E1536" t="s">
        <v>22</v>
      </c>
      <c r="F1536" t="s">
        <v>23</v>
      </c>
      <c r="G1536">
        <v>1</v>
      </c>
      <c r="H1536">
        <v>9791166300240</v>
      </c>
      <c r="I1536" t="s">
        <v>24</v>
      </c>
      <c r="J1536" t="s">
        <v>133</v>
      </c>
      <c r="K1536" t="s">
        <v>119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2">
        <v>0.7</v>
      </c>
      <c r="S1536">
        <v>441</v>
      </c>
      <c r="T1536" t="s">
        <v>27</v>
      </c>
      <c r="U1536">
        <v>441</v>
      </c>
      <c r="V1536" s="7" t="str">
        <f>IF(ISERROR(VLOOKUP(K1536,[1]작가별정산률!$R:$S,2,0)),"스토리위즈",VLOOKUP(K1536,[1]작가별정산률!$R:$S,2,0))</f>
        <v>스토리위즈</v>
      </c>
      <c r="W1536" s="7" t="str">
        <f>IF(V1536="스토리위즈",VLOOKUP(K1536,[1]작가별정산률!$A:$B,2,0),V1536)</f>
        <v>김광수</v>
      </c>
    </row>
    <row r="1537" spans="1:23" x14ac:dyDescent="0.4">
      <c r="A1537" t="s">
        <v>262</v>
      </c>
      <c r="B1537" t="s">
        <v>1840</v>
      </c>
      <c r="C1537" t="s">
        <v>1856</v>
      </c>
      <c r="D1537" t="s">
        <v>64</v>
      </c>
      <c r="E1537" t="s">
        <v>22</v>
      </c>
      <c r="F1537" t="s">
        <v>23</v>
      </c>
      <c r="G1537">
        <v>1</v>
      </c>
      <c r="H1537">
        <v>9791166300691</v>
      </c>
      <c r="I1537" t="s">
        <v>24</v>
      </c>
      <c r="J1537" t="s">
        <v>152</v>
      </c>
      <c r="K1537" t="s">
        <v>119</v>
      </c>
      <c r="L1537" t="s">
        <v>27</v>
      </c>
      <c r="M1537">
        <v>630</v>
      </c>
      <c r="N1537" t="s">
        <v>27</v>
      </c>
      <c r="O1537">
        <v>630</v>
      </c>
      <c r="P1537">
        <v>630</v>
      </c>
      <c r="Q1537" t="s">
        <v>30</v>
      </c>
      <c r="R1537" s="2">
        <v>0.7</v>
      </c>
      <c r="S1537">
        <v>441</v>
      </c>
      <c r="T1537" t="s">
        <v>27</v>
      </c>
      <c r="U1537">
        <v>441</v>
      </c>
      <c r="V1537" s="7" t="str">
        <f>IF(ISERROR(VLOOKUP(K1537,[1]작가별정산률!$R:$S,2,0)),"스토리위즈",VLOOKUP(K1537,[1]작가별정산률!$R:$S,2,0))</f>
        <v>스토리위즈</v>
      </c>
      <c r="W1537" s="7" t="str">
        <f>IF(V1537="스토리위즈",VLOOKUP(K1537,[1]작가별정산률!$A:$B,2,0),V1537)</f>
        <v>김광수</v>
      </c>
    </row>
    <row r="1538" spans="1:23" x14ac:dyDescent="0.4">
      <c r="A1538" t="s">
        <v>262</v>
      </c>
      <c r="B1538" t="s">
        <v>1840</v>
      </c>
      <c r="C1538" t="s">
        <v>1857</v>
      </c>
      <c r="D1538" t="s">
        <v>21</v>
      </c>
      <c r="E1538" t="s">
        <v>22</v>
      </c>
      <c r="F1538" t="s">
        <v>23</v>
      </c>
      <c r="G1538">
        <v>1</v>
      </c>
      <c r="H1538">
        <v>9791189627072</v>
      </c>
      <c r="I1538" t="s">
        <v>143</v>
      </c>
      <c r="J1538" t="s">
        <v>1034</v>
      </c>
      <c r="K1538" t="s">
        <v>1035</v>
      </c>
      <c r="L1538" t="s">
        <v>27</v>
      </c>
      <c r="M1538" s="3">
        <v>2200</v>
      </c>
      <c r="N1538" t="s">
        <v>27</v>
      </c>
      <c r="O1538" s="3">
        <v>2200</v>
      </c>
      <c r="P1538" s="3">
        <v>2200</v>
      </c>
      <c r="Q1538" t="s">
        <v>30</v>
      </c>
      <c r="R1538" s="2">
        <v>0.7</v>
      </c>
      <c r="S1538" s="3">
        <v>1540</v>
      </c>
      <c r="T1538" t="s">
        <v>27</v>
      </c>
      <c r="U1538" s="3">
        <v>1540</v>
      </c>
      <c r="V1538" s="7" t="str">
        <f>IF(ISERROR(VLOOKUP(K1538,[1]작가별정산률!$R:$S,2,0)),"스토리위즈",VLOOKUP(K1538,[1]작가별정산률!$R:$S,2,0))</f>
        <v>스토리위즈</v>
      </c>
      <c r="W1538" s="7" t="str">
        <f>IF(V1538="스토리위즈",VLOOKUP(K1538,[1]작가별정산률!$A:$B,2,0),V1538)</f>
        <v>모리미</v>
      </c>
    </row>
    <row r="1539" spans="1:23" x14ac:dyDescent="0.4">
      <c r="A1539" t="s">
        <v>262</v>
      </c>
      <c r="B1539" t="s">
        <v>1840</v>
      </c>
      <c r="C1539" t="s">
        <v>1858</v>
      </c>
      <c r="D1539" t="s">
        <v>21</v>
      </c>
      <c r="E1539" t="s">
        <v>22</v>
      </c>
      <c r="F1539" t="s">
        <v>23</v>
      </c>
      <c r="G1539">
        <v>1</v>
      </c>
      <c r="H1539">
        <v>9791191562439</v>
      </c>
      <c r="I1539" t="s">
        <v>143</v>
      </c>
      <c r="J1539" t="s">
        <v>1661</v>
      </c>
      <c r="K1539" t="s">
        <v>188</v>
      </c>
      <c r="L1539" t="s">
        <v>27</v>
      </c>
      <c r="M1539" s="3">
        <v>2500</v>
      </c>
      <c r="N1539" t="s">
        <v>27</v>
      </c>
      <c r="O1539" s="3">
        <v>2500</v>
      </c>
      <c r="P1539" s="3">
        <v>2500</v>
      </c>
      <c r="Q1539" t="s">
        <v>30</v>
      </c>
      <c r="R1539" s="2">
        <v>0.7</v>
      </c>
      <c r="S1539" s="3">
        <v>1750</v>
      </c>
      <c r="T1539" t="s">
        <v>27</v>
      </c>
      <c r="U1539" s="3">
        <v>1750</v>
      </c>
      <c r="V1539" s="7" t="str">
        <f>IF(ISERROR(VLOOKUP(K1539,[1]작가별정산률!$R:$S,2,0)),"스토리위즈",VLOOKUP(K1539,[1]작가별정산률!$R:$S,2,0))</f>
        <v>밀리의 서재</v>
      </c>
      <c r="W1539" s="7" t="str">
        <f>IF(V1539="스토리위즈",VLOOKUP(K1539,[1]작가별정산률!$A:$B,2,0),V1539)</f>
        <v>밀리의 서재</v>
      </c>
    </row>
    <row r="1540" spans="1:23" x14ac:dyDescent="0.4">
      <c r="A1540" t="s">
        <v>262</v>
      </c>
      <c r="B1540" t="s">
        <v>1840</v>
      </c>
      <c r="C1540" t="s">
        <v>1859</v>
      </c>
      <c r="D1540" t="s">
        <v>64</v>
      </c>
      <c r="E1540" t="s">
        <v>22</v>
      </c>
      <c r="F1540" t="s">
        <v>23</v>
      </c>
      <c r="G1540">
        <v>1</v>
      </c>
      <c r="H1540">
        <v>9791166300172</v>
      </c>
      <c r="I1540" t="s">
        <v>24</v>
      </c>
      <c r="J1540" t="s">
        <v>127</v>
      </c>
      <c r="K1540" t="s">
        <v>119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  <c r="V1540" s="7" t="str">
        <f>IF(ISERROR(VLOOKUP(K1540,[1]작가별정산률!$R:$S,2,0)),"스토리위즈",VLOOKUP(K1540,[1]작가별정산률!$R:$S,2,0))</f>
        <v>스토리위즈</v>
      </c>
      <c r="W1540" s="7" t="str">
        <f>IF(V1540="스토리위즈",VLOOKUP(K1540,[1]작가별정산률!$A:$B,2,0),V1540)</f>
        <v>김광수</v>
      </c>
    </row>
    <row r="1541" spans="1:23" x14ac:dyDescent="0.4">
      <c r="A1541" t="s">
        <v>262</v>
      </c>
      <c r="B1541" t="s">
        <v>1840</v>
      </c>
      <c r="C1541" t="s">
        <v>1860</v>
      </c>
      <c r="D1541" t="s">
        <v>64</v>
      </c>
      <c r="E1541" t="s">
        <v>22</v>
      </c>
      <c r="F1541" t="s">
        <v>23</v>
      </c>
      <c r="G1541">
        <v>1</v>
      </c>
      <c r="H1541">
        <v>9791166300196</v>
      </c>
      <c r="I1541" t="s">
        <v>24</v>
      </c>
      <c r="J1541" t="s">
        <v>128</v>
      </c>
      <c r="K1541" t="s">
        <v>119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  <c r="V1541" s="7" t="str">
        <f>IF(ISERROR(VLOOKUP(K1541,[1]작가별정산률!$R:$S,2,0)),"스토리위즈",VLOOKUP(K1541,[1]작가별정산률!$R:$S,2,0))</f>
        <v>스토리위즈</v>
      </c>
      <c r="W1541" s="7" t="str">
        <f>IF(V1541="스토리위즈",VLOOKUP(K1541,[1]작가별정산률!$A:$B,2,0),V1541)</f>
        <v>김광수</v>
      </c>
    </row>
    <row r="1542" spans="1:23" x14ac:dyDescent="0.4">
      <c r="A1542" t="s">
        <v>262</v>
      </c>
      <c r="B1542" t="s">
        <v>1840</v>
      </c>
      <c r="C1542" t="s">
        <v>1861</v>
      </c>
      <c r="D1542" t="s">
        <v>64</v>
      </c>
      <c r="E1542" t="s">
        <v>22</v>
      </c>
      <c r="F1542" t="s">
        <v>23</v>
      </c>
      <c r="G1542">
        <v>1</v>
      </c>
      <c r="H1542">
        <v>9791166300134</v>
      </c>
      <c r="I1542" t="s">
        <v>24</v>
      </c>
      <c r="J1542" t="s">
        <v>123</v>
      </c>
      <c r="K1542" t="s">
        <v>119</v>
      </c>
      <c r="L1542" t="s">
        <v>27</v>
      </c>
      <c r="M1542">
        <v>630</v>
      </c>
      <c r="N1542" t="s">
        <v>27</v>
      </c>
      <c r="O1542">
        <v>630</v>
      </c>
      <c r="P1542">
        <v>630</v>
      </c>
      <c r="Q1542" t="s">
        <v>30</v>
      </c>
      <c r="R1542" s="2">
        <v>0.7</v>
      </c>
      <c r="S1542">
        <v>441</v>
      </c>
      <c r="T1542" t="s">
        <v>27</v>
      </c>
      <c r="U1542">
        <v>441</v>
      </c>
      <c r="V1542" s="7" t="str">
        <f>IF(ISERROR(VLOOKUP(K1542,[1]작가별정산률!$R:$S,2,0)),"스토리위즈",VLOOKUP(K1542,[1]작가별정산률!$R:$S,2,0))</f>
        <v>스토리위즈</v>
      </c>
      <c r="W1542" s="7" t="str">
        <f>IF(V1542="스토리위즈",VLOOKUP(K1542,[1]작가별정산률!$A:$B,2,0),V1542)</f>
        <v>김광수</v>
      </c>
    </row>
    <row r="1543" spans="1:23" x14ac:dyDescent="0.4">
      <c r="A1543" t="s">
        <v>262</v>
      </c>
      <c r="B1543" t="s">
        <v>1840</v>
      </c>
      <c r="C1543" t="s">
        <v>1862</v>
      </c>
      <c r="D1543" t="s">
        <v>64</v>
      </c>
      <c r="E1543" t="s">
        <v>22</v>
      </c>
      <c r="F1543" t="s">
        <v>23</v>
      </c>
      <c r="G1543">
        <v>1</v>
      </c>
      <c r="H1543">
        <v>9791159282218</v>
      </c>
      <c r="I1543" t="s">
        <v>24</v>
      </c>
      <c r="J1543" t="s">
        <v>107</v>
      </c>
      <c r="K1543" t="s">
        <v>37</v>
      </c>
      <c r="L1543" t="s">
        <v>27</v>
      </c>
      <c r="M1543">
        <v>900</v>
      </c>
      <c r="N1543" t="s">
        <v>27</v>
      </c>
      <c r="O1543">
        <v>900</v>
      </c>
      <c r="P1543">
        <v>900</v>
      </c>
      <c r="Q1543" t="s">
        <v>30</v>
      </c>
      <c r="R1543" s="2">
        <v>0.7</v>
      </c>
      <c r="S1543">
        <v>630</v>
      </c>
      <c r="T1543" t="s">
        <v>27</v>
      </c>
      <c r="U1543">
        <v>630</v>
      </c>
      <c r="V1543" s="7" t="str">
        <f>IF(ISERROR(VLOOKUP(K1543,[1]작가별정산률!$R:$S,2,0)),"스토리위즈",VLOOKUP(K1543,[1]작가별정산률!$R:$S,2,0))</f>
        <v>스토리위즈</v>
      </c>
      <c r="W1543" s="7" t="str">
        <f>IF(V1543="스토리위즈",VLOOKUP(K1543,[1]작가별정산률!$A:$B,2,0),V1543)</f>
        <v>권용찬</v>
      </c>
    </row>
    <row r="1544" spans="1:23" x14ac:dyDescent="0.4">
      <c r="A1544" t="s">
        <v>262</v>
      </c>
      <c r="B1544" t="s">
        <v>1840</v>
      </c>
      <c r="C1544" t="s">
        <v>1863</v>
      </c>
      <c r="D1544" t="s">
        <v>64</v>
      </c>
      <c r="E1544" t="s">
        <v>22</v>
      </c>
      <c r="F1544" t="s">
        <v>23</v>
      </c>
      <c r="G1544">
        <v>1</v>
      </c>
      <c r="H1544">
        <v>9791159282225</v>
      </c>
      <c r="I1544" t="s">
        <v>24</v>
      </c>
      <c r="J1544" t="s">
        <v>108</v>
      </c>
      <c r="K1544" t="s">
        <v>37</v>
      </c>
      <c r="L1544" t="s">
        <v>27</v>
      </c>
      <c r="M1544">
        <v>900</v>
      </c>
      <c r="N1544" t="s">
        <v>27</v>
      </c>
      <c r="O1544">
        <v>900</v>
      </c>
      <c r="P1544">
        <v>900</v>
      </c>
      <c r="Q1544" t="s">
        <v>30</v>
      </c>
      <c r="R1544" s="2">
        <v>0.7</v>
      </c>
      <c r="S1544">
        <v>630</v>
      </c>
      <c r="T1544" t="s">
        <v>27</v>
      </c>
      <c r="U1544">
        <v>630</v>
      </c>
      <c r="V1544" s="7" t="str">
        <f>IF(ISERROR(VLOOKUP(K1544,[1]작가별정산률!$R:$S,2,0)),"스토리위즈",VLOOKUP(K1544,[1]작가별정산률!$R:$S,2,0))</f>
        <v>스토리위즈</v>
      </c>
      <c r="W1544" s="7" t="str">
        <f>IF(V1544="스토리위즈",VLOOKUP(K1544,[1]작가별정산률!$A:$B,2,0),V1544)</f>
        <v>권용찬</v>
      </c>
    </row>
    <row r="1545" spans="1:23" x14ac:dyDescent="0.4">
      <c r="A1545" t="s">
        <v>262</v>
      </c>
      <c r="B1545" t="s">
        <v>1840</v>
      </c>
      <c r="C1545" t="s">
        <v>1864</v>
      </c>
      <c r="D1545" t="s">
        <v>64</v>
      </c>
      <c r="E1545" t="s">
        <v>22</v>
      </c>
      <c r="F1545" t="s">
        <v>23</v>
      </c>
      <c r="G1545">
        <v>1</v>
      </c>
      <c r="H1545">
        <v>9791166300103</v>
      </c>
      <c r="I1545" t="s">
        <v>24</v>
      </c>
      <c r="J1545" t="s">
        <v>120</v>
      </c>
      <c r="K1545" t="s">
        <v>119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  <c r="V1545" s="7" t="str">
        <f>IF(ISERROR(VLOOKUP(K1545,[1]작가별정산률!$R:$S,2,0)),"스토리위즈",VLOOKUP(K1545,[1]작가별정산률!$R:$S,2,0))</f>
        <v>스토리위즈</v>
      </c>
      <c r="W1545" s="7" t="str">
        <f>IF(V1545="스토리위즈",VLOOKUP(K1545,[1]작가별정산률!$A:$B,2,0),V1545)</f>
        <v>김광수</v>
      </c>
    </row>
    <row r="1546" spans="1:23" x14ac:dyDescent="0.4">
      <c r="A1546" t="s">
        <v>262</v>
      </c>
      <c r="B1546" t="s">
        <v>1840</v>
      </c>
      <c r="C1546" t="s">
        <v>1865</v>
      </c>
      <c r="D1546" t="s">
        <v>64</v>
      </c>
      <c r="E1546" t="s">
        <v>22</v>
      </c>
      <c r="F1546" t="s">
        <v>23</v>
      </c>
      <c r="G1546">
        <v>1</v>
      </c>
      <c r="H1546">
        <v>9791166300585</v>
      </c>
      <c r="I1546" t="s">
        <v>24</v>
      </c>
      <c r="J1546" t="s">
        <v>160</v>
      </c>
      <c r="K1546" t="s">
        <v>119</v>
      </c>
      <c r="L1546" t="s">
        <v>27</v>
      </c>
      <c r="M1546">
        <v>630</v>
      </c>
      <c r="N1546" t="s">
        <v>27</v>
      </c>
      <c r="O1546">
        <v>630</v>
      </c>
      <c r="P1546">
        <v>630</v>
      </c>
      <c r="Q1546" t="s">
        <v>30</v>
      </c>
      <c r="R1546" s="2">
        <v>0.7</v>
      </c>
      <c r="S1546">
        <v>441</v>
      </c>
      <c r="T1546" t="s">
        <v>27</v>
      </c>
      <c r="U1546">
        <v>441</v>
      </c>
      <c r="V1546" s="7" t="str">
        <f>IF(ISERROR(VLOOKUP(K1546,[1]작가별정산률!$R:$S,2,0)),"스토리위즈",VLOOKUP(K1546,[1]작가별정산률!$R:$S,2,0))</f>
        <v>스토리위즈</v>
      </c>
      <c r="W1546" s="7" t="str">
        <f>IF(V1546="스토리위즈",VLOOKUP(K1546,[1]작가별정산률!$A:$B,2,0),V1546)</f>
        <v>김광수</v>
      </c>
    </row>
    <row r="1547" spans="1:23" x14ac:dyDescent="0.4">
      <c r="A1547" t="s">
        <v>262</v>
      </c>
      <c r="B1547" t="s">
        <v>1840</v>
      </c>
      <c r="C1547" t="s">
        <v>1866</v>
      </c>
      <c r="D1547" t="s">
        <v>64</v>
      </c>
      <c r="E1547" t="s">
        <v>22</v>
      </c>
      <c r="F1547" t="s">
        <v>23</v>
      </c>
      <c r="G1547">
        <v>1</v>
      </c>
      <c r="H1547">
        <v>9791159282966</v>
      </c>
      <c r="I1547" t="s">
        <v>24</v>
      </c>
      <c r="J1547" t="s">
        <v>181</v>
      </c>
      <c r="K1547" t="s">
        <v>26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2">
        <v>0.7</v>
      </c>
      <c r="S1547">
        <v>441</v>
      </c>
      <c r="T1547" t="s">
        <v>27</v>
      </c>
      <c r="U1547">
        <v>441</v>
      </c>
      <c r="V1547" s="7" t="str">
        <f>IF(ISERROR(VLOOKUP(K1547,[1]작가별정산률!$R:$S,2,0)),"스토리위즈",VLOOKUP(K1547,[1]작가별정산률!$R:$S,2,0))</f>
        <v>스토리위즈</v>
      </c>
      <c r="W1547" s="7" t="str">
        <f>IF(V1547="스토리위즈",VLOOKUP(K1547,[1]작가별정산률!$A:$B,2,0),V1547)</f>
        <v>독고진</v>
      </c>
    </row>
    <row r="1548" spans="1:23" x14ac:dyDescent="0.4">
      <c r="A1548" t="s">
        <v>262</v>
      </c>
      <c r="B1548" t="s">
        <v>1840</v>
      </c>
      <c r="C1548" t="s">
        <v>1867</v>
      </c>
      <c r="D1548" t="s">
        <v>21</v>
      </c>
      <c r="E1548" t="s">
        <v>22</v>
      </c>
      <c r="F1548" t="s">
        <v>23</v>
      </c>
      <c r="G1548">
        <v>1</v>
      </c>
      <c r="H1548">
        <v>9791159286605</v>
      </c>
      <c r="I1548" t="s">
        <v>24</v>
      </c>
      <c r="J1548" t="s">
        <v>1868</v>
      </c>
      <c r="K1548" t="s">
        <v>140</v>
      </c>
      <c r="L1548" t="s">
        <v>27</v>
      </c>
      <c r="M1548" s="3">
        <v>3200</v>
      </c>
      <c r="N1548" t="s">
        <v>27</v>
      </c>
      <c r="O1548" s="3">
        <v>3200</v>
      </c>
      <c r="P1548" s="3">
        <v>3200</v>
      </c>
      <c r="Q1548" t="s">
        <v>30</v>
      </c>
      <c r="R1548" s="2">
        <v>0.7</v>
      </c>
      <c r="S1548" s="3">
        <v>2240</v>
      </c>
      <c r="T1548" t="s">
        <v>27</v>
      </c>
      <c r="U1548" s="3">
        <v>2240</v>
      </c>
      <c r="V1548" s="7" t="str">
        <f>IF(ISERROR(VLOOKUP(K1548,[1]작가별정산률!$R:$S,2,0)),"스토리위즈",VLOOKUP(K1548,[1]작가별정산률!$R:$S,2,0))</f>
        <v>스토리위즈</v>
      </c>
      <c r="W1548" s="7" t="str">
        <f>IF(V1548="스토리위즈",VLOOKUP(K1548,[1]작가별정산률!$A:$B,2,0),V1548)</f>
        <v>이동열</v>
      </c>
    </row>
    <row r="1549" spans="1:23" x14ac:dyDescent="0.4">
      <c r="A1549" t="s">
        <v>262</v>
      </c>
      <c r="B1549" t="s">
        <v>1840</v>
      </c>
      <c r="C1549" t="s">
        <v>1869</v>
      </c>
      <c r="D1549" t="s">
        <v>64</v>
      </c>
      <c r="E1549" t="s">
        <v>22</v>
      </c>
      <c r="F1549" t="s">
        <v>23</v>
      </c>
      <c r="G1549">
        <v>1</v>
      </c>
      <c r="H1549">
        <v>9791188630165</v>
      </c>
      <c r="I1549" t="s">
        <v>24</v>
      </c>
      <c r="J1549" t="s">
        <v>206</v>
      </c>
      <c r="K1549" t="s">
        <v>41</v>
      </c>
      <c r="L1549" t="s">
        <v>27</v>
      </c>
      <c r="M1549">
        <v>630</v>
      </c>
      <c r="N1549" t="s">
        <v>27</v>
      </c>
      <c r="O1549">
        <v>630</v>
      </c>
      <c r="P1549">
        <v>630</v>
      </c>
      <c r="Q1549" t="s">
        <v>30</v>
      </c>
      <c r="R1549" s="2">
        <v>0.7</v>
      </c>
      <c r="S1549">
        <v>441</v>
      </c>
      <c r="T1549" t="s">
        <v>27</v>
      </c>
      <c r="U1549">
        <v>441</v>
      </c>
      <c r="V1549" s="7" t="str">
        <f>IF(ISERROR(VLOOKUP(K1549,[1]작가별정산률!$R:$S,2,0)),"스토리위즈",VLOOKUP(K1549,[1]작가별정산률!$R:$S,2,0))</f>
        <v>스토리위즈</v>
      </c>
      <c r="W1549" s="7" t="str">
        <f>IF(V1549="스토리위즈",VLOOKUP(K1549,[1]작가별정산률!$A:$B,2,0),V1549)</f>
        <v>무장</v>
      </c>
    </row>
    <row r="1550" spans="1:23" x14ac:dyDescent="0.4">
      <c r="A1550" t="s">
        <v>262</v>
      </c>
      <c r="B1550" t="s">
        <v>1840</v>
      </c>
      <c r="C1550" t="s">
        <v>1870</v>
      </c>
      <c r="D1550" t="s">
        <v>64</v>
      </c>
      <c r="E1550" t="s">
        <v>22</v>
      </c>
      <c r="F1550" t="s">
        <v>23</v>
      </c>
      <c r="G1550">
        <v>1</v>
      </c>
      <c r="H1550">
        <v>9791159282928</v>
      </c>
      <c r="I1550" t="s">
        <v>24</v>
      </c>
      <c r="J1550" t="s">
        <v>178</v>
      </c>
      <c r="K1550" t="s">
        <v>26</v>
      </c>
      <c r="L1550" t="s">
        <v>27</v>
      </c>
      <c r="M1550">
        <v>630</v>
      </c>
      <c r="N1550" t="s">
        <v>27</v>
      </c>
      <c r="O1550">
        <v>630</v>
      </c>
      <c r="P1550">
        <v>630</v>
      </c>
      <c r="Q1550" t="s">
        <v>30</v>
      </c>
      <c r="R1550" s="2">
        <v>0.7</v>
      </c>
      <c r="S1550">
        <v>441</v>
      </c>
      <c r="T1550" t="s">
        <v>27</v>
      </c>
      <c r="U1550">
        <v>441</v>
      </c>
      <c r="V1550" s="7" t="str">
        <f>IF(ISERROR(VLOOKUP(K1550,[1]작가별정산률!$R:$S,2,0)),"스토리위즈",VLOOKUP(K1550,[1]작가별정산률!$R:$S,2,0))</f>
        <v>스토리위즈</v>
      </c>
      <c r="W1550" s="7" t="str">
        <f>IF(V1550="스토리위즈",VLOOKUP(K1550,[1]작가별정산률!$A:$B,2,0),V1550)</f>
        <v>독고진</v>
      </c>
    </row>
    <row r="1551" spans="1:23" x14ac:dyDescent="0.4">
      <c r="A1551" t="s">
        <v>262</v>
      </c>
      <c r="B1551" t="s">
        <v>1840</v>
      </c>
      <c r="C1551" t="s">
        <v>1871</v>
      </c>
      <c r="D1551" t="s">
        <v>21</v>
      </c>
      <c r="E1551" t="s">
        <v>22</v>
      </c>
      <c r="F1551" t="s">
        <v>23</v>
      </c>
      <c r="G1551">
        <v>1</v>
      </c>
      <c r="H1551">
        <v>9791189627089</v>
      </c>
      <c r="I1551" t="s">
        <v>143</v>
      </c>
      <c r="J1551" t="s">
        <v>1066</v>
      </c>
      <c r="K1551" t="s">
        <v>1035</v>
      </c>
      <c r="L1551" t="s">
        <v>27</v>
      </c>
      <c r="M1551" s="3">
        <v>2200</v>
      </c>
      <c r="N1551" t="s">
        <v>27</v>
      </c>
      <c r="O1551" s="3">
        <v>2200</v>
      </c>
      <c r="P1551" s="3">
        <v>2200</v>
      </c>
      <c r="Q1551" t="s">
        <v>30</v>
      </c>
      <c r="R1551" s="2">
        <v>0.7</v>
      </c>
      <c r="S1551" s="3">
        <v>1540</v>
      </c>
      <c r="T1551" t="s">
        <v>27</v>
      </c>
      <c r="U1551" s="3">
        <v>1540</v>
      </c>
      <c r="V1551" s="7" t="str">
        <f>IF(ISERROR(VLOOKUP(K1551,[1]작가별정산률!$R:$S,2,0)),"스토리위즈",VLOOKUP(K1551,[1]작가별정산률!$R:$S,2,0))</f>
        <v>스토리위즈</v>
      </c>
      <c r="W1551" s="7" t="str">
        <f>IF(V1551="스토리위즈",VLOOKUP(K1551,[1]작가별정산률!$A:$B,2,0),V1551)</f>
        <v>모리미</v>
      </c>
    </row>
    <row r="1552" spans="1:23" x14ac:dyDescent="0.4">
      <c r="A1552" t="s">
        <v>262</v>
      </c>
      <c r="B1552" t="s">
        <v>1840</v>
      </c>
      <c r="C1552" t="s">
        <v>1872</v>
      </c>
      <c r="D1552" t="s">
        <v>64</v>
      </c>
      <c r="E1552" t="s">
        <v>22</v>
      </c>
      <c r="F1552" t="s">
        <v>23</v>
      </c>
      <c r="G1552">
        <v>1</v>
      </c>
      <c r="H1552">
        <v>9791166300127</v>
      </c>
      <c r="I1552" t="s">
        <v>24</v>
      </c>
      <c r="J1552" t="s">
        <v>122</v>
      </c>
      <c r="K1552" t="s">
        <v>119</v>
      </c>
      <c r="L1552" t="s">
        <v>27</v>
      </c>
      <c r="M1552">
        <v>630</v>
      </c>
      <c r="N1552" t="s">
        <v>27</v>
      </c>
      <c r="O1552">
        <v>630</v>
      </c>
      <c r="P1552">
        <v>630</v>
      </c>
      <c r="Q1552" t="s">
        <v>30</v>
      </c>
      <c r="R1552" s="2">
        <v>0.7</v>
      </c>
      <c r="S1552">
        <v>441</v>
      </c>
      <c r="T1552" t="s">
        <v>27</v>
      </c>
      <c r="U1552">
        <v>441</v>
      </c>
      <c r="V1552" s="7" t="str">
        <f>IF(ISERROR(VLOOKUP(K1552,[1]작가별정산률!$R:$S,2,0)),"스토리위즈",VLOOKUP(K1552,[1]작가별정산률!$R:$S,2,0))</f>
        <v>스토리위즈</v>
      </c>
      <c r="W1552" s="7" t="str">
        <f>IF(V1552="스토리위즈",VLOOKUP(K1552,[1]작가별정산률!$A:$B,2,0),V1552)</f>
        <v>김광수</v>
      </c>
    </row>
    <row r="1553" spans="1:23" x14ac:dyDescent="0.4">
      <c r="A1553" t="s">
        <v>262</v>
      </c>
      <c r="B1553" t="s">
        <v>1840</v>
      </c>
      <c r="C1553" t="s">
        <v>1873</v>
      </c>
      <c r="D1553" t="s">
        <v>21</v>
      </c>
      <c r="E1553" t="s">
        <v>22</v>
      </c>
      <c r="F1553" t="s">
        <v>23</v>
      </c>
      <c r="G1553">
        <v>1</v>
      </c>
      <c r="H1553">
        <v>9791159286612</v>
      </c>
      <c r="I1553" t="s">
        <v>24</v>
      </c>
      <c r="J1553" t="s">
        <v>1874</v>
      </c>
      <c r="K1553" t="s">
        <v>140</v>
      </c>
      <c r="L1553" t="s">
        <v>27</v>
      </c>
      <c r="M1553" s="3">
        <v>3200</v>
      </c>
      <c r="N1553" t="s">
        <v>27</v>
      </c>
      <c r="O1553" s="3">
        <v>3200</v>
      </c>
      <c r="P1553" s="3">
        <v>3200</v>
      </c>
      <c r="Q1553" t="s">
        <v>30</v>
      </c>
      <c r="R1553" s="2">
        <v>0.7</v>
      </c>
      <c r="S1553" s="3">
        <v>2240</v>
      </c>
      <c r="T1553" t="s">
        <v>27</v>
      </c>
      <c r="U1553" s="3">
        <v>2240</v>
      </c>
      <c r="V1553" s="7" t="str">
        <f>IF(ISERROR(VLOOKUP(K1553,[1]작가별정산률!$R:$S,2,0)),"스토리위즈",VLOOKUP(K1553,[1]작가별정산률!$R:$S,2,0))</f>
        <v>스토리위즈</v>
      </c>
      <c r="W1553" s="7" t="str">
        <f>IF(V1553="스토리위즈",VLOOKUP(K1553,[1]작가별정산률!$A:$B,2,0),V1553)</f>
        <v>이동열</v>
      </c>
    </row>
    <row r="1554" spans="1:23" x14ac:dyDescent="0.4">
      <c r="A1554" t="s">
        <v>262</v>
      </c>
      <c r="B1554" t="s">
        <v>1840</v>
      </c>
      <c r="C1554" t="s">
        <v>1875</v>
      </c>
      <c r="D1554" t="s">
        <v>64</v>
      </c>
      <c r="E1554" t="s">
        <v>22</v>
      </c>
      <c r="F1554" t="s">
        <v>23</v>
      </c>
      <c r="G1554">
        <v>1</v>
      </c>
      <c r="H1554">
        <v>9791166300257</v>
      </c>
      <c r="I1554" t="s">
        <v>24</v>
      </c>
      <c r="J1554" t="s">
        <v>134</v>
      </c>
      <c r="K1554" t="s">
        <v>119</v>
      </c>
      <c r="L1554" t="s">
        <v>27</v>
      </c>
      <c r="M1554">
        <v>630</v>
      </c>
      <c r="N1554" t="s">
        <v>27</v>
      </c>
      <c r="O1554">
        <v>630</v>
      </c>
      <c r="P1554">
        <v>630</v>
      </c>
      <c r="Q1554" t="s">
        <v>30</v>
      </c>
      <c r="R1554" s="2">
        <v>0.7</v>
      </c>
      <c r="S1554">
        <v>441</v>
      </c>
      <c r="T1554" t="s">
        <v>27</v>
      </c>
      <c r="U1554">
        <v>441</v>
      </c>
      <c r="V1554" s="7" t="str">
        <f>IF(ISERROR(VLOOKUP(K1554,[1]작가별정산률!$R:$S,2,0)),"스토리위즈",VLOOKUP(K1554,[1]작가별정산률!$R:$S,2,0))</f>
        <v>스토리위즈</v>
      </c>
      <c r="W1554" s="7" t="str">
        <f>IF(V1554="스토리위즈",VLOOKUP(K1554,[1]작가별정산률!$A:$B,2,0),V1554)</f>
        <v>김광수</v>
      </c>
    </row>
    <row r="1555" spans="1:23" x14ac:dyDescent="0.4">
      <c r="A1555" t="s">
        <v>262</v>
      </c>
      <c r="B1555" t="s">
        <v>1840</v>
      </c>
      <c r="C1555" t="s">
        <v>1876</v>
      </c>
      <c r="D1555" t="s">
        <v>21</v>
      </c>
      <c r="E1555" t="s">
        <v>22</v>
      </c>
      <c r="F1555" t="s">
        <v>23</v>
      </c>
      <c r="G1555">
        <v>1</v>
      </c>
      <c r="H1555">
        <v>9791166300219</v>
      </c>
      <c r="I1555" t="s">
        <v>24</v>
      </c>
      <c r="J1555" t="s">
        <v>130</v>
      </c>
      <c r="K1555" t="s">
        <v>119</v>
      </c>
      <c r="L1555" t="s">
        <v>27</v>
      </c>
      <c r="M1555" s="3">
        <v>3200</v>
      </c>
      <c r="N1555" t="s">
        <v>27</v>
      </c>
      <c r="O1555" s="3">
        <v>3200</v>
      </c>
      <c r="P1555" s="3">
        <v>3200</v>
      </c>
      <c r="Q1555" t="s">
        <v>30</v>
      </c>
      <c r="R1555" s="2">
        <v>0.7</v>
      </c>
      <c r="S1555" s="3">
        <v>2240</v>
      </c>
      <c r="T1555" t="s">
        <v>27</v>
      </c>
      <c r="U1555" s="3">
        <v>2240</v>
      </c>
      <c r="V1555" s="7" t="str">
        <f>IF(ISERROR(VLOOKUP(K1555,[1]작가별정산률!$R:$S,2,0)),"스토리위즈",VLOOKUP(K1555,[1]작가별정산률!$R:$S,2,0))</f>
        <v>스토리위즈</v>
      </c>
      <c r="W1555" s="7" t="str">
        <f>IF(V1555="스토리위즈",VLOOKUP(K1555,[1]작가별정산률!$A:$B,2,0),V1555)</f>
        <v>김광수</v>
      </c>
    </row>
    <row r="1556" spans="1:23" x14ac:dyDescent="0.4">
      <c r="A1556" t="s">
        <v>262</v>
      </c>
      <c r="B1556" t="s">
        <v>1840</v>
      </c>
      <c r="C1556" t="s">
        <v>1877</v>
      </c>
      <c r="D1556" t="s">
        <v>64</v>
      </c>
      <c r="E1556" t="s">
        <v>22</v>
      </c>
      <c r="F1556" t="s">
        <v>23</v>
      </c>
      <c r="G1556">
        <v>1</v>
      </c>
      <c r="H1556">
        <v>9791166064135</v>
      </c>
      <c r="I1556" t="s">
        <v>24</v>
      </c>
      <c r="J1556" t="s">
        <v>77</v>
      </c>
      <c r="K1556" t="s">
        <v>37</v>
      </c>
      <c r="L1556" t="s">
        <v>27</v>
      </c>
      <c r="M1556">
        <v>900</v>
      </c>
      <c r="N1556" t="s">
        <v>27</v>
      </c>
      <c r="O1556">
        <v>900</v>
      </c>
      <c r="P1556">
        <v>900</v>
      </c>
      <c r="Q1556" t="s">
        <v>30</v>
      </c>
      <c r="R1556" s="2">
        <v>0.7</v>
      </c>
      <c r="S1556">
        <v>630</v>
      </c>
      <c r="T1556" t="s">
        <v>27</v>
      </c>
      <c r="U1556">
        <v>630</v>
      </c>
      <c r="V1556" s="7" t="str">
        <f>IF(ISERROR(VLOOKUP(K1556,[1]작가별정산률!$R:$S,2,0)),"스토리위즈",VLOOKUP(K1556,[1]작가별정산률!$R:$S,2,0))</f>
        <v>스토리위즈</v>
      </c>
      <c r="W1556" s="7" t="str">
        <f>IF(V1556="스토리위즈",VLOOKUP(K1556,[1]작가별정산률!$A:$B,2,0),V1556)</f>
        <v>권용찬</v>
      </c>
    </row>
    <row r="1557" spans="1:23" x14ac:dyDescent="0.4">
      <c r="A1557" t="s">
        <v>262</v>
      </c>
      <c r="B1557" t="s">
        <v>1840</v>
      </c>
      <c r="C1557" t="s">
        <v>1878</v>
      </c>
      <c r="D1557" t="s">
        <v>64</v>
      </c>
      <c r="E1557" t="s">
        <v>22</v>
      </c>
      <c r="F1557" t="s">
        <v>23</v>
      </c>
      <c r="G1557">
        <v>1</v>
      </c>
      <c r="H1557">
        <v>9791188630127</v>
      </c>
      <c r="I1557" t="s">
        <v>24</v>
      </c>
      <c r="J1557" t="s">
        <v>42</v>
      </c>
      <c r="K1557" t="s">
        <v>41</v>
      </c>
      <c r="L1557" t="s">
        <v>27</v>
      </c>
      <c r="M1557">
        <v>630</v>
      </c>
      <c r="N1557" t="s">
        <v>27</v>
      </c>
      <c r="O1557">
        <v>630</v>
      </c>
      <c r="P1557">
        <v>630</v>
      </c>
      <c r="Q1557" t="s">
        <v>30</v>
      </c>
      <c r="R1557" s="2">
        <v>0.7</v>
      </c>
      <c r="S1557">
        <v>441</v>
      </c>
      <c r="T1557" t="s">
        <v>27</v>
      </c>
      <c r="U1557">
        <v>441</v>
      </c>
      <c r="V1557" s="7" t="str">
        <f>IF(ISERROR(VLOOKUP(K1557,[1]작가별정산률!$R:$S,2,0)),"스토리위즈",VLOOKUP(K1557,[1]작가별정산률!$R:$S,2,0))</f>
        <v>스토리위즈</v>
      </c>
      <c r="W1557" s="7" t="str">
        <f>IF(V1557="스토리위즈",VLOOKUP(K1557,[1]작가별정산률!$A:$B,2,0),V1557)</f>
        <v>무장</v>
      </c>
    </row>
    <row r="1558" spans="1:23" x14ac:dyDescent="0.4">
      <c r="A1558" t="s">
        <v>262</v>
      </c>
      <c r="B1558" t="s">
        <v>1840</v>
      </c>
      <c r="C1558" t="s">
        <v>1879</v>
      </c>
      <c r="D1558" t="s">
        <v>21</v>
      </c>
      <c r="E1558" t="s">
        <v>22</v>
      </c>
      <c r="F1558" t="s">
        <v>23</v>
      </c>
      <c r="G1558">
        <v>1</v>
      </c>
      <c r="H1558">
        <v>9791166300523</v>
      </c>
      <c r="I1558" t="s">
        <v>24</v>
      </c>
      <c r="J1558" t="s">
        <v>150</v>
      </c>
      <c r="K1558" t="s">
        <v>119</v>
      </c>
      <c r="L1558" t="s">
        <v>27</v>
      </c>
      <c r="M1558" s="3">
        <v>3200</v>
      </c>
      <c r="N1558" t="s">
        <v>27</v>
      </c>
      <c r="O1558" s="3">
        <v>3200</v>
      </c>
      <c r="P1558" s="3">
        <v>3200</v>
      </c>
      <c r="Q1558" t="s">
        <v>30</v>
      </c>
      <c r="R1558" s="2">
        <v>0.7</v>
      </c>
      <c r="S1558" s="3">
        <v>2240</v>
      </c>
      <c r="T1558" t="s">
        <v>27</v>
      </c>
      <c r="U1558" s="3">
        <v>2240</v>
      </c>
      <c r="V1558" s="7" t="str">
        <f>IF(ISERROR(VLOOKUP(K1558,[1]작가별정산률!$R:$S,2,0)),"스토리위즈",VLOOKUP(K1558,[1]작가별정산률!$R:$S,2,0))</f>
        <v>스토리위즈</v>
      </c>
      <c r="W1558" s="7" t="str">
        <f>IF(V1558="스토리위즈",VLOOKUP(K1558,[1]작가별정산률!$A:$B,2,0),V1558)</f>
        <v>김광수</v>
      </c>
    </row>
    <row r="1559" spans="1:23" x14ac:dyDescent="0.4">
      <c r="A1559" t="s">
        <v>262</v>
      </c>
      <c r="B1559" t="s">
        <v>1840</v>
      </c>
      <c r="C1559" t="s">
        <v>1880</v>
      </c>
      <c r="D1559" t="s">
        <v>21</v>
      </c>
      <c r="E1559" t="s">
        <v>22</v>
      </c>
      <c r="F1559" t="s">
        <v>23</v>
      </c>
      <c r="G1559">
        <v>1</v>
      </c>
      <c r="H1559">
        <v>9791191562286</v>
      </c>
      <c r="I1559" t="s">
        <v>143</v>
      </c>
      <c r="J1559" t="s">
        <v>238</v>
      </c>
      <c r="K1559" t="s">
        <v>239</v>
      </c>
      <c r="L1559" t="s">
        <v>27</v>
      </c>
      <c r="M1559" s="3">
        <v>2000</v>
      </c>
      <c r="N1559" t="s">
        <v>27</v>
      </c>
      <c r="O1559" s="3">
        <v>2000</v>
      </c>
      <c r="P1559" s="3">
        <v>2000</v>
      </c>
      <c r="Q1559" t="s">
        <v>30</v>
      </c>
      <c r="R1559" s="2">
        <v>0.7</v>
      </c>
      <c r="S1559" s="3">
        <v>1400</v>
      </c>
      <c r="T1559" t="s">
        <v>27</v>
      </c>
      <c r="U1559" s="3">
        <v>1400</v>
      </c>
      <c r="V1559" s="7" t="str">
        <f>IF(ISERROR(VLOOKUP(K1559,[1]작가별정산률!$R:$S,2,0)),"스토리위즈",VLOOKUP(K1559,[1]작가별정산률!$R:$S,2,0))</f>
        <v>밀리의 서재</v>
      </c>
      <c r="W1559" s="7" t="str">
        <f>IF(V1559="스토리위즈",VLOOKUP(K1559,[1]작가별정산률!$A:$B,2,0),V1559)</f>
        <v>밀리의 서재</v>
      </c>
    </row>
    <row r="1560" spans="1:23" x14ac:dyDescent="0.4">
      <c r="A1560" t="s">
        <v>262</v>
      </c>
      <c r="B1560" t="s">
        <v>1840</v>
      </c>
      <c r="C1560" t="s">
        <v>1881</v>
      </c>
      <c r="D1560" t="s">
        <v>21</v>
      </c>
      <c r="E1560" t="s">
        <v>22</v>
      </c>
      <c r="F1560" t="s">
        <v>23</v>
      </c>
      <c r="G1560">
        <v>1</v>
      </c>
      <c r="H1560">
        <v>9791191562439</v>
      </c>
      <c r="I1560" t="s">
        <v>143</v>
      </c>
      <c r="J1560" t="s">
        <v>1661</v>
      </c>
      <c r="K1560" t="s">
        <v>188</v>
      </c>
      <c r="L1560" t="s">
        <v>27</v>
      </c>
      <c r="M1560" s="3">
        <v>2500</v>
      </c>
      <c r="N1560" t="s">
        <v>27</v>
      </c>
      <c r="O1560" s="3">
        <v>2500</v>
      </c>
      <c r="P1560" s="3">
        <v>2500</v>
      </c>
      <c r="Q1560" t="s">
        <v>30</v>
      </c>
      <c r="R1560" s="2">
        <v>0.7</v>
      </c>
      <c r="S1560" s="3">
        <v>1750</v>
      </c>
      <c r="T1560" t="s">
        <v>27</v>
      </c>
      <c r="U1560" s="3">
        <v>1750</v>
      </c>
      <c r="V1560" s="7" t="str">
        <f>IF(ISERROR(VLOOKUP(K1560,[1]작가별정산률!$R:$S,2,0)),"스토리위즈",VLOOKUP(K1560,[1]작가별정산률!$R:$S,2,0))</f>
        <v>밀리의 서재</v>
      </c>
      <c r="W1560" s="7" t="str">
        <f>IF(V1560="스토리위즈",VLOOKUP(K1560,[1]작가별정산률!$A:$B,2,0),V1560)</f>
        <v>밀리의 서재</v>
      </c>
    </row>
    <row r="1561" spans="1:23" x14ac:dyDescent="0.4">
      <c r="A1561" t="s">
        <v>262</v>
      </c>
      <c r="B1561" t="s">
        <v>1840</v>
      </c>
      <c r="C1561" t="s">
        <v>1882</v>
      </c>
      <c r="D1561" t="s">
        <v>64</v>
      </c>
      <c r="E1561" t="s">
        <v>22</v>
      </c>
      <c r="F1561" t="s">
        <v>23</v>
      </c>
      <c r="G1561">
        <v>1</v>
      </c>
      <c r="H1561">
        <v>9791166300585</v>
      </c>
      <c r="I1561" t="s">
        <v>24</v>
      </c>
      <c r="J1561" t="s">
        <v>160</v>
      </c>
      <c r="K1561" t="s">
        <v>119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  <c r="V1561" s="7" t="str">
        <f>IF(ISERROR(VLOOKUP(K1561,[1]작가별정산률!$R:$S,2,0)),"스토리위즈",VLOOKUP(K1561,[1]작가별정산률!$R:$S,2,0))</f>
        <v>스토리위즈</v>
      </c>
      <c r="W1561" s="7" t="str">
        <f>IF(V1561="스토리위즈",VLOOKUP(K1561,[1]작가별정산률!$A:$B,2,0),V1561)</f>
        <v>김광수</v>
      </c>
    </row>
    <row r="1562" spans="1:23" x14ac:dyDescent="0.4">
      <c r="A1562" t="s">
        <v>262</v>
      </c>
      <c r="B1562" t="s">
        <v>1840</v>
      </c>
      <c r="C1562" t="s">
        <v>1883</v>
      </c>
      <c r="D1562" t="s">
        <v>64</v>
      </c>
      <c r="E1562" t="s">
        <v>22</v>
      </c>
      <c r="F1562" t="s">
        <v>23</v>
      </c>
      <c r="G1562">
        <v>1</v>
      </c>
      <c r="H1562">
        <v>9791159284953</v>
      </c>
      <c r="I1562" t="s">
        <v>24</v>
      </c>
      <c r="J1562" t="s">
        <v>46</v>
      </c>
      <c r="K1562" t="s">
        <v>47</v>
      </c>
      <c r="L1562" t="s">
        <v>27</v>
      </c>
      <c r="M1562">
        <v>630</v>
      </c>
      <c r="N1562" t="s">
        <v>27</v>
      </c>
      <c r="O1562">
        <v>630</v>
      </c>
      <c r="P1562">
        <v>630</v>
      </c>
      <c r="Q1562" t="s">
        <v>30</v>
      </c>
      <c r="R1562" s="2">
        <v>0.7</v>
      </c>
      <c r="S1562">
        <v>441</v>
      </c>
      <c r="T1562" t="s">
        <v>27</v>
      </c>
      <c r="U1562">
        <v>441</v>
      </c>
      <c r="V1562" s="7" t="str">
        <f>IF(ISERROR(VLOOKUP(K1562,[1]작가별정산률!$R:$S,2,0)),"스토리위즈",VLOOKUP(K1562,[1]작가별정산률!$R:$S,2,0))</f>
        <v>스토리위즈</v>
      </c>
      <c r="W1562" s="7" t="str">
        <f>IF(V1562="스토리위즈",VLOOKUP(K1562,[1]작가별정산률!$A:$B,2,0),V1562)</f>
        <v>전혁</v>
      </c>
    </row>
    <row r="1563" spans="1:23" x14ac:dyDescent="0.4">
      <c r="A1563" t="s">
        <v>262</v>
      </c>
      <c r="B1563" t="s">
        <v>1840</v>
      </c>
      <c r="C1563" t="s">
        <v>1884</v>
      </c>
      <c r="D1563" t="s">
        <v>21</v>
      </c>
      <c r="E1563" t="s">
        <v>22</v>
      </c>
      <c r="F1563" t="s">
        <v>23</v>
      </c>
      <c r="G1563">
        <v>1</v>
      </c>
      <c r="H1563">
        <v>9791191562262</v>
      </c>
      <c r="I1563" t="s">
        <v>143</v>
      </c>
      <c r="J1563" t="s">
        <v>250</v>
      </c>
      <c r="K1563" t="s">
        <v>251</v>
      </c>
      <c r="L1563" t="s">
        <v>27</v>
      </c>
      <c r="M1563" s="3">
        <v>2000</v>
      </c>
      <c r="N1563" t="s">
        <v>27</v>
      </c>
      <c r="O1563" s="3">
        <v>2000</v>
      </c>
      <c r="P1563" s="3">
        <v>2000</v>
      </c>
      <c r="Q1563" t="s">
        <v>30</v>
      </c>
      <c r="R1563" s="2">
        <v>0.7</v>
      </c>
      <c r="S1563" s="3">
        <v>1400</v>
      </c>
      <c r="T1563" t="s">
        <v>27</v>
      </c>
      <c r="U1563" s="3">
        <v>1400</v>
      </c>
      <c r="V1563" s="7" t="str">
        <f>IF(ISERROR(VLOOKUP(K1563,[1]작가별정산률!$R:$S,2,0)),"스토리위즈",VLOOKUP(K1563,[1]작가별정산률!$R:$S,2,0))</f>
        <v>밀리의 서재</v>
      </c>
      <c r="W1563" s="7" t="str">
        <f>IF(V1563="스토리위즈",VLOOKUP(K1563,[1]작가별정산률!$A:$B,2,0),V1563)</f>
        <v>밀리의 서재</v>
      </c>
    </row>
    <row r="1564" spans="1:23" x14ac:dyDescent="0.4">
      <c r="A1564" t="s">
        <v>262</v>
      </c>
      <c r="B1564" t="s">
        <v>1840</v>
      </c>
      <c r="C1564" t="s">
        <v>1884</v>
      </c>
      <c r="D1564" t="s">
        <v>21</v>
      </c>
      <c r="E1564" t="s">
        <v>22</v>
      </c>
      <c r="F1564" t="s">
        <v>23</v>
      </c>
      <c r="G1564">
        <v>1</v>
      </c>
      <c r="H1564">
        <v>9791189084813</v>
      </c>
      <c r="I1564" t="s">
        <v>143</v>
      </c>
      <c r="J1564" t="s">
        <v>563</v>
      </c>
      <c r="K1564" t="s">
        <v>564</v>
      </c>
      <c r="L1564" t="s">
        <v>27</v>
      </c>
      <c r="M1564" s="3">
        <v>4000</v>
      </c>
      <c r="N1564" t="s">
        <v>27</v>
      </c>
      <c r="O1564" s="3">
        <v>4000</v>
      </c>
      <c r="P1564" s="3">
        <v>4000</v>
      </c>
      <c r="Q1564" t="s">
        <v>30</v>
      </c>
      <c r="R1564" s="2">
        <v>0.7</v>
      </c>
      <c r="S1564" s="3">
        <v>2800</v>
      </c>
      <c r="T1564" t="s">
        <v>27</v>
      </c>
      <c r="U1564" s="3">
        <v>2800</v>
      </c>
      <c r="V1564" s="7" t="str">
        <f>IF(ISERROR(VLOOKUP(K1564,[1]작가별정산률!$R:$S,2,0)),"스토리위즈",VLOOKUP(K1564,[1]작가별정산률!$R:$S,2,0))</f>
        <v>스토리위즈</v>
      </c>
      <c r="W1564" s="7" t="str">
        <f>IF(V1564="스토리위즈",VLOOKUP(K1564,[1]작가별정산률!$A:$B,2,0),V1564)</f>
        <v>셔틀</v>
      </c>
    </row>
    <row r="1565" spans="1:23" x14ac:dyDescent="0.4">
      <c r="A1565" t="s">
        <v>262</v>
      </c>
      <c r="B1565" t="s">
        <v>1840</v>
      </c>
      <c r="C1565" t="s">
        <v>1885</v>
      </c>
      <c r="D1565" t="s">
        <v>21</v>
      </c>
      <c r="E1565" t="s">
        <v>22</v>
      </c>
      <c r="F1565" t="s">
        <v>23</v>
      </c>
      <c r="G1565">
        <v>1</v>
      </c>
      <c r="H1565">
        <v>9791166300516</v>
      </c>
      <c r="I1565" t="s">
        <v>24</v>
      </c>
      <c r="J1565" t="s">
        <v>149</v>
      </c>
      <c r="K1565" t="s">
        <v>119</v>
      </c>
      <c r="L1565" t="s">
        <v>27</v>
      </c>
      <c r="M1565" s="3">
        <v>3200</v>
      </c>
      <c r="N1565" t="s">
        <v>27</v>
      </c>
      <c r="O1565" s="3">
        <v>3200</v>
      </c>
      <c r="P1565" s="3">
        <v>3200</v>
      </c>
      <c r="Q1565" t="s">
        <v>30</v>
      </c>
      <c r="R1565" s="2">
        <v>0.7</v>
      </c>
      <c r="S1565" s="3">
        <v>2240</v>
      </c>
      <c r="T1565" t="s">
        <v>27</v>
      </c>
      <c r="U1565" s="3">
        <v>2240</v>
      </c>
      <c r="V1565" s="7" t="str">
        <f>IF(ISERROR(VLOOKUP(K1565,[1]작가별정산률!$R:$S,2,0)),"스토리위즈",VLOOKUP(K1565,[1]작가별정산률!$R:$S,2,0))</f>
        <v>스토리위즈</v>
      </c>
      <c r="W1565" s="7" t="str">
        <f>IF(V1565="스토리위즈",VLOOKUP(K1565,[1]작가별정산률!$A:$B,2,0),V1565)</f>
        <v>김광수</v>
      </c>
    </row>
    <row r="1566" spans="1:23" x14ac:dyDescent="0.4">
      <c r="A1566" t="s">
        <v>262</v>
      </c>
      <c r="B1566" t="s">
        <v>1840</v>
      </c>
      <c r="C1566" t="s">
        <v>1886</v>
      </c>
      <c r="D1566" t="s">
        <v>64</v>
      </c>
      <c r="E1566" t="s">
        <v>22</v>
      </c>
      <c r="F1566" t="s">
        <v>23</v>
      </c>
      <c r="G1566">
        <v>1</v>
      </c>
      <c r="H1566">
        <v>9791166300592</v>
      </c>
      <c r="I1566" t="s">
        <v>24</v>
      </c>
      <c r="J1566" t="s">
        <v>161</v>
      </c>
      <c r="K1566" t="s">
        <v>119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  <c r="V1566" s="7" t="str">
        <f>IF(ISERROR(VLOOKUP(K1566,[1]작가별정산률!$R:$S,2,0)),"스토리위즈",VLOOKUP(K1566,[1]작가별정산률!$R:$S,2,0))</f>
        <v>스토리위즈</v>
      </c>
      <c r="W1566" s="7" t="str">
        <f>IF(V1566="스토리위즈",VLOOKUP(K1566,[1]작가별정산률!$A:$B,2,0),V1566)</f>
        <v>김광수</v>
      </c>
    </row>
    <row r="1567" spans="1:23" x14ac:dyDescent="0.4">
      <c r="A1567" t="s">
        <v>262</v>
      </c>
      <c r="B1567" t="s">
        <v>1840</v>
      </c>
      <c r="C1567" t="s">
        <v>1887</v>
      </c>
      <c r="D1567" t="s">
        <v>64</v>
      </c>
      <c r="E1567" t="s">
        <v>22</v>
      </c>
      <c r="F1567" t="s">
        <v>23</v>
      </c>
      <c r="G1567">
        <v>1</v>
      </c>
      <c r="H1567">
        <v>9791159282249</v>
      </c>
      <c r="I1567" t="s">
        <v>24</v>
      </c>
      <c r="J1567" t="s">
        <v>110</v>
      </c>
      <c r="K1567" t="s">
        <v>37</v>
      </c>
      <c r="L1567" t="s">
        <v>27</v>
      </c>
      <c r="M1567">
        <v>900</v>
      </c>
      <c r="N1567" t="s">
        <v>27</v>
      </c>
      <c r="O1567">
        <v>900</v>
      </c>
      <c r="P1567">
        <v>900</v>
      </c>
      <c r="Q1567" t="s">
        <v>30</v>
      </c>
      <c r="R1567" s="2">
        <v>0.7</v>
      </c>
      <c r="S1567">
        <v>630</v>
      </c>
      <c r="T1567" t="s">
        <v>27</v>
      </c>
      <c r="U1567">
        <v>630</v>
      </c>
      <c r="V1567" s="7" t="str">
        <f>IF(ISERROR(VLOOKUP(K1567,[1]작가별정산률!$R:$S,2,0)),"스토리위즈",VLOOKUP(K1567,[1]작가별정산률!$R:$S,2,0))</f>
        <v>스토리위즈</v>
      </c>
      <c r="W1567" s="7" t="str">
        <f>IF(V1567="스토리위즈",VLOOKUP(K1567,[1]작가별정산률!$A:$B,2,0),V1567)</f>
        <v>권용찬</v>
      </c>
    </row>
    <row r="1568" spans="1:23" x14ac:dyDescent="0.4">
      <c r="A1568" t="s">
        <v>262</v>
      </c>
      <c r="B1568" t="s">
        <v>1840</v>
      </c>
      <c r="C1568" t="s">
        <v>1888</v>
      </c>
      <c r="D1568" t="s">
        <v>21</v>
      </c>
      <c r="E1568" t="s">
        <v>22</v>
      </c>
      <c r="F1568" t="s">
        <v>23</v>
      </c>
      <c r="G1568">
        <v>1</v>
      </c>
      <c r="H1568">
        <v>9791189084448</v>
      </c>
      <c r="I1568" t="s">
        <v>143</v>
      </c>
      <c r="J1568" t="s">
        <v>1377</v>
      </c>
      <c r="K1568" t="s">
        <v>1378</v>
      </c>
      <c r="L1568" t="s">
        <v>27</v>
      </c>
      <c r="M1568" s="3">
        <v>3000</v>
      </c>
      <c r="N1568" t="s">
        <v>27</v>
      </c>
      <c r="O1568" s="3">
        <v>3000</v>
      </c>
      <c r="P1568" s="3">
        <v>3000</v>
      </c>
      <c r="Q1568" t="s">
        <v>30</v>
      </c>
      <c r="R1568" s="2">
        <v>0.7</v>
      </c>
      <c r="S1568" s="3">
        <v>2100</v>
      </c>
      <c r="T1568" t="s">
        <v>27</v>
      </c>
      <c r="U1568" s="3">
        <v>2100</v>
      </c>
      <c r="V1568" s="7" t="str">
        <f>IF(ISERROR(VLOOKUP(K1568,[1]작가별정산률!$R:$S,2,0)),"스토리위즈",VLOOKUP(K1568,[1]작가별정산률!$R:$S,2,0))</f>
        <v>스토리위즈</v>
      </c>
      <c r="W1568" s="7" t="str">
        <f>IF(V1568="스토리위즈",VLOOKUP(K1568,[1]작가별정산률!$A:$B,2,0),V1568)</f>
        <v>밈스</v>
      </c>
    </row>
    <row r="1569" spans="1:23" x14ac:dyDescent="0.4">
      <c r="A1569" t="s">
        <v>262</v>
      </c>
      <c r="B1569" t="s">
        <v>1840</v>
      </c>
      <c r="C1569" t="s">
        <v>1889</v>
      </c>
      <c r="D1569" t="s">
        <v>64</v>
      </c>
      <c r="E1569" t="s">
        <v>22</v>
      </c>
      <c r="F1569" t="s">
        <v>23</v>
      </c>
      <c r="G1569">
        <v>1</v>
      </c>
      <c r="H1569">
        <v>9791188630172</v>
      </c>
      <c r="I1569" t="s">
        <v>24</v>
      </c>
      <c r="J1569" t="s">
        <v>207</v>
      </c>
      <c r="K1569" t="s">
        <v>41</v>
      </c>
      <c r="L1569" t="s">
        <v>27</v>
      </c>
      <c r="M1569">
        <v>630</v>
      </c>
      <c r="N1569" t="s">
        <v>27</v>
      </c>
      <c r="O1569">
        <v>630</v>
      </c>
      <c r="P1569">
        <v>630</v>
      </c>
      <c r="Q1569" t="s">
        <v>30</v>
      </c>
      <c r="R1569" s="2">
        <v>0.7</v>
      </c>
      <c r="S1569">
        <v>441</v>
      </c>
      <c r="T1569" t="s">
        <v>27</v>
      </c>
      <c r="U1569">
        <v>441</v>
      </c>
      <c r="V1569" s="7" t="str">
        <f>IF(ISERROR(VLOOKUP(K1569,[1]작가별정산률!$R:$S,2,0)),"스토리위즈",VLOOKUP(K1569,[1]작가별정산률!$R:$S,2,0))</f>
        <v>스토리위즈</v>
      </c>
      <c r="W1569" s="7" t="str">
        <f>IF(V1569="스토리위즈",VLOOKUP(K1569,[1]작가별정산률!$A:$B,2,0),V1569)</f>
        <v>무장</v>
      </c>
    </row>
    <row r="1570" spans="1:23" x14ac:dyDescent="0.4">
      <c r="A1570" t="s">
        <v>262</v>
      </c>
      <c r="B1570" t="s">
        <v>1840</v>
      </c>
      <c r="C1570" t="s">
        <v>1890</v>
      </c>
      <c r="D1570" t="s">
        <v>64</v>
      </c>
      <c r="E1570" t="s">
        <v>22</v>
      </c>
      <c r="F1570" t="s">
        <v>23</v>
      </c>
      <c r="G1570">
        <v>1</v>
      </c>
      <c r="H1570">
        <v>9791159282935</v>
      </c>
      <c r="I1570" t="s">
        <v>24</v>
      </c>
      <c r="J1570" t="s">
        <v>182</v>
      </c>
      <c r="K1570" t="s">
        <v>26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2">
        <v>0.7</v>
      </c>
      <c r="S1570">
        <v>441</v>
      </c>
      <c r="T1570" t="s">
        <v>27</v>
      </c>
      <c r="U1570">
        <v>441</v>
      </c>
      <c r="V1570" s="7" t="str">
        <f>IF(ISERROR(VLOOKUP(K1570,[1]작가별정산률!$R:$S,2,0)),"스토리위즈",VLOOKUP(K1570,[1]작가별정산률!$R:$S,2,0))</f>
        <v>스토리위즈</v>
      </c>
      <c r="W1570" s="7" t="str">
        <f>IF(V1570="스토리위즈",VLOOKUP(K1570,[1]작가별정산률!$A:$B,2,0),V1570)</f>
        <v>독고진</v>
      </c>
    </row>
    <row r="1571" spans="1:23" x14ac:dyDescent="0.4">
      <c r="A1571" t="s">
        <v>262</v>
      </c>
      <c r="B1571" t="s">
        <v>1840</v>
      </c>
      <c r="C1571" t="s">
        <v>1891</v>
      </c>
      <c r="D1571" t="s">
        <v>64</v>
      </c>
      <c r="E1571" t="s">
        <v>22</v>
      </c>
      <c r="F1571" t="s">
        <v>23</v>
      </c>
      <c r="G1571">
        <v>1</v>
      </c>
      <c r="H1571">
        <v>9791166300165</v>
      </c>
      <c r="I1571" t="s">
        <v>24</v>
      </c>
      <c r="J1571" t="s">
        <v>126</v>
      </c>
      <c r="K1571" t="s">
        <v>119</v>
      </c>
      <c r="L1571" t="s">
        <v>27</v>
      </c>
      <c r="M1571">
        <v>630</v>
      </c>
      <c r="N1571" t="s">
        <v>27</v>
      </c>
      <c r="O1571">
        <v>630</v>
      </c>
      <c r="P1571">
        <v>630</v>
      </c>
      <c r="Q1571" t="s">
        <v>30</v>
      </c>
      <c r="R1571" s="2">
        <v>0.7</v>
      </c>
      <c r="S1571">
        <v>441</v>
      </c>
      <c r="T1571" t="s">
        <v>27</v>
      </c>
      <c r="U1571">
        <v>441</v>
      </c>
      <c r="V1571" s="7" t="str">
        <f>IF(ISERROR(VLOOKUP(K1571,[1]작가별정산률!$R:$S,2,0)),"스토리위즈",VLOOKUP(K1571,[1]작가별정산률!$R:$S,2,0))</f>
        <v>스토리위즈</v>
      </c>
      <c r="W1571" s="7" t="str">
        <f>IF(V1571="스토리위즈",VLOOKUP(K1571,[1]작가별정산률!$A:$B,2,0),V1571)</f>
        <v>김광수</v>
      </c>
    </row>
    <row r="1572" spans="1:23" x14ac:dyDescent="0.4">
      <c r="A1572" t="s">
        <v>262</v>
      </c>
      <c r="B1572" t="s">
        <v>1840</v>
      </c>
      <c r="C1572" t="s">
        <v>1892</v>
      </c>
      <c r="D1572" t="s">
        <v>64</v>
      </c>
      <c r="E1572" t="s">
        <v>22</v>
      </c>
      <c r="F1572" t="s">
        <v>23</v>
      </c>
      <c r="G1572">
        <v>1</v>
      </c>
      <c r="H1572">
        <v>9791159282973</v>
      </c>
      <c r="I1572" t="s">
        <v>24</v>
      </c>
      <c r="J1572" t="s">
        <v>183</v>
      </c>
      <c r="K1572" t="s">
        <v>26</v>
      </c>
      <c r="L1572" t="s">
        <v>27</v>
      </c>
      <c r="M1572">
        <v>630</v>
      </c>
      <c r="N1572" t="s">
        <v>27</v>
      </c>
      <c r="O1572">
        <v>630</v>
      </c>
      <c r="P1572">
        <v>630</v>
      </c>
      <c r="Q1572" t="s">
        <v>30</v>
      </c>
      <c r="R1572" s="2">
        <v>0.7</v>
      </c>
      <c r="S1572">
        <v>441</v>
      </c>
      <c r="T1572" t="s">
        <v>27</v>
      </c>
      <c r="U1572">
        <v>441</v>
      </c>
      <c r="V1572" s="7" t="str">
        <f>IF(ISERROR(VLOOKUP(K1572,[1]작가별정산률!$R:$S,2,0)),"스토리위즈",VLOOKUP(K1572,[1]작가별정산률!$R:$S,2,0))</f>
        <v>스토리위즈</v>
      </c>
      <c r="W1572" s="7" t="str">
        <f>IF(V1572="스토리위즈",VLOOKUP(K1572,[1]작가별정산률!$A:$B,2,0),V1572)</f>
        <v>독고진</v>
      </c>
    </row>
    <row r="1573" spans="1:23" x14ac:dyDescent="0.4">
      <c r="A1573" t="s">
        <v>262</v>
      </c>
      <c r="B1573" t="s">
        <v>1840</v>
      </c>
      <c r="C1573" t="s">
        <v>1893</v>
      </c>
      <c r="D1573" t="s">
        <v>64</v>
      </c>
      <c r="E1573" t="s">
        <v>22</v>
      </c>
      <c r="F1573" t="s">
        <v>23</v>
      </c>
      <c r="G1573">
        <v>1</v>
      </c>
      <c r="H1573">
        <v>9791166300592</v>
      </c>
      <c r="I1573" t="s">
        <v>24</v>
      </c>
      <c r="J1573" t="s">
        <v>161</v>
      </c>
      <c r="K1573" t="s">
        <v>119</v>
      </c>
      <c r="L1573" t="s">
        <v>27</v>
      </c>
      <c r="M1573">
        <v>630</v>
      </c>
      <c r="N1573" t="s">
        <v>27</v>
      </c>
      <c r="O1573">
        <v>630</v>
      </c>
      <c r="P1573">
        <v>630</v>
      </c>
      <c r="Q1573" t="s">
        <v>30</v>
      </c>
      <c r="R1573" s="2">
        <v>0.7</v>
      </c>
      <c r="S1573">
        <v>441</v>
      </c>
      <c r="T1573" t="s">
        <v>27</v>
      </c>
      <c r="U1573">
        <v>441</v>
      </c>
      <c r="V1573" s="7" t="str">
        <f>IF(ISERROR(VLOOKUP(K1573,[1]작가별정산률!$R:$S,2,0)),"스토리위즈",VLOOKUP(K1573,[1]작가별정산률!$R:$S,2,0))</f>
        <v>스토리위즈</v>
      </c>
      <c r="W1573" s="7" t="str">
        <f>IF(V1573="스토리위즈",VLOOKUP(K1573,[1]작가별정산률!$A:$B,2,0),V1573)</f>
        <v>김광수</v>
      </c>
    </row>
    <row r="1574" spans="1:23" x14ac:dyDescent="0.4">
      <c r="A1574" t="s">
        <v>262</v>
      </c>
      <c r="B1574" t="s">
        <v>1840</v>
      </c>
      <c r="C1574" t="s">
        <v>1894</v>
      </c>
      <c r="D1574" t="s">
        <v>64</v>
      </c>
      <c r="E1574" t="s">
        <v>22</v>
      </c>
      <c r="F1574" t="s">
        <v>23</v>
      </c>
      <c r="G1574">
        <v>1</v>
      </c>
      <c r="H1574">
        <v>9791166300264</v>
      </c>
      <c r="I1574" t="s">
        <v>24</v>
      </c>
      <c r="J1574" t="s">
        <v>135</v>
      </c>
      <c r="K1574" t="s">
        <v>119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  <c r="V1574" s="7" t="str">
        <f>IF(ISERROR(VLOOKUP(K1574,[1]작가별정산률!$R:$S,2,0)),"스토리위즈",VLOOKUP(K1574,[1]작가별정산률!$R:$S,2,0))</f>
        <v>스토리위즈</v>
      </c>
      <c r="W1574" s="7" t="str">
        <f>IF(V1574="스토리위즈",VLOOKUP(K1574,[1]작가별정산률!$A:$B,2,0),V1574)</f>
        <v>김광수</v>
      </c>
    </row>
    <row r="1575" spans="1:23" x14ac:dyDescent="0.4">
      <c r="A1575" t="s">
        <v>262</v>
      </c>
      <c r="B1575" t="s">
        <v>1840</v>
      </c>
      <c r="C1575" t="s">
        <v>1895</v>
      </c>
      <c r="D1575" t="s">
        <v>64</v>
      </c>
      <c r="E1575" t="s">
        <v>22</v>
      </c>
      <c r="F1575" t="s">
        <v>23</v>
      </c>
      <c r="G1575">
        <v>1</v>
      </c>
      <c r="H1575">
        <v>9791188630134</v>
      </c>
      <c r="I1575" t="s">
        <v>24</v>
      </c>
      <c r="J1575" t="s">
        <v>203</v>
      </c>
      <c r="K1575" t="s">
        <v>41</v>
      </c>
      <c r="L1575" t="s">
        <v>27</v>
      </c>
      <c r="M1575">
        <v>630</v>
      </c>
      <c r="N1575" t="s">
        <v>27</v>
      </c>
      <c r="O1575">
        <v>630</v>
      </c>
      <c r="P1575">
        <v>630</v>
      </c>
      <c r="Q1575" t="s">
        <v>30</v>
      </c>
      <c r="R1575" s="2">
        <v>0.7</v>
      </c>
      <c r="S1575">
        <v>441</v>
      </c>
      <c r="T1575" t="s">
        <v>27</v>
      </c>
      <c r="U1575">
        <v>441</v>
      </c>
      <c r="V1575" s="7" t="str">
        <f>IF(ISERROR(VLOOKUP(K1575,[1]작가별정산률!$R:$S,2,0)),"스토리위즈",VLOOKUP(K1575,[1]작가별정산률!$R:$S,2,0))</f>
        <v>스토리위즈</v>
      </c>
      <c r="W1575" s="7" t="str">
        <f>IF(V1575="스토리위즈",VLOOKUP(K1575,[1]작가별정산률!$A:$B,2,0),V1575)</f>
        <v>무장</v>
      </c>
    </row>
    <row r="1576" spans="1:23" x14ac:dyDescent="0.4">
      <c r="A1576" t="s">
        <v>262</v>
      </c>
      <c r="B1576" t="s">
        <v>1840</v>
      </c>
      <c r="C1576" t="s">
        <v>1896</v>
      </c>
      <c r="D1576" t="s">
        <v>64</v>
      </c>
      <c r="E1576" t="s">
        <v>22</v>
      </c>
      <c r="F1576" t="s">
        <v>23</v>
      </c>
      <c r="G1576">
        <v>1</v>
      </c>
      <c r="H1576">
        <v>9791159283253</v>
      </c>
      <c r="I1576" t="s">
        <v>24</v>
      </c>
      <c r="J1576" t="s">
        <v>68</v>
      </c>
      <c r="K1576" t="s">
        <v>37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  <c r="V1576" s="7" t="str">
        <f>IF(ISERROR(VLOOKUP(K1576,[1]작가별정산률!$R:$S,2,0)),"스토리위즈",VLOOKUP(K1576,[1]작가별정산률!$R:$S,2,0))</f>
        <v>스토리위즈</v>
      </c>
      <c r="W1576" s="7" t="str">
        <f>IF(V1576="스토리위즈",VLOOKUP(K1576,[1]작가별정산률!$A:$B,2,0),V1576)</f>
        <v>권용찬</v>
      </c>
    </row>
    <row r="1577" spans="1:23" x14ac:dyDescent="0.4">
      <c r="A1577" t="s">
        <v>262</v>
      </c>
      <c r="B1577" t="s">
        <v>1840</v>
      </c>
      <c r="C1577" t="s">
        <v>1897</v>
      </c>
      <c r="D1577" t="s">
        <v>21</v>
      </c>
      <c r="E1577" t="s">
        <v>22</v>
      </c>
      <c r="F1577" t="s">
        <v>23</v>
      </c>
      <c r="G1577">
        <v>1</v>
      </c>
      <c r="H1577">
        <v>9791191562286</v>
      </c>
      <c r="I1577" t="s">
        <v>143</v>
      </c>
      <c r="J1577" t="s">
        <v>238</v>
      </c>
      <c r="K1577" t="s">
        <v>239</v>
      </c>
      <c r="L1577" t="s">
        <v>27</v>
      </c>
      <c r="M1577" s="3">
        <v>2000</v>
      </c>
      <c r="N1577" t="s">
        <v>28</v>
      </c>
      <c r="O1577">
        <v>1.65</v>
      </c>
      <c r="P1577">
        <v>1.65</v>
      </c>
      <c r="Q1577" t="s">
        <v>29</v>
      </c>
      <c r="R1577" s="2">
        <v>0.7</v>
      </c>
      <c r="S1577">
        <v>1.1499999999999999</v>
      </c>
      <c r="T1577" t="s">
        <v>27</v>
      </c>
      <c r="U1577" s="3">
        <v>1460</v>
      </c>
      <c r="V1577" s="7" t="str">
        <f>IF(ISERROR(VLOOKUP(K1577,[1]작가별정산률!$R:$S,2,0)),"스토리위즈",VLOOKUP(K1577,[1]작가별정산률!$R:$S,2,0))</f>
        <v>밀리의 서재</v>
      </c>
      <c r="W1577" s="7" t="str">
        <f>IF(V1577="스토리위즈",VLOOKUP(K1577,[1]작가별정산률!$A:$B,2,0),V1577)</f>
        <v>밀리의 서재</v>
      </c>
    </row>
    <row r="1578" spans="1:23" x14ac:dyDescent="0.4">
      <c r="A1578" t="s">
        <v>262</v>
      </c>
      <c r="B1578" t="s">
        <v>1898</v>
      </c>
      <c r="C1578" t="s">
        <v>1899</v>
      </c>
      <c r="D1578" t="s">
        <v>21</v>
      </c>
      <c r="E1578" t="s">
        <v>22</v>
      </c>
      <c r="F1578" t="s">
        <v>23</v>
      </c>
      <c r="G1578">
        <v>1</v>
      </c>
      <c r="H1578">
        <v>9791191562453</v>
      </c>
      <c r="I1578" t="s">
        <v>143</v>
      </c>
      <c r="J1578" t="s">
        <v>1900</v>
      </c>
      <c r="K1578" t="s">
        <v>2556</v>
      </c>
      <c r="L1578" t="s">
        <v>27</v>
      </c>
      <c r="M1578" s="3">
        <v>2500</v>
      </c>
      <c r="N1578" t="s">
        <v>28</v>
      </c>
      <c r="O1578">
        <v>2.06</v>
      </c>
      <c r="P1578">
        <v>2.06</v>
      </c>
      <c r="Q1578" t="s">
        <v>29</v>
      </c>
      <c r="R1578" s="2">
        <v>0.7</v>
      </c>
      <c r="S1578">
        <v>1.44</v>
      </c>
      <c r="T1578" t="s">
        <v>27</v>
      </c>
      <c r="U1578" s="3">
        <v>1828</v>
      </c>
      <c r="V1578" s="7" t="str">
        <f>IF(ISERROR(VLOOKUP(K1578,[1]작가별정산률!$R:$S,2,0)),"스토리위즈",VLOOKUP(K1578,[1]작가별정산률!$R:$S,2,0))</f>
        <v>밀리의 서재</v>
      </c>
      <c r="W1578" s="7" t="str">
        <f>IF(V1578="스토리위즈",VLOOKUP(K1578,[1]작가별정산률!$A:$B,2,0),V1578)</f>
        <v>밀리의 서재</v>
      </c>
    </row>
    <row r="1579" spans="1:23" x14ac:dyDescent="0.4">
      <c r="A1579" t="s">
        <v>262</v>
      </c>
      <c r="B1579" t="s">
        <v>1898</v>
      </c>
      <c r="C1579" t="s">
        <v>1902</v>
      </c>
      <c r="D1579" t="s">
        <v>21</v>
      </c>
      <c r="E1579" t="s">
        <v>22</v>
      </c>
      <c r="F1579" t="s">
        <v>23</v>
      </c>
      <c r="G1579">
        <v>1</v>
      </c>
      <c r="H1579">
        <v>9791166300516</v>
      </c>
      <c r="I1579" t="s">
        <v>24</v>
      </c>
      <c r="J1579" t="s">
        <v>149</v>
      </c>
      <c r="K1579" t="s">
        <v>119</v>
      </c>
      <c r="L1579" t="s">
        <v>27</v>
      </c>
      <c r="M1579" s="3">
        <v>3200</v>
      </c>
      <c r="N1579" t="s">
        <v>27</v>
      </c>
      <c r="O1579" s="3">
        <v>3200</v>
      </c>
      <c r="P1579" s="3">
        <v>3200</v>
      </c>
      <c r="Q1579" t="s">
        <v>30</v>
      </c>
      <c r="R1579" s="2">
        <v>0.7</v>
      </c>
      <c r="S1579" s="3">
        <v>2240</v>
      </c>
      <c r="T1579" t="s">
        <v>27</v>
      </c>
      <c r="U1579" s="3">
        <v>2240</v>
      </c>
      <c r="V1579" s="7" t="str">
        <f>IF(ISERROR(VLOOKUP(K1579,[1]작가별정산률!$R:$S,2,0)),"스토리위즈",VLOOKUP(K1579,[1]작가별정산률!$R:$S,2,0))</f>
        <v>스토리위즈</v>
      </c>
      <c r="W1579" s="7" t="str">
        <f>IF(V1579="스토리위즈",VLOOKUP(K1579,[1]작가별정산률!$A:$B,2,0),V1579)</f>
        <v>김광수</v>
      </c>
    </row>
    <row r="1580" spans="1:23" x14ac:dyDescent="0.4">
      <c r="A1580" t="s">
        <v>262</v>
      </c>
      <c r="B1580" t="s">
        <v>1898</v>
      </c>
      <c r="C1580" t="s">
        <v>1903</v>
      </c>
      <c r="D1580" t="s">
        <v>21</v>
      </c>
      <c r="E1580" t="s">
        <v>22</v>
      </c>
      <c r="F1580" t="s">
        <v>23</v>
      </c>
      <c r="G1580">
        <v>1</v>
      </c>
      <c r="H1580">
        <v>9791191562224</v>
      </c>
      <c r="I1580" t="s">
        <v>143</v>
      </c>
      <c r="J1580" t="s">
        <v>221</v>
      </c>
      <c r="K1580" t="s">
        <v>222</v>
      </c>
      <c r="L1580" t="s">
        <v>27</v>
      </c>
      <c r="M1580" s="3">
        <v>2500</v>
      </c>
      <c r="N1580" t="s">
        <v>70</v>
      </c>
      <c r="O1580">
        <v>2.57</v>
      </c>
      <c r="P1580">
        <v>2.57</v>
      </c>
      <c r="Q1580" t="s">
        <v>71</v>
      </c>
      <c r="R1580" s="2">
        <v>0.7</v>
      </c>
      <c r="S1580">
        <v>1.8</v>
      </c>
      <c r="T1580" t="s">
        <v>27</v>
      </c>
      <c r="U1580" s="3">
        <v>1781</v>
      </c>
      <c r="V1580" s="7" t="str">
        <f>IF(ISERROR(VLOOKUP(K1580,[1]작가별정산률!$R:$S,2,0)),"스토리위즈",VLOOKUP(K1580,[1]작가별정산률!$R:$S,2,0))</f>
        <v>밀리의 서재</v>
      </c>
      <c r="W1580" s="7" t="str">
        <f>IF(V1580="스토리위즈",VLOOKUP(K1580,[1]작가별정산률!$A:$B,2,0),V1580)</f>
        <v>밀리의 서재</v>
      </c>
    </row>
    <row r="1581" spans="1:23" x14ac:dyDescent="0.4">
      <c r="A1581" t="s">
        <v>262</v>
      </c>
      <c r="B1581" t="s">
        <v>1898</v>
      </c>
      <c r="C1581" t="s">
        <v>1904</v>
      </c>
      <c r="D1581" t="s">
        <v>64</v>
      </c>
      <c r="E1581" t="s">
        <v>22</v>
      </c>
      <c r="F1581" t="s">
        <v>23</v>
      </c>
      <c r="G1581">
        <v>1</v>
      </c>
      <c r="H1581">
        <v>9791166300660</v>
      </c>
      <c r="I1581" t="s">
        <v>24</v>
      </c>
      <c r="J1581" t="s">
        <v>156</v>
      </c>
      <c r="K1581" t="s">
        <v>119</v>
      </c>
      <c r="L1581" t="s">
        <v>27</v>
      </c>
      <c r="M1581">
        <v>630</v>
      </c>
      <c r="N1581" t="s">
        <v>27</v>
      </c>
      <c r="O1581">
        <v>630</v>
      </c>
      <c r="P1581">
        <v>630</v>
      </c>
      <c r="Q1581" t="s">
        <v>30</v>
      </c>
      <c r="R1581" s="2">
        <v>0.7</v>
      </c>
      <c r="S1581">
        <v>441</v>
      </c>
      <c r="T1581" t="s">
        <v>27</v>
      </c>
      <c r="U1581">
        <v>441</v>
      </c>
      <c r="V1581" s="7" t="str">
        <f>IF(ISERROR(VLOOKUP(K1581,[1]작가별정산률!$R:$S,2,0)),"스토리위즈",VLOOKUP(K1581,[1]작가별정산률!$R:$S,2,0))</f>
        <v>스토리위즈</v>
      </c>
      <c r="W1581" s="7" t="str">
        <f>IF(V1581="스토리위즈",VLOOKUP(K1581,[1]작가별정산률!$A:$B,2,0),V1581)</f>
        <v>김광수</v>
      </c>
    </row>
    <row r="1582" spans="1:23" x14ac:dyDescent="0.4">
      <c r="A1582" t="s">
        <v>262</v>
      </c>
      <c r="B1582" t="s">
        <v>1898</v>
      </c>
      <c r="C1582" t="s">
        <v>1905</v>
      </c>
      <c r="D1582" t="s">
        <v>64</v>
      </c>
      <c r="E1582" t="s">
        <v>22</v>
      </c>
      <c r="F1582" t="s">
        <v>23</v>
      </c>
      <c r="G1582">
        <v>1</v>
      </c>
      <c r="H1582">
        <v>9791159284960</v>
      </c>
      <c r="I1582" t="s">
        <v>24</v>
      </c>
      <c r="J1582" t="s">
        <v>48</v>
      </c>
      <c r="K1582" t="s">
        <v>47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  <c r="V1582" s="7" t="str">
        <f>IF(ISERROR(VLOOKUP(K1582,[1]작가별정산률!$R:$S,2,0)),"스토리위즈",VLOOKUP(K1582,[1]작가별정산률!$R:$S,2,0))</f>
        <v>스토리위즈</v>
      </c>
      <c r="W1582" s="7" t="str">
        <f>IF(V1582="스토리위즈",VLOOKUP(K1582,[1]작가별정산률!$A:$B,2,0),V1582)</f>
        <v>전혁</v>
      </c>
    </row>
    <row r="1583" spans="1:23" x14ac:dyDescent="0.4">
      <c r="A1583" t="s">
        <v>262</v>
      </c>
      <c r="B1583" t="s">
        <v>1898</v>
      </c>
      <c r="C1583" t="s">
        <v>1906</v>
      </c>
      <c r="D1583" t="s">
        <v>21</v>
      </c>
      <c r="E1583" t="s">
        <v>22</v>
      </c>
      <c r="F1583" t="s">
        <v>23</v>
      </c>
      <c r="G1583">
        <v>1</v>
      </c>
      <c r="H1583">
        <v>9791166300530</v>
      </c>
      <c r="I1583" t="s">
        <v>24</v>
      </c>
      <c r="J1583" t="s">
        <v>151</v>
      </c>
      <c r="K1583" t="s">
        <v>119</v>
      </c>
      <c r="L1583" t="s">
        <v>27</v>
      </c>
      <c r="M1583" s="3">
        <v>3200</v>
      </c>
      <c r="N1583" t="s">
        <v>27</v>
      </c>
      <c r="O1583" s="3">
        <v>3200</v>
      </c>
      <c r="P1583" s="3">
        <v>3200</v>
      </c>
      <c r="Q1583" t="s">
        <v>30</v>
      </c>
      <c r="R1583" s="2">
        <v>0.7</v>
      </c>
      <c r="S1583" s="3">
        <v>2240</v>
      </c>
      <c r="T1583" t="s">
        <v>27</v>
      </c>
      <c r="U1583" s="3">
        <v>2240</v>
      </c>
      <c r="V1583" s="7" t="str">
        <f>IF(ISERROR(VLOOKUP(K1583,[1]작가별정산률!$R:$S,2,0)),"스토리위즈",VLOOKUP(K1583,[1]작가별정산률!$R:$S,2,0))</f>
        <v>스토리위즈</v>
      </c>
      <c r="W1583" s="7" t="str">
        <f>IF(V1583="스토리위즈",VLOOKUP(K1583,[1]작가별정산률!$A:$B,2,0),V1583)</f>
        <v>김광수</v>
      </c>
    </row>
    <row r="1584" spans="1:23" x14ac:dyDescent="0.4">
      <c r="A1584" t="s">
        <v>262</v>
      </c>
      <c r="B1584" t="s">
        <v>1898</v>
      </c>
      <c r="C1584" t="s">
        <v>1907</v>
      </c>
      <c r="D1584" t="s">
        <v>21</v>
      </c>
      <c r="E1584" t="s">
        <v>22</v>
      </c>
      <c r="F1584" t="s">
        <v>23</v>
      </c>
      <c r="G1584">
        <v>1</v>
      </c>
      <c r="H1584">
        <v>9791189084813</v>
      </c>
      <c r="I1584" t="s">
        <v>143</v>
      </c>
      <c r="J1584" t="s">
        <v>563</v>
      </c>
      <c r="K1584" t="s">
        <v>564</v>
      </c>
      <c r="L1584" t="s">
        <v>27</v>
      </c>
      <c r="M1584" s="3">
        <v>4000</v>
      </c>
      <c r="N1584" t="s">
        <v>27</v>
      </c>
      <c r="O1584" s="3">
        <v>4000</v>
      </c>
      <c r="P1584" s="3">
        <v>4000</v>
      </c>
      <c r="Q1584" t="s">
        <v>30</v>
      </c>
      <c r="R1584" s="2">
        <v>0.7</v>
      </c>
      <c r="S1584" s="3">
        <v>2800</v>
      </c>
      <c r="T1584" t="s">
        <v>27</v>
      </c>
      <c r="U1584" s="3">
        <v>2800</v>
      </c>
      <c r="V1584" s="7" t="str">
        <f>IF(ISERROR(VLOOKUP(K1584,[1]작가별정산률!$R:$S,2,0)),"스토리위즈",VLOOKUP(K1584,[1]작가별정산률!$R:$S,2,0))</f>
        <v>스토리위즈</v>
      </c>
      <c r="W1584" s="7" t="str">
        <f>IF(V1584="스토리위즈",VLOOKUP(K1584,[1]작가별정산률!$A:$B,2,0),V1584)</f>
        <v>셔틀</v>
      </c>
    </row>
    <row r="1585" spans="1:23" x14ac:dyDescent="0.4">
      <c r="A1585" t="s">
        <v>262</v>
      </c>
      <c r="B1585" t="s">
        <v>1898</v>
      </c>
      <c r="C1585" t="s">
        <v>1908</v>
      </c>
      <c r="D1585" t="s">
        <v>21</v>
      </c>
      <c r="E1585" t="s">
        <v>22</v>
      </c>
      <c r="F1585" t="s">
        <v>23</v>
      </c>
      <c r="G1585">
        <v>1</v>
      </c>
      <c r="H1585">
        <v>9791189627881</v>
      </c>
      <c r="I1585" t="s">
        <v>143</v>
      </c>
      <c r="J1585" t="s">
        <v>1909</v>
      </c>
      <c r="K1585" t="s">
        <v>1035</v>
      </c>
      <c r="L1585" t="s">
        <v>27</v>
      </c>
      <c r="M1585" s="3">
        <v>2800</v>
      </c>
      <c r="N1585" t="s">
        <v>27</v>
      </c>
      <c r="O1585" s="3">
        <v>2800</v>
      </c>
      <c r="P1585" s="3">
        <v>2800</v>
      </c>
      <c r="Q1585" t="s">
        <v>30</v>
      </c>
      <c r="R1585" s="2">
        <v>0.7</v>
      </c>
      <c r="S1585" s="3">
        <v>1960</v>
      </c>
      <c r="T1585" t="s">
        <v>27</v>
      </c>
      <c r="U1585" s="3">
        <v>1960</v>
      </c>
      <c r="V1585" s="7" t="str">
        <f>IF(ISERROR(VLOOKUP(K1585,[1]작가별정산률!$R:$S,2,0)),"스토리위즈",VLOOKUP(K1585,[1]작가별정산률!$R:$S,2,0))</f>
        <v>스토리위즈</v>
      </c>
      <c r="W1585" s="7" t="str">
        <f>IF(V1585="스토리위즈",VLOOKUP(K1585,[1]작가별정산률!$A:$B,2,0),V1585)</f>
        <v>모리미</v>
      </c>
    </row>
    <row r="1586" spans="1:23" x14ac:dyDescent="0.4">
      <c r="A1586" t="s">
        <v>262</v>
      </c>
      <c r="B1586" t="s">
        <v>1898</v>
      </c>
      <c r="C1586" t="s">
        <v>1910</v>
      </c>
      <c r="D1586" t="s">
        <v>64</v>
      </c>
      <c r="E1586" t="s">
        <v>22</v>
      </c>
      <c r="F1586" t="s">
        <v>23</v>
      </c>
      <c r="G1586">
        <v>1</v>
      </c>
      <c r="H1586">
        <v>9791166300257</v>
      </c>
      <c r="I1586" t="s">
        <v>24</v>
      </c>
      <c r="J1586" t="s">
        <v>134</v>
      </c>
      <c r="K1586" t="s">
        <v>119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2">
        <v>0.7</v>
      </c>
      <c r="S1586">
        <v>441</v>
      </c>
      <c r="T1586" t="s">
        <v>27</v>
      </c>
      <c r="U1586">
        <v>441</v>
      </c>
      <c r="V1586" s="7" t="str">
        <f>IF(ISERROR(VLOOKUP(K1586,[1]작가별정산률!$R:$S,2,0)),"스토리위즈",VLOOKUP(K1586,[1]작가별정산률!$R:$S,2,0))</f>
        <v>스토리위즈</v>
      </c>
      <c r="W1586" s="7" t="str">
        <f>IF(V1586="스토리위즈",VLOOKUP(K1586,[1]작가별정산률!$A:$B,2,0),V1586)</f>
        <v>김광수</v>
      </c>
    </row>
    <row r="1587" spans="1:23" x14ac:dyDescent="0.4">
      <c r="A1587" t="s">
        <v>262</v>
      </c>
      <c r="B1587" t="s">
        <v>1898</v>
      </c>
      <c r="C1587" t="s">
        <v>1911</v>
      </c>
      <c r="D1587" t="s">
        <v>64</v>
      </c>
      <c r="E1587" t="s">
        <v>22</v>
      </c>
      <c r="F1587" t="s">
        <v>23</v>
      </c>
      <c r="G1587">
        <v>1</v>
      </c>
      <c r="H1587">
        <v>9791166300608</v>
      </c>
      <c r="I1587" t="s">
        <v>24</v>
      </c>
      <c r="J1587" t="s">
        <v>162</v>
      </c>
      <c r="K1587" t="s">
        <v>119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  <c r="V1587" s="7" t="str">
        <f>IF(ISERROR(VLOOKUP(K1587,[1]작가별정산률!$R:$S,2,0)),"스토리위즈",VLOOKUP(K1587,[1]작가별정산률!$R:$S,2,0))</f>
        <v>스토리위즈</v>
      </c>
      <c r="W1587" s="7" t="str">
        <f>IF(V1587="스토리위즈",VLOOKUP(K1587,[1]작가별정산률!$A:$B,2,0),V1587)</f>
        <v>김광수</v>
      </c>
    </row>
    <row r="1588" spans="1:23" x14ac:dyDescent="0.4">
      <c r="A1588" t="s">
        <v>262</v>
      </c>
      <c r="B1588" t="s">
        <v>1898</v>
      </c>
      <c r="C1588" t="s">
        <v>1912</v>
      </c>
      <c r="D1588" t="s">
        <v>64</v>
      </c>
      <c r="E1588" t="s">
        <v>22</v>
      </c>
      <c r="F1588" t="s">
        <v>23</v>
      </c>
      <c r="G1588">
        <v>1</v>
      </c>
      <c r="H1588">
        <v>9791159283109</v>
      </c>
      <c r="I1588" t="s">
        <v>24</v>
      </c>
      <c r="J1588" t="s">
        <v>75</v>
      </c>
      <c r="K1588" t="s">
        <v>37</v>
      </c>
      <c r="L1588" t="s">
        <v>27</v>
      </c>
      <c r="M1588">
        <v>900</v>
      </c>
      <c r="N1588" t="s">
        <v>27</v>
      </c>
      <c r="O1588">
        <v>900</v>
      </c>
      <c r="P1588">
        <v>900</v>
      </c>
      <c r="Q1588" t="s">
        <v>30</v>
      </c>
      <c r="R1588" s="2">
        <v>0.7</v>
      </c>
      <c r="S1588">
        <v>630</v>
      </c>
      <c r="T1588" t="s">
        <v>27</v>
      </c>
      <c r="U1588">
        <v>630</v>
      </c>
      <c r="V1588" s="7" t="str">
        <f>IF(ISERROR(VLOOKUP(K1588,[1]작가별정산률!$R:$S,2,0)),"스토리위즈",VLOOKUP(K1588,[1]작가별정산률!$R:$S,2,0))</f>
        <v>스토리위즈</v>
      </c>
      <c r="W1588" s="7" t="str">
        <f>IF(V1588="스토리위즈",VLOOKUP(K1588,[1]작가별정산률!$A:$B,2,0),V1588)</f>
        <v>권용찬</v>
      </c>
    </row>
    <row r="1589" spans="1:23" x14ac:dyDescent="0.4">
      <c r="A1589" t="s">
        <v>262</v>
      </c>
      <c r="B1589" t="s">
        <v>1898</v>
      </c>
      <c r="C1589" t="s">
        <v>1913</v>
      </c>
      <c r="D1589" t="s">
        <v>64</v>
      </c>
      <c r="E1589" t="s">
        <v>22</v>
      </c>
      <c r="F1589" t="s">
        <v>23</v>
      </c>
      <c r="G1589">
        <v>1</v>
      </c>
      <c r="H1589">
        <v>9791166300141</v>
      </c>
      <c r="I1589" t="s">
        <v>24</v>
      </c>
      <c r="J1589" t="s">
        <v>124</v>
      </c>
      <c r="K1589" t="s">
        <v>119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2">
        <v>0.7</v>
      </c>
      <c r="S1589">
        <v>441</v>
      </c>
      <c r="T1589" t="s">
        <v>27</v>
      </c>
      <c r="U1589">
        <v>441</v>
      </c>
      <c r="V1589" s="7" t="str">
        <f>IF(ISERROR(VLOOKUP(K1589,[1]작가별정산률!$R:$S,2,0)),"스토리위즈",VLOOKUP(K1589,[1]작가별정산률!$R:$S,2,0))</f>
        <v>스토리위즈</v>
      </c>
      <c r="W1589" s="7" t="str">
        <f>IF(V1589="스토리위즈",VLOOKUP(K1589,[1]작가별정산률!$A:$B,2,0),V1589)</f>
        <v>김광수</v>
      </c>
    </row>
    <row r="1590" spans="1:23" x14ac:dyDescent="0.4">
      <c r="A1590" t="s">
        <v>262</v>
      </c>
      <c r="B1590" t="s">
        <v>1898</v>
      </c>
      <c r="C1590" t="s">
        <v>1914</v>
      </c>
      <c r="D1590" t="s">
        <v>64</v>
      </c>
      <c r="E1590" t="s">
        <v>22</v>
      </c>
      <c r="F1590" t="s">
        <v>23</v>
      </c>
      <c r="G1590">
        <v>1</v>
      </c>
      <c r="H1590">
        <v>9791166061080</v>
      </c>
      <c r="I1590" t="s">
        <v>24</v>
      </c>
      <c r="J1590" t="s">
        <v>74</v>
      </c>
      <c r="K1590" t="s">
        <v>37</v>
      </c>
      <c r="L1590" t="s">
        <v>27</v>
      </c>
      <c r="M1590">
        <v>900</v>
      </c>
      <c r="N1590" t="s">
        <v>27</v>
      </c>
      <c r="O1590">
        <v>900</v>
      </c>
      <c r="P1590">
        <v>900</v>
      </c>
      <c r="Q1590" t="s">
        <v>30</v>
      </c>
      <c r="R1590" s="2">
        <v>0.7</v>
      </c>
      <c r="S1590">
        <v>630</v>
      </c>
      <c r="T1590" t="s">
        <v>27</v>
      </c>
      <c r="U1590">
        <v>630</v>
      </c>
      <c r="V1590" s="7" t="str">
        <f>IF(ISERROR(VLOOKUP(K1590,[1]작가별정산률!$R:$S,2,0)),"스토리위즈",VLOOKUP(K1590,[1]작가별정산률!$R:$S,2,0))</f>
        <v>스토리위즈</v>
      </c>
      <c r="W1590" s="7" t="str">
        <f>IF(V1590="스토리위즈",VLOOKUP(K1590,[1]작가별정산률!$A:$B,2,0),V1590)</f>
        <v>권용찬</v>
      </c>
    </row>
    <row r="1591" spans="1:23" x14ac:dyDescent="0.4">
      <c r="A1591" t="s">
        <v>262</v>
      </c>
      <c r="B1591" t="s">
        <v>1898</v>
      </c>
      <c r="C1591" t="s">
        <v>1915</v>
      </c>
      <c r="D1591" t="s">
        <v>64</v>
      </c>
      <c r="E1591" t="s">
        <v>22</v>
      </c>
      <c r="F1591" t="s">
        <v>23</v>
      </c>
      <c r="G1591">
        <v>1</v>
      </c>
      <c r="H1591">
        <v>9791188630189</v>
      </c>
      <c r="I1591" t="s">
        <v>24</v>
      </c>
      <c r="J1591" t="s">
        <v>208</v>
      </c>
      <c r="K1591" t="s">
        <v>41</v>
      </c>
      <c r="L1591" t="s">
        <v>27</v>
      </c>
      <c r="M1591">
        <v>630</v>
      </c>
      <c r="N1591" t="s">
        <v>27</v>
      </c>
      <c r="O1591">
        <v>630</v>
      </c>
      <c r="P1591">
        <v>630</v>
      </c>
      <c r="Q1591" t="s">
        <v>30</v>
      </c>
      <c r="R1591" s="2">
        <v>0.7</v>
      </c>
      <c r="S1591">
        <v>441</v>
      </c>
      <c r="T1591" t="s">
        <v>27</v>
      </c>
      <c r="U1591">
        <v>441</v>
      </c>
      <c r="V1591" s="7" t="str">
        <f>IF(ISERROR(VLOOKUP(K1591,[1]작가별정산률!$R:$S,2,0)),"스토리위즈",VLOOKUP(K1591,[1]작가별정산률!$R:$S,2,0))</f>
        <v>스토리위즈</v>
      </c>
      <c r="W1591" s="7" t="str">
        <f>IF(V1591="스토리위즈",VLOOKUP(K1591,[1]작가별정산률!$A:$B,2,0),V1591)</f>
        <v>무장</v>
      </c>
    </row>
    <row r="1592" spans="1:23" x14ac:dyDescent="0.4">
      <c r="A1592" t="s">
        <v>262</v>
      </c>
      <c r="B1592" t="s">
        <v>1898</v>
      </c>
      <c r="C1592" t="s">
        <v>1916</v>
      </c>
      <c r="D1592" t="s">
        <v>64</v>
      </c>
      <c r="E1592" t="s">
        <v>22</v>
      </c>
      <c r="F1592" t="s">
        <v>23</v>
      </c>
      <c r="G1592">
        <v>1</v>
      </c>
      <c r="H1592">
        <v>9791166300608</v>
      </c>
      <c r="I1592" t="s">
        <v>24</v>
      </c>
      <c r="J1592" t="s">
        <v>162</v>
      </c>
      <c r="K1592" t="s">
        <v>119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2">
        <v>0.7</v>
      </c>
      <c r="S1592">
        <v>441</v>
      </c>
      <c r="T1592" t="s">
        <v>27</v>
      </c>
      <c r="U1592">
        <v>441</v>
      </c>
      <c r="V1592" s="7" t="str">
        <f>IF(ISERROR(VLOOKUP(K1592,[1]작가별정산률!$R:$S,2,0)),"스토리위즈",VLOOKUP(K1592,[1]작가별정산률!$R:$S,2,0))</f>
        <v>스토리위즈</v>
      </c>
      <c r="W1592" s="7" t="str">
        <f>IF(V1592="스토리위즈",VLOOKUP(K1592,[1]작가별정산률!$A:$B,2,0),V1592)</f>
        <v>김광수</v>
      </c>
    </row>
    <row r="1593" spans="1:23" x14ac:dyDescent="0.4">
      <c r="A1593" t="s">
        <v>262</v>
      </c>
      <c r="B1593" t="s">
        <v>1898</v>
      </c>
      <c r="C1593" t="s">
        <v>1917</v>
      </c>
      <c r="D1593" t="s">
        <v>64</v>
      </c>
      <c r="E1593" t="s">
        <v>22</v>
      </c>
      <c r="F1593" t="s">
        <v>23</v>
      </c>
      <c r="G1593">
        <v>1</v>
      </c>
      <c r="H1593">
        <v>9791166300134</v>
      </c>
      <c r="I1593" t="s">
        <v>24</v>
      </c>
      <c r="J1593" t="s">
        <v>123</v>
      </c>
      <c r="K1593" t="s">
        <v>119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2">
        <v>0.7</v>
      </c>
      <c r="S1593">
        <v>441</v>
      </c>
      <c r="T1593" t="s">
        <v>27</v>
      </c>
      <c r="U1593">
        <v>441</v>
      </c>
      <c r="V1593" s="7" t="str">
        <f>IF(ISERROR(VLOOKUP(K1593,[1]작가별정산률!$R:$S,2,0)),"스토리위즈",VLOOKUP(K1593,[1]작가별정산률!$R:$S,2,0))</f>
        <v>스토리위즈</v>
      </c>
      <c r="W1593" s="7" t="str">
        <f>IF(V1593="스토리위즈",VLOOKUP(K1593,[1]작가별정산률!$A:$B,2,0),V1593)</f>
        <v>김광수</v>
      </c>
    </row>
    <row r="1594" spans="1:23" x14ac:dyDescent="0.4">
      <c r="A1594" t="s">
        <v>262</v>
      </c>
      <c r="B1594" t="s">
        <v>1898</v>
      </c>
      <c r="C1594" t="s">
        <v>1918</v>
      </c>
      <c r="D1594" t="s">
        <v>64</v>
      </c>
      <c r="E1594" t="s">
        <v>22</v>
      </c>
      <c r="F1594" t="s">
        <v>23</v>
      </c>
      <c r="G1594">
        <v>1</v>
      </c>
      <c r="H1594">
        <v>9791166300653</v>
      </c>
      <c r="I1594" t="s">
        <v>24</v>
      </c>
      <c r="J1594" t="s">
        <v>157</v>
      </c>
      <c r="K1594" t="s">
        <v>119</v>
      </c>
      <c r="L1594" t="s">
        <v>27</v>
      </c>
      <c r="M1594">
        <v>630</v>
      </c>
      <c r="N1594" t="s">
        <v>27</v>
      </c>
      <c r="O1594">
        <v>630</v>
      </c>
      <c r="P1594">
        <v>630</v>
      </c>
      <c r="Q1594" t="s">
        <v>30</v>
      </c>
      <c r="R1594" s="2">
        <v>0.7</v>
      </c>
      <c r="S1594">
        <v>441</v>
      </c>
      <c r="T1594" t="s">
        <v>27</v>
      </c>
      <c r="U1594">
        <v>441</v>
      </c>
      <c r="V1594" s="7" t="str">
        <f>IF(ISERROR(VLOOKUP(K1594,[1]작가별정산률!$R:$S,2,0)),"스토리위즈",VLOOKUP(K1594,[1]작가별정산률!$R:$S,2,0))</f>
        <v>스토리위즈</v>
      </c>
      <c r="W1594" s="7" t="str">
        <f>IF(V1594="스토리위즈",VLOOKUP(K1594,[1]작가별정산률!$A:$B,2,0),V1594)</f>
        <v>김광수</v>
      </c>
    </row>
    <row r="1595" spans="1:23" x14ac:dyDescent="0.4">
      <c r="A1595" t="s">
        <v>262</v>
      </c>
      <c r="B1595" t="s">
        <v>1898</v>
      </c>
      <c r="C1595" t="s">
        <v>1919</v>
      </c>
      <c r="D1595" t="s">
        <v>64</v>
      </c>
      <c r="E1595" t="s">
        <v>22</v>
      </c>
      <c r="F1595" t="s">
        <v>23</v>
      </c>
      <c r="G1595">
        <v>1</v>
      </c>
      <c r="H1595">
        <v>9791166300110</v>
      </c>
      <c r="I1595" t="s">
        <v>24</v>
      </c>
      <c r="J1595" t="s">
        <v>121</v>
      </c>
      <c r="K1595" t="s">
        <v>119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  <c r="V1595" s="7" t="str">
        <f>IF(ISERROR(VLOOKUP(K1595,[1]작가별정산률!$R:$S,2,0)),"스토리위즈",VLOOKUP(K1595,[1]작가별정산률!$R:$S,2,0))</f>
        <v>스토리위즈</v>
      </c>
      <c r="W1595" s="7" t="str">
        <f>IF(V1595="스토리위즈",VLOOKUP(K1595,[1]작가별정산률!$A:$B,2,0),V1595)</f>
        <v>김광수</v>
      </c>
    </row>
    <row r="1596" spans="1:23" x14ac:dyDescent="0.4">
      <c r="A1596" t="s">
        <v>262</v>
      </c>
      <c r="B1596" t="s">
        <v>1898</v>
      </c>
      <c r="C1596" t="s">
        <v>1920</v>
      </c>
      <c r="D1596" t="s">
        <v>21</v>
      </c>
      <c r="E1596" t="s">
        <v>22</v>
      </c>
      <c r="F1596" t="s">
        <v>23</v>
      </c>
      <c r="G1596">
        <v>1</v>
      </c>
      <c r="H1596">
        <v>9791189084837</v>
      </c>
      <c r="I1596" t="s">
        <v>143</v>
      </c>
      <c r="J1596" t="s">
        <v>1921</v>
      </c>
      <c r="K1596" t="s">
        <v>1378</v>
      </c>
      <c r="L1596" t="s">
        <v>27</v>
      </c>
      <c r="M1596">
        <v>400</v>
      </c>
      <c r="N1596" t="s">
        <v>27</v>
      </c>
      <c r="O1596">
        <v>400</v>
      </c>
      <c r="P1596">
        <v>400</v>
      </c>
      <c r="Q1596" t="s">
        <v>30</v>
      </c>
      <c r="R1596" s="2">
        <v>0.7</v>
      </c>
      <c r="S1596">
        <v>280</v>
      </c>
      <c r="T1596" t="s">
        <v>27</v>
      </c>
      <c r="U1596">
        <v>280</v>
      </c>
      <c r="V1596" s="7" t="str">
        <f>IF(ISERROR(VLOOKUP(K1596,[1]작가별정산률!$R:$S,2,0)),"스토리위즈",VLOOKUP(K1596,[1]작가별정산률!$R:$S,2,0))</f>
        <v>스토리위즈</v>
      </c>
      <c r="W1596" s="7" t="str">
        <f>IF(V1596="스토리위즈",VLOOKUP(K1596,[1]작가별정산률!$A:$B,2,0),V1596)</f>
        <v>밈스</v>
      </c>
    </row>
    <row r="1597" spans="1:23" x14ac:dyDescent="0.4">
      <c r="A1597" t="s">
        <v>262</v>
      </c>
      <c r="B1597" t="s">
        <v>1898</v>
      </c>
      <c r="C1597" t="s">
        <v>1922</v>
      </c>
      <c r="D1597" t="s">
        <v>21</v>
      </c>
      <c r="E1597" t="s">
        <v>22</v>
      </c>
      <c r="F1597" t="s">
        <v>23</v>
      </c>
      <c r="G1597">
        <v>1</v>
      </c>
      <c r="H1597">
        <v>9791189084813</v>
      </c>
      <c r="I1597" t="s">
        <v>143</v>
      </c>
      <c r="J1597" t="s">
        <v>563</v>
      </c>
      <c r="K1597" t="s">
        <v>564</v>
      </c>
      <c r="L1597" t="s">
        <v>27</v>
      </c>
      <c r="M1597" s="3">
        <v>4000</v>
      </c>
      <c r="N1597" t="s">
        <v>27</v>
      </c>
      <c r="O1597" s="3">
        <v>4000</v>
      </c>
      <c r="P1597" s="3">
        <v>4000</v>
      </c>
      <c r="Q1597" t="s">
        <v>30</v>
      </c>
      <c r="R1597" s="2">
        <v>0.7</v>
      </c>
      <c r="S1597" s="3">
        <v>2800</v>
      </c>
      <c r="T1597" t="s">
        <v>27</v>
      </c>
      <c r="U1597" s="3">
        <v>2800</v>
      </c>
      <c r="V1597" s="7" t="str">
        <f>IF(ISERROR(VLOOKUP(K1597,[1]작가별정산률!$R:$S,2,0)),"스토리위즈",VLOOKUP(K1597,[1]작가별정산률!$R:$S,2,0))</f>
        <v>스토리위즈</v>
      </c>
      <c r="W1597" s="7" t="str">
        <f>IF(V1597="스토리위즈",VLOOKUP(K1597,[1]작가별정산률!$A:$B,2,0),V1597)</f>
        <v>셔틀</v>
      </c>
    </row>
    <row r="1598" spans="1:23" x14ac:dyDescent="0.4">
      <c r="A1598" t="s">
        <v>262</v>
      </c>
      <c r="B1598" t="s">
        <v>1898</v>
      </c>
      <c r="C1598" t="s">
        <v>1923</v>
      </c>
      <c r="D1598" t="s">
        <v>21</v>
      </c>
      <c r="E1598" t="s">
        <v>22</v>
      </c>
      <c r="F1598" t="s">
        <v>23</v>
      </c>
      <c r="G1598">
        <v>1</v>
      </c>
      <c r="H1598">
        <v>9791191562439</v>
      </c>
      <c r="I1598" t="s">
        <v>143</v>
      </c>
      <c r="J1598" t="s">
        <v>1661</v>
      </c>
      <c r="K1598" t="s">
        <v>188</v>
      </c>
      <c r="L1598" t="s">
        <v>27</v>
      </c>
      <c r="M1598" s="3">
        <v>2500</v>
      </c>
      <c r="N1598" t="s">
        <v>27</v>
      </c>
      <c r="O1598" s="3">
        <v>2500</v>
      </c>
      <c r="P1598" s="3">
        <v>2500</v>
      </c>
      <c r="Q1598" t="s">
        <v>30</v>
      </c>
      <c r="R1598" s="2">
        <v>0.7</v>
      </c>
      <c r="S1598" s="3">
        <v>1750</v>
      </c>
      <c r="T1598" t="s">
        <v>27</v>
      </c>
      <c r="U1598" s="3">
        <v>1750</v>
      </c>
      <c r="V1598" s="7" t="str">
        <f>IF(ISERROR(VLOOKUP(K1598,[1]작가별정산률!$R:$S,2,0)),"스토리위즈",VLOOKUP(K1598,[1]작가별정산률!$R:$S,2,0))</f>
        <v>밀리의 서재</v>
      </c>
      <c r="W1598" s="7" t="str">
        <f>IF(V1598="스토리위즈",VLOOKUP(K1598,[1]작가별정산률!$A:$B,2,0),V1598)</f>
        <v>밀리의 서재</v>
      </c>
    </row>
    <row r="1599" spans="1:23" x14ac:dyDescent="0.4">
      <c r="A1599" t="s">
        <v>262</v>
      </c>
      <c r="B1599" t="s">
        <v>1898</v>
      </c>
      <c r="C1599" t="s">
        <v>1924</v>
      </c>
      <c r="D1599" t="s">
        <v>64</v>
      </c>
      <c r="E1599" t="s">
        <v>22</v>
      </c>
      <c r="F1599" t="s">
        <v>23</v>
      </c>
      <c r="G1599">
        <v>1</v>
      </c>
      <c r="H1599">
        <v>9791159284977</v>
      </c>
      <c r="I1599" t="s">
        <v>24</v>
      </c>
      <c r="J1599" t="s">
        <v>49</v>
      </c>
      <c r="K1599" t="s">
        <v>47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  <c r="V1599" s="7" t="str">
        <f>IF(ISERROR(VLOOKUP(K1599,[1]작가별정산률!$R:$S,2,0)),"스토리위즈",VLOOKUP(K1599,[1]작가별정산률!$R:$S,2,0))</f>
        <v>스토리위즈</v>
      </c>
      <c r="W1599" s="7" t="str">
        <f>IF(V1599="스토리위즈",VLOOKUP(K1599,[1]작가별정산률!$A:$B,2,0),V1599)</f>
        <v>전혁</v>
      </c>
    </row>
    <row r="1600" spans="1:23" x14ac:dyDescent="0.4">
      <c r="A1600" t="s">
        <v>262</v>
      </c>
      <c r="B1600" t="s">
        <v>1898</v>
      </c>
      <c r="C1600" t="s">
        <v>1925</v>
      </c>
      <c r="D1600" t="s">
        <v>21</v>
      </c>
      <c r="E1600" t="s">
        <v>22</v>
      </c>
      <c r="F1600" t="s">
        <v>23</v>
      </c>
      <c r="G1600">
        <v>1</v>
      </c>
      <c r="H1600">
        <v>9791166065903</v>
      </c>
      <c r="I1600" t="s">
        <v>24</v>
      </c>
      <c r="J1600" t="s">
        <v>246</v>
      </c>
      <c r="K1600" t="s">
        <v>228</v>
      </c>
      <c r="L1600" t="s">
        <v>27</v>
      </c>
      <c r="M1600" s="3">
        <v>3200</v>
      </c>
      <c r="N1600" t="s">
        <v>28</v>
      </c>
      <c r="O1600">
        <v>2.64</v>
      </c>
      <c r="P1600">
        <v>2.64</v>
      </c>
      <c r="Q1600" t="s">
        <v>29</v>
      </c>
      <c r="R1600" s="2">
        <v>0.7</v>
      </c>
      <c r="S1600">
        <v>1.85</v>
      </c>
      <c r="T1600" t="s">
        <v>27</v>
      </c>
      <c r="U1600" s="3">
        <v>2339</v>
      </c>
      <c r="V1600" s="7" t="str">
        <f>IF(ISERROR(VLOOKUP(K1600,[1]작가별정산률!$R:$S,2,0)),"스토리위즈",VLOOKUP(K1600,[1]작가별정산률!$R:$S,2,0))</f>
        <v>스토리위즈</v>
      </c>
      <c r="W1600" s="7" t="str">
        <f>IF(V1600="스토리위즈",VLOOKUP(K1600,[1]작가별정산률!$A:$B,2,0),V1600)</f>
        <v>청빙</v>
      </c>
    </row>
    <row r="1601" spans="1:23" x14ac:dyDescent="0.4">
      <c r="A1601" t="s">
        <v>262</v>
      </c>
      <c r="B1601" t="s">
        <v>1898</v>
      </c>
      <c r="C1601" t="s">
        <v>1925</v>
      </c>
      <c r="D1601" t="s">
        <v>21</v>
      </c>
      <c r="E1601" t="s">
        <v>22</v>
      </c>
      <c r="F1601" t="s">
        <v>23</v>
      </c>
      <c r="G1601">
        <v>1</v>
      </c>
      <c r="H1601">
        <v>9791166065910</v>
      </c>
      <c r="I1601" t="s">
        <v>24</v>
      </c>
      <c r="J1601" t="s">
        <v>247</v>
      </c>
      <c r="K1601" t="s">
        <v>228</v>
      </c>
      <c r="L1601" t="s">
        <v>27</v>
      </c>
      <c r="M1601" s="3">
        <v>3200</v>
      </c>
      <c r="N1601" t="s">
        <v>28</v>
      </c>
      <c r="O1601">
        <v>2.64</v>
      </c>
      <c r="P1601">
        <v>2.64</v>
      </c>
      <c r="Q1601" t="s">
        <v>29</v>
      </c>
      <c r="R1601" s="2">
        <v>0.7</v>
      </c>
      <c r="S1601">
        <v>1.85</v>
      </c>
      <c r="T1601" t="s">
        <v>27</v>
      </c>
      <c r="U1601" s="3">
        <v>2339</v>
      </c>
      <c r="V1601" s="7" t="str">
        <f>IF(ISERROR(VLOOKUP(K1601,[1]작가별정산률!$R:$S,2,0)),"스토리위즈",VLOOKUP(K1601,[1]작가별정산률!$R:$S,2,0))</f>
        <v>스토리위즈</v>
      </c>
      <c r="W1601" s="7" t="str">
        <f>IF(V1601="스토리위즈",VLOOKUP(K1601,[1]작가별정산률!$A:$B,2,0),V1601)</f>
        <v>청빙</v>
      </c>
    </row>
    <row r="1602" spans="1:23" x14ac:dyDescent="0.4">
      <c r="A1602" t="s">
        <v>262</v>
      </c>
      <c r="B1602" t="s">
        <v>1898</v>
      </c>
      <c r="C1602" t="s">
        <v>1925</v>
      </c>
      <c r="D1602" t="s">
        <v>21</v>
      </c>
      <c r="E1602" t="s">
        <v>22</v>
      </c>
      <c r="F1602" t="s">
        <v>23</v>
      </c>
      <c r="G1602">
        <v>1</v>
      </c>
      <c r="H1602">
        <v>9791166065927</v>
      </c>
      <c r="I1602" t="s">
        <v>24</v>
      </c>
      <c r="J1602" t="s">
        <v>248</v>
      </c>
      <c r="K1602" t="s">
        <v>228</v>
      </c>
      <c r="L1602" t="s">
        <v>27</v>
      </c>
      <c r="M1602" s="3">
        <v>3200</v>
      </c>
      <c r="N1602" t="s">
        <v>28</v>
      </c>
      <c r="O1602">
        <v>2.64</v>
      </c>
      <c r="P1602">
        <v>2.64</v>
      </c>
      <c r="Q1602" t="s">
        <v>29</v>
      </c>
      <c r="R1602" s="2">
        <v>0.7</v>
      </c>
      <c r="S1602">
        <v>1.85</v>
      </c>
      <c r="T1602" t="s">
        <v>27</v>
      </c>
      <c r="U1602" s="3">
        <v>2339</v>
      </c>
      <c r="V1602" s="7" t="str">
        <f>IF(ISERROR(VLOOKUP(K1602,[1]작가별정산률!$R:$S,2,0)),"스토리위즈",VLOOKUP(K1602,[1]작가별정산률!$R:$S,2,0))</f>
        <v>스토리위즈</v>
      </c>
      <c r="W1602" s="7" t="str">
        <f>IF(V1602="스토리위즈",VLOOKUP(K1602,[1]작가별정산률!$A:$B,2,0),V1602)</f>
        <v>청빙</v>
      </c>
    </row>
    <row r="1603" spans="1:23" x14ac:dyDescent="0.4">
      <c r="A1603" t="s">
        <v>262</v>
      </c>
      <c r="B1603" t="s">
        <v>1898</v>
      </c>
      <c r="C1603" t="s">
        <v>1926</v>
      </c>
      <c r="D1603" t="s">
        <v>21</v>
      </c>
      <c r="E1603" t="s">
        <v>22</v>
      </c>
      <c r="F1603" t="s">
        <v>23</v>
      </c>
      <c r="G1603">
        <v>1</v>
      </c>
      <c r="H1603">
        <v>9791191562248</v>
      </c>
      <c r="I1603" t="s">
        <v>143</v>
      </c>
      <c r="J1603" t="s">
        <v>231</v>
      </c>
      <c r="K1603" t="s">
        <v>232</v>
      </c>
      <c r="L1603" t="s">
        <v>27</v>
      </c>
      <c r="M1603" s="3">
        <v>2000</v>
      </c>
      <c r="N1603" t="s">
        <v>27</v>
      </c>
      <c r="O1603" s="3">
        <v>2000</v>
      </c>
      <c r="P1603" s="3">
        <v>2000</v>
      </c>
      <c r="Q1603" t="s">
        <v>30</v>
      </c>
      <c r="R1603" s="2">
        <v>0.7</v>
      </c>
      <c r="S1603" s="3">
        <v>1400</v>
      </c>
      <c r="T1603" t="s">
        <v>27</v>
      </c>
      <c r="U1603" s="3">
        <v>1400</v>
      </c>
      <c r="V1603" s="7" t="str">
        <f>IF(ISERROR(VLOOKUP(K1603,[1]작가별정산률!$R:$S,2,0)),"스토리위즈",VLOOKUP(K1603,[1]작가별정산률!$R:$S,2,0))</f>
        <v>밀리의 서재</v>
      </c>
      <c r="W1603" s="7" t="str">
        <f>IF(V1603="스토리위즈",VLOOKUP(K1603,[1]작가별정산률!$A:$B,2,0),V1603)</f>
        <v>밀리의 서재</v>
      </c>
    </row>
    <row r="1604" spans="1:23" x14ac:dyDescent="0.4">
      <c r="A1604" t="s">
        <v>262</v>
      </c>
      <c r="B1604" t="s">
        <v>1898</v>
      </c>
      <c r="C1604" t="s">
        <v>1927</v>
      </c>
      <c r="D1604" t="s">
        <v>64</v>
      </c>
      <c r="E1604" t="s">
        <v>22</v>
      </c>
      <c r="F1604" t="s">
        <v>23</v>
      </c>
      <c r="G1604">
        <v>1</v>
      </c>
      <c r="H1604">
        <v>9791166300172</v>
      </c>
      <c r="I1604" t="s">
        <v>24</v>
      </c>
      <c r="J1604" t="s">
        <v>127</v>
      </c>
      <c r="K1604" t="s">
        <v>119</v>
      </c>
      <c r="L1604" t="s">
        <v>27</v>
      </c>
      <c r="M1604">
        <v>630</v>
      </c>
      <c r="N1604" t="s">
        <v>27</v>
      </c>
      <c r="O1604">
        <v>630</v>
      </c>
      <c r="P1604">
        <v>630</v>
      </c>
      <c r="Q1604" t="s">
        <v>30</v>
      </c>
      <c r="R1604" s="2">
        <v>0.7</v>
      </c>
      <c r="S1604">
        <v>441</v>
      </c>
      <c r="T1604" t="s">
        <v>27</v>
      </c>
      <c r="U1604">
        <v>441</v>
      </c>
      <c r="V1604" s="7" t="str">
        <f>IF(ISERROR(VLOOKUP(K1604,[1]작가별정산률!$R:$S,2,0)),"스토리위즈",VLOOKUP(K1604,[1]작가별정산률!$R:$S,2,0))</f>
        <v>스토리위즈</v>
      </c>
      <c r="W1604" s="7" t="str">
        <f>IF(V1604="스토리위즈",VLOOKUP(K1604,[1]작가별정산률!$A:$B,2,0),V1604)</f>
        <v>김광수</v>
      </c>
    </row>
    <row r="1605" spans="1:23" x14ac:dyDescent="0.4">
      <c r="A1605" t="s">
        <v>262</v>
      </c>
      <c r="B1605" t="s">
        <v>1898</v>
      </c>
      <c r="C1605" t="s">
        <v>1928</v>
      </c>
      <c r="D1605" t="s">
        <v>21</v>
      </c>
      <c r="E1605" t="s">
        <v>22</v>
      </c>
      <c r="F1605" t="s">
        <v>23</v>
      </c>
      <c r="G1605">
        <v>1</v>
      </c>
      <c r="H1605">
        <v>9791166300523</v>
      </c>
      <c r="I1605" t="s">
        <v>24</v>
      </c>
      <c r="J1605" t="s">
        <v>150</v>
      </c>
      <c r="K1605" t="s">
        <v>119</v>
      </c>
      <c r="L1605" t="s">
        <v>27</v>
      </c>
      <c r="M1605" s="3">
        <v>3200</v>
      </c>
      <c r="N1605" t="s">
        <v>27</v>
      </c>
      <c r="O1605" s="3">
        <v>3200</v>
      </c>
      <c r="P1605" s="3">
        <v>3200</v>
      </c>
      <c r="Q1605" t="s">
        <v>30</v>
      </c>
      <c r="R1605" s="2">
        <v>0.7</v>
      </c>
      <c r="S1605" s="3">
        <v>2240</v>
      </c>
      <c r="T1605" t="s">
        <v>27</v>
      </c>
      <c r="U1605" s="3">
        <v>2240</v>
      </c>
      <c r="V1605" s="7" t="str">
        <f>IF(ISERROR(VLOOKUP(K1605,[1]작가별정산률!$R:$S,2,0)),"스토리위즈",VLOOKUP(K1605,[1]작가별정산률!$R:$S,2,0))</f>
        <v>스토리위즈</v>
      </c>
      <c r="W1605" s="7" t="str">
        <f>IF(V1605="스토리위즈",VLOOKUP(K1605,[1]작가별정산률!$A:$B,2,0),V1605)</f>
        <v>김광수</v>
      </c>
    </row>
    <row r="1606" spans="1:23" x14ac:dyDescent="0.4">
      <c r="A1606" t="s">
        <v>262</v>
      </c>
      <c r="B1606" t="s">
        <v>1898</v>
      </c>
      <c r="C1606" t="s">
        <v>1929</v>
      </c>
      <c r="D1606" t="s">
        <v>21</v>
      </c>
      <c r="E1606" t="s">
        <v>22</v>
      </c>
      <c r="F1606" t="s">
        <v>23</v>
      </c>
      <c r="G1606">
        <v>1</v>
      </c>
      <c r="H1606">
        <v>9791166300547</v>
      </c>
      <c r="I1606" t="s">
        <v>24</v>
      </c>
      <c r="J1606" t="s">
        <v>153</v>
      </c>
      <c r="K1606" t="s">
        <v>119</v>
      </c>
      <c r="L1606" t="s">
        <v>27</v>
      </c>
      <c r="M1606" s="3">
        <v>3200</v>
      </c>
      <c r="N1606" t="s">
        <v>27</v>
      </c>
      <c r="O1606" s="3">
        <v>3200</v>
      </c>
      <c r="P1606" s="3">
        <v>3200</v>
      </c>
      <c r="Q1606" t="s">
        <v>30</v>
      </c>
      <c r="R1606" s="2">
        <v>0.7</v>
      </c>
      <c r="S1606" s="3">
        <v>2240</v>
      </c>
      <c r="T1606" t="s">
        <v>27</v>
      </c>
      <c r="U1606" s="3">
        <v>2240</v>
      </c>
      <c r="V1606" s="7" t="str">
        <f>IF(ISERROR(VLOOKUP(K1606,[1]작가별정산률!$R:$S,2,0)),"스토리위즈",VLOOKUP(K1606,[1]작가별정산률!$R:$S,2,0))</f>
        <v>스토리위즈</v>
      </c>
      <c r="W1606" s="7" t="str">
        <f>IF(V1606="스토리위즈",VLOOKUP(K1606,[1]작가별정산률!$A:$B,2,0),V1606)</f>
        <v>김광수</v>
      </c>
    </row>
    <row r="1607" spans="1:23" x14ac:dyDescent="0.4">
      <c r="A1607" t="s">
        <v>262</v>
      </c>
      <c r="B1607" t="s">
        <v>1898</v>
      </c>
      <c r="C1607" t="s">
        <v>1930</v>
      </c>
      <c r="D1607" t="s">
        <v>21</v>
      </c>
      <c r="E1607" t="s">
        <v>22</v>
      </c>
      <c r="F1607" t="s">
        <v>23</v>
      </c>
      <c r="G1607">
        <v>1</v>
      </c>
      <c r="H1607">
        <v>9791191562408</v>
      </c>
      <c r="I1607" t="s">
        <v>143</v>
      </c>
      <c r="J1607" t="s">
        <v>698</v>
      </c>
      <c r="K1607" t="s">
        <v>215</v>
      </c>
      <c r="L1607" t="s">
        <v>27</v>
      </c>
      <c r="M1607" s="3">
        <v>2000</v>
      </c>
      <c r="N1607" t="s">
        <v>27</v>
      </c>
      <c r="O1607" s="3">
        <v>2000</v>
      </c>
      <c r="P1607" s="3">
        <v>2000</v>
      </c>
      <c r="Q1607" t="s">
        <v>30</v>
      </c>
      <c r="R1607" s="2">
        <v>0.7</v>
      </c>
      <c r="S1607" s="3">
        <v>1400</v>
      </c>
      <c r="T1607" t="s">
        <v>27</v>
      </c>
      <c r="U1607" s="3">
        <v>1400</v>
      </c>
      <c r="V1607" s="7" t="str">
        <f>IF(ISERROR(VLOOKUP(K1607,[1]작가별정산률!$R:$S,2,0)),"스토리위즈",VLOOKUP(K1607,[1]작가별정산률!$R:$S,2,0))</f>
        <v>밀리의 서재</v>
      </c>
      <c r="W1607" s="7" t="str">
        <f>IF(V1607="스토리위즈",VLOOKUP(K1607,[1]작가별정산률!$A:$B,2,0),V1607)</f>
        <v>밀리의 서재</v>
      </c>
    </row>
    <row r="1608" spans="1:23" x14ac:dyDescent="0.4">
      <c r="A1608" t="s">
        <v>262</v>
      </c>
      <c r="B1608" t="s">
        <v>1898</v>
      </c>
      <c r="C1608" t="s">
        <v>1931</v>
      </c>
      <c r="D1608" t="s">
        <v>64</v>
      </c>
      <c r="E1608" t="s">
        <v>22</v>
      </c>
      <c r="F1608" t="s">
        <v>23</v>
      </c>
      <c r="G1608">
        <v>1</v>
      </c>
      <c r="H1608">
        <v>9791159282942</v>
      </c>
      <c r="I1608" t="s">
        <v>24</v>
      </c>
      <c r="J1608" t="s">
        <v>180</v>
      </c>
      <c r="K1608" t="s">
        <v>26</v>
      </c>
      <c r="L1608" t="s">
        <v>27</v>
      </c>
      <c r="M1608">
        <v>630</v>
      </c>
      <c r="N1608" t="s">
        <v>27</v>
      </c>
      <c r="O1608">
        <v>630</v>
      </c>
      <c r="P1608">
        <v>630</v>
      </c>
      <c r="Q1608" t="s">
        <v>30</v>
      </c>
      <c r="R1608" s="2">
        <v>0.7</v>
      </c>
      <c r="S1608">
        <v>441</v>
      </c>
      <c r="T1608" t="s">
        <v>27</v>
      </c>
      <c r="U1608">
        <v>441</v>
      </c>
      <c r="V1608" s="7" t="str">
        <f>IF(ISERROR(VLOOKUP(K1608,[1]작가별정산률!$R:$S,2,0)),"스토리위즈",VLOOKUP(K1608,[1]작가별정산률!$R:$S,2,0))</f>
        <v>스토리위즈</v>
      </c>
      <c r="W1608" s="7" t="str">
        <f>IF(V1608="스토리위즈",VLOOKUP(K1608,[1]작가별정산률!$A:$B,2,0),V1608)</f>
        <v>독고진</v>
      </c>
    </row>
    <row r="1609" spans="1:23" x14ac:dyDescent="0.4">
      <c r="A1609" t="s">
        <v>262</v>
      </c>
      <c r="B1609" t="s">
        <v>1898</v>
      </c>
      <c r="C1609" t="s">
        <v>1932</v>
      </c>
      <c r="D1609" t="s">
        <v>64</v>
      </c>
      <c r="E1609" t="s">
        <v>22</v>
      </c>
      <c r="F1609" t="s">
        <v>23</v>
      </c>
      <c r="G1609">
        <v>1</v>
      </c>
      <c r="H1609">
        <v>9791166300264</v>
      </c>
      <c r="I1609" t="s">
        <v>24</v>
      </c>
      <c r="J1609" t="s">
        <v>135</v>
      </c>
      <c r="K1609" t="s">
        <v>119</v>
      </c>
      <c r="L1609" t="s">
        <v>27</v>
      </c>
      <c r="M1609">
        <v>630</v>
      </c>
      <c r="N1609" t="s">
        <v>27</v>
      </c>
      <c r="O1609">
        <v>630</v>
      </c>
      <c r="P1609">
        <v>630</v>
      </c>
      <c r="Q1609" t="s">
        <v>30</v>
      </c>
      <c r="R1609" s="2">
        <v>0.7</v>
      </c>
      <c r="S1609">
        <v>441</v>
      </c>
      <c r="T1609" t="s">
        <v>27</v>
      </c>
      <c r="U1609">
        <v>441</v>
      </c>
      <c r="V1609" s="7" t="str">
        <f>IF(ISERROR(VLOOKUP(K1609,[1]작가별정산률!$R:$S,2,0)),"스토리위즈",VLOOKUP(K1609,[1]작가별정산률!$R:$S,2,0))</f>
        <v>스토리위즈</v>
      </c>
      <c r="W1609" s="7" t="str">
        <f>IF(V1609="스토리위즈",VLOOKUP(K1609,[1]작가별정산률!$A:$B,2,0),V1609)</f>
        <v>김광수</v>
      </c>
    </row>
    <row r="1610" spans="1:23" x14ac:dyDescent="0.4">
      <c r="A1610" t="s">
        <v>262</v>
      </c>
      <c r="B1610" t="s">
        <v>1898</v>
      </c>
      <c r="C1610" t="s">
        <v>1933</v>
      </c>
      <c r="D1610" t="s">
        <v>21</v>
      </c>
      <c r="E1610" t="s">
        <v>22</v>
      </c>
      <c r="F1610" t="s">
        <v>216</v>
      </c>
      <c r="G1610">
        <v>1</v>
      </c>
      <c r="H1610">
        <v>9791191562361</v>
      </c>
      <c r="I1610" t="s">
        <v>143</v>
      </c>
      <c r="J1610" t="s">
        <v>916</v>
      </c>
      <c r="K1610" t="s">
        <v>186</v>
      </c>
      <c r="L1610" t="s">
        <v>27</v>
      </c>
      <c r="M1610" s="3">
        <v>2000</v>
      </c>
      <c r="N1610" t="s">
        <v>70</v>
      </c>
      <c r="O1610">
        <v>2.06</v>
      </c>
      <c r="P1610">
        <v>2.06</v>
      </c>
      <c r="Q1610" t="s">
        <v>71</v>
      </c>
      <c r="R1610" s="2">
        <v>0.7</v>
      </c>
      <c r="S1610">
        <v>1.44</v>
      </c>
      <c r="T1610" t="s">
        <v>27</v>
      </c>
      <c r="U1610" s="3">
        <v>1416</v>
      </c>
      <c r="V1610" s="7" t="str">
        <f>IF(ISERROR(VLOOKUP(K1610,[1]작가별정산률!$R:$S,2,0)),"스토리위즈",VLOOKUP(K1610,[1]작가별정산률!$R:$S,2,0))</f>
        <v>밀리의 서재</v>
      </c>
      <c r="W1610" s="7" t="str">
        <f>IF(V1610="스토리위즈",VLOOKUP(K1610,[1]작가별정산률!$A:$B,2,0),V1610)</f>
        <v>밀리의 서재</v>
      </c>
    </row>
    <row r="1611" spans="1:23" x14ac:dyDescent="0.4">
      <c r="A1611" t="s">
        <v>262</v>
      </c>
      <c r="B1611" t="s">
        <v>1898</v>
      </c>
      <c r="C1611" t="s">
        <v>1934</v>
      </c>
      <c r="D1611" t="s">
        <v>64</v>
      </c>
      <c r="E1611" t="s">
        <v>22</v>
      </c>
      <c r="F1611" t="s">
        <v>23</v>
      </c>
      <c r="G1611">
        <v>1</v>
      </c>
      <c r="H1611">
        <v>9791188630141</v>
      </c>
      <c r="I1611" t="s">
        <v>24</v>
      </c>
      <c r="J1611" t="s">
        <v>204</v>
      </c>
      <c r="K1611" t="s">
        <v>41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2">
        <v>0.7</v>
      </c>
      <c r="S1611">
        <v>441</v>
      </c>
      <c r="T1611" t="s">
        <v>27</v>
      </c>
      <c r="U1611">
        <v>441</v>
      </c>
      <c r="V1611" s="7" t="str">
        <f>IF(ISERROR(VLOOKUP(K1611,[1]작가별정산률!$R:$S,2,0)),"스토리위즈",VLOOKUP(K1611,[1]작가별정산률!$R:$S,2,0))</f>
        <v>스토리위즈</v>
      </c>
      <c r="W1611" s="7" t="str">
        <f>IF(V1611="스토리위즈",VLOOKUP(K1611,[1]작가별정산률!$A:$B,2,0),V1611)</f>
        <v>무장</v>
      </c>
    </row>
    <row r="1612" spans="1:23" x14ac:dyDescent="0.4">
      <c r="A1612" t="s">
        <v>262</v>
      </c>
      <c r="B1612" t="s">
        <v>1898</v>
      </c>
      <c r="C1612" t="s">
        <v>1935</v>
      </c>
      <c r="D1612" t="s">
        <v>21</v>
      </c>
      <c r="E1612" t="s">
        <v>22</v>
      </c>
      <c r="F1612" t="s">
        <v>23</v>
      </c>
      <c r="G1612">
        <v>1</v>
      </c>
      <c r="H1612">
        <v>9791191562262</v>
      </c>
      <c r="I1612" t="s">
        <v>143</v>
      </c>
      <c r="J1612" t="s">
        <v>250</v>
      </c>
      <c r="K1612" t="s">
        <v>251</v>
      </c>
      <c r="L1612" t="s">
        <v>27</v>
      </c>
      <c r="M1612" s="3">
        <v>2000</v>
      </c>
      <c r="N1612" t="s">
        <v>28</v>
      </c>
      <c r="O1612">
        <v>1.65</v>
      </c>
      <c r="P1612">
        <v>1.65</v>
      </c>
      <c r="Q1612" t="s">
        <v>29</v>
      </c>
      <c r="R1612" s="2">
        <v>0.7</v>
      </c>
      <c r="S1612">
        <v>1.1499999999999999</v>
      </c>
      <c r="T1612" t="s">
        <v>27</v>
      </c>
      <c r="U1612" s="3">
        <v>1454</v>
      </c>
      <c r="V1612" s="7" t="str">
        <f>IF(ISERROR(VLOOKUP(K1612,[1]작가별정산률!$R:$S,2,0)),"스토리위즈",VLOOKUP(K1612,[1]작가별정산률!$R:$S,2,0))</f>
        <v>밀리의 서재</v>
      </c>
      <c r="W1612" s="7" t="str">
        <f>IF(V1612="스토리위즈",VLOOKUP(K1612,[1]작가별정산률!$A:$B,2,0),V1612)</f>
        <v>밀리의 서재</v>
      </c>
    </row>
    <row r="1613" spans="1:23" x14ac:dyDescent="0.4">
      <c r="A1613" t="s">
        <v>262</v>
      </c>
      <c r="B1613" t="s">
        <v>1898</v>
      </c>
      <c r="C1613" t="s">
        <v>1936</v>
      </c>
      <c r="D1613" t="s">
        <v>21</v>
      </c>
      <c r="E1613" t="s">
        <v>22</v>
      </c>
      <c r="F1613" t="s">
        <v>23</v>
      </c>
      <c r="G1613">
        <v>1</v>
      </c>
      <c r="H1613">
        <v>9791164370955</v>
      </c>
      <c r="I1613" t="s">
        <v>143</v>
      </c>
      <c r="J1613" t="s">
        <v>1937</v>
      </c>
      <c r="K1613" t="s">
        <v>564</v>
      </c>
      <c r="L1613" t="s">
        <v>27</v>
      </c>
      <c r="M1613" s="3">
        <v>3800</v>
      </c>
      <c r="N1613" t="s">
        <v>191</v>
      </c>
      <c r="O1613">
        <v>4.57</v>
      </c>
      <c r="P1613">
        <v>4.1500000000000004</v>
      </c>
      <c r="Q1613" t="s">
        <v>190</v>
      </c>
      <c r="R1613" s="2">
        <v>0.7</v>
      </c>
      <c r="S1613">
        <v>2.9</v>
      </c>
      <c r="T1613" t="s">
        <v>27</v>
      </c>
      <c r="U1613" s="3">
        <v>2601</v>
      </c>
      <c r="V1613" s="7" t="str">
        <f>IF(ISERROR(VLOOKUP(K1613,[1]작가별정산률!$R:$S,2,0)),"스토리위즈",VLOOKUP(K1613,[1]작가별정산률!$R:$S,2,0))</f>
        <v>스토리위즈</v>
      </c>
      <c r="W1613" s="7" t="str">
        <f>IF(V1613="스토리위즈",VLOOKUP(K1613,[1]작가별정산률!$A:$B,2,0),V1613)</f>
        <v>셔틀</v>
      </c>
    </row>
    <row r="1614" spans="1:23" x14ac:dyDescent="0.4">
      <c r="A1614" t="s">
        <v>262</v>
      </c>
      <c r="B1614" t="s">
        <v>1898</v>
      </c>
      <c r="C1614" t="s">
        <v>1938</v>
      </c>
      <c r="D1614" t="s">
        <v>21</v>
      </c>
      <c r="E1614" t="s">
        <v>22</v>
      </c>
      <c r="F1614" t="s">
        <v>23</v>
      </c>
      <c r="G1614">
        <v>1</v>
      </c>
      <c r="H1614">
        <v>9791164370962</v>
      </c>
      <c r="I1614" t="s">
        <v>143</v>
      </c>
      <c r="J1614" t="s">
        <v>1939</v>
      </c>
      <c r="K1614" t="s">
        <v>564</v>
      </c>
      <c r="L1614" t="s">
        <v>27</v>
      </c>
      <c r="M1614" s="3">
        <v>3800</v>
      </c>
      <c r="N1614" t="s">
        <v>191</v>
      </c>
      <c r="O1614">
        <v>4.57</v>
      </c>
      <c r="P1614">
        <v>4.1500000000000004</v>
      </c>
      <c r="Q1614" t="s">
        <v>190</v>
      </c>
      <c r="R1614" s="2">
        <v>0.7</v>
      </c>
      <c r="S1614">
        <v>2.9</v>
      </c>
      <c r="T1614" t="s">
        <v>27</v>
      </c>
      <c r="U1614" s="3">
        <v>2601</v>
      </c>
      <c r="V1614" s="7" t="str">
        <f>IF(ISERROR(VLOOKUP(K1614,[1]작가별정산률!$R:$S,2,0)),"스토리위즈",VLOOKUP(K1614,[1]작가별정산률!$R:$S,2,0))</f>
        <v>스토리위즈</v>
      </c>
      <c r="W1614" s="7" t="str">
        <f>IF(V1614="스토리위즈",VLOOKUP(K1614,[1]작가별정산률!$A:$B,2,0),V1614)</f>
        <v>셔틀</v>
      </c>
    </row>
    <row r="1615" spans="1:23" x14ac:dyDescent="0.4">
      <c r="A1615" t="s">
        <v>262</v>
      </c>
      <c r="B1615" t="s">
        <v>1898</v>
      </c>
      <c r="C1615" t="s">
        <v>1940</v>
      </c>
      <c r="D1615" t="s">
        <v>21</v>
      </c>
      <c r="E1615" t="s">
        <v>22</v>
      </c>
      <c r="F1615" t="s">
        <v>23</v>
      </c>
      <c r="G1615">
        <v>1</v>
      </c>
      <c r="H1615">
        <v>9791164371273</v>
      </c>
      <c r="I1615" t="s">
        <v>143</v>
      </c>
      <c r="J1615" t="s">
        <v>1941</v>
      </c>
      <c r="K1615" t="s">
        <v>564</v>
      </c>
      <c r="L1615" t="s">
        <v>27</v>
      </c>
      <c r="M1615">
        <v>400</v>
      </c>
      <c r="N1615" t="s">
        <v>191</v>
      </c>
      <c r="O1615">
        <v>0.48</v>
      </c>
      <c r="P1615">
        <v>0.44</v>
      </c>
      <c r="Q1615" t="s">
        <v>190</v>
      </c>
      <c r="R1615" s="2">
        <v>0.7</v>
      </c>
      <c r="S1615">
        <v>0.31</v>
      </c>
      <c r="T1615" t="s">
        <v>27</v>
      </c>
      <c r="U1615">
        <v>278</v>
      </c>
      <c r="V1615" s="7" t="str">
        <f>IF(ISERROR(VLOOKUP(K1615,[1]작가별정산률!$R:$S,2,0)),"스토리위즈",VLOOKUP(K1615,[1]작가별정산률!$R:$S,2,0))</f>
        <v>스토리위즈</v>
      </c>
      <c r="W1615" s="7" t="str">
        <f>IF(V1615="스토리위즈",VLOOKUP(K1615,[1]작가별정산률!$A:$B,2,0),V1615)</f>
        <v>셔틀</v>
      </c>
    </row>
    <row r="1616" spans="1:23" x14ac:dyDescent="0.4">
      <c r="A1616" t="s">
        <v>262</v>
      </c>
      <c r="B1616" t="s">
        <v>1898</v>
      </c>
      <c r="C1616" t="s">
        <v>1942</v>
      </c>
      <c r="D1616" t="s">
        <v>64</v>
      </c>
      <c r="E1616" t="s">
        <v>22</v>
      </c>
      <c r="F1616" t="s">
        <v>23</v>
      </c>
      <c r="G1616">
        <v>1</v>
      </c>
      <c r="H1616">
        <v>9791159283086</v>
      </c>
      <c r="I1616" t="s">
        <v>24</v>
      </c>
      <c r="J1616" t="s">
        <v>72</v>
      </c>
      <c r="K1616" t="s">
        <v>37</v>
      </c>
      <c r="L1616" t="s">
        <v>27</v>
      </c>
      <c r="M1616">
        <v>900</v>
      </c>
      <c r="N1616" t="s">
        <v>27</v>
      </c>
      <c r="O1616">
        <v>900</v>
      </c>
      <c r="P1616">
        <v>900</v>
      </c>
      <c r="Q1616" t="s">
        <v>30</v>
      </c>
      <c r="R1616" s="2">
        <v>0.7</v>
      </c>
      <c r="S1616">
        <v>630</v>
      </c>
      <c r="T1616" t="s">
        <v>27</v>
      </c>
      <c r="U1616">
        <v>630</v>
      </c>
      <c r="V1616" s="7" t="str">
        <f>IF(ISERROR(VLOOKUP(K1616,[1]작가별정산률!$R:$S,2,0)),"스토리위즈",VLOOKUP(K1616,[1]작가별정산률!$R:$S,2,0))</f>
        <v>스토리위즈</v>
      </c>
      <c r="W1616" s="7" t="str">
        <f>IF(V1616="스토리위즈",VLOOKUP(K1616,[1]작가별정산률!$A:$B,2,0),V1616)</f>
        <v>권용찬</v>
      </c>
    </row>
    <row r="1617" spans="1:23" x14ac:dyDescent="0.4">
      <c r="A1617" t="s">
        <v>262</v>
      </c>
      <c r="B1617" t="s">
        <v>1898</v>
      </c>
      <c r="C1617" t="s">
        <v>1943</v>
      </c>
      <c r="D1617" t="s">
        <v>64</v>
      </c>
      <c r="E1617" t="s">
        <v>22</v>
      </c>
      <c r="F1617" t="s">
        <v>23</v>
      </c>
      <c r="G1617">
        <v>1</v>
      </c>
      <c r="H1617">
        <v>9791166300141</v>
      </c>
      <c r="I1617" t="s">
        <v>24</v>
      </c>
      <c r="J1617" t="s">
        <v>124</v>
      </c>
      <c r="K1617" t="s">
        <v>119</v>
      </c>
      <c r="L1617" t="s">
        <v>27</v>
      </c>
      <c r="M1617">
        <v>630</v>
      </c>
      <c r="N1617" t="s">
        <v>27</v>
      </c>
      <c r="O1617">
        <v>630</v>
      </c>
      <c r="P1617">
        <v>630</v>
      </c>
      <c r="Q1617" t="s">
        <v>30</v>
      </c>
      <c r="R1617" s="2">
        <v>0.7</v>
      </c>
      <c r="S1617">
        <v>441</v>
      </c>
      <c r="T1617" t="s">
        <v>27</v>
      </c>
      <c r="U1617">
        <v>441</v>
      </c>
      <c r="V1617" s="7" t="str">
        <f>IF(ISERROR(VLOOKUP(K1617,[1]작가별정산률!$R:$S,2,0)),"스토리위즈",VLOOKUP(K1617,[1]작가별정산률!$R:$S,2,0))</f>
        <v>스토리위즈</v>
      </c>
      <c r="W1617" s="7" t="str">
        <f>IF(V1617="스토리위즈",VLOOKUP(K1617,[1]작가별정산률!$A:$B,2,0),V1617)</f>
        <v>김광수</v>
      </c>
    </row>
    <row r="1618" spans="1:23" x14ac:dyDescent="0.4">
      <c r="A1618" t="s">
        <v>262</v>
      </c>
      <c r="B1618" t="s">
        <v>1898</v>
      </c>
      <c r="C1618" t="s">
        <v>1944</v>
      </c>
      <c r="D1618" t="s">
        <v>64</v>
      </c>
      <c r="E1618" t="s">
        <v>22</v>
      </c>
      <c r="F1618" t="s">
        <v>23</v>
      </c>
      <c r="G1618">
        <v>1</v>
      </c>
      <c r="H1618">
        <v>9791166300622</v>
      </c>
      <c r="I1618" t="s">
        <v>24</v>
      </c>
      <c r="J1618" t="s">
        <v>164</v>
      </c>
      <c r="K1618" t="s">
        <v>119</v>
      </c>
      <c r="L1618" t="s">
        <v>27</v>
      </c>
      <c r="M1618">
        <v>630</v>
      </c>
      <c r="N1618" t="s">
        <v>27</v>
      </c>
      <c r="O1618">
        <v>630</v>
      </c>
      <c r="P1618">
        <v>630</v>
      </c>
      <c r="Q1618" t="s">
        <v>30</v>
      </c>
      <c r="R1618" s="2">
        <v>0.7</v>
      </c>
      <c r="S1618">
        <v>441</v>
      </c>
      <c r="T1618" t="s">
        <v>27</v>
      </c>
      <c r="U1618">
        <v>441</v>
      </c>
      <c r="V1618" s="7" t="str">
        <f>IF(ISERROR(VLOOKUP(K1618,[1]작가별정산률!$R:$S,2,0)),"스토리위즈",VLOOKUP(K1618,[1]작가별정산률!$R:$S,2,0))</f>
        <v>스토리위즈</v>
      </c>
      <c r="W1618" s="7" t="str">
        <f>IF(V1618="스토리위즈",VLOOKUP(K1618,[1]작가별정산률!$A:$B,2,0),V1618)</f>
        <v>김광수</v>
      </c>
    </row>
    <row r="1619" spans="1:23" x14ac:dyDescent="0.4">
      <c r="A1619" t="s">
        <v>262</v>
      </c>
      <c r="B1619" t="s">
        <v>1898</v>
      </c>
      <c r="C1619" t="s">
        <v>1945</v>
      </c>
      <c r="D1619" t="s">
        <v>64</v>
      </c>
      <c r="E1619" t="s">
        <v>22</v>
      </c>
      <c r="F1619" t="s">
        <v>23</v>
      </c>
      <c r="G1619">
        <v>1</v>
      </c>
      <c r="H1619">
        <v>9791159282218</v>
      </c>
      <c r="I1619" t="s">
        <v>24</v>
      </c>
      <c r="J1619" t="s">
        <v>107</v>
      </c>
      <c r="K1619" t="s">
        <v>37</v>
      </c>
      <c r="L1619" t="s">
        <v>27</v>
      </c>
      <c r="M1619">
        <v>900</v>
      </c>
      <c r="N1619" t="s">
        <v>27</v>
      </c>
      <c r="O1619">
        <v>900</v>
      </c>
      <c r="P1619">
        <v>900</v>
      </c>
      <c r="Q1619" t="s">
        <v>30</v>
      </c>
      <c r="R1619" s="2">
        <v>0.7</v>
      </c>
      <c r="S1619">
        <v>630</v>
      </c>
      <c r="T1619" t="s">
        <v>27</v>
      </c>
      <c r="U1619">
        <v>630</v>
      </c>
      <c r="V1619" s="7" t="str">
        <f>IF(ISERROR(VLOOKUP(K1619,[1]작가별정산률!$R:$S,2,0)),"스토리위즈",VLOOKUP(K1619,[1]작가별정산률!$R:$S,2,0))</f>
        <v>스토리위즈</v>
      </c>
      <c r="W1619" s="7" t="str">
        <f>IF(V1619="스토리위즈",VLOOKUP(K1619,[1]작가별정산률!$A:$B,2,0),V1619)</f>
        <v>권용찬</v>
      </c>
    </row>
    <row r="1620" spans="1:23" x14ac:dyDescent="0.4">
      <c r="A1620" t="s">
        <v>262</v>
      </c>
      <c r="B1620" t="s">
        <v>1898</v>
      </c>
      <c r="C1620" t="s">
        <v>1946</v>
      </c>
      <c r="D1620" t="s">
        <v>64</v>
      </c>
      <c r="E1620" t="s">
        <v>22</v>
      </c>
      <c r="F1620" t="s">
        <v>23</v>
      </c>
      <c r="G1620">
        <v>1</v>
      </c>
      <c r="H1620">
        <v>9791166300257</v>
      </c>
      <c r="I1620" t="s">
        <v>24</v>
      </c>
      <c r="J1620" t="s">
        <v>134</v>
      </c>
      <c r="K1620" t="s">
        <v>119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  <c r="V1620" s="7" t="str">
        <f>IF(ISERROR(VLOOKUP(K1620,[1]작가별정산률!$R:$S,2,0)),"스토리위즈",VLOOKUP(K1620,[1]작가별정산률!$R:$S,2,0))</f>
        <v>스토리위즈</v>
      </c>
      <c r="W1620" s="7" t="str">
        <f>IF(V1620="스토리위즈",VLOOKUP(K1620,[1]작가별정산률!$A:$B,2,0),V1620)</f>
        <v>김광수</v>
      </c>
    </row>
    <row r="1621" spans="1:23" x14ac:dyDescent="0.4">
      <c r="A1621" t="s">
        <v>262</v>
      </c>
      <c r="B1621" t="s">
        <v>1898</v>
      </c>
      <c r="C1621" t="s">
        <v>1947</v>
      </c>
      <c r="D1621" t="s">
        <v>64</v>
      </c>
      <c r="E1621" t="s">
        <v>22</v>
      </c>
      <c r="F1621" t="s">
        <v>23</v>
      </c>
      <c r="G1621">
        <v>1</v>
      </c>
      <c r="H1621">
        <v>9791166300202</v>
      </c>
      <c r="I1621" t="s">
        <v>24</v>
      </c>
      <c r="J1621" t="s">
        <v>129</v>
      </c>
      <c r="K1621" t="s">
        <v>119</v>
      </c>
      <c r="L1621" t="s">
        <v>27</v>
      </c>
      <c r="M1621">
        <v>630</v>
      </c>
      <c r="N1621" t="s">
        <v>27</v>
      </c>
      <c r="O1621">
        <v>630</v>
      </c>
      <c r="P1621">
        <v>630</v>
      </c>
      <c r="Q1621" t="s">
        <v>30</v>
      </c>
      <c r="R1621" s="2">
        <v>0.7</v>
      </c>
      <c r="S1621">
        <v>441</v>
      </c>
      <c r="T1621" t="s">
        <v>27</v>
      </c>
      <c r="U1621">
        <v>441</v>
      </c>
      <c r="V1621" s="7" t="str">
        <f>IF(ISERROR(VLOOKUP(K1621,[1]작가별정산률!$R:$S,2,0)),"스토리위즈",VLOOKUP(K1621,[1]작가별정산률!$R:$S,2,0))</f>
        <v>스토리위즈</v>
      </c>
      <c r="W1621" s="7" t="str">
        <f>IF(V1621="스토리위즈",VLOOKUP(K1621,[1]작가별정산률!$A:$B,2,0),V1621)</f>
        <v>김광수</v>
      </c>
    </row>
    <row r="1622" spans="1:23" x14ac:dyDescent="0.4">
      <c r="A1622" t="s">
        <v>262</v>
      </c>
      <c r="B1622" t="s">
        <v>1898</v>
      </c>
      <c r="C1622" t="s">
        <v>1948</v>
      </c>
      <c r="D1622" t="s">
        <v>21</v>
      </c>
      <c r="E1622" t="s">
        <v>22</v>
      </c>
      <c r="F1622" t="s">
        <v>23</v>
      </c>
      <c r="G1622">
        <v>1</v>
      </c>
      <c r="H1622">
        <v>9791189084448</v>
      </c>
      <c r="I1622" t="s">
        <v>143</v>
      </c>
      <c r="J1622" t="s">
        <v>1377</v>
      </c>
      <c r="K1622" t="s">
        <v>1378</v>
      </c>
      <c r="L1622" t="s">
        <v>27</v>
      </c>
      <c r="M1622" s="3">
        <v>3000</v>
      </c>
      <c r="N1622" t="s">
        <v>27</v>
      </c>
      <c r="O1622" s="3">
        <v>3000</v>
      </c>
      <c r="P1622" s="3">
        <v>3000</v>
      </c>
      <c r="Q1622" t="s">
        <v>30</v>
      </c>
      <c r="R1622" s="2">
        <v>0.7</v>
      </c>
      <c r="S1622" s="3">
        <v>2100</v>
      </c>
      <c r="T1622" t="s">
        <v>27</v>
      </c>
      <c r="U1622" s="3">
        <v>2100</v>
      </c>
      <c r="V1622" s="7" t="str">
        <f>IF(ISERROR(VLOOKUP(K1622,[1]작가별정산률!$R:$S,2,0)),"스토리위즈",VLOOKUP(K1622,[1]작가별정산률!$R:$S,2,0))</f>
        <v>스토리위즈</v>
      </c>
      <c r="W1622" s="7" t="str">
        <f>IF(V1622="스토리위즈",VLOOKUP(K1622,[1]작가별정산률!$A:$B,2,0),V1622)</f>
        <v>밈스</v>
      </c>
    </row>
    <row r="1623" spans="1:23" x14ac:dyDescent="0.4">
      <c r="A1623" t="s">
        <v>262</v>
      </c>
      <c r="B1623" t="s">
        <v>1898</v>
      </c>
      <c r="C1623" t="s">
        <v>1949</v>
      </c>
      <c r="D1623" t="s">
        <v>21</v>
      </c>
      <c r="E1623" t="s">
        <v>22</v>
      </c>
      <c r="F1623" t="s">
        <v>23</v>
      </c>
      <c r="G1623">
        <v>1</v>
      </c>
      <c r="H1623">
        <v>9791189084455</v>
      </c>
      <c r="I1623" t="s">
        <v>143</v>
      </c>
      <c r="J1623" t="s">
        <v>1446</v>
      </c>
      <c r="K1623" t="s">
        <v>1378</v>
      </c>
      <c r="L1623" t="s">
        <v>27</v>
      </c>
      <c r="M1623" s="3">
        <v>3000</v>
      </c>
      <c r="N1623" t="s">
        <v>27</v>
      </c>
      <c r="O1623" s="3">
        <v>3000</v>
      </c>
      <c r="P1623" s="3">
        <v>3000</v>
      </c>
      <c r="Q1623" t="s">
        <v>30</v>
      </c>
      <c r="R1623" s="2">
        <v>0.7</v>
      </c>
      <c r="S1623" s="3">
        <v>2100</v>
      </c>
      <c r="T1623" t="s">
        <v>27</v>
      </c>
      <c r="U1623" s="3">
        <v>2100</v>
      </c>
      <c r="V1623" s="7" t="str">
        <f>IF(ISERROR(VLOOKUP(K1623,[1]작가별정산률!$R:$S,2,0)),"스토리위즈",VLOOKUP(K1623,[1]작가별정산률!$R:$S,2,0))</f>
        <v>스토리위즈</v>
      </c>
      <c r="W1623" s="7" t="str">
        <f>IF(V1623="스토리위즈",VLOOKUP(K1623,[1]작가별정산률!$A:$B,2,0),V1623)</f>
        <v>밈스</v>
      </c>
    </row>
    <row r="1624" spans="1:23" x14ac:dyDescent="0.4">
      <c r="A1624" t="s">
        <v>262</v>
      </c>
      <c r="B1624" t="s">
        <v>1898</v>
      </c>
      <c r="C1624" t="s">
        <v>1950</v>
      </c>
      <c r="D1624" t="s">
        <v>64</v>
      </c>
      <c r="E1624" t="s">
        <v>22</v>
      </c>
      <c r="F1624" t="s">
        <v>23</v>
      </c>
      <c r="G1624">
        <v>1</v>
      </c>
      <c r="H1624">
        <v>9791166300639</v>
      </c>
      <c r="I1624" t="s">
        <v>24</v>
      </c>
      <c r="J1624" t="s">
        <v>165</v>
      </c>
      <c r="K1624" t="s">
        <v>119</v>
      </c>
      <c r="L1624" t="s">
        <v>27</v>
      </c>
      <c r="M1624">
        <v>630</v>
      </c>
      <c r="N1624" t="s">
        <v>27</v>
      </c>
      <c r="O1624">
        <v>630</v>
      </c>
      <c r="P1624">
        <v>630</v>
      </c>
      <c r="Q1624" t="s">
        <v>30</v>
      </c>
      <c r="R1624" s="2">
        <v>0.7</v>
      </c>
      <c r="S1624">
        <v>441</v>
      </c>
      <c r="T1624" t="s">
        <v>27</v>
      </c>
      <c r="U1624">
        <v>441</v>
      </c>
      <c r="V1624" s="7" t="str">
        <f>IF(ISERROR(VLOOKUP(K1624,[1]작가별정산률!$R:$S,2,0)),"스토리위즈",VLOOKUP(K1624,[1]작가별정산률!$R:$S,2,0))</f>
        <v>스토리위즈</v>
      </c>
      <c r="W1624" s="7" t="str">
        <f>IF(V1624="스토리위즈",VLOOKUP(K1624,[1]작가별정산률!$A:$B,2,0),V1624)</f>
        <v>김광수</v>
      </c>
    </row>
    <row r="1625" spans="1:23" x14ac:dyDescent="0.4">
      <c r="A1625" t="s">
        <v>262</v>
      </c>
      <c r="B1625" t="s">
        <v>1898</v>
      </c>
      <c r="C1625" t="s">
        <v>1951</v>
      </c>
      <c r="D1625" t="s">
        <v>64</v>
      </c>
      <c r="E1625" t="s">
        <v>22</v>
      </c>
      <c r="F1625" t="s">
        <v>23</v>
      </c>
      <c r="G1625">
        <v>1</v>
      </c>
      <c r="H1625">
        <v>9791188630196</v>
      </c>
      <c r="I1625" t="s">
        <v>24</v>
      </c>
      <c r="J1625" t="s">
        <v>44</v>
      </c>
      <c r="K1625" t="s">
        <v>41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  <c r="V1625" s="7" t="str">
        <f>IF(ISERROR(VLOOKUP(K1625,[1]작가별정산률!$R:$S,2,0)),"스토리위즈",VLOOKUP(K1625,[1]작가별정산률!$R:$S,2,0))</f>
        <v>스토리위즈</v>
      </c>
      <c r="W1625" s="7" t="str">
        <f>IF(V1625="스토리위즈",VLOOKUP(K1625,[1]작가별정산률!$A:$B,2,0),V1625)</f>
        <v>무장</v>
      </c>
    </row>
    <row r="1626" spans="1:23" x14ac:dyDescent="0.4">
      <c r="A1626" t="s">
        <v>262</v>
      </c>
      <c r="B1626" t="s">
        <v>1898</v>
      </c>
      <c r="C1626" t="s">
        <v>1952</v>
      </c>
      <c r="D1626" t="s">
        <v>64</v>
      </c>
      <c r="E1626" t="s">
        <v>22</v>
      </c>
      <c r="F1626" t="s">
        <v>23</v>
      </c>
      <c r="G1626">
        <v>1</v>
      </c>
      <c r="H1626">
        <v>9791159283260</v>
      </c>
      <c r="I1626" t="s">
        <v>24</v>
      </c>
      <c r="J1626" t="s">
        <v>69</v>
      </c>
      <c r="K1626" t="s">
        <v>37</v>
      </c>
      <c r="L1626" t="s">
        <v>27</v>
      </c>
      <c r="M1626">
        <v>630</v>
      </c>
      <c r="N1626" t="s">
        <v>27</v>
      </c>
      <c r="O1626">
        <v>630</v>
      </c>
      <c r="P1626">
        <v>630</v>
      </c>
      <c r="Q1626" t="s">
        <v>30</v>
      </c>
      <c r="R1626" s="2">
        <v>0.7</v>
      </c>
      <c r="S1626">
        <v>441</v>
      </c>
      <c r="T1626" t="s">
        <v>27</v>
      </c>
      <c r="U1626">
        <v>441</v>
      </c>
      <c r="V1626" s="7" t="str">
        <f>IF(ISERROR(VLOOKUP(K1626,[1]작가별정산률!$R:$S,2,0)),"스토리위즈",VLOOKUP(K1626,[1]작가별정산률!$R:$S,2,0))</f>
        <v>스토리위즈</v>
      </c>
      <c r="W1626" s="7" t="str">
        <f>IF(V1626="스토리위즈",VLOOKUP(K1626,[1]작가별정산률!$A:$B,2,0),V1626)</f>
        <v>권용찬</v>
      </c>
    </row>
    <row r="1627" spans="1:23" x14ac:dyDescent="0.4">
      <c r="A1627" t="s">
        <v>262</v>
      </c>
      <c r="B1627" t="s">
        <v>1953</v>
      </c>
      <c r="C1627" t="s">
        <v>1954</v>
      </c>
      <c r="D1627" t="s">
        <v>21</v>
      </c>
      <c r="E1627" t="s">
        <v>22</v>
      </c>
      <c r="F1627" t="s">
        <v>23</v>
      </c>
      <c r="G1627">
        <v>1</v>
      </c>
      <c r="H1627">
        <v>9791191562415</v>
      </c>
      <c r="I1627" t="s">
        <v>143</v>
      </c>
      <c r="J1627" t="s">
        <v>1077</v>
      </c>
      <c r="K1627" t="s">
        <v>1078</v>
      </c>
      <c r="L1627" t="s">
        <v>27</v>
      </c>
      <c r="M1627" s="3">
        <v>2000</v>
      </c>
      <c r="N1627" t="s">
        <v>27</v>
      </c>
      <c r="O1627" s="3">
        <v>2000</v>
      </c>
      <c r="P1627" s="3">
        <v>2000</v>
      </c>
      <c r="Q1627" t="s">
        <v>30</v>
      </c>
      <c r="R1627" s="2">
        <v>0.7</v>
      </c>
      <c r="S1627" s="3">
        <v>1400</v>
      </c>
      <c r="T1627" t="s">
        <v>27</v>
      </c>
      <c r="U1627" s="3">
        <v>1400</v>
      </c>
      <c r="V1627" s="7" t="str">
        <f>IF(ISERROR(VLOOKUP(K1627,[1]작가별정산률!$R:$S,2,0)),"스토리위즈",VLOOKUP(K1627,[1]작가별정산률!$R:$S,2,0))</f>
        <v>밀리의 서재</v>
      </c>
      <c r="W1627" s="7" t="str">
        <f>IF(V1627="스토리위즈",VLOOKUP(K1627,[1]작가별정산률!$A:$B,2,0),V1627)</f>
        <v>밀리의 서재</v>
      </c>
    </row>
    <row r="1628" spans="1:23" x14ac:dyDescent="0.4">
      <c r="A1628" t="s">
        <v>262</v>
      </c>
      <c r="B1628" t="s">
        <v>1953</v>
      </c>
      <c r="C1628" t="s">
        <v>1955</v>
      </c>
      <c r="D1628" t="s">
        <v>64</v>
      </c>
      <c r="E1628" t="s">
        <v>22</v>
      </c>
      <c r="F1628" t="s">
        <v>23</v>
      </c>
      <c r="G1628">
        <v>1</v>
      </c>
      <c r="H1628">
        <v>9791166300271</v>
      </c>
      <c r="I1628" t="s">
        <v>24</v>
      </c>
      <c r="J1628" t="s">
        <v>136</v>
      </c>
      <c r="K1628" t="s">
        <v>119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  <c r="V1628" s="7" t="str">
        <f>IF(ISERROR(VLOOKUP(K1628,[1]작가별정산률!$R:$S,2,0)),"스토리위즈",VLOOKUP(K1628,[1]작가별정산률!$R:$S,2,0))</f>
        <v>스토리위즈</v>
      </c>
      <c r="W1628" s="7" t="str">
        <f>IF(V1628="스토리위즈",VLOOKUP(K1628,[1]작가별정산률!$A:$B,2,0),V1628)</f>
        <v>김광수</v>
      </c>
    </row>
    <row r="1629" spans="1:23" x14ac:dyDescent="0.4">
      <c r="A1629" t="s">
        <v>262</v>
      </c>
      <c r="B1629" t="s">
        <v>1953</v>
      </c>
      <c r="C1629" t="s">
        <v>1956</v>
      </c>
      <c r="D1629" t="s">
        <v>64</v>
      </c>
      <c r="E1629" t="s">
        <v>22</v>
      </c>
      <c r="F1629" t="s">
        <v>23</v>
      </c>
      <c r="G1629">
        <v>1</v>
      </c>
      <c r="H1629">
        <v>9791166061097</v>
      </c>
      <c r="I1629" t="s">
        <v>24</v>
      </c>
      <c r="J1629" t="s">
        <v>95</v>
      </c>
      <c r="K1629" t="s">
        <v>37</v>
      </c>
      <c r="L1629" t="s">
        <v>27</v>
      </c>
      <c r="M1629">
        <v>900</v>
      </c>
      <c r="N1629" t="s">
        <v>27</v>
      </c>
      <c r="O1629">
        <v>900</v>
      </c>
      <c r="P1629">
        <v>900</v>
      </c>
      <c r="Q1629" t="s">
        <v>30</v>
      </c>
      <c r="R1629" s="2">
        <v>0.7</v>
      </c>
      <c r="S1629">
        <v>630</v>
      </c>
      <c r="T1629" t="s">
        <v>27</v>
      </c>
      <c r="U1629">
        <v>630</v>
      </c>
      <c r="V1629" s="7" t="str">
        <f>IF(ISERROR(VLOOKUP(K1629,[1]작가별정산률!$R:$S,2,0)),"스토리위즈",VLOOKUP(K1629,[1]작가별정산률!$R:$S,2,0))</f>
        <v>스토리위즈</v>
      </c>
      <c r="W1629" s="7" t="str">
        <f>IF(V1629="스토리위즈",VLOOKUP(K1629,[1]작가별정산률!$A:$B,2,0),V1629)</f>
        <v>권용찬</v>
      </c>
    </row>
    <row r="1630" spans="1:23" x14ac:dyDescent="0.4">
      <c r="A1630" t="s">
        <v>262</v>
      </c>
      <c r="B1630" t="s">
        <v>1953</v>
      </c>
      <c r="C1630" t="s">
        <v>1957</v>
      </c>
      <c r="D1630" t="s">
        <v>64</v>
      </c>
      <c r="E1630" t="s">
        <v>22</v>
      </c>
      <c r="F1630" t="s">
        <v>23</v>
      </c>
      <c r="G1630">
        <v>1</v>
      </c>
      <c r="H1630">
        <v>9791166300196</v>
      </c>
      <c r="I1630" t="s">
        <v>24</v>
      </c>
      <c r="J1630" t="s">
        <v>128</v>
      </c>
      <c r="K1630" t="s">
        <v>119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2">
        <v>0.7</v>
      </c>
      <c r="S1630">
        <v>441</v>
      </c>
      <c r="T1630" t="s">
        <v>27</v>
      </c>
      <c r="U1630">
        <v>441</v>
      </c>
      <c r="V1630" s="7" t="str">
        <f>IF(ISERROR(VLOOKUP(K1630,[1]작가별정산률!$R:$S,2,0)),"스토리위즈",VLOOKUP(K1630,[1]작가별정산률!$R:$S,2,0))</f>
        <v>스토리위즈</v>
      </c>
      <c r="W1630" s="7" t="str">
        <f>IF(V1630="스토리위즈",VLOOKUP(K1630,[1]작가별정산률!$A:$B,2,0),V1630)</f>
        <v>김광수</v>
      </c>
    </row>
    <row r="1631" spans="1:23" x14ac:dyDescent="0.4">
      <c r="A1631" t="s">
        <v>262</v>
      </c>
      <c r="B1631" t="s">
        <v>1953</v>
      </c>
      <c r="C1631" t="s">
        <v>1958</v>
      </c>
      <c r="D1631" t="s">
        <v>64</v>
      </c>
      <c r="E1631" t="s">
        <v>22</v>
      </c>
      <c r="F1631" t="s">
        <v>23</v>
      </c>
      <c r="G1631">
        <v>1</v>
      </c>
      <c r="H1631">
        <v>9791159284984</v>
      </c>
      <c r="I1631" t="s">
        <v>24</v>
      </c>
      <c r="J1631" t="s">
        <v>50</v>
      </c>
      <c r="K1631" t="s">
        <v>47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  <c r="V1631" s="7" t="str">
        <f>IF(ISERROR(VLOOKUP(K1631,[1]작가별정산률!$R:$S,2,0)),"스토리위즈",VLOOKUP(K1631,[1]작가별정산률!$R:$S,2,0))</f>
        <v>스토리위즈</v>
      </c>
      <c r="W1631" s="7" t="str">
        <f>IF(V1631="스토리위즈",VLOOKUP(K1631,[1]작가별정산률!$A:$B,2,0),V1631)</f>
        <v>전혁</v>
      </c>
    </row>
    <row r="1632" spans="1:23" x14ac:dyDescent="0.4">
      <c r="A1632" t="s">
        <v>262</v>
      </c>
      <c r="B1632" t="s">
        <v>1953</v>
      </c>
      <c r="C1632" t="s">
        <v>1959</v>
      </c>
      <c r="D1632" t="s">
        <v>64</v>
      </c>
      <c r="E1632" t="s">
        <v>22</v>
      </c>
      <c r="F1632" t="s">
        <v>23</v>
      </c>
      <c r="G1632">
        <v>1</v>
      </c>
      <c r="H1632">
        <v>9791166300646</v>
      </c>
      <c r="I1632" t="s">
        <v>24</v>
      </c>
      <c r="J1632" t="s">
        <v>155</v>
      </c>
      <c r="K1632" t="s">
        <v>119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2">
        <v>0.7</v>
      </c>
      <c r="S1632">
        <v>441</v>
      </c>
      <c r="T1632" t="s">
        <v>27</v>
      </c>
      <c r="U1632">
        <v>441</v>
      </c>
      <c r="V1632" s="7" t="str">
        <f>IF(ISERROR(VLOOKUP(K1632,[1]작가별정산률!$R:$S,2,0)),"스토리위즈",VLOOKUP(K1632,[1]작가별정산률!$R:$S,2,0))</f>
        <v>스토리위즈</v>
      </c>
      <c r="W1632" s="7" t="str">
        <f>IF(V1632="스토리위즈",VLOOKUP(K1632,[1]작가별정산률!$A:$B,2,0),V1632)</f>
        <v>김광수</v>
      </c>
    </row>
    <row r="1633" spans="1:23" x14ac:dyDescent="0.4">
      <c r="A1633" t="s">
        <v>262</v>
      </c>
      <c r="B1633" t="s">
        <v>1953</v>
      </c>
      <c r="C1633" t="s">
        <v>1960</v>
      </c>
      <c r="D1633" t="s">
        <v>21</v>
      </c>
      <c r="E1633" t="s">
        <v>22</v>
      </c>
      <c r="F1633" t="s">
        <v>23</v>
      </c>
      <c r="G1633">
        <v>1</v>
      </c>
      <c r="H1633">
        <v>9791191562453</v>
      </c>
      <c r="I1633" t="s">
        <v>143</v>
      </c>
      <c r="J1633" t="s">
        <v>1900</v>
      </c>
      <c r="K1633" t="s">
        <v>1901</v>
      </c>
      <c r="L1633" t="s">
        <v>27</v>
      </c>
      <c r="M1633" s="3">
        <v>2500</v>
      </c>
      <c r="N1633" t="s">
        <v>27</v>
      </c>
      <c r="O1633" s="3">
        <v>2500</v>
      </c>
      <c r="P1633" s="3">
        <v>2500</v>
      </c>
      <c r="Q1633" t="s">
        <v>30</v>
      </c>
      <c r="R1633" s="2">
        <v>0.7</v>
      </c>
      <c r="S1633" s="3">
        <v>1750</v>
      </c>
      <c r="T1633" t="s">
        <v>27</v>
      </c>
      <c r="U1633" s="3">
        <v>1750</v>
      </c>
      <c r="V1633" s="7" t="str">
        <f>IF(ISERROR(VLOOKUP(K1633,[1]작가별정산률!$R:$S,2,0)),"스토리위즈",VLOOKUP(K1633,[1]작가별정산률!$R:$S,2,0))</f>
        <v>밀리의 서재</v>
      </c>
      <c r="W1633" s="7" t="str">
        <f>IF(V1633="스토리위즈",VLOOKUP(K1633,[1]작가별정산률!$A:$B,2,0),V1633)</f>
        <v>밀리의 서재</v>
      </c>
    </row>
    <row r="1634" spans="1:23" x14ac:dyDescent="0.4">
      <c r="A1634" t="s">
        <v>262</v>
      </c>
      <c r="B1634" t="s">
        <v>1953</v>
      </c>
      <c r="C1634" t="s">
        <v>1961</v>
      </c>
      <c r="D1634" t="s">
        <v>64</v>
      </c>
      <c r="E1634" t="s">
        <v>22</v>
      </c>
      <c r="F1634" t="s">
        <v>23</v>
      </c>
      <c r="G1634">
        <v>1</v>
      </c>
      <c r="H1634">
        <v>9791159282959</v>
      </c>
      <c r="I1634" t="s">
        <v>24</v>
      </c>
      <c r="J1634" t="s">
        <v>179</v>
      </c>
      <c r="K1634" t="s">
        <v>26</v>
      </c>
      <c r="L1634" t="s">
        <v>27</v>
      </c>
      <c r="M1634">
        <v>630</v>
      </c>
      <c r="N1634" t="s">
        <v>27</v>
      </c>
      <c r="O1634">
        <v>630</v>
      </c>
      <c r="P1634">
        <v>630</v>
      </c>
      <c r="Q1634" t="s">
        <v>30</v>
      </c>
      <c r="R1634" s="2">
        <v>0.7</v>
      </c>
      <c r="S1634">
        <v>441</v>
      </c>
      <c r="T1634" t="s">
        <v>27</v>
      </c>
      <c r="U1634">
        <v>441</v>
      </c>
      <c r="V1634" s="7" t="str">
        <f>IF(ISERROR(VLOOKUP(K1634,[1]작가별정산률!$R:$S,2,0)),"스토리위즈",VLOOKUP(K1634,[1]작가별정산률!$R:$S,2,0))</f>
        <v>스토리위즈</v>
      </c>
      <c r="W1634" s="7" t="str">
        <f>IF(V1634="스토리위즈",VLOOKUP(K1634,[1]작가별정산률!$A:$B,2,0),V1634)</f>
        <v>독고진</v>
      </c>
    </row>
    <row r="1635" spans="1:23" x14ac:dyDescent="0.4">
      <c r="A1635" t="s">
        <v>262</v>
      </c>
      <c r="B1635" t="s">
        <v>1953</v>
      </c>
      <c r="C1635" t="s">
        <v>1962</v>
      </c>
      <c r="D1635" t="s">
        <v>64</v>
      </c>
      <c r="E1635" t="s">
        <v>22</v>
      </c>
      <c r="F1635" t="s">
        <v>23</v>
      </c>
      <c r="G1635">
        <v>1</v>
      </c>
      <c r="H1635">
        <v>9791166300615</v>
      </c>
      <c r="I1635" t="s">
        <v>24</v>
      </c>
      <c r="J1635" t="s">
        <v>163</v>
      </c>
      <c r="K1635" t="s">
        <v>119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2">
        <v>0.7</v>
      </c>
      <c r="S1635">
        <v>441</v>
      </c>
      <c r="T1635" t="s">
        <v>27</v>
      </c>
      <c r="U1635">
        <v>441</v>
      </c>
      <c r="V1635" s="7" t="str">
        <f>IF(ISERROR(VLOOKUP(K1635,[1]작가별정산률!$R:$S,2,0)),"스토리위즈",VLOOKUP(K1635,[1]작가별정산률!$R:$S,2,0))</f>
        <v>스토리위즈</v>
      </c>
      <c r="W1635" s="7" t="str">
        <f>IF(V1635="스토리위즈",VLOOKUP(K1635,[1]작가별정산률!$A:$B,2,0),V1635)</f>
        <v>김광수</v>
      </c>
    </row>
    <row r="1636" spans="1:23" x14ac:dyDescent="0.4">
      <c r="A1636" t="s">
        <v>262</v>
      </c>
      <c r="B1636" t="s">
        <v>1953</v>
      </c>
      <c r="C1636" t="s">
        <v>1963</v>
      </c>
      <c r="D1636" t="s">
        <v>64</v>
      </c>
      <c r="E1636" t="s">
        <v>22</v>
      </c>
      <c r="F1636" t="s">
        <v>23</v>
      </c>
      <c r="G1636">
        <v>1</v>
      </c>
      <c r="H1636">
        <v>9791166300264</v>
      </c>
      <c r="I1636" t="s">
        <v>24</v>
      </c>
      <c r="J1636" t="s">
        <v>135</v>
      </c>
      <c r="K1636" t="s">
        <v>119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2">
        <v>0.7</v>
      </c>
      <c r="S1636">
        <v>441</v>
      </c>
      <c r="T1636" t="s">
        <v>27</v>
      </c>
      <c r="U1636">
        <v>441</v>
      </c>
      <c r="V1636" s="7" t="str">
        <f>IF(ISERROR(VLOOKUP(K1636,[1]작가별정산률!$R:$S,2,0)),"스토리위즈",VLOOKUP(K1636,[1]작가별정산률!$R:$S,2,0))</f>
        <v>스토리위즈</v>
      </c>
      <c r="W1636" s="7" t="str">
        <f>IF(V1636="스토리위즈",VLOOKUP(K1636,[1]작가별정산률!$A:$B,2,0),V1636)</f>
        <v>김광수</v>
      </c>
    </row>
    <row r="1637" spans="1:23" x14ac:dyDescent="0.4">
      <c r="A1637" t="s">
        <v>262</v>
      </c>
      <c r="B1637" t="s">
        <v>1953</v>
      </c>
      <c r="C1637" t="s">
        <v>1964</v>
      </c>
      <c r="D1637" t="s">
        <v>64</v>
      </c>
      <c r="E1637" t="s">
        <v>22</v>
      </c>
      <c r="F1637" t="s">
        <v>23</v>
      </c>
      <c r="G1637">
        <v>1</v>
      </c>
      <c r="H1637">
        <v>9791166300219</v>
      </c>
      <c r="I1637" t="s">
        <v>24</v>
      </c>
      <c r="J1637" t="s">
        <v>130</v>
      </c>
      <c r="K1637" t="s">
        <v>119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2">
        <v>0.7</v>
      </c>
      <c r="S1637">
        <v>441</v>
      </c>
      <c r="T1637" t="s">
        <v>27</v>
      </c>
      <c r="U1637">
        <v>441</v>
      </c>
      <c r="V1637" s="7" t="str">
        <f>IF(ISERROR(VLOOKUP(K1637,[1]작가별정산률!$R:$S,2,0)),"스토리위즈",VLOOKUP(K1637,[1]작가별정산률!$R:$S,2,0))</f>
        <v>스토리위즈</v>
      </c>
      <c r="W1637" s="7" t="str">
        <f>IF(V1637="스토리위즈",VLOOKUP(K1637,[1]작가별정산률!$A:$B,2,0),V1637)</f>
        <v>김광수</v>
      </c>
    </row>
    <row r="1638" spans="1:23" x14ac:dyDescent="0.4">
      <c r="A1638" t="s">
        <v>262</v>
      </c>
      <c r="B1638" t="s">
        <v>1953</v>
      </c>
      <c r="C1638" t="s">
        <v>1965</v>
      </c>
      <c r="D1638" t="s">
        <v>21</v>
      </c>
      <c r="E1638" t="s">
        <v>22</v>
      </c>
      <c r="F1638" t="s">
        <v>23</v>
      </c>
      <c r="G1638">
        <v>1</v>
      </c>
      <c r="H1638">
        <v>9791166300554</v>
      </c>
      <c r="I1638" t="s">
        <v>24</v>
      </c>
      <c r="J1638" t="s">
        <v>154</v>
      </c>
      <c r="K1638" t="s">
        <v>119</v>
      </c>
      <c r="L1638" t="s">
        <v>27</v>
      </c>
      <c r="M1638" s="3">
        <v>3200</v>
      </c>
      <c r="N1638" t="s">
        <v>27</v>
      </c>
      <c r="O1638" s="3">
        <v>3200</v>
      </c>
      <c r="P1638" s="3">
        <v>3200</v>
      </c>
      <c r="Q1638" t="s">
        <v>30</v>
      </c>
      <c r="R1638" s="2">
        <v>0.7</v>
      </c>
      <c r="S1638" s="3">
        <v>2240</v>
      </c>
      <c r="T1638" t="s">
        <v>27</v>
      </c>
      <c r="U1638" s="3">
        <v>2240</v>
      </c>
      <c r="V1638" s="7" t="str">
        <f>IF(ISERROR(VLOOKUP(K1638,[1]작가별정산률!$R:$S,2,0)),"스토리위즈",VLOOKUP(K1638,[1]작가별정산률!$R:$S,2,0))</f>
        <v>스토리위즈</v>
      </c>
      <c r="W1638" s="7" t="str">
        <f>IF(V1638="스토리위즈",VLOOKUP(K1638,[1]작가별정산률!$A:$B,2,0),V1638)</f>
        <v>김광수</v>
      </c>
    </row>
    <row r="1639" spans="1:23" x14ac:dyDescent="0.4">
      <c r="A1639" t="s">
        <v>262</v>
      </c>
      <c r="B1639" t="s">
        <v>1953</v>
      </c>
      <c r="C1639" t="s">
        <v>1966</v>
      </c>
      <c r="D1639" t="s">
        <v>21</v>
      </c>
      <c r="E1639" t="s">
        <v>22</v>
      </c>
      <c r="F1639" t="s">
        <v>23</v>
      </c>
      <c r="G1639">
        <v>1</v>
      </c>
      <c r="H1639">
        <v>9791166300530</v>
      </c>
      <c r="I1639" t="s">
        <v>24</v>
      </c>
      <c r="J1639" t="s">
        <v>151</v>
      </c>
      <c r="K1639" t="s">
        <v>119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  <c r="V1639" s="7" t="str">
        <f>IF(ISERROR(VLOOKUP(K1639,[1]작가별정산률!$R:$S,2,0)),"스토리위즈",VLOOKUP(K1639,[1]작가별정산률!$R:$S,2,0))</f>
        <v>스토리위즈</v>
      </c>
      <c r="W1639" s="7" t="str">
        <f>IF(V1639="스토리위즈",VLOOKUP(K1639,[1]작가별정산률!$A:$B,2,0),V1639)</f>
        <v>김광수</v>
      </c>
    </row>
    <row r="1640" spans="1:23" x14ac:dyDescent="0.4">
      <c r="A1640" t="s">
        <v>262</v>
      </c>
      <c r="B1640" t="s">
        <v>1953</v>
      </c>
      <c r="C1640" t="s">
        <v>1967</v>
      </c>
      <c r="D1640" t="s">
        <v>21</v>
      </c>
      <c r="E1640" t="s">
        <v>22</v>
      </c>
      <c r="F1640" t="s">
        <v>23</v>
      </c>
      <c r="G1640">
        <v>1</v>
      </c>
      <c r="H1640">
        <v>9791189627379</v>
      </c>
      <c r="I1640" t="s">
        <v>143</v>
      </c>
      <c r="J1640" t="s">
        <v>1968</v>
      </c>
      <c r="K1640" t="s">
        <v>1035</v>
      </c>
      <c r="L1640" t="s">
        <v>27</v>
      </c>
      <c r="M1640">
        <v>300</v>
      </c>
      <c r="N1640" t="s">
        <v>28</v>
      </c>
      <c r="O1640">
        <v>0.25</v>
      </c>
      <c r="P1640">
        <v>0.25</v>
      </c>
      <c r="Q1640" t="s">
        <v>1969</v>
      </c>
      <c r="R1640" s="2">
        <v>0.7</v>
      </c>
      <c r="S1640">
        <v>0.17</v>
      </c>
      <c r="T1640" t="s">
        <v>27</v>
      </c>
      <c r="U1640">
        <v>215</v>
      </c>
      <c r="V1640" s="7" t="str">
        <f>IF(ISERROR(VLOOKUP(K1640,[1]작가별정산률!$R:$S,2,0)),"스토리위즈",VLOOKUP(K1640,[1]작가별정산률!$R:$S,2,0))</f>
        <v>스토리위즈</v>
      </c>
      <c r="W1640" s="7" t="str">
        <f>IF(V1640="스토리위즈",VLOOKUP(K1640,[1]작가별정산률!$A:$B,2,0),V1640)</f>
        <v>모리미</v>
      </c>
    </row>
    <row r="1641" spans="1:23" x14ac:dyDescent="0.4">
      <c r="A1641" t="s">
        <v>262</v>
      </c>
      <c r="B1641" t="s">
        <v>1953</v>
      </c>
      <c r="C1641" t="s">
        <v>1970</v>
      </c>
      <c r="D1641" t="s">
        <v>21</v>
      </c>
      <c r="E1641" t="s">
        <v>22</v>
      </c>
      <c r="F1641" t="s">
        <v>23</v>
      </c>
      <c r="G1641">
        <v>1</v>
      </c>
      <c r="H1641">
        <v>9791164370504</v>
      </c>
      <c r="I1641" t="s">
        <v>143</v>
      </c>
      <c r="J1641" t="s">
        <v>1971</v>
      </c>
      <c r="K1641" t="s">
        <v>1035</v>
      </c>
      <c r="L1641" t="s">
        <v>27</v>
      </c>
      <c r="M1641">
        <v>300</v>
      </c>
      <c r="N1641" t="s">
        <v>28</v>
      </c>
      <c r="O1641">
        <v>0.25</v>
      </c>
      <c r="P1641">
        <v>0.25</v>
      </c>
      <c r="Q1641" t="s">
        <v>1969</v>
      </c>
      <c r="R1641" s="2">
        <v>0.7</v>
      </c>
      <c r="S1641">
        <v>0.17</v>
      </c>
      <c r="T1641" t="s">
        <v>27</v>
      </c>
      <c r="U1641">
        <v>215</v>
      </c>
      <c r="V1641" s="7" t="str">
        <f>IF(ISERROR(VLOOKUP(K1641,[1]작가별정산률!$R:$S,2,0)),"스토리위즈",VLOOKUP(K1641,[1]작가별정산률!$R:$S,2,0))</f>
        <v>스토리위즈</v>
      </c>
      <c r="W1641" s="7" t="str">
        <f>IF(V1641="스토리위즈",VLOOKUP(K1641,[1]작가별정산률!$A:$B,2,0),V1641)</f>
        <v>모리미</v>
      </c>
    </row>
    <row r="1642" spans="1:23" x14ac:dyDescent="0.4">
      <c r="A1642" t="s">
        <v>262</v>
      </c>
      <c r="B1642" t="s">
        <v>1953</v>
      </c>
      <c r="C1642" t="s">
        <v>1972</v>
      </c>
      <c r="D1642" t="s">
        <v>64</v>
      </c>
      <c r="E1642" t="s">
        <v>22</v>
      </c>
      <c r="F1642" t="s">
        <v>23</v>
      </c>
      <c r="G1642">
        <v>1</v>
      </c>
      <c r="H1642">
        <v>9791166300158</v>
      </c>
      <c r="I1642" t="s">
        <v>24</v>
      </c>
      <c r="J1642" t="s">
        <v>125</v>
      </c>
      <c r="K1642" t="s">
        <v>119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  <c r="V1642" s="7" t="str">
        <f>IF(ISERROR(VLOOKUP(K1642,[1]작가별정산률!$R:$S,2,0)),"스토리위즈",VLOOKUP(K1642,[1]작가별정산률!$R:$S,2,0))</f>
        <v>스토리위즈</v>
      </c>
      <c r="W1642" s="7" t="str">
        <f>IF(V1642="스토리위즈",VLOOKUP(K1642,[1]작가별정산률!$A:$B,2,0),V1642)</f>
        <v>김광수</v>
      </c>
    </row>
    <row r="1643" spans="1:23" x14ac:dyDescent="0.4">
      <c r="A1643" t="s">
        <v>262</v>
      </c>
      <c r="B1643" t="s">
        <v>1953</v>
      </c>
      <c r="C1643" t="s">
        <v>1973</v>
      </c>
      <c r="D1643" t="s">
        <v>64</v>
      </c>
      <c r="E1643" t="s">
        <v>22</v>
      </c>
      <c r="F1643" t="s">
        <v>23</v>
      </c>
      <c r="G1643">
        <v>1</v>
      </c>
      <c r="H1643">
        <v>9791159283253</v>
      </c>
      <c r="I1643" t="s">
        <v>24</v>
      </c>
      <c r="J1643" t="s">
        <v>68</v>
      </c>
      <c r="K1643" t="s">
        <v>37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  <c r="V1643" s="7" t="str">
        <f>IF(ISERROR(VLOOKUP(K1643,[1]작가별정산률!$R:$S,2,0)),"스토리위즈",VLOOKUP(K1643,[1]작가별정산률!$R:$S,2,0))</f>
        <v>스토리위즈</v>
      </c>
      <c r="W1643" s="7" t="str">
        <f>IF(V1643="스토리위즈",VLOOKUP(K1643,[1]작가별정산률!$A:$B,2,0),V1643)</f>
        <v>권용찬</v>
      </c>
    </row>
    <row r="1644" spans="1:23" x14ac:dyDescent="0.4">
      <c r="A1644" t="s">
        <v>262</v>
      </c>
      <c r="B1644" t="s">
        <v>1953</v>
      </c>
      <c r="C1644" t="s">
        <v>1974</v>
      </c>
      <c r="D1644" t="s">
        <v>64</v>
      </c>
      <c r="E1644" t="s">
        <v>22</v>
      </c>
      <c r="F1644" t="s">
        <v>23</v>
      </c>
      <c r="G1644">
        <v>1</v>
      </c>
      <c r="H1644">
        <v>9791166300691</v>
      </c>
      <c r="I1644" t="s">
        <v>24</v>
      </c>
      <c r="J1644" t="s">
        <v>152</v>
      </c>
      <c r="K1644" t="s">
        <v>119</v>
      </c>
      <c r="L1644" t="s">
        <v>27</v>
      </c>
      <c r="M1644">
        <v>630</v>
      </c>
      <c r="N1644" t="s">
        <v>27</v>
      </c>
      <c r="O1644">
        <v>630</v>
      </c>
      <c r="P1644">
        <v>630</v>
      </c>
      <c r="Q1644" t="s">
        <v>30</v>
      </c>
      <c r="R1644" s="2">
        <v>0.7</v>
      </c>
      <c r="S1644">
        <v>441</v>
      </c>
      <c r="T1644" t="s">
        <v>27</v>
      </c>
      <c r="U1644">
        <v>441</v>
      </c>
      <c r="V1644" s="7" t="str">
        <f>IF(ISERROR(VLOOKUP(K1644,[1]작가별정산률!$R:$S,2,0)),"스토리위즈",VLOOKUP(K1644,[1]작가별정산률!$R:$S,2,0))</f>
        <v>스토리위즈</v>
      </c>
      <c r="W1644" s="7" t="str">
        <f>IF(V1644="스토리위즈",VLOOKUP(K1644,[1]작가별정산률!$A:$B,2,0),V1644)</f>
        <v>김광수</v>
      </c>
    </row>
    <row r="1645" spans="1:23" x14ac:dyDescent="0.4">
      <c r="A1645" t="s">
        <v>262</v>
      </c>
      <c r="B1645" t="s">
        <v>1953</v>
      </c>
      <c r="C1645" t="s">
        <v>1975</v>
      </c>
      <c r="D1645" t="s">
        <v>21</v>
      </c>
      <c r="E1645" t="s">
        <v>22</v>
      </c>
      <c r="F1645" t="s">
        <v>23</v>
      </c>
      <c r="G1645">
        <v>1</v>
      </c>
      <c r="H1645">
        <v>9791189084813</v>
      </c>
      <c r="I1645" t="s">
        <v>143</v>
      </c>
      <c r="J1645" t="s">
        <v>563</v>
      </c>
      <c r="K1645" t="s">
        <v>564</v>
      </c>
      <c r="L1645" t="s">
        <v>27</v>
      </c>
      <c r="M1645" s="3">
        <v>4000</v>
      </c>
      <c r="N1645" t="s">
        <v>27</v>
      </c>
      <c r="O1645" s="3">
        <v>4000</v>
      </c>
      <c r="P1645" s="3">
        <v>4000</v>
      </c>
      <c r="Q1645" t="s">
        <v>30</v>
      </c>
      <c r="R1645" s="2">
        <v>0.7</v>
      </c>
      <c r="S1645" s="3">
        <v>2800</v>
      </c>
      <c r="T1645" t="s">
        <v>27</v>
      </c>
      <c r="U1645" s="3">
        <v>2800</v>
      </c>
      <c r="V1645" s="7" t="str">
        <f>IF(ISERROR(VLOOKUP(K1645,[1]작가별정산률!$R:$S,2,0)),"스토리위즈",VLOOKUP(K1645,[1]작가별정산률!$R:$S,2,0))</f>
        <v>스토리위즈</v>
      </c>
      <c r="W1645" s="7" t="str">
        <f>IF(V1645="스토리위즈",VLOOKUP(K1645,[1]작가별정산률!$A:$B,2,0),V1645)</f>
        <v>셔틀</v>
      </c>
    </row>
    <row r="1646" spans="1:23" x14ac:dyDescent="0.4">
      <c r="A1646" t="s">
        <v>262</v>
      </c>
      <c r="B1646" t="s">
        <v>1953</v>
      </c>
      <c r="C1646" t="s">
        <v>1976</v>
      </c>
      <c r="D1646" t="s">
        <v>21</v>
      </c>
      <c r="E1646" t="s">
        <v>22</v>
      </c>
      <c r="F1646" t="s">
        <v>23</v>
      </c>
      <c r="G1646">
        <v>1</v>
      </c>
      <c r="H1646">
        <v>9791189084813</v>
      </c>
      <c r="I1646" t="s">
        <v>143</v>
      </c>
      <c r="J1646" t="s">
        <v>563</v>
      </c>
      <c r="K1646" t="s">
        <v>564</v>
      </c>
      <c r="L1646" t="s">
        <v>27</v>
      </c>
      <c r="M1646" s="3">
        <v>4000</v>
      </c>
      <c r="N1646" t="s">
        <v>28</v>
      </c>
      <c r="O1646">
        <v>3.3</v>
      </c>
      <c r="P1646">
        <v>3.3</v>
      </c>
      <c r="Q1646" t="s">
        <v>29</v>
      </c>
      <c r="R1646" s="2">
        <v>0.7</v>
      </c>
      <c r="S1646">
        <v>2.31</v>
      </c>
      <c r="T1646" t="s">
        <v>27</v>
      </c>
      <c r="U1646" s="3">
        <v>2924</v>
      </c>
      <c r="V1646" s="7" t="str">
        <f>IF(ISERROR(VLOOKUP(K1646,[1]작가별정산률!$R:$S,2,0)),"스토리위즈",VLOOKUP(K1646,[1]작가별정산률!$R:$S,2,0))</f>
        <v>스토리위즈</v>
      </c>
      <c r="W1646" s="7" t="str">
        <f>IF(V1646="스토리위즈",VLOOKUP(K1646,[1]작가별정산률!$A:$B,2,0),V1646)</f>
        <v>셔틀</v>
      </c>
    </row>
    <row r="1647" spans="1:23" x14ac:dyDescent="0.4">
      <c r="A1647" t="s">
        <v>262</v>
      </c>
      <c r="B1647" t="s">
        <v>1953</v>
      </c>
      <c r="C1647" t="s">
        <v>1977</v>
      </c>
      <c r="D1647" t="s">
        <v>21</v>
      </c>
      <c r="E1647" t="s">
        <v>22</v>
      </c>
      <c r="F1647" t="s">
        <v>23</v>
      </c>
      <c r="G1647">
        <v>1</v>
      </c>
      <c r="H1647">
        <v>9791189084813</v>
      </c>
      <c r="I1647" t="s">
        <v>143</v>
      </c>
      <c r="J1647" t="s">
        <v>563</v>
      </c>
      <c r="K1647" t="s">
        <v>564</v>
      </c>
      <c r="L1647" t="s">
        <v>27</v>
      </c>
      <c r="M1647" s="3">
        <v>4000</v>
      </c>
      <c r="N1647" t="s">
        <v>27</v>
      </c>
      <c r="O1647" s="3">
        <v>4000</v>
      </c>
      <c r="P1647" s="3">
        <v>4000</v>
      </c>
      <c r="Q1647" t="s">
        <v>30</v>
      </c>
      <c r="R1647" s="2">
        <v>0.7</v>
      </c>
      <c r="S1647" s="3">
        <v>2800</v>
      </c>
      <c r="T1647" t="s">
        <v>27</v>
      </c>
      <c r="U1647" s="3">
        <v>2800</v>
      </c>
      <c r="V1647" s="7" t="str">
        <f>IF(ISERROR(VLOOKUP(K1647,[1]작가별정산률!$R:$S,2,0)),"스토리위즈",VLOOKUP(K1647,[1]작가별정산률!$R:$S,2,0))</f>
        <v>스토리위즈</v>
      </c>
      <c r="W1647" s="7" t="str">
        <f>IF(V1647="스토리위즈",VLOOKUP(K1647,[1]작가별정산률!$A:$B,2,0),V1647)</f>
        <v>셔틀</v>
      </c>
    </row>
    <row r="1648" spans="1:23" x14ac:dyDescent="0.4">
      <c r="A1648" t="s">
        <v>262</v>
      </c>
      <c r="B1648" t="s">
        <v>1953</v>
      </c>
      <c r="C1648" t="s">
        <v>1978</v>
      </c>
      <c r="D1648" t="s">
        <v>21</v>
      </c>
      <c r="E1648" t="s">
        <v>22</v>
      </c>
      <c r="F1648" t="s">
        <v>23</v>
      </c>
      <c r="G1648">
        <v>1</v>
      </c>
      <c r="H1648">
        <v>9791164370177</v>
      </c>
      <c r="I1648" t="s">
        <v>143</v>
      </c>
      <c r="J1648" t="s">
        <v>1979</v>
      </c>
      <c r="K1648" t="s">
        <v>1035</v>
      </c>
      <c r="L1648" t="s">
        <v>27</v>
      </c>
      <c r="M1648" s="3">
        <v>2500</v>
      </c>
      <c r="N1648" t="s">
        <v>27</v>
      </c>
      <c r="O1648" s="3">
        <v>2500</v>
      </c>
      <c r="P1648" s="3">
        <v>2500</v>
      </c>
      <c r="Q1648" t="s">
        <v>30</v>
      </c>
      <c r="R1648" s="2">
        <v>0.7</v>
      </c>
      <c r="S1648" s="3">
        <v>1750</v>
      </c>
      <c r="T1648" t="s">
        <v>27</v>
      </c>
      <c r="U1648" s="3">
        <v>1750</v>
      </c>
      <c r="V1648" s="7" t="str">
        <f>IF(ISERROR(VLOOKUP(K1648,[1]작가별정산률!$R:$S,2,0)),"스토리위즈",VLOOKUP(K1648,[1]작가별정산률!$R:$S,2,0))</f>
        <v>스토리위즈</v>
      </c>
      <c r="W1648" s="7" t="str">
        <f>IF(V1648="스토리위즈",VLOOKUP(K1648,[1]작가별정산률!$A:$B,2,0),V1648)</f>
        <v>모리미</v>
      </c>
    </row>
    <row r="1649" spans="1:23" x14ac:dyDescent="0.4">
      <c r="A1649" t="s">
        <v>262</v>
      </c>
      <c r="B1649" t="s">
        <v>1953</v>
      </c>
      <c r="C1649" t="s">
        <v>1980</v>
      </c>
      <c r="D1649" t="s">
        <v>21</v>
      </c>
      <c r="E1649" t="s">
        <v>22</v>
      </c>
      <c r="F1649" t="s">
        <v>23</v>
      </c>
      <c r="G1649">
        <v>1</v>
      </c>
      <c r="H1649">
        <v>9791189084813</v>
      </c>
      <c r="I1649" t="s">
        <v>143</v>
      </c>
      <c r="J1649" t="s">
        <v>563</v>
      </c>
      <c r="K1649" t="s">
        <v>564</v>
      </c>
      <c r="L1649" t="s">
        <v>27</v>
      </c>
      <c r="M1649" s="3">
        <v>4000</v>
      </c>
      <c r="N1649" t="s">
        <v>28</v>
      </c>
      <c r="O1649">
        <v>3.3</v>
      </c>
      <c r="P1649">
        <v>3.3</v>
      </c>
      <c r="Q1649" t="s">
        <v>29</v>
      </c>
      <c r="R1649" s="2">
        <v>0.7</v>
      </c>
      <c r="S1649">
        <v>2.31</v>
      </c>
      <c r="T1649" t="s">
        <v>27</v>
      </c>
      <c r="U1649" s="3">
        <v>2924</v>
      </c>
      <c r="V1649" s="7" t="str">
        <f>IF(ISERROR(VLOOKUP(K1649,[1]작가별정산률!$R:$S,2,0)),"스토리위즈",VLOOKUP(K1649,[1]작가별정산률!$R:$S,2,0))</f>
        <v>스토리위즈</v>
      </c>
      <c r="W1649" s="7" t="str">
        <f>IF(V1649="스토리위즈",VLOOKUP(K1649,[1]작가별정산률!$A:$B,2,0),V1649)</f>
        <v>셔틀</v>
      </c>
    </row>
    <row r="1650" spans="1:23" x14ac:dyDescent="0.4">
      <c r="A1650" t="s">
        <v>262</v>
      </c>
      <c r="B1650" t="s">
        <v>1953</v>
      </c>
      <c r="C1650" t="s">
        <v>1981</v>
      </c>
      <c r="D1650" t="s">
        <v>21</v>
      </c>
      <c r="E1650" t="s">
        <v>22</v>
      </c>
      <c r="F1650" t="s">
        <v>23</v>
      </c>
      <c r="G1650">
        <v>1</v>
      </c>
      <c r="H1650">
        <v>9791189084448</v>
      </c>
      <c r="I1650" t="s">
        <v>143</v>
      </c>
      <c r="J1650" t="s">
        <v>1377</v>
      </c>
      <c r="K1650" t="s">
        <v>1378</v>
      </c>
      <c r="L1650" t="s">
        <v>27</v>
      </c>
      <c r="M1650" s="3">
        <v>3000</v>
      </c>
      <c r="N1650" t="s">
        <v>27</v>
      </c>
      <c r="O1650" s="3">
        <v>3000</v>
      </c>
      <c r="P1650" s="3">
        <v>3000</v>
      </c>
      <c r="Q1650" t="s">
        <v>30</v>
      </c>
      <c r="R1650" s="2">
        <v>0.7</v>
      </c>
      <c r="S1650" s="3">
        <v>2100</v>
      </c>
      <c r="T1650" t="s">
        <v>27</v>
      </c>
      <c r="U1650" s="3">
        <v>2100</v>
      </c>
      <c r="V1650" s="7" t="str">
        <f>IF(ISERROR(VLOOKUP(K1650,[1]작가별정산률!$R:$S,2,0)),"스토리위즈",VLOOKUP(K1650,[1]작가별정산률!$R:$S,2,0))</f>
        <v>스토리위즈</v>
      </c>
      <c r="W1650" s="7" t="str">
        <f>IF(V1650="스토리위즈",VLOOKUP(K1650,[1]작가별정산률!$A:$B,2,0),V1650)</f>
        <v>밈스</v>
      </c>
    </row>
    <row r="1651" spans="1:23" x14ac:dyDescent="0.4">
      <c r="A1651" t="s">
        <v>262</v>
      </c>
      <c r="B1651" t="s">
        <v>1953</v>
      </c>
      <c r="C1651" t="s">
        <v>1982</v>
      </c>
      <c r="D1651" t="s">
        <v>21</v>
      </c>
      <c r="E1651" t="s">
        <v>22</v>
      </c>
      <c r="F1651" t="s">
        <v>23</v>
      </c>
      <c r="G1651">
        <v>1</v>
      </c>
      <c r="H1651">
        <v>9791191562248</v>
      </c>
      <c r="I1651" t="s">
        <v>143</v>
      </c>
      <c r="J1651" t="s">
        <v>231</v>
      </c>
      <c r="K1651" t="s">
        <v>232</v>
      </c>
      <c r="L1651" t="s">
        <v>27</v>
      </c>
      <c r="M1651" s="3">
        <v>2000</v>
      </c>
      <c r="N1651" t="s">
        <v>27</v>
      </c>
      <c r="O1651" s="3">
        <v>2000</v>
      </c>
      <c r="P1651" s="3">
        <v>2000</v>
      </c>
      <c r="Q1651" t="s">
        <v>30</v>
      </c>
      <c r="R1651" s="2">
        <v>0.7</v>
      </c>
      <c r="S1651" s="3">
        <v>1400</v>
      </c>
      <c r="T1651" t="s">
        <v>27</v>
      </c>
      <c r="U1651" s="3">
        <v>1400</v>
      </c>
      <c r="V1651" s="7" t="str">
        <f>IF(ISERROR(VLOOKUP(K1651,[1]작가별정산률!$R:$S,2,0)),"스토리위즈",VLOOKUP(K1651,[1]작가별정산률!$R:$S,2,0))</f>
        <v>밀리의 서재</v>
      </c>
      <c r="W1651" s="7" t="str">
        <f>IF(V1651="스토리위즈",VLOOKUP(K1651,[1]작가별정산률!$A:$B,2,0),V1651)</f>
        <v>밀리의 서재</v>
      </c>
    </row>
    <row r="1652" spans="1:23" x14ac:dyDescent="0.4">
      <c r="A1652" t="s">
        <v>262</v>
      </c>
      <c r="B1652" t="s">
        <v>1953</v>
      </c>
      <c r="C1652" t="s">
        <v>1983</v>
      </c>
      <c r="D1652" t="s">
        <v>21</v>
      </c>
      <c r="E1652" t="s">
        <v>22</v>
      </c>
      <c r="F1652" t="s">
        <v>23</v>
      </c>
      <c r="G1652">
        <v>1</v>
      </c>
      <c r="H1652">
        <v>9791189084462</v>
      </c>
      <c r="I1652" t="s">
        <v>143</v>
      </c>
      <c r="J1652" t="s">
        <v>1648</v>
      </c>
      <c r="K1652" t="s">
        <v>1378</v>
      </c>
      <c r="L1652" t="s">
        <v>27</v>
      </c>
      <c r="M1652" s="3">
        <v>3000</v>
      </c>
      <c r="N1652" t="s">
        <v>27</v>
      </c>
      <c r="O1652" s="3">
        <v>3000</v>
      </c>
      <c r="P1652" s="3">
        <v>3000</v>
      </c>
      <c r="Q1652" t="s">
        <v>30</v>
      </c>
      <c r="R1652" s="2">
        <v>0.7</v>
      </c>
      <c r="S1652" s="3">
        <v>2100</v>
      </c>
      <c r="T1652" t="s">
        <v>27</v>
      </c>
      <c r="U1652" s="3">
        <v>2100</v>
      </c>
      <c r="V1652" s="7" t="str">
        <f>IF(ISERROR(VLOOKUP(K1652,[1]작가별정산률!$R:$S,2,0)),"스토리위즈",VLOOKUP(K1652,[1]작가별정산률!$R:$S,2,0))</f>
        <v>스토리위즈</v>
      </c>
      <c r="W1652" s="7" t="str">
        <f>IF(V1652="스토리위즈",VLOOKUP(K1652,[1]작가별정산률!$A:$B,2,0),V1652)</f>
        <v>밈스</v>
      </c>
    </row>
    <row r="1653" spans="1:23" x14ac:dyDescent="0.4">
      <c r="A1653" t="s">
        <v>262</v>
      </c>
      <c r="B1653" t="s">
        <v>1953</v>
      </c>
      <c r="C1653" t="s">
        <v>1984</v>
      </c>
      <c r="D1653" t="s">
        <v>64</v>
      </c>
      <c r="E1653" t="s">
        <v>22</v>
      </c>
      <c r="F1653" t="s">
        <v>23</v>
      </c>
      <c r="G1653">
        <v>1</v>
      </c>
      <c r="H1653">
        <v>9791166300103</v>
      </c>
      <c r="I1653" t="s">
        <v>24</v>
      </c>
      <c r="J1653" t="s">
        <v>120</v>
      </c>
      <c r="K1653" t="s">
        <v>119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  <c r="V1653" s="7" t="str">
        <f>IF(ISERROR(VLOOKUP(K1653,[1]작가별정산률!$R:$S,2,0)),"스토리위즈",VLOOKUP(K1653,[1]작가별정산률!$R:$S,2,0))</f>
        <v>스토리위즈</v>
      </c>
      <c r="W1653" s="7" t="str">
        <f>IF(V1653="스토리위즈",VLOOKUP(K1653,[1]작가별정산률!$A:$B,2,0),V1653)</f>
        <v>김광수</v>
      </c>
    </row>
    <row r="1654" spans="1:23" x14ac:dyDescent="0.4">
      <c r="A1654" t="s">
        <v>262</v>
      </c>
      <c r="B1654" t="s">
        <v>1953</v>
      </c>
      <c r="C1654" t="s">
        <v>1985</v>
      </c>
      <c r="D1654" t="s">
        <v>21</v>
      </c>
      <c r="E1654" t="s">
        <v>22</v>
      </c>
      <c r="F1654" t="s">
        <v>23</v>
      </c>
      <c r="G1654">
        <v>1</v>
      </c>
      <c r="H1654">
        <v>9791191562255</v>
      </c>
      <c r="I1654" t="s">
        <v>143</v>
      </c>
      <c r="J1654" t="s">
        <v>234</v>
      </c>
      <c r="K1654" t="s">
        <v>235</v>
      </c>
      <c r="L1654" t="s">
        <v>27</v>
      </c>
      <c r="M1654" s="3">
        <v>2000</v>
      </c>
      <c r="N1654" t="s">
        <v>27</v>
      </c>
      <c r="O1654" s="3">
        <v>2000</v>
      </c>
      <c r="P1654" s="3">
        <v>2000</v>
      </c>
      <c r="Q1654" t="s">
        <v>30</v>
      </c>
      <c r="R1654" s="2">
        <v>0.7</v>
      </c>
      <c r="S1654" s="3">
        <v>1400</v>
      </c>
      <c r="T1654" t="s">
        <v>27</v>
      </c>
      <c r="U1654" s="3">
        <v>1400</v>
      </c>
      <c r="V1654" s="7" t="str">
        <f>IF(ISERROR(VLOOKUP(K1654,[1]작가별정산률!$R:$S,2,0)),"스토리위즈",VLOOKUP(K1654,[1]작가별정산률!$R:$S,2,0))</f>
        <v>밀리의 서재</v>
      </c>
      <c r="W1654" s="7" t="str">
        <f>IF(V1654="스토리위즈",VLOOKUP(K1654,[1]작가별정산률!$A:$B,2,0),V1654)</f>
        <v>밀리의 서재</v>
      </c>
    </row>
    <row r="1655" spans="1:23" x14ac:dyDescent="0.4">
      <c r="A1655" t="s">
        <v>262</v>
      </c>
      <c r="B1655" t="s">
        <v>1953</v>
      </c>
      <c r="C1655" t="s">
        <v>1986</v>
      </c>
      <c r="D1655" t="s">
        <v>64</v>
      </c>
      <c r="E1655" t="s">
        <v>22</v>
      </c>
      <c r="F1655" t="s">
        <v>23</v>
      </c>
      <c r="G1655">
        <v>1</v>
      </c>
      <c r="H1655">
        <v>9791166300127</v>
      </c>
      <c r="I1655" t="s">
        <v>24</v>
      </c>
      <c r="J1655" t="s">
        <v>122</v>
      </c>
      <c r="K1655" t="s">
        <v>119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  <c r="V1655" s="7" t="str">
        <f>IF(ISERROR(VLOOKUP(K1655,[1]작가별정산률!$R:$S,2,0)),"스토리위즈",VLOOKUP(K1655,[1]작가별정산률!$R:$S,2,0))</f>
        <v>스토리위즈</v>
      </c>
      <c r="W1655" s="7" t="str">
        <f>IF(V1655="스토리위즈",VLOOKUP(K1655,[1]작가별정산률!$A:$B,2,0),V1655)</f>
        <v>김광수</v>
      </c>
    </row>
    <row r="1656" spans="1:23" x14ac:dyDescent="0.4">
      <c r="A1656" t="s">
        <v>262</v>
      </c>
      <c r="B1656" t="s">
        <v>1953</v>
      </c>
      <c r="C1656" t="s">
        <v>1987</v>
      </c>
      <c r="D1656" t="s">
        <v>64</v>
      </c>
      <c r="E1656" t="s">
        <v>22</v>
      </c>
      <c r="F1656" t="s">
        <v>23</v>
      </c>
      <c r="G1656">
        <v>1</v>
      </c>
      <c r="H1656">
        <v>9791166300103</v>
      </c>
      <c r="I1656" t="s">
        <v>24</v>
      </c>
      <c r="J1656" t="s">
        <v>120</v>
      </c>
      <c r="K1656" t="s">
        <v>119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  <c r="V1656" s="7" t="str">
        <f>IF(ISERROR(VLOOKUP(K1656,[1]작가별정산률!$R:$S,2,0)),"스토리위즈",VLOOKUP(K1656,[1]작가별정산률!$R:$S,2,0))</f>
        <v>스토리위즈</v>
      </c>
      <c r="W1656" s="7" t="str">
        <f>IF(V1656="스토리위즈",VLOOKUP(K1656,[1]작가별정산률!$A:$B,2,0),V1656)</f>
        <v>김광수</v>
      </c>
    </row>
    <row r="1657" spans="1:23" x14ac:dyDescent="0.4">
      <c r="A1657" t="s">
        <v>262</v>
      </c>
      <c r="B1657" t="s">
        <v>1953</v>
      </c>
      <c r="C1657" t="s">
        <v>1988</v>
      </c>
      <c r="D1657" t="s">
        <v>64</v>
      </c>
      <c r="E1657" t="s">
        <v>22</v>
      </c>
      <c r="F1657" t="s">
        <v>23</v>
      </c>
      <c r="G1657">
        <v>1</v>
      </c>
      <c r="H1657">
        <v>9791166300165</v>
      </c>
      <c r="I1657" t="s">
        <v>24</v>
      </c>
      <c r="J1657" t="s">
        <v>126</v>
      </c>
      <c r="K1657" t="s">
        <v>119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  <c r="V1657" s="7" t="str">
        <f>IF(ISERROR(VLOOKUP(K1657,[1]작가별정산률!$R:$S,2,0)),"스토리위즈",VLOOKUP(K1657,[1]작가별정산률!$R:$S,2,0))</f>
        <v>스토리위즈</v>
      </c>
      <c r="W1657" s="7" t="str">
        <f>IF(V1657="스토리위즈",VLOOKUP(K1657,[1]작가별정산률!$A:$B,2,0),V1657)</f>
        <v>김광수</v>
      </c>
    </row>
    <row r="1658" spans="1:23" x14ac:dyDescent="0.4">
      <c r="A1658" t="s">
        <v>262</v>
      </c>
      <c r="B1658" t="s">
        <v>1953</v>
      </c>
      <c r="C1658" t="s">
        <v>1989</v>
      </c>
      <c r="D1658" t="s">
        <v>21</v>
      </c>
      <c r="E1658" t="s">
        <v>22</v>
      </c>
      <c r="F1658" t="s">
        <v>23</v>
      </c>
      <c r="G1658">
        <v>1</v>
      </c>
      <c r="H1658">
        <v>9791166300547</v>
      </c>
      <c r="I1658" t="s">
        <v>24</v>
      </c>
      <c r="J1658" t="s">
        <v>153</v>
      </c>
      <c r="K1658" t="s">
        <v>119</v>
      </c>
      <c r="L1658" t="s">
        <v>27</v>
      </c>
      <c r="M1658" s="3">
        <v>3200</v>
      </c>
      <c r="N1658" t="s">
        <v>27</v>
      </c>
      <c r="O1658" s="3">
        <v>3200</v>
      </c>
      <c r="P1658" s="3">
        <v>3200</v>
      </c>
      <c r="Q1658" t="s">
        <v>30</v>
      </c>
      <c r="R1658" s="2">
        <v>0.7</v>
      </c>
      <c r="S1658" s="3">
        <v>2240</v>
      </c>
      <c r="T1658" t="s">
        <v>27</v>
      </c>
      <c r="U1658" s="3">
        <v>2240</v>
      </c>
      <c r="V1658" s="7" t="str">
        <f>IF(ISERROR(VLOOKUP(K1658,[1]작가별정산률!$R:$S,2,0)),"스토리위즈",VLOOKUP(K1658,[1]작가별정산률!$R:$S,2,0))</f>
        <v>스토리위즈</v>
      </c>
      <c r="W1658" s="7" t="str">
        <f>IF(V1658="스토리위즈",VLOOKUP(K1658,[1]작가별정산률!$A:$B,2,0),V1658)</f>
        <v>김광수</v>
      </c>
    </row>
    <row r="1659" spans="1:23" x14ac:dyDescent="0.4">
      <c r="A1659" t="s">
        <v>262</v>
      </c>
      <c r="B1659" t="s">
        <v>1953</v>
      </c>
      <c r="C1659" t="s">
        <v>1990</v>
      </c>
      <c r="D1659" t="s">
        <v>64</v>
      </c>
      <c r="E1659" t="s">
        <v>22</v>
      </c>
      <c r="F1659" t="s">
        <v>23</v>
      </c>
      <c r="G1659">
        <v>1</v>
      </c>
      <c r="H1659">
        <v>9791159284991</v>
      </c>
      <c r="I1659" t="s">
        <v>24</v>
      </c>
      <c r="J1659" t="s">
        <v>51</v>
      </c>
      <c r="K1659" t="s">
        <v>47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2">
        <v>0.7</v>
      </c>
      <c r="S1659">
        <v>441</v>
      </c>
      <c r="T1659" t="s">
        <v>27</v>
      </c>
      <c r="U1659">
        <v>441</v>
      </c>
      <c r="V1659" s="7" t="str">
        <f>IF(ISERROR(VLOOKUP(K1659,[1]작가별정산률!$R:$S,2,0)),"스토리위즈",VLOOKUP(K1659,[1]작가별정산률!$R:$S,2,0))</f>
        <v>스토리위즈</v>
      </c>
      <c r="W1659" s="7" t="str">
        <f>IF(V1659="스토리위즈",VLOOKUP(K1659,[1]작가별정산률!$A:$B,2,0),V1659)</f>
        <v>전혁</v>
      </c>
    </row>
    <row r="1660" spans="1:23" x14ac:dyDescent="0.4">
      <c r="A1660" t="s">
        <v>262</v>
      </c>
      <c r="B1660" t="s">
        <v>1953</v>
      </c>
      <c r="C1660" t="s">
        <v>1991</v>
      </c>
      <c r="D1660" t="s">
        <v>21</v>
      </c>
      <c r="E1660" t="s">
        <v>22</v>
      </c>
      <c r="F1660" t="s">
        <v>23</v>
      </c>
      <c r="G1660">
        <v>1</v>
      </c>
      <c r="H1660">
        <v>9791189084813</v>
      </c>
      <c r="I1660" t="s">
        <v>143</v>
      </c>
      <c r="J1660" t="s">
        <v>563</v>
      </c>
      <c r="K1660" t="s">
        <v>564</v>
      </c>
      <c r="L1660" t="s">
        <v>27</v>
      </c>
      <c r="M1660" s="3">
        <v>4000</v>
      </c>
      <c r="N1660" t="s">
        <v>27</v>
      </c>
      <c r="O1660" s="3">
        <v>4000</v>
      </c>
      <c r="P1660" s="3">
        <v>4000</v>
      </c>
      <c r="Q1660" t="s">
        <v>30</v>
      </c>
      <c r="R1660" s="2">
        <v>0.7</v>
      </c>
      <c r="S1660" s="3">
        <v>2800</v>
      </c>
      <c r="T1660" t="s">
        <v>27</v>
      </c>
      <c r="U1660" s="3">
        <v>2800</v>
      </c>
      <c r="V1660" s="7" t="str">
        <f>IF(ISERROR(VLOOKUP(K1660,[1]작가별정산률!$R:$S,2,0)),"스토리위즈",VLOOKUP(K1660,[1]작가별정산률!$R:$S,2,0))</f>
        <v>스토리위즈</v>
      </c>
      <c r="W1660" s="7" t="str">
        <f>IF(V1660="스토리위즈",VLOOKUP(K1660,[1]작가별정산률!$A:$B,2,0),V1660)</f>
        <v>셔틀</v>
      </c>
    </row>
    <row r="1661" spans="1:23" x14ac:dyDescent="0.4">
      <c r="A1661" t="s">
        <v>262</v>
      </c>
      <c r="B1661" t="s">
        <v>1953</v>
      </c>
      <c r="C1661" t="s">
        <v>1992</v>
      </c>
      <c r="D1661" t="s">
        <v>21</v>
      </c>
      <c r="E1661" t="s">
        <v>22</v>
      </c>
      <c r="F1661" t="s">
        <v>23</v>
      </c>
      <c r="G1661">
        <v>1</v>
      </c>
      <c r="H1661">
        <v>9791189627089</v>
      </c>
      <c r="I1661" t="s">
        <v>143</v>
      </c>
      <c r="J1661" t="s">
        <v>1066</v>
      </c>
      <c r="K1661" t="s">
        <v>1035</v>
      </c>
      <c r="L1661" t="s">
        <v>27</v>
      </c>
      <c r="M1661" s="3">
        <v>2200</v>
      </c>
      <c r="N1661" t="s">
        <v>28</v>
      </c>
      <c r="O1661">
        <v>1.81</v>
      </c>
      <c r="P1661">
        <v>1.81</v>
      </c>
      <c r="Q1661" t="s">
        <v>1969</v>
      </c>
      <c r="R1661" s="2">
        <v>0.7</v>
      </c>
      <c r="S1661">
        <v>1.27</v>
      </c>
      <c r="T1661" t="s">
        <v>27</v>
      </c>
      <c r="U1661" s="3">
        <v>1608</v>
      </c>
      <c r="V1661" s="7" t="str">
        <f>IF(ISERROR(VLOOKUP(K1661,[1]작가별정산률!$R:$S,2,0)),"스토리위즈",VLOOKUP(K1661,[1]작가별정산률!$R:$S,2,0))</f>
        <v>스토리위즈</v>
      </c>
      <c r="W1661" s="7" t="str">
        <f>IF(V1661="스토리위즈",VLOOKUP(K1661,[1]작가별정산률!$A:$B,2,0),V1661)</f>
        <v>모리미</v>
      </c>
    </row>
    <row r="1662" spans="1:23" x14ac:dyDescent="0.4">
      <c r="A1662" t="s">
        <v>262</v>
      </c>
      <c r="B1662" t="s">
        <v>1953</v>
      </c>
      <c r="C1662" t="s">
        <v>1993</v>
      </c>
      <c r="D1662" t="s">
        <v>21</v>
      </c>
      <c r="E1662" t="s">
        <v>22</v>
      </c>
      <c r="F1662" t="s">
        <v>23</v>
      </c>
      <c r="G1662">
        <v>1</v>
      </c>
      <c r="H1662">
        <v>9791189627072</v>
      </c>
      <c r="I1662" t="s">
        <v>143</v>
      </c>
      <c r="J1662" t="s">
        <v>1034</v>
      </c>
      <c r="K1662" t="s">
        <v>1035</v>
      </c>
      <c r="L1662" t="s">
        <v>27</v>
      </c>
      <c r="M1662" s="3">
        <v>2200</v>
      </c>
      <c r="N1662" t="s">
        <v>28</v>
      </c>
      <c r="O1662">
        <v>1.81</v>
      </c>
      <c r="P1662">
        <v>1.81</v>
      </c>
      <c r="Q1662" t="s">
        <v>1969</v>
      </c>
      <c r="R1662" s="2">
        <v>0.7</v>
      </c>
      <c r="S1662">
        <v>1.27</v>
      </c>
      <c r="T1662" t="s">
        <v>27</v>
      </c>
      <c r="U1662" s="3">
        <v>1608</v>
      </c>
      <c r="V1662" s="7" t="str">
        <f>IF(ISERROR(VLOOKUP(K1662,[1]작가별정산률!$R:$S,2,0)),"스토리위즈",VLOOKUP(K1662,[1]작가별정산률!$R:$S,2,0))</f>
        <v>스토리위즈</v>
      </c>
      <c r="W1662" s="7" t="str">
        <f>IF(V1662="스토리위즈",VLOOKUP(K1662,[1]작가별정산률!$A:$B,2,0),V1662)</f>
        <v>모리미</v>
      </c>
    </row>
    <row r="1663" spans="1:23" x14ac:dyDescent="0.4">
      <c r="A1663" t="s">
        <v>262</v>
      </c>
      <c r="B1663" t="s">
        <v>1953</v>
      </c>
      <c r="C1663" t="s">
        <v>1994</v>
      </c>
      <c r="D1663" t="s">
        <v>21</v>
      </c>
      <c r="E1663" t="s">
        <v>22</v>
      </c>
      <c r="F1663" t="s">
        <v>23</v>
      </c>
      <c r="G1663">
        <v>1</v>
      </c>
      <c r="H1663">
        <v>9791164370177</v>
      </c>
      <c r="I1663" t="s">
        <v>143</v>
      </c>
      <c r="J1663" t="s">
        <v>1979</v>
      </c>
      <c r="K1663" t="s">
        <v>1035</v>
      </c>
      <c r="L1663" t="s">
        <v>27</v>
      </c>
      <c r="M1663" s="3">
        <v>2500</v>
      </c>
      <c r="N1663" t="s">
        <v>28</v>
      </c>
      <c r="O1663">
        <v>2.06</v>
      </c>
      <c r="P1663">
        <v>2.06</v>
      </c>
      <c r="Q1663" t="s">
        <v>1969</v>
      </c>
      <c r="R1663" s="2">
        <v>0.7</v>
      </c>
      <c r="S1663">
        <v>1.44</v>
      </c>
      <c r="T1663" t="s">
        <v>27</v>
      </c>
      <c r="U1663" s="3">
        <v>1823</v>
      </c>
      <c r="V1663" s="7" t="str">
        <f>IF(ISERROR(VLOOKUP(K1663,[1]작가별정산률!$R:$S,2,0)),"스토리위즈",VLOOKUP(K1663,[1]작가별정산률!$R:$S,2,0))</f>
        <v>스토리위즈</v>
      </c>
      <c r="W1663" s="7" t="str">
        <f>IF(V1663="스토리위즈",VLOOKUP(K1663,[1]작가별정산률!$A:$B,2,0),V1663)</f>
        <v>모리미</v>
      </c>
    </row>
    <row r="1664" spans="1:23" x14ac:dyDescent="0.4">
      <c r="A1664" t="s">
        <v>262</v>
      </c>
      <c r="B1664" t="s">
        <v>1953</v>
      </c>
      <c r="C1664" t="s">
        <v>1995</v>
      </c>
      <c r="D1664" t="s">
        <v>21</v>
      </c>
      <c r="E1664" t="s">
        <v>22</v>
      </c>
      <c r="F1664" t="s">
        <v>23</v>
      </c>
      <c r="G1664">
        <v>1</v>
      </c>
      <c r="H1664">
        <v>9791164370184</v>
      </c>
      <c r="I1664" t="s">
        <v>143</v>
      </c>
      <c r="J1664" t="s">
        <v>1996</v>
      </c>
      <c r="K1664" t="s">
        <v>1035</v>
      </c>
      <c r="L1664" t="s">
        <v>27</v>
      </c>
      <c r="M1664" s="3">
        <v>2500</v>
      </c>
      <c r="N1664" t="s">
        <v>28</v>
      </c>
      <c r="O1664">
        <v>2.06</v>
      </c>
      <c r="P1664">
        <v>2.06</v>
      </c>
      <c r="Q1664" t="s">
        <v>1969</v>
      </c>
      <c r="R1664" s="2">
        <v>0.7</v>
      </c>
      <c r="S1664">
        <v>1.44</v>
      </c>
      <c r="T1664" t="s">
        <v>27</v>
      </c>
      <c r="U1664" s="3">
        <v>1823</v>
      </c>
      <c r="V1664" s="7" t="str">
        <f>IF(ISERROR(VLOOKUP(K1664,[1]작가별정산률!$R:$S,2,0)),"스토리위즈",VLOOKUP(K1664,[1]작가별정산률!$R:$S,2,0))</f>
        <v>스토리위즈</v>
      </c>
      <c r="W1664" s="7" t="str">
        <f>IF(V1664="스토리위즈",VLOOKUP(K1664,[1]작가별정산률!$A:$B,2,0),V1664)</f>
        <v>모리미</v>
      </c>
    </row>
    <row r="1665" spans="1:23" x14ac:dyDescent="0.4">
      <c r="A1665" t="s">
        <v>262</v>
      </c>
      <c r="B1665" t="s">
        <v>1953</v>
      </c>
      <c r="C1665" t="s">
        <v>1997</v>
      </c>
      <c r="D1665" t="s">
        <v>64</v>
      </c>
      <c r="E1665" t="s">
        <v>22</v>
      </c>
      <c r="F1665" t="s">
        <v>23</v>
      </c>
      <c r="G1665">
        <v>1</v>
      </c>
      <c r="H1665">
        <v>9791166300202</v>
      </c>
      <c r="I1665" t="s">
        <v>24</v>
      </c>
      <c r="J1665" t="s">
        <v>129</v>
      </c>
      <c r="K1665" t="s">
        <v>119</v>
      </c>
      <c r="L1665" t="s">
        <v>27</v>
      </c>
      <c r="M1665">
        <v>630</v>
      </c>
      <c r="N1665" t="s">
        <v>27</v>
      </c>
      <c r="O1665">
        <v>630</v>
      </c>
      <c r="P1665">
        <v>630</v>
      </c>
      <c r="Q1665" t="s">
        <v>30</v>
      </c>
      <c r="R1665" s="2">
        <v>0.7</v>
      </c>
      <c r="S1665">
        <v>441</v>
      </c>
      <c r="T1665" t="s">
        <v>27</v>
      </c>
      <c r="U1665">
        <v>441</v>
      </c>
      <c r="V1665" s="7" t="str">
        <f>IF(ISERROR(VLOOKUP(K1665,[1]작가별정산률!$R:$S,2,0)),"스토리위즈",VLOOKUP(K1665,[1]작가별정산률!$R:$S,2,0))</f>
        <v>스토리위즈</v>
      </c>
      <c r="W1665" s="7" t="str">
        <f>IF(V1665="스토리위즈",VLOOKUP(K1665,[1]작가별정산률!$A:$B,2,0),V1665)</f>
        <v>김광수</v>
      </c>
    </row>
    <row r="1666" spans="1:23" x14ac:dyDescent="0.4">
      <c r="A1666" t="s">
        <v>262</v>
      </c>
      <c r="B1666" t="s">
        <v>1953</v>
      </c>
      <c r="C1666" t="s">
        <v>1998</v>
      </c>
      <c r="D1666" t="s">
        <v>64</v>
      </c>
      <c r="E1666" t="s">
        <v>22</v>
      </c>
      <c r="F1666" t="s">
        <v>23</v>
      </c>
      <c r="G1666">
        <v>1</v>
      </c>
      <c r="H1666">
        <v>9791166061110</v>
      </c>
      <c r="I1666" t="s">
        <v>24</v>
      </c>
      <c r="J1666" t="s">
        <v>97</v>
      </c>
      <c r="K1666" t="s">
        <v>37</v>
      </c>
      <c r="L1666" t="s">
        <v>27</v>
      </c>
      <c r="M1666">
        <v>900</v>
      </c>
      <c r="N1666" t="s">
        <v>27</v>
      </c>
      <c r="O1666">
        <v>900</v>
      </c>
      <c r="P1666">
        <v>900</v>
      </c>
      <c r="Q1666" t="s">
        <v>30</v>
      </c>
      <c r="R1666" s="2">
        <v>0.7</v>
      </c>
      <c r="S1666">
        <v>630</v>
      </c>
      <c r="T1666" t="s">
        <v>27</v>
      </c>
      <c r="U1666">
        <v>630</v>
      </c>
      <c r="V1666" s="7" t="str">
        <f>IF(ISERROR(VLOOKUP(K1666,[1]작가별정산률!$R:$S,2,0)),"스토리위즈",VLOOKUP(K1666,[1]작가별정산률!$R:$S,2,0))</f>
        <v>스토리위즈</v>
      </c>
      <c r="W1666" s="7" t="str">
        <f>IF(V1666="스토리위즈",VLOOKUP(K1666,[1]작가별정산률!$A:$B,2,0),V1666)</f>
        <v>권용찬</v>
      </c>
    </row>
    <row r="1667" spans="1:23" x14ac:dyDescent="0.4">
      <c r="A1667" t="s">
        <v>262</v>
      </c>
      <c r="B1667" t="s">
        <v>1953</v>
      </c>
      <c r="C1667" t="s">
        <v>1999</v>
      </c>
      <c r="D1667" t="s">
        <v>21</v>
      </c>
      <c r="E1667" t="s">
        <v>22</v>
      </c>
      <c r="F1667" t="s">
        <v>23</v>
      </c>
      <c r="G1667">
        <v>1</v>
      </c>
      <c r="H1667">
        <v>9791166065934</v>
      </c>
      <c r="I1667" t="s">
        <v>24</v>
      </c>
      <c r="J1667" t="s">
        <v>249</v>
      </c>
      <c r="K1667" t="s">
        <v>228</v>
      </c>
      <c r="L1667" t="s">
        <v>27</v>
      </c>
      <c r="M1667" s="3">
        <v>3200</v>
      </c>
      <c r="N1667" t="s">
        <v>28</v>
      </c>
      <c r="O1667">
        <v>2.64</v>
      </c>
      <c r="P1667">
        <v>2.64</v>
      </c>
      <c r="Q1667" t="s">
        <v>29</v>
      </c>
      <c r="R1667" s="2">
        <v>0.7</v>
      </c>
      <c r="S1667">
        <v>1.85</v>
      </c>
      <c r="T1667" t="s">
        <v>27</v>
      </c>
      <c r="U1667" s="3">
        <v>2342</v>
      </c>
      <c r="V1667" s="7" t="str">
        <f>IF(ISERROR(VLOOKUP(K1667,[1]작가별정산률!$R:$S,2,0)),"스토리위즈",VLOOKUP(K1667,[1]작가별정산률!$R:$S,2,0))</f>
        <v>스토리위즈</v>
      </c>
      <c r="W1667" s="7" t="str">
        <f>IF(V1667="스토리위즈",VLOOKUP(K1667,[1]작가별정산률!$A:$B,2,0),V1667)</f>
        <v>청빙</v>
      </c>
    </row>
    <row r="1668" spans="1:23" x14ac:dyDescent="0.4">
      <c r="A1668" t="s">
        <v>262</v>
      </c>
      <c r="B1668" t="s">
        <v>1953</v>
      </c>
      <c r="C1668" t="s">
        <v>2000</v>
      </c>
      <c r="D1668" t="s">
        <v>64</v>
      </c>
      <c r="E1668" t="s">
        <v>22</v>
      </c>
      <c r="F1668" t="s">
        <v>23</v>
      </c>
      <c r="G1668">
        <v>1</v>
      </c>
      <c r="H1668">
        <v>9791166300288</v>
      </c>
      <c r="I1668" t="s">
        <v>24</v>
      </c>
      <c r="J1668" t="s">
        <v>137</v>
      </c>
      <c r="K1668" t="s">
        <v>119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  <c r="V1668" s="7" t="str">
        <f>IF(ISERROR(VLOOKUP(K1668,[1]작가별정산률!$R:$S,2,0)),"스토리위즈",VLOOKUP(K1668,[1]작가별정산률!$R:$S,2,0))</f>
        <v>스토리위즈</v>
      </c>
      <c r="W1668" s="7" t="str">
        <f>IF(V1668="스토리위즈",VLOOKUP(K1668,[1]작가별정산률!$A:$B,2,0),V1668)</f>
        <v>김광수</v>
      </c>
    </row>
    <row r="1669" spans="1:23" x14ac:dyDescent="0.4">
      <c r="A1669" t="s">
        <v>262</v>
      </c>
      <c r="B1669" t="s">
        <v>1953</v>
      </c>
      <c r="C1669" t="s">
        <v>2001</v>
      </c>
      <c r="D1669" t="s">
        <v>21</v>
      </c>
      <c r="E1669" t="s">
        <v>22</v>
      </c>
      <c r="F1669" t="s">
        <v>23</v>
      </c>
      <c r="G1669">
        <v>1</v>
      </c>
      <c r="H1669">
        <v>9791191562439</v>
      </c>
      <c r="I1669" t="s">
        <v>143</v>
      </c>
      <c r="J1669" t="s">
        <v>1661</v>
      </c>
      <c r="K1669" t="s">
        <v>188</v>
      </c>
      <c r="L1669" t="s">
        <v>27</v>
      </c>
      <c r="M1669" s="3">
        <v>2500</v>
      </c>
      <c r="N1669" t="s">
        <v>27</v>
      </c>
      <c r="O1669" s="3">
        <v>2500</v>
      </c>
      <c r="P1669" s="3">
        <v>2500</v>
      </c>
      <c r="Q1669" t="s">
        <v>30</v>
      </c>
      <c r="R1669" s="2">
        <v>0.7</v>
      </c>
      <c r="S1669" s="3">
        <v>1750</v>
      </c>
      <c r="T1669" t="s">
        <v>27</v>
      </c>
      <c r="U1669" s="3">
        <v>1750</v>
      </c>
      <c r="V1669" s="7" t="str">
        <f>IF(ISERROR(VLOOKUP(K1669,[1]작가별정산률!$R:$S,2,0)),"스토리위즈",VLOOKUP(K1669,[1]작가별정산률!$R:$S,2,0))</f>
        <v>밀리의 서재</v>
      </c>
      <c r="W1669" s="7" t="str">
        <f>IF(V1669="스토리위즈",VLOOKUP(K1669,[1]작가별정산률!$A:$B,2,0),V1669)</f>
        <v>밀리의 서재</v>
      </c>
    </row>
    <row r="1670" spans="1:23" x14ac:dyDescent="0.4">
      <c r="A1670" t="s">
        <v>262</v>
      </c>
      <c r="B1670" t="s">
        <v>1953</v>
      </c>
      <c r="C1670" t="s">
        <v>2002</v>
      </c>
      <c r="D1670" t="s">
        <v>64</v>
      </c>
      <c r="E1670" t="s">
        <v>22</v>
      </c>
      <c r="F1670" t="s">
        <v>23</v>
      </c>
      <c r="G1670">
        <v>1</v>
      </c>
      <c r="H1670">
        <v>9791166061097</v>
      </c>
      <c r="I1670" t="s">
        <v>24</v>
      </c>
      <c r="J1670" t="s">
        <v>95</v>
      </c>
      <c r="K1670" t="s">
        <v>37</v>
      </c>
      <c r="L1670" t="s">
        <v>27</v>
      </c>
      <c r="M1670">
        <v>900</v>
      </c>
      <c r="N1670" t="s">
        <v>27</v>
      </c>
      <c r="O1670">
        <v>900</v>
      </c>
      <c r="P1670">
        <v>900</v>
      </c>
      <c r="Q1670" t="s">
        <v>30</v>
      </c>
      <c r="R1670" s="2">
        <v>0.7</v>
      </c>
      <c r="S1670">
        <v>630</v>
      </c>
      <c r="T1670" t="s">
        <v>27</v>
      </c>
      <c r="U1670">
        <v>630</v>
      </c>
      <c r="V1670" s="7" t="str">
        <f>IF(ISERROR(VLOOKUP(K1670,[1]작가별정산률!$R:$S,2,0)),"스토리위즈",VLOOKUP(K1670,[1]작가별정산률!$R:$S,2,0))</f>
        <v>스토리위즈</v>
      </c>
      <c r="W1670" s="7" t="str">
        <f>IF(V1670="스토리위즈",VLOOKUP(K1670,[1]작가별정산률!$A:$B,2,0),V1670)</f>
        <v>권용찬</v>
      </c>
    </row>
    <row r="1671" spans="1:23" x14ac:dyDescent="0.4">
      <c r="A1671" t="s">
        <v>262</v>
      </c>
      <c r="B1671" t="s">
        <v>1953</v>
      </c>
      <c r="C1671" t="s">
        <v>2003</v>
      </c>
      <c r="D1671" t="s">
        <v>21</v>
      </c>
      <c r="E1671" t="s">
        <v>22</v>
      </c>
      <c r="F1671" t="s">
        <v>23</v>
      </c>
      <c r="G1671">
        <v>1</v>
      </c>
      <c r="H1671">
        <v>9791189627379</v>
      </c>
      <c r="I1671" t="s">
        <v>143</v>
      </c>
      <c r="J1671" t="s">
        <v>1968</v>
      </c>
      <c r="K1671" t="s">
        <v>1035</v>
      </c>
      <c r="L1671" t="s">
        <v>27</v>
      </c>
      <c r="M1671">
        <v>300</v>
      </c>
      <c r="N1671" t="s">
        <v>27</v>
      </c>
      <c r="O1671">
        <v>300</v>
      </c>
      <c r="P1671">
        <v>300</v>
      </c>
      <c r="Q1671" t="s">
        <v>30</v>
      </c>
      <c r="R1671" s="2">
        <v>0.7</v>
      </c>
      <c r="S1671">
        <v>210</v>
      </c>
      <c r="T1671" t="s">
        <v>27</v>
      </c>
      <c r="U1671">
        <v>210</v>
      </c>
      <c r="V1671" s="7" t="str">
        <f>IF(ISERROR(VLOOKUP(K1671,[1]작가별정산률!$R:$S,2,0)),"스토리위즈",VLOOKUP(K1671,[1]작가별정산률!$R:$S,2,0))</f>
        <v>스토리위즈</v>
      </c>
      <c r="W1671" s="7" t="str">
        <f>IF(V1671="스토리위즈",VLOOKUP(K1671,[1]작가별정산률!$A:$B,2,0),V1671)</f>
        <v>모리미</v>
      </c>
    </row>
    <row r="1672" spans="1:23" x14ac:dyDescent="0.4">
      <c r="A1672" t="s">
        <v>262</v>
      </c>
      <c r="B1672" t="s">
        <v>1953</v>
      </c>
      <c r="C1672" t="s">
        <v>2004</v>
      </c>
      <c r="D1672" t="s">
        <v>64</v>
      </c>
      <c r="E1672" t="s">
        <v>22</v>
      </c>
      <c r="F1672" t="s">
        <v>23</v>
      </c>
      <c r="G1672">
        <v>1</v>
      </c>
      <c r="H1672">
        <v>9791166300264</v>
      </c>
      <c r="I1672" t="s">
        <v>24</v>
      </c>
      <c r="J1672" t="s">
        <v>135</v>
      </c>
      <c r="K1672" t="s">
        <v>119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  <c r="V1672" s="7" t="str">
        <f>IF(ISERROR(VLOOKUP(K1672,[1]작가별정산률!$R:$S,2,0)),"스토리위즈",VLOOKUP(K1672,[1]작가별정산률!$R:$S,2,0))</f>
        <v>스토리위즈</v>
      </c>
      <c r="W1672" s="7" t="str">
        <f>IF(V1672="스토리위즈",VLOOKUP(K1672,[1]작가별정산률!$A:$B,2,0),V1672)</f>
        <v>김광수</v>
      </c>
    </row>
    <row r="1673" spans="1:23" x14ac:dyDescent="0.4">
      <c r="A1673" t="s">
        <v>262</v>
      </c>
      <c r="B1673" t="s">
        <v>1953</v>
      </c>
      <c r="C1673" t="s">
        <v>2005</v>
      </c>
      <c r="D1673" t="s">
        <v>64</v>
      </c>
      <c r="E1673" t="s">
        <v>22</v>
      </c>
      <c r="F1673" t="s">
        <v>23</v>
      </c>
      <c r="G1673">
        <v>1</v>
      </c>
      <c r="H1673">
        <v>9791166300110</v>
      </c>
      <c r="I1673" t="s">
        <v>24</v>
      </c>
      <c r="J1673" t="s">
        <v>121</v>
      </c>
      <c r="K1673" t="s">
        <v>119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  <c r="V1673" s="7" t="str">
        <f>IF(ISERROR(VLOOKUP(K1673,[1]작가별정산률!$R:$S,2,0)),"스토리위즈",VLOOKUP(K1673,[1]작가별정산률!$R:$S,2,0))</f>
        <v>스토리위즈</v>
      </c>
      <c r="W1673" s="7" t="str">
        <f>IF(V1673="스토리위즈",VLOOKUP(K1673,[1]작가별정산률!$A:$B,2,0),V1673)</f>
        <v>김광수</v>
      </c>
    </row>
    <row r="1674" spans="1:23" x14ac:dyDescent="0.4">
      <c r="A1674" t="s">
        <v>262</v>
      </c>
      <c r="B1674" t="s">
        <v>1953</v>
      </c>
      <c r="C1674" t="s">
        <v>2006</v>
      </c>
      <c r="D1674" t="s">
        <v>21</v>
      </c>
      <c r="E1674" t="s">
        <v>22</v>
      </c>
      <c r="F1674" t="s">
        <v>23</v>
      </c>
      <c r="G1674">
        <v>1</v>
      </c>
      <c r="H1674">
        <v>9791189627072</v>
      </c>
      <c r="I1674" t="s">
        <v>143</v>
      </c>
      <c r="J1674" t="s">
        <v>1034</v>
      </c>
      <c r="K1674" t="s">
        <v>1035</v>
      </c>
      <c r="L1674" t="s">
        <v>27</v>
      </c>
      <c r="M1674" s="3">
        <v>2200</v>
      </c>
      <c r="N1674" t="s">
        <v>27</v>
      </c>
      <c r="O1674" s="3">
        <v>2200</v>
      </c>
      <c r="P1674" s="3">
        <v>2200</v>
      </c>
      <c r="Q1674" t="s">
        <v>30</v>
      </c>
      <c r="R1674" s="2">
        <v>0.7</v>
      </c>
      <c r="S1674" s="3">
        <v>1540</v>
      </c>
      <c r="T1674" t="s">
        <v>27</v>
      </c>
      <c r="U1674" s="3">
        <v>1540</v>
      </c>
      <c r="V1674" s="7" t="str">
        <f>IF(ISERROR(VLOOKUP(K1674,[1]작가별정산률!$R:$S,2,0)),"스토리위즈",VLOOKUP(K1674,[1]작가별정산률!$R:$S,2,0))</f>
        <v>스토리위즈</v>
      </c>
      <c r="W1674" s="7" t="str">
        <f>IF(V1674="스토리위즈",VLOOKUP(K1674,[1]작가별정산률!$A:$B,2,0),V1674)</f>
        <v>모리미</v>
      </c>
    </row>
    <row r="1675" spans="1:23" x14ac:dyDescent="0.4">
      <c r="A1675" t="s">
        <v>262</v>
      </c>
      <c r="B1675" t="s">
        <v>1953</v>
      </c>
      <c r="C1675" t="s">
        <v>2007</v>
      </c>
      <c r="D1675" t="s">
        <v>21</v>
      </c>
      <c r="E1675" t="s">
        <v>22</v>
      </c>
      <c r="F1675" t="s">
        <v>23</v>
      </c>
      <c r="G1675">
        <v>1</v>
      </c>
      <c r="H1675">
        <v>9791189084813</v>
      </c>
      <c r="I1675" t="s">
        <v>143</v>
      </c>
      <c r="J1675" t="s">
        <v>563</v>
      </c>
      <c r="K1675" t="s">
        <v>564</v>
      </c>
      <c r="L1675" t="s">
        <v>27</v>
      </c>
      <c r="M1675" s="3">
        <v>4000</v>
      </c>
      <c r="N1675" t="s">
        <v>27</v>
      </c>
      <c r="O1675" s="3">
        <v>4000</v>
      </c>
      <c r="P1675" s="3">
        <v>4000</v>
      </c>
      <c r="Q1675" t="s">
        <v>30</v>
      </c>
      <c r="R1675" s="2">
        <v>0.7</v>
      </c>
      <c r="S1675" s="3">
        <v>2800</v>
      </c>
      <c r="T1675" t="s">
        <v>27</v>
      </c>
      <c r="U1675" s="3">
        <v>2800</v>
      </c>
      <c r="V1675" s="7" t="str">
        <f>IF(ISERROR(VLOOKUP(K1675,[1]작가별정산률!$R:$S,2,0)),"스토리위즈",VLOOKUP(K1675,[1]작가별정산률!$R:$S,2,0))</f>
        <v>스토리위즈</v>
      </c>
      <c r="W1675" s="7" t="str">
        <f>IF(V1675="스토리위즈",VLOOKUP(K1675,[1]작가별정산률!$A:$B,2,0),V1675)</f>
        <v>셔틀</v>
      </c>
    </row>
    <row r="1676" spans="1:23" x14ac:dyDescent="0.4">
      <c r="A1676" t="s">
        <v>262</v>
      </c>
      <c r="B1676" t="s">
        <v>1953</v>
      </c>
      <c r="C1676" t="s">
        <v>2008</v>
      </c>
      <c r="D1676" t="s">
        <v>64</v>
      </c>
      <c r="E1676" t="s">
        <v>22</v>
      </c>
      <c r="F1676" t="s">
        <v>23</v>
      </c>
      <c r="G1676">
        <v>1</v>
      </c>
      <c r="H1676">
        <v>9791159283093</v>
      </c>
      <c r="I1676" t="s">
        <v>24</v>
      </c>
      <c r="J1676" t="s">
        <v>73</v>
      </c>
      <c r="K1676" t="s">
        <v>37</v>
      </c>
      <c r="L1676" t="s">
        <v>27</v>
      </c>
      <c r="M1676">
        <v>900</v>
      </c>
      <c r="N1676" t="s">
        <v>27</v>
      </c>
      <c r="O1676">
        <v>900</v>
      </c>
      <c r="P1676">
        <v>900</v>
      </c>
      <c r="Q1676" t="s">
        <v>30</v>
      </c>
      <c r="R1676" s="2">
        <v>0.7</v>
      </c>
      <c r="S1676">
        <v>630</v>
      </c>
      <c r="T1676" t="s">
        <v>27</v>
      </c>
      <c r="U1676">
        <v>630</v>
      </c>
      <c r="V1676" s="7" t="str">
        <f>IF(ISERROR(VLOOKUP(K1676,[1]작가별정산률!$R:$S,2,0)),"스토리위즈",VLOOKUP(K1676,[1]작가별정산률!$R:$S,2,0))</f>
        <v>스토리위즈</v>
      </c>
      <c r="W1676" s="7" t="str">
        <f>IF(V1676="스토리위즈",VLOOKUP(K1676,[1]작가별정산률!$A:$B,2,0),V1676)</f>
        <v>권용찬</v>
      </c>
    </row>
    <row r="1677" spans="1:23" x14ac:dyDescent="0.4">
      <c r="A1677" t="s">
        <v>262</v>
      </c>
      <c r="B1677" t="s">
        <v>1953</v>
      </c>
      <c r="C1677" t="s">
        <v>2009</v>
      </c>
      <c r="D1677" t="s">
        <v>64</v>
      </c>
      <c r="E1677" t="s">
        <v>22</v>
      </c>
      <c r="F1677" t="s">
        <v>23</v>
      </c>
      <c r="G1677">
        <v>1</v>
      </c>
      <c r="H1677">
        <v>9791166064135</v>
      </c>
      <c r="I1677" t="s">
        <v>24</v>
      </c>
      <c r="J1677" t="s">
        <v>77</v>
      </c>
      <c r="K1677" t="s">
        <v>37</v>
      </c>
      <c r="L1677" t="s">
        <v>27</v>
      </c>
      <c r="M1677">
        <v>900</v>
      </c>
      <c r="N1677" t="s">
        <v>27</v>
      </c>
      <c r="O1677">
        <v>900</v>
      </c>
      <c r="P1677">
        <v>900</v>
      </c>
      <c r="Q1677" t="s">
        <v>30</v>
      </c>
      <c r="R1677" s="2">
        <v>0.7</v>
      </c>
      <c r="S1677">
        <v>630</v>
      </c>
      <c r="T1677" t="s">
        <v>27</v>
      </c>
      <c r="U1677">
        <v>630</v>
      </c>
      <c r="V1677" s="7" t="str">
        <f>IF(ISERROR(VLOOKUP(K1677,[1]작가별정산률!$R:$S,2,0)),"스토리위즈",VLOOKUP(K1677,[1]작가별정산률!$R:$S,2,0))</f>
        <v>스토리위즈</v>
      </c>
      <c r="W1677" s="7" t="str">
        <f>IF(V1677="스토리위즈",VLOOKUP(K1677,[1]작가별정산률!$A:$B,2,0),V1677)</f>
        <v>권용찬</v>
      </c>
    </row>
    <row r="1678" spans="1:23" x14ac:dyDescent="0.4">
      <c r="A1678" t="s">
        <v>262</v>
      </c>
      <c r="B1678" t="s">
        <v>1953</v>
      </c>
      <c r="C1678" t="s">
        <v>2010</v>
      </c>
      <c r="D1678" t="s">
        <v>21</v>
      </c>
      <c r="E1678" t="s">
        <v>22</v>
      </c>
      <c r="F1678" t="s">
        <v>23</v>
      </c>
      <c r="G1678">
        <v>1</v>
      </c>
      <c r="H1678">
        <v>9791189627072</v>
      </c>
      <c r="I1678" t="s">
        <v>143</v>
      </c>
      <c r="J1678" t="s">
        <v>1034</v>
      </c>
      <c r="K1678" t="s">
        <v>1035</v>
      </c>
      <c r="L1678" t="s">
        <v>27</v>
      </c>
      <c r="M1678" s="3">
        <v>2200</v>
      </c>
      <c r="N1678" t="s">
        <v>27</v>
      </c>
      <c r="O1678" s="3">
        <v>2200</v>
      </c>
      <c r="P1678" s="3">
        <v>2200</v>
      </c>
      <c r="Q1678" t="s">
        <v>30</v>
      </c>
      <c r="R1678" s="2">
        <v>0.7</v>
      </c>
      <c r="S1678" s="3">
        <v>1540</v>
      </c>
      <c r="T1678" t="s">
        <v>27</v>
      </c>
      <c r="U1678" s="3">
        <v>1540</v>
      </c>
      <c r="V1678" s="7" t="str">
        <f>IF(ISERROR(VLOOKUP(K1678,[1]작가별정산률!$R:$S,2,0)),"스토리위즈",VLOOKUP(K1678,[1]작가별정산률!$R:$S,2,0))</f>
        <v>스토리위즈</v>
      </c>
      <c r="W1678" s="7" t="str">
        <f>IF(V1678="스토리위즈",VLOOKUP(K1678,[1]작가별정산률!$A:$B,2,0),V1678)</f>
        <v>모리미</v>
      </c>
    </row>
    <row r="1679" spans="1:23" x14ac:dyDescent="0.4">
      <c r="A1679" t="s">
        <v>262</v>
      </c>
      <c r="B1679" t="s">
        <v>1953</v>
      </c>
      <c r="C1679" t="s">
        <v>2011</v>
      </c>
      <c r="D1679" t="s">
        <v>21</v>
      </c>
      <c r="E1679" t="s">
        <v>22</v>
      </c>
      <c r="F1679" t="s">
        <v>23</v>
      </c>
      <c r="G1679">
        <v>1</v>
      </c>
      <c r="H1679">
        <v>9791191562262</v>
      </c>
      <c r="I1679" t="s">
        <v>143</v>
      </c>
      <c r="J1679" t="s">
        <v>250</v>
      </c>
      <c r="K1679" t="s">
        <v>251</v>
      </c>
      <c r="L1679" t="s">
        <v>27</v>
      </c>
      <c r="M1679" s="3">
        <v>2000</v>
      </c>
      <c r="N1679" t="s">
        <v>27</v>
      </c>
      <c r="O1679" s="3">
        <v>2000</v>
      </c>
      <c r="P1679" s="3">
        <v>2000</v>
      </c>
      <c r="Q1679" t="s">
        <v>30</v>
      </c>
      <c r="R1679" s="2">
        <v>0.7</v>
      </c>
      <c r="S1679" s="3">
        <v>1400</v>
      </c>
      <c r="T1679" t="s">
        <v>27</v>
      </c>
      <c r="U1679" s="3">
        <v>1400</v>
      </c>
      <c r="V1679" s="7" t="str">
        <f>IF(ISERROR(VLOOKUP(K1679,[1]작가별정산률!$R:$S,2,0)),"스토리위즈",VLOOKUP(K1679,[1]작가별정산률!$R:$S,2,0))</f>
        <v>밀리의 서재</v>
      </c>
      <c r="W1679" s="7" t="str">
        <f>IF(V1679="스토리위즈",VLOOKUP(K1679,[1]작가별정산률!$A:$B,2,0),V1679)</f>
        <v>밀리의 서재</v>
      </c>
    </row>
    <row r="1680" spans="1:23" x14ac:dyDescent="0.4">
      <c r="A1680" t="s">
        <v>262</v>
      </c>
      <c r="B1680" t="s">
        <v>1953</v>
      </c>
      <c r="C1680" t="s">
        <v>2012</v>
      </c>
      <c r="D1680" t="s">
        <v>21</v>
      </c>
      <c r="E1680" t="s">
        <v>22</v>
      </c>
      <c r="F1680" t="s">
        <v>23</v>
      </c>
      <c r="G1680">
        <v>1</v>
      </c>
      <c r="H1680">
        <v>9791191562262</v>
      </c>
      <c r="I1680" t="s">
        <v>143</v>
      </c>
      <c r="J1680" t="s">
        <v>250</v>
      </c>
      <c r="K1680" t="s">
        <v>251</v>
      </c>
      <c r="L1680" t="s">
        <v>27</v>
      </c>
      <c r="M1680" s="3">
        <v>2000</v>
      </c>
      <c r="N1680" t="s">
        <v>27</v>
      </c>
      <c r="O1680" s="3">
        <v>2000</v>
      </c>
      <c r="P1680" s="3">
        <v>2000</v>
      </c>
      <c r="Q1680" t="s">
        <v>30</v>
      </c>
      <c r="R1680" s="2">
        <v>0.7</v>
      </c>
      <c r="S1680" s="3">
        <v>1400</v>
      </c>
      <c r="T1680" t="s">
        <v>27</v>
      </c>
      <c r="U1680" s="3">
        <v>1400</v>
      </c>
      <c r="V1680" s="7" t="str">
        <f>IF(ISERROR(VLOOKUP(K1680,[1]작가별정산률!$R:$S,2,0)),"스토리위즈",VLOOKUP(K1680,[1]작가별정산률!$R:$S,2,0))</f>
        <v>밀리의 서재</v>
      </c>
      <c r="W1680" s="7" t="str">
        <f>IF(V1680="스토리위즈",VLOOKUP(K1680,[1]작가별정산률!$A:$B,2,0),V1680)</f>
        <v>밀리의 서재</v>
      </c>
    </row>
    <row r="1681" spans="1:23" x14ac:dyDescent="0.4">
      <c r="A1681" t="s">
        <v>262</v>
      </c>
      <c r="B1681" t="s">
        <v>1953</v>
      </c>
      <c r="C1681" t="s">
        <v>2013</v>
      </c>
      <c r="D1681" t="s">
        <v>64</v>
      </c>
      <c r="E1681" t="s">
        <v>22</v>
      </c>
      <c r="F1681" t="s">
        <v>23</v>
      </c>
      <c r="G1681">
        <v>1</v>
      </c>
      <c r="H1681">
        <v>9791166300172</v>
      </c>
      <c r="I1681" t="s">
        <v>24</v>
      </c>
      <c r="J1681" t="s">
        <v>127</v>
      </c>
      <c r="K1681" t="s">
        <v>119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  <c r="V1681" s="7" t="str">
        <f>IF(ISERROR(VLOOKUP(K1681,[1]작가별정산률!$R:$S,2,0)),"스토리위즈",VLOOKUP(K1681,[1]작가별정산률!$R:$S,2,0))</f>
        <v>스토리위즈</v>
      </c>
      <c r="W1681" s="7" t="str">
        <f>IF(V1681="스토리위즈",VLOOKUP(K1681,[1]작가별정산률!$A:$B,2,0),V1681)</f>
        <v>김광수</v>
      </c>
    </row>
    <row r="1682" spans="1:23" x14ac:dyDescent="0.4">
      <c r="A1682" t="s">
        <v>262</v>
      </c>
      <c r="B1682" t="s">
        <v>1953</v>
      </c>
      <c r="C1682" t="s">
        <v>2014</v>
      </c>
      <c r="D1682" t="s">
        <v>64</v>
      </c>
      <c r="E1682" t="s">
        <v>22</v>
      </c>
      <c r="F1682" t="s">
        <v>23</v>
      </c>
      <c r="G1682">
        <v>1</v>
      </c>
      <c r="H1682">
        <v>9791159283086</v>
      </c>
      <c r="I1682" t="s">
        <v>24</v>
      </c>
      <c r="J1682" t="s">
        <v>72</v>
      </c>
      <c r="K1682" t="s">
        <v>37</v>
      </c>
      <c r="L1682" t="s">
        <v>27</v>
      </c>
      <c r="M1682">
        <v>900</v>
      </c>
      <c r="N1682" t="s">
        <v>27</v>
      </c>
      <c r="O1682">
        <v>900</v>
      </c>
      <c r="P1682">
        <v>900</v>
      </c>
      <c r="Q1682" t="s">
        <v>30</v>
      </c>
      <c r="R1682" s="2">
        <v>0.7</v>
      </c>
      <c r="S1682">
        <v>630</v>
      </c>
      <c r="T1682" t="s">
        <v>27</v>
      </c>
      <c r="U1682">
        <v>630</v>
      </c>
      <c r="V1682" s="7" t="str">
        <f>IF(ISERROR(VLOOKUP(K1682,[1]작가별정산률!$R:$S,2,0)),"스토리위즈",VLOOKUP(K1682,[1]작가별정산률!$R:$S,2,0))</f>
        <v>스토리위즈</v>
      </c>
      <c r="W1682" s="7" t="str">
        <f>IF(V1682="스토리위즈",VLOOKUP(K1682,[1]작가별정산률!$A:$B,2,0),V1682)</f>
        <v>권용찬</v>
      </c>
    </row>
    <row r="1683" spans="1:23" x14ac:dyDescent="0.4">
      <c r="A1683" t="s">
        <v>262</v>
      </c>
      <c r="B1683" t="s">
        <v>1953</v>
      </c>
      <c r="C1683" t="s">
        <v>2015</v>
      </c>
      <c r="D1683" t="s">
        <v>64</v>
      </c>
      <c r="E1683" t="s">
        <v>22</v>
      </c>
      <c r="F1683" t="s">
        <v>23</v>
      </c>
      <c r="G1683">
        <v>1</v>
      </c>
      <c r="H1683">
        <v>9791166300127</v>
      </c>
      <c r="I1683" t="s">
        <v>24</v>
      </c>
      <c r="J1683" t="s">
        <v>122</v>
      </c>
      <c r="K1683" t="s">
        <v>119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2">
        <v>0.7</v>
      </c>
      <c r="S1683">
        <v>441</v>
      </c>
      <c r="T1683" t="s">
        <v>27</v>
      </c>
      <c r="U1683">
        <v>441</v>
      </c>
      <c r="V1683" s="7" t="str">
        <f>IF(ISERROR(VLOOKUP(K1683,[1]작가별정산률!$R:$S,2,0)),"스토리위즈",VLOOKUP(K1683,[1]작가별정산률!$R:$S,2,0))</f>
        <v>스토리위즈</v>
      </c>
      <c r="W1683" s="7" t="str">
        <f>IF(V1683="스토리위즈",VLOOKUP(K1683,[1]작가별정산률!$A:$B,2,0),V1683)</f>
        <v>김광수</v>
      </c>
    </row>
    <row r="1684" spans="1:23" x14ac:dyDescent="0.4">
      <c r="A1684" t="s">
        <v>262</v>
      </c>
      <c r="B1684" t="s">
        <v>1953</v>
      </c>
      <c r="C1684" t="s">
        <v>2016</v>
      </c>
      <c r="D1684" t="s">
        <v>64</v>
      </c>
      <c r="E1684" t="s">
        <v>22</v>
      </c>
      <c r="F1684" t="s">
        <v>23</v>
      </c>
      <c r="G1684">
        <v>1</v>
      </c>
      <c r="H1684">
        <v>9791166061097</v>
      </c>
      <c r="I1684" t="s">
        <v>24</v>
      </c>
      <c r="J1684" t="s">
        <v>95</v>
      </c>
      <c r="K1684" t="s">
        <v>37</v>
      </c>
      <c r="L1684" t="s">
        <v>27</v>
      </c>
      <c r="M1684">
        <v>900</v>
      </c>
      <c r="N1684" t="s">
        <v>27</v>
      </c>
      <c r="O1684">
        <v>900</v>
      </c>
      <c r="P1684">
        <v>900</v>
      </c>
      <c r="Q1684" t="s">
        <v>30</v>
      </c>
      <c r="R1684" s="2">
        <v>0.7</v>
      </c>
      <c r="S1684">
        <v>630</v>
      </c>
      <c r="T1684" t="s">
        <v>27</v>
      </c>
      <c r="U1684">
        <v>630</v>
      </c>
      <c r="V1684" s="7" t="str">
        <f>IF(ISERROR(VLOOKUP(K1684,[1]작가별정산률!$R:$S,2,0)),"스토리위즈",VLOOKUP(K1684,[1]작가별정산률!$R:$S,2,0))</f>
        <v>스토리위즈</v>
      </c>
      <c r="W1684" s="7" t="str">
        <f>IF(V1684="스토리위즈",VLOOKUP(K1684,[1]작가별정산률!$A:$B,2,0),V1684)</f>
        <v>권용찬</v>
      </c>
    </row>
    <row r="1685" spans="1:23" x14ac:dyDescent="0.4">
      <c r="A1685" t="s">
        <v>262</v>
      </c>
      <c r="B1685" t="s">
        <v>2017</v>
      </c>
      <c r="C1685" t="s">
        <v>2018</v>
      </c>
      <c r="D1685" t="s">
        <v>64</v>
      </c>
      <c r="E1685" t="s">
        <v>22</v>
      </c>
      <c r="F1685" t="s">
        <v>23</v>
      </c>
      <c r="G1685">
        <v>1</v>
      </c>
      <c r="H1685">
        <v>9791159283277</v>
      </c>
      <c r="I1685" t="s">
        <v>24</v>
      </c>
      <c r="J1685" t="s">
        <v>118</v>
      </c>
      <c r="K1685" t="s">
        <v>37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2">
        <v>0.7</v>
      </c>
      <c r="S1685">
        <v>441</v>
      </c>
      <c r="T1685" t="s">
        <v>27</v>
      </c>
      <c r="U1685">
        <v>441</v>
      </c>
      <c r="V1685" s="7" t="str">
        <f>IF(ISERROR(VLOOKUP(K1685,[1]작가별정산률!$R:$S,2,0)),"스토리위즈",VLOOKUP(K1685,[1]작가별정산률!$R:$S,2,0))</f>
        <v>스토리위즈</v>
      </c>
      <c r="W1685" s="7" t="str">
        <f>IF(V1685="스토리위즈",VLOOKUP(K1685,[1]작가별정산률!$A:$B,2,0),V1685)</f>
        <v>권용찬</v>
      </c>
    </row>
    <row r="1686" spans="1:23" x14ac:dyDescent="0.4">
      <c r="A1686" t="s">
        <v>262</v>
      </c>
      <c r="B1686" t="s">
        <v>2017</v>
      </c>
      <c r="C1686" t="s">
        <v>2019</v>
      </c>
      <c r="D1686" t="s">
        <v>21</v>
      </c>
      <c r="E1686" t="s">
        <v>22</v>
      </c>
      <c r="F1686" t="s">
        <v>23</v>
      </c>
      <c r="G1686">
        <v>1</v>
      </c>
      <c r="H1686">
        <v>9791191562385</v>
      </c>
      <c r="I1686" t="s">
        <v>143</v>
      </c>
      <c r="J1686" t="s">
        <v>936</v>
      </c>
      <c r="K1686" t="s">
        <v>937</v>
      </c>
      <c r="L1686" t="s">
        <v>27</v>
      </c>
      <c r="M1686" s="3">
        <v>2000</v>
      </c>
      <c r="N1686" t="s">
        <v>27</v>
      </c>
      <c r="O1686" s="3">
        <v>2000</v>
      </c>
      <c r="P1686" s="3">
        <v>2000</v>
      </c>
      <c r="Q1686" t="s">
        <v>30</v>
      </c>
      <c r="R1686" s="2">
        <v>0.7</v>
      </c>
      <c r="S1686" s="3">
        <v>1400</v>
      </c>
      <c r="T1686" t="s">
        <v>27</v>
      </c>
      <c r="U1686" s="3">
        <v>1400</v>
      </c>
      <c r="V1686" s="7" t="str">
        <f>IF(ISERROR(VLOOKUP(K1686,[1]작가별정산률!$R:$S,2,0)),"스토리위즈",VLOOKUP(K1686,[1]작가별정산률!$R:$S,2,0))</f>
        <v>밀리의 서재</v>
      </c>
      <c r="W1686" s="7" t="str">
        <f>IF(V1686="스토리위즈",VLOOKUP(K1686,[1]작가별정산률!$A:$B,2,0),V1686)</f>
        <v>밀리의 서재</v>
      </c>
    </row>
    <row r="1687" spans="1:23" x14ac:dyDescent="0.4">
      <c r="A1687" t="s">
        <v>262</v>
      </c>
      <c r="B1687" t="s">
        <v>2017</v>
      </c>
      <c r="C1687" t="s">
        <v>2020</v>
      </c>
      <c r="D1687" t="s">
        <v>64</v>
      </c>
      <c r="E1687" t="s">
        <v>22</v>
      </c>
      <c r="F1687" t="s">
        <v>23</v>
      </c>
      <c r="G1687">
        <v>1</v>
      </c>
      <c r="H1687">
        <v>9791166300493</v>
      </c>
      <c r="I1687" t="s">
        <v>24</v>
      </c>
      <c r="J1687" t="s">
        <v>147</v>
      </c>
      <c r="K1687" t="s">
        <v>119</v>
      </c>
      <c r="L1687" t="s">
        <v>27</v>
      </c>
      <c r="M1687">
        <v>630</v>
      </c>
      <c r="N1687" t="s">
        <v>27</v>
      </c>
      <c r="O1687">
        <v>630</v>
      </c>
      <c r="P1687">
        <v>630</v>
      </c>
      <c r="Q1687" t="s">
        <v>30</v>
      </c>
      <c r="R1687" s="2">
        <v>0.7</v>
      </c>
      <c r="S1687">
        <v>441</v>
      </c>
      <c r="T1687" t="s">
        <v>27</v>
      </c>
      <c r="U1687">
        <v>441</v>
      </c>
      <c r="V1687" s="7" t="str">
        <f>IF(ISERROR(VLOOKUP(K1687,[1]작가별정산률!$R:$S,2,0)),"스토리위즈",VLOOKUP(K1687,[1]작가별정산률!$R:$S,2,0))</f>
        <v>스토리위즈</v>
      </c>
      <c r="W1687" s="7" t="str">
        <f>IF(V1687="스토리위즈",VLOOKUP(K1687,[1]작가별정산률!$A:$B,2,0),V1687)</f>
        <v>김광수</v>
      </c>
    </row>
    <row r="1688" spans="1:23" x14ac:dyDescent="0.4">
      <c r="A1688" t="s">
        <v>262</v>
      </c>
      <c r="B1688" t="s">
        <v>2017</v>
      </c>
      <c r="C1688" t="s">
        <v>2021</v>
      </c>
      <c r="D1688" t="s">
        <v>64</v>
      </c>
      <c r="E1688" t="s">
        <v>22</v>
      </c>
      <c r="F1688" t="s">
        <v>23</v>
      </c>
      <c r="G1688">
        <v>1</v>
      </c>
      <c r="H1688">
        <v>9791166300103</v>
      </c>
      <c r="I1688" t="s">
        <v>24</v>
      </c>
      <c r="J1688" t="s">
        <v>120</v>
      </c>
      <c r="K1688" t="s">
        <v>119</v>
      </c>
      <c r="L1688" t="s">
        <v>27</v>
      </c>
      <c r="M1688">
        <v>630</v>
      </c>
      <c r="N1688" t="s">
        <v>27</v>
      </c>
      <c r="O1688">
        <v>630</v>
      </c>
      <c r="P1688">
        <v>630</v>
      </c>
      <c r="Q1688" t="s">
        <v>30</v>
      </c>
      <c r="R1688" s="2">
        <v>0.7</v>
      </c>
      <c r="S1688">
        <v>441</v>
      </c>
      <c r="T1688" t="s">
        <v>27</v>
      </c>
      <c r="U1688">
        <v>441</v>
      </c>
      <c r="V1688" s="7" t="str">
        <f>IF(ISERROR(VLOOKUP(K1688,[1]작가별정산률!$R:$S,2,0)),"스토리위즈",VLOOKUP(K1688,[1]작가별정산률!$R:$S,2,0))</f>
        <v>스토리위즈</v>
      </c>
      <c r="W1688" s="7" t="str">
        <f>IF(V1688="스토리위즈",VLOOKUP(K1688,[1]작가별정산률!$A:$B,2,0),V1688)</f>
        <v>김광수</v>
      </c>
    </row>
    <row r="1689" spans="1:23" x14ac:dyDescent="0.4">
      <c r="A1689" t="s">
        <v>262</v>
      </c>
      <c r="B1689" t="s">
        <v>2017</v>
      </c>
      <c r="C1689" t="s">
        <v>2022</v>
      </c>
      <c r="D1689" t="s">
        <v>21</v>
      </c>
      <c r="E1689" t="s">
        <v>22</v>
      </c>
      <c r="F1689" t="s">
        <v>23</v>
      </c>
      <c r="G1689">
        <v>1</v>
      </c>
      <c r="H1689">
        <v>9791191562002</v>
      </c>
      <c r="I1689" t="s">
        <v>143</v>
      </c>
      <c r="J1689" t="s">
        <v>193</v>
      </c>
      <c r="K1689" t="s">
        <v>192</v>
      </c>
      <c r="L1689" t="s">
        <v>27</v>
      </c>
      <c r="M1689" s="3">
        <v>2500</v>
      </c>
      <c r="N1689" t="s">
        <v>27</v>
      </c>
      <c r="O1689" s="3">
        <v>2500</v>
      </c>
      <c r="P1689" s="3">
        <v>2500</v>
      </c>
      <c r="Q1689" t="s">
        <v>30</v>
      </c>
      <c r="R1689" s="2">
        <v>0.7</v>
      </c>
      <c r="S1689" s="3">
        <v>1750</v>
      </c>
      <c r="T1689" t="s">
        <v>27</v>
      </c>
      <c r="U1689" s="3">
        <v>1750</v>
      </c>
      <c r="V1689" s="7" t="str">
        <f>IF(ISERROR(VLOOKUP(K1689,[1]작가별정산률!$R:$S,2,0)),"스토리위즈",VLOOKUP(K1689,[1]작가별정산률!$R:$S,2,0))</f>
        <v>밀리의 서재</v>
      </c>
      <c r="W1689" s="7" t="str">
        <f>IF(V1689="스토리위즈",VLOOKUP(K1689,[1]작가별정산률!$A:$B,2,0),V1689)</f>
        <v>밀리의 서재</v>
      </c>
    </row>
    <row r="1690" spans="1:23" x14ac:dyDescent="0.4">
      <c r="A1690" t="s">
        <v>262</v>
      </c>
      <c r="B1690" t="s">
        <v>2017</v>
      </c>
      <c r="C1690" t="s">
        <v>2023</v>
      </c>
      <c r="D1690" t="s">
        <v>64</v>
      </c>
      <c r="E1690" t="s">
        <v>22</v>
      </c>
      <c r="F1690" t="s">
        <v>23</v>
      </c>
      <c r="G1690">
        <v>1</v>
      </c>
      <c r="H1690">
        <v>9791159285004</v>
      </c>
      <c r="I1690" t="s">
        <v>24</v>
      </c>
      <c r="J1690" t="s">
        <v>53</v>
      </c>
      <c r="K1690" t="s">
        <v>47</v>
      </c>
      <c r="L1690" t="s">
        <v>27</v>
      </c>
      <c r="M1690">
        <v>630</v>
      </c>
      <c r="N1690" t="s">
        <v>27</v>
      </c>
      <c r="O1690">
        <v>630</v>
      </c>
      <c r="P1690">
        <v>630</v>
      </c>
      <c r="Q1690" t="s">
        <v>30</v>
      </c>
      <c r="R1690" s="2">
        <v>0.7</v>
      </c>
      <c r="S1690">
        <v>441</v>
      </c>
      <c r="T1690" t="s">
        <v>27</v>
      </c>
      <c r="U1690">
        <v>441</v>
      </c>
      <c r="V1690" s="7" t="str">
        <f>IF(ISERROR(VLOOKUP(K1690,[1]작가별정산률!$R:$S,2,0)),"스토리위즈",VLOOKUP(K1690,[1]작가별정산률!$R:$S,2,0))</f>
        <v>스토리위즈</v>
      </c>
      <c r="W1690" s="7" t="str">
        <f>IF(V1690="스토리위즈",VLOOKUP(K1690,[1]작가별정산률!$A:$B,2,0),V1690)</f>
        <v>전혁</v>
      </c>
    </row>
    <row r="1691" spans="1:23" x14ac:dyDescent="0.4">
      <c r="A1691" t="s">
        <v>262</v>
      </c>
      <c r="B1691" t="s">
        <v>2017</v>
      </c>
      <c r="C1691" t="s">
        <v>2024</v>
      </c>
      <c r="D1691" t="s">
        <v>64</v>
      </c>
      <c r="E1691" t="s">
        <v>22</v>
      </c>
      <c r="F1691" t="s">
        <v>23</v>
      </c>
      <c r="G1691">
        <v>1</v>
      </c>
      <c r="H1691">
        <v>9791159283093</v>
      </c>
      <c r="I1691" t="s">
        <v>24</v>
      </c>
      <c r="J1691" t="s">
        <v>73</v>
      </c>
      <c r="K1691" t="s">
        <v>37</v>
      </c>
      <c r="L1691" t="s">
        <v>27</v>
      </c>
      <c r="M1691">
        <v>900</v>
      </c>
      <c r="N1691" t="s">
        <v>27</v>
      </c>
      <c r="O1691">
        <v>900</v>
      </c>
      <c r="P1691">
        <v>900</v>
      </c>
      <c r="Q1691" t="s">
        <v>30</v>
      </c>
      <c r="R1691" s="2">
        <v>0.7</v>
      </c>
      <c r="S1691">
        <v>630</v>
      </c>
      <c r="T1691" t="s">
        <v>27</v>
      </c>
      <c r="U1691">
        <v>630</v>
      </c>
      <c r="V1691" s="7" t="str">
        <f>IF(ISERROR(VLOOKUP(K1691,[1]작가별정산률!$R:$S,2,0)),"스토리위즈",VLOOKUP(K1691,[1]작가별정산률!$R:$S,2,0))</f>
        <v>스토리위즈</v>
      </c>
      <c r="W1691" s="7" t="str">
        <f>IF(V1691="스토리위즈",VLOOKUP(K1691,[1]작가별정산률!$A:$B,2,0),V1691)</f>
        <v>권용찬</v>
      </c>
    </row>
    <row r="1692" spans="1:23" x14ac:dyDescent="0.4">
      <c r="A1692" t="s">
        <v>262</v>
      </c>
      <c r="B1692" t="s">
        <v>2017</v>
      </c>
      <c r="C1692" t="s">
        <v>2025</v>
      </c>
      <c r="D1692" t="s">
        <v>64</v>
      </c>
      <c r="E1692" t="s">
        <v>22</v>
      </c>
      <c r="F1692" t="s">
        <v>23</v>
      </c>
      <c r="G1692">
        <v>1</v>
      </c>
      <c r="H1692">
        <v>9791166300271</v>
      </c>
      <c r="I1692" t="s">
        <v>24</v>
      </c>
      <c r="J1692" t="s">
        <v>136</v>
      </c>
      <c r="K1692" t="s">
        <v>119</v>
      </c>
      <c r="L1692" t="s">
        <v>27</v>
      </c>
      <c r="M1692">
        <v>630</v>
      </c>
      <c r="N1692" t="s">
        <v>27</v>
      </c>
      <c r="O1692">
        <v>630</v>
      </c>
      <c r="P1692">
        <v>630</v>
      </c>
      <c r="Q1692" t="s">
        <v>30</v>
      </c>
      <c r="R1692" s="2">
        <v>0.7</v>
      </c>
      <c r="S1692">
        <v>441</v>
      </c>
      <c r="T1692" t="s">
        <v>27</v>
      </c>
      <c r="U1692">
        <v>441</v>
      </c>
      <c r="V1692" s="7" t="str">
        <f>IF(ISERROR(VLOOKUP(K1692,[1]작가별정산률!$R:$S,2,0)),"스토리위즈",VLOOKUP(K1692,[1]작가별정산률!$R:$S,2,0))</f>
        <v>스토리위즈</v>
      </c>
      <c r="W1692" s="7" t="str">
        <f>IF(V1692="스토리위즈",VLOOKUP(K1692,[1]작가별정산률!$A:$B,2,0),V1692)</f>
        <v>김광수</v>
      </c>
    </row>
    <row r="1693" spans="1:23" x14ac:dyDescent="0.4">
      <c r="A1693" t="s">
        <v>262</v>
      </c>
      <c r="B1693" t="s">
        <v>2017</v>
      </c>
      <c r="C1693" t="s">
        <v>1973</v>
      </c>
      <c r="D1693" t="s">
        <v>64</v>
      </c>
      <c r="E1693" t="s">
        <v>210</v>
      </c>
      <c r="F1693" t="s">
        <v>23</v>
      </c>
      <c r="G1693">
        <v>-1</v>
      </c>
      <c r="H1693">
        <v>9791159283253</v>
      </c>
      <c r="I1693" t="s">
        <v>24</v>
      </c>
      <c r="J1693" t="s">
        <v>68</v>
      </c>
      <c r="K1693" t="s">
        <v>37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-441</v>
      </c>
      <c r="T1693" t="s">
        <v>27</v>
      </c>
      <c r="U1693">
        <v>-441</v>
      </c>
      <c r="V1693" s="7" t="str">
        <f>IF(ISERROR(VLOOKUP(K1693,[1]작가별정산률!$R:$S,2,0)),"스토리위즈",VLOOKUP(K1693,[1]작가별정산률!$R:$S,2,0))</f>
        <v>스토리위즈</v>
      </c>
      <c r="W1693" s="7" t="str">
        <f>IF(V1693="스토리위즈",VLOOKUP(K1693,[1]작가별정산률!$A:$B,2,0),V1693)</f>
        <v>권용찬</v>
      </c>
    </row>
    <row r="1694" spans="1:23" x14ac:dyDescent="0.4">
      <c r="A1694" t="s">
        <v>262</v>
      </c>
      <c r="B1694" t="s">
        <v>2017</v>
      </c>
      <c r="C1694" t="s">
        <v>2026</v>
      </c>
      <c r="D1694" t="s">
        <v>21</v>
      </c>
      <c r="E1694" t="s">
        <v>22</v>
      </c>
      <c r="F1694" t="s">
        <v>23</v>
      </c>
      <c r="G1694">
        <v>1</v>
      </c>
      <c r="H1694">
        <v>9791166300561</v>
      </c>
      <c r="I1694" t="s">
        <v>24</v>
      </c>
      <c r="J1694" t="s">
        <v>158</v>
      </c>
      <c r="K1694" t="s">
        <v>119</v>
      </c>
      <c r="L1694" t="s">
        <v>27</v>
      </c>
      <c r="M1694" s="3">
        <v>3200</v>
      </c>
      <c r="N1694" t="s">
        <v>27</v>
      </c>
      <c r="O1694" s="3">
        <v>3200</v>
      </c>
      <c r="P1694" s="3">
        <v>3200</v>
      </c>
      <c r="Q1694" t="s">
        <v>30</v>
      </c>
      <c r="R1694" s="2">
        <v>0.7</v>
      </c>
      <c r="S1694" s="3">
        <v>2240</v>
      </c>
      <c r="T1694" t="s">
        <v>27</v>
      </c>
      <c r="U1694" s="3">
        <v>2240</v>
      </c>
      <c r="V1694" s="7" t="str">
        <f>IF(ISERROR(VLOOKUP(K1694,[1]작가별정산률!$R:$S,2,0)),"스토리위즈",VLOOKUP(K1694,[1]작가별정산률!$R:$S,2,0))</f>
        <v>스토리위즈</v>
      </c>
      <c r="W1694" s="7" t="str">
        <f>IF(V1694="스토리위즈",VLOOKUP(K1694,[1]작가별정산률!$A:$B,2,0),V1694)</f>
        <v>김광수</v>
      </c>
    </row>
    <row r="1695" spans="1:23" x14ac:dyDescent="0.4">
      <c r="A1695" t="s">
        <v>262</v>
      </c>
      <c r="B1695" t="s">
        <v>2017</v>
      </c>
      <c r="C1695" t="s">
        <v>2026</v>
      </c>
      <c r="D1695" t="s">
        <v>21</v>
      </c>
      <c r="E1695" t="s">
        <v>22</v>
      </c>
      <c r="F1695" t="s">
        <v>23</v>
      </c>
      <c r="G1695">
        <v>1</v>
      </c>
      <c r="H1695">
        <v>9791166300578</v>
      </c>
      <c r="I1695" t="s">
        <v>24</v>
      </c>
      <c r="J1695" t="s">
        <v>159</v>
      </c>
      <c r="K1695" t="s">
        <v>119</v>
      </c>
      <c r="L1695" t="s">
        <v>27</v>
      </c>
      <c r="M1695" s="3">
        <v>3200</v>
      </c>
      <c r="N1695" t="s">
        <v>27</v>
      </c>
      <c r="O1695" s="3">
        <v>3200</v>
      </c>
      <c r="P1695" s="3">
        <v>3200</v>
      </c>
      <c r="Q1695" t="s">
        <v>30</v>
      </c>
      <c r="R1695" s="2">
        <v>0.7</v>
      </c>
      <c r="S1695" s="3">
        <v>2240</v>
      </c>
      <c r="T1695" t="s">
        <v>27</v>
      </c>
      <c r="U1695" s="3">
        <v>2240</v>
      </c>
      <c r="V1695" s="7" t="str">
        <f>IF(ISERROR(VLOOKUP(K1695,[1]작가별정산률!$R:$S,2,0)),"스토리위즈",VLOOKUP(K1695,[1]작가별정산률!$R:$S,2,0))</f>
        <v>스토리위즈</v>
      </c>
      <c r="W1695" s="7" t="str">
        <f>IF(V1695="스토리위즈",VLOOKUP(K1695,[1]작가별정산률!$A:$B,2,0),V1695)</f>
        <v>김광수</v>
      </c>
    </row>
    <row r="1696" spans="1:23" x14ac:dyDescent="0.4">
      <c r="A1696" t="s">
        <v>262</v>
      </c>
      <c r="B1696" t="s">
        <v>2017</v>
      </c>
      <c r="C1696" t="s">
        <v>2027</v>
      </c>
      <c r="D1696" t="s">
        <v>64</v>
      </c>
      <c r="E1696" t="s">
        <v>22</v>
      </c>
      <c r="F1696" t="s">
        <v>23</v>
      </c>
      <c r="G1696">
        <v>1</v>
      </c>
      <c r="H1696">
        <v>9791159283208</v>
      </c>
      <c r="I1696" t="s">
        <v>24</v>
      </c>
      <c r="J1696" t="s">
        <v>105</v>
      </c>
      <c r="K1696" t="s">
        <v>37</v>
      </c>
      <c r="L1696" t="s">
        <v>27</v>
      </c>
      <c r="M1696">
        <v>630</v>
      </c>
      <c r="N1696" t="s">
        <v>27</v>
      </c>
      <c r="O1696">
        <v>630</v>
      </c>
      <c r="P1696">
        <v>630</v>
      </c>
      <c r="Q1696" t="s">
        <v>30</v>
      </c>
      <c r="R1696" s="2">
        <v>0.7</v>
      </c>
      <c r="S1696">
        <v>441</v>
      </c>
      <c r="T1696" t="s">
        <v>27</v>
      </c>
      <c r="U1696">
        <v>441</v>
      </c>
      <c r="V1696" s="7" t="str">
        <f>IF(ISERROR(VLOOKUP(K1696,[1]작가별정산률!$R:$S,2,0)),"스토리위즈",VLOOKUP(K1696,[1]작가별정산률!$R:$S,2,0))</f>
        <v>스토리위즈</v>
      </c>
      <c r="W1696" s="7" t="str">
        <f>IF(V1696="스토리위즈",VLOOKUP(K1696,[1]작가별정산률!$A:$B,2,0),V1696)</f>
        <v>권용찬</v>
      </c>
    </row>
    <row r="1697" spans="1:23" x14ac:dyDescent="0.4">
      <c r="A1697" t="s">
        <v>262</v>
      </c>
      <c r="B1697" t="s">
        <v>2017</v>
      </c>
      <c r="C1697" t="s">
        <v>2028</v>
      </c>
      <c r="D1697" t="s">
        <v>64</v>
      </c>
      <c r="E1697" t="s">
        <v>22</v>
      </c>
      <c r="F1697" t="s">
        <v>23</v>
      </c>
      <c r="G1697">
        <v>1</v>
      </c>
      <c r="H1697">
        <v>9791188630202</v>
      </c>
      <c r="I1697" t="s">
        <v>24</v>
      </c>
      <c r="J1697" t="s">
        <v>45</v>
      </c>
      <c r="K1697" t="s">
        <v>41</v>
      </c>
      <c r="L1697" t="s">
        <v>27</v>
      </c>
      <c r="M1697">
        <v>630</v>
      </c>
      <c r="N1697" t="s">
        <v>27</v>
      </c>
      <c r="O1697">
        <v>630</v>
      </c>
      <c r="P1697">
        <v>630</v>
      </c>
      <c r="Q1697" t="s">
        <v>30</v>
      </c>
      <c r="R1697" s="2">
        <v>0.7</v>
      </c>
      <c r="S1697">
        <v>441</v>
      </c>
      <c r="T1697" t="s">
        <v>27</v>
      </c>
      <c r="U1697">
        <v>441</v>
      </c>
      <c r="V1697" s="7" t="str">
        <f>IF(ISERROR(VLOOKUP(K1697,[1]작가별정산률!$R:$S,2,0)),"스토리위즈",VLOOKUP(K1697,[1]작가별정산률!$R:$S,2,0))</f>
        <v>스토리위즈</v>
      </c>
      <c r="W1697" s="7" t="str">
        <f>IF(V1697="스토리위즈",VLOOKUP(K1697,[1]작가별정산률!$A:$B,2,0),V1697)</f>
        <v>무장</v>
      </c>
    </row>
    <row r="1698" spans="1:23" x14ac:dyDescent="0.4">
      <c r="A1698" t="s">
        <v>262</v>
      </c>
      <c r="B1698" t="s">
        <v>2017</v>
      </c>
      <c r="C1698" t="s">
        <v>2029</v>
      </c>
      <c r="D1698" t="s">
        <v>21</v>
      </c>
      <c r="E1698" t="s">
        <v>22</v>
      </c>
      <c r="F1698" t="s">
        <v>23</v>
      </c>
      <c r="G1698">
        <v>1</v>
      </c>
      <c r="H1698">
        <v>9791191562439</v>
      </c>
      <c r="I1698" t="s">
        <v>143</v>
      </c>
      <c r="J1698" t="s">
        <v>1661</v>
      </c>
      <c r="K1698" t="s">
        <v>188</v>
      </c>
      <c r="L1698" t="s">
        <v>27</v>
      </c>
      <c r="M1698" s="3">
        <v>2500</v>
      </c>
      <c r="N1698" t="s">
        <v>27</v>
      </c>
      <c r="O1698" s="3">
        <v>2500</v>
      </c>
      <c r="P1698" s="3">
        <v>2500</v>
      </c>
      <c r="Q1698" t="s">
        <v>30</v>
      </c>
      <c r="R1698" s="2">
        <v>0.7</v>
      </c>
      <c r="S1698" s="3">
        <v>1750</v>
      </c>
      <c r="T1698" t="s">
        <v>27</v>
      </c>
      <c r="U1698" s="3">
        <v>1750</v>
      </c>
      <c r="V1698" s="7" t="str">
        <f>IF(ISERROR(VLOOKUP(K1698,[1]작가별정산률!$R:$S,2,0)),"스토리위즈",VLOOKUP(K1698,[1]작가별정산률!$R:$S,2,0))</f>
        <v>밀리의 서재</v>
      </c>
      <c r="W1698" s="7" t="str">
        <f>IF(V1698="스토리위즈",VLOOKUP(K1698,[1]작가별정산률!$A:$B,2,0),V1698)</f>
        <v>밀리의 서재</v>
      </c>
    </row>
    <row r="1699" spans="1:23" x14ac:dyDescent="0.4">
      <c r="A1699" t="s">
        <v>262</v>
      </c>
      <c r="B1699" t="s">
        <v>2017</v>
      </c>
      <c r="C1699" t="s">
        <v>2030</v>
      </c>
      <c r="D1699" t="s">
        <v>21</v>
      </c>
      <c r="E1699" t="s">
        <v>22</v>
      </c>
      <c r="F1699" t="s">
        <v>23</v>
      </c>
      <c r="G1699">
        <v>1</v>
      </c>
      <c r="H1699">
        <v>9791191562286</v>
      </c>
      <c r="I1699" t="s">
        <v>143</v>
      </c>
      <c r="J1699" t="s">
        <v>238</v>
      </c>
      <c r="K1699" t="s">
        <v>239</v>
      </c>
      <c r="L1699" t="s">
        <v>27</v>
      </c>
      <c r="M1699" s="3">
        <v>2000</v>
      </c>
      <c r="N1699" t="s">
        <v>243</v>
      </c>
      <c r="O1699">
        <v>1.26</v>
      </c>
      <c r="P1699">
        <v>1.26</v>
      </c>
      <c r="Q1699" t="s">
        <v>244</v>
      </c>
      <c r="R1699" s="2">
        <v>0.7</v>
      </c>
      <c r="S1699">
        <v>0.88</v>
      </c>
      <c r="T1699" t="s">
        <v>27</v>
      </c>
      <c r="U1699" s="3">
        <v>1391</v>
      </c>
      <c r="V1699" s="7" t="str">
        <f>IF(ISERROR(VLOOKUP(K1699,[1]작가별정산률!$R:$S,2,0)),"스토리위즈",VLOOKUP(K1699,[1]작가별정산률!$R:$S,2,0))</f>
        <v>밀리의 서재</v>
      </c>
      <c r="W1699" s="7" t="str">
        <f>IF(V1699="스토리위즈",VLOOKUP(K1699,[1]작가별정산률!$A:$B,2,0),V1699)</f>
        <v>밀리의 서재</v>
      </c>
    </row>
    <row r="1700" spans="1:23" x14ac:dyDescent="0.4">
      <c r="A1700" t="s">
        <v>262</v>
      </c>
      <c r="B1700" t="s">
        <v>2017</v>
      </c>
      <c r="C1700" t="s">
        <v>2031</v>
      </c>
      <c r="D1700" t="s">
        <v>64</v>
      </c>
      <c r="E1700" t="s">
        <v>22</v>
      </c>
      <c r="F1700" t="s">
        <v>23</v>
      </c>
      <c r="G1700">
        <v>1</v>
      </c>
      <c r="H1700">
        <v>9791166300134</v>
      </c>
      <c r="I1700" t="s">
        <v>24</v>
      </c>
      <c r="J1700" t="s">
        <v>123</v>
      </c>
      <c r="K1700" t="s">
        <v>119</v>
      </c>
      <c r="L1700" t="s">
        <v>27</v>
      </c>
      <c r="M1700">
        <v>630</v>
      </c>
      <c r="N1700" t="s">
        <v>27</v>
      </c>
      <c r="O1700">
        <v>630</v>
      </c>
      <c r="P1700">
        <v>630</v>
      </c>
      <c r="Q1700" t="s">
        <v>30</v>
      </c>
      <c r="R1700" s="2">
        <v>0.7</v>
      </c>
      <c r="S1700">
        <v>441</v>
      </c>
      <c r="T1700" t="s">
        <v>27</v>
      </c>
      <c r="U1700">
        <v>441</v>
      </c>
      <c r="V1700" s="7" t="str">
        <f>IF(ISERROR(VLOOKUP(K1700,[1]작가별정산률!$R:$S,2,0)),"스토리위즈",VLOOKUP(K1700,[1]작가별정산률!$R:$S,2,0))</f>
        <v>스토리위즈</v>
      </c>
      <c r="W1700" s="7" t="str">
        <f>IF(V1700="스토리위즈",VLOOKUP(K1700,[1]작가별정산률!$A:$B,2,0),V1700)</f>
        <v>김광수</v>
      </c>
    </row>
    <row r="1701" spans="1:23" x14ac:dyDescent="0.4">
      <c r="A1701" t="s">
        <v>262</v>
      </c>
      <c r="B1701" t="s">
        <v>2017</v>
      </c>
      <c r="C1701" t="s">
        <v>2032</v>
      </c>
      <c r="D1701" t="s">
        <v>21</v>
      </c>
      <c r="E1701" t="s">
        <v>22</v>
      </c>
      <c r="F1701" t="s">
        <v>23</v>
      </c>
      <c r="G1701">
        <v>1</v>
      </c>
      <c r="H1701">
        <v>9791164370177</v>
      </c>
      <c r="I1701" t="s">
        <v>143</v>
      </c>
      <c r="J1701" t="s">
        <v>1979</v>
      </c>
      <c r="K1701" t="s">
        <v>1035</v>
      </c>
      <c r="L1701" t="s">
        <v>27</v>
      </c>
      <c r="M1701" s="3">
        <v>2500</v>
      </c>
      <c r="N1701" t="s">
        <v>27</v>
      </c>
      <c r="O1701" s="3">
        <v>2500</v>
      </c>
      <c r="P1701" s="3">
        <v>2500</v>
      </c>
      <c r="Q1701" t="s">
        <v>30</v>
      </c>
      <c r="R1701" s="2">
        <v>0.7</v>
      </c>
      <c r="S1701" s="3">
        <v>1750</v>
      </c>
      <c r="T1701" t="s">
        <v>27</v>
      </c>
      <c r="U1701" s="3">
        <v>1750</v>
      </c>
      <c r="V1701" s="7" t="str">
        <f>IF(ISERROR(VLOOKUP(K1701,[1]작가별정산률!$R:$S,2,0)),"스토리위즈",VLOOKUP(K1701,[1]작가별정산률!$R:$S,2,0))</f>
        <v>스토리위즈</v>
      </c>
      <c r="W1701" s="7" t="str">
        <f>IF(V1701="스토리위즈",VLOOKUP(K1701,[1]작가별정산률!$A:$B,2,0),V1701)</f>
        <v>모리미</v>
      </c>
    </row>
    <row r="1702" spans="1:23" x14ac:dyDescent="0.4">
      <c r="A1702" t="s">
        <v>262</v>
      </c>
      <c r="B1702" t="s">
        <v>2017</v>
      </c>
      <c r="C1702" t="s">
        <v>2033</v>
      </c>
      <c r="D1702" t="s">
        <v>21</v>
      </c>
      <c r="E1702" t="s">
        <v>22</v>
      </c>
      <c r="F1702" t="s">
        <v>23</v>
      </c>
      <c r="G1702">
        <v>1</v>
      </c>
      <c r="H1702">
        <v>9791189084813</v>
      </c>
      <c r="I1702" t="s">
        <v>143</v>
      </c>
      <c r="J1702" t="s">
        <v>563</v>
      </c>
      <c r="K1702" t="s">
        <v>564</v>
      </c>
      <c r="L1702" t="s">
        <v>27</v>
      </c>
      <c r="M1702" s="3">
        <v>4000</v>
      </c>
      <c r="N1702" t="s">
        <v>27</v>
      </c>
      <c r="O1702" s="3">
        <v>4000</v>
      </c>
      <c r="P1702" s="3">
        <v>4000</v>
      </c>
      <c r="Q1702" t="s">
        <v>30</v>
      </c>
      <c r="R1702" s="2">
        <v>0.7</v>
      </c>
      <c r="S1702" s="3">
        <v>2800</v>
      </c>
      <c r="T1702" t="s">
        <v>27</v>
      </c>
      <c r="U1702" s="3">
        <v>2800</v>
      </c>
      <c r="V1702" s="7" t="str">
        <f>IF(ISERROR(VLOOKUP(K1702,[1]작가별정산률!$R:$S,2,0)),"스토리위즈",VLOOKUP(K1702,[1]작가별정산률!$R:$S,2,0))</f>
        <v>스토리위즈</v>
      </c>
      <c r="W1702" s="7" t="str">
        <f>IF(V1702="스토리위즈",VLOOKUP(K1702,[1]작가별정산률!$A:$B,2,0),V1702)</f>
        <v>셔틀</v>
      </c>
    </row>
    <row r="1703" spans="1:23" x14ac:dyDescent="0.4">
      <c r="A1703" t="s">
        <v>262</v>
      </c>
      <c r="B1703" t="s">
        <v>2017</v>
      </c>
      <c r="C1703" t="s">
        <v>2034</v>
      </c>
      <c r="D1703" t="s">
        <v>21</v>
      </c>
      <c r="E1703" t="s">
        <v>22</v>
      </c>
      <c r="F1703" t="s">
        <v>23</v>
      </c>
      <c r="G1703">
        <v>1</v>
      </c>
      <c r="H1703">
        <v>9791166300554</v>
      </c>
      <c r="I1703" t="s">
        <v>24</v>
      </c>
      <c r="J1703" t="s">
        <v>154</v>
      </c>
      <c r="K1703" t="s">
        <v>119</v>
      </c>
      <c r="L1703" t="s">
        <v>27</v>
      </c>
      <c r="M1703" s="3">
        <v>3200</v>
      </c>
      <c r="N1703" t="s">
        <v>27</v>
      </c>
      <c r="O1703" s="3">
        <v>3200</v>
      </c>
      <c r="P1703" s="3">
        <v>3200</v>
      </c>
      <c r="Q1703" t="s">
        <v>30</v>
      </c>
      <c r="R1703" s="2">
        <v>0.7</v>
      </c>
      <c r="S1703" s="3">
        <v>2240</v>
      </c>
      <c r="T1703" t="s">
        <v>27</v>
      </c>
      <c r="U1703" s="3">
        <v>2240</v>
      </c>
      <c r="V1703" s="7" t="str">
        <f>IF(ISERROR(VLOOKUP(K1703,[1]작가별정산률!$R:$S,2,0)),"스토리위즈",VLOOKUP(K1703,[1]작가별정산률!$R:$S,2,0))</f>
        <v>스토리위즈</v>
      </c>
      <c r="W1703" s="7" t="str">
        <f>IF(V1703="스토리위즈",VLOOKUP(K1703,[1]작가별정산률!$A:$B,2,0),V1703)</f>
        <v>김광수</v>
      </c>
    </row>
    <row r="1704" spans="1:23" x14ac:dyDescent="0.4">
      <c r="A1704" t="s">
        <v>262</v>
      </c>
      <c r="B1704" t="s">
        <v>2017</v>
      </c>
      <c r="C1704" t="s">
        <v>2035</v>
      </c>
      <c r="D1704" t="s">
        <v>64</v>
      </c>
      <c r="E1704" t="s">
        <v>22</v>
      </c>
      <c r="F1704" t="s">
        <v>23</v>
      </c>
      <c r="G1704">
        <v>1</v>
      </c>
      <c r="H1704">
        <v>9791166300196</v>
      </c>
      <c r="I1704" t="s">
        <v>24</v>
      </c>
      <c r="J1704" t="s">
        <v>128</v>
      </c>
      <c r="K1704" t="s">
        <v>119</v>
      </c>
      <c r="L1704" t="s">
        <v>27</v>
      </c>
      <c r="M1704">
        <v>630</v>
      </c>
      <c r="N1704" t="s">
        <v>27</v>
      </c>
      <c r="O1704">
        <v>630</v>
      </c>
      <c r="P1704">
        <v>630</v>
      </c>
      <c r="Q1704" t="s">
        <v>30</v>
      </c>
      <c r="R1704" s="2">
        <v>0.7</v>
      </c>
      <c r="S1704">
        <v>441</v>
      </c>
      <c r="T1704" t="s">
        <v>27</v>
      </c>
      <c r="U1704">
        <v>441</v>
      </c>
      <c r="V1704" s="7" t="str">
        <f>IF(ISERROR(VLOOKUP(K1704,[1]작가별정산률!$R:$S,2,0)),"스토리위즈",VLOOKUP(K1704,[1]작가별정산률!$R:$S,2,0))</f>
        <v>스토리위즈</v>
      </c>
      <c r="W1704" s="7" t="str">
        <f>IF(V1704="스토리위즈",VLOOKUP(K1704,[1]작가별정산률!$A:$B,2,0),V1704)</f>
        <v>김광수</v>
      </c>
    </row>
    <row r="1705" spans="1:23" x14ac:dyDescent="0.4">
      <c r="A1705" t="s">
        <v>262</v>
      </c>
      <c r="B1705" t="s">
        <v>2017</v>
      </c>
      <c r="C1705" t="s">
        <v>2036</v>
      </c>
      <c r="D1705" t="s">
        <v>64</v>
      </c>
      <c r="E1705" t="s">
        <v>22</v>
      </c>
      <c r="F1705" t="s">
        <v>23</v>
      </c>
      <c r="G1705">
        <v>1</v>
      </c>
      <c r="H1705">
        <v>9791166300622</v>
      </c>
      <c r="I1705" t="s">
        <v>24</v>
      </c>
      <c r="J1705" t="s">
        <v>164</v>
      </c>
      <c r="K1705" t="s">
        <v>119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2">
        <v>0.7</v>
      </c>
      <c r="S1705">
        <v>441</v>
      </c>
      <c r="T1705" t="s">
        <v>27</v>
      </c>
      <c r="U1705">
        <v>441</v>
      </c>
      <c r="V1705" s="7" t="str">
        <f>IF(ISERROR(VLOOKUP(K1705,[1]작가별정산률!$R:$S,2,0)),"스토리위즈",VLOOKUP(K1705,[1]작가별정산률!$R:$S,2,0))</f>
        <v>스토리위즈</v>
      </c>
      <c r="W1705" s="7" t="str">
        <f>IF(V1705="스토리위즈",VLOOKUP(K1705,[1]작가별정산률!$A:$B,2,0),V1705)</f>
        <v>김광수</v>
      </c>
    </row>
    <row r="1706" spans="1:23" x14ac:dyDescent="0.4">
      <c r="A1706" t="s">
        <v>262</v>
      </c>
      <c r="B1706" t="s">
        <v>2017</v>
      </c>
      <c r="C1706" t="s">
        <v>2037</v>
      </c>
      <c r="D1706" t="s">
        <v>21</v>
      </c>
      <c r="E1706" t="s">
        <v>22</v>
      </c>
      <c r="F1706" t="s">
        <v>23</v>
      </c>
      <c r="G1706">
        <v>1</v>
      </c>
      <c r="H1706">
        <v>9791191562439</v>
      </c>
      <c r="I1706" t="s">
        <v>143</v>
      </c>
      <c r="J1706" t="s">
        <v>1661</v>
      </c>
      <c r="K1706" t="s">
        <v>188</v>
      </c>
      <c r="L1706" t="s">
        <v>27</v>
      </c>
      <c r="M1706" s="3">
        <v>2500</v>
      </c>
      <c r="N1706" t="s">
        <v>27</v>
      </c>
      <c r="O1706" s="3">
        <v>2500</v>
      </c>
      <c r="P1706" s="3">
        <v>2500</v>
      </c>
      <c r="Q1706" t="s">
        <v>30</v>
      </c>
      <c r="R1706" s="2">
        <v>0.7</v>
      </c>
      <c r="S1706" s="3">
        <v>1750</v>
      </c>
      <c r="T1706" t="s">
        <v>27</v>
      </c>
      <c r="U1706" s="3">
        <v>1750</v>
      </c>
      <c r="V1706" s="7" t="str">
        <f>IF(ISERROR(VLOOKUP(K1706,[1]작가별정산률!$R:$S,2,0)),"스토리위즈",VLOOKUP(K1706,[1]작가별정산률!$R:$S,2,0))</f>
        <v>밀리의 서재</v>
      </c>
      <c r="W1706" s="7" t="str">
        <f>IF(V1706="스토리위즈",VLOOKUP(K1706,[1]작가별정산률!$A:$B,2,0),V1706)</f>
        <v>밀리의 서재</v>
      </c>
    </row>
    <row r="1707" spans="1:23" x14ac:dyDescent="0.4">
      <c r="A1707" t="s">
        <v>262</v>
      </c>
      <c r="B1707" t="s">
        <v>2017</v>
      </c>
      <c r="C1707" t="s">
        <v>2038</v>
      </c>
      <c r="D1707" t="s">
        <v>21</v>
      </c>
      <c r="E1707" t="s">
        <v>22</v>
      </c>
      <c r="F1707" t="s">
        <v>23</v>
      </c>
      <c r="G1707">
        <v>1</v>
      </c>
      <c r="H1707">
        <v>9791189084813</v>
      </c>
      <c r="I1707" t="s">
        <v>143</v>
      </c>
      <c r="J1707" t="s">
        <v>563</v>
      </c>
      <c r="K1707" t="s">
        <v>564</v>
      </c>
      <c r="L1707" t="s">
        <v>27</v>
      </c>
      <c r="M1707" s="3">
        <v>4000</v>
      </c>
      <c r="N1707" t="s">
        <v>27</v>
      </c>
      <c r="O1707" s="3">
        <v>4000</v>
      </c>
      <c r="P1707" s="3">
        <v>4000</v>
      </c>
      <c r="Q1707" t="s">
        <v>30</v>
      </c>
      <c r="R1707" s="2">
        <v>0.7</v>
      </c>
      <c r="S1707" s="3">
        <v>2800</v>
      </c>
      <c r="T1707" t="s">
        <v>27</v>
      </c>
      <c r="U1707" s="3">
        <v>2800</v>
      </c>
      <c r="V1707" s="7" t="str">
        <f>IF(ISERROR(VLOOKUP(K1707,[1]작가별정산률!$R:$S,2,0)),"스토리위즈",VLOOKUP(K1707,[1]작가별정산률!$R:$S,2,0))</f>
        <v>스토리위즈</v>
      </c>
      <c r="W1707" s="7" t="str">
        <f>IF(V1707="스토리위즈",VLOOKUP(K1707,[1]작가별정산률!$A:$B,2,0),V1707)</f>
        <v>셔틀</v>
      </c>
    </row>
    <row r="1708" spans="1:23" x14ac:dyDescent="0.4">
      <c r="A1708" t="s">
        <v>262</v>
      </c>
      <c r="B1708" t="s">
        <v>2017</v>
      </c>
      <c r="C1708" t="s">
        <v>2039</v>
      </c>
      <c r="D1708" t="s">
        <v>21</v>
      </c>
      <c r="E1708" t="s">
        <v>22</v>
      </c>
      <c r="F1708" t="s">
        <v>23</v>
      </c>
      <c r="G1708">
        <v>1</v>
      </c>
      <c r="H1708">
        <v>9791191562200</v>
      </c>
      <c r="I1708" t="s">
        <v>143</v>
      </c>
      <c r="J1708" t="s">
        <v>2040</v>
      </c>
      <c r="K1708" t="s">
        <v>2041</v>
      </c>
      <c r="L1708" t="s">
        <v>27</v>
      </c>
      <c r="M1708" s="3">
        <v>2000</v>
      </c>
      <c r="N1708" t="s">
        <v>27</v>
      </c>
      <c r="O1708" s="3">
        <v>2000</v>
      </c>
      <c r="P1708" s="3">
        <v>2000</v>
      </c>
      <c r="Q1708" t="s">
        <v>30</v>
      </c>
      <c r="R1708" s="2">
        <v>0.7</v>
      </c>
      <c r="S1708" s="3">
        <v>1400</v>
      </c>
      <c r="T1708" t="s">
        <v>27</v>
      </c>
      <c r="U1708" s="3">
        <v>1400</v>
      </c>
      <c r="V1708" s="7" t="str">
        <f>IF(ISERROR(VLOOKUP(K1708,[1]작가별정산률!$R:$S,2,0)),"스토리위즈",VLOOKUP(K1708,[1]작가별정산률!$R:$S,2,0))</f>
        <v>밀리의 서재</v>
      </c>
      <c r="W1708" s="7" t="str">
        <f>IF(V1708="스토리위즈",VLOOKUP(K1708,[1]작가별정산률!$A:$B,2,0),V1708)</f>
        <v>밀리의 서재</v>
      </c>
    </row>
    <row r="1709" spans="1:23" x14ac:dyDescent="0.4">
      <c r="A1709" t="s">
        <v>262</v>
      </c>
      <c r="B1709" t="s">
        <v>2017</v>
      </c>
      <c r="C1709" t="s">
        <v>2042</v>
      </c>
      <c r="D1709" t="s">
        <v>21</v>
      </c>
      <c r="E1709" t="s">
        <v>22</v>
      </c>
      <c r="F1709" t="s">
        <v>23</v>
      </c>
      <c r="G1709">
        <v>1</v>
      </c>
      <c r="H1709">
        <v>9791191562415</v>
      </c>
      <c r="I1709" t="s">
        <v>143</v>
      </c>
      <c r="J1709" t="s">
        <v>1077</v>
      </c>
      <c r="K1709" t="s">
        <v>1078</v>
      </c>
      <c r="L1709" t="s">
        <v>27</v>
      </c>
      <c r="M1709" s="3">
        <v>2000</v>
      </c>
      <c r="N1709" t="s">
        <v>27</v>
      </c>
      <c r="O1709" s="3">
        <v>2000</v>
      </c>
      <c r="P1709" s="3">
        <v>2000</v>
      </c>
      <c r="Q1709" t="s">
        <v>30</v>
      </c>
      <c r="R1709" s="2">
        <v>0.7</v>
      </c>
      <c r="S1709" s="3">
        <v>1400</v>
      </c>
      <c r="T1709" t="s">
        <v>27</v>
      </c>
      <c r="U1709" s="3">
        <v>1400</v>
      </c>
      <c r="V1709" s="7" t="str">
        <f>IF(ISERROR(VLOOKUP(K1709,[1]작가별정산률!$R:$S,2,0)),"스토리위즈",VLOOKUP(K1709,[1]작가별정산률!$R:$S,2,0))</f>
        <v>밀리의 서재</v>
      </c>
      <c r="W1709" s="7" t="str">
        <f>IF(V1709="스토리위즈",VLOOKUP(K1709,[1]작가별정산률!$A:$B,2,0),V1709)</f>
        <v>밀리의 서재</v>
      </c>
    </row>
    <row r="1710" spans="1:23" x14ac:dyDescent="0.4">
      <c r="A1710" t="s">
        <v>262</v>
      </c>
      <c r="B1710" t="s">
        <v>2017</v>
      </c>
      <c r="C1710" t="s">
        <v>2043</v>
      </c>
      <c r="D1710" t="s">
        <v>21</v>
      </c>
      <c r="E1710" t="s">
        <v>22</v>
      </c>
      <c r="F1710" t="s">
        <v>23</v>
      </c>
      <c r="G1710">
        <v>1</v>
      </c>
      <c r="H1710">
        <v>9791189627089</v>
      </c>
      <c r="I1710" t="s">
        <v>143</v>
      </c>
      <c r="J1710" t="s">
        <v>1066</v>
      </c>
      <c r="K1710" t="s">
        <v>1035</v>
      </c>
      <c r="L1710" t="s">
        <v>27</v>
      </c>
      <c r="M1710" s="3">
        <v>2200</v>
      </c>
      <c r="N1710" t="s">
        <v>27</v>
      </c>
      <c r="O1710" s="3">
        <v>2200</v>
      </c>
      <c r="P1710" s="3">
        <v>2200</v>
      </c>
      <c r="Q1710" t="s">
        <v>30</v>
      </c>
      <c r="R1710" s="2">
        <v>0.7</v>
      </c>
      <c r="S1710" s="3">
        <v>1540</v>
      </c>
      <c r="T1710" t="s">
        <v>27</v>
      </c>
      <c r="U1710" s="3">
        <v>1540</v>
      </c>
      <c r="V1710" s="7" t="str">
        <f>IF(ISERROR(VLOOKUP(K1710,[1]작가별정산률!$R:$S,2,0)),"스토리위즈",VLOOKUP(K1710,[1]작가별정산률!$R:$S,2,0))</f>
        <v>스토리위즈</v>
      </c>
      <c r="W1710" s="7" t="str">
        <f>IF(V1710="스토리위즈",VLOOKUP(K1710,[1]작가별정산률!$A:$B,2,0),V1710)</f>
        <v>모리미</v>
      </c>
    </row>
    <row r="1711" spans="1:23" x14ac:dyDescent="0.4">
      <c r="A1711" t="s">
        <v>262</v>
      </c>
      <c r="B1711" t="s">
        <v>2017</v>
      </c>
      <c r="C1711" t="s">
        <v>2044</v>
      </c>
      <c r="D1711" t="s">
        <v>64</v>
      </c>
      <c r="E1711" t="s">
        <v>22</v>
      </c>
      <c r="F1711" t="s">
        <v>23</v>
      </c>
      <c r="G1711">
        <v>1</v>
      </c>
      <c r="H1711">
        <v>9791159285011</v>
      </c>
      <c r="I1711" t="s">
        <v>24</v>
      </c>
      <c r="J1711" t="s">
        <v>54</v>
      </c>
      <c r="K1711" t="s">
        <v>47</v>
      </c>
      <c r="L1711" t="s">
        <v>27</v>
      </c>
      <c r="M1711">
        <v>630</v>
      </c>
      <c r="N1711" t="s">
        <v>27</v>
      </c>
      <c r="O1711">
        <v>630</v>
      </c>
      <c r="P1711">
        <v>630</v>
      </c>
      <c r="Q1711" t="s">
        <v>30</v>
      </c>
      <c r="R1711" s="2">
        <v>0.7</v>
      </c>
      <c r="S1711">
        <v>441</v>
      </c>
      <c r="T1711" t="s">
        <v>27</v>
      </c>
      <c r="U1711">
        <v>441</v>
      </c>
      <c r="V1711" s="7" t="str">
        <f>IF(ISERROR(VLOOKUP(K1711,[1]작가별정산률!$R:$S,2,0)),"스토리위즈",VLOOKUP(K1711,[1]작가별정산률!$R:$S,2,0))</f>
        <v>스토리위즈</v>
      </c>
      <c r="W1711" s="7" t="str">
        <f>IF(V1711="스토리위즈",VLOOKUP(K1711,[1]작가별정산률!$A:$B,2,0),V1711)</f>
        <v>전혁</v>
      </c>
    </row>
    <row r="1712" spans="1:23" x14ac:dyDescent="0.4">
      <c r="A1712" t="s">
        <v>262</v>
      </c>
      <c r="B1712" t="s">
        <v>2017</v>
      </c>
      <c r="C1712" t="s">
        <v>2045</v>
      </c>
      <c r="D1712" t="s">
        <v>21</v>
      </c>
      <c r="E1712" t="s">
        <v>22</v>
      </c>
      <c r="F1712" t="s">
        <v>23</v>
      </c>
      <c r="G1712">
        <v>1</v>
      </c>
      <c r="H1712">
        <v>9791191562262</v>
      </c>
      <c r="I1712" t="s">
        <v>143</v>
      </c>
      <c r="J1712" t="s">
        <v>250</v>
      </c>
      <c r="K1712" t="s">
        <v>251</v>
      </c>
      <c r="L1712" t="s">
        <v>27</v>
      </c>
      <c r="M1712" s="3">
        <v>2000</v>
      </c>
      <c r="N1712" t="s">
        <v>27</v>
      </c>
      <c r="O1712" s="3">
        <v>2000</v>
      </c>
      <c r="P1712" s="3">
        <v>2000</v>
      </c>
      <c r="Q1712" t="s">
        <v>30</v>
      </c>
      <c r="R1712" s="2">
        <v>0.7</v>
      </c>
      <c r="S1712" s="3">
        <v>1400</v>
      </c>
      <c r="T1712" t="s">
        <v>27</v>
      </c>
      <c r="U1712" s="3">
        <v>1400</v>
      </c>
      <c r="V1712" s="7" t="str">
        <f>IF(ISERROR(VLOOKUP(K1712,[1]작가별정산률!$R:$S,2,0)),"스토리위즈",VLOOKUP(K1712,[1]작가별정산률!$R:$S,2,0))</f>
        <v>밀리의 서재</v>
      </c>
      <c r="W1712" s="7" t="str">
        <f>IF(V1712="스토리위즈",VLOOKUP(K1712,[1]작가별정산률!$A:$B,2,0),V1712)</f>
        <v>밀리의 서재</v>
      </c>
    </row>
    <row r="1713" spans="1:23" x14ac:dyDescent="0.4">
      <c r="A1713" t="s">
        <v>262</v>
      </c>
      <c r="B1713" t="s">
        <v>2017</v>
      </c>
      <c r="C1713" t="s">
        <v>2046</v>
      </c>
      <c r="D1713" t="s">
        <v>21</v>
      </c>
      <c r="E1713" t="s">
        <v>22</v>
      </c>
      <c r="F1713" t="s">
        <v>23</v>
      </c>
      <c r="G1713">
        <v>1</v>
      </c>
      <c r="H1713">
        <v>9791164370184</v>
      </c>
      <c r="I1713" t="s">
        <v>143</v>
      </c>
      <c r="J1713" t="s">
        <v>1996</v>
      </c>
      <c r="K1713" t="s">
        <v>1035</v>
      </c>
      <c r="L1713" t="s">
        <v>27</v>
      </c>
      <c r="M1713" s="3">
        <v>2500</v>
      </c>
      <c r="N1713" t="s">
        <v>27</v>
      </c>
      <c r="O1713" s="3">
        <v>2500</v>
      </c>
      <c r="P1713" s="3">
        <v>2500</v>
      </c>
      <c r="Q1713" t="s">
        <v>30</v>
      </c>
      <c r="R1713" s="2">
        <v>0.7</v>
      </c>
      <c r="S1713" s="3">
        <v>1750</v>
      </c>
      <c r="T1713" t="s">
        <v>27</v>
      </c>
      <c r="U1713" s="3">
        <v>1750</v>
      </c>
      <c r="V1713" s="7" t="str">
        <f>IF(ISERROR(VLOOKUP(K1713,[1]작가별정산률!$R:$S,2,0)),"스토리위즈",VLOOKUP(K1713,[1]작가별정산률!$R:$S,2,0))</f>
        <v>스토리위즈</v>
      </c>
      <c r="W1713" s="7" t="str">
        <f>IF(V1713="스토리위즈",VLOOKUP(K1713,[1]작가별정산률!$A:$B,2,0),V1713)</f>
        <v>모리미</v>
      </c>
    </row>
    <row r="1714" spans="1:23" x14ac:dyDescent="0.4">
      <c r="A1714" t="s">
        <v>262</v>
      </c>
      <c r="B1714" t="s">
        <v>2017</v>
      </c>
      <c r="C1714" t="s">
        <v>2047</v>
      </c>
      <c r="D1714" t="s">
        <v>64</v>
      </c>
      <c r="E1714" t="s">
        <v>22</v>
      </c>
      <c r="F1714" t="s">
        <v>23</v>
      </c>
      <c r="G1714">
        <v>1</v>
      </c>
      <c r="H1714">
        <v>9791166061141</v>
      </c>
      <c r="I1714" t="s">
        <v>24</v>
      </c>
      <c r="J1714" t="s">
        <v>99</v>
      </c>
      <c r="K1714" t="s">
        <v>37</v>
      </c>
      <c r="L1714" t="s">
        <v>27</v>
      </c>
      <c r="M1714">
        <v>900</v>
      </c>
      <c r="N1714" t="s">
        <v>27</v>
      </c>
      <c r="O1714">
        <v>900</v>
      </c>
      <c r="P1714">
        <v>900</v>
      </c>
      <c r="Q1714" t="s">
        <v>30</v>
      </c>
      <c r="R1714" s="2">
        <v>0.7</v>
      </c>
      <c r="S1714">
        <v>630</v>
      </c>
      <c r="T1714" t="s">
        <v>27</v>
      </c>
      <c r="U1714">
        <v>630</v>
      </c>
      <c r="V1714" s="7" t="str">
        <f>IF(ISERROR(VLOOKUP(K1714,[1]작가별정산률!$R:$S,2,0)),"스토리위즈",VLOOKUP(K1714,[1]작가별정산률!$R:$S,2,0))</f>
        <v>스토리위즈</v>
      </c>
      <c r="W1714" s="7" t="str">
        <f>IF(V1714="스토리위즈",VLOOKUP(K1714,[1]작가별정산률!$A:$B,2,0),V1714)</f>
        <v>권용찬</v>
      </c>
    </row>
    <row r="1715" spans="1:23" x14ac:dyDescent="0.4">
      <c r="A1715" t="s">
        <v>262</v>
      </c>
      <c r="B1715" t="s">
        <v>2017</v>
      </c>
      <c r="C1715" t="s">
        <v>2048</v>
      </c>
      <c r="D1715" t="s">
        <v>21</v>
      </c>
      <c r="E1715" t="s">
        <v>22</v>
      </c>
      <c r="F1715" t="s">
        <v>23</v>
      </c>
      <c r="G1715">
        <v>1</v>
      </c>
      <c r="H1715">
        <v>9791191562248</v>
      </c>
      <c r="I1715" t="s">
        <v>143</v>
      </c>
      <c r="J1715" t="s">
        <v>231</v>
      </c>
      <c r="K1715" t="s">
        <v>232</v>
      </c>
      <c r="L1715" t="s">
        <v>27</v>
      </c>
      <c r="M1715" s="3">
        <v>2000</v>
      </c>
      <c r="N1715" t="s">
        <v>27</v>
      </c>
      <c r="O1715" s="3">
        <v>2000</v>
      </c>
      <c r="P1715" s="3">
        <v>2000</v>
      </c>
      <c r="Q1715" t="s">
        <v>30</v>
      </c>
      <c r="R1715" s="2">
        <v>0.7</v>
      </c>
      <c r="S1715" s="3">
        <v>1400</v>
      </c>
      <c r="T1715" t="s">
        <v>27</v>
      </c>
      <c r="U1715" s="3">
        <v>1400</v>
      </c>
      <c r="V1715" s="7" t="str">
        <f>IF(ISERROR(VLOOKUP(K1715,[1]작가별정산률!$R:$S,2,0)),"스토리위즈",VLOOKUP(K1715,[1]작가별정산률!$R:$S,2,0))</f>
        <v>밀리의 서재</v>
      </c>
      <c r="W1715" s="7" t="str">
        <f>IF(V1715="스토리위즈",VLOOKUP(K1715,[1]작가별정산률!$A:$B,2,0),V1715)</f>
        <v>밀리의 서재</v>
      </c>
    </row>
    <row r="1716" spans="1:23" x14ac:dyDescent="0.4">
      <c r="A1716" t="s">
        <v>262</v>
      </c>
      <c r="B1716" t="s">
        <v>2017</v>
      </c>
      <c r="C1716" t="s">
        <v>2049</v>
      </c>
      <c r="D1716" t="s">
        <v>64</v>
      </c>
      <c r="E1716" t="s">
        <v>22</v>
      </c>
      <c r="F1716" t="s">
        <v>23</v>
      </c>
      <c r="G1716">
        <v>1</v>
      </c>
      <c r="H1716">
        <v>9791166300134</v>
      </c>
      <c r="I1716" t="s">
        <v>24</v>
      </c>
      <c r="J1716" t="s">
        <v>123</v>
      </c>
      <c r="K1716" t="s">
        <v>119</v>
      </c>
      <c r="L1716" t="s">
        <v>27</v>
      </c>
      <c r="M1716">
        <v>630</v>
      </c>
      <c r="N1716" t="s">
        <v>27</v>
      </c>
      <c r="O1716">
        <v>630</v>
      </c>
      <c r="P1716">
        <v>630</v>
      </c>
      <c r="Q1716" t="s">
        <v>30</v>
      </c>
      <c r="R1716" s="2">
        <v>0.7</v>
      </c>
      <c r="S1716">
        <v>441</v>
      </c>
      <c r="T1716" t="s">
        <v>27</v>
      </c>
      <c r="U1716">
        <v>441</v>
      </c>
      <c r="V1716" s="7" t="str">
        <f>IF(ISERROR(VLOOKUP(K1716,[1]작가별정산률!$R:$S,2,0)),"스토리위즈",VLOOKUP(K1716,[1]작가별정산률!$R:$S,2,0))</f>
        <v>스토리위즈</v>
      </c>
      <c r="W1716" s="7" t="str">
        <f>IF(V1716="스토리위즈",VLOOKUP(K1716,[1]작가별정산률!$A:$B,2,0),V1716)</f>
        <v>김광수</v>
      </c>
    </row>
    <row r="1717" spans="1:23" x14ac:dyDescent="0.4">
      <c r="A1717" t="s">
        <v>262</v>
      </c>
      <c r="B1717" t="s">
        <v>2017</v>
      </c>
      <c r="C1717" t="s">
        <v>2050</v>
      </c>
      <c r="D1717" t="s">
        <v>64</v>
      </c>
      <c r="E1717" t="s">
        <v>22</v>
      </c>
      <c r="F1717" t="s">
        <v>23</v>
      </c>
      <c r="G1717">
        <v>1</v>
      </c>
      <c r="H1717">
        <v>9791188630219</v>
      </c>
      <c r="I1717" t="s">
        <v>24</v>
      </c>
      <c r="J1717" t="s">
        <v>43</v>
      </c>
      <c r="K1717" t="s">
        <v>41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2">
        <v>0.7</v>
      </c>
      <c r="S1717">
        <v>441</v>
      </c>
      <c r="T1717" t="s">
        <v>27</v>
      </c>
      <c r="U1717">
        <v>441</v>
      </c>
      <c r="V1717" s="7" t="str">
        <f>IF(ISERROR(VLOOKUP(K1717,[1]작가별정산률!$R:$S,2,0)),"스토리위즈",VLOOKUP(K1717,[1]작가별정산률!$R:$S,2,0))</f>
        <v>스토리위즈</v>
      </c>
      <c r="W1717" s="7" t="str">
        <f>IF(V1717="스토리위즈",VLOOKUP(K1717,[1]작가별정산률!$A:$B,2,0),V1717)</f>
        <v>무장</v>
      </c>
    </row>
    <row r="1718" spans="1:23" x14ac:dyDescent="0.4">
      <c r="A1718" t="s">
        <v>262</v>
      </c>
      <c r="B1718" t="s">
        <v>2017</v>
      </c>
      <c r="C1718" t="s">
        <v>2051</v>
      </c>
      <c r="D1718" t="s">
        <v>21</v>
      </c>
      <c r="E1718" t="s">
        <v>22</v>
      </c>
      <c r="F1718" t="s">
        <v>23</v>
      </c>
      <c r="G1718">
        <v>1</v>
      </c>
      <c r="H1718">
        <v>9791191562286</v>
      </c>
      <c r="I1718" t="s">
        <v>143</v>
      </c>
      <c r="J1718" t="s">
        <v>238</v>
      </c>
      <c r="K1718" t="s">
        <v>239</v>
      </c>
      <c r="L1718" t="s">
        <v>27</v>
      </c>
      <c r="M1718" s="3">
        <v>2000</v>
      </c>
      <c r="N1718" t="s">
        <v>176</v>
      </c>
      <c r="O1718">
        <v>222</v>
      </c>
      <c r="P1718">
        <v>202</v>
      </c>
      <c r="Q1718" t="s">
        <v>177</v>
      </c>
      <c r="R1718" s="2">
        <v>0.7</v>
      </c>
      <c r="S1718">
        <v>141</v>
      </c>
      <c r="T1718" t="s">
        <v>27</v>
      </c>
      <c r="U1718" s="3">
        <v>1400</v>
      </c>
      <c r="V1718" s="7" t="str">
        <f>IF(ISERROR(VLOOKUP(K1718,[1]작가별정산률!$R:$S,2,0)),"스토리위즈",VLOOKUP(K1718,[1]작가별정산률!$R:$S,2,0))</f>
        <v>밀리의 서재</v>
      </c>
      <c r="W1718" s="7" t="str">
        <f>IF(V1718="스토리위즈",VLOOKUP(K1718,[1]작가별정산률!$A:$B,2,0),V1718)</f>
        <v>밀리의 서재</v>
      </c>
    </row>
    <row r="1719" spans="1:23" x14ac:dyDescent="0.4">
      <c r="A1719" t="s">
        <v>262</v>
      </c>
      <c r="B1719" t="s">
        <v>2017</v>
      </c>
      <c r="C1719" t="s">
        <v>2052</v>
      </c>
      <c r="D1719" t="s">
        <v>64</v>
      </c>
      <c r="E1719" t="s">
        <v>22</v>
      </c>
      <c r="F1719" t="s">
        <v>23</v>
      </c>
      <c r="G1719">
        <v>1</v>
      </c>
      <c r="H1719">
        <v>9791166300202</v>
      </c>
      <c r="I1719" t="s">
        <v>24</v>
      </c>
      <c r="J1719" t="s">
        <v>129</v>
      </c>
      <c r="K1719" t="s">
        <v>119</v>
      </c>
      <c r="L1719" t="s">
        <v>27</v>
      </c>
      <c r="M1719">
        <v>630</v>
      </c>
      <c r="N1719" t="s">
        <v>27</v>
      </c>
      <c r="O1719">
        <v>630</v>
      </c>
      <c r="P1719">
        <v>630</v>
      </c>
      <c r="Q1719" t="s">
        <v>30</v>
      </c>
      <c r="R1719" s="2">
        <v>0.7</v>
      </c>
      <c r="S1719">
        <v>441</v>
      </c>
      <c r="T1719" t="s">
        <v>27</v>
      </c>
      <c r="U1719">
        <v>441</v>
      </c>
      <c r="V1719" s="7" t="str">
        <f>IF(ISERROR(VLOOKUP(K1719,[1]작가별정산률!$R:$S,2,0)),"스토리위즈",VLOOKUP(K1719,[1]작가별정산률!$R:$S,2,0))</f>
        <v>스토리위즈</v>
      </c>
      <c r="W1719" s="7" t="str">
        <f>IF(V1719="스토리위즈",VLOOKUP(K1719,[1]작가별정산률!$A:$B,2,0),V1719)</f>
        <v>김광수</v>
      </c>
    </row>
    <row r="1720" spans="1:23" x14ac:dyDescent="0.4">
      <c r="A1720" t="s">
        <v>262</v>
      </c>
      <c r="B1720" t="s">
        <v>2017</v>
      </c>
      <c r="C1720" t="s">
        <v>2053</v>
      </c>
      <c r="D1720" t="s">
        <v>21</v>
      </c>
      <c r="E1720" t="s">
        <v>22</v>
      </c>
      <c r="F1720" t="s">
        <v>23</v>
      </c>
      <c r="G1720">
        <v>1</v>
      </c>
      <c r="H1720">
        <v>9791189627072</v>
      </c>
      <c r="I1720" t="s">
        <v>143</v>
      </c>
      <c r="J1720" t="s">
        <v>1034</v>
      </c>
      <c r="K1720" t="s">
        <v>1035</v>
      </c>
      <c r="L1720" t="s">
        <v>27</v>
      </c>
      <c r="M1720" s="3">
        <v>2200</v>
      </c>
      <c r="N1720" t="s">
        <v>27</v>
      </c>
      <c r="O1720" s="3">
        <v>2200</v>
      </c>
      <c r="P1720" s="3">
        <v>2200</v>
      </c>
      <c r="Q1720" t="s">
        <v>30</v>
      </c>
      <c r="R1720" s="2">
        <v>0.7</v>
      </c>
      <c r="S1720" s="3">
        <v>1540</v>
      </c>
      <c r="T1720" t="s">
        <v>27</v>
      </c>
      <c r="U1720" s="3">
        <v>1540</v>
      </c>
      <c r="V1720" s="7" t="str">
        <f>IF(ISERROR(VLOOKUP(K1720,[1]작가별정산률!$R:$S,2,0)),"스토리위즈",VLOOKUP(K1720,[1]작가별정산률!$R:$S,2,0))</f>
        <v>스토리위즈</v>
      </c>
      <c r="W1720" s="7" t="str">
        <f>IF(V1720="스토리위즈",VLOOKUP(K1720,[1]작가별정산률!$A:$B,2,0),V1720)</f>
        <v>모리미</v>
      </c>
    </row>
    <row r="1721" spans="1:23" x14ac:dyDescent="0.4">
      <c r="A1721" t="s">
        <v>262</v>
      </c>
      <c r="B1721" t="s">
        <v>2017</v>
      </c>
      <c r="C1721" t="s">
        <v>2054</v>
      </c>
      <c r="D1721" t="s">
        <v>64</v>
      </c>
      <c r="E1721" t="s">
        <v>22</v>
      </c>
      <c r="F1721" t="s">
        <v>23</v>
      </c>
      <c r="G1721">
        <v>1</v>
      </c>
      <c r="H1721">
        <v>9791166061134</v>
      </c>
      <c r="I1721" t="s">
        <v>24</v>
      </c>
      <c r="J1721" t="s">
        <v>98</v>
      </c>
      <c r="K1721" t="s">
        <v>37</v>
      </c>
      <c r="L1721" t="s">
        <v>27</v>
      </c>
      <c r="M1721">
        <v>900</v>
      </c>
      <c r="N1721" t="s">
        <v>27</v>
      </c>
      <c r="O1721">
        <v>900</v>
      </c>
      <c r="P1721">
        <v>900</v>
      </c>
      <c r="Q1721" t="s">
        <v>30</v>
      </c>
      <c r="R1721" s="2">
        <v>0.7</v>
      </c>
      <c r="S1721">
        <v>630</v>
      </c>
      <c r="T1721" t="s">
        <v>27</v>
      </c>
      <c r="U1721">
        <v>630</v>
      </c>
      <c r="V1721" s="7" t="str">
        <f>IF(ISERROR(VLOOKUP(K1721,[1]작가별정산률!$R:$S,2,0)),"스토리위즈",VLOOKUP(K1721,[1]작가별정산률!$R:$S,2,0))</f>
        <v>스토리위즈</v>
      </c>
      <c r="W1721" s="7" t="str">
        <f>IF(V1721="스토리위즈",VLOOKUP(K1721,[1]작가별정산률!$A:$B,2,0),V1721)</f>
        <v>권용찬</v>
      </c>
    </row>
    <row r="1722" spans="1:23" x14ac:dyDescent="0.4">
      <c r="A1722" t="s">
        <v>262</v>
      </c>
      <c r="B1722" t="s">
        <v>2017</v>
      </c>
      <c r="C1722" t="s">
        <v>2055</v>
      </c>
      <c r="D1722" t="s">
        <v>64</v>
      </c>
      <c r="E1722" t="s">
        <v>22</v>
      </c>
      <c r="F1722" t="s">
        <v>23</v>
      </c>
      <c r="G1722">
        <v>1</v>
      </c>
      <c r="H1722">
        <v>9791166300110</v>
      </c>
      <c r="I1722" t="s">
        <v>24</v>
      </c>
      <c r="J1722" t="s">
        <v>121</v>
      </c>
      <c r="K1722" t="s">
        <v>119</v>
      </c>
      <c r="L1722" t="s">
        <v>27</v>
      </c>
      <c r="M1722">
        <v>630</v>
      </c>
      <c r="N1722" t="s">
        <v>27</v>
      </c>
      <c r="O1722">
        <v>630</v>
      </c>
      <c r="P1722">
        <v>630</v>
      </c>
      <c r="Q1722" t="s">
        <v>30</v>
      </c>
      <c r="R1722" s="2">
        <v>0.7</v>
      </c>
      <c r="S1722">
        <v>441</v>
      </c>
      <c r="T1722" t="s">
        <v>27</v>
      </c>
      <c r="U1722">
        <v>441</v>
      </c>
      <c r="V1722" s="7" t="str">
        <f>IF(ISERROR(VLOOKUP(K1722,[1]작가별정산률!$R:$S,2,0)),"스토리위즈",VLOOKUP(K1722,[1]작가별정산률!$R:$S,2,0))</f>
        <v>스토리위즈</v>
      </c>
      <c r="W1722" s="7" t="str">
        <f>IF(V1722="스토리위즈",VLOOKUP(K1722,[1]작가별정산률!$A:$B,2,0),V1722)</f>
        <v>김광수</v>
      </c>
    </row>
    <row r="1723" spans="1:23" x14ac:dyDescent="0.4">
      <c r="A1723" t="s">
        <v>262</v>
      </c>
      <c r="B1723" t="s">
        <v>2017</v>
      </c>
      <c r="C1723" t="s">
        <v>2056</v>
      </c>
      <c r="D1723" t="s">
        <v>64</v>
      </c>
      <c r="E1723" t="s">
        <v>22</v>
      </c>
      <c r="F1723" t="s">
        <v>23</v>
      </c>
      <c r="G1723">
        <v>1</v>
      </c>
      <c r="H1723">
        <v>9791166300219</v>
      </c>
      <c r="I1723" t="s">
        <v>24</v>
      </c>
      <c r="J1723" t="s">
        <v>130</v>
      </c>
      <c r="K1723" t="s">
        <v>119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  <c r="V1723" s="7" t="str">
        <f>IF(ISERROR(VLOOKUP(K1723,[1]작가별정산률!$R:$S,2,0)),"스토리위즈",VLOOKUP(K1723,[1]작가별정산률!$R:$S,2,0))</f>
        <v>스토리위즈</v>
      </c>
      <c r="W1723" s="7" t="str">
        <f>IF(V1723="스토리위즈",VLOOKUP(K1723,[1]작가별정산률!$A:$B,2,0),V1723)</f>
        <v>김광수</v>
      </c>
    </row>
    <row r="1724" spans="1:23" x14ac:dyDescent="0.4">
      <c r="A1724" t="s">
        <v>262</v>
      </c>
      <c r="B1724" t="s">
        <v>2017</v>
      </c>
      <c r="C1724" t="s">
        <v>2057</v>
      </c>
      <c r="D1724" t="s">
        <v>64</v>
      </c>
      <c r="E1724" t="s">
        <v>22</v>
      </c>
      <c r="F1724" t="s">
        <v>23</v>
      </c>
      <c r="G1724">
        <v>1</v>
      </c>
      <c r="H1724">
        <v>9791166300271</v>
      </c>
      <c r="I1724" t="s">
        <v>24</v>
      </c>
      <c r="J1724" t="s">
        <v>136</v>
      </c>
      <c r="K1724" t="s">
        <v>119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2">
        <v>0.7</v>
      </c>
      <c r="S1724">
        <v>441</v>
      </c>
      <c r="T1724" t="s">
        <v>27</v>
      </c>
      <c r="U1724">
        <v>441</v>
      </c>
      <c r="V1724" s="7" t="str">
        <f>IF(ISERROR(VLOOKUP(K1724,[1]작가별정산률!$R:$S,2,0)),"스토리위즈",VLOOKUP(K1724,[1]작가별정산률!$R:$S,2,0))</f>
        <v>스토리위즈</v>
      </c>
      <c r="W1724" s="7" t="str">
        <f>IF(V1724="스토리위즈",VLOOKUP(K1724,[1]작가별정산률!$A:$B,2,0),V1724)</f>
        <v>김광수</v>
      </c>
    </row>
    <row r="1725" spans="1:23" x14ac:dyDescent="0.4">
      <c r="A1725" t="s">
        <v>262</v>
      </c>
      <c r="B1725" t="s">
        <v>2017</v>
      </c>
      <c r="C1725" t="s">
        <v>2058</v>
      </c>
      <c r="D1725" t="s">
        <v>64</v>
      </c>
      <c r="E1725" t="s">
        <v>22</v>
      </c>
      <c r="F1725" t="s">
        <v>23</v>
      </c>
      <c r="G1725">
        <v>1</v>
      </c>
      <c r="H1725">
        <v>9791166300646</v>
      </c>
      <c r="I1725" t="s">
        <v>24</v>
      </c>
      <c r="J1725" t="s">
        <v>155</v>
      </c>
      <c r="K1725" t="s">
        <v>119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2">
        <v>0.7</v>
      </c>
      <c r="S1725">
        <v>441</v>
      </c>
      <c r="T1725" t="s">
        <v>27</v>
      </c>
      <c r="U1725">
        <v>441</v>
      </c>
      <c r="V1725" s="7" t="str">
        <f>IF(ISERROR(VLOOKUP(K1725,[1]작가별정산률!$R:$S,2,0)),"스토리위즈",VLOOKUP(K1725,[1]작가별정산률!$R:$S,2,0))</f>
        <v>스토리위즈</v>
      </c>
      <c r="W1725" s="7" t="str">
        <f>IF(V1725="스토리위즈",VLOOKUP(K1725,[1]작가별정산률!$A:$B,2,0),V1725)</f>
        <v>김광수</v>
      </c>
    </row>
    <row r="1726" spans="1:23" x14ac:dyDescent="0.4">
      <c r="A1726" t="s">
        <v>262</v>
      </c>
      <c r="B1726" t="s">
        <v>2017</v>
      </c>
      <c r="C1726" t="s">
        <v>2059</v>
      </c>
      <c r="D1726" t="s">
        <v>64</v>
      </c>
      <c r="E1726" t="s">
        <v>22</v>
      </c>
      <c r="F1726" t="s">
        <v>23</v>
      </c>
      <c r="G1726">
        <v>1</v>
      </c>
      <c r="H1726">
        <v>9791166300509</v>
      </c>
      <c r="I1726" t="s">
        <v>24</v>
      </c>
      <c r="J1726" t="s">
        <v>148</v>
      </c>
      <c r="K1726" t="s">
        <v>119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  <c r="V1726" s="7" t="str">
        <f>IF(ISERROR(VLOOKUP(K1726,[1]작가별정산률!$R:$S,2,0)),"스토리위즈",VLOOKUP(K1726,[1]작가별정산률!$R:$S,2,0))</f>
        <v>스토리위즈</v>
      </c>
      <c r="W1726" s="7" t="str">
        <f>IF(V1726="스토리위즈",VLOOKUP(K1726,[1]작가별정산률!$A:$B,2,0),V1726)</f>
        <v>김광수</v>
      </c>
    </row>
    <row r="1727" spans="1:23" x14ac:dyDescent="0.4">
      <c r="A1727" t="s">
        <v>262</v>
      </c>
      <c r="B1727" t="s">
        <v>2017</v>
      </c>
      <c r="C1727" t="s">
        <v>2060</v>
      </c>
      <c r="D1727" t="s">
        <v>64</v>
      </c>
      <c r="E1727" t="s">
        <v>22</v>
      </c>
      <c r="F1727" t="s">
        <v>23</v>
      </c>
      <c r="G1727">
        <v>1</v>
      </c>
      <c r="H1727">
        <v>9791166064050</v>
      </c>
      <c r="I1727" t="s">
        <v>24</v>
      </c>
      <c r="J1727" t="s">
        <v>79</v>
      </c>
      <c r="K1727" t="s">
        <v>37</v>
      </c>
      <c r="L1727" t="s">
        <v>27</v>
      </c>
      <c r="M1727">
        <v>900</v>
      </c>
      <c r="N1727" t="s">
        <v>27</v>
      </c>
      <c r="O1727">
        <v>900</v>
      </c>
      <c r="P1727">
        <v>900</v>
      </c>
      <c r="Q1727" t="s">
        <v>30</v>
      </c>
      <c r="R1727" s="2">
        <v>0.7</v>
      </c>
      <c r="S1727">
        <v>630</v>
      </c>
      <c r="T1727" t="s">
        <v>27</v>
      </c>
      <c r="U1727">
        <v>630</v>
      </c>
      <c r="V1727" s="7" t="str">
        <f>IF(ISERROR(VLOOKUP(K1727,[1]작가별정산률!$R:$S,2,0)),"스토리위즈",VLOOKUP(K1727,[1]작가별정산률!$R:$S,2,0))</f>
        <v>스토리위즈</v>
      </c>
      <c r="W1727" s="7" t="str">
        <f>IF(V1727="스토리위즈",VLOOKUP(K1727,[1]작가별정산률!$A:$B,2,0),V1727)</f>
        <v>권용찬</v>
      </c>
    </row>
    <row r="1728" spans="1:23" x14ac:dyDescent="0.4">
      <c r="A1728" t="s">
        <v>262</v>
      </c>
      <c r="B1728" t="s">
        <v>2017</v>
      </c>
      <c r="C1728" t="s">
        <v>2061</v>
      </c>
      <c r="D1728" t="s">
        <v>64</v>
      </c>
      <c r="E1728" t="s">
        <v>22</v>
      </c>
      <c r="F1728" t="s">
        <v>23</v>
      </c>
      <c r="G1728">
        <v>1</v>
      </c>
      <c r="H1728">
        <v>9791166300288</v>
      </c>
      <c r="I1728" t="s">
        <v>24</v>
      </c>
      <c r="J1728" t="s">
        <v>137</v>
      </c>
      <c r="K1728" t="s">
        <v>119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2">
        <v>0.7</v>
      </c>
      <c r="S1728">
        <v>441</v>
      </c>
      <c r="T1728" t="s">
        <v>27</v>
      </c>
      <c r="U1728">
        <v>441</v>
      </c>
      <c r="V1728" s="7" t="str">
        <f>IF(ISERROR(VLOOKUP(K1728,[1]작가별정산률!$R:$S,2,0)),"스토리위즈",VLOOKUP(K1728,[1]작가별정산률!$R:$S,2,0))</f>
        <v>스토리위즈</v>
      </c>
      <c r="W1728" s="7" t="str">
        <f>IF(V1728="스토리위즈",VLOOKUP(K1728,[1]작가별정산률!$A:$B,2,0),V1728)</f>
        <v>김광수</v>
      </c>
    </row>
    <row r="1729" spans="1:23" x14ac:dyDescent="0.4">
      <c r="A1729" t="s">
        <v>262</v>
      </c>
      <c r="B1729" t="s">
        <v>2017</v>
      </c>
      <c r="C1729" t="s">
        <v>2062</v>
      </c>
      <c r="D1729" t="s">
        <v>64</v>
      </c>
      <c r="E1729" t="s">
        <v>22</v>
      </c>
      <c r="F1729" t="s">
        <v>23</v>
      </c>
      <c r="G1729">
        <v>1</v>
      </c>
      <c r="H1729">
        <v>9791166064050</v>
      </c>
      <c r="I1729" t="s">
        <v>24</v>
      </c>
      <c r="J1729" t="s">
        <v>79</v>
      </c>
      <c r="K1729" t="s">
        <v>37</v>
      </c>
      <c r="L1729" t="s">
        <v>27</v>
      </c>
      <c r="M1729">
        <v>900</v>
      </c>
      <c r="N1729" t="s">
        <v>27</v>
      </c>
      <c r="O1729">
        <v>900</v>
      </c>
      <c r="P1729">
        <v>900</v>
      </c>
      <c r="Q1729" t="s">
        <v>30</v>
      </c>
      <c r="R1729" s="2">
        <v>0.7</v>
      </c>
      <c r="S1729">
        <v>630</v>
      </c>
      <c r="T1729" t="s">
        <v>27</v>
      </c>
      <c r="U1729">
        <v>630</v>
      </c>
      <c r="V1729" s="7" t="str">
        <f>IF(ISERROR(VLOOKUP(K1729,[1]작가별정산률!$R:$S,2,0)),"스토리위즈",VLOOKUP(K1729,[1]작가별정산률!$R:$S,2,0))</f>
        <v>스토리위즈</v>
      </c>
      <c r="W1729" s="7" t="str">
        <f>IF(V1729="스토리위즈",VLOOKUP(K1729,[1]작가별정산률!$A:$B,2,0),V1729)</f>
        <v>권용찬</v>
      </c>
    </row>
    <row r="1730" spans="1:23" x14ac:dyDescent="0.4">
      <c r="A1730" t="s">
        <v>262</v>
      </c>
      <c r="B1730" t="s">
        <v>2017</v>
      </c>
      <c r="C1730" t="s">
        <v>2063</v>
      </c>
      <c r="D1730" t="s">
        <v>64</v>
      </c>
      <c r="E1730" t="s">
        <v>22</v>
      </c>
      <c r="F1730" t="s">
        <v>23</v>
      </c>
      <c r="G1730">
        <v>1</v>
      </c>
      <c r="H1730">
        <v>9791166300127</v>
      </c>
      <c r="I1730" t="s">
        <v>24</v>
      </c>
      <c r="J1730" t="s">
        <v>122</v>
      </c>
      <c r="K1730" t="s">
        <v>119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2">
        <v>0.7</v>
      </c>
      <c r="S1730">
        <v>441</v>
      </c>
      <c r="T1730" t="s">
        <v>27</v>
      </c>
      <c r="U1730">
        <v>441</v>
      </c>
      <c r="V1730" s="7" t="str">
        <f>IF(ISERROR(VLOOKUP(K1730,[1]작가별정산률!$R:$S,2,0)),"스토리위즈",VLOOKUP(K1730,[1]작가별정산률!$R:$S,2,0))</f>
        <v>스토리위즈</v>
      </c>
      <c r="W1730" s="7" t="str">
        <f>IF(V1730="스토리위즈",VLOOKUP(K1730,[1]작가별정산률!$A:$B,2,0),V1730)</f>
        <v>김광수</v>
      </c>
    </row>
    <row r="1731" spans="1:23" x14ac:dyDescent="0.4">
      <c r="A1731" t="s">
        <v>262</v>
      </c>
      <c r="B1731" t="s">
        <v>2017</v>
      </c>
      <c r="C1731" t="s">
        <v>2064</v>
      </c>
      <c r="D1731" t="s">
        <v>21</v>
      </c>
      <c r="E1731" t="s">
        <v>22</v>
      </c>
      <c r="F1731" t="s">
        <v>23</v>
      </c>
      <c r="G1731">
        <v>1</v>
      </c>
      <c r="H1731">
        <v>9791166300585</v>
      </c>
      <c r="I1731" t="s">
        <v>24</v>
      </c>
      <c r="J1731" t="s">
        <v>160</v>
      </c>
      <c r="K1731" t="s">
        <v>119</v>
      </c>
      <c r="L1731" t="s">
        <v>27</v>
      </c>
      <c r="M1731" s="3">
        <v>3200</v>
      </c>
      <c r="N1731" t="s">
        <v>27</v>
      </c>
      <c r="O1731" s="3">
        <v>3200</v>
      </c>
      <c r="P1731" s="3">
        <v>3200</v>
      </c>
      <c r="Q1731" t="s">
        <v>30</v>
      </c>
      <c r="R1731" s="2">
        <v>0.7</v>
      </c>
      <c r="S1731" s="3">
        <v>2240</v>
      </c>
      <c r="T1731" t="s">
        <v>27</v>
      </c>
      <c r="U1731" s="3">
        <v>2240</v>
      </c>
      <c r="V1731" s="7" t="str">
        <f>IF(ISERROR(VLOOKUP(K1731,[1]작가별정산률!$R:$S,2,0)),"스토리위즈",VLOOKUP(K1731,[1]작가별정산률!$R:$S,2,0))</f>
        <v>스토리위즈</v>
      </c>
      <c r="W1731" s="7" t="str">
        <f>IF(V1731="스토리위즈",VLOOKUP(K1731,[1]작가별정산률!$A:$B,2,0),V1731)</f>
        <v>김광수</v>
      </c>
    </row>
    <row r="1732" spans="1:23" x14ac:dyDescent="0.4">
      <c r="A1732" t="s">
        <v>262</v>
      </c>
      <c r="B1732" t="s">
        <v>2017</v>
      </c>
      <c r="C1732" t="s">
        <v>2065</v>
      </c>
      <c r="D1732" t="s">
        <v>21</v>
      </c>
      <c r="E1732" t="s">
        <v>22</v>
      </c>
      <c r="F1732" t="s">
        <v>23</v>
      </c>
      <c r="G1732">
        <v>1</v>
      </c>
      <c r="H1732">
        <v>9791191562439</v>
      </c>
      <c r="I1732" t="s">
        <v>143</v>
      </c>
      <c r="J1732" t="s">
        <v>1661</v>
      </c>
      <c r="K1732" t="s">
        <v>188</v>
      </c>
      <c r="L1732" t="s">
        <v>27</v>
      </c>
      <c r="M1732" s="3">
        <v>2500</v>
      </c>
      <c r="N1732" t="s">
        <v>28</v>
      </c>
      <c r="O1732">
        <v>2.06</v>
      </c>
      <c r="P1732">
        <v>2.06</v>
      </c>
      <c r="Q1732" t="s">
        <v>29</v>
      </c>
      <c r="R1732" s="2">
        <v>0.7</v>
      </c>
      <c r="S1732">
        <v>1.44</v>
      </c>
      <c r="T1732" t="s">
        <v>27</v>
      </c>
      <c r="U1732" s="3">
        <v>1821</v>
      </c>
      <c r="V1732" s="7" t="str">
        <f>IF(ISERROR(VLOOKUP(K1732,[1]작가별정산률!$R:$S,2,0)),"스토리위즈",VLOOKUP(K1732,[1]작가별정산률!$R:$S,2,0))</f>
        <v>밀리의 서재</v>
      </c>
      <c r="W1732" s="7" t="str">
        <f>IF(V1732="스토리위즈",VLOOKUP(K1732,[1]작가별정산률!$A:$B,2,0),V1732)</f>
        <v>밀리의 서재</v>
      </c>
    </row>
    <row r="1733" spans="1:23" x14ac:dyDescent="0.4">
      <c r="A1733" t="s">
        <v>262</v>
      </c>
      <c r="B1733" t="s">
        <v>2017</v>
      </c>
      <c r="C1733" t="s">
        <v>2066</v>
      </c>
      <c r="D1733" t="s">
        <v>64</v>
      </c>
      <c r="E1733" t="s">
        <v>22</v>
      </c>
      <c r="F1733" t="s">
        <v>23</v>
      </c>
      <c r="G1733">
        <v>1</v>
      </c>
      <c r="H1733">
        <v>9791159283215</v>
      </c>
      <c r="I1733" t="s">
        <v>24</v>
      </c>
      <c r="J1733" t="s">
        <v>103</v>
      </c>
      <c r="K1733" t="s">
        <v>37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2">
        <v>0.7</v>
      </c>
      <c r="S1733">
        <v>441</v>
      </c>
      <c r="T1733" t="s">
        <v>27</v>
      </c>
      <c r="U1733">
        <v>441</v>
      </c>
      <c r="V1733" s="7" t="str">
        <f>IF(ISERROR(VLOOKUP(K1733,[1]작가별정산률!$R:$S,2,0)),"스토리위즈",VLOOKUP(K1733,[1]작가별정산률!$R:$S,2,0))</f>
        <v>스토리위즈</v>
      </c>
      <c r="W1733" s="7" t="str">
        <f>IF(V1733="스토리위즈",VLOOKUP(K1733,[1]작가별정산률!$A:$B,2,0),V1733)</f>
        <v>권용찬</v>
      </c>
    </row>
    <row r="1734" spans="1:23" x14ac:dyDescent="0.4">
      <c r="A1734" t="s">
        <v>262</v>
      </c>
      <c r="B1734" t="s">
        <v>2017</v>
      </c>
      <c r="C1734" t="s">
        <v>2067</v>
      </c>
      <c r="D1734" t="s">
        <v>64</v>
      </c>
      <c r="E1734" t="s">
        <v>22</v>
      </c>
      <c r="F1734" t="s">
        <v>23</v>
      </c>
      <c r="G1734">
        <v>1</v>
      </c>
      <c r="H1734">
        <v>9791166061103</v>
      </c>
      <c r="I1734" t="s">
        <v>24</v>
      </c>
      <c r="J1734" t="s">
        <v>96</v>
      </c>
      <c r="K1734" t="s">
        <v>37</v>
      </c>
      <c r="L1734" t="s">
        <v>27</v>
      </c>
      <c r="M1734">
        <v>900</v>
      </c>
      <c r="N1734" t="s">
        <v>27</v>
      </c>
      <c r="O1734">
        <v>900</v>
      </c>
      <c r="P1734">
        <v>900</v>
      </c>
      <c r="Q1734" t="s">
        <v>30</v>
      </c>
      <c r="R1734" s="2">
        <v>0.7</v>
      </c>
      <c r="S1734">
        <v>630</v>
      </c>
      <c r="T1734" t="s">
        <v>27</v>
      </c>
      <c r="U1734">
        <v>630</v>
      </c>
      <c r="V1734" s="7" t="str">
        <f>IF(ISERROR(VLOOKUP(K1734,[1]작가별정산률!$R:$S,2,0)),"스토리위즈",VLOOKUP(K1734,[1]작가별정산률!$R:$S,2,0))</f>
        <v>스토리위즈</v>
      </c>
      <c r="W1734" s="7" t="str">
        <f>IF(V1734="스토리위즈",VLOOKUP(K1734,[1]작가별정산률!$A:$B,2,0),V1734)</f>
        <v>권용찬</v>
      </c>
    </row>
    <row r="1735" spans="1:23" x14ac:dyDescent="0.4">
      <c r="A1735" t="s">
        <v>262</v>
      </c>
      <c r="B1735" t="s">
        <v>2017</v>
      </c>
      <c r="C1735" t="s">
        <v>2068</v>
      </c>
      <c r="D1735" t="s">
        <v>64</v>
      </c>
      <c r="E1735" t="s">
        <v>22</v>
      </c>
      <c r="F1735" t="s">
        <v>23</v>
      </c>
      <c r="G1735">
        <v>1</v>
      </c>
      <c r="H1735">
        <v>9791166300288</v>
      </c>
      <c r="I1735" t="s">
        <v>24</v>
      </c>
      <c r="J1735" t="s">
        <v>137</v>
      </c>
      <c r="K1735" t="s">
        <v>119</v>
      </c>
      <c r="L1735" t="s">
        <v>27</v>
      </c>
      <c r="M1735">
        <v>630</v>
      </c>
      <c r="N1735" t="s">
        <v>27</v>
      </c>
      <c r="O1735">
        <v>630</v>
      </c>
      <c r="P1735">
        <v>630</v>
      </c>
      <c r="Q1735" t="s">
        <v>30</v>
      </c>
      <c r="R1735" s="2">
        <v>0.7</v>
      </c>
      <c r="S1735">
        <v>441</v>
      </c>
      <c r="T1735" t="s">
        <v>27</v>
      </c>
      <c r="U1735">
        <v>441</v>
      </c>
      <c r="V1735" s="7" t="str">
        <f>IF(ISERROR(VLOOKUP(K1735,[1]작가별정산률!$R:$S,2,0)),"스토리위즈",VLOOKUP(K1735,[1]작가별정산률!$R:$S,2,0))</f>
        <v>스토리위즈</v>
      </c>
      <c r="W1735" s="7" t="str">
        <f>IF(V1735="스토리위즈",VLOOKUP(K1735,[1]작가별정산률!$A:$B,2,0),V1735)</f>
        <v>김광수</v>
      </c>
    </row>
    <row r="1736" spans="1:23" x14ac:dyDescent="0.4">
      <c r="A1736" t="s">
        <v>262</v>
      </c>
      <c r="B1736" t="s">
        <v>2017</v>
      </c>
      <c r="C1736" t="s">
        <v>2069</v>
      </c>
      <c r="D1736" t="s">
        <v>64</v>
      </c>
      <c r="E1736" t="s">
        <v>22</v>
      </c>
      <c r="F1736" t="s">
        <v>23</v>
      </c>
      <c r="G1736">
        <v>1</v>
      </c>
      <c r="H1736">
        <v>9791166064135</v>
      </c>
      <c r="I1736" t="s">
        <v>24</v>
      </c>
      <c r="J1736" t="s">
        <v>77</v>
      </c>
      <c r="K1736" t="s">
        <v>37</v>
      </c>
      <c r="L1736" t="s">
        <v>27</v>
      </c>
      <c r="M1736">
        <v>900</v>
      </c>
      <c r="N1736" t="s">
        <v>27</v>
      </c>
      <c r="O1736">
        <v>900</v>
      </c>
      <c r="P1736">
        <v>900</v>
      </c>
      <c r="Q1736" t="s">
        <v>30</v>
      </c>
      <c r="R1736" s="2">
        <v>0.7</v>
      </c>
      <c r="S1736">
        <v>630</v>
      </c>
      <c r="T1736" t="s">
        <v>27</v>
      </c>
      <c r="U1736">
        <v>630</v>
      </c>
      <c r="V1736" s="7" t="str">
        <f>IF(ISERROR(VLOOKUP(K1736,[1]작가별정산률!$R:$S,2,0)),"스토리위즈",VLOOKUP(K1736,[1]작가별정산률!$R:$S,2,0))</f>
        <v>스토리위즈</v>
      </c>
      <c r="W1736" s="7" t="str">
        <f>IF(V1736="스토리위즈",VLOOKUP(K1736,[1]작가별정산률!$A:$B,2,0),V1736)</f>
        <v>권용찬</v>
      </c>
    </row>
    <row r="1737" spans="1:23" x14ac:dyDescent="0.4">
      <c r="A1737" t="s">
        <v>262</v>
      </c>
      <c r="B1737" t="s">
        <v>2017</v>
      </c>
      <c r="C1737" t="s">
        <v>2070</v>
      </c>
      <c r="D1737" t="s">
        <v>64</v>
      </c>
      <c r="E1737" t="s">
        <v>22</v>
      </c>
      <c r="F1737" t="s">
        <v>23</v>
      </c>
      <c r="G1737">
        <v>1</v>
      </c>
      <c r="H1737">
        <v>9791166300271</v>
      </c>
      <c r="I1737" t="s">
        <v>24</v>
      </c>
      <c r="J1737" t="s">
        <v>136</v>
      </c>
      <c r="K1737" t="s">
        <v>119</v>
      </c>
      <c r="L1737" t="s">
        <v>27</v>
      </c>
      <c r="M1737">
        <v>630</v>
      </c>
      <c r="N1737" t="s">
        <v>27</v>
      </c>
      <c r="O1737">
        <v>630</v>
      </c>
      <c r="P1737">
        <v>630</v>
      </c>
      <c r="Q1737" t="s">
        <v>30</v>
      </c>
      <c r="R1737" s="2">
        <v>0.7</v>
      </c>
      <c r="S1737">
        <v>441</v>
      </c>
      <c r="T1737" t="s">
        <v>27</v>
      </c>
      <c r="U1737">
        <v>441</v>
      </c>
      <c r="V1737" s="7" t="str">
        <f>IF(ISERROR(VLOOKUP(K1737,[1]작가별정산률!$R:$S,2,0)),"스토리위즈",VLOOKUP(K1737,[1]작가별정산률!$R:$S,2,0))</f>
        <v>스토리위즈</v>
      </c>
      <c r="W1737" s="7" t="str">
        <f>IF(V1737="스토리위즈",VLOOKUP(K1737,[1]작가별정산률!$A:$B,2,0),V1737)</f>
        <v>김광수</v>
      </c>
    </row>
    <row r="1738" spans="1:23" x14ac:dyDescent="0.4">
      <c r="A1738" t="s">
        <v>262</v>
      </c>
      <c r="B1738" t="s">
        <v>2017</v>
      </c>
      <c r="C1738" t="s">
        <v>2071</v>
      </c>
      <c r="D1738" t="s">
        <v>64</v>
      </c>
      <c r="E1738" t="s">
        <v>22</v>
      </c>
      <c r="F1738" t="s">
        <v>23</v>
      </c>
      <c r="G1738">
        <v>1</v>
      </c>
      <c r="H1738">
        <v>9791166300134</v>
      </c>
      <c r="I1738" t="s">
        <v>24</v>
      </c>
      <c r="J1738" t="s">
        <v>123</v>
      </c>
      <c r="K1738" t="s">
        <v>119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2">
        <v>0.7</v>
      </c>
      <c r="S1738">
        <v>441</v>
      </c>
      <c r="T1738" t="s">
        <v>27</v>
      </c>
      <c r="U1738">
        <v>441</v>
      </c>
      <c r="V1738" s="7" t="str">
        <f>IF(ISERROR(VLOOKUP(K1738,[1]작가별정산률!$R:$S,2,0)),"스토리위즈",VLOOKUP(K1738,[1]작가별정산률!$R:$S,2,0))</f>
        <v>스토리위즈</v>
      </c>
      <c r="W1738" s="7" t="str">
        <f>IF(V1738="스토리위즈",VLOOKUP(K1738,[1]작가별정산률!$A:$B,2,0),V1738)</f>
        <v>김광수</v>
      </c>
    </row>
    <row r="1739" spans="1:23" x14ac:dyDescent="0.4">
      <c r="A1739" t="s">
        <v>262</v>
      </c>
      <c r="B1739" t="s">
        <v>2017</v>
      </c>
      <c r="C1739" t="s">
        <v>2072</v>
      </c>
      <c r="D1739" t="s">
        <v>64</v>
      </c>
      <c r="E1739" t="s">
        <v>22</v>
      </c>
      <c r="F1739" t="s">
        <v>23</v>
      </c>
      <c r="G1739">
        <v>1</v>
      </c>
      <c r="H1739">
        <v>9791166300639</v>
      </c>
      <c r="I1739" t="s">
        <v>24</v>
      </c>
      <c r="J1739" t="s">
        <v>165</v>
      </c>
      <c r="K1739" t="s">
        <v>119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2">
        <v>0.7</v>
      </c>
      <c r="S1739">
        <v>441</v>
      </c>
      <c r="T1739" t="s">
        <v>27</v>
      </c>
      <c r="U1739">
        <v>441</v>
      </c>
      <c r="V1739" s="7" t="str">
        <f>IF(ISERROR(VLOOKUP(K1739,[1]작가별정산률!$R:$S,2,0)),"스토리위즈",VLOOKUP(K1739,[1]작가별정산률!$R:$S,2,0))</f>
        <v>스토리위즈</v>
      </c>
      <c r="W1739" s="7" t="str">
        <f>IF(V1739="스토리위즈",VLOOKUP(K1739,[1]작가별정산률!$A:$B,2,0),V1739)</f>
        <v>김광수</v>
      </c>
    </row>
    <row r="1740" spans="1:23" x14ac:dyDescent="0.4">
      <c r="A1740" t="s">
        <v>262</v>
      </c>
      <c r="B1740" t="s">
        <v>2017</v>
      </c>
      <c r="C1740" t="s">
        <v>2073</v>
      </c>
      <c r="D1740" t="s">
        <v>64</v>
      </c>
      <c r="E1740" t="s">
        <v>22</v>
      </c>
      <c r="F1740" t="s">
        <v>23</v>
      </c>
      <c r="G1740">
        <v>1</v>
      </c>
      <c r="H1740">
        <v>9791166300226</v>
      </c>
      <c r="I1740" t="s">
        <v>24</v>
      </c>
      <c r="J1740" t="s">
        <v>131</v>
      </c>
      <c r="K1740" t="s">
        <v>119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  <c r="V1740" s="7" t="str">
        <f>IF(ISERROR(VLOOKUP(K1740,[1]작가별정산률!$R:$S,2,0)),"스토리위즈",VLOOKUP(K1740,[1]작가별정산률!$R:$S,2,0))</f>
        <v>스토리위즈</v>
      </c>
      <c r="W1740" s="7" t="str">
        <f>IF(V1740="스토리위즈",VLOOKUP(K1740,[1]작가별정산률!$A:$B,2,0),V1740)</f>
        <v>김광수</v>
      </c>
    </row>
    <row r="1741" spans="1:23" x14ac:dyDescent="0.4">
      <c r="A1741" t="s">
        <v>262</v>
      </c>
      <c r="B1741" t="s">
        <v>2017</v>
      </c>
      <c r="C1741" t="s">
        <v>2074</v>
      </c>
      <c r="D1741" t="s">
        <v>21</v>
      </c>
      <c r="E1741" t="s">
        <v>22</v>
      </c>
      <c r="F1741" t="s">
        <v>23</v>
      </c>
      <c r="G1741">
        <v>1</v>
      </c>
      <c r="H1741">
        <v>9791166300592</v>
      </c>
      <c r="I1741" t="s">
        <v>24</v>
      </c>
      <c r="J1741" t="s">
        <v>161</v>
      </c>
      <c r="K1741" t="s">
        <v>119</v>
      </c>
      <c r="L1741" t="s">
        <v>27</v>
      </c>
      <c r="M1741" s="3">
        <v>3200</v>
      </c>
      <c r="N1741" t="s">
        <v>27</v>
      </c>
      <c r="O1741" s="3">
        <v>3200</v>
      </c>
      <c r="P1741" s="3">
        <v>3200</v>
      </c>
      <c r="Q1741" t="s">
        <v>30</v>
      </c>
      <c r="R1741" s="2">
        <v>0.7</v>
      </c>
      <c r="S1741" s="3">
        <v>2240</v>
      </c>
      <c r="T1741" t="s">
        <v>27</v>
      </c>
      <c r="U1741" s="3">
        <v>2240</v>
      </c>
      <c r="V1741" s="7" t="str">
        <f>IF(ISERROR(VLOOKUP(K1741,[1]작가별정산률!$R:$S,2,0)),"스토리위즈",VLOOKUP(K1741,[1]작가별정산률!$R:$S,2,0))</f>
        <v>스토리위즈</v>
      </c>
      <c r="W1741" s="7" t="str">
        <f>IF(V1741="스토리위즈",VLOOKUP(K1741,[1]작가별정산률!$A:$B,2,0),V1741)</f>
        <v>김광수</v>
      </c>
    </row>
    <row r="1742" spans="1:23" x14ac:dyDescent="0.4">
      <c r="A1742" t="s">
        <v>262</v>
      </c>
      <c r="B1742" t="s">
        <v>2075</v>
      </c>
      <c r="C1742" t="s">
        <v>2076</v>
      </c>
      <c r="D1742" t="s">
        <v>64</v>
      </c>
      <c r="E1742" t="s">
        <v>22</v>
      </c>
      <c r="F1742" t="s">
        <v>23</v>
      </c>
      <c r="G1742">
        <v>1</v>
      </c>
      <c r="H1742">
        <v>9791159283109</v>
      </c>
      <c r="I1742" t="s">
        <v>24</v>
      </c>
      <c r="J1742" t="s">
        <v>75</v>
      </c>
      <c r="K1742" t="s">
        <v>37</v>
      </c>
      <c r="L1742" t="s">
        <v>27</v>
      </c>
      <c r="M1742">
        <v>900</v>
      </c>
      <c r="N1742" t="s">
        <v>27</v>
      </c>
      <c r="O1742">
        <v>900</v>
      </c>
      <c r="P1742">
        <v>900</v>
      </c>
      <c r="Q1742" t="s">
        <v>30</v>
      </c>
      <c r="R1742" s="2">
        <v>0.7</v>
      </c>
      <c r="S1742">
        <v>630</v>
      </c>
      <c r="T1742" t="s">
        <v>27</v>
      </c>
      <c r="U1742">
        <v>630</v>
      </c>
      <c r="V1742" s="7" t="str">
        <f>IF(ISERROR(VLOOKUP(K1742,[1]작가별정산률!$R:$S,2,0)),"스토리위즈",VLOOKUP(K1742,[1]작가별정산률!$R:$S,2,0))</f>
        <v>스토리위즈</v>
      </c>
      <c r="W1742" s="7" t="str">
        <f>IF(V1742="스토리위즈",VLOOKUP(K1742,[1]작가별정산률!$A:$B,2,0),V1742)</f>
        <v>권용찬</v>
      </c>
    </row>
    <row r="1743" spans="1:23" x14ac:dyDescent="0.4">
      <c r="A1743" t="s">
        <v>262</v>
      </c>
      <c r="B1743" t="s">
        <v>2075</v>
      </c>
      <c r="C1743" t="s">
        <v>2077</v>
      </c>
      <c r="D1743" t="s">
        <v>21</v>
      </c>
      <c r="E1743" t="s">
        <v>22</v>
      </c>
      <c r="F1743" t="s">
        <v>23</v>
      </c>
      <c r="G1743">
        <v>1</v>
      </c>
      <c r="H1743">
        <v>9791191562033</v>
      </c>
      <c r="I1743" t="s">
        <v>143</v>
      </c>
      <c r="J1743" t="s">
        <v>189</v>
      </c>
      <c r="K1743" t="s">
        <v>187</v>
      </c>
      <c r="L1743" t="s">
        <v>27</v>
      </c>
      <c r="M1743" s="3">
        <v>2000</v>
      </c>
      <c r="N1743" t="s">
        <v>27</v>
      </c>
      <c r="O1743" s="3">
        <v>2000</v>
      </c>
      <c r="P1743" s="3">
        <v>2000</v>
      </c>
      <c r="Q1743" t="s">
        <v>30</v>
      </c>
      <c r="R1743" s="2">
        <v>0.7</v>
      </c>
      <c r="S1743" s="3">
        <v>1400</v>
      </c>
      <c r="T1743" t="s">
        <v>27</v>
      </c>
      <c r="U1743" s="3">
        <v>1400</v>
      </c>
      <c r="V1743" s="7" t="str">
        <f>IF(ISERROR(VLOOKUP(K1743,[1]작가별정산률!$R:$S,2,0)),"스토리위즈",VLOOKUP(K1743,[1]작가별정산률!$R:$S,2,0))</f>
        <v>밀리의 서재</v>
      </c>
      <c r="W1743" s="7" t="str">
        <f>IF(V1743="스토리위즈",VLOOKUP(K1743,[1]작가별정산률!$A:$B,2,0),V1743)</f>
        <v>밀리의 서재</v>
      </c>
    </row>
    <row r="1744" spans="1:23" x14ac:dyDescent="0.4">
      <c r="A1744" t="s">
        <v>262</v>
      </c>
      <c r="B1744" t="s">
        <v>2075</v>
      </c>
      <c r="C1744" t="s">
        <v>2078</v>
      </c>
      <c r="D1744" t="s">
        <v>64</v>
      </c>
      <c r="E1744" t="s">
        <v>22</v>
      </c>
      <c r="F1744" t="s">
        <v>23</v>
      </c>
      <c r="G1744">
        <v>1</v>
      </c>
      <c r="H1744">
        <v>9791166300288</v>
      </c>
      <c r="I1744" t="s">
        <v>24</v>
      </c>
      <c r="J1744" t="s">
        <v>137</v>
      </c>
      <c r="K1744" t="s">
        <v>119</v>
      </c>
      <c r="L1744" t="s">
        <v>27</v>
      </c>
      <c r="M1744">
        <v>630</v>
      </c>
      <c r="N1744" t="s">
        <v>27</v>
      </c>
      <c r="O1744">
        <v>630</v>
      </c>
      <c r="P1744">
        <v>630</v>
      </c>
      <c r="Q1744" t="s">
        <v>30</v>
      </c>
      <c r="R1744" s="2">
        <v>0.7</v>
      </c>
      <c r="S1744">
        <v>441</v>
      </c>
      <c r="T1744" t="s">
        <v>27</v>
      </c>
      <c r="U1744">
        <v>441</v>
      </c>
      <c r="V1744" s="7" t="str">
        <f>IF(ISERROR(VLOOKUP(K1744,[1]작가별정산률!$R:$S,2,0)),"스토리위즈",VLOOKUP(K1744,[1]작가별정산률!$R:$S,2,0))</f>
        <v>스토리위즈</v>
      </c>
      <c r="W1744" s="7" t="str">
        <f>IF(V1744="스토리위즈",VLOOKUP(K1744,[1]작가별정산률!$A:$B,2,0),V1744)</f>
        <v>김광수</v>
      </c>
    </row>
    <row r="1745" spans="1:23" x14ac:dyDescent="0.4">
      <c r="A1745" t="s">
        <v>262</v>
      </c>
      <c r="B1745" t="s">
        <v>2075</v>
      </c>
      <c r="C1745" t="s">
        <v>2079</v>
      </c>
      <c r="D1745" t="s">
        <v>64</v>
      </c>
      <c r="E1745" t="s">
        <v>22</v>
      </c>
      <c r="F1745" t="s">
        <v>23</v>
      </c>
      <c r="G1745">
        <v>1</v>
      </c>
      <c r="H1745">
        <v>9791166300295</v>
      </c>
      <c r="I1745" t="s">
        <v>24</v>
      </c>
      <c r="J1745" t="s">
        <v>138</v>
      </c>
      <c r="K1745" t="s">
        <v>119</v>
      </c>
      <c r="L1745" t="s">
        <v>27</v>
      </c>
      <c r="M1745">
        <v>630</v>
      </c>
      <c r="N1745" t="s">
        <v>27</v>
      </c>
      <c r="O1745">
        <v>630</v>
      </c>
      <c r="P1745">
        <v>630</v>
      </c>
      <c r="Q1745" t="s">
        <v>30</v>
      </c>
      <c r="R1745" s="2">
        <v>0.7</v>
      </c>
      <c r="S1745">
        <v>441</v>
      </c>
      <c r="T1745" t="s">
        <v>27</v>
      </c>
      <c r="U1745">
        <v>441</v>
      </c>
      <c r="V1745" s="7" t="str">
        <f>IF(ISERROR(VLOOKUP(K1745,[1]작가별정산률!$R:$S,2,0)),"스토리위즈",VLOOKUP(K1745,[1]작가별정산률!$R:$S,2,0))</f>
        <v>스토리위즈</v>
      </c>
      <c r="W1745" s="7" t="str">
        <f>IF(V1745="스토리위즈",VLOOKUP(K1745,[1]작가별정산률!$A:$B,2,0),V1745)</f>
        <v>김광수</v>
      </c>
    </row>
    <row r="1746" spans="1:23" x14ac:dyDescent="0.4">
      <c r="A1746" t="s">
        <v>262</v>
      </c>
      <c r="B1746" t="s">
        <v>2075</v>
      </c>
      <c r="C1746" t="s">
        <v>2080</v>
      </c>
      <c r="D1746" t="s">
        <v>64</v>
      </c>
      <c r="E1746" t="s">
        <v>22</v>
      </c>
      <c r="F1746" t="s">
        <v>23</v>
      </c>
      <c r="G1746">
        <v>1</v>
      </c>
      <c r="H1746">
        <v>9791188630226</v>
      </c>
      <c r="I1746" t="s">
        <v>24</v>
      </c>
      <c r="J1746" t="s">
        <v>197</v>
      </c>
      <c r="K1746" t="s">
        <v>41</v>
      </c>
      <c r="L1746" t="s">
        <v>27</v>
      </c>
      <c r="M1746">
        <v>630</v>
      </c>
      <c r="N1746" t="s">
        <v>27</v>
      </c>
      <c r="O1746">
        <v>630</v>
      </c>
      <c r="P1746">
        <v>630</v>
      </c>
      <c r="Q1746" t="s">
        <v>30</v>
      </c>
      <c r="R1746" s="2">
        <v>0.7</v>
      </c>
      <c r="S1746">
        <v>441</v>
      </c>
      <c r="T1746" t="s">
        <v>27</v>
      </c>
      <c r="U1746">
        <v>441</v>
      </c>
      <c r="V1746" s="7" t="str">
        <f>IF(ISERROR(VLOOKUP(K1746,[1]작가별정산률!$R:$S,2,0)),"스토리위즈",VLOOKUP(K1746,[1]작가별정산률!$R:$S,2,0))</f>
        <v>스토리위즈</v>
      </c>
      <c r="W1746" s="7" t="str">
        <f>IF(V1746="스토리위즈",VLOOKUP(K1746,[1]작가별정산률!$A:$B,2,0),V1746)</f>
        <v>무장</v>
      </c>
    </row>
    <row r="1747" spans="1:23" x14ac:dyDescent="0.4">
      <c r="A1747" t="s">
        <v>262</v>
      </c>
      <c r="B1747" t="s">
        <v>2075</v>
      </c>
      <c r="C1747" t="s">
        <v>2081</v>
      </c>
      <c r="D1747" t="s">
        <v>64</v>
      </c>
      <c r="E1747" t="s">
        <v>22</v>
      </c>
      <c r="F1747" t="s">
        <v>23</v>
      </c>
      <c r="G1747">
        <v>1</v>
      </c>
      <c r="H1747">
        <v>9791166300516</v>
      </c>
      <c r="I1747" t="s">
        <v>24</v>
      </c>
      <c r="J1747" t="s">
        <v>149</v>
      </c>
      <c r="K1747" t="s">
        <v>119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  <c r="V1747" s="7" t="str">
        <f>IF(ISERROR(VLOOKUP(K1747,[1]작가별정산률!$R:$S,2,0)),"스토리위즈",VLOOKUP(K1747,[1]작가별정산률!$R:$S,2,0))</f>
        <v>스토리위즈</v>
      </c>
      <c r="W1747" s="7" t="str">
        <f>IF(V1747="스토리위즈",VLOOKUP(K1747,[1]작가별정산률!$A:$B,2,0),V1747)</f>
        <v>김광수</v>
      </c>
    </row>
    <row r="1748" spans="1:23" x14ac:dyDescent="0.4">
      <c r="A1748" t="s">
        <v>262</v>
      </c>
      <c r="B1748" t="s">
        <v>2075</v>
      </c>
      <c r="C1748" t="s">
        <v>2082</v>
      </c>
      <c r="D1748" t="s">
        <v>64</v>
      </c>
      <c r="E1748" t="s">
        <v>22</v>
      </c>
      <c r="F1748" t="s">
        <v>23</v>
      </c>
      <c r="G1748">
        <v>1</v>
      </c>
      <c r="H1748">
        <v>9791166064067</v>
      </c>
      <c r="I1748" t="s">
        <v>24</v>
      </c>
      <c r="J1748" t="s">
        <v>81</v>
      </c>
      <c r="K1748" t="s">
        <v>37</v>
      </c>
      <c r="L1748" t="s">
        <v>27</v>
      </c>
      <c r="M1748">
        <v>900</v>
      </c>
      <c r="N1748" t="s">
        <v>27</v>
      </c>
      <c r="O1748">
        <v>900</v>
      </c>
      <c r="P1748">
        <v>900</v>
      </c>
      <c r="Q1748" t="s">
        <v>30</v>
      </c>
      <c r="R1748" s="2">
        <v>0.7</v>
      </c>
      <c r="S1748">
        <v>630</v>
      </c>
      <c r="T1748" t="s">
        <v>27</v>
      </c>
      <c r="U1748">
        <v>630</v>
      </c>
      <c r="V1748" s="7" t="str">
        <f>IF(ISERROR(VLOOKUP(K1748,[1]작가별정산률!$R:$S,2,0)),"스토리위즈",VLOOKUP(K1748,[1]작가별정산률!$R:$S,2,0))</f>
        <v>스토리위즈</v>
      </c>
      <c r="W1748" s="7" t="str">
        <f>IF(V1748="스토리위즈",VLOOKUP(K1748,[1]작가별정산률!$A:$B,2,0),V1748)</f>
        <v>권용찬</v>
      </c>
    </row>
    <row r="1749" spans="1:23" x14ac:dyDescent="0.4">
      <c r="A1749" t="s">
        <v>262</v>
      </c>
      <c r="B1749" t="s">
        <v>2075</v>
      </c>
      <c r="C1749" t="s">
        <v>2083</v>
      </c>
      <c r="D1749" t="s">
        <v>64</v>
      </c>
      <c r="E1749" t="s">
        <v>22</v>
      </c>
      <c r="F1749" t="s">
        <v>23</v>
      </c>
      <c r="G1749">
        <v>1</v>
      </c>
      <c r="H1749">
        <v>9791166300141</v>
      </c>
      <c r="I1749" t="s">
        <v>24</v>
      </c>
      <c r="J1749" t="s">
        <v>124</v>
      </c>
      <c r="K1749" t="s">
        <v>119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2">
        <v>0.7</v>
      </c>
      <c r="S1749">
        <v>441</v>
      </c>
      <c r="T1749" t="s">
        <v>27</v>
      </c>
      <c r="U1749">
        <v>441</v>
      </c>
      <c r="V1749" s="7" t="str">
        <f>IF(ISERROR(VLOOKUP(K1749,[1]작가별정산률!$R:$S,2,0)),"스토리위즈",VLOOKUP(K1749,[1]작가별정산률!$R:$S,2,0))</f>
        <v>스토리위즈</v>
      </c>
      <c r="W1749" s="7" t="str">
        <f>IF(V1749="스토리위즈",VLOOKUP(K1749,[1]작가별정산률!$A:$B,2,0),V1749)</f>
        <v>김광수</v>
      </c>
    </row>
    <row r="1750" spans="1:23" x14ac:dyDescent="0.4">
      <c r="A1750" t="s">
        <v>262</v>
      </c>
      <c r="B1750" t="s">
        <v>2075</v>
      </c>
      <c r="C1750" t="s">
        <v>2084</v>
      </c>
      <c r="D1750" t="s">
        <v>64</v>
      </c>
      <c r="E1750" t="s">
        <v>22</v>
      </c>
      <c r="F1750" t="s">
        <v>23</v>
      </c>
      <c r="G1750">
        <v>1</v>
      </c>
      <c r="H1750">
        <v>9791166300219</v>
      </c>
      <c r="I1750" t="s">
        <v>24</v>
      </c>
      <c r="J1750" t="s">
        <v>130</v>
      </c>
      <c r="K1750" t="s">
        <v>119</v>
      </c>
      <c r="L1750" t="s">
        <v>27</v>
      </c>
      <c r="M1750">
        <v>630</v>
      </c>
      <c r="N1750" t="s">
        <v>27</v>
      </c>
      <c r="O1750">
        <v>630</v>
      </c>
      <c r="P1750">
        <v>630</v>
      </c>
      <c r="Q1750" t="s">
        <v>30</v>
      </c>
      <c r="R1750" s="2">
        <v>0.7</v>
      </c>
      <c r="S1750">
        <v>441</v>
      </c>
      <c r="T1750" t="s">
        <v>27</v>
      </c>
      <c r="U1750">
        <v>441</v>
      </c>
      <c r="V1750" s="7" t="str">
        <f>IF(ISERROR(VLOOKUP(K1750,[1]작가별정산률!$R:$S,2,0)),"스토리위즈",VLOOKUP(K1750,[1]작가별정산률!$R:$S,2,0))</f>
        <v>스토리위즈</v>
      </c>
      <c r="W1750" s="7" t="str">
        <f>IF(V1750="스토리위즈",VLOOKUP(K1750,[1]작가별정산률!$A:$B,2,0),V1750)</f>
        <v>김광수</v>
      </c>
    </row>
    <row r="1751" spans="1:23" x14ac:dyDescent="0.4">
      <c r="A1751" t="s">
        <v>262</v>
      </c>
      <c r="B1751" t="s">
        <v>2075</v>
      </c>
      <c r="C1751" t="s">
        <v>2085</v>
      </c>
      <c r="D1751" t="s">
        <v>64</v>
      </c>
      <c r="E1751" t="s">
        <v>22</v>
      </c>
      <c r="F1751" t="s">
        <v>23</v>
      </c>
      <c r="G1751">
        <v>1</v>
      </c>
      <c r="H1751">
        <v>9791166300288</v>
      </c>
      <c r="I1751" t="s">
        <v>24</v>
      </c>
      <c r="J1751" t="s">
        <v>137</v>
      </c>
      <c r="K1751" t="s">
        <v>119</v>
      </c>
      <c r="L1751" t="s">
        <v>27</v>
      </c>
      <c r="M1751">
        <v>630</v>
      </c>
      <c r="N1751" t="s">
        <v>27</v>
      </c>
      <c r="O1751">
        <v>630</v>
      </c>
      <c r="P1751">
        <v>630</v>
      </c>
      <c r="Q1751" t="s">
        <v>30</v>
      </c>
      <c r="R1751" s="2">
        <v>0.7</v>
      </c>
      <c r="S1751">
        <v>441</v>
      </c>
      <c r="T1751" t="s">
        <v>27</v>
      </c>
      <c r="U1751">
        <v>441</v>
      </c>
      <c r="V1751" s="7" t="str">
        <f>IF(ISERROR(VLOOKUP(K1751,[1]작가별정산률!$R:$S,2,0)),"스토리위즈",VLOOKUP(K1751,[1]작가별정산률!$R:$S,2,0))</f>
        <v>스토리위즈</v>
      </c>
      <c r="W1751" s="7" t="str">
        <f>IF(V1751="스토리위즈",VLOOKUP(K1751,[1]작가별정산률!$A:$B,2,0),V1751)</f>
        <v>김광수</v>
      </c>
    </row>
    <row r="1752" spans="1:23" x14ac:dyDescent="0.4">
      <c r="A1752" t="s">
        <v>262</v>
      </c>
      <c r="B1752" t="s">
        <v>2075</v>
      </c>
      <c r="C1752" t="s">
        <v>2086</v>
      </c>
      <c r="D1752" t="s">
        <v>21</v>
      </c>
      <c r="E1752" t="s">
        <v>22</v>
      </c>
      <c r="F1752" t="s">
        <v>23</v>
      </c>
      <c r="G1752">
        <v>1</v>
      </c>
      <c r="H1752">
        <v>9791166300561</v>
      </c>
      <c r="I1752" t="s">
        <v>24</v>
      </c>
      <c r="J1752" t="s">
        <v>158</v>
      </c>
      <c r="K1752" t="s">
        <v>119</v>
      </c>
      <c r="L1752" t="s">
        <v>27</v>
      </c>
      <c r="M1752" s="3">
        <v>3200</v>
      </c>
      <c r="N1752" t="s">
        <v>27</v>
      </c>
      <c r="O1752" s="3">
        <v>3200</v>
      </c>
      <c r="P1752" s="3">
        <v>3200</v>
      </c>
      <c r="Q1752" t="s">
        <v>30</v>
      </c>
      <c r="R1752" s="2">
        <v>0.7</v>
      </c>
      <c r="S1752" s="3">
        <v>2240</v>
      </c>
      <c r="T1752" t="s">
        <v>27</v>
      </c>
      <c r="U1752" s="3">
        <v>2240</v>
      </c>
      <c r="V1752" s="7" t="str">
        <f>IF(ISERROR(VLOOKUP(K1752,[1]작가별정산률!$R:$S,2,0)),"스토리위즈",VLOOKUP(K1752,[1]작가별정산률!$R:$S,2,0))</f>
        <v>스토리위즈</v>
      </c>
      <c r="W1752" s="7" t="str">
        <f>IF(V1752="스토리위즈",VLOOKUP(K1752,[1]작가별정산률!$A:$B,2,0),V1752)</f>
        <v>김광수</v>
      </c>
    </row>
    <row r="1753" spans="1:23" x14ac:dyDescent="0.4">
      <c r="A1753" t="s">
        <v>262</v>
      </c>
      <c r="B1753" t="s">
        <v>2075</v>
      </c>
      <c r="C1753" t="s">
        <v>2087</v>
      </c>
      <c r="D1753" t="s">
        <v>21</v>
      </c>
      <c r="E1753" t="s">
        <v>22</v>
      </c>
      <c r="F1753" t="s">
        <v>23</v>
      </c>
      <c r="G1753">
        <v>1</v>
      </c>
      <c r="H1753">
        <v>9791191562453</v>
      </c>
      <c r="I1753" t="s">
        <v>143</v>
      </c>
      <c r="J1753" t="s">
        <v>1900</v>
      </c>
      <c r="K1753" t="s">
        <v>1901</v>
      </c>
      <c r="L1753" t="s">
        <v>27</v>
      </c>
      <c r="M1753" s="3">
        <v>2500</v>
      </c>
      <c r="N1753" t="s">
        <v>27</v>
      </c>
      <c r="O1753" s="3">
        <v>2500</v>
      </c>
      <c r="P1753" s="3">
        <v>2500</v>
      </c>
      <c r="Q1753" t="s">
        <v>30</v>
      </c>
      <c r="R1753" s="2">
        <v>0.7</v>
      </c>
      <c r="S1753" s="3">
        <v>1750</v>
      </c>
      <c r="T1753" t="s">
        <v>27</v>
      </c>
      <c r="U1753" s="3">
        <v>1750</v>
      </c>
      <c r="V1753" s="7" t="str">
        <f>IF(ISERROR(VLOOKUP(K1753,[1]작가별정산률!$R:$S,2,0)),"스토리위즈",VLOOKUP(K1753,[1]작가별정산률!$R:$S,2,0))</f>
        <v>밀리의 서재</v>
      </c>
      <c r="W1753" s="7" t="str">
        <f>IF(V1753="스토리위즈",VLOOKUP(K1753,[1]작가별정산률!$A:$B,2,0),V1753)</f>
        <v>밀리의 서재</v>
      </c>
    </row>
    <row r="1754" spans="1:23" x14ac:dyDescent="0.4">
      <c r="A1754" t="s">
        <v>262</v>
      </c>
      <c r="B1754" t="s">
        <v>2075</v>
      </c>
      <c r="C1754" t="s">
        <v>2088</v>
      </c>
      <c r="D1754" t="s">
        <v>21</v>
      </c>
      <c r="E1754" t="s">
        <v>22</v>
      </c>
      <c r="F1754" t="s">
        <v>23</v>
      </c>
      <c r="G1754">
        <v>1</v>
      </c>
      <c r="H1754">
        <v>9791166300608</v>
      </c>
      <c r="I1754" t="s">
        <v>24</v>
      </c>
      <c r="J1754" t="s">
        <v>162</v>
      </c>
      <c r="K1754" t="s">
        <v>119</v>
      </c>
      <c r="L1754" t="s">
        <v>27</v>
      </c>
      <c r="M1754" s="3">
        <v>3200</v>
      </c>
      <c r="N1754" t="s">
        <v>27</v>
      </c>
      <c r="O1754" s="3">
        <v>3200</v>
      </c>
      <c r="P1754" s="3">
        <v>3200</v>
      </c>
      <c r="Q1754" t="s">
        <v>30</v>
      </c>
      <c r="R1754" s="2">
        <v>0.7</v>
      </c>
      <c r="S1754" s="3">
        <v>2240</v>
      </c>
      <c r="T1754" t="s">
        <v>27</v>
      </c>
      <c r="U1754" s="3">
        <v>2240</v>
      </c>
      <c r="V1754" s="7" t="str">
        <f>IF(ISERROR(VLOOKUP(K1754,[1]작가별정산률!$R:$S,2,0)),"스토리위즈",VLOOKUP(K1754,[1]작가별정산률!$R:$S,2,0))</f>
        <v>스토리위즈</v>
      </c>
      <c r="W1754" s="7" t="str">
        <f>IF(V1754="스토리위즈",VLOOKUP(K1754,[1]작가별정산률!$A:$B,2,0),V1754)</f>
        <v>김광수</v>
      </c>
    </row>
    <row r="1755" spans="1:23" x14ac:dyDescent="0.4">
      <c r="A1755" t="s">
        <v>262</v>
      </c>
      <c r="B1755" t="s">
        <v>2075</v>
      </c>
      <c r="C1755" t="s">
        <v>2089</v>
      </c>
      <c r="D1755" t="s">
        <v>64</v>
      </c>
      <c r="E1755" t="s">
        <v>22</v>
      </c>
      <c r="F1755" t="s">
        <v>23</v>
      </c>
      <c r="G1755">
        <v>1</v>
      </c>
      <c r="H1755">
        <v>9791159284953</v>
      </c>
      <c r="I1755" t="s">
        <v>24</v>
      </c>
      <c r="J1755" t="s">
        <v>46</v>
      </c>
      <c r="K1755" t="s">
        <v>47</v>
      </c>
      <c r="L1755" t="s">
        <v>27</v>
      </c>
      <c r="M1755">
        <v>630</v>
      </c>
      <c r="N1755" t="s">
        <v>27</v>
      </c>
      <c r="O1755">
        <v>630</v>
      </c>
      <c r="P1755">
        <v>630</v>
      </c>
      <c r="Q1755" t="s">
        <v>30</v>
      </c>
      <c r="R1755" s="2">
        <v>0.7</v>
      </c>
      <c r="S1755">
        <v>441</v>
      </c>
      <c r="T1755" t="s">
        <v>27</v>
      </c>
      <c r="U1755">
        <v>441</v>
      </c>
      <c r="V1755" s="7" t="str">
        <f>IF(ISERROR(VLOOKUP(K1755,[1]작가별정산률!$R:$S,2,0)),"스토리위즈",VLOOKUP(K1755,[1]작가별정산률!$R:$S,2,0))</f>
        <v>스토리위즈</v>
      </c>
      <c r="W1755" s="7" t="str">
        <f>IF(V1755="스토리위즈",VLOOKUP(K1755,[1]작가별정산률!$A:$B,2,0),V1755)</f>
        <v>전혁</v>
      </c>
    </row>
    <row r="1756" spans="1:23" x14ac:dyDescent="0.4">
      <c r="A1756" t="s">
        <v>262</v>
      </c>
      <c r="B1756" t="s">
        <v>2075</v>
      </c>
      <c r="C1756" t="s">
        <v>2090</v>
      </c>
      <c r="D1756" t="s">
        <v>64</v>
      </c>
      <c r="E1756" t="s">
        <v>22</v>
      </c>
      <c r="F1756" t="s">
        <v>23</v>
      </c>
      <c r="G1756">
        <v>1</v>
      </c>
      <c r="H1756">
        <v>9791159283086</v>
      </c>
      <c r="I1756" t="s">
        <v>24</v>
      </c>
      <c r="J1756" t="s">
        <v>72</v>
      </c>
      <c r="K1756" t="s">
        <v>37</v>
      </c>
      <c r="L1756" t="s">
        <v>27</v>
      </c>
      <c r="M1756">
        <v>900</v>
      </c>
      <c r="N1756" t="s">
        <v>27</v>
      </c>
      <c r="O1756">
        <v>900</v>
      </c>
      <c r="P1756">
        <v>900</v>
      </c>
      <c r="Q1756" t="s">
        <v>30</v>
      </c>
      <c r="R1756" s="2">
        <v>0.7</v>
      </c>
      <c r="S1756">
        <v>630</v>
      </c>
      <c r="T1756" t="s">
        <v>27</v>
      </c>
      <c r="U1756">
        <v>630</v>
      </c>
      <c r="V1756" s="7" t="str">
        <f>IF(ISERROR(VLOOKUP(K1756,[1]작가별정산률!$R:$S,2,0)),"스토리위즈",VLOOKUP(K1756,[1]작가별정산률!$R:$S,2,0))</f>
        <v>스토리위즈</v>
      </c>
      <c r="W1756" s="7" t="str">
        <f>IF(V1756="스토리위즈",VLOOKUP(K1756,[1]작가별정산률!$A:$B,2,0),V1756)</f>
        <v>권용찬</v>
      </c>
    </row>
    <row r="1757" spans="1:23" x14ac:dyDescent="0.4">
      <c r="A1757" t="s">
        <v>262</v>
      </c>
      <c r="B1757" t="s">
        <v>2075</v>
      </c>
      <c r="C1757" t="s">
        <v>2091</v>
      </c>
      <c r="D1757" t="s">
        <v>64</v>
      </c>
      <c r="E1757" t="s">
        <v>22</v>
      </c>
      <c r="F1757" t="s">
        <v>23</v>
      </c>
      <c r="G1757">
        <v>1</v>
      </c>
      <c r="H1757">
        <v>9791159283093</v>
      </c>
      <c r="I1757" t="s">
        <v>24</v>
      </c>
      <c r="J1757" t="s">
        <v>73</v>
      </c>
      <c r="K1757" t="s">
        <v>37</v>
      </c>
      <c r="L1757" t="s">
        <v>27</v>
      </c>
      <c r="M1757">
        <v>900</v>
      </c>
      <c r="N1757" t="s">
        <v>27</v>
      </c>
      <c r="O1757">
        <v>900</v>
      </c>
      <c r="P1757">
        <v>900</v>
      </c>
      <c r="Q1757" t="s">
        <v>30</v>
      </c>
      <c r="R1757" s="2">
        <v>0.7</v>
      </c>
      <c r="S1757">
        <v>630</v>
      </c>
      <c r="T1757" t="s">
        <v>27</v>
      </c>
      <c r="U1757">
        <v>630</v>
      </c>
      <c r="V1757" s="7" t="str">
        <f>IF(ISERROR(VLOOKUP(K1757,[1]작가별정산률!$R:$S,2,0)),"스토리위즈",VLOOKUP(K1757,[1]작가별정산률!$R:$S,2,0))</f>
        <v>스토리위즈</v>
      </c>
      <c r="W1757" s="7" t="str">
        <f>IF(V1757="스토리위즈",VLOOKUP(K1757,[1]작가별정산률!$A:$B,2,0),V1757)</f>
        <v>권용찬</v>
      </c>
    </row>
    <row r="1758" spans="1:23" x14ac:dyDescent="0.4">
      <c r="A1758" t="s">
        <v>262</v>
      </c>
      <c r="B1758" t="s">
        <v>2075</v>
      </c>
      <c r="C1758" t="s">
        <v>2092</v>
      </c>
      <c r="D1758" t="s">
        <v>64</v>
      </c>
      <c r="E1758" t="s">
        <v>22</v>
      </c>
      <c r="F1758" t="s">
        <v>23</v>
      </c>
      <c r="G1758">
        <v>1</v>
      </c>
      <c r="H1758">
        <v>9791166061080</v>
      </c>
      <c r="I1758" t="s">
        <v>24</v>
      </c>
      <c r="J1758" t="s">
        <v>74</v>
      </c>
      <c r="K1758" t="s">
        <v>37</v>
      </c>
      <c r="L1758" t="s">
        <v>27</v>
      </c>
      <c r="M1758">
        <v>900</v>
      </c>
      <c r="N1758" t="s">
        <v>27</v>
      </c>
      <c r="O1758">
        <v>900</v>
      </c>
      <c r="P1758">
        <v>900</v>
      </c>
      <c r="Q1758" t="s">
        <v>30</v>
      </c>
      <c r="R1758" s="2">
        <v>0.7</v>
      </c>
      <c r="S1758">
        <v>630</v>
      </c>
      <c r="T1758" t="s">
        <v>27</v>
      </c>
      <c r="U1758">
        <v>630</v>
      </c>
      <c r="V1758" s="7" t="str">
        <f>IF(ISERROR(VLOOKUP(K1758,[1]작가별정산률!$R:$S,2,0)),"스토리위즈",VLOOKUP(K1758,[1]작가별정산률!$R:$S,2,0))</f>
        <v>스토리위즈</v>
      </c>
      <c r="W1758" s="7" t="str">
        <f>IF(V1758="스토리위즈",VLOOKUP(K1758,[1]작가별정산률!$A:$B,2,0),V1758)</f>
        <v>권용찬</v>
      </c>
    </row>
    <row r="1759" spans="1:23" x14ac:dyDescent="0.4">
      <c r="A1759" t="s">
        <v>262</v>
      </c>
      <c r="B1759" t="s">
        <v>2075</v>
      </c>
      <c r="C1759" t="s">
        <v>2093</v>
      </c>
      <c r="D1759" t="s">
        <v>64</v>
      </c>
      <c r="E1759" t="s">
        <v>22</v>
      </c>
      <c r="F1759" t="s">
        <v>23</v>
      </c>
      <c r="G1759">
        <v>1</v>
      </c>
      <c r="H1759">
        <v>9791166300158</v>
      </c>
      <c r="I1759" t="s">
        <v>24</v>
      </c>
      <c r="J1759" t="s">
        <v>125</v>
      </c>
      <c r="K1759" t="s">
        <v>119</v>
      </c>
      <c r="L1759" t="s">
        <v>27</v>
      </c>
      <c r="M1759">
        <v>630</v>
      </c>
      <c r="N1759" t="s">
        <v>27</v>
      </c>
      <c r="O1759">
        <v>630</v>
      </c>
      <c r="P1759">
        <v>630</v>
      </c>
      <c r="Q1759" t="s">
        <v>30</v>
      </c>
      <c r="R1759" s="2">
        <v>0.7</v>
      </c>
      <c r="S1759">
        <v>441</v>
      </c>
      <c r="T1759" t="s">
        <v>27</v>
      </c>
      <c r="U1759">
        <v>441</v>
      </c>
      <c r="V1759" s="7" t="str">
        <f>IF(ISERROR(VLOOKUP(K1759,[1]작가별정산률!$R:$S,2,0)),"스토리위즈",VLOOKUP(K1759,[1]작가별정산률!$R:$S,2,0))</f>
        <v>스토리위즈</v>
      </c>
      <c r="W1759" s="7" t="str">
        <f>IF(V1759="스토리위즈",VLOOKUP(K1759,[1]작가별정산률!$A:$B,2,0),V1759)</f>
        <v>김광수</v>
      </c>
    </row>
    <row r="1760" spans="1:23" x14ac:dyDescent="0.4">
      <c r="A1760" t="s">
        <v>262</v>
      </c>
      <c r="B1760" t="s">
        <v>2075</v>
      </c>
      <c r="C1760" t="s">
        <v>2094</v>
      </c>
      <c r="D1760" t="s">
        <v>21</v>
      </c>
      <c r="E1760" t="s">
        <v>22</v>
      </c>
      <c r="F1760" t="s">
        <v>23</v>
      </c>
      <c r="G1760">
        <v>1</v>
      </c>
      <c r="H1760">
        <v>9791164370221</v>
      </c>
      <c r="I1760" t="s">
        <v>143</v>
      </c>
      <c r="J1760" t="s">
        <v>2095</v>
      </c>
      <c r="K1760" t="s">
        <v>1035</v>
      </c>
      <c r="L1760" t="s">
        <v>27</v>
      </c>
      <c r="M1760">
        <v>300</v>
      </c>
      <c r="N1760" t="s">
        <v>27</v>
      </c>
      <c r="O1760">
        <v>300</v>
      </c>
      <c r="P1760">
        <v>300</v>
      </c>
      <c r="Q1760" t="s">
        <v>30</v>
      </c>
      <c r="R1760" s="2">
        <v>0.7</v>
      </c>
      <c r="S1760">
        <v>210</v>
      </c>
      <c r="T1760" t="s">
        <v>27</v>
      </c>
      <c r="U1760">
        <v>210</v>
      </c>
      <c r="V1760" s="7" t="str">
        <f>IF(ISERROR(VLOOKUP(K1760,[1]작가별정산률!$R:$S,2,0)),"스토리위즈",VLOOKUP(K1760,[1]작가별정산률!$R:$S,2,0))</f>
        <v>스토리위즈</v>
      </c>
      <c r="W1760" s="7" t="str">
        <f>IF(V1760="스토리위즈",VLOOKUP(K1760,[1]작가별정산률!$A:$B,2,0),V1760)</f>
        <v>모리미</v>
      </c>
    </row>
    <row r="1761" spans="1:23" x14ac:dyDescent="0.4">
      <c r="A1761" t="s">
        <v>262</v>
      </c>
      <c r="B1761" t="s">
        <v>2075</v>
      </c>
      <c r="C1761" t="s">
        <v>2096</v>
      </c>
      <c r="D1761" t="s">
        <v>64</v>
      </c>
      <c r="E1761" t="s">
        <v>22</v>
      </c>
      <c r="F1761" t="s">
        <v>23</v>
      </c>
      <c r="G1761">
        <v>1</v>
      </c>
      <c r="H1761">
        <v>9791159283109</v>
      </c>
      <c r="I1761" t="s">
        <v>24</v>
      </c>
      <c r="J1761" t="s">
        <v>75</v>
      </c>
      <c r="K1761" t="s">
        <v>37</v>
      </c>
      <c r="L1761" t="s">
        <v>27</v>
      </c>
      <c r="M1761">
        <v>900</v>
      </c>
      <c r="N1761" t="s">
        <v>27</v>
      </c>
      <c r="O1761">
        <v>900</v>
      </c>
      <c r="P1761">
        <v>900</v>
      </c>
      <c r="Q1761" t="s">
        <v>30</v>
      </c>
      <c r="R1761" s="2">
        <v>0.7</v>
      </c>
      <c r="S1761">
        <v>630</v>
      </c>
      <c r="T1761" t="s">
        <v>27</v>
      </c>
      <c r="U1761">
        <v>630</v>
      </c>
      <c r="V1761" s="7" t="str">
        <f>IF(ISERROR(VLOOKUP(K1761,[1]작가별정산률!$R:$S,2,0)),"스토리위즈",VLOOKUP(K1761,[1]작가별정산률!$R:$S,2,0))</f>
        <v>스토리위즈</v>
      </c>
      <c r="W1761" s="7" t="str">
        <f>IF(V1761="스토리위즈",VLOOKUP(K1761,[1]작가별정산률!$A:$B,2,0),V1761)</f>
        <v>권용찬</v>
      </c>
    </row>
    <row r="1762" spans="1:23" x14ac:dyDescent="0.4">
      <c r="A1762" t="s">
        <v>262</v>
      </c>
      <c r="B1762" t="s">
        <v>2075</v>
      </c>
      <c r="C1762" t="s">
        <v>2097</v>
      </c>
      <c r="D1762" t="s">
        <v>21</v>
      </c>
      <c r="E1762" t="s">
        <v>22</v>
      </c>
      <c r="F1762" t="s">
        <v>23</v>
      </c>
      <c r="G1762">
        <v>1</v>
      </c>
      <c r="H1762">
        <v>9791189084813</v>
      </c>
      <c r="I1762" t="s">
        <v>143</v>
      </c>
      <c r="J1762" t="s">
        <v>563</v>
      </c>
      <c r="K1762" t="s">
        <v>564</v>
      </c>
      <c r="L1762" t="s">
        <v>27</v>
      </c>
      <c r="M1762" s="3">
        <v>4000</v>
      </c>
      <c r="N1762" t="s">
        <v>27</v>
      </c>
      <c r="O1762" s="3">
        <v>4000</v>
      </c>
      <c r="P1762" s="3">
        <v>4000</v>
      </c>
      <c r="Q1762" t="s">
        <v>30</v>
      </c>
      <c r="R1762" s="2">
        <v>0.7</v>
      </c>
      <c r="S1762" s="3">
        <v>2800</v>
      </c>
      <c r="T1762" t="s">
        <v>27</v>
      </c>
      <c r="U1762" s="3">
        <v>2800</v>
      </c>
      <c r="V1762" s="7" t="str">
        <f>IF(ISERROR(VLOOKUP(K1762,[1]작가별정산률!$R:$S,2,0)),"스토리위즈",VLOOKUP(K1762,[1]작가별정산률!$R:$S,2,0))</f>
        <v>스토리위즈</v>
      </c>
      <c r="W1762" s="7" t="str">
        <f>IF(V1762="스토리위즈",VLOOKUP(K1762,[1]작가별정산률!$A:$B,2,0),V1762)</f>
        <v>셔틀</v>
      </c>
    </row>
    <row r="1763" spans="1:23" x14ac:dyDescent="0.4">
      <c r="A1763" t="s">
        <v>262</v>
      </c>
      <c r="B1763" t="s">
        <v>2075</v>
      </c>
      <c r="C1763" t="s">
        <v>2098</v>
      </c>
      <c r="D1763" t="s">
        <v>21</v>
      </c>
      <c r="E1763" t="s">
        <v>22</v>
      </c>
      <c r="F1763" t="s">
        <v>23</v>
      </c>
      <c r="G1763">
        <v>1</v>
      </c>
      <c r="H1763">
        <v>9791166060540</v>
      </c>
      <c r="I1763" t="s">
        <v>24</v>
      </c>
      <c r="J1763" t="s">
        <v>2099</v>
      </c>
      <c r="K1763" t="s">
        <v>119</v>
      </c>
      <c r="L1763" t="s">
        <v>27</v>
      </c>
      <c r="M1763" s="3">
        <v>3200</v>
      </c>
      <c r="N1763" t="s">
        <v>27</v>
      </c>
      <c r="O1763" s="3">
        <v>3200</v>
      </c>
      <c r="P1763" s="3">
        <v>3200</v>
      </c>
      <c r="Q1763" t="s">
        <v>30</v>
      </c>
      <c r="R1763" s="2">
        <v>0.7</v>
      </c>
      <c r="S1763" s="3">
        <v>2240</v>
      </c>
      <c r="T1763" t="s">
        <v>27</v>
      </c>
      <c r="U1763" s="3">
        <v>2240</v>
      </c>
      <c r="V1763" s="7" t="str">
        <f>IF(ISERROR(VLOOKUP(K1763,[1]작가별정산률!$R:$S,2,0)),"스토리위즈",VLOOKUP(K1763,[1]작가별정산률!$R:$S,2,0))</f>
        <v>스토리위즈</v>
      </c>
      <c r="W1763" s="7" t="str">
        <f>IF(V1763="스토리위즈",VLOOKUP(K1763,[1]작가별정산률!$A:$B,2,0),V1763)</f>
        <v>김광수</v>
      </c>
    </row>
    <row r="1764" spans="1:23" x14ac:dyDescent="0.4">
      <c r="A1764" t="s">
        <v>262</v>
      </c>
      <c r="B1764" t="s">
        <v>2075</v>
      </c>
      <c r="C1764" t="s">
        <v>2100</v>
      </c>
      <c r="D1764" t="s">
        <v>64</v>
      </c>
      <c r="E1764" t="s">
        <v>22</v>
      </c>
      <c r="F1764" t="s">
        <v>23</v>
      </c>
      <c r="G1764">
        <v>1</v>
      </c>
      <c r="H1764">
        <v>9791166061103</v>
      </c>
      <c r="I1764" t="s">
        <v>24</v>
      </c>
      <c r="J1764" t="s">
        <v>96</v>
      </c>
      <c r="K1764" t="s">
        <v>37</v>
      </c>
      <c r="L1764" t="s">
        <v>27</v>
      </c>
      <c r="M1764">
        <v>900</v>
      </c>
      <c r="N1764" t="s">
        <v>27</v>
      </c>
      <c r="O1764">
        <v>900</v>
      </c>
      <c r="P1764">
        <v>900</v>
      </c>
      <c r="Q1764" t="s">
        <v>30</v>
      </c>
      <c r="R1764" s="2">
        <v>0.7</v>
      </c>
      <c r="S1764">
        <v>630</v>
      </c>
      <c r="T1764" t="s">
        <v>27</v>
      </c>
      <c r="U1764">
        <v>630</v>
      </c>
      <c r="V1764" s="7" t="str">
        <f>IF(ISERROR(VLOOKUP(K1764,[1]작가별정산률!$R:$S,2,0)),"스토리위즈",VLOOKUP(K1764,[1]작가별정산률!$R:$S,2,0))</f>
        <v>스토리위즈</v>
      </c>
      <c r="W1764" s="7" t="str">
        <f>IF(V1764="스토리위즈",VLOOKUP(K1764,[1]작가별정산률!$A:$B,2,0),V1764)</f>
        <v>권용찬</v>
      </c>
    </row>
    <row r="1765" spans="1:23" x14ac:dyDescent="0.4">
      <c r="A1765" t="s">
        <v>262</v>
      </c>
      <c r="B1765" t="s">
        <v>2075</v>
      </c>
      <c r="C1765" t="s">
        <v>2101</v>
      </c>
      <c r="D1765" t="s">
        <v>64</v>
      </c>
      <c r="E1765" t="s">
        <v>22</v>
      </c>
      <c r="F1765" t="s">
        <v>23</v>
      </c>
      <c r="G1765">
        <v>1</v>
      </c>
      <c r="H1765">
        <v>9791159285028</v>
      </c>
      <c r="I1765" t="s">
        <v>24</v>
      </c>
      <c r="J1765" t="s">
        <v>56</v>
      </c>
      <c r="K1765" t="s">
        <v>47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  <c r="V1765" s="7" t="str">
        <f>IF(ISERROR(VLOOKUP(K1765,[1]작가별정산률!$R:$S,2,0)),"스토리위즈",VLOOKUP(K1765,[1]작가별정산률!$R:$S,2,0))</f>
        <v>스토리위즈</v>
      </c>
      <c r="W1765" s="7" t="str">
        <f>IF(V1765="스토리위즈",VLOOKUP(K1765,[1]작가별정산률!$A:$B,2,0),V1765)</f>
        <v>전혁</v>
      </c>
    </row>
    <row r="1766" spans="1:23" x14ac:dyDescent="0.4">
      <c r="A1766" t="s">
        <v>262</v>
      </c>
      <c r="B1766" t="s">
        <v>2075</v>
      </c>
      <c r="C1766" t="s">
        <v>2102</v>
      </c>
      <c r="D1766" t="s">
        <v>21</v>
      </c>
      <c r="E1766" t="s">
        <v>22</v>
      </c>
      <c r="F1766" t="s">
        <v>23</v>
      </c>
      <c r="G1766">
        <v>1</v>
      </c>
      <c r="H1766">
        <v>9791191562286</v>
      </c>
      <c r="I1766" t="s">
        <v>143</v>
      </c>
      <c r="J1766" t="s">
        <v>238</v>
      </c>
      <c r="K1766" t="s">
        <v>239</v>
      </c>
      <c r="L1766" t="s">
        <v>27</v>
      </c>
      <c r="M1766" s="3">
        <v>2000</v>
      </c>
      <c r="N1766" t="s">
        <v>27</v>
      </c>
      <c r="O1766" s="3">
        <v>2000</v>
      </c>
      <c r="P1766" s="3">
        <v>2000</v>
      </c>
      <c r="Q1766" t="s">
        <v>30</v>
      </c>
      <c r="R1766" s="2">
        <v>0.7</v>
      </c>
      <c r="S1766" s="3">
        <v>1400</v>
      </c>
      <c r="T1766" t="s">
        <v>27</v>
      </c>
      <c r="U1766" s="3">
        <v>1400</v>
      </c>
      <c r="V1766" s="7" t="str">
        <f>IF(ISERROR(VLOOKUP(K1766,[1]작가별정산률!$R:$S,2,0)),"스토리위즈",VLOOKUP(K1766,[1]작가별정산률!$R:$S,2,0))</f>
        <v>밀리의 서재</v>
      </c>
      <c r="W1766" s="7" t="str">
        <f>IF(V1766="스토리위즈",VLOOKUP(K1766,[1]작가별정산률!$A:$B,2,0),V1766)</f>
        <v>밀리의 서재</v>
      </c>
    </row>
    <row r="1767" spans="1:23" x14ac:dyDescent="0.4">
      <c r="A1767" t="s">
        <v>262</v>
      </c>
      <c r="B1767" t="s">
        <v>2075</v>
      </c>
      <c r="C1767" t="s">
        <v>2103</v>
      </c>
      <c r="D1767" t="s">
        <v>21</v>
      </c>
      <c r="E1767" t="s">
        <v>22</v>
      </c>
      <c r="F1767" t="s">
        <v>23</v>
      </c>
      <c r="G1767">
        <v>1</v>
      </c>
      <c r="H1767">
        <v>9791191562286</v>
      </c>
      <c r="I1767" t="s">
        <v>143</v>
      </c>
      <c r="J1767" t="s">
        <v>238</v>
      </c>
      <c r="K1767" t="s">
        <v>239</v>
      </c>
      <c r="L1767" t="s">
        <v>27</v>
      </c>
      <c r="M1767" s="3">
        <v>2000</v>
      </c>
      <c r="N1767" t="s">
        <v>27</v>
      </c>
      <c r="O1767" s="3">
        <v>2000</v>
      </c>
      <c r="P1767" s="3">
        <v>2000</v>
      </c>
      <c r="Q1767" t="s">
        <v>30</v>
      </c>
      <c r="R1767" s="2">
        <v>0.7</v>
      </c>
      <c r="S1767" s="3">
        <v>1400</v>
      </c>
      <c r="T1767" t="s">
        <v>27</v>
      </c>
      <c r="U1767" s="3">
        <v>1400</v>
      </c>
      <c r="V1767" s="7" t="str">
        <f>IF(ISERROR(VLOOKUP(K1767,[1]작가별정산률!$R:$S,2,0)),"스토리위즈",VLOOKUP(K1767,[1]작가별정산률!$R:$S,2,0))</f>
        <v>밀리의 서재</v>
      </c>
      <c r="W1767" s="7" t="str">
        <f>IF(V1767="스토리위즈",VLOOKUP(K1767,[1]작가별정산률!$A:$B,2,0),V1767)</f>
        <v>밀리의 서재</v>
      </c>
    </row>
    <row r="1768" spans="1:23" x14ac:dyDescent="0.4">
      <c r="A1768" t="s">
        <v>262</v>
      </c>
      <c r="B1768" t="s">
        <v>2075</v>
      </c>
      <c r="C1768" t="s">
        <v>2104</v>
      </c>
      <c r="D1768" t="s">
        <v>64</v>
      </c>
      <c r="E1768" t="s">
        <v>22</v>
      </c>
      <c r="F1768" t="s">
        <v>23</v>
      </c>
      <c r="G1768">
        <v>1</v>
      </c>
      <c r="H1768">
        <v>9791166300226</v>
      </c>
      <c r="I1768" t="s">
        <v>24</v>
      </c>
      <c r="J1768" t="s">
        <v>131</v>
      </c>
      <c r="K1768" t="s">
        <v>119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2">
        <v>0.7</v>
      </c>
      <c r="S1768">
        <v>441</v>
      </c>
      <c r="T1768" t="s">
        <v>27</v>
      </c>
      <c r="U1768">
        <v>441</v>
      </c>
      <c r="V1768" s="7" t="str">
        <f>IF(ISERROR(VLOOKUP(K1768,[1]작가별정산률!$R:$S,2,0)),"스토리위즈",VLOOKUP(K1768,[1]작가별정산률!$R:$S,2,0))</f>
        <v>스토리위즈</v>
      </c>
      <c r="W1768" s="7" t="str">
        <f>IF(V1768="스토리위즈",VLOOKUP(K1768,[1]작가별정산률!$A:$B,2,0),V1768)</f>
        <v>김광수</v>
      </c>
    </row>
    <row r="1769" spans="1:23" x14ac:dyDescent="0.4">
      <c r="A1769" t="s">
        <v>262</v>
      </c>
      <c r="B1769" t="s">
        <v>2075</v>
      </c>
      <c r="C1769" t="s">
        <v>2105</v>
      </c>
      <c r="D1769" t="s">
        <v>21</v>
      </c>
      <c r="E1769" t="s">
        <v>22</v>
      </c>
      <c r="F1769" t="s">
        <v>23</v>
      </c>
      <c r="G1769">
        <v>1</v>
      </c>
      <c r="H1769">
        <v>9791191562248</v>
      </c>
      <c r="I1769" t="s">
        <v>143</v>
      </c>
      <c r="J1769" t="s">
        <v>231</v>
      </c>
      <c r="K1769" t="s">
        <v>232</v>
      </c>
      <c r="L1769" t="s">
        <v>27</v>
      </c>
      <c r="M1769" s="3">
        <v>2000</v>
      </c>
      <c r="N1769" t="s">
        <v>176</v>
      </c>
      <c r="O1769">
        <v>222</v>
      </c>
      <c r="P1769">
        <v>202</v>
      </c>
      <c r="Q1769" t="s">
        <v>177</v>
      </c>
      <c r="R1769" s="2">
        <v>0.7</v>
      </c>
      <c r="S1769">
        <v>141</v>
      </c>
      <c r="T1769" t="s">
        <v>27</v>
      </c>
      <c r="U1769" s="3">
        <v>1407</v>
      </c>
      <c r="V1769" s="7" t="str">
        <f>IF(ISERROR(VLOOKUP(K1769,[1]작가별정산률!$R:$S,2,0)),"스토리위즈",VLOOKUP(K1769,[1]작가별정산률!$R:$S,2,0))</f>
        <v>밀리의 서재</v>
      </c>
      <c r="W1769" s="7" t="str">
        <f>IF(V1769="스토리위즈",VLOOKUP(K1769,[1]작가별정산률!$A:$B,2,0),V1769)</f>
        <v>밀리의 서재</v>
      </c>
    </row>
    <row r="1770" spans="1:23" x14ac:dyDescent="0.4">
      <c r="A1770" t="s">
        <v>262</v>
      </c>
      <c r="B1770" t="s">
        <v>2075</v>
      </c>
      <c r="C1770" t="s">
        <v>2106</v>
      </c>
      <c r="D1770" t="s">
        <v>64</v>
      </c>
      <c r="E1770" t="s">
        <v>22</v>
      </c>
      <c r="F1770" t="s">
        <v>23</v>
      </c>
      <c r="G1770">
        <v>1</v>
      </c>
      <c r="H1770">
        <v>9791166300165</v>
      </c>
      <c r="I1770" t="s">
        <v>24</v>
      </c>
      <c r="J1770" t="s">
        <v>126</v>
      </c>
      <c r="K1770" t="s">
        <v>119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  <c r="V1770" s="7" t="str">
        <f>IF(ISERROR(VLOOKUP(K1770,[1]작가별정산률!$R:$S,2,0)),"스토리위즈",VLOOKUP(K1770,[1]작가별정산률!$R:$S,2,0))</f>
        <v>스토리위즈</v>
      </c>
      <c r="W1770" s="7" t="str">
        <f>IF(V1770="스토리위즈",VLOOKUP(K1770,[1]작가별정산률!$A:$B,2,0),V1770)</f>
        <v>김광수</v>
      </c>
    </row>
    <row r="1771" spans="1:23" x14ac:dyDescent="0.4">
      <c r="A1771" t="s">
        <v>262</v>
      </c>
      <c r="B1771" t="s">
        <v>2075</v>
      </c>
      <c r="C1771" t="s">
        <v>2107</v>
      </c>
      <c r="D1771" t="s">
        <v>21</v>
      </c>
      <c r="E1771" t="s">
        <v>22</v>
      </c>
      <c r="F1771" t="s">
        <v>23</v>
      </c>
      <c r="G1771">
        <v>1</v>
      </c>
      <c r="H1771">
        <v>9791189084813</v>
      </c>
      <c r="I1771" t="s">
        <v>143</v>
      </c>
      <c r="J1771" t="s">
        <v>563</v>
      </c>
      <c r="K1771" t="s">
        <v>564</v>
      </c>
      <c r="L1771" t="s">
        <v>27</v>
      </c>
      <c r="M1771" s="3">
        <v>4000</v>
      </c>
      <c r="N1771" t="s">
        <v>27</v>
      </c>
      <c r="O1771" s="3">
        <v>4000</v>
      </c>
      <c r="P1771" s="3">
        <v>4000</v>
      </c>
      <c r="Q1771" t="s">
        <v>30</v>
      </c>
      <c r="R1771" s="2">
        <v>0.7</v>
      </c>
      <c r="S1771" s="3">
        <v>2800</v>
      </c>
      <c r="T1771" t="s">
        <v>27</v>
      </c>
      <c r="U1771" s="3">
        <v>2800</v>
      </c>
      <c r="V1771" s="7" t="str">
        <f>IF(ISERROR(VLOOKUP(K1771,[1]작가별정산률!$R:$S,2,0)),"스토리위즈",VLOOKUP(K1771,[1]작가별정산률!$R:$S,2,0))</f>
        <v>스토리위즈</v>
      </c>
      <c r="W1771" s="7" t="str">
        <f>IF(V1771="스토리위즈",VLOOKUP(K1771,[1]작가별정산률!$A:$B,2,0),V1771)</f>
        <v>셔틀</v>
      </c>
    </row>
    <row r="1772" spans="1:23" x14ac:dyDescent="0.4">
      <c r="A1772" t="s">
        <v>262</v>
      </c>
      <c r="B1772" t="s">
        <v>2075</v>
      </c>
      <c r="C1772" t="s">
        <v>2108</v>
      </c>
      <c r="D1772" t="s">
        <v>64</v>
      </c>
      <c r="E1772" t="s">
        <v>22</v>
      </c>
      <c r="F1772" t="s">
        <v>23</v>
      </c>
      <c r="G1772">
        <v>1</v>
      </c>
      <c r="H1772">
        <v>9791166300172</v>
      </c>
      <c r="I1772" t="s">
        <v>24</v>
      </c>
      <c r="J1772" t="s">
        <v>127</v>
      </c>
      <c r="K1772" t="s">
        <v>119</v>
      </c>
      <c r="L1772" t="s">
        <v>27</v>
      </c>
      <c r="M1772">
        <v>630</v>
      </c>
      <c r="N1772" t="s">
        <v>27</v>
      </c>
      <c r="O1772">
        <v>630</v>
      </c>
      <c r="P1772">
        <v>630</v>
      </c>
      <c r="Q1772" t="s">
        <v>30</v>
      </c>
      <c r="R1772" s="2">
        <v>0.7</v>
      </c>
      <c r="S1772">
        <v>441</v>
      </c>
      <c r="T1772" t="s">
        <v>27</v>
      </c>
      <c r="U1772">
        <v>441</v>
      </c>
      <c r="V1772" s="7" t="str">
        <f>IF(ISERROR(VLOOKUP(K1772,[1]작가별정산률!$R:$S,2,0)),"스토리위즈",VLOOKUP(K1772,[1]작가별정산률!$R:$S,2,0))</f>
        <v>스토리위즈</v>
      </c>
      <c r="W1772" s="7" t="str">
        <f>IF(V1772="스토리위즈",VLOOKUP(K1772,[1]작가별정산률!$A:$B,2,0),V1772)</f>
        <v>김광수</v>
      </c>
    </row>
    <row r="1773" spans="1:23" x14ac:dyDescent="0.4">
      <c r="A1773" t="s">
        <v>262</v>
      </c>
      <c r="B1773" t="s">
        <v>2075</v>
      </c>
      <c r="C1773" t="s">
        <v>2109</v>
      </c>
      <c r="D1773" t="s">
        <v>64</v>
      </c>
      <c r="E1773" t="s">
        <v>22</v>
      </c>
      <c r="F1773" t="s">
        <v>23</v>
      </c>
      <c r="G1773">
        <v>1</v>
      </c>
      <c r="H1773">
        <v>9791166300196</v>
      </c>
      <c r="I1773" t="s">
        <v>24</v>
      </c>
      <c r="J1773" t="s">
        <v>128</v>
      </c>
      <c r="K1773" t="s">
        <v>119</v>
      </c>
      <c r="L1773" t="s">
        <v>27</v>
      </c>
      <c r="M1773">
        <v>630</v>
      </c>
      <c r="N1773" t="s">
        <v>27</v>
      </c>
      <c r="O1773">
        <v>630</v>
      </c>
      <c r="P1773">
        <v>630</v>
      </c>
      <c r="Q1773" t="s">
        <v>30</v>
      </c>
      <c r="R1773" s="2">
        <v>0.7</v>
      </c>
      <c r="S1773">
        <v>441</v>
      </c>
      <c r="T1773" t="s">
        <v>27</v>
      </c>
      <c r="U1773">
        <v>441</v>
      </c>
      <c r="V1773" s="7" t="str">
        <f>IF(ISERROR(VLOOKUP(K1773,[1]작가별정산률!$R:$S,2,0)),"스토리위즈",VLOOKUP(K1773,[1]작가별정산률!$R:$S,2,0))</f>
        <v>스토리위즈</v>
      </c>
      <c r="W1773" s="7" t="str">
        <f>IF(V1773="스토리위즈",VLOOKUP(K1773,[1]작가별정산률!$A:$B,2,0),V1773)</f>
        <v>김광수</v>
      </c>
    </row>
    <row r="1774" spans="1:23" x14ac:dyDescent="0.4">
      <c r="A1774" t="s">
        <v>262</v>
      </c>
      <c r="B1774" t="s">
        <v>2075</v>
      </c>
      <c r="C1774" t="s">
        <v>2110</v>
      </c>
      <c r="D1774" t="s">
        <v>21</v>
      </c>
      <c r="E1774" t="s">
        <v>22</v>
      </c>
      <c r="F1774" t="s">
        <v>23</v>
      </c>
      <c r="G1774">
        <v>1</v>
      </c>
      <c r="H1774">
        <v>9791189627072</v>
      </c>
      <c r="I1774" t="s">
        <v>143</v>
      </c>
      <c r="J1774" t="s">
        <v>1034</v>
      </c>
      <c r="K1774" t="s">
        <v>1035</v>
      </c>
      <c r="L1774" t="s">
        <v>27</v>
      </c>
      <c r="M1774" s="3">
        <v>2200</v>
      </c>
      <c r="N1774" t="s">
        <v>2111</v>
      </c>
      <c r="O1774">
        <v>35.909999999999997</v>
      </c>
      <c r="P1774">
        <v>35.909999999999997</v>
      </c>
      <c r="Q1774" t="s">
        <v>2112</v>
      </c>
      <c r="R1774" s="2">
        <v>0.7</v>
      </c>
      <c r="S1774">
        <v>25.14</v>
      </c>
      <c r="T1774" t="s">
        <v>27</v>
      </c>
      <c r="U1774" s="3">
        <v>1611</v>
      </c>
      <c r="V1774" s="7" t="str">
        <f>IF(ISERROR(VLOOKUP(K1774,[1]작가별정산률!$R:$S,2,0)),"스토리위즈",VLOOKUP(K1774,[1]작가별정산률!$R:$S,2,0))</f>
        <v>스토리위즈</v>
      </c>
      <c r="W1774" s="7" t="str">
        <f>IF(V1774="스토리위즈",VLOOKUP(K1774,[1]작가별정산률!$A:$B,2,0),V1774)</f>
        <v>모리미</v>
      </c>
    </row>
    <row r="1775" spans="1:23" x14ac:dyDescent="0.4">
      <c r="A1775" t="s">
        <v>262</v>
      </c>
      <c r="B1775" t="s">
        <v>2075</v>
      </c>
      <c r="C1775" t="s">
        <v>2113</v>
      </c>
      <c r="D1775" t="s">
        <v>21</v>
      </c>
      <c r="E1775" t="s">
        <v>22</v>
      </c>
      <c r="F1775" t="s">
        <v>23</v>
      </c>
      <c r="G1775">
        <v>1</v>
      </c>
      <c r="H1775">
        <v>9791189627089</v>
      </c>
      <c r="I1775" t="s">
        <v>143</v>
      </c>
      <c r="J1775" t="s">
        <v>1066</v>
      </c>
      <c r="K1775" t="s">
        <v>1035</v>
      </c>
      <c r="L1775" t="s">
        <v>27</v>
      </c>
      <c r="M1775" s="3">
        <v>2200</v>
      </c>
      <c r="N1775" t="s">
        <v>2111</v>
      </c>
      <c r="O1775">
        <v>35.909999999999997</v>
      </c>
      <c r="P1775">
        <v>35.909999999999997</v>
      </c>
      <c r="Q1775" t="s">
        <v>2112</v>
      </c>
      <c r="R1775" s="2">
        <v>0.7</v>
      </c>
      <c r="S1775">
        <v>25.14</v>
      </c>
      <c r="T1775" t="s">
        <v>27</v>
      </c>
      <c r="U1775" s="3">
        <v>1611</v>
      </c>
      <c r="V1775" s="7" t="str">
        <f>IF(ISERROR(VLOOKUP(K1775,[1]작가별정산률!$R:$S,2,0)),"스토리위즈",VLOOKUP(K1775,[1]작가별정산률!$R:$S,2,0))</f>
        <v>스토리위즈</v>
      </c>
      <c r="W1775" s="7" t="str">
        <f>IF(V1775="스토리위즈",VLOOKUP(K1775,[1]작가별정산률!$A:$B,2,0),V1775)</f>
        <v>모리미</v>
      </c>
    </row>
    <row r="1776" spans="1:23" x14ac:dyDescent="0.4">
      <c r="A1776" t="s">
        <v>262</v>
      </c>
      <c r="B1776" t="s">
        <v>2075</v>
      </c>
      <c r="C1776" t="s">
        <v>2114</v>
      </c>
      <c r="D1776" t="s">
        <v>21</v>
      </c>
      <c r="E1776" t="s">
        <v>22</v>
      </c>
      <c r="F1776" t="s">
        <v>23</v>
      </c>
      <c r="G1776">
        <v>1</v>
      </c>
      <c r="H1776">
        <v>9791189627379</v>
      </c>
      <c r="I1776" t="s">
        <v>143</v>
      </c>
      <c r="J1776" t="s">
        <v>1968</v>
      </c>
      <c r="K1776" t="s">
        <v>1035</v>
      </c>
      <c r="L1776" t="s">
        <v>27</v>
      </c>
      <c r="M1776">
        <v>300</v>
      </c>
      <c r="N1776" t="s">
        <v>2111</v>
      </c>
      <c r="O1776">
        <v>4.9000000000000004</v>
      </c>
      <c r="P1776">
        <v>4.9000000000000004</v>
      </c>
      <c r="Q1776" t="s">
        <v>2112</v>
      </c>
      <c r="R1776" s="2">
        <v>0.7</v>
      </c>
      <c r="S1776">
        <v>3.43</v>
      </c>
      <c r="T1776" t="s">
        <v>27</v>
      </c>
      <c r="U1776">
        <v>220</v>
      </c>
      <c r="V1776" s="7" t="str">
        <f>IF(ISERROR(VLOOKUP(K1776,[1]작가별정산률!$R:$S,2,0)),"스토리위즈",VLOOKUP(K1776,[1]작가별정산률!$R:$S,2,0))</f>
        <v>스토리위즈</v>
      </c>
      <c r="W1776" s="7" t="str">
        <f>IF(V1776="스토리위즈",VLOOKUP(K1776,[1]작가별정산률!$A:$B,2,0),V1776)</f>
        <v>모리미</v>
      </c>
    </row>
    <row r="1777" spans="1:23" x14ac:dyDescent="0.4">
      <c r="A1777" t="s">
        <v>262</v>
      </c>
      <c r="B1777" t="s">
        <v>2075</v>
      </c>
      <c r="C1777" t="s">
        <v>2115</v>
      </c>
      <c r="D1777" t="s">
        <v>64</v>
      </c>
      <c r="E1777" t="s">
        <v>22</v>
      </c>
      <c r="F1777" t="s">
        <v>23</v>
      </c>
      <c r="G1777">
        <v>1</v>
      </c>
      <c r="H1777">
        <v>9791166300202</v>
      </c>
      <c r="I1777" t="s">
        <v>24</v>
      </c>
      <c r="J1777" t="s">
        <v>129</v>
      </c>
      <c r="K1777" t="s">
        <v>119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  <c r="V1777" s="7" t="str">
        <f>IF(ISERROR(VLOOKUP(K1777,[1]작가별정산률!$R:$S,2,0)),"스토리위즈",VLOOKUP(K1777,[1]작가별정산률!$R:$S,2,0))</f>
        <v>스토리위즈</v>
      </c>
      <c r="W1777" s="7" t="str">
        <f>IF(V1777="스토리위즈",VLOOKUP(K1777,[1]작가별정산률!$A:$B,2,0),V1777)</f>
        <v>김광수</v>
      </c>
    </row>
    <row r="1778" spans="1:23" x14ac:dyDescent="0.4">
      <c r="A1778" t="s">
        <v>262</v>
      </c>
      <c r="B1778" t="s">
        <v>2075</v>
      </c>
      <c r="C1778" t="s">
        <v>2116</v>
      </c>
      <c r="D1778" t="s">
        <v>64</v>
      </c>
      <c r="E1778" t="s">
        <v>22</v>
      </c>
      <c r="F1778" t="s">
        <v>23</v>
      </c>
      <c r="G1778">
        <v>1</v>
      </c>
      <c r="H1778">
        <v>9791166300219</v>
      </c>
      <c r="I1778" t="s">
        <v>24</v>
      </c>
      <c r="J1778" t="s">
        <v>130</v>
      </c>
      <c r="K1778" t="s">
        <v>119</v>
      </c>
      <c r="L1778" t="s">
        <v>27</v>
      </c>
      <c r="M1778">
        <v>630</v>
      </c>
      <c r="N1778" t="s">
        <v>27</v>
      </c>
      <c r="O1778">
        <v>630</v>
      </c>
      <c r="P1778">
        <v>630</v>
      </c>
      <c r="Q1778" t="s">
        <v>30</v>
      </c>
      <c r="R1778" s="2">
        <v>0.7</v>
      </c>
      <c r="S1778">
        <v>441</v>
      </c>
      <c r="T1778" t="s">
        <v>27</v>
      </c>
      <c r="U1778">
        <v>441</v>
      </c>
      <c r="V1778" s="7" t="str">
        <f>IF(ISERROR(VLOOKUP(K1778,[1]작가별정산률!$R:$S,2,0)),"스토리위즈",VLOOKUP(K1778,[1]작가별정산률!$R:$S,2,0))</f>
        <v>스토리위즈</v>
      </c>
      <c r="W1778" s="7" t="str">
        <f>IF(V1778="스토리위즈",VLOOKUP(K1778,[1]작가별정산률!$A:$B,2,0),V1778)</f>
        <v>김광수</v>
      </c>
    </row>
    <row r="1779" spans="1:23" x14ac:dyDescent="0.4">
      <c r="A1779" t="s">
        <v>262</v>
      </c>
      <c r="B1779" t="s">
        <v>2075</v>
      </c>
      <c r="C1779" t="s">
        <v>2117</v>
      </c>
      <c r="D1779" t="s">
        <v>21</v>
      </c>
      <c r="E1779" t="s">
        <v>22</v>
      </c>
      <c r="F1779" t="s">
        <v>23</v>
      </c>
      <c r="G1779">
        <v>1</v>
      </c>
      <c r="H1779">
        <v>9791191562415</v>
      </c>
      <c r="I1779" t="s">
        <v>143</v>
      </c>
      <c r="J1779" t="s">
        <v>1077</v>
      </c>
      <c r="K1779" t="s">
        <v>1078</v>
      </c>
      <c r="L1779" t="s">
        <v>27</v>
      </c>
      <c r="M1779" s="3">
        <v>2000</v>
      </c>
      <c r="N1779" t="s">
        <v>27</v>
      </c>
      <c r="O1779" s="3">
        <v>2000</v>
      </c>
      <c r="P1779" s="3">
        <v>2000</v>
      </c>
      <c r="Q1779" t="s">
        <v>30</v>
      </c>
      <c r="R1779" s="2">
        <v>0.7</v>
      </c>
      <c r="S1779" s="3">
        <v>1400</v>
      </c>
      <c r="T1779" t="s">
        <v>27</v>
      </c>
      <c r="U1779" s="3">
        <v>1400</v>
      </c>
      <c r="V1779" s="7" t="str">
        <f>IF(ISERROR(VLOOKUP(K1779,[1]작가별정산률!$R:$S,2,0)),"스토리위즈",VLOOKUP(K1779,[1]작가별정산률!$R:$S,2,0))</f>
        <v>밀리의 서재</v>
      </c>
      <c r="W1779" s="7" t="str">
        <f>IF(V1779="스토리위즈",VLOOKUP(K1779,[1]작가별정산률!$A:$B,2,0),V1779)</f>
        <v>밀리의 서재</v>
      </c>
    </row>
    <row r="1780" spans="1:23" x14ac:dyDescent="0.4">
      <c r="A1780" t="s">
        <v>262</v>
      </c>
      <c r="B1780" t="s">
        <v>2075</v>
      </c>
      <c r="C1780" t="s">
        <v>2118</v>
      </c>
      <c r="D1780" t="s">
        <v>64</v>
      </c>
      <c r="E1780" t="s">
        <v>22</v>
      </c>
      <c r="F1780" t="s">
        <v>23</v>
      </c>
      <c r="G1780">
        <v>1</v>
      </c>
      <c r="H1780">
        <v>9791166300226</v>
      </c>
      <c r="I1780" t="s">
        <v>24</v>
      </c>
      <c r="J1780" t="s">
        <v>131</v>
      </c>
      <c r="K1780" t="s">
        <v>119</v>
      </c>
      <c r="L1780" t="s">
        <v>27</v>
      </c>
      <c r="M1780">
        <v>630</v>
      </c>
      <c r="N1780" t="s">
        <v>27</v>
      </c>
      <c r="O1780">
        <v>630</v>
      </c>
      <c r="P1780">
        <v>630</v>
      </c>
      <c r="Q1780" t="s">
        <v>30</v>
      </c>
      <c r="R1780" s="2">
        <v>0.7</v>
      </c>
      <c r="S1780">
        <v>441</v>
      </c>
      <c r="T1780" t="s">
        <v>27</v>
      </c>
      <c r="U1780">
        <v>441</v>
      </c>
      <c r="V1780" s="7" t="str">
        <f>IF(ISERROR(VLOOKUP(K1780,[1]작가별정산률!$R:$S,2,0)),"스토리위즈",VLOOKUP(K1780,[1]작가별정산률!$R:$S,2,0))</f>
        <v>스토리위즈</v>
      </c>
      <c r="W1780" s="7" t="str">
        <f>IF(V1780="스토리위즈",VLOOKUP(K1780,[1]작가별정산률!$A:$B,2,0),V1780)</f>
        <v>김광수</v>
      </c>
    </row>
    <row r="1781" spans="1:23" x14ac:dyDescent="0.4">
      <c r="A1781" t="s">
        <v>262</v>
      </c>
      <c r="B1781" t="s">
        <v>2075</v>
      </c>
      <c r="C1781" t="s">
        <v>2119</v>
      </c>
      <c r="D1781" t="s">
        <v>21</v>
      </c>
      <c r="E1781" t="s">
        <v>22</v>
      </c>
      <c r="F1781" t="s">
        <v>23</v>
      </c>
      <c r="G1781">
        <v>1</v>
      </c>
      <c r="H1781">
        <v>9791137603400</v>
      </c>
      <c r="I1781" t="s">
        <v>143</v>
      </c>
      <c r="J1781" t="s">
        <v>1684</v>
      </c>
      <c r="K1781" t="s">
        <v>1685</v>
      </c>
      <c r="L1781" t="s">
        <v>27</v>
      </c>
      <c r="M1781" s="3">
        <v>3500</v>
      </c>
      <c r="N1781" t="s">
        <v>28</v>
      </c>
      <c r="O1781">
        <v>2.88</v>
      </c>
      <c r="P1781">
        <v>2.88</v>
      </c>
      <c r="Q1781" t="s">
        <v>29</v>
      </c>
      <c r="R1781" s="2">
        <v>0.7</v>
      </c>
      <c r="S1781">
        <v>2.02</v>
      </c>
      <c r="T1781" t="s">
        <v>27</v>
      </c>
      <c r="U1781" s="3">
        <v>2561</v>
      </c>
      <c r="V1781" s="7" t="str">
        <f>IF(ISERROR(VLOOKUP(K1781,[1]작가별정산률!$R:$S,2,0)),"스토리위즈",VLOOKUP(K1781,[1]작가별정산률!$R:$S,2,0))</f>
        <v>스토리위즈</v>
      </c>
      <c r="W1781" s="7" t="str">
        <f>IF(V1781="스토리위즈",VLOOKUP(K1781,[1]작가별정산률!$A:$B,2,0),V1781)</f>
        <v>윈델</v>
      </c>
    </row>
    <row r="1782" spans="1:23" x14ac:dyDescent="0.4">
      <c r="A1782" t="s">
        <v>262</v>
      </c>
      <c r="B1782" t="s">
        <v>2075</v>
      </c>
      <c r="C1782" t="s">
        <v>2120</v>
      </c>
      <c r="D1782" t="s">
        <v>21</v>
      </c>
      <c r="E1782" t="s">
        <v>22</v>
      </c>
      <c r="F1782" t="s">
        <v>23</v>
      </c>
      <c r="G1782">
        <v>1</v>
      </c>
      <c r="H1782">
        <v>9791191562286</v>
      </c>
      <c r="I1782" t="s">
        <v>143</v>
      </c>
      <c r="J1782" t="s">
        <v>238</v>
      </c>
      <c r="K1782" t="s">
        <v>239</v>
      </c>
      <c r="L1782" t="s">
        <v>27</v>
      </c>
      <c r="M1782" s="3">
        <v>2000</v>
      </c>
      <c r="N1782" t="s">
        <v>27</v>
      </c>
      <c r="O1782" s="3">
        <v>2000</v>
      </c>
      <c r="P1782" s="3">
        <v>2000</v>
      </c>
      <c r="Q1782" t="s">
        <v>30</v>
      </c>
      <c r="R1782" s="2">
        <v>0.7</v>
      </c>
      <c r="S1782" s="3">
        <v>1400</v>
      </c>
      <c r="T1782" t="s">
        <v>27</v>
      </c>
      <c r="U1782" s="3">
        <v>1400</v>
      </c>
      <c r="V1782" s="7" t="str">
        <f>IF(ISERROR(VLOOKUP(K1782,[1]작가별정산률!$R:$S,2,0)),"스토리위즈",VLOOKUP(K1782,[1]작가별정산률!$R:$S,2,0))</f>
        <v>밀리의 서재</v>
      </c>
      <c r="W1782" s="7" t="str">
        <f>IF(V1782="스토리위즈",VLOOKUP(K1782,[1]작가별정산률!$A:$B,2,0),V1782)</f>
        <v>밀리의 서재</v>
      </c>
    </row>
    <row r="1783" spans="1:23" x14ac:dyDescent="0.4">
      <c r="A1783" t="s">
        <v>262</v>
      </c>
      <c r="B1783" t="s">
        <v>2075</v>
      </c>
      <c r="C1783" t="s">
        <v>2121</v>
      </c>
      <c r="D1783" t="s">
        <v>21</v>
      </c>
      <c r="E1783" t="s">
        <v>22</v>
      </c>
      <c r="F1783" t="s">
        <v>23</v>
      </c>
      <c r="G1783">
        <v>1</v>
      </c>
      <c r="H1783">
        <v>9791166300615</v>
      </c>
      <c r="I1783" t="s">
        <v>24</v>
      </c>
      <c r="J1783" t="s">
        <v>163</v>
      </c>
      <c r="K1783" t="s">
        <v>119</v>
      </c>
      <c r="L1783" t="s">
        <v>27</v>
      </c>
      <c r="M1783" s="3">
        <v>3200</v>
      </c>
      <c r="N1783" t="s">
        <v>27</v>
      </c>
      <c r="O1783" s="3">
        <v>3200</v>
      </c>
      <c r="P1783" s="3">
        <v>3200</v>
      </c>
      <c r="Q1783" t="s">
        <v>30</v>
      </c>
      <c r="R1783" s="2">
        <v>0.7</v>
      </c>
      <c r="S1783" s="3">
        <v>2240</v>
      </c>
      <c r="T1783" t="s">
        <v>27</v>
      </c>
      <c r="U1783" s="3">
        <v>2240</v>
      </c>
      <c r="V1783" s="7" t="str">
        <f>IF(ISERROR(VLOOKUP(K1783,[1]작가별정산률!$R:$S,2,0)),"스토리위즈",VLOOKUP(K1783,[1]작가별정산률!$R:$S,2,0))</f>
        <v>스토리위즈</v>
      </c>
      <c r="W1783" s="7" t="str">
        <f>IF(V1783="스토리위즈",VLOOKUP(K1783,[1]작가별정산률!$A:$B,2,0),V1783)</f>
        <v>김광수</v>
      </c>
    </row>
    <row r="1784" spans="1:23" x14ac:dyDescent="0.4">
      <c r="A1784" t="s">
        <v>262</v>
      </c>
      <c r="B1784" t="s">
        <v>2075</v>
      </c>
      <c r="C1784" t="s">
        <v>2122</v>
      </c>
      <c r="D1784" t="s">
        <v>21</v>
      </c>
      <c r="E1784" t="s">
        <v>22</v>
      </c>
      <c r="F1784" t="s">
        <v>23</v>
      </c>
      <c r="G1784">
        <v>1</v>
      </c>
      <c r="H1784">
        <v>9791166300578</v>
      </c>
      <c r="I1784" t="s">
        <v>24</v>
      </c>
      <c r="J1784" t="s">
        <v>159</v>
      </c>
      <c r="K1784" t="s">
        <v>119</v>
      </c>
      <c r="L1784" t="s">
        <v>27</v>
      </c>
      <c r="M1784" s="3">
        <v>3200</v>
      </c>
      <c r="N1784" t="s">
        <v>27</v>
      </c>
      <c r="O1784" s="3">
        <v>3200</v>
      </c>
      <c r="P1784" s="3">
        <v>3200</v>
      </c>
      <c r="Q1784" t="s">
        <v>30</v>
      </c>
      <c r="R1784" s="2">
        <v>0.7</v>
      </c>
      <c r="S1784" s="3">
        <v>2240</v>
      </c>
      <c r="T1784" t="s">
        <v>27</v>
      </c>
      <c r="U1784" s="3">
        <v>2240</v>
      </c>
      <c r="V1784" s="7" t="str">
        <f>IF(ISERROR(VLOOKUP(K1784,[1]작가별정산률!$R:$S,2,0)),"스토리위즈",VLOOKUP(K1784,[1]작가별정산률!$R:$S,2,0))</f>
        <v>스토리위즈</v>
      </c>
      <c r="W1784" s="7" t="str">
        <f>IF(V1784="스토리위즈",VLOOKUP(K1784,[1]작가별정산률!$A:$B,2,0),V1784)</f>
        <v>김광수</v>
      </c>
    </row>
    <row r="1785" spans="1:23" x14ac:dyDescent="0.4">
      <c r="A1785" t="s">
        <v>262</v>
      </c>
      <c r="B1785" t="s">
        <v>2075</v>
      </c>
      <c r="C1785" t="s">
        <v>2123</v>
      </c>
      <c r="D1785" t="s">
        <v>64</v>
      </c>
      <c r="E1785" t="s">
        <v>22</v>
      </c>
      <c r="F1785" t="s">
        <v>23</v>
      </c>
      <c r="G1785">
        <v>1</v>
      </c>
      <c r="H1785">
        <v>9791166300158</v>
      </c>
      <c r="I1785" t="s">
        <v>24</v>
      </c>
      <c r="J1785" t="s">
        <v>125</v>
      </c>
      <c r="K1785" t="s">
        <v>119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2">
        <v>0.7</v>
      </c>
      <c r="S1785">
        <v>441</v>
      </c>
      <c r="T1785" t="s">
        <v>27</v>
      </c>
      <c r="U1785">
        <v>441</v>
      </c>
      <c r="V1785" s="7" t="str">
        <f>IF(ISERROR(VLOOKUP(K1785,[1]작가별정산률!$R:$S,2,0)),"스토리위즈",VLOOKUP(K1785,[1]작가별정산률!$R:$S,2,0))</f>
        <v>스토리위즈</v>
      </c>
      <c r="W1785" s="7" t="str">
        <f>IF(V1785="스토리위즈",VLOOKUP(K1785,[1]작가별정산률!$A:$B,2,0),V1785)</f>
        <v>김광수</v>
      </c>
    </row>
    <row r="1786" spans="1:23" x14ac:dyDescent="0.4">
      <c r="A1786" t="s">
        <v>262</v>
      </c>
      <c r="B1786" t="s">
        <v>2075</v>
      </c>
      <c r="C1786" t="s">
        <v>2124</v>
      </c>
      <c r="D1786" t="s">
        <v>21</v>
      </c>
      <c r="E1786" t="s">
        <v>22</v>
      </c>
      <c r="F1786" t="s">
        <v>23</v>
      </c>
      <c r="G1786">
        <v>1</v>
      </c>
      <c r="H1786">
        <v>9791137603417</v>
      </c>
      <c r="I1786" t="s">
        <v>143</v>
      </c>
      <c r="J1786" t="s">
        <v>2125</v>
      </c>
      <c r="K1786" t="s">
        <v>1685</v>
      </c>
      <c r="L1786" t="s">
        <v>27</v>
      </c>
      <c r="M1786" s="3">
        <v>3500</v>
      </c>
      <c r="N1786" t="s">
        <v>28</v>
      </c>
      <c r="O1786">
        <v>2.88</v>
      </c>
      <c r="P1786">
        <v>2.88</v>
      </c>
      <c r="Q1786" t="s">
        <v>29</v>
      </c>
      <c r="R1786" s="2">
        <v>0.7</v>
      </c>
      <c r="S1786">
        <v>2.02</v>
      </c>
      <c r="T1786" t="s">
        <v>27</v>
      </c>
      <c r="U1786" s="3">
        <v>2561</v>
      </c>
      <c r="V1786" s="7" t="str">
        <f>IF(ISERROR(VLOOKUP(K1786,[1]작가별정산률!$R:$S,2,0)),"스토리위즈",VLOOKUP(K1786,[1]작가별정산률!$R:$S,2,0))</f>
        <v>스토리위즈</v>
      </c>
      <c r="W1786" s="7" t="str">
        <f>IF(V1786="스토리위즈",VLOOKUP(K1786,[1]작가별정산률!$A:$B,2,0),V1786)</f>
        <v>윈델</v>
      </c>
    </row>
    <row r="1787" spans="1:23" x14ac:dyDescent="0.4">
      <c r="A1787" t="s">
        <v>262</v>
      </c>
      <c r="B1787" t="s">
        <v>2075</v>
      </c>
      <c r="C1787" t="s">
        <v>2126</v>
      </c>
      <c r="D1787" t="s">
        <v>21</v>
      </c>
      <c r="E1787" t="s">
        <v>22</v>
      </c>
      <c r="F1787" t="s">
        <v>23</v>
      </c>
      <c r="G1787">
        <v>1</v>
      </c>
      <c r="H1787">
        <v>9791191562439</v>
      </c>
      <c r="I1787" t="s">
        <v>143</v>
      </c>
      <c r="J1787" t="s">
        <v>1661</v>
      </c>
      <c r="K1787" t="s">
        <v>188</v>
      </c>
      <c r="L1787" t="s">
        <v>27</v>
      </c>
      <c r="M1787" s="3">
        <v>2500</v>
      </c>
      <c r="N1787" t="s">
        <v>2127</v>
      </c>
      <c r="O1787">
        <v>1.95</v>
      </c>
      <c r="P1787">
        <v>1.9</v>
      </c>
      <c r="Q1787" t="s">
        <v>2128</v>
      </c>
      <c r="R1787" s="2">
        <v>0.7</v>
      </c>
      <c r="S1787">
        <v>1.33</v>
      </c>
      <c r="T1787" t="s">
        <v>27</v>
      </c>
      <c r="U1787" s="3">
        <v>1758</v>
      </c>
      <c r="V1787" s="7" t="str">
        <f>IF(ISERROR(VLOOKUP(K1787,[1]작가별정산률!$R:$S,2,0)),"스토리위즈",VLOOKUP(K1787,[1]작가별정산률!$R:$S,2,0))</f>
        <v>밀리의 서재</v>
      </c>
      <c r="W1787" s="7" t="str">
        <f>IF(V1787="스토리위즈",VLOOKUP(K1787,[1]작가별정산률!$A:$B,2,0),V1787)</f>
        <v>밀리의 서재</v>
      </c>
    </row>
    <row r="1788" spans="1:23" x14ac:dyDescent="0.4">
      <c r="A1788" t="s">
        <v>262</v>
      </c>
      <c r="B1788" t="s">
        <v>2075</v>
      </c>
      <c r="C1788" t="s">
        <v>2129</v>
      </c>
      <c r="D1788" t="s">
        <v>21</v>
      </c>
      <c r="E1788" t="s">
        <v>22</v>
      </c>
      <c r="F1788" t="s">
        <v>23</v>
      </c>
      <c r="G1788">
        <v>1</v>
      </c>
      <c r="H1788">
        <v>9791189084813</v>
      </c>
      <c r="I1788" t="s">
        <v>143</v>
      </c>
      <c r="J1788" t="s">
        <v>563</v>
      </c>
      <c r="K1788" t="s">
        <v>564</v>
      </c>
      <c r="L1788" t="s">
        <v>27</v>
      </c>
      <c r="M1788" s="3">
        <v>4000</v>
      </c>
      <c r="N1788" t="s">
        <v>27</v>
      </c>
      <c r="O1788" s="3">
        <v>4000</v>
      </c>
      <c r="P1788" s="3">
        <v>4000</v>
      </c>
      <c r="Q1788" t="s">
        <v>30</v>
      </c>
      <c r="R1788" s="2">
        <v>0.7</v>
      </c>
      <c r="S1788" s="3">
        <v>2800</v>
      </c>
      <c r="T1788" t="s">
        <v>27</v>
      </c>
      <c r="U1788" s="3">
        <v>2800</v>
      </c>
      <c r="V1788" s="7" t="str">
        <f>IF(ISERROR(VLOOKUP(K1788,[1]작가별정산률!$R:$S,2,0)),"스토리위즈",VLOOKUP(K1788,[1]작가별정산률!$R:$S,2,0))</f>
        <v>스토리위즈</v>
      </c>
      <c r="W1788" s="7" t="str">
        <f>IF(V1788="스토리위즈",VLOOKUP(K1788,[1]작가별정산률!$A:$B,2,0),V1788)</f>
        <v>셔틀</v>
      </c>
    </row>
    <row r="1789" spans="1:23" x14ac:dyDescent="0.4">
      <c r="A1789" t="s">
        <v>262</v>
      </c>
      <c r="B1789" t="s">
        <v>2075</v>
      </c>
      <c r="C1789" t="s">
        <v>2130</v>
      </c>
      <c r="D1789" t="s">
        <v>64</v>
      </c>
      <c r="E1789" t="s">
        <v>22</v>
      </c>
      <c r="F1789" t="s">
        <v>23</v>
      </c>
      <c r="G1789">
        <v>1</v>
      </c>
      <c r="H1789">
        <v>9791166300172</v>
      </c>
      <c r="I1789" t="s">
        <v>24</v>
      </c>
      <c r="J1789" t="s">
        <v>127</v>
      </c>
      <c r="K1789" t="s">
        <v>119</v>
      </c>
      <c r="L1789" t="s">
        <v>27</v>
      </c>
      <c r="M1789">
        <v>630</v>
      </c>
      <c r="N1789" t="s">
        <v>27</v>
      </c>
      <c r="O1789">
        <v>630</v>
      </c>
      <c r="P1789">
        <v>630</v>
      </c>
      <c r="Q1789" t="s">
        <v>30</v>
      </c>
      <c r="R1789" s="2">
        <v>0.7</v>
      </c>
      <c r="S1789">
        <v>441</v>
      </c>
      <c r="T1789" t="s">
        <v>27</v>
      </c>
      <c r="U1789">
        <v>441</v>
      </c>
      <c r="V1789" s="7" t="str">
        <f>IF(ISERROR(VLOOKUP(K1789,[1]작가별정산률!$R:$S,2,0)),"스토리위즈",VLOOKUP(K1789,[1]작가별정산률!$R:$S,2,0))</f>
        <v>스토리위즈</v>
      </c>
      <c r="W1789" s="7" t="str">
        <f>IF(V1789="스토리위즈",VLOOKUP(K1789,[1]작가별정산률!$A:$B,2,0),V1789)</f>
        <v>김광수</v>
      </c>
    </row>
    <row r="1790" spans="1:23" x14ac:dyDescent="0.4">
      <c r="A1790" t="s">
        <v>262</v>
      </c>
      <c r="B1790" t="s">
        <v>2075</v>
      </c>
      <c r="C1790" t="s">
        <v>2131</v>
      </c>
      <c r="D1790" t="s">
        <v>64</v>
      </c>
      <c r="E1790" t="s">
        <v>22</v>
      </c>
      <c r="F1790" t="s">
        <v>23</v>
      </c>
      <c r="G1790">
        <v>1</v>
      </c>
      <c r="H1790">
        <v>9791159283222</v>
      </c>
      <c r="I1790" t="s">
        <v>24</v>
      </c>
      <c r="J1790" t="s">
        <v>65</v>
      </c>
      <c r="K1790" t="s">
        <v>37</v>
      </c>
      <c r="L1790" t="s">
        <v>27</v>
      </c>
      <c r="M1790">
        <v>630</v>
      </c>
      <c r="N1790" t="s">
        <v>27</v>
      </c>
      <c r="O1790">
        <v>630</v>
      </c>
      <c r="P1790">
        <v>630</v>
      </c>
      <c r="Q1790" t="s">
        <v>30</v>
      </c>
      <c r="R1790" s="2">
        <v>0.7</v>
      </c>
      <c r="S1790">
        <v>441</v>
      </c>
      <c r="T1790" t="s">
        <v>27</v>
      </c>
      <c r="U1790">
        <v>441</v>
      </c>
      <c r="V1790" s="7" t="str">
        <f>IF(ISERROR(VLOOKUP(K1790,[1]작가별정산률!$R:$S,2,0)),"스토리위즈",VLOOKUP(K1790,[1]작가별정산률!$R:$S,2,0))</f>
        <v>스토리위즈</v>
      </c>
      <c r="W1790" s="7" t="str">
        <f>IF(V1790="스토리위즈",VLOOKUP(K1790,[1]작가별정산률!$A:$B,2,0),V1790)</f>
        <v>권용찬</v>
      </c>
    </row>
    <row r="1791" spans="1:23" x14ac:dyDescent="0.4">
      <c r="A1791" t="s">
        <v>262</v>
      </c>
      <c r="B1791" t="s">
        <v>2075</v>
      </c>
      <c r="C1791" t="s">
        <v>2132</v>
      </c>
      <c r="D1791" t="s">
        <v>64</v>
      </c>
      <c r="E1791" t="s">
        <v>22</v>
      </c>
      <c r="F1791" t="s">
        <v>23</v>
      </c>
      <c r="G1791">
        <v>1</v>
      </c>
      <c r="H1791">
        <v>9791159284953</v>
      </c>
      <c r="I1791" t="s">
        <v>24</v>
      </c>
      <c r="J1791" t="s">
        <v>46</v>
      </c>
      <c r="K1791" t="s">
        <v>47</v>
      </c>
      <c r="L1791" t="s">
        <v>27</v>
      </c>
      <c r="M1791">
        <v>630</v>
      </c>
      <c r="N1791" t="s">
        <v>27</v>
      </c>
      <c r="O1791">
        <v>630</v>
      </c>
      <c r="P1791">
        <v>630</v>
      </c>
      <c r="Q1791" t="s">
        <v>30</v>
      </c>
      <c r="R1791" s="2">
        <v>0.7</v>
      </c>
      <c r="S1791">
        <v>441</v>
      </c>
      <c r="T1791" t="s">
        <v>27</v>
      </c>
      <c r="U1791">
        <v>441</v>
      </c>
      <c r="V1791" s="7" t="str">
        <f>IF(ISERROR(VLOOKUP(K1791,[1]작가별정산률!$R:$S,2,0)),"스토리위즈",VLOOKUP(K1791,[1]작가별정산률!$R:$S,2,0))</f>
        <v>스토리위즈</v>
      </c>
      <c r="W1791" s="7" t="str">
        <f>IF(V1791="스토리위즈",VLOOKUP(K1791,[1]작가별정산률!$A:$B,2,0),V1791)</f>
        <v>전혁</v>
      </c>
    </row>
    <row r="1792" spans="1:23" x14ac:dyDescent="0.4">
      <c r="A1792" t="s">
        <v>262</v>
      </c>
      <c r="B1792" t="s">
        <v>2075</v>
      </c>
      <c r="C1792" t="s">
        <v>2133</v>
      </c>
      <c r="D1792" t="s">
        <v>64</v>
      </c>
      <c r="E1792" t="s">
        <v>22</v>
      </c>
      <c r="F1792" t="s">
        <v>23</v>
      </c>
      <c r="G1792">
        <v>1</v>
      </c>
      <c r="H1792">
        <v>9791166300295</v>
      </c>
      <c r="I1792" t="s">
        <v>24</v>
      </c>
      <c r="J1792" t="s">
        <v>138</v>
      </c>
      <c r="K1792" t="s">
        <v>119</v>
      </c>
      <c r="L1792" t="s">
        <v>27</v>
      </c>
      <c r="M1792">
        <v>630</v>
      </c>
      <c r="N1792" t="s">
        <v>27</v>
      </c>
      <c r="O1792">
        <v>630</v>
      </c>
      <c r="P1792">
        <v>630</v>
      </c>
      <c r="Q1792" t="s">
        <v>30</v>
      </c>
      <c r="R1792" s="2">
        <v>0.7</v>
      </c>
      <c r="S1792">
        <v>441</v>
      </c>
      <c r="T1792" t="s">
        <v>27</v>
      </c>
      <c r="U1792">
        <v>441</v>
      </c>
      <c r="V1792" s="7" t="str">
        <f>IF(ISERROR(VLOOKUP(K1792,[1]작가별정산률!$R:$S,2,0)),"스토리위즈",VLOOKUP(K1792,[1]작가별정산률!$R:$S,2,0))</f>
        <v>스토리위즈</v>
      </c>
      <c r="W1792" s="7" t="str">
        <f>IF(V1792="스토리위즈",VLOOKUP(K1792,[1]작가별정산률!$A:$B,2,0),V1792)</f>
        <v>김광수</v>
      </c>
    </row>
    <row r="1793" spans="1:23" x14ac:dyDescent="0.4">
      <c r="A1793" t="s">
        <v>262</v>
      </c>
      <c r="B1793" t="s">
        <v>2075</v>
      </c>
      <c r="C1793" t="s">
        <v>2134</v>
      </c>
      <c r="D1793" t="s">
        <v>21</v>
      </c>
      <c r="E1793" t="s">
        <v>22</v>
      </c>
      <c r="F1793" t="s">
        <v>23</v>
      </c>
      <c r="G1793">
        <v>1</v>
      </c>
      <c r="H1793">
        <v>9791191562262</v>
      </c>
      <c r="I1793" t="s">
        <v>143</v>
      </c>
      <c r="J1793" t="s">
        <v>250</v>
      </c>
      <c r="K1793" t="s">
        <v>251</v>
      </c>
      <c r="L1793" t="s">
        <v>27</v>
      </c>
      <c r="M1793" s="3">
        <v>2000</v>
      </c>
      <c r="N1793" t="s">
        <v>27</v>
      </c>
      <c r="O1793" s="3">
        <v>2000</v>
      </c>
      <c r="P1793" s="3">
        <v>2000</v>
      </c>
      <c r="Q1793" t="s">
        <v>30</v>
      </c>
      <c r="R1793" s="2">
        <v>0.7</v>
      </c>
      <c r="S1793" s="3">
        <v>1400</v>
      </c>
      <c r="T1793" t="s">
        <v>27</v>
      </c>
      <c r="U1793" s="3">
        <v>1400</v>
      </c>
      <c r="V1793" s="7" t="str">
        <f>IF(ISERROR(VLOOKUP(K1793,[1]작가별정산률!$R:$S,2,0)),"스토리위즈",VLOOKUP(K1793,[1]작가별정산률!$R:$S,2,0))</f>
        <v>밀리의 서재</v>
      </c>
      <c r="W1793" s="7" t="str">
        <f>IF(V1793="스토리위즈",VLOOKUP(K1793,[1]작가별정산률!$A:$B,2,0),V1793)</f>
        <v>밀리의 서재</v>
      </c>
    </row>
    <row r="1794" spans="1:23" x14ac:dyDescent="0.4">
      <c r="A1794" t="s">
        <v>262</v>
      </c>
      <c r="B1794" t="s">
        <v>2075</v>
      </c>
      <c r="C1794" t="s">
        <v>2135</v>
      </c>
      <c r="D1794" t="s">
        <v>64</v>
      </c>
      <c r="E1794" t="s">
        <v>22</v>
      </c>
      <c r="F1794" t="s">
        <v>23</v>
      </c>
      <c r="G1794">
        <v>1</v>
      </c>
      <c r="H1794">
        <v>9791166300462</v>
      </c>
      <c r="I1794" t="s">
        <v>24</v>
      </c>
      <c r="J1794" t="s">
        <v>144</v>
      </c>
      <c r="K1794" t="s">
        <v>119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2">
        <v>0.7</v>
      </c>
      <c r="S1794">
        <v>441</v>
      </c>
      <c r="T1794" t="s">
        <v>27</v>
      </c>
      <c r="U1794">
        <v>441</v>
      </c>
      <c r="V1794" s="7" t="str">
        <f>IF(ISERROR(VLOOKUP(K1794,[1]작가별정산률!$R:$S,2,0)),"스토리위즈",VLOOKUP(K1794,[1]작가별정산률!$R:$S,2,0))</f>
        <v>스토리위즈</v>
      </c>
      <c r="W1794" s="7" t="str">
        <f>IF(V1794="스토리위즈",VLOOKUP(K1794,[1]작가별정산률!$A:$B,2,0),V1794)</f>
        <v>김광수</v>
      </c>
    </row>
    <row r="1795" spans="1:23" x14ac:dyDescent="0.4">
      <c r="A1795" t="s">
        <v>262</v>
      </c>
      <c r="B1795" t="s">
        <v>2075</v>
      </c>
      <c r="C1795" t="s">
        <v>2136</v>
      </c>
      <c r="D1795" t="s">
        <v>64</v>
      </c>
      <c r="E1795" t="s">
        <v>22</v>
      </c>
      <c r="F1795" t="s">
        <v>23</v>
      </c>
      <c r="G1795">
        <v>1</v>
      </c>
      <c r="H1795">
        <v>9791166300141</v>
      </c>
      <c r="I1795" t="s">
        <v>24</v>
      </c>
      <c r="J1795" t="s">
        <v>124</v>
      </c>
      <c r="K1795" t="s">
        <v>119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2">
        <v>0.7</v>
      </c>
      <c r="S1795">
        <v>441</v>
      </c>
      <c r="T1795" t="s">
        <v>27</v>
      </c>
      <c r="U1795">
        <v>441</v>
      </c>
      <c r="V1795" s="7" t="str">
        <f>IF(ISERROR(VLOOKUP(K1795,[1]작가별정산률!$R:$S,2,0)),"스토리위즈",VLOOKUP(K1795,[1]작가별정산률!$R:$S,2,0))</f>
        <v>스토리위즈</v>
      </c>
      <c r="W1795" s="7" t="str">
        <f>IF(V1795="스토리위즈",VLOOKUP(K1795,[1]작가별정산률!$A:$B,2,0),V1795)</f>
        <v>김광수</v>
      </c>
    </row>
    <row r="1796" spans="1:23" x14ac:dyDescent="0.4">
      <c r="A1796" t="s">
        <v>262</v>
      </c>
      <c r="B1796" t="s">
        <v>2075</v>
      </c>
      <c r="C1796" t="s">
        <v>2137</v>
      </c>
      <c r="D1796" t="s">
        <v>64</v>
      </c>
      <c r="E1796" t="s">
        <v>22</v>
      </c>
      <c r="F1796" t="s">
        <v>23</v>
      </c>
      <c r="G1796">
        <v>1</v>
      </c>
      <c r="H1796">
        <v>9791166064074</v>
      </c>
      <c r="I1796" t="s">
        <v>24</v>
      </c>
      <c r="J1796" t="s">
        <v>90</v>
      </c>
      <c r="K1796" t="s">
        <v>37</v>
      </c>
      <c r="L1796" t="s">
        <v>27</v>
      </c>
      <c r="M1796">
        <v>900</v>
      </c>
      <c r="N1796" t="s">
        <v>27</v>
      </c>
      <c r="O1796">
        <v>900</v>
      </c>
      <c r="P1796">
        <v>900</v>
      </c>
      <c r="Q1796" t="s">
        <v>30</v>
      </c>
      <c r="R1796" s="2">
        <v>0.7</v>
      </c>
      <c r="S1796">
        <v>630</v>
      </c>
      <c r="T1796" t="s">
        <v>27</v>
      </c>
      <c r="U1796">
        <v>630</v>
      </c>
      <c r="V1796" s="7" t="str">
        <f>IF(ISERROR(VLOOKUP(K1796,[1]작가별정산률!$R:$S,2,0)),"스토리위즈",VLOOKUP(K1796,[1]작가별정산률!$R:$S,2,0))</f>
        <v>스토리위즈</v>
      </c>
      <c r="W1796" s="7" t="str">
        <f>IF(V1796="스토리위즈",VLOOKUP(K1796,[1]작가별정산률!$A:$B,2,0),V1796)</f>
        <v>권용찬</v>
      </c>
    </row>
    <row r="1797" spans="1:23" x14ac:dyDescent="0.4">
      <c r="A1797" t="s">
        <v>262</v>
      </c>
      <c r="B1797" t="s">
        <v>2075</v>
      </c>
      <c r="C1797" t="s">
        <v>2138</v>
      </c>
      <c r="D1797" t="s">
        <v>21</v>
      </c>
      <c r="E1797" t="s">
        <v>22</v>
      </c>
      <c r="F1797" t="s">
        <v>23</v>
      </c>
      <c r="G1797">
        <v>1</v>
      </c>
      <c r="H1797">
        <v>9791137603424</v>
      </c>
      <c r="I1797" t="s">
        <v>143</v>
      </c>
      <c r="J1797" t="s">
        <v>2139</v>
      </c>
      <c r="K1797" t="s">
        <v>1685</v>
      </c>
      <c r="L1797" t="s">
        <v>27</v>
      </c>
      <c r="M1797" s="3">
        <v>3500</v>
      </c>
      <c r="N1797" t="s">
        <v>28</v>
      </c>
      <c r="O1797">
        <v>2.88</v>
      </c>
      <c r="P1797">
        <v>2.88</v>
      </c>
      <c r="Q1797" t="s">
        <v>29</v>
      </c>
      <c r="R1797" s="2">
        <v>0.7</v>
      </c>
      <c r="S1797">
        <v>2.02</v>
      </c>
      <c r="T1797" t="s">
        <v>27</v>
      </c>
      <c r="U1797" s="3">
        <v>2546</v>
      </c>
      <c r="V1797" s="7" t="str">
        <f>IF(ISERROR(VLOOKUP(K1797,[1]작가별정산률!$R:$S,2,0)),"스토리위즈",VLOOKUP(K1797,[1]작가별정산률!$R:$S,2,0))</f>
        <v>스토리위즈</v>
      </c>
      <c r="W1797" s="7" t="str">
        <f>IF(V1797="스토리위즈",VLOOKUP(K1797,[1]작가별정산률!$A:$B,2,0),V1797)</f>
        <v>윈델</v>
      </c>
    </row>
    <row r="1798" spans="1:23" x14ac:dyDescent="0.4">
      <c r="A1798" t="s">
        <v>262</v>
      </c>
      <c r="B1798" t="s">
        <v>2075</v>
      </c>
      <c r="C1798" t="s">
        <v>2140</v>
      </c>
      <c r="D1798" t="s">
        <v>64</v>
      </c>
      <c r="E1798" t="s">
        <v>22</v>
      </c>
      <c r="F1798" t="s">
        <v>23</v>
      </c>
      <c r="G1798">
        <v>1</v>
      </c>
      <c r="H1798">
        <v>9791166300226</v>
      </c>
      <c r="I1798" t="s">
        <v>24</v>
      </c>
      <c r="J1798" t="s">
        <v>131</v>
      </c>
      <c r="K1798" t="s">
        <v>119</v>
      </c>
      <c r="L1798" t="s">
        <v>27</v>
      </c>
      <c r="M1798">
        <v>630</v>
      </c>
      <c r="N1798" t="s">
        <v>27</v>
      </c>
      <c r="O1798">
        <v>630</v>
      </c>
      <c r="P1798">
        <v>630</v>
      </c>
      <c r="Q1798" t="s">
        <v>30</v>
      </c>
      <c r="R1798" s="2">
        <v>0.7</v>
      </c>
      <c r="S1798">
        <v>441</v>
      </c>
      <c r="T1798" t="s">
        <v>27</v>
      </c>
      <c r="U1798">
        <v>441</v>
      </c>
      <c r="V1798" s="7" t="str">
        <f>IF(ISERROR(VLOOKUP(K1798,[1]작가별정산률!$R:$S,2,0)),"스토리위즈",VLOOKUP(K1798,[1]작가별정산률!$R:$S,2,0))</f>
        <v>스토리위즈</v>
      </c>
      <c r="W1798" s="7" t="str">
        <f>IF(V1798="스토리위즈",VLOOKUP(K1798,[1]작가별정산률!$A:$B,2,0),V1798)</f>
        <v>김광수</v>
      </c>
    </row>
    <row r="1799" spans="1:23" x14ac:dyDescent="0.4">
      <c r="A1799" t="s">
        <v>262</v>
      </c>
      <c r="B1799" t="s">
        <v>2075</v>
      </c>
      <c r="C1799" t="s">
        <v>2141</v>
      </c>
      <c r="D1799" t="s">
        <v>64</v>
      </c>
      <c r="E1799" t="s">
        <v>22</v>
      </c>
      <c r="F1799" t="s">
        <v>23</v>
      </c>
      <c r="G1799">
        <v>1</v>
      </c>
      <c r="H1799">
        <v>9791159283260</v>
      </c>
      <c r="I1799" t="s">
        <v>24</v>
      </c>
      <c r="J1799" t="s">
        <v>69</v>
      </c>
      <c r="K1799" t="s">
        <v>37</v>
      </c>
      <c r="L1799" t="s">
        <v>27</v>
      </c>
      <c r="M1799">
        <v>630</v>
      </c>
      <c r="N1799" t="s">
        <v>27</v>
      </c>
      <c r="O1799">
        <v>630</v>
      </c>
      <c r="P1799">
        <v>630</v>
      </c>
      <c r="Q1799" t="s">
        <v>30</v>
      </c>
      <c r="R1799" s="2">
        <v>0.7</v>
      </c>
      <c r="S1799">
        <v>441</v>
      </c>
      <c r="T1799" t="s">
        <v>27</v>
      </c>
      <c r="U1799">
        <v>441</v>
      </c>
      <c r="V1799" s="7" t="str">
        <f>IF(ISERROR(VLOOKUP(K1799,[1]작가별정산률!$R:$S,2,0)),"스토리위즈",VLOOKUP(K1799,[1]작가별정산률!$R:$S,2,0))</f>
        <v>스토리위즈</v>
      </c>
      <c r="W1799" s="7" t="str">
        <f>IF(V1799="스토리위즈",VLOOKUP(K1799,[1]작가별정산률!$A:$B,2,0),V1799)</f>
        <v>권용찬</v>
      </c>
    </row>
    <row r="1800" spans="1:23" x14ac:dyDescent="0.4">
      <c r="A1800" t="s">
        <v>262</v>
      </c>
      <c r="B1800" t="s">
        <v>2075</v>
      </c>
      <c r="C1800" t="s">
        <v>2142</v>
      </c>
      <c r="D1800" t="s">
        <v>64</v>
      </c>
      <c r="E1800" t="s">
        <v>22</v>
      </c>
      <c r="F1800" t="s">
        <v>23</v>
      </c>
      <c r="G1800">
        <v>1</v>
      </c>
      <c r="H1800">
        <v>9791159284960</v>
      </c>
      <c r="I1800" t="s">
        <v>24</v>
      </c>
      <c r="J1800" t="s">
        <v>48</v>
      </c>
      <c r="K1800" t="s">
        <v>47</v>
      </c>
      <c r="L1800" t="s">
        <v>27</v>
      </c>
      <c r="M1800">
        <v>630</v>
      </c>
      <c r="N1800" t="s">
        <v>27</v>
      </c>
      <c r="O1800">
        <v>630</v>
      </c>
      <c r="P1800">
        <v>630</v>
      </c>
      <c r="Q1800" t="s">
        <v>30</v>
      </c>
      <c r="R1800" s="2">
        <v>0.7</v>
      </c>
      <c r="S1800">
        <v>441</v>
      </c>
      <c r="T1800" t="s">
        <v>27</v>
      </c>
      <c r="U1800">
        <v>441</v>
      </c>
      <c r="V1800" s="7" t="str">
        <f>IF(ISERROR(VLOOKUP(K1800,[1]작가별정산률!$R:$S,2,0)),"스토리위즈",VLOOKUP(K1800,[1]작가별정산률!$R:$S,2,0))</f>
        <v>스토리위즈</v>
      </c>
      <c r="W1800" s="7" t="str">
        <f>IF(V1800="스토리위즈",VLOOKUP(K1800,[1]작가별정산률!$A:$B,2,0),V1800)</f>
        <v>전혁</v>
      </c>
    </row>
    <row r="1801" spans="1:23" x14ac:dyDescent="0.4">
      <c r="A1801" t="s">
        <v>262</v>
      </c>
      <c r="B1801" t="s">
        <v>2075</v>
      </c>
      <c r="C1801" t="s">
        <v>2143</v>
      </c>
      <c r="D1801" t="s">
        <v>64</v>
      </c>
      <c r="E1801" t="s">
        <v>22</v>
      </c>
      <c r="F1801" t="s">
        <v>23</v>
      </c>
      <c r="G1801">
        <v>1</v>
      </c>
      <c r="H1801">
        <v>9791166064142</v>
      </c>
      <c r="I1801" t="s">
        <v>24</v>
      </c>
      <c r="J1801" t="s">
        <v>80</v>
      </c>
      <c r="K1801" t="s">
        <v>37</v>
      </c>
      <c r="L1801" t="s">
        <v>27</v>
      </c>
      <c r="M1801">
        <v>900</v>
      </c>
      <c r="N1801" t="s">
        <v>27</v>
      </c>
      <c r="O1801">
        <v>900</v>
      </c>
      <c r="P1801">
        <v>900</v>
      </c>
      <c r="Q1801" t="s">
        <v>30</v>
      </c>
      <c r="R1801" s="2">
        <v>0.7</v>
      </c>
      <c r="S1801">
        <v>630</v>
      </c>
      <c r="T1801" t="s">
        <v>27</v>
      </c>
      <c r="U1801">
        <v>630</v>
      </c>
      <c r="V1801" s="7" t="str">
        <f>IF(ISERROR(VLOOKUP(K1801,[1]작가별정산률!$R:$S,2,0)),"스토리위즈",VLOOKUP(K1801,[1]작가별정산률!$R:$S,2,0))</f>
        <v>스토리위즈</v>
      </c>
      <c r="W1801" s="7" t="str">
        <f>IF(V1801="스토리위즈",VLOOKUP(K1801,[1]작가별정산률!$A:$B,2,0),V1801)</f>
        <v>권용찬</v>
      </c>
    </row>
    <row r="1802" spans="1:23" x14ac:dyDescent="0.4">
      <c r="A1802" t="s">
        <v>262</v>
      </c>
      <c r="B1802" t="s">
        <v>2075</v>
      </c>
      <c r="C1802" t="s">
        <v>2144</v>
      </c>
      <c r="D1802" t="s">
        <v>64</v>
      </c>
      <c r="E1802" t="s">
        <v>22</v>
      </c>
      <c r="F1802" t="s">
        <v>23</v>
      </c>
      <c r="G1802">
        <v>1</v>
      </c>
      <c r="H1802">
        <v>9791159283086</v>
      </c>
      <c r="I1802" t="s">
        <v>24</v>
      </c>
      <c r="J1802" t="s">
        <v>72</v>
      </c>
      <c r="K1802" t="s">
        <v>37</v>
      </c>
      <c r="L1802" t="s">
        <v>27</v>
      </c>
      <c r="M1802">
        <v>900</v>
      </c>
      <c r="N1802" t="s">
        <v>27</v>
      </c>
      <c r="O1802">
        <v>900</v>
      </c>
      <c r="P1802">
        <v>900</v>
      </c>
      <c r="Q1802" t="s">
        <v>30</v>
      </c>
      <c r="R1802" s="2">
        <v>0.7</v>
      </c>
      <c r="S1802">
        <v>630</v>
      </c>
      <c r="T1802" t="s">
        <v>27</v>
      </c>
      <c r="U1802">
        <v>630</v>
      </c>
      <c r="V1802" s="7" t="str">
        <f>IF(ISERROR(VLOOKUP(K1802,[1]작가별정산률!$R:$S,2,0)),"스토리위즈",VLOOKUP(K1802,[1]작가별정산률!$R:$S,2,0))</f>
        <v>스토리위즈</v>
      </c>
      <c r="W1802" s="7" t="str">
        <f>IF(V1802="스토리위즈",VLOOKUP(K1802,[1]작가별정산률!$A:$B,2,0),V1802)</f>
        <v>권용찬</v>
      </c>
    </row>
    <row r="1803" spans="1:23" x14ac:dyDescent="0.4">
      <c r="A1803" t="s">
        <v>262</v>
      </c>
      <c r="B1803" t="s">
        <v>2075</v>
      </c>
      <c r="C1803" t="s">
        <v>2145</v>
      </c>
      <c r="D1803" t="s">
        <v>64</v>
      </c>
      <c r="E1803" t="s">
        <v>22</v>
      </c>
      <c r="F1803" t="s">
        <v>23</v>
      </c>
      <c r="G1803">
        <v>1</v>
      </c>
      <c r="H1803">
        <v>9791166300646</v>
      </c>
      <c r="I1803" t="s">
        <v>24</v>
      </c>
      <c r="J1803" t="s">
        <v>155</v>
      </c>
      <c r="K1803" t="s">
        <v>119</v>
      </c>
      <c r="L1803" t="s">
        <v>27</v>
      </c>
      <c r="M1803">
        <v>630</v>
      </c>
      <c r="N1803" t="s">
        <v>27</v>
      </c>
      <c r="O1803">
        <v>630</v>
      </c>
      <c r="P1803">
        <v>630</v>
      </c>
      <c r="Q1803" t="s">
        <v>30</v>
      </c>
      <c r="R1803" s="2">
        <v>0.7</v>
      </c>
      <c r="S1803">
        <v>441</v>
      </c>
      <c r="T1803" t="s">
        <v>27</v>
      </c>
      <c r="U1803">
        <v>441</v>
      </c>
      <c r="V1803" s="7" t="str">
        <f>IF(ISERROR(VLOOKUP(K1803,[1]작가별정산률!$R:$S,2,0)),"스토리위즈",VLOOKUP(K1803,[1]작가별정산률!$R:$S,2,0))</f>
        <v>스토리위즈</v>
      </c>
      <c r="W1803" s="7" t="str">
        <f>IF(V1803="스토리위즈",VLOOKUP(K1803,[1]작가별정산률!$A:$B,2,0),V1803)</f>
        <v>김광수</v>
      </c>
    </row>
    <row r="1804" spans="1:23" x14ac:dyDescent="0.4">
      <c r="A1804" t="s">
        <v>262</v>
      </c>
      <c r="B1804" t="s">
        <v>2075</v>
      </c>
      <c r="C1804" t="s">
        <v>2146</v>
      </c>
      <c r="D1804" t="s">
        <v>64</v>
      </c>
      <c r="E1804" t="s">
        <v>22</v>
      </c>
      <c r="F1804" t="s">
        <v>23</v>
      </c>
      <c r="G1804">
        <v>1</v>
      </c>
      <c r="H1804">
        <v>9791166300523</v>
      </c>
      <c r="I1804" t="s">
        <v>24</v>
      </c>
      <c r="J1804" t="s">
        <v>150</v>
      </c>
      <c r="K1804" t="s">
        <v>119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  <c r="V1804" s="7" t="str">
        <f>IF(ISERROR(VLOOKUP(K1804,[1]작가별정산률!$R:$S,2,0)),"스토리위즈",VLOOKUP(K1804,[1]작가별정산률!$R:$S,2,0))</f>
        <v>스토리위즈</v>
      </c>
      <c r="W1804" s="7" t="str">
        <f>IF(V1804="스토리위즈",VLOOKUP(K1804,[1]작가별정산률!$A:$B,2,0),V1804)</f>
        <v>김광수</v>
      </c>
    </row>
    <row r="1805" spans="1:23" x14ac:dyDescent="0.4">
      <c r="A1805" t="s">
        <v>262</v>
      </c>
      <c r="B1805" t="s">
        <v>2075</v>
      </c>
      <c r="C1805" t="s">
        <v>2147</v>
      </c>
      <c r="D1805" t="s">
        <v>21</v>
      </c>
      <c r="E1805" t="s">
        <v>22</v>
      </c>
      <c r="F1805" t="s">
        <v>23</v>
      </c>
      <c r="G1805">
        <v>1</v>
      </c>
      <c r="H1805">
        <v>9791166300585</v>
      </c>
      <c r="I1805" t="s">
        <v>24</v>
      </c>
      <c r="J1805" t="s">
        <v>160</v>
      </c>
      <c r="K1805" t="s">
        <v>119</v>
      </c>
      <c r="L1805" t="s">
        <v>27</v>
      </c>
      <c r="M1805" s="3">
        <v>3200</v>
      </c>
      <c r="N1805" t="s">
        <v>27</v>
      </c>
      <c r="O1805" s="3">
        <v>3200</v>
      </c>
      <c r="P1805" s="3">
        <v>3200</v>
      </c>
      <c r="Q1805" t="s">
        <v>30</v>
      </c>
      <c r="R1805" s="2">
        <v>0.7</v>
      </c>
      <c r="S1805" s="3">
        <v>2240</v>
      </c>
      <c r="T1805" t="s">
        <v>27</v>
      </c>
      <c r="U1805" s="3">
        <v>2240</v>
      </c>
      <c r="V1805" s="7" t="str">
        <f>IF(ISERROR(VLOOKUP(K1805,[1]작가별정산률!$R:$S,2,0)),"스토리위즈",VLOOKUP(K1805,[1]작가별정산률!$R:$S,2,0))</f>
        <v>스토리위즈</v>
      </c>
      <c r="W1805" s="7" t="str">
        <f>IF(V1805="스토리위즈",VLOOKUP(K1805,[1]작가별정산률!$A:$B,2,0),V1805)</f>
        <v>김광수</v>
      </c>
    </row>
    <row r="1806" spans="1:23" x14ac:dyDescent="0.4">
      <c r="A1806" t="s">
        <v>262</v>
      </c>
      <c r="B1806" t="s">
        <v>2075</v>
      </c>
      <c r="C1806" t="s">
        <v>2148</v>
      </c>
      <c r="D1806" t="s">
        <v>21</v>
      </c>
      <c r="E1806" t="s">
        <v>22</v>
      </c>
      <c r="F1806" t="s">
        <v>23</v>
      </c>
      <c r="G1806">
        <v>1</v>
      </c>
      <c r="H1806">
        <v>9791189084455</v>
      </c>
      <c r="I1806" t="s">
        <v>143</v>
      </c>
      <c r="J1806" t="s">
        <v>1446</v>
      </c>
      <c r="K1806" t="s">
        <v>1378</v>
      </c>
      <c r="L1806" t="s">
        <v>27</v>
      </c>
      <c r="M1806" s="3">
        <v>3000</v>
      </c>
      <c r="N1806" t="s">
        <v>27</v>
      </c>
      <c r="O1806" s="3">
        <v>3000</v>
      </c>
      <c r="P1806" s="3">
        <v>3000</v>
      </c>
      <c r="Q1806" t="s">
        <v>30</v>
      </c>
      <c r="R1806" s="2">
        <v>0.7</v>
      </c>
      <c r="S1806" s="3">
        <v>2100</v>
      </c>
      <c r="T1806" t="s">
        <v>27</v>
      </c>
      <c r="U1806" s="3">
        <v>2100</v>
      </c>
      <c r="V1806" s="7" t="str">
        <f>IF(ISERROR(VLOOKUP(K1806,[1]작가별정산률!$R:$S,2,0)),"스토리위즈",VLOOKUP(K1806,[1]작가별정산률!$R:$S,2,0))</f>
        <v>스토리위즈</v>
      </c>
      <c r="W1806" s="7" t="str">
        <f>IF(V1806="스토리위즈",VLOOKUP(K1806,[1]작가별정산률!$A:$B,2,0),V1806)</f>
        <v>밈스</v>
      </c>
    </row>
    <row r="1807" spans="1:23" x14ac:dyDescent="0.4">
      <c r="A1807" t="s">
        <v>262</v>
      </c>
      <c r="B1807" t="s">
        <v>2075</v>
      </c>
      <c r="C1807" t="s">
        <v>2149</v>
      </c>
      <c r="D1807" t="s">
        <v>64</v>
      </c>
      <c r="E1807" t="s">
        <v>22</v>
      </c>
      <c r="F1807" t="s">
        <v>23</v>
      </c>
      <c r="G1807">
        <v>1</v>
      </c>
      <c r="H1807">
        <v>9791166300301</v>
      </c>
      <c r="I1807" t="s">
        <v>24</v>
      </c>
      <c r="J1807" t="s">
        <v>139</v>
      </c>
      <c r="K1807" t="s">
        <v>119</v>
      </c>
      <c r="L1807" t="s">
        <v>27</v>
      </c>
      <c r="M1807">
        <v>630</v>
      </c>
      <c r="N1807" t="s">
        <v>27</v>
      </c>
      <c r="O1807">
        <v>630</v>
      </c>
      <c r="P1807">
        <v>630</v>
      </c>
      <c r="Q1807" t="s">
        <v>30</v>
      </c>
      <c r="R1807" s="2">
        <v>0.7</v>
      </c>
      <c r="S1807">
        <v>441</v>
      </c>
      <c r="T1807" t="s">
        <v>27</v>
      </c>
      <c r="U1807">
        <v>441</v>
      </c>
      <c r="V1807" s="7" t="str">
        <f>IF(ISERROR(VLOOKUP(K1807,[1]작가별정산률!$R:$S,2,0)),"스토리위즈",VLOOKUP(K1807,[1]작가별정산률!$R:$S,2,0))</f>
        <v>스토리위즈</v>
      </c>
      <c r="W1807" s="7" t="str">
        <f>IF(V1807="스토리위즈",VLOOKUP(K1807,[1]작가별정산률!$A:$B,2,0),V1807)</f>
        <v>김광수</v>
      </c>
    </row>
    <row r="1808" spans="1:23" x14ac:dyDescent="0.4">
      <c r="A1808" t="s">
        <v>262</v>
      </c>
      <c r="B1808" t="s">
        <v>2075</v>
      </c>
      <c r="C1808" t="s">
        <v>2150</v>
      </c>
      <c r="D1808" t="s">
        <v>21</v>
      </c>
      <c r="E1808" t="s">
        <v>22</v>
      </c>
      <c r="F1808" t="s">
        <v>23</v>
      </c>
      <c r="G1808">
        <v>1</v>
      </c>
      <c r="H1808">
        <v>9791166060557</v>
      </c>
      <c r="I1808" t="s">
        <v>24</v>
      </c>
      <c r="J1808" t="s">
        <v>2151</v>
      </c>
      <c r="K1808" t="s">
        <v>119</v>
      </c>
      <c r="L1808" t="s">
        <v>27</v>
      </c>
      <c r="M1808" s="3">
        <v>3200</v>
      </c>
      <c r="N1808" t="s">
        <v>27</v>
      </c>
      <c r="O1808" s="3">
        <v>3200</v>
      </c>
      <c r="P1808" s="3">
        <v>3200</v>
      </c>
      <c r="Q1808" t="s">
        <v>30</v>
      </c>
      <c r="R1808" s="2">
        <v>0.7</v>
      </c>
      <c r="S1808" s="3">
        <v>2240</v>
      </c>
      <c r="T1808" t="s">
        <v>27</v>
      </c>
      <c r="U1808" s="3">
        <v>2240</v>
      </c>
      <c r="V1808" s="7" t="str">
        <f>IF(ISERROR(VLOOKUP(K1808,[1]작가별정산률!$R:$S,2,0)),"스토리위즈",VLOOKUP(K1808,[1]작가별정산률!$R:$S,2,0))</f>
        <v>스토리위즈</v>
      </c>
      <c r="W1808" s="7" t="str">
        <f>IF(V1808="스토리위즈",VLOOKUP(K1808,[1]작가별정산률!$A:$B,2,0),V1808)</f>
        <v>김광수</v>
      </c>
    </row>
    <row r="1809" spans="1:23" x14ac:dyDescent="0.4">
      <c r="A1809" t="s">
        <v>262</v>
      </c>
      <c r="B1809" t="s">
        <v>2075</v>
      </c>
      <c r="C1809" t="s">
        <v>2152</v>
      </c>
      <c r="D1809" t="s">
        <v>64</v>
      </c>
      <c r="E1809" t="s">
        <v>22</v>
      </c>
      <c r="F1809" t="s">
        <v>23</v>
      </c>
      <c r="G1809">
        <v>1</v>
      </c>
      <c r="H1809">
        <v>9791159283116</v>
      </c>
      <c r="I1809" t="s">
        <v>24</v>
      </c>
      <c r="J1809" t="s">
        <v>76</v>
      </c>
      <c r="K1809" t="s">
        <v>37</v>
      </c>
      <c r="L1809" t="s">
        <v>27</v>
      </c>
      <c r="M1809">
        <v>900</v>
      </c>
      <c r="N1809" t="s">
        <v>27</v>
      </c>
      <c r="O1809">
        <v>900</v>
      </c>
      <c r="P1809">
        <v>900</v>
      </c>
      <c r="Q1809" t="s">
        <v>30</v>
      </c>
      <c r="R1809" s="2">
        <v>0.7</v>
      </c>
      <c r="S1809">
        <v>630</v>
      </c>
      <c r="T1809" t="s">
        <v>27</v>
      </c>
      <c r="U1809">
        <v>630</v>
      </c>
      <c r="V1809" s="7" t="str">
        <f>IF(ISERROR(VLOOKUP(K1809,[1]작가별정산률!$R:$S,2,0)),"스토리위즈",VLOOKUP(K1809,[1]작가별정산률!$R:$S,2,0))</f>
        <v>스토리위즈</v>
      </c>
      <c r="W1809" s="7" t="str">
        <f>IF(V1809="스토리위즈",VLOOKUP(K1809,[1]작가별정산률!$A:$B,2,0),V1809)</f>
        <v>권용찬</v>
      </c>
    </row>
    <row r="1810" spans="1:23" x14ac:dyDescent="0.4">
      <c r="A1810" t="s">
        <v>262</v>
      </c>
      <c r="B1810" t="s">
        <v>2075</v>
      </c>
      <c r="C1810" t="s">
        <v>2153</v>
      </c>
      <c r="D1810" t="s">
        <v>64</v>
      </c>
      <c r="E1810" t="s">
        <v>22</v>
      </c>
      <c r="F1810" t="s">
        <v>23</v>
      </c>
      <c r="G1810">
        <v>1</v>
      </c>
      <c r="H1810">
        <v>9791166300158</v>
      </c>
      <c r="I1810" t="s">
        <v>24</v>
      </c>
      <c r="J1810" t="s">
        <v>125</v>
      </c>
      <c r="K1810" t="s">
        <v>119</v>
      </c>
      <c r="L1810" t="s">
        <v>27</v>
      </c>
      <c r="M1810">
        <v>630</v>
      </c>
      <c r="N1810" t="s">
        <v>27</v>
      </c>
      <c r="O1810">
        <v>630</v>
      </c>
      <c r="P1810">
        <v>630</v>
      </c>
      <c r="Q1810" t="s">
        <v>30</v>
      </c>
      <c r="R1810" s="2">
        <v>0.7</v>
      </c>
      <c r="S1810">
        <v>441</v>
      </c>
      <c r="T1810" t="s">
        <v>27</v>
      </c>
      <c r="U1810">
        <v>441</v>
      </c>
      <c r="V1810" s="7" t="str">
        <f>IF(ISERROR(VLOOKUP(K1810,[1]작가별정산률!$R:$S,2,0)),"스토리위즈",VLOOKUP(K1810,[1]작가별정산률!$R:$S,2,0))</f>
        <v>스토리위즈</v>
      </c>
      <c r="W1810" s="7" t="str">
        <f>IF(V1810="스토리위즈",VLOOKUP(K1810,[1]작가별정산률!$A:$B,2,0),V1810)</f>
        <v>김광수</v>
      </c>
    </row>
    <row r="1811" spans="1:23" x14ac:dyDescent="0.4">
      <c r="A1811" t="s">
        <v>262</v>
      </c>
      <c r="B1811" t="s">
        <v>2075</v>
      </c>
      <c r="C1811" t="s">
        <v>2154</v>
      </c>
      <c r="D1811" t="s">
        <v>21</v>
      </c>
      <c r="E1811" t="s">
        <v>22</v>
      </c>
      <c r="F1811" t="s">
        <v>23</v>
      </c>
      <c r="G1811">
        <v>1</v>
      </c>
      <c r="H1811">
        <v>9791191562309</v>
      </c>
      <c r="I1811" t="s">
        <v>143</v>
      </c>
      <c r="J1811" t="s">
        <v>225</v>
      </c>
      <c r="K1811" t="s">
        <v>226</v>
      </c>
      <c r="L1811" t="s">
        <v>27</v>
      </c>
      <c r="M1811" s="3">
        <v>2500</v>
      </c>
      <c r="N1811" t="s">
        <v>27</v>
      </c>
      <c r="O1811" s="3">
        <v>2500</v>
      </c>
      <c r="P1811" s="3">
        <v>2500</v>
      </c>
      <c r="Q1811" t="s">
        <v>30</v>
      </c>
      <c r="R1811" s="2">
        <v>0.7</v>
      </c>
      <c r="S1811" s="3">
        <v>1750</v>
      </c>
      <c r="T1811" t="s">
        <v>27</v>
      </c>
      <c r="U1811" s="3">
        <v>1750</v>
      </c>
      <c r="V1811" s="7" t="str">
        <f>IF(ISERROR(VLOOKUP(K1811,[1]작가별정산률!$R:$S,2,0)),"스토리위즈",VLOOKUP(K1811,[1]작가별정산률!$R:$S,2,0))</f>
        <v>밀리의 서재</v>
      </c>
      <c r="W1811" s="7" t="str">
        <f>IF(V1811="스토리위즈",VLOOKUP(K1811,[1]작가별정산률!$A:$B,2,0),V1811)</f>
        <v>밀리의 서재</v>
      </c>
    </row>
    <row r="1812" spans="1:23" x14ac:dyDescent="0.4">
      <c r="A1812" t="s">
        <v>262</v>
      </c>
      <c r="B1812" t="s">
        <v>2075</v>
      </c>
      <c r="C1812" t="s">
        <v>2155</v>
      </c>
      <c r="D1812" t="s">
        <v>64</v>
      </c>
      <c r="E1812" t="s">
        <v>22</v>
      </c>
      <c r="F1812" t="s">
        <v>23</v>
      </c>
      <c r="G1812">
        <v>1</v>
      </c>
      <c r="H1812">
        <v>9791166061103</v>
      </c>
      <c r="I1812" t="s">
        <v>24</v>
      </c>
      <c r="J1812" t="s">
        <v>96</v>
      </c>
      <c r="K1812" t="s">
        <v>37</v>
      </c>
      <c r="L1812" t="s">
        <v>27</v>
      </c>
      <c r="M1812">
        <v>900</v>
      </c>
      <c r="N1812" t="s">
        <v>27</v>
      </c>
      <c r="O1812">
        <v>900</v>
      </c>
      <c r="P1812">
        <v>900</v>
      </c>
      <c r="Q1812" t="s">
        <v>30</v>
      </c>
      <c r="R1812" s="2">
        <v>0.7</v>
      </c>
      <c r="S1812">
        <v>630</v>
      </c>
      <c r="T1812" t="s">
        <v>27</v>
      </c>
      <c r="U1812">
        <v>630</v>
      </c>
      <c r="V1812" s="7" t="str">
        <f>IF(ISERROR(VLOOKUP(K1812,[1]작가별정산률!$R:$S,2,0)),"스토리위즈",VLOOKUP(K1812,[1]작가별정산률!$R:$S,2,0))</f>
        <v>스토리위즈</v>
      </c>
      <c r="W1812" s="7" t="str">
        <f>IF(V1812="스토리위즈",VLOOKUP(K1812,[1]작가별정산률!$A:$B,2,0),V1812)</f>
        <v>권용찬</v>
      </c>
    </row>
    <row r="1813" spans="1:23" x14ac:dyDescent="0.4">
      <c r="A1813" t="s">
        <v>262</v>
      </c>
      <c r="B1813" t="s">
        <v>2075</v>
      </c>
      <c r="C1813" t="s">
        <v>2156</v>
      </c>
      <c r="D1813" t="s">
        <v>64</v>
      </c>
      <c r="E1813" t="s">
        <v>22</v>
      </c>
      <c r="F1813" t="s">
        <v>23</v>
      </c>
      <c r="G1813">
        <v>1</v>
      </c>
      <c r="H1813">
        <v>9791166064142</v>
      </c>
      <c r="I1813" t="s">
        <v>24</v>
      </c>
      <c r="J1813" t="s">
        <v>80</v>
      </c>
      <c r="K1813" t="s">
        <v>37</v>
      </c>
      <c r="L1813" t="s">
        <v>27</v>
      </c>
      <c r="M1813">
        <v>900</v>
      </c>
      <c r="N1813" t="s">
        <v>27</v>
      </c>
      <c r="O1813">
        <v>900</v>
      </c>
      <c r="P1813">
        <v>900</v>
      </c>
      <c r="Q1813" t="s">
        <v>30</v>
      </c>
      <c r="R1813" s="2">
        <v>0.7</v>
      </c>
      <c r="S1813">
        <v>630</v>
      </c>
      <c r="T1813" t="s">
        <v>27</v>
      </c>
      <c r="U1813">
        <v>630</v>
      </c>
      <c r="V1813" s="7" t="str">
        <f>IF(ISERROR(VLOOKUP(K1813,[1]작가별정산률!$R:$S,2,0)),"스토리위즈",VLOOKUP(K1813,[1]작가별정산률!$R:$S,2,0))</f>
        <v>스토리위즈</v>
      </c>
      <c r="W1813" s="7" t="str">
        <f>IF(V1813="스토리위즈",VLOOKUP(K1813,[1]작가별정산률!$A:$B,2,0),V1813)</f>
        <v>권용찬</v>
      </c>
    </row>
    <row r="1814" spans="1:23" x14ac:dyDescent="0.4">
      <c r="A1814" t="s">
        <v>262</v>
      </c>
      <c r="B1814" t="s">
        <v>2075</v>
      </c>
      <c r="C1814" t="s">
        <v>2157</v>
      </c>
      <c r="D1814" t="s">
        <v>64</v>
      </c>
      <c r="E1814" t="s">
        <v>22</v>
      </c>
      <c r="F1814" t="s">
        <v>23</v>
      </c>
      <c r="G1814">
        <v>1</v>
      </c>
      <c r="H1814">
        <v>9791159283116</v>
      </c>
      <c r="I1814" t="s">
        <v>24</v>
      </c>
      <c r="J1814" t="s">
        <v>76</v>
      </c>
      <c r="K1814" t="s">
        <v>37</v>
      </c>
      <c r="L1814" t="s">
        <v>27</v>
      </c>
      <c r="M1814">
        <v>900</v>
      </c>
      <c r="N1814" t="s">
        <v>27</v>
      </c>
      <c r="O1814">
        <v>900</v>
      </c>
      <c r="P1814">
        <v>900</v>
      </c>
      <c r="Q1814" t="s">
        <v>30</v>
      </c>
      <c r="R1814" s="2">
        <v>0.7</v>
      </c>
      <c r="S1814">
        <v>630</v>
      </c>
      <c r="T1814" t="s">
        <v>27</v>
      </c>
      <c r="U1814">
        <v>630</v>
      </c>
      <c r="V1814" s="7" t="str">
        <f>IF(ISERROR(VLOOKUP(K1814,[1]작가별정산률!$R:$S,2,0)),"스토리위즈",VLOOKUP(K1814,[1]작가별정산률!$R:$S,2,0))</f>
        <v>스토리위즈</v>
      </c>
      <c r="W1814" s="7" t="str">
        <f>IF(V1814="스토리위즈",VLOOKUP(K1814,[1]작가별정산률!$A:$B,2,0),V1814)</f>
        <v>권용찬</v>
      </c>
    </row>
    <row r="1815" spans="1:23" x14ac:dyDescent="0.4">
      <c r="A1815" t="s">
        <v>262</v>
      </c>
      <c r="B1815" t="s">
        <v>2075</v>
      </c>
      <c r="C1815" t="s">
        <v>2158</v>
      </c>
      <c r="D1815" t="s">
        <v>64</v>
      </c>
      <c r="E1815" t="s">
        <v>22</v>
      </c>
      <c r="F1815" t="s">
        <v>23</v>
      </c>
      <c r="G1815">
        <v>1</v>
      </c>
      <c r="H1815">
        <v>9791159284960</v>
      </c>
      <c r="I1815" t="s">
        <v>24</v>
      </c>
      <c r="J1815" t="s">
        <v>48</v>
      </c>
      <c r="K1815" t="s">
        <v>47</v>
      </c>
      <c r="L1815" t="s">
        <v>27</v>
      </c>
      <c r="M1815">
        <v>630</v>
      </c>
      <c r="N1815" t="s">
        <v>27</v>
      </c>
      <c r="O1815">
        <v>630</v>
      </c>
      <c r="P1815">
        <v>630</v>
      </c>
      <c r="Q1815" t="s">
        <v>30</v>
      </c>
      <c r="R1815" s="2">
        <v>0.7</v>
      </c>
      <c r="S1815">
        <v>441</v>
      </c>
      <c r="T1815" t="s">
        <v>27</v>
      </c>
      <c r="U1815">
        <v>441</v>
      </c>
      <c r="V1815" s="7" t="str">
        <f>IF(ISERROR(VLOOKUP(K1815,[1]작가별정산률!$R:$S,2,0)),"스토리위즈",VLOOKUP(K1815,[1]작가별정산률!$R:$S,2,0))</f>
        <v>스토리위즈</v>
      </c>
      <c r="W1815" s="7" t="str">
        <f>IF(V1815="스토리위즈",VLOOKUP(K1815,[1]작가별정산률!$A:$B,2,0),V1815)</f>
        <v>전혁</v>
      </c>
    </row>
    <row r="1816" spans="1:23" x14ac:dyDescent="0.4">
      <c r="A1816" t="s">
        <v>262</v>
      </c>
      <c r="B1816" t="s">
        <v>2159</v>
      </c>
      <c r="C1816" t="s">
        <v>2160</v>
      </c>
      <c r="D1816" t="s">
        <v>64</v>
      </c>
      <c r="E1816" t="s">
        <v>22</v>
      </c>
      <c r="F1816" t="s">
        <v>23</v>
      </c>
      <c r="G1816">
        <v>1</v>
      </c>
      <c r="H1816">
        <v>9791159285035</v>
      </c>
      <c r="I1816" t="s">
        <v>24</v>
      </c>
      <c r="J1816" t="s">
        <v>59</v>
      </c>
      <c r="K1816" t="s">
        <v>47</v>
      </c>
      <c r="L1816" t="s">
        <v>27</v>
      </c>
      <c r="M1816">
        <v>630</v>
      </c>
      <c r="N1816" t="s">
        <v>27</v>
      </c>
      <c r="O1816">
        <v>630</v>
      </c>
      <c r="P1816">
        <v>630</v>
      </c>
      <c r="Q1816" t="s">
        <v>30</v>
      </c>
      <c r="R1816" s="2">
        <v>0.7</v>
      </c>
      <c r="S1816">
        <v>441</v>
      </c>
      <c r="T1816" t="s">
        <v>27</v>
      </c>
      <c r="U1816">
        <v>441</v>
      </c>
      <c r="V1816" s="7" t="str">
        <f>IF(ISERROR(VLOOKUP(K1816,[1]작가별정산률!$R:$S,2,0)),"스토리위즈",VLOOKUP(K1816,[1]작가별정산률!$R:$S,2,0))</f>
        <v>스토리위즈</v>
      </c>
      <c r="W1816" s="7" t="str">
        <f>IF(V1816="스토리위즈",VLOOKUP(K1816,[1]작가별정산률!$A:$B,2,0),V1816)</f>
        <v>전혁</v>
      </c>
    </row>
    <row r="1817" spans="1:23" x14ac:dyDescent="0.4">
      <c r="A1817" t="s">
        <v>262</v>
      </c>
      <c r="B1817" t="s">
        <v>2159</v>
      </c>
      <c r="C1817" t="s">
        <v>2161</v>
      </c>
      <c r="D1817" t="s">
        <v>64</v>
      </c>
      <c r="E1817" t="s">
        <v>22</v>
      </c>
      <c r="F1817" t="s">
        <v>23</v>
      </c>
      <c r="G1817">
        <v>1</v>
      </c>
      <c r="H1817">
        <v>9791159283116</v>
      </c>
      <c r="I1817" t="s">
        <v>24</v>
      </c>
      <c r="J1817" t="s">
        <v>76</v>
      </c>
      <c r="K1817" t="s">
        <v>37</v>
      </c>
      <c r="L1817" t="s">
        <v>27</v>
      </c>
      <c r="M1817">
        <v>900</v>
      </c>
      <c r="N1817" t="s">
        <v>27</v>
      </c>
      <c r="O1817">
        <v>900</v>
      </c>
      <c r="P1817">
        <v>900</v>
      </c>
      <c r="Q1817" t="s">
        <v>30</v>
      </c>
      <c r="R1817" s="2">
        <v>0.7</v>
      </c>
      <c r="S1817">
        <v>630</v>
      </c>
      <c r="T1817" t="s">
        <v>27</v>
      </c>
      <c r="U1817">
        <v>630</v>
      </c>
      <c r="V1817" s="7" t="str">
        <f>IF(ISERROR(VLOOKUP(K1817,[1]작가별정산률!$R:$S,2,0)),"스토리위즈",VLOOKUP(K1817,[1]작가별정산률!$R:$S,2,0))</f>
        <v>스토리위즈</v>
      </c>
      <c r="W1817" s="7" t="str">
        <f>IF(V1817="스토리위즈",VLOOKUP(K1817,[1]작가별정산률!$A:$B,2,0),V1817)</f>
        <v>권용찬</v>
      </c>
    </row>
    <row r="1818" spans="1:23" x14ac:dyDescent="0.4">
      <c r="A1818" t="s">
        <v>262</v>
      </c>
      <c r="B1818" t="s">
        <v>2159</v>
      </c>
      <c r="C1818" t="s">
        <v>2162</v>
      </c>
      <c r="D1818" t="s">
        <v>64</v>
      </c>
      <c r="E1818" t="s">
        <v>22</v>
      </c>
      <c r="F1818" t="s">
        <v>23</v>
      </c>
      <c r="G1818">
        <v>1</v>
      </c>
      <c r="H1818">
        <v>9791166300165</v>
      </c>
      <c r="I1818" t="s">
        <v>24</v>
      </c>
      <c r="J1818" t="s">
        <v>126</v>
      </c>
      <c r="K1818" t="s">
        <v>119</v>
      </c>
      <c r="L1818" t="s">
        <v>27</v>
      </c>
      <c r="M1818">
        <v>630</v>
      </c>
      <c r="N1818" t="s">
        <v>27</v>
      </c>
      <c r="O1818">
        <v>630</v>
      </c>
      <c r="P1818">
        <v>630</v>
      </c>
      <c r="Q1818" t="s">
        <v>30</v>
      </c>
      <c r="R1818" s="2">
        <v>0.7</v>
      </c>
      <c r="S1818">
        <v>441</v>
      </c>
      <c r="T1818" t="s">
        <v>27</v>
      </c>
      <c r="U1818">
        <v>441</v>
      </c>
      <c r="V1818" s="7" t="str">
        <f>IF(ISERROR(VLOOKUP(K1818,[1]작가별정산률!$R:$S,2,0)),"스토리위즈",VLOOKUP(K1818,[1]작가별정산률!$R:$S,2,0))</f>
        <v>스토리위즈</v>
      </c>
      <c r="W1818" s="7" t="str">
        <f>IF(V1818="스토리위즈",VLOOKUP(K1818,[1]작가별정산률!$A:$B,2,0),V1818)</f>
        <v>김광수</v>
      </c>
    </row>
    <row r="1819" spans="1:23" x14ac:dyDescent="0.4">
      <c r="A1819" t="s">
        <v>262</v>
      </c>
      <c r="B1819" t="s">
        <v>2159</v>
      </c>
      <c r="C1819" t="s">
        <v>2163</v>
      </c>
      <c r="D1819" t="s">
        <v>21</v>
      </c>
      <c r="E1819" t="s">
        <v>22</v>
      </c>
      <c r="F1819" t="s">
        <v>23</v>
      </c>
      <c r="G1819">
        <v>1</v>
      </c>
      <c r="H1819">
        <v>9791166300622</v>
      </c>
      <c r="I1819" t="s">
        <v>24</v>
      </c>
      <c r="J1819" t="s">
        <v>164</v>
      </c>
      <c r="K1819" t="s">
        <v>119</v>
      </c>
      <c r="L1819" t="s">
        <v>27</v>
      </c>
      <c r="M1819" s="3">
        <v>3200</v>
      </c>
      <c r="N1819" t="s">
        <v>27</v>
      </c>
      <c r="O1819" s="3">
        <v>3200</v>
      </c>
      <c r="P1819" s="3">
        <v>3200</v>
      </c>
      <c r="Q1819" t="s">
        <v>30</v>
      </c>
      <c r="R1819" s="2">
        <v>0.7</v>
      </c>
      <c r="S1819" s="3">
        <v>2240</v>
      </c>
      <c r="T1819" t="s">
        <v>27</v>
      </c>
      <c r="U1819" s="3">
        <v>2240</v>
      </c>
      <c r="V1819" s="7" t="str">
        <f>IF(ISERROR(VLOOKUP(K1819,[1]작가별정산률!$R:$S,2,0)),"스토리위즈",VLOOKUP(K1819,[1]작가별정산률!$R:$S,2,0))</f>
        <v>스토리위즈</v>
      </c>
      <c r="W1819" s="7" t="str">
        <f>IF(V1819="스토리위즈",VLOOKUP(K1819,[1]작가별정산률!$A:$B,2,0),V1819)</f>
        <v>김광수</v>
      </c>
    </row>
    <row r="1820" spans="1:23" x14ac:dyDescent="0.4">
      <c r="A1820" t="s">
        <v>262</v>
      </c>
      <c r="B1820" t="s">
        <v>2159</v>
      </c>
      <c r="C1820" t="s">
        <v>2164</v>
      </c>
      <c r="D1820" t="s">
        <v>21</v>
      </c>
      <c r="E1820" t="s">
        <v>22</v>
      </c>
      <c r="F1820" t="s">
        <v>23</v>
      </c>
      <c r="G1820">
        <v>1</v>
      </c>
      <c r="H1820">
        <v>9791191562187</v>
      </c>
      <c r="I1820" t="s">
        <v>143</v>
      </c>
      <c r="J1820" t="s">
        <v>217</v>
      </c>
      <c r="K1820" t="s">
        <v>218</v>
      </c>
      <c r="L1820" t="s">
        <v>27</v>
      </c>
      <c r="M1820" s="3">
        <v>2000</v>
      </c>
      <c r="N1820" t="s">
        <v>27</v>
      </c>
      <c r="O1820" s="3">
        <v>2000</v>
      </c>
      <c r="P1820" s="3">
        <v>2000</v>
      </c>
      <c r="Q1820" t="s">
        <v>30</v>
      </c>
      <c r="R1820" s="2">
        <v>0.7</v>
      </c>
      <c r="S1820" s="3">
        <v>1400</v>
      </c>
      <c r="T1820" t="s">
        <v>27</v>
      </c>
      <c r="U1820" s="3">
        <v>1400</v>
      </c>
      <c r="V1820" s="7" t="str">
        <f>IF(ISERROR(VLOOKUP(K1820,[1]작가별정산률!$R:$S,2,0)),"스토리위즈",VLOOKUP(K1820,[1]작가별정산률!$R:$S,2,0))</f>
        <v>밀리의 서재</v>
      </c>
      <c r="W1820" s="7" t="str">
        <f>IF(V1820="스토리위즈",VLOOKUP(K1820,[1]작가별정산률!$A:$B,2,0),V1820)</f>
        <v>밀리의 서재</v>
      </c>
    </row>
    <row r="1821" spans="1:23" x14ac:dyDescent="0.4">
      <c r="A1821" t="s">
        <v>262</v>
      </c>
      <c r="B1821" t="s">
        <v>2159</v>
      </c>
      <c r="C1821" t="s">
        <v>2165</v>
      </c>
      <c r="D1821" t="s">
        <v>64</v>
      </c>
      <c r="E1821" t="s">
        <v>22</v>
      </c>
      <c r="F1821" t="s">
        <v>23</v>
      </c>
      <c r="G1821">
        <v>1</v>
      </c>
      <c r="H1821">
        <v>9791166300196</v>
      </c>
      <c r="I1821" t="s">
        <v>24</v>
      </c>
      <c r="J1821" t="s">
        <v>128</v>
      </c>
      <c r="K1821" t="s">
        <v>119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2">
        <v>0.7</v>
      </c>
      <c r="S1821">
        <v>441</v>
      </c>
      <c r="T1821" t="s">
        <v>27</v>
      </c>
      <c r="U1821">
        <v>441</v>
      </c>
      <c r="V1821" s="7" t="str">
        <f>IF(ISERROR(VLOOKUP(K1821,[1]작가별정산률!$R:$S,2,0)),"스토리위즈",VLOOKUP(K1821,[1]작가별정산률!$R:$S,2,0))</f>
        <v>스토리위즈</v>
      </c>
      <c r="W1821" s="7" t="str">
        <f>IF(V1821="스토리위즈",VLOOKUP(K1821,[1]작가별정산률!$A:$B,2,0),V1821)</f>
        <v>김광수</v>
      </c>
    </row>
    <row r="1822" spans="1:23" x14ac:dyDescent="0.4">
      <c r="A1822" t="s">
        <v>262</v>
      </c>
      <c r="B1822" t="s">
        <v>2159</v>
      </c>
      <c r="C1822" t="s">
        <v>2166</v>
      </c>
      <c r="D1822" t="s">
        <v>64</v>
      </c>
      <c r="E1822" t="s">
        <v>22</v>
      </c>
      <c r="F1822" t="s">
        <v>23</v>
      </c>
      <c r="G1822">
        <v>1</v>
      </c>
      <c r="H1822">
        <v>9791166061097</v>
      </c>
      <c r="I1822" t="s">
        <v>24</v>
      </c>
      <c r="J1822" t="s">
        <v>95</v>
      </c>
      <c r="K1822" t="s">
        <v>37</v>
      </c>
      <c r="L1822" t="s">
        <v>27</v>
      </c>
      <c r="M1822">
        <v>900</v>
      </c>
      <c r="N1822" t="s">
        <v>27</v>
      </c>
      <c r="O1822">
        <v>900</v>
      </c>
      <c r="P1822">
        <v>900</v>
      </c>
      <c r="Q1822" t="s">
        <v>30</v>
      </c>
      <c r="R1822" s="2">
        <v>0.7</v>
      </c>
      <c r="S1822">
        <v>630</v>
      </c>
      <c r="T1822" t="s">
        <v>27</v>
      </c>
      <c r="U1822">
        <v>630</v>
      </c>
      <c r="V1822" s="7" t="str">
        <f>IF(ISERROR(VLOOKUP(K1822,[1]작가별정산률!$R:$S,2,0)),"스토리위즈",VLOOKUP(K1822,[1]작가별정산률!$R:$S,2,0))</f>
        <v>스토리위즈</v>
      </c>
      <c r="W1822" s="7" t="str">
        <f>IF(V1822="스토리위즈",VLOOKUP(K1822,[1]작가별정산률!$A:$B,2,0),V1822)</f>
        <v>권용찬</v>
      </c>
    </row>
    <row r="1823" spans="1:23" x14ac:dyDescent="0.4">
      <c r="A1823" t="s">
        <v>262</v>
      </c>
      <c r="B1823" t="s">
        <v>2159</v>
      </c>
      <c r="C1823" t="s">
        <v>2167</v>
      </c>
      <c r="D1823" t="s">
        <v>64</v>
      </c>
      <c r="E1823" t="s">
        <v>22</v>
      </c>
      <c r="F1823" t="s">
        <v>23</v>
      </c>
      <c r="G1823">
        <v>1</v>
      </c>
      <c r="H1823">
        <v>9791166300233</v>
      </c>
      <c r="I1823" t="s">
        <v>24</v>
      </c>
      <c r="J1823" t="s">
        <v>132</v>
      </c>
      <c r="K1823" t="s">
        <v>119</v>
      </c>
      <c r="L1823" t="s">
        <v>27</v>
      </c>
      <c r="M1823">
        <v>630</v>
      </c>
      <c r="N1823" t="s">
        <v>27</v>
      </c>
      <c r="O1823">
        <v>630</v>
      </c>
      <c r="P1823">
        <v>630</v>
      </c>
      <c r="Q1823" t="s">
        <v>30</v>
      </c>
      <c r="R1823" s="2">
        <v>0.7</v>
      </c>
      <c r="S1823">
        <v>441</v>
      </c>
      <c r="T1823" t="s">
        <v>27</v>
      </c>
      <c r="U1823">
        <v>441</v>
      </c>
      <c r="V1823" s="7" t="str">
        <f>IF(ISERROR(VLOOKUP(K1823,[1]작가별정산률!$R:$S,2,0)),"스토리위즈",VLOOKUP(K1823,[1]작가별정산률!$R:$S,2,0))</f>
        <v>스토리위즈</v>
      </c>
      <c r="W1823" s="7" t="str">
        <f>IF(V1823="스토리위즈",VLOOKUP(K1823,[1]작가별정산률!$A:$B,2,0),V1823)</f>
        <v>김광수</v>
      </c>
    </row>
    <row r="1824" spans="1:23" x14ac:dyDescent="0.4">
      <c r="A1824" t="s">
        <v>262</v>
      </c>
      <c r="B1824" t="s">
        <v>2159</v>
      </c>
      <c r="C1824" t="s">
        <v>2168</v>
      </c>
      <c r="D1824" t="s">
        <v>21</v>
      </c>
      <c r="E1824" t="s">
        <v>22</v>
      </c>
      <c r="F1824" t="s">
        <v>23</v>
      </c>
      <c r="G1824">
        <v>1</v>
      </c>
      <c r="H1824">
        <v>9791189084462</v>
      </c>
      <c r="I1824" t="s">
        <v>143</v>
      </c>
      <c r="J1824" t="s">
        <v>1648</v>
      </c>
      <c r="K1824" t="s">
        <v>1378</v>
      </c>
      <c r="L1824" t="s">
        <v>27</v>
      </c>
      <c r="M1824" s="3">
        <v>3000</v>
      </c>
      <c r="N1824" t="s">
        <v>27</v>
      </c>
      <c r="O1824" s="3">
        <v>3000</v>
      </c>
      <c r="P1824" s="3">
        <v>3000</v>
      </c>
      <c r="Q1824" t="s">
        <v>30</v>
      </c>
      <c r="R1824" s="2">
        <v>0.7</v>
      </c>
      <c r="S1824" s="3">
        <v>2100</v>
      </c>
      <c r="T1824" t="s">
        <v>27</v>
      </c>
      <c r="U1824" s="3">
        <v>2100</v>
      </c>
      <c r="V1824" s="7" t="str">
        <f>IF(ISERROR(VLOOKUP(K1824,[1]작가별정산률!$R:$S,2,0)),"스토리위즈",VLOOKUP(K1824,[1]작가별정산률!$R:$S,2,0))</f>
        <v>스토리위즈</v>
      </c>
      <c r="W1824" s="7" t="str">
        <f>IF(V1824="스토리위즈",VLOOKUP(K1824,[1]작가별정산률!$A:$B,2,0),V1824)</f>
        <v>밈스</v>
      </c>
    </row>
    <row r="1825" spans="1:23" x14ac:dyDescent="0.4">
      <c r="A1825" t="s">
        <v>262</v>
      </c>
      <c r="B1825" t="s">
        <v>2159</v>
      </c>
      <c r="C1825" t="s">
        <v>2169</v>
      </c>
      <c r="D1825" t="s">
        <v>21</v>
      </c>
      <c r="E1825" t="s">
        <v>22</v>
      </c>
      <c r="F1825" t="s">
        <v>23</v>
      </c>
      <c r="G1825">
        <v>1</v>
      </c>
      <c r="H1825">
        <v>9791191562262</v>
      </c>
      <c r="I1825" t="s">
        <v>143</v>
      </c>
      <c r="J1825" t="s">
        <v>250</v>
      </c>
      <c r="K1825" t="s">
        <v>251</v>
      </c>
      <c r="L1825" t="s">
        <v>27</v>
      </c>
      <c r="M1825" s="3">
        <v>2000</v>
      </c>
      <c r="N1825" t="s">
        <v>27</v>
      </c>
      <c r="O1825" s="3">
        <v>2000</v>
      </c>
      <c r="P1825" s="3">
        <v>2000</v>
      </c>
      <c r="Q1825" t="s">
        <v>30</v>
      </c>
      <c r="R1825" s="2">
        <v>0.7</v>
      </c>
      <c r="S1825" s="3">
        <v>1400</v>
      </c>
      <c r="T1825" t="s">
        <v>27</v>
      </c>
      <c r="U1825" s="3">
        <v>1400</v>
      </c>
      <c r="V1825" s="7" t="str">
        <f>IF(ISERROR(VLOOKUP(K1825,[1]작가별정산률!$R:$S,2,0)),"스토리위즈",VLOOKUP(K1825,[1]작가별정산률!$R:$S,2,0))</f>
        <v>밀리의 서재</v>
      </c>
      <c r="W1825" s="7" t="str">
        <f>IF(V1825="스토리위즈",VLOOKUP(K1825,[1]작가별정산률!$A:$B,2,0),V1825)</f>
        <v>밀리의 서재</v>
      </c>
    </row>
    <row r="1826" spans="1:23" x14ac:dyDescent="0.4">
      <c r="A1826" t="s">
        <v>262</v>
      </c>
      <c r="B1826" t="s">
        <v>2159</v>
      </c>
      <c r="C1826" t="s">
        <v>2170</v>
      </c>
      <c r="D1826" t="s">
        <v>64</v>
      </c>
      <c r="E1826" t="s">
        <v>22</v>
      </c>
      <c r="F1826" t="s">
        <v>23</v>
      </c>
      <c r="G1826">
        <v>1</v>
      </c>
      <c r="H1826">
        <v>9791166300295</v>
      </c>
      <c r="I1826" t="s">
        <v>24</v>
      </c>
      <c r="J1826" t="s">
        <v>138</v>
      </c>
      <c r="K1826" t="s">
        <v>119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  <c r="V1826" s="7" t="str">
        <f>IF(ISERROR(VLOOKUP(K1826,[1]작가별정산률!$R:$S,2,0)),"스토리위즈",VLOOKUP(K1826,[1]작가별정산률!$R:$S,2,0))</f>
        <v>스토리위즈</v>
      </c>
      <c r="W1826" s="7" t="str">
        <f>IF(V1826="스토리위즈",VLOOKUP(K1826,[1]작가별정산률!$A:$B,2,0),V1826)</f>
        <v>김광수</v>
      </c>
    </row>
    <row r="1827" spans="1:23" x14ac:dyDescent="0.4">
      <c r="A1827" t="s">
        <v>262</v>
      </c>
      <c r="B1827" t="s">
        <v>2159</v>
      </c>
      <c r="C1827" t="s">
        <v>2171</v>
      </c>
      <c r="D1827" t="s">
        <v>64</v>
      </c>
      <c r="E1827" t="s">
        <v>22</v>
      </c>
      <c r="F1827" t="s">
        <v>23</v>
      </c>
      <c r="G1827">
        <v>1</v>
      </c>
      <c r="H1827">
        <v>9791166300233</v>
      </c>
      <c r="I1827" t="s">
        <v>24</v>
      </c>
      <c r="J1827" t="s">
        <v>132</v>
      </c>
      <c r="K1827" t="s">
        <v>119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2">
        <v>0.7</v>
      </c>
      <c r="S1827">
        <v>441</v>
      </c>
      <c r="T1827" t="s">
        <v>27</v>
      </c>
      <c r="U1827">
        <v>441</v>
      </c>
      <c r="V1827" s="7" t="str">
        <f>IF(ISERROR(VLOOKUP(K1827,[1]작가별정산률!$R:$S,2,0)),"스토리위즈",VLOOKUP(K1827,[1]작가별정산률!$R:$S,2,0))</f>
        <v>스토리위즈</v>
      </c>
      <c r="W1827" s="7" t="str">
        <f>IF(V1827="스토리위즈",VLOOKUP(K1827,[1]작가별정산률!$A:$B,2,0),V1827)</f>
        <v>김광수</v>
      </c>
    </row>
    <row r="1828" spans="1:23" x14ac:dyDescent="0.4">
      <c r="A1828" t="s">
        <v>262</v>
      </c>
      <c r="B1828" t="s">
        <v>2159</v>
      </c>
      <c r="C1828" t="s">
        <v>2172</v>
      </c>
      <c r="D1828" t="s">
        <v>64</v>
      </c>
      <c r="E1828" t="s">
        <v>22</v>
      </c>
      <c r="F1828" t="s">
        <v>23</v>
      </c>
      <c r="G1828">
        <v>1</v>
      </c>
      <c r="H1828">
        <v>9791166300103</v>
      </c>
      <c r="I1828" t="s">
        <v>24</v>
      </c>
      <c r="J1828" t="s">
        <v>120</v>
      </c>
      <c r="K1828" t="s">
        <v>119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2">
        <v>0.7</v>
      </c>
      <c r="S1828">
        <v>441</v>
      </c>
      <c r="T1828" t="s">
        <v>27</v>
      </c>
      <c r="U1828">
        <v>441</v>
      </c>
      <c r="V1828" s="7" t="str">
        <f>IF(ISERROR(VLOOKUP(K1828,[1]작가별정산률!$R:$S,2,0)),"스토리위즈",VLOOKUP(K1828,[1]작가별정산률!$R:$S,2,0))</f>
        <v>스토리위즈</v>
      </c>
      <c r="W1828" s="7" t="str">
        <f>IF(V1828="스토리위즈",VLOOKUP(K1828,[1]작가별정산률!$A:$B,2,0),V1828)</f>
        <v>김광수</v>
      </c>
    </row>
    <row r="1829" spans="1:23" x14ac:dyDescent="0.4">
      <c r="A1829" t="s">
        <v>262</v>
      </c>
      <c r="B1829" t="s">
        <v>2159</v>
      </c>
      <c r="C1829" t="s">
        <v>2173</v>
      </c>
      <c r="D1829" t="s">
        <v>21</v>
      </c>
      <c r="E1829" t="s">
        <v>22</v>
      </c>
      <c r="F1829" t="s">
        <v>23</v>
      </c>
      <c r="G1829">
        <v>1</v>
      </c>
      <c r="H1829">
        <v>9791166300639</v>
      </c>
      <c r="I1829" t="s">
        <v>24</v>
      </c>
      <c r="J1829" t="s">
        <v>165</v>
      </c>
      <c r="K1829" t="s">
        <v>119</v>
      </c>
      <c r="L1829" t="s">
        <v>27</v>
      </c>
      <c r="M1829" s="3">
        <v>3200</v>
      </c>
      <c r="N1829" t="s">
        <v>27</v>
      </c>
      <c r="O1829" s="3">
        <v>3200</v>
      </c>
      <c r="P1829" s="3">
        <v>3200</v>
      </c>
      <c r="Q1829" t="s">
        <v>30</v>
      </c>
      <c r="R1829" s="2">
        <v>0.7</v>
      </c>
      <c r="S1829" s="3">
        <v>2240</v>
      </c>
      <c r="T1829" t="s">
        <v>27</v>
      </c>
      <c r="U1829" s="3">
        <v>2240</v>
      </c>
      <c r="V1829" s="7" t="str">
        <f>IF(ISERROR(VLOOKUP(K1829,[1]작가별정산률!$R:$S,2,0)),"스토리위즈",VLOOKUP(K1829,[1]작가별정산률!$R:$S,2,0))</f>
        <v>스토리위즈</v>
      </c>
      <c r="W1829" s="7" t="str">
        <f>IF(V1829="스토리위즈",VLOOKUP(K1829,[1]작가별정산률!$A:$B,2,0),V1829)</f>
        <v>김광수</v>
      </c>
    </row>
    <row r="1830" spans="1:23" x14ac:dyDescent="0.4">
      <c r="A1830" t="s">
        <v>262</v>
      </c>
      <c r="B1830" t="s">
        <v>2159</v>
      </c>
      <c r="C1830" t="s">
        <v>2174</v>
      </c>
      <c r="D1830" t="s">
        <v>64</v>
      </c>
      <c r="E1830" t="s">
        <v>22</v>
      </c>
      <c r="F1830" t="s">
        <v>23</v>
      </c>
      <c r="G1830">
        <v>1</v>
      </c>
      <c r="H1830">
        <v>9791166300172</v>
      </c>
      <c r="I1830" t="s">
        <v>24</v>
      </c>
      <c r="J1830" t="s">
        <v>127</v>
      </c>
      <c r="K1830" t="s">
        <v>119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2">
        <v>0.7</v>
      </c>
      <c r="S1830">
        <v>441</v>
      </c>
      <c r="T1830" t="s">
        <v>27</v>
      </c>
      <c r="U1830">
        <v>441</v>
      </c>
      <c r="V1830" s="7" t="str">
        <f>IF(ISERROR(VLOOKUP(K1830,[1]작가별정산률!$R:$S,2,0)),"스토리위즈",VLOOKUP(K1830,[1]작가별정산률!$R:$S,2,0))</f>
        <v>스토리위즈</v>
      </c>
      <c r="W1830" s="7" t="str">
        <f>IF(V1830="스토리위즈",VLOOKUP(K1830,[1]작가별정산률!$A:$B,2,0),V1830)</f>
        <v>김광수</v>
      </c>
    </row>
    <row r="1831" spans="1:23" x14ac:dyDescent="0.4">
      <c r="A1831" t="s">
        <v>262</v>
      </c>
      <c r="B1831" t="s">
        <v>2159</v>
      </c>
      <c r="C1831" t="s">
        <v>2175</v>
      </c>
      <c r="D1831" t="s">
        <v>21</v>
      </c>
      <c r="E1831" t="s">
        <v>22</v>
      </c>
      <c r="F1831" t="s">
        <v>23</v>
      </c>
      <c r="G1831">
        <v>1</v>
      </c>
      <c r="H1831">
        <v>9791166300592</v>
      </c>
      <c r="I1831" t="s">
        <v>24</v>
      </c>
      <c r="J1831" t="s">
        <v>161</v>
      </c>
      <c r="K1831" t="s">
        <v>119</v>
      </c>
      <c r="L1831" t="s">
        <v>27</v>
      </c>
      <c r="M1831" s="3">
        <v>3200</v>
      </c>
      <c r="N1831" t="s">
        <v>27</v>
      </c>
      <c r="O1831" s="3">
        <v>3200</v>
      </c>
      <c r="P1831" s="3">
        <v>3200</v>
      </c>
      <c r="Q1831" t="s">
        <v>30</v>
      </c>
      <c r="R1831" s="2">
        <v>0.7</v>
      </c>
      <c r="S1831" s="3">
        <v>2240</v>
      </c>
      <c r="T1831" t="s">
        <v>27</v>
      </c>
      <c r="U1831" s="3">
        <v>2240</v>
      </c>
      <c r="V1831" s="7" t="str">
        <f>IF(ISERROR(VLOOKUP(K1831,[1]작가별정산률!$R:$S,2,0)),"스토리위즈",VLOOKUP(K1831,[1]작가별정산률!$R:$S,2,0))</f>
        <v>스토리위즈</v>
      </c>
      <c r="W1831" s="7" t="str">
        <f>IF(V1831="스토리위즈",VLOOKUP(K1831,[1]작가별정산률!$A:$B,2,0),V1831)</f>
        <v>김광수</v>
      </c>
    </row>
    <row r="1832" spans="1:23" x14ac:dyDescent="0.4">
      <c r="A1832" t="s">
        <v>262</v>
      </c>
      <c r="B1832" t="s">
        <v>2159</v>
      </c>
      <c r="C1832" t="s">
        <v>2176</v>
      </c>
      <c r="D1832" t="s">
        <v>64</v>
      </c>
      <c r="E1832" t="s">
        <v>22</v>
      </c>
      <c r="F1832" t="s">
        <v>23</v>
      </c>
      <c r="G1832">
        <v>1</v>
      </c>
      <c r="H1832">
        <v>9791166300233</v>
      </c>
      <c r="I1832" t="s">
        <v>24</v>
      </c>
      <c r="J1832" t="s">
        <v>132</v>
      </c>
      <c r="K1832" t="s">
        <v>119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2">
        <v>0.7</v>
      </c>
      <c r="S1832">
        <v>441</v>
      </c>
      <c r="T1832" t="s">
        <v>27</v>
      </c>
      <c r="U1832">
        <v>441</v>
      </c>
      <c r="V1832" s="7" t="str">
        <f>IF(ISERROR(VLOOKUP(K1832,[1]작가별정산률!$R:$S,2,0)),"스토리위즈",VLOOKUP(K1832,[1]작가별정산률!$R:$S,2,0))</f>
        <v>스토리위즈</v>
      </c>
      <c r="W1832" s="7" t="str">
        <f>IF(V1832="스토리위즈",VLOOKUP(K1832,[1]작가별정산률!$A:$B,2,0),V1832)</f>
        <v>김광수</v>
      </c>
    </row>
    <row r="1833" spans="1:23" x14ac:dyDescent="0.4">
      <c r="A1833" t="s">
        <v>262</v>
      </c>
      <c r="B1833" t="s">
        <v>2159</v>
      </c>
      <c r="C1833" t="s">
        <v>2177</v>
      </c>
      <c r="D1833" t="s">
        <v>21</v>
      </c>
      <c r="E1833" t="s">
        <v>22</v>
      </c>
      <c r="F1833" t="s">
        <v>23</v>
      </c>
      <c r="G1833">
        <v>1</v>
      </c>
      <c r="H1833">
        <v>9791166060564</v>
      </c>
      <c r="I1833" t="s">
        <v>24</v>
      </c>
      <c r="J1833" t="s">
        <v>2178</v>
      </c>
      <c r="K1833" t="s">
        <v>119</v>
      </c>
      <c r="L1833" t="s">
        <v>27</v>
      </c>
      <c r="M1833" s="3">
        <v>3200</v>
      </c>
      <c r="N1833" t="s">
        <v>27</v>
      </c>
      <c r="O1833" s="3">
        <v>3200</v>
      </c>
      <c r="P1833" s="3">
        <v>3200</v>
      </c>
      <c r="Q1833" t="s">
        <v>30</v>
      </c>
      <c r="R1833" s="2">
        <v>0.7</v>
      </c>
      <c r="S1833" s="3">
        <v>2240</v>
      </c>
      <c r="T1833" t="s">
        <v>27</v>
      </c>
      <c r="U1833" s="3">
        <v>2240</v>
      </c>
      <c r="V1833" s="7" t="str">
        <f>IF(ISERROR(VLOOKUP(K1833,[1]작가별정산률!$R:$S,2,0)),"스토리위즈",VLOOKUP(K1833,[1]작가별정산률!$R:$S,2,0))</f>
        <v>스토리위즈</v>
      </c>
      <c r="W1833" s="7" t="str">
        <f>IF(V1833="스토리위즈",VLOOKUP(K1833,[1]작가별정산률!$A:$B,2,0),V1833)</f>
        <v>김광수</v>
      </c>
    </row>
    <row r="1834" spans="1:23" x14ac:dyDescent="0.4">
      <c r="A1834" t="s">
        <v>262</v>
      </c>
      <c r="B1834" t="s">
        <v>2159</v>
      </c>
      <c r="C1834" t="s">
        <v>2179</v>
      </c>
      <c r="D1834" t="s">
        <v>21</v>
      </c>
      <c r="E1834" t="s">
        <v>22</v>
      </c>
      <c r="F1834" t="s">
        <v>23</v>
      </c>
      <c r="G1834">
        <v>1</v>
      </c>
      <c r="H1834">
        <v>9791191562286</v>
      </c>
      <c r="I1834" t="s">
        <v>143</v>
      </c>
      <c r="J1834" t="s">
        <v>238</v>
      </c>
      <c r="K1834" t="s">
        <v>239</v>
      </c>
      <c r="L1834" t="s">
        <v>27</v>
      </c>
      <c r="M1834" s="3">
        <v>2000</v>
      </c>
      <c r="N1834" t="s">
        <v>27</v>
      </c>
      <c r="O1834" s="3">
        <v>2000</v>
      </c>
      <c r="P1834" s="3">
        <v>2000</v>
      </c>
      <c r="Q1834" t="s">
        <v>30</v>
      </c>
      <c r="R1834" s="2">
        <v>0.7</v>
      </c>
      <c r="S1834" s="3">
        <v>1400</v>
      </c>
      <c r="T1834" t="s">
        <v>27</v>
      </c>
      <c r="U1834" s="3">
        <v>1400</v>
      </c>
      <c r="V1834" s="7" t="str">
        <f>IF(ISERROR(VLOOKUP(K1834,[1]작가별정산률!$R:$S,2,0)),"스토리위즈",VLOOKUP(K1834,[1]작가별정산률!$R:$S,2,0))</f>
        <v>밀리의 서재</v>
      </c>
      <c r="W1834" s="7" t="str">
        <f>IF(V1834="스토리위즈",VLOOKUP(K1834,[1]작가별정산률!$A:$B,2,0),V1834)</f>
        <v>밀리의 서재</v>
      </c>
    </row>
    <row r="1835" spans="1:23" x14ac:dyDescent="0.4">
      <c r="A1835" t="s">
        <v>262</v>
      </c>
      <c r="B1835" t="s">
        <v>2159</v>
      </c>
      <c r="C1835" t="s">
        <v>2180</v>
      </c>
      <c r="D1835" t="s">
        <v>64</v>
      </c>
      <c r="E1835" t="s">
        <v>22</v>
      </c>
      <c r="F1835" t="s">
        <v>23</v>
      </c>
      <c r="G1835">
        <v>1</v>
      </c>
      <c r="H1835">
        <v>9791166061158</v>
      </c>
      <c r="I1835" t="s">
        <v>24</v>
      </c>
      <c r="J1835" t="s">
        <v>101</v>
      </c>
      <c r="K1835" t="s">
        <v>37</v>
      </c>
      <c r="L1835" t="s">
        <v>27</v>
      </c>
      <c r="M1835">
        <v>900</v>
      </c>
      <c r="N1835" t="s">
        <v>27</v>
      </c>
      <c r="O1835">
        <v>900</v>
      </c>
      <c r="P1835">
        <v>900</v>
      </c>
      <c r="Q1835" t="s">
        <v>30</v>
      </c>
      <c r="R1835" s="2">
        <v>0.7</v>
      </c>
      <c r="S1835">
        <v>630</v>
      </c>
      <c r="T1835" t="s">
        <v>27</v>
      </c>
      <c r="U1835">
        <v>630</v>
      </c>
      <c r="V1835" s="7" t="str">
        <f>IF(ISERROR(VLOOKUP(K1835,[1]작가별정산률!$R:$S,2,0)),"스토리위즈",VLOOKUP(K1835,[1]작가별정산률!$R:$S,2,0))</f>
        <v>스토리위즈</v>
      </c>
      <c r="W1835" s="7" t="str">
        <f>IF(V1835="스토리위즈",VLOOKUP(K1835,[1]작가별정산률!$A:$B,2,0),V1835)</f>
        <v>권용찬</v>
      </c>
    </row>
    <row r="1836" spans="1:23" x14ac:dyDescent="0.4">
      <c r="A1836" t="s">
        <v>262</v>
      </c>
      <c r="B1836" t="s">
        <v>2159</v>
      </c>
      <c r="C1836" t="s">
        <v>2181</v>
      </c>
      <c r="D1836" t="s">
        <v>64</v>
      </c>
      <c r="E1836" t="s">
        <v>22</v>
      </c>
      <c r="F1836" t="s">
        <v>23</v>
      </c>
      <c r="G1836">
        <v>1</v>
      </c>
      <c r="H1836">
        <v>9791188630233</v>
      </c>
      <c r="I1836" t="s">
        <v>24</v>
      </c>
      <c r="J1836" t="s">
        <v>198</v>
      </c>
      <c r="K1836" t="s">
        <v>41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  <c r="V1836" s="7" t="str">
        <f>IF(ISERROR(VLOOKUP(K1836,[1]작가별정산률!$R:$S,2,0)),"스토리위즈",VLOOKUP(K1836,[1]작가별정산률!$R:$S,2,0))</f>
        <v>스토리위즈</v>
      </c>
      <c r="W1836" s="7" t="str">
        <f>IF(V1836="스토리위즈",VLOOKUP(K1836,[1]작가별정산률!$A:$B,2,0),V1836)</f>
        <v>무장</v>
      </c>
    </row>
    <row r="1837" spans="1:23" x14ac:dyDescent="0.4">
      <c r="A1837" t="s">
        <v>262</v>
      </c>
      <c r="B1837" t="s">
        <v>2159</v>
      </c>
      <c r="C1837" t="s">
        <v>2182</v>
      </c>
      <c r="D1837" t="s">
        <v>21</v>
      </c>
      <c r="E1837" t="s">
        <v>22</v>
      </c>
      <c r="F1837" t="s">
        <v>23</v>
      </c>
      <c r="G1837">
        <v>1</v>
      </c>
      <c r="H1837">
        <v>9791189084455</v>
      </c>
      <c r="I1837" t="s">
        <v>143</v>
      </c>
      <c r="J1837" t="s">
        <v>1446</v>
      </c>
      <c r="K1837" t="s">
        <v>1378</v>
      </c>
      <c r="L1837" t="s">
        <v>27</v>
      </c>
      <c r="M1837" s="3">
        <v>3000</v>
      </c>
      <c r="N1837" t="s">
        <v>27</v>
      </c>
      <c r="O1837" s="3">
        <v>3000</v>
      </c>
      <c r="P1837" s="3">
        <v>3000</v>
      </c>
      <c r="Q1837" t="s">
        <v>30</v>
      </c>
      <c r="R1837" s="2">
        <v>0.7</v>
      </c>
      <c r="S1837" s="3">
        <v>2100</v>
      </c>
      <c r="T1837" t="s">
        <v>27</v>
      </c>
      <c r="U1837" s="3">
        <v>2100</v>
      </c>
      <c r="V1837" s="7" t="str">
        <f>IF(ISERROR(VLOOKUP(K1837,[1]작가별정산률!$R:$S,2,0)),"스토리위즈",VLOOKUP(K1837,[1]작가별정산률!$R:$S,2,0))</f>
        <v>스토리위즈</v>
      </c>
      <c r="W1837" s="7" t="str">
        <f>IF(V1837="스토리위즈",VLOOKUP(K1837,[1]작가별정산률!$A:$B,2,0),V1837)</f>
        <v>밈스</v>
      </c>
    </row>
    <row r="1838" spans="1:23" x14ac:dyDescent="0.4">
      <c r="A1838" t="s">
        <v>262</v>
      </c>
      <c r="B1838" t="s">
        <v>2159</v>
      </c>
      <c r="C1838" t="s">
        <v>2183</v>
      </c>
      <c r="D1838" t="s">
        <v>21</v>
      </c>
      <c r="E1838" t="s">
        <v>22</v>
      </c>
      <c r="F1838" t="s">
        <v>23</v>
      </c>
      <c r="G1838">
        <v>1</v>
      </c>
      <c r="H1838">
        <v>9791164372928</v>
      </c>
      <c r="I1838" t="s">
        <v>143</v>
      </c>
      <c r="J1838" t="s">
        <v>2184</v>
      </c>
      <c r="K1838" t="s">
        <v>2185</v>
      </c>
      <c r="L1838" t="s">
        <v>27</v>
      </c>
      <c r="M1838" s="3">
        <v>1000</v>
      </c>
      <c r="N1838" t="s">
        <v>27</v>
      </c>
      <c r="O1838" s="3">
        <v>1000</v>
      </c>
      <c r="P1838" s="3">
        <v>1000</v>
      </c>
      <c r="Q1838" t="s">
        <v>30</v>
      </c>
      <c r="R1838" s="2">
        <v>0.7</v>
      </c>
      <c r="S1838">
        <v>700</v>
      </c>
      <c r="T1838" t="s">
        <v>27</v>
      </c>
      <c r="U1838">
        <v>700</v>
      </c>
      <c r="V1838" s="7" t="str">
        <f>IF(ISERROR(VLOOKUP(K1838,[1]작가별정산률!$R:$S,2,0)),"스토리위즈",VLOOKUP(K1838,[1]작가별정산률!$R:$S,2,0))</f>
        <v>스토리위즈</v>
      </c>
      <c r="W1838" s="7" t="str">
        <f>IF(V1838="스토리위즈",VLOOKUP(K1838,[1]작가별정산률!$A:$B,2,0),V1838)</f>
        <v>아이리스</v>
      </c>
    </row>
    <row r="1839" spans="1:23" x14ac:dyDescent="0.4">
      <c r="A1839" t="s">
        <v>262</v>
      </c>
      <c r="B1839" t="s">
        <v>2159</v>
      </c>
      <c r="C1839" t="s">
        <v>2186</v>
      </c>
      <c r="D1839" t="s">
        <v>64</v>
      </c>
      <c r="E1839" t="s">
        <v>22</v>
      </c>
      <c r="F1839" t="s">
        <v>23</v>
      </c>
      <c r="G1839">
        <v>1</v>
      </c>
      <c r="H1839">
        <v>9791159283086</v>
      </c>
      <c r="I1839" t="s">
        <v>24</v>
      </c>
      <c r="J1839" t="s">
        <v>72</v>
      </c>
      <c r="K1839" t="s">
        <v>37</v>
      </c>
      <c r="L1839" t="s">
        <v>27</v>
      </c>
      <c r="M1839">
        <v>900</v>
      </c>
      <c r="N1839" t="s">
        <v>27</v>
      </c>
      <c r="O1839">
        <v>900</v>
      </c>
      <c r="P1839">
        <v>900</v>
      </c>
      <c r="Q1839" t="s">
        <v>30</v>
      </c>
      <c r="R1839" s="2">
        <v>0.7</v>
      </c>
      <c r="S1839">
        <v>630</v>
      </c>
      <c r="T1839" t="s">
        <v>27</v>
      </c>
      <c r="U1839">
        <v>630</v>
      </c>
      <c r="V1839" s="7" t="str">
        <f>IF(ISERROR(VLOOKUP(K1839,[1]작가별정산률!$R:$S,2,0)),"스토리위즈",VLOOKUP(K1839,[1]작가별정산률!$R:$S,2,0))</f>
        <v>스토리위즈</v>
      </c>
      <c r="W1839" s="7" t="str">
        <f>IF(V1839="스토리위즈",VLOOKUP(K1839,[1]작가별정산률!$A:$B,2,0),V1839)</f>
        <v>권용찬</v>
      </c>
    </row>
    <row r="1840" spans="1:23" x14ac:dyDescent="0.4">
      <c r="A1840" t="s">
        <v>262</v>
      </c>
      <c r="B1840" t="s">
        <v>2159</v>
      </c>
      <c r="C1840" t="s">
        <v>2187</v>
      </c>
      <c r="D1840" t="s">
        <v>21</v>
      </c>
      <c r="E1840" t="s">
        <v>22</v>
      </c>
      <c r="F1840" t="s">
        <v>23</v>
      </c>
      <c r="G1840">
        <v>1</v>
      </c>
      <c r="H1840">
        <v>9791191562439</v>
      </c>
      <c r="I1840" t="s">
        <v>143</v>
      </c>
      <c r="J1840" t="s">
        <v>1661</v>
      </c>
      <c r="K1840" t="s">
        <v>188</v>
      </c>
      <c r="L1840" t="s">
        <v>27</v>
      </c>
      <c r="M1840" s="3">
        <v>2500</v>
      </c>
      <c r="N1840" t="s">
        <v>27</v>
      </c>
      <c r="O1840" s="3">
        <v>2500</v>
      </c>
      <c r="P1840" s="3">
        <v>2500</v>
      </c>
      <c r="Q1840" t="s">
        <v>30</v>
      </c>
      <c r="R1840" s="2">
        <v>0.7</v>
      </c>
      <c r="S1840" s="3">
        <v>1750</v>
      </c>
      <c r="T1840" t="s">
        <v>27</v>
      </c>
      <c r="U1840" s="3">
        <v>1750</v>
      </c>
      <c r="V1840" s="7" t="str">
        <f>IF(ISERROR(VLOOKUP(K1840,[1]작가별정산률!$R:$S,2,0)),"스토리위즈",VLOOKUP(K1840,[1]작가별정산률!$R:$S,2,0))</f>
        <v>밀리의 서재</v>
      </c>
      <c r="W1840" s="7" t="str">
        <f>IF(V1840="스토리위즈",VLOOKUP(K1840,[1]작가별정산률!$A:$B,2,0),V1840)</f>
        <v>밀리의 서재</v>
      </c>
    </row>
    <row r="1841" spans="1:23" x14ac:dyDescent="0.4">
      <c r="A1841" t="s">
        <v>262</v>
      </c>
      <c r="B1841" t="s">
        <v>2159</v>
      </c>
      <c r="C1841" t="s">
        <v>2188</v>
      </c>
      <c r="D1841" t="s">
        <v>64</v>
      </c>
      <c r="E1841" t="s">
        <v>22</v>
      </c>
      <c r="F1841" t="s">
        <v>23</v>
      </c>
      <c r="G1841">
        <v>1</v>
      </c>
      <c r="H1841">
        <v>9791166300240</v>
      </c>
      <c r="I1841" t="s">
        <v>24</v>
      </c>
      <c r="J1841" t="s">
        <v>133</v>
      </c>
      <c r="K1841" t="s">
        <v>119</v>
      </c>
      <c r="L1841" t="s">
        <v>27</v>
      </c>
      <c r="M1841">
        <v>630</v>
      </c>
      <c r="N1841" t="s">
        <v>27</v>
      </c>
      <c r="O1841">
        <v>630</v>
      </c>
      <c r="P1841">
        <v>630</v>
      </c>
      <c r="Q1841" t="s">
        <v>30</v>
      </c>
      <c r="R1841" s="2">
        <v>0.7</v>
      </c>
      <c r="S1841">
        <v>441</v>
      </c>
      <c r="T1841" t="s">
        <v>27</v>
      </c>
      <c r="U1841">
        <v>441</v>
      </c>
      <c r="V1841" s="7" t="str">
        <f>IF(ISERROR(VLOOKUP(K1841,[1]작가별정산률!$R:$S,2,0)),"스토리위즈",VLOOKUP(K1841,[1]작가별정산률!$R:$S,2,0))</f>
        <v>스토리위즈</v>
      </c>
      <c r="W1841" s="7" t="str">
        <f>IF(V1841="스토리위즈",VLOOKUP(K1841,[1]작가별정산률!$A:$B,2,0),V1841)</f>
        <v>김광수</v>
      </c>
    </row>
    <row r="1842" spans="1:23" x14ac:dyDescent="0.4">
      <c r="A1842" t="s">
        <v>262</v>
      </c>
      <c r="B1842" t="s">
        <v>2159</v>
      </c>
      <c r="C1842" t="s">
        <v>2189</v>
      </c>
      <c r="D1842" t="s">
        <v>21</v>
      </c>
      <c r="E1842" t="s">
        <v>22</v>
      </c>
      <c r="F1842" t="s">
        <v>23</v>
      </c>
      <c r="G1842">
        <v>1</v>
      </c>
      <c r="H1842">
        <v>9791189084813</v>
      </c>
      <c r="I1842" t="s">
        <v>143</v>
      </c>
      <c r="J1842" t="s">
        <v>563</v>
      </c>
      <c r="K1842" t="s">
        <v>564</v>
      </c>
      <c r="L1842" t="s">
        <v>27</v>
      </c>
      <c r="M1842" s="3">
        <v>4000</v>
      </c>
      <c r="N1842" t="s">
        <v>27</v>
      </c>
      <c r="O1842" s="3">
        <v>4000</v>
      </c>
      <c r="P1842" s="3">
        <v>4000</v>
      </c>
      <c r="Q1842" t="s">
        <v>30</v>
      </c>
      <c r="R1842" s="2">
        <v>0.7</v>
      </c>
      <c r="S1842" s="3">
        <v>2800</v>
      </c>
      <c r="T1842" t="s">
        <v>27</v>
      </c>
      <c r="U1842" s="3">
        <v>2800</v>
      </c>
      <c r="V1842" s="7" t="str">
        <f>IF(ISERROR(VLOOKUP(K1842,[1]작가별정산률!$R:$S,2,0)),"스토리위즈",VLOOKUP(K1842,[1]작가별정산률!$R:$S,2,0))</f>
        <v>스토리위즈</v>
      </c>
      <c r="W1842" s="7" t="str">
        <f>IF(V1842="스토리위즈",VLOOKUP(K1842,[1]작가별정산률!$A:$B,2,0),V1842)</f>
        <v>셔틀</v>
      </c>
    </row>
    <row r="1843" spans="1:23" x14ac:dyDescent="0.4">
      <c r="A1843" t="s">
        <v>262</v>
      </c>
      <c r="B1843" t="s">
        <v>2159</v>
      </c>
      <c r="C1843" t="s">
        <v>2190</v>
      </c>
      <c r="D1843" t="s">
        <v>21</v>
      </c>
      <c r="E1843" t="s">
        <v>22</v>
      </c>
      <c r="F1843" t="s">
        <v>23</v>
      </c>
      <c r="G1843">
        <v>1</v>
      </c>
      <c r="H1843">
        <v>9791191562286</v>
      </c>
      <c r="I1843" t="s">
        <v>143</v>
      </c>
      <c r="J1843" t="s">
        <v>238</v>
      </c>
      <c r="K1843" t="s">
        <v>239</v>
      </c>
      <c r="L1843" t="s">
        <v>27</v>
      </c>
      <c r="M1843" s="3">
        <v>2000</v>
      </c>
      <c r="N1843" t="s">
        <v>28</v>
      </c>
      <c r="O1843">
        <v>1.65</v>
      </c>
      <c r="P1843">
        <v>1.65</v>
      </c>
      <c r="Q1843" t="s">
        <v>29</v>
      </c>
      <c r="R1843" s="2">
        <v>0.7</v>
      </c>
      <c r="S1843">
        <v>1.1499999999999999</v>
      </c>
      <c r="T1843" t="s">
        <v>27</v>
      </c>
      <c r="U1843" s="3">
        <v>1445</v>
      </c>
      <c r="V1843" s="7" t="str">
        <f>IF(ISERROR(VLOOKUP(K1843,[1]작가별정산률!$R:$S,2,0)),"스토리위즈",VLOOKUP(K1843,[1]작가별정산률!$R:$S,2,0))</f>
        <v>밀리의 서재</v>
      </c>
      <c r="W1843" s="7" t="str">
        <f>IF(V1843="스토리위즈",VLOOKUP(K1843,[1]작가별정산률!$A:$B,2,0),V1843)</f>
        <v>밀리의 서재</v>
      </c>
    </row>
    <row r="1844" spans="1:23" x14ac:dyDescent="0.4">
      <c r="A1844" t="s">
        <v>262</v>
      </c>
      <c r="B1844" t="s">
        <v>2159</v>
      </c>
      <c r="C1844" t="s">
        <v>2191</v>
      </c>
      <c r="D1844" t="s">
        <v>64</v>
      </c>
      <c r="E1844" t="s">
        <v>22</v>
      </c>
      <c r="F1844" t="s">
        <v>23</v>
      </c>
      <c r="G1844">
        <v>1</v>
      </c>
      <c r="H1844">
        <v>9791166300202</v>
      </c>
      <c r="I1844" t="s">
        <v>24</v>
      </c>
      <c r="J1844" t="s">
        <v>129</v>
      </c>
      <c r="K1844" t="s">
        <v>119</v>
      </c>
      <c r="L1844" t="s">
        <v>27</v>
      </c>
      <c r="M1844">
        <v>630</v>
      </c>
      <c r="N1844" t="s">
        <v>27</v>
      </c>
      <c r="O1844">
        <v>630</v>
      </c>
      <c r="P1844">
        <v>630</v>
      </c>
      <c r="Q1844" t="s">
        <v>30</v>
      </c>
      <c r="R1844" s="2">
        <v>0.7</v>
      </c>
      <c r="S1844">
        <v>441</v>
      </c>
      <c r="T1844" t="s">
        <v>27</v>
      </c>
      <c r="U1844">
        <v>441</v>
      </c>
      <c r="V1844" s="7" t="str">
        <f>IF(ISERROR(VLOOKUP(K1844,[1]작가별정산률!$R:$S,2,0)),"스토리위즈",VLOOKUP(K1844,[1]작가별정산률!$R:$S,2,0))</f>
        <v>스토리위즈</v>
      </c>
      <c r="W1844" s="7" t="str">
        <f>IF(V1844="스토리위즈",VLOOKUP(K1844,[1]작가별정산률!$A:$B,2,0),V1844)</f>
        <v>김광수</v>
      </c>
    </row>
    <row r="1845" spans="1:23" x14ac:dyDescent="0.4">
      <c r="A1845" t="s">
        <v>262</v>
      </c>
      <c r="B1845" t="s">
        <v>2159</v>
      </c>
      <c r="C1845" t="s">
        <v>2192</v>
      </c>
      <c r="D1845" t="s">
        <v>64</v>
      </c>
      <c r="E1845" t="s">
        <v>22</v>
      </c>
      <c r="F1845" t="s">
        <v>23</v>
      </c>
      <c r="G1845">
        <v>1</v>
      </c>
      <c r="H1845">
        <v>9791159282218</v>
      </c>
      <c r="I1845" t="s">
        <v>24</v>
      </c>
      <c r="J1845" t="s">
        <v>107</v>
      </c>
      <c r="K1845" t="s">
        <v>37</v>
      </c>
      <c r="L1845" t="s">
        <v>27</v>
      </c>
      <c r="M1845">
        <v>900</v>
      </c>
      <c r="N1845" t="s">
        <v>27</v>
      </c>
      <c r="O1845">
        <v>900</v>
      </c>
      <c r="P1845">
        <v>900</v>
      </c>
      <c r="Q1845" t="s">
        <v>30</v>
      </c>
      <c r="R1845" s="2">
        <v>0.7</v>
      </c>
      <c r="S1845">
        <v>630</v>
      </c>
      <c r="T1845" t="s">
        <v>27</v>
      </c>
      <c r="U1845">
        <v>630</v>
      </c>
      <c r="V1845" s="7" t="str">
        <f>IF(ISERROR(VLOOKUP(K1845,[1]작가별정산률!$R:$S,2,0)),"스토리위즈",VLOOKUP(K1845,[1]작가별정산률!$R:$S,2,0))</f>
        <v>스토리위즈</v>
      </c>
      <c r="W1845" s="7" t="str">
        <f>IF(V1845="스토리위즈",VLOOKUP(K1845,[1]작가별정산률!$A:$B,2,0),V1845)</f>
        <v>권용찬</v>
      </c>
    </row>
    <row r="1846" spans="1:23" x14ac:dyDescent="0.4">
      <c r="A1846" t="s">
        <v>262</v>
      </c>
      <c r="B1846" t="s">
        <v>2159</v>
      </c>
      <c r="C1846" t="s">
        <v>2193</v>
      </c>
      <c r="D1846" t="s">
        <v>21</v>
      </c>
      <c r="E1846" t="s">
        <v>22</v>
      </c>
      <c r="F1846" t="s">
        <v>23</v>
      </c>
      <c r="G1846">
        <v>1</v>
      </c>
      <c r="H1846">
        <v>9791189084462</v>
      </c>
      <c r="I1846" t="s">
        <v>143</v>
      </c>
      <c r="J1846" t="s">
        <v>1648</v>
      </c>
      <c r="K1846" t="s">
        <v>1378</v>
      </c>
      <c r="L1846" t="s">
        <v>27</v>
      </c>
      <c r="M1846" s="3">
        <v>3000</v>
      </c>
      <c r="N1846" t="s">
        <v>27</v>
      </c>
      <c r="O1846" s="3">
        <v>3000</v>
      </c>
      <c r="P1846" s="3">
        <v>3000</v>
      </c>
      <c r="Q1846" t="s">
        <v>30</v>
      </c>
      <c r="R1846" s="2">
        <v>0.7</v>
      </c>
      <c r="S1846" s="3">
        <v>2100</v>
      </c>
      <c r="T1846" t="s">
        <v>27</v>
      </c>
      <c r="U1846" s="3">
        <v>2100</v>
      </c>
      <c r="V1846" s="7" t="str">
        <f>IF(ISERROR(VLOOKUP(K1846,[1]작가별정산률!$R:$S,2,0)),"스토리위즈",VLOOKUP(K1846,[1]작가별정산률!$R:$S,2,0))</f>
        <v>스토리위즈</v>
      </c>
      <c r="W1846" s="7" t="str">
        <f>IF(V1846="스토리위즈",VLOOKUP(K1846,[1]작가별정산률!$A:$B,2,0),V1846)</f>
        <v>밈스</v>
      </c>
    </row>
    <row r="1847" spans="1:23" x14ac:dyDescent="0.4">
      <c r="A1847" t="s">
        <v>262</v>
      </c>
      <c r="B1847" t="s">
        <v>2159</v>
      </c>
      <c r="C1847" t="s">
        <v>2194</v>
      </c>
      <c r="D1847" t="s">
        <v>21</v>
      </c>
      <c r="E1847" t="s">
        <v>22</v>
      </c>
      <c r="F1847" t="s">
        <v>23</v>
      </c>
      <c r="G1847">
        <v>1</v>
      </c>
      <c r="H1847">
        <v>9791164370986</v>
      </c>
      <c r="I1847" t="s">
        <v>143</v>
      </c>
      <c r="J1847" t="s">
        <v>1665</v>
      </c>
      <c r="K1847" t="s">
        <v>1098</v>
      </c>
      <c r="L1847" t="s">
        <v>27</v>
      </c>
      <c r="M1847">
        <v>500</v>
      </c>
      <c r="N1847" t="s">
        <v>27</v>
      </c>
      <c r="O1847">
        <v>500</v>
      </c>
      <c r="P1847">
        <v>500</v>
      </c>
      <c r="Q1847" t="s">
        <v>30</v>
      </c>
      <c r="R1847" s="2">
        <v>0.7</v>
      </c>
      <c r="S1847">
        <v>350</v>
      </c>
      <c r="T1847" t="s">
        <v>27</v>
      </c>
      <c r="U1847">
        <v>350</v>
      </c>
      <c r="V1847" s="7" t="str">
        <f>IF(ISERROR(VLOOKUP(K1847,[1]작가별정산률!$R:$S,2,0)),"스토리위즈",VLOOKUP(K1847,[1]작가별정산률!$R:$S,2,0))</f>
        <v>스토리위즈</v>
      </c>
      <c r="W1847" s="7" t="str">
        <f>IF(V1847="스토리위즈",VLOOKUP(K1847,[1]작가별정산률!$A:$B,2,0),V1847)</f>
        <v>차홍주</v>
      </c>
    </row>
    <row r="1848" spans="1:23" x14ac:dyDescent="0.4">
      <c r="A1848" t="s">
        <v>262</v>
      </c>
      <c r="B1848" t="s">
        <v>2159</v>
      </c>
      <c r="C1848" t="s">
        <v>2195</v>
      </c>
      <c r="D1848" t="s">
        <v>21</v>
      </c>
      <c r="E1848" t="s">
        <v>22</v>
      </c>
      <c r="F1848" t="s">
        <v>23</v>
      </c>
      <c r="G1848">
        <v>1</v>
      </c>
      <c r="H1848">
        <v>9791191562361</v>
      </c>
      <c r="I1848" t="s">
        <v>143</v>
      </c>
      <c r="J1848" t="s">
        <v>916</v>
      </c>
      <c r="K1848" t="s">
        <v>186</v>
      </c>
      <c r="L1848" t="s">
        <v>27</v>
      </c>
      <c r="M1848" s="3">
        <v>2000</v>
      </c>
      <c r="N1848" t="s">
        <v>27</v>
      </c>
      <c r="O1848" s="3">
        <v>2000</v>
      </c>
      <c r="P1848" s="3">
        <v>2000</v>
      </c>
      <c r="Q1848" t="s">
        <v>30</v>
      </c>
      <c r="R1848" s="2">
        <v>0.7</v>
      </c>
      <c r="S1848" s="3">
        <v>1400</v>
      </c>
      <c r="T1848" t="s">
        <v>27</v>
      </c>
      <c r="U1848" s="3">
        <v>1400</v>
      </c>
      <c r="V1848" s="7" t="str">
        <f>IF(ISERROR(VLOOKUP(K1848,[1]작가별정산률!$R:$S,2,0)),"스토리위즈",VLOOKUP(K1848,[1]작가별정산률!$R:$S,2,0))</f>
        <v>밀리의 서재</v>
      </c>
      <c r="W1848" s="7" t="str">
        <f>IF(V1848="스토리위즈",VLOOKUP(K1848,[1]작가별정산률!$A:$B,2,0),V1848)</f>
        <v>밀리의 서재</v>
      </c>
    </row>
    <row r="1849" spans="1:23" x14ac:dyDescent="0.4">
      <c r="A1849" t="s">
        <v>262</v>
      </c>
      <c r="B1849" t="s">
        <v>2159</v>
      </c>
      <c r="C1849" t="s">
        <v>2196</v>
      </c>
      <c r="D1849" t="s">
        <v>64</v>
      </c>
      <c r="E1849" t="s">
        <v>22</v>
      </c>
      <c r="F1849" t="s">
        <v>23</v>
      </c>
      <c r="G1849">
        <v>1</v>
      </c>
      <c r="H1849">
        <v>9791166300141</v>
      </c>
      <c r="I1849" t="s">
        <v>24</v>
      </c>
      <c r="J1849" t="s">
        <v>124</v>
      </c>
      <c r="K1849" t="s">
        <v>119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  <c r="V1849" s="7" t="str">
        <f>IF(ISERROR(VLOOKUP(K1849,[1]작가별정산률!$R:$S,2,0)),"스토리위즈",VLOOKUP(K1849,[1]작가별정산률!$R:$S,2,0))</f>
        <v>스토리위즈</v>
      </c>
      <c r="W1849" s="7" t="str">
        <f>IF(V1849="스토리위즈",VLOOKUP(K1849,[1]작가별정산률!$A:$B,2,0),V1849)</f>
        <v>김광수</v>
      </c>
    </row>
    <row r="1850" spans="1:23" x14ac:dyDescent="0.4">
      <c r="A1850" t="s">
        <v>262</v>
      </c>
      <c r="B1850" t="s">
        <v>2159</v>
      </c>
      <c r="C1850" t="s">
        <v>2197</v>
      </c>
      <c r="D1850" t="s">
        <v>64</v>
      </c>
      <c r="E1850" t="s">
        <v>22</v>
      </c>
      <c r="F1850" t="s">
        <v>23</v>
      </c>
      <c r="G1850">
        <v>1</v>
      </c>
      <c r="H1850">
        <v>9791159284977</v>
      </c>
      <c r="I1850" t="s">
        <v>24</v>
      </c>
      <c r="J1850" t="s">
        <v>49</v>
      </c>
      <c r="K1850" t="s">
        <v>47</v>
      </c>
      <c r="L1850" t="s">
        <v>27</v>
      </c>
      <c r="M1850">
        <v>630</v>
      </c>
      <c r="N1850" t="s">
        <v>27</v>
      </c>
      <c r="O1850">
        <v>630</v>
      </c>
      <c r="P1850">
        <v>630</v>
      </c>
      <c r="Q1850" t="s">
        <v>30</v>
      </c>
      <c r="R1850" s="2">
        <v>0.7</v>
      </c>
      <c r="S1850">
        <v>441</v>
      </c>
      <c r="T1850" t="s">
        <v>27</v>
      </c>
      <c r="U1850">
        <v>441</v>
      </c>
      <c r="V1850" s="7" t="str">
        <f>IF(ISERROR(VLOOKUP(K1850,[1]작가별정산률!$R:$S,2,0)),"스토리위즈",VLOOKUP(K1850,[1]작가별정산률!$R:$S,2,0))</f>
        <v>스토리위즈</v>
      </c>
      <c r="W1850" s="7" t="str">
        <f>IF(V1850="스토리위즈",VLOOKUP(K1850,[1]작가별정산률!$A:$B,2,0),V1850)</f>
        <v>전혁</v>
      </c>
    </row>
    <row r="1851" spans="1:23" x14ac:dyDescent="0.4">
      <c r="A1851" t="s">
        <v>262</v>
      </c>
      <c r="B1851" t="s">
        <v>2159</v>
      </c>
      <c r="C1851" t="s">
        <v>2198</v>
      </c>
      <c r="D1851" t="s">
        <v>64</v>
      </c>
      <c r="E1851" t="s">
        <v>22</v>
      </c>
      <c r="F1851" t="s">
        <v>23</v>
      </c>
      <c r="G1851">
        <v>1</v>
      </c>
      <c r="H1851">
        <v>9791166064159</v>
      </c>
      <c r="I1851" t="s">
        <v>24</v>
      </c>
      <c r="J1851" t="s">
        <v>86</v>
      </c>
      <c r="K1851" t="s">
        <v>37</v>
      </c>
      <c r="L1851" t="s">
        <v>27</v>
      </c>
      <c r="M1851">
        <v>900</v>
      </c>
      <c r="N1851" t="s">
        <v>27</v>
      </c>
      <c r="O1851">
        <v>900</v>
      </c>
      <c r="P1851">
        <v>900</v>
      </c>
      <c r="Q1851" t="s">
        <v>30</v>
      </c>
      <c r="R1851" s="2">
        <v>0.7</v>
      </c>
      <c r="S1851">
        <v>630</v>
      </c>
      <c r="T1851" t="s">
        <v>27</v>
      </c>
      <c r="U1851">
        <v>630</v>
      </c>
      <c r="V1851" s="7" t="str">
        <f>IF(ISERROR(VLOOKUP(K1851,[1]작가별정산률!$R:$S,2,0)),"스토리위즈",VLOOKUP(K1851,[1]작가별정산률!$R:$S,2,0))</f>
        <v>스토리위즈</v>
      </c>
      <c r="W1851" s="7" t="str">
        <f>IF(V1851="스토리위즈",VLOOKUP(K1851,[1]작가별정산률!$A:$B,2,0),V1851)</f>
        <v>권용찬</v>
      </c>
    </row>
    <row r="1852" spans="1:23" x14ac:dyDescent="0.4">
      <c r="A1852" t="s">
        <v>262</v>
      </c>
      <c r="B1852" t="s">
        <v>2159</v>
      </c>
      <c r="C1852" t="s">
        <v>2199</v>
      </c>
      <c r="D1852" t="s">
        <v>64</v>
      </c>
      <c r="E1852" t="s">
        <v>22</v>
      </c>
      <c r="F1852" t="s">
        <v>23</v>
      </c>
      <c r="G1852">
        <v>1</v>
      </c>
      <c r="H1852">
        <v>9791166061103</v>
      </c>
      <c r="I1852" t="s">
        <v>24</v>
      </c>
      <c r="J1852" t="s">
        <v>96</v>
      </c>
      <c r="K1852" t="s">
        <v>37</v>
      </c>
      <c r="L1852" t="s">
        <v>27</v>
      </c>
      <c r="M1852">
        <v>900</v>
      </c>
      <c r="N1852" t="s">
        <v>27</v>
      </c>
      <c r="O1852">
        <v>900</v>
      </c>
      <c r="P1852">
        <v>900</v>
      </c>
      <c r="Q1852" t="s">
        <v>30</v>
      </c>
      <c r="R1852" s="2">
        <v>0.7</v>
      </c>
      <c r="S1852">
        <v>630</v>
      </c>
      <c r="T1852" t="s">
        <v>27</v>
      </c>
      <c r="U1852">
        <v>630</v>
      </c>
      <c r="V1852" s="7" t="str">
        <f>IF(ISERROR(VLOOKUP(K1852,[1]작가별정산률!$R:$S,2,0)),"스토리위즈",VLOOKUP(K1852,[1]작가별정산률!$R:$S,2,0))</f>
        <v>스토리위즈</v>
      </c>
      <c r="W1852" s="7" t="str">
        <f>IF(V1852="스토리위즈",VLOOKUP(K1852,[1]작가별정산률!$A:$B,2,0),V1852)</f>
        <v>권용찬</v>
      </c>
    </row>
    <row r="1853" spans="1:23" x14ac:dyDescent="0.4">
      <c r="A1853" t="s">
        <v>262</v>
      </c>
      <c r="B1853" t="s">
        <v>2159</v>
      </c>
      <c r="C1853" t="s">
        <v>2200</v>
      </c>
      <c r="D1853" t="s">
        <v>21</v>
      </c>
      <c r="E1853" t="s">
        <v>22</v>
      </c>
      <c r="F1853" t="s">
        <v>23</v>
      </c>
      <c r="G1853">
        <v>1</v>
      </c>
      <c r="H1853">
        <v>9791164370504</v>
      </c>
      <c r="I1853" t="s">
        <v>143</v>
      </c>
      <c r="J1853" t="s">
        <v>1971</v>
      </c>
      <c r="K1853" t="s">
        <v>1035</v>
      </c>
      <c r="L1853" t="s">
        <v>27</v>
      </c>
      <c r="M1853">
        <v>300</v>
      </c>
      <c r="N1853" t="s">
        <v>27</v>
      </c>
      <c r="O1853">
        <v>300</v>
      </c>
      <c r="P1853">
        <v>300</v>
      </c>
      <c r="Q1853" t="s">
        <v>30</v>
      </c>
      <c r="R1853" s="2">
        <v>0.7</v>
      </c>
      <c r="S1853">
        <v>210</v>
      </c>
      <c r="T1853" t="s">
        <v>27</v>
      </c>
      <c r="U1853">
        <v>210</v>
      </c>
      <c r="V1853" s="7" t="str">
        <f>IF(ISERROR(VLOOKUP(K1853,[1]작가별정산률!$R:$S,2,0)),"스토리위즈",VLOOKUP(K1853,[1]작가별정산률!$R:$S,2,0))</f>
        <v>스토리위즈</v>
      </c>
      <c r="W1853" s="7" t="str">
        <f>IF(V1853="스토리위즈",VLOOKUP(K1853,[1]작가별정산률!$A:$B,2,0),V1853)</f>
        <v>모리미</v>
      </c>
    </row>
    <row r="1854" spans="1:23" x14ac:dyDescent="0.4">
      <c r="A1854" t="s">
        <v>262</v>
      </c>
      <c r="B1854" t="s">
        <v>2159</v>
      </c>
      <c r="C1854" t="s">
        <v>2201</v>
      </c>
      <c r="D1854" t="s">
        <v>64</v>
      </c>
      <c r="E1854" t="s">
        <v>22</v>
      </c>
      <c r="F1854" t="s">
        <v>23</v>
      </c>
      <c r="G1854">
        <v>1</v>
      </c>
      <c r="H1854">
        <v>9791166064081</v>
      </c>
      <c r="I1854" t="s">
        <v>24</v>
      </c>
      <c r="J1854" t="s">
        <v>91</v>
      </c>
      <c r="K1854" t="s">
        <v>37</v>
      </c>
      <c r="L1854" t="s">
        <v>27</v>
      </c>
      <c r="M1854">
        <v>900</v>
      </c>
      <c r="N1854" t="s">
        <v>27</v>
      </c>
      <c r="O1854">
        <v>900</v>
      </c>
      <c r="P1854">
        <v>900</v>
      </c>
      <c r="Q1854" t="s">
        <v>30</v>
      </c>
      <c r="R1854" s="2">
        <v>0.7</v>
      </c>
      <c r="S1854">
        <v>630</v>
      </c>
      <c r="T1854" t="s">
        <v>27</v>
      </c>
      <c r="U1854">
        <v>630</v>
      </c>
      <c r="V1854" s="7" t="str">
        <f>IF(ISERROR(VLOOKUP(K1854,[1]작가별정산률!$R:$S,2,0)),"스토리위즈",VLOOKUP(K1854,[1]작가별정산률!$R:$S,2,0))</f>
        <v>스토리위즈</v>
      </c>
      <c r="W1854" s="7" t="str">
        <f>IF(V1854="스토리위즈",VLOOKUP(K1854,[1]작가별정산률!$A:$B,2,0),V1854)</f>
        <v>권용찬</v>
      </c>
    </row>
    <row r="1855" spans="1:23" x14ac:dyDescent="0.4">
      <c r="A1855" t="s">
        <v>262</v>
      </c>
      <c r="B1855" t="s">
        <v>2159</v>
      </c>
      <c r="C1855" t="s">
        <v>2202</v>
      </c>
      <c r="D1855" t="s">
        <v>21</v>
      </c>
      <c r="E1855" t="s">
        <v>22</v>
      </c>
      <c r="F1855" t="s">
        <v>23</v>
      </c>
      <c r="G1855">
        <v>1</v>
      </c>
      <c r="H1855">
        <v>9791166300608</v>
      </c>
      <c r="I1855" t="s">
        <v>24</v>
      </c>
      <c r="J1855" t="s">
        <v>162</v>
      </c>
      <c r="K1855" t="s">
        <v>119</v>
      </c>
      <c r="L1855" t="s">
        <v>27</v>
      </c>
      <c r="M1855" s="3">
        <v>3200</v>
      </c>
      <c r="N1855" t="s">
        <v>27</v>
      </c>
      <c r="O1855" s="3">
        <v>3200</v>
      </c>
      <c r="P1855" s="3">
        <v>3200</v>
      </c>
      <c r="Q1855" t="s">
        <v>30</v>
      </c>
      <c r="R1855" s="2">
        <v>0.7</v>
      </c>
      <c r="S1855" s="3">
        <v>2240</v>
      </c>
      <c r="T1855" t="s">
        <v>27</v>
      </c>
      <c r="U1855" s="3">
        <v>2240</v>
      </c>
      <c r="V1855" s="7" t="str">
        <f>IF(ISERROR(VLOOKUP(K1855,[1]작가별정산률!$R:$S,2,0)),"스토리위즈",VLOOKUP(K1855,[1]작가별정산률!$R:$S,2,0))</f>
        <v>스토리위즈</v>
      </c>
      <c r="W1855" s="7" t="str">
        <f>IF(V1855="스토리위즈",VLOOKUP(K1855,[1]작가별정산률!$A:$B,2,0),V1855)</f>
        <v>김광수</v>
      </c>
    </row>
    <row r="1856" spans="1:23" x14ac:dyDescent="0.4">
      <c r="A1856" t="s">
        <v>262</v>
      </c>
      <c r="B1856" t="s">
        <v>2159</v>
      </c>
      <c r="C1856" t="s">
        <v>2203</v>
      </c>
      <c r="D1856" t="s">
        <v>21</v>
      </c>
      <c r="E1856" t="s">
        <v>22</v>
      </c>
      <c r="F1856" t="s">
        <v>23</v>
      </c>
      <c r="G1856">
        <v>1</v>
      </c>
      <c r="H1856">
        <v>9791191562361</v>
      </c>
      <c r="I1856" t="s">
        <v>143</v>
      </c>
      <c r="J1856" t="s">
        <v>916</v>
      </c>
      <c r="K1856" t="s">
        <v>186</v>
      </c>
      <c r="L1856" t="s">
        <v>27</v>
      </c>
      <c r="M1856" s="3">
        <v>2000</v>
      </c>
      <c r="N1856" t="s">
        <v>28</v>
      </c>
      <c r="O1856">
        <v>1.65</v>
      </c>
      <c r="P1856">
        <v>1.65</v>
      </c>
      <c r="Q1856" t="s">
        <v>29</v>
      </c>
      <c r="R1856" s="2">
        <v>0.7</v>
      </c>
      <c r="S1856">
        <v>1.1499999999999999</v>
      </c>
      <c r="T1856" t="s">
        <v>27</v>
      </c>
      <c r="U1856" s="3">
        <v>1445</v>
      </c>
      <c r="V1856" s="7" t="str">
        <f>IF(ISERROR(VLOOKUP(K1856,[1]작가별정산률!$R:$S,2,0)),"스토리위즈",VLOOKUP(K1856,[1]작가별정산률!$R:$S,2,0))</f>
        <v>밀리의 서재</v>
      </c>
      <c r="W1856" s="7" t="str">
        <f>IF(V1856="스토리위즈",VLOOKUP(K1856,[1]작가별정산률!$A:$B,2,0),V1856)</f>
        <v>밀리의 서재</v>
      </c>
    </row>
    <row r="1857" spans="1:23" x14ac:dyDescent="0.4">
      <c r="A1857" t="s">
        <v>262</v>
      </c>
      <c r="B1857" t="s">
        <v>2159</v>
      </c>
      <c r="C1857" t="s">
        <v>2204</v>
      </c>
      <c r="D1857" t="s">
        <v>64</v>
      </c>
      <c r="E1857" t="s">
        <v>22</v>
      </c>
      <c r="F1857" t="s">
        <v>23</v>
      </c>
      <c r="G1857">
        <v>1</v>
      </c>
      <c r="H1857">
        <v>9791166300219</v>
      </c>
      <c r="I1857" t="s">
        <v>24</v>
      </c>
      <c r="J1857" t="s">
        <v>130</v>
      </c>
      <c r="K1857" t="s">
        <v>119</v>
      </c>
      <c r="L1857" t="s">
        <v>27</v>
      </c>
      <c r="M1857">
        <v>630</v>
      </c>
      <c r="N1857" t="s">
        <v>27</v>
      </c>
      <c r="O1857">
        <v>630</v>
      </c>
      <c r="P1857">
        <v>630</v>
      </c>
      <c r="Q1857" t="s">
        <v>30</v>
      </c>
      <c r="R1857" s="2">
        <v>0.7</v>
      </c>
      <c r="S1857">
        <v>441</v>
      </c>
      <c r="T1857" t="s">
        <v>27</v>
      </c>
      <c r="U1857">
        <v>441</v>
      </c>
      <c r="V1857" s="7" t="str">
        <f>IF(ISERROR(VLOOKUP(K1857,[1]작가별정산률!$R:$S,2,0)),"스토리위즈",VLOOKUP(K1857,[1]작가별정산률!$R:$S,2,0))</f>
        <v>스토리위즈</v>
      </c>
      <c r="W1857" s="7" t="str">
        <f>IF(V1857="스토리위즈",VLOOKUP(K1857,[1]작가별정산률!$A:$B,2,0),V1857)</f>
        <v>김광수</v>
      </c>
    </row>
    <row r="1858" spans="1:23" x14ac:dyDescent="0.4">
      <c r="A1858" t="s">
        <v>262</v>
      </c>
      <c r="B1858" t="s">
        <v>2159</v>
      </c>
      <c r="C1858" t="s">
        <v>2205</v>
      </c>
      <c r="D1858" t="s">
        <v>21</v>
      </c>
      <c r="E1858" t="s">
        <v>22</v>
      </c>
      <c r="F1858" t="s">
        <v>23</v>
      </c>
      <c r="G1858">
        <v>1</v>
      </c>
      <c r="H1858">
        <v>9791191562439</v>
      </c>
      <c r="I1858" t="s">
        <v>143</v>
      </c>
      <c r="J1858" t="s">
        <v>1661</v>
      </c>
      <c r="K1858" t="s">
        <v>188</v>
      </c>
      <c r="L1858" t="s">
        <v>27</v>
      </c>
      <c r="M1858" s="3">
        <v>2500</v>
      </c>
      <c r="N1858" t="s">
        <v>27</v>
      </c>
      <c r="O1858" s="3">
        <v>2500</v>
      </c>
      <c r="P1858" s="3">
        <v>2500</v>
      </c>
      <c r="Q1858" t="s">
        <v>30</v>
      </c>
      <c r="R1858" s="2">
        <v>0.7</v>
      </c>
      <c r="S1858" s="3">
        <v>1750</v>
      </c>
      <c r="T1858" t="s">
        <v>27</v>
      </c>
      <c r="U1858" s="3">
        <v>1750</v>
      </c>
      <c r="V1858" s="7" t="str">
        <f>IF(ISERROR(VLOOKUP(K1858,[1]작가별정산률!$R:$S,2,0)),"스토리위즈",VLOOKUP(K1858,[1]작가별정산률!$R:$S,2,0))</f>
        <v>밀리의 서재</v>
      </c>
      <c r="W1858" s="7" t="str">
        <f>IF(V1858="스토리위즈",VLOOKUP(K1858,[1]작가별정산률!$A:$B,2,0),V1858)</f>
        <v>밀리의 서재</v>
      </c>
    </row>
    <row r="1859" spans="1:23" x14ac:dyDescent="0.4">
      <c r="A1859" t="s">
        <v>262</v>
      </c>
      <c r="B1859" t="s">
        <v>2159</v>
      </c>
      <c r="C1859" t="s">
        <v>2206</v>
      </c>
      <c r="D1859" t="s">
        <v>21</v>
      </c>
      <c r="E1859" t="s">
        <v>22</v>
      </c>
      <c r="F1859" t="s">
        <v>23</v>
      </c>
      <c r="G1859">
        <v>1</v>
      </c>
      <c r="H1859">
        <v>9791191562163</v>
      </c>
      <c r="I1859" t="s">
        <v>143</v>
      </c>
      <c r="J1859" t="s">
        <v>214</v>
      </c>
      <c r="K1859" t="s">
        <v>215</v>
      </c>
      <c r="L1859" t="s">
        <v>27</v>
      </c>
      <c r="M1859" s="3">
        <v>2000</v>
      </c>
      <c r="N1859" t="s">
        <v>27</v>
      </c>
      <c r="O1859" s="3">
        <v>2000</v>
      </c>
      <c r="P1859" s="3">
        <v>2000</v>
      </c>
      <c r="Q1859" t="s">
        <v>30</v>
      </c>
      <c r="R1859" s="2">
        <v>0.7</v>
      </c>
      <c r="S1859" s="3">
        <v>1400</v>
      </c>
      <c r="T1859" t="s">
        <v>27</v>
      </c>
      <c r="U1859" s="3">
        <v>1400</v>
      </c>
      <c r="V1859" s="7" t="str">
        <f>IF(ISERROR(VLOOKUP(K1859,[1]작가별정산률!$R:$S,2,0)),"스토리위즈",VLOOKUP(K1859,[1]작가별정산률!$R:$S,2,0))</f>
        <v>밀리의 서재</v>
      </c>
      <c r="W1859" s="7" t="str">
        <f>IF(V1859="스토리위즈",VLOOKUP(K1859,[1]작가별정산률!$A:$B,2,0),V1859)</f>
        <v>밀리의 서재</v>
      </c>
    </row>
    <row r="1860" spans="1:23" x14ac:dyDescent="0.4">
      <c r="A1860" t="s">
        <v>262</v>
      </c>
      <c r="B1860" t="s">
        <v>2159</v>
      </c>
      <c r="C1860" t="s">
        <v>2207</v>
      </c>
      <c r="D1860" t="s">
        <v>64</v>
      </c>
      <c r="E1860" t="s">
        <v>22</v>
      </c>
      <c r="F1860" t="s">
        <v>23</v>
      </c>
      <c r="G1860">
        <v>1</v>
      </c>
      <c r="H1860">
        <v>9791166300233</v>
      </c>
      <c r="I1860" t="s">
        <v>24</v>
      </c>
      <c r="J1860" t="s">
        <v>132</v>
      </c>
      <c r="K1860" t="s">
        <v>119</v>
      </c>
      <c r="L1860" t="s">
        <v>27</v>
      </c>
      <c r="M1860">
        <v>630</v>
      </c>
      <c r="N1860" t="s">
        <v>27</v>
      </c>
      <c r="O1860">
        <v>630</v>
      </c>
      <c r="P1860">
        <v>630</v>
      </c>
      <c r="Q1860" t="s">
        <v>30</v>
      </c>
      <c r="R1860" s="2">
        <v>0.7</v>
      </c>
      <c r="S1860">
        <v>441</v>
      </c>
      <c r="T1860" t="s">
        <v>27</v>
      </c>
      <c r="U1860">
        <v>441</v>
      </c>
      <c r="V1860" s="7" t="str">
        <f>IF(ISERROR(VLOOKUP(K1860,[1]작가별정산률!$R:$S,2,0)),"스토리위즈",VLOOKUP(K1860,[1]작가별정산률!$R:$S,2,0))</f>
        <v>스토리위즈</v>
      </c>
      <c r="W1860" s="7" t="str">
        <f>IF(V1860="스토리위즈",VLOOKUP(K1860,[1]작가별정산률!$A:$B,2,0),V1860)</f>
        <v>김광수</v>
      </c>
    </row>
    <row r="1861" spans="1:23" x14ac:dyDescent="0.4">
      <c r="A1861" t="s">
        <v>262</v>
      </c>
      <c r="B1861" t="s">
        <v>2159</v>
      </c>
      <c r="C1861" t="s">
        <v>2208</v>
      </c>
      <c r="D1861" t="s">
        <v>21</v>
      </c>
      <c r="E1861" t="s">
        <v>22</v>
      </c>
      <c r="F1861" t="s">
        <v>23</v>
      </c>
      <c r="G1861">
        <v>1</v>
      </c>
      <c r="H1861">
        <v>9791189627836</v>
      </c>
      <c r="I1861" t="s">
        <v>143</v>
      </c>
      <c r="J1861" t="s">
        <v>2209</v>
      </c>
      <c r="K1861" t="s">
        <v>1035</v>
      </c>
      <c r="L1861" t="s">
        <v>27</v>
      </c>
      <c r="M1861" s="3">
        <v>3200</v>
      </c>
      <c r="N1861" t="s">
        <v>27</v>
      </c>
      <c r="O1861" s="3">
        <v>3200</v>
      </c>
      <c r="P1861" s="3">
        <v>3200</v>
      </c>
      <c r="Q1861" t="s">
        <v>30</v>
      </c>
      <c r="R1861" s="2">
        <v>0.7</v>
      </c>
      <c r="S1861" s="3">
        <v>2240</v>
      </c>
      <c r="T1861" t="s">
        <v>27</v>
      </c>
      <c r="U1861" s="3">
        <v>2240</v>
      </c>
      <c r="V1861" s="7" t="str">
        <f>IF(ISERROR(VLOOKUP(K1861,[1]작가별정산률!$R:$S,2,0)),"스토리위즈",VLOOKUP(K1861,[1]작가별정산률!$R:$S,2,0))</f>
        <v>스토리위즈</v>
      </c>
      <c r="W1861" s="7" t="str">
        <f>IF(V1861="스토리위즈",VLOOKUP(K1861,[1]작가별정산률!$A:$B,2,0),V1861)</f>
        <v>모리미</v>
      </c>
    </row>
    <row r="1862" spans="1:23" x14ac:dyDescent="0.4">
      <c r="A1862" t="s">
        <v>262</v>
      </c>
      <c r="B1862" t="s">
        <v>2159</v>
      </c>
      <c r="C1862" t="s">
        <v>2210</v>
      </c>
      <c r="D1862" t="s">
        <v>21</v>
      </c>
      <c r="E1862" t="s">
        <v>22</v>
      </c>
      <c r="F1862" t="s">
        <v>23</v>
      </c>
      <c r="G1862">
        <v>1</v>
      </c>
      <c r="H1862">
        <v>9791189084813</v>
      </c>
      <c r="I1862" t="s">
        <v>143</v>
      </c>
      <c r="J1862" t="s">
        <v>563</v>
      </c>
      <c r="K1862" t="s">
        <v>564</v>
      </c>
      <c r="L1862" t="s">
        <v>27</v>
      </c>
      <c r="M1862" s="3">
        <v>4000</v>
      </c>
      <c r="N1862" t="s">
        <v>27</v>
      </c>
      <c r="O1862" s="3">
        <v>4000</v>
      </c>
      <c r="P1862" s="3">
        <v>4000</v>
      </c>
      <c r="Q1862" t="s">
        <v>30</v>
      </c>
      <c r="R1862" s="2">
        <v>0.7</v>
      </c>
      <c r="S1862" s="3">
        <v>2800</v>
      </c>
      <c r="T1862" t="s">
        <v>27</v>
      </c>
      <c r="U1862" s="3">
        <v>2800</v>
      </c>
      <c r="V1862" s="7" t="str">
        <f>IF(ISERROR(VLOOKUP(K1862,[1]작가별정산률!$R:$S,2,0)),"스토리위즈",VLOOKUP(K1862,[1]작가별정산률!$R:$S,2,0))</f>
        <v>스토리위즈</v>
      </c>
      <c r="W1862" s="7" t="str">
        <f>IF(V1862="스토리위즈",VLOOKUP(K1862,[1]작가별정산률!$A:$B,2,0),V1862)</f>
        <v>셔틀</v>
      </c>
    </row>
    <row r="1863" spans="1:23" x14ac:dyDescent="0.4">
      <c r="A1863" t="s">
        <v>262</v>
      </c>
      <c r="B1863" t="s">
        <v>2159</v>
      </c>
      <c r="C1863" t="s">
        <v>2211</v>
      </c>
      <c r="D1863" t="s">
        <v>64</v>
      </c>
      <c r="E1863" t="s">
        <v>22</v>
      </c>
      <c r="F1863" t="s">
        <v>23</v>
      </c>
      <c r="G1863">
        <v>1</v>
      </c>
      <c r="H1863">
        <v>9791166300196</v>
      </c>
      <c r="I1863" t="s">
        <v>24</v>
      </c>
      <c r="J1863" t="s">
        <v>128</v>
      </c>
      <c r="K1863" t="s">
        <v>119</v>
      </c>
      <c r="L1863" t="s">
        <v>27</v>
      </c>
      <c r="M1863">
        <v>630</v>
      </c>
      <c r="N1863" t="s">
        <v>27</v>
      </c>
      <c r="O1863">
        <v>630</v>
      </c>
      <c r="P1863">
        <v>630</v>
      </c>
      <c r="Q1863" t="s">
        <v>30</v>
      </c>
      <c r="R1863" s="2">
        <v>0.7</v>
      </c>
      <c r="S1863">
        <v>441</v>
      </c>
      <c r="T1863" t="s">
        <v>27</v>
      </c>
      <c r="U1863">
        <v>441</v>
      </c>
      <c r="V1863" s="7" t="str">
        <f>IF(ISERROR(VLOOKUP(K1863,[1]작가별정산률!$R:$S,2,0)),"스토리위즈",VLOOKUP(K1863,[1]작가별정산률!$R:$S,2,0))</f>
        <v>스토리위즈</v>
      </c>
      <c r="W1863" s="7" t="str">
        <f>IF(V1863="스토리위즈",VLOOKUP(K1863,[1]작가별정산률!$A:$B,2,0),V1863)</f>
        <v>김광수</v>
      </c>
    </row>
    <row r="1864" spans="1:23" x14ac:dyDescent="0.4">
      <c r="A1864" t="s">
        <v>262</v>
      </c>
      <c r="B1864" t="s">
        <v>2159</v>
      </c>
      <c r="C1864" t="s">
        <v>2212</v>
      </c>
      <c r="D1864" t="s">
        <v>64</v>
      </c>
      <c r="E1864" t="s">
        <v>22</v>
      </c>
      <c r="F1864" t="s">
        <v>23</v>
      </c>
      <c r="G1864">
        <v>1</v>
      </c>
      <c r="H1864">
        <v>9791159283239</v>
      </c>
      <c r="I1864" t="s">
        <v>24</v>
      </c>
      <c r="J1864" t="s">
        <v>66</v>
      </c>
      <c r="K1864" t="s">
        <v>37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  <c r="V1864" s="7" t="str">
        <f>IF(ISERROR(VLOOKUP(K1864,[1]작가별정산률!$R:$S,2,0)),"스토리위즈",VLOOKUP(K1864,[1]작가별정산률!$R:$S,2,0))</f>
        <v>스토리위즈</v>
      </c>
      <c r="W1864" s="7" t="str">
        <f>IF(V1864="스토리위즈",VLOOKUP(K1864,[1]작가별정산률!$A:$B,2,0),V1864)</f>
        <v>권용찬</v>
      </c>
    </row>
    <row r="1865" spans="1:23" x14ac:dyDescent="0.4">
      <c r="A1865" t="s">
        <v>262</v>
      </c>
      <c r="B1865" t="s">
        <v>2159</v>
      </c>
      <c r="C1865" t="s">
        <v>2213</v>
      </c>
      <c r="D1865" t="s">
        <v>64</v>
      </c>
      <c r="E1865" t="s">
        <v>22</v>
      </c>
      <c r="F1865" t="s">
        <v>23</v>
      </c>
      <c r="G1865">
        <v>1</v>
      </c>
      <c r="H1865">
        <v>9791166064159</v>
      </c>
      <c r="I1865" t="s">
        <v>24</v>
      </c>
      <c r="J1865" t="s">
        <v>86</v>
      </c>
      <c r="K1865" t="s">
        <v>37</v>
      </c>
      <c r="L1865" t="s">
        <v>27</v>
      </c>
      <c r="M1865">
        <v>900</v>
      </c>
      <c r="N1865" t="s">
        <v>27</v>
      </c>
      <c r="O1865">
        <v>900</v>
      </c>
      <c r="P1865">
        <v>900</v>
      </c>
      <c r="Q1865" t="s">
        <v>30</v>
      </c>
      <c r="R1865" s="2">
        <v>0.7</v>
      </c>
      <c r="S1865">
        <v>630</v>
      </c>
      <c r="T1865" t="s">
        <v>27</v>
      </c>
      <c r="U1865">
        <v>630</v>
      </c>
      <c r="V1865" s="7" t="str">
        <f>IF(ISERROR(VLOOKUP(K1865,[1]작가별정산률!$R:$S,2,0)),"스토리위즈",VLOOKUP(K1865,[1]작가별정산률!$R:$S,2,0))</f>
        <v>스토리위즈</v>
      </c>
      <c r="W1865" s="7" t="str">
        <f>IF(V1865="스토리위즈",VLOOKUP(K1865,[1]작가별정산률!$A:$B,2,0),V1865)</f>
        <v>권용찬</v>
      </c>
    </row>
    <row r="1866" spans="1:23" x14ac:dyDescent="0.4">
      <c r="A1866" t="s">
        <v>262</v>
      </c>
      <c r="B1866" t="s">
        <v>2159</v>
      </c>
      <c r="C1866" t="s">
        <v>2214</v>
      </c>
      <c r="D1866" t="s">
        <v>21</v>
      </c>
      <c r="E1866" t="s">
        <v>22</v>
      </c>
      <c r="F1866" t="s">
        <v>23</v>
      </c>
      <c r="G1866">
        <v>1</v>
      </c>
      <c r="H1866">
        <v>9791191562224</v>
      </c>
      <c r="I1866" t="s">
        <v>143</v>
      </c>
      <c r="J1866" t="s">
        <v>221</v>
      </c>
      <c r="K1866" t="s">
        <v>222</v>
      </c>
      <c r="L1866" t="s">
        <v>27</v>
      </c>
      <c r="M1866" s="3">
        <v>2500</v>
      </c>
      <c r="N1866" t="s">
        <v>27</v>
      </c>
      <c r="O1866" s="3">
        <v>2500</v>
      </c>
      <c r="P1866" s="3">
        <v>2500</v>
      </c>
      <c r="Q1866" t="s">
        <v>30</v>
      </c>
      <c r="R1866" s="2">
        <v>0.7</v>
      </c>
      <c r="S1866" s="3">
        <v>1750</v>
      </c>
      <c r="T1866" t="s">
        <v>27</v>
      </c>
      <c r="U1866" s="3">
        <v>1750</v>
      </c>
      <c r="V1866" s="7" t="str">
        <f>IF(ISERROR(VLOOKUP(K1866,[1]작가별정산률!$R:$S,2,0)),"스토리위즈",VLOOKUP(K1866,[1]작가별정산률!$R:$S,2,0))</f>
        <v>밀리의 서재</v>
      </c>
      <c r="W1866" s="7" t="str">
        <f>IF(V1866="스토리위즈",VLOOKUP(K1866,[1]작가별정산률!$A:$B,2,0),V1866)</f>
        <v>밀리의 서재</v>
      </c>
    </row>
    <row r="1867" spans="1:23" x14ac:dyDescent="0.4">
      <c r="A1867" t="s">
        <v>262</v>
      </c>
      <c r="B1867" t="s">
        <v>2159</v>
      </c>
      <c r="C1867" t="s">
        <v>2215</v>
      </c>
      <c r="D1867" t="s">
        <v>21</v>
      </c>
      <c r="E1867" t="s">
        <v>22</v>
      </c>
      <c r="F1867" t="s">
        <v>23</v>
      </c>
      <c r="G1867">
        <v>1</v>
      </c>
      <c r="H1867">
        <v>9791189627379</v>
      </c>
      <c r="I1867" t="s">
        <v>143</v>
      </c>
      <c r="J1867" t="s">
        <v>1968</v>
      </c>
      <c r="K1867" t="s">
        <v>1035</v>
      </c>
      <c r="L1867" t="s">
        <v>27</v>
      </c>
      <c r="M1867">
        <v>300</v>
      </c>
      <c r="N1867" t="s">
        <v>27</v>
      </c>
      <c r="O1867">
        <v>300</v>
      </c>
      <c r="P1867">
        <v>300</v>
      </c>
      <c r="Q1867" t="s">
        <v>30</v>
      </c>
      <c r="R1867" s="2">
        <v>0.7</v>
      </c>
      <c r="S1867">
        <v>210</v>
      </c>
      <c r="T1867" t="s">
        <v>27</v>
      </c>
      <c r="U1867">
        <v>210</v>
      </c>
      <c r="V1867" s="7" t="str">
        <f>IF(ISERROR(VLOOKUP(K1867,[1]작가별정산률!$R:$S,2,0)),"스토리위즈",VLOOKUP(K1867,[1]작가별정산률!$R:$S,2,0))</f>
        <v>스토리위즈</v>
      </c>
      <c r="W1867" s="7" t="str">
        <f>IF(V1867="스토리위즈",VLOOKUP(K1867,[1]작가별정산률!$A:$B,2,0),V1867)</f>
        <v>모리미</v>
      </c>
    </row>
    <row r="1868" spans="1:23" x14ac:dyDescent="0.4">
      <c r="A1868" t="s">
        <v>262</v>
      </c>
      <c r="B1868" t="s">
        <v>2159</v>
      </c>
      <c r="C1868" t="s">
        <v>2216</v>
      </c>
      <c r="D1868" t="s">
        <v>64</v>
      </c>
      <c r="E1868" t="s">
        <v>22</v>
      </c>
      <c r="F1868" t="s">
        <v>23</v>
      </c>
      <c r="G1868">
        <v>1</v>
      </c>
      <c r="H1868">
        <v>9791166300479</v>
      </c>
      <c r="I1868" t="s">
        <v>24</v>
      </c>
      <c r="J1868" t="s">
        <v>145</v>
      </c>
      <c r="K1868" t="s">
        <v>119</v>
      </c>
      <c r="L1868" t="s">
        <v>27</v>
      </c>
      <c r="M1868">
        <v>630</v>
      </c>
      <c r="N1868" t="s">
        <v>27</v>
      </c>
      <c r="O1868">
        <v>630</v>
      </c>
      <c r="P1868">
        <v>630</v>
      </c>
      <c r="Q1868" t="s">
        <v>30</v>
      </c>
      <c r="R1868" s="2">
        <v>0.7</v>
      </c>
      <c r="S1868">
        <v>441</v>
      </c>
      <c r="T1868" t="s">
        <v>27</v>
      </c>
      <c r="U1868">
        <v>441</v>
      </c>
      <c r="V1868" s="7" t="str">
        <f>IF(ISERROR(VLOOKUP(K1868,[1]작가별정산률!$R:$S,2,0)),"스토리위즈",VLOOKUP(K1868,[1]작가별정산률!$R:$S,2,0))</f>
        <v>스토리위즈</v>
      </c>
      <c r="W1868" s="7" t="str">
        <f>IF(V1868="스토리위즈",VLOOKUP(K1868,[1]작가별정산률!$A:$B,2,0),V1868)</f>
        <v>김광수</v>
      </c>
    </row>
    <row r="1869" spans="1:23" x14ac:dyDescent="0.4">
      <c r="A1869" t="s">
        <v>262</v>
      </c>
      <c r="B1869" t="s">
        <v>2159</v>
      </c>
      <c r="C1869" t="s">
        <v>2217</v>
      </c>
      <c r="D1869" t="s">
        <v>21</v>
      </c>
      <c r="E1869" t="s">
        <v>22</v>
      </c>
      <c r="F1869" t="s">
        <v>23</v>
      </c>
      <c r="G1869">
        <v>1</v>
      </c>
      <c r="H1869">
        <v>9791189084813</v>
      </c>
      <c r="I1869" t="s">
        <v>143</v>
      </c>
      <c r="J1869" t="s">
        <v>563</v>
      </c>
      <c r="K1869" t="s">
        <v>564</v>
      </c>
      <c r="L1869" t="s">
        <v>27</v>
      </c>
      <c r="M1869" s="3">
        <v>4000</v>
      </c>
      <c r="N1869" t="s">
        <v>27</v>
      </c>
      <c r="O1869" s="3">
        <v>4000</v>
      </c>
      <c r="P1869" s="3">
        <v>4000</v>
      </c>
      <c r="Q1869" t="s">
        <v>30</v>
      </c>
      <c r="R1869" s="2">
        <v>0.7</v>
      </c>
      <c r="S1869" s="3">
        <v>2800</v>
      </c>
      <c r="T1869" t="s">
        <v>27</v>
      </c>
      <c r="U1869" s="3">
        <v>2800</v>
      </c>
      <c r="V1869" s="7" t="str">
        <f>IF(ISERROR(VLOOKUP(K1869,[1]작가별정산률!$R:$S,2,0)),"스토리위즈",VLOOKUP(K1869,[1]작가별정산률!$R:$S,2,0))</f>
        <v>스토리위즈</v>
      </c>
      <c r="W1869" s="7" t="str">
        <f>IF(V1869="스토리위즈",VLOOKUP(K1869,[1]작가별정산률!$A:$B,2,0),V1869)</f>
        <v>셔틀</v>
      </c>
    </row>
    <row r="1870" spans="1:23" x14ac:dyDescent="0.4">
      <c r="A1870" t="s">
        <v>262</v>
      </c>
      <c r="B1870" t="s">
        <v>2159</v>
      </c>
      <c r="C1870" t="s">
        <v>2218</v>
      </c>
      <c r="D1870" t="s">
        <v>21</v>
      </c>
      <c r="E1870" t="s">
        <v>22</v>
      </c>
      <c r="F1870" t="s">
        <v>23</v>
      </c>
      <c r="G1870">
        <v>1</v>
      </c>
      <c r="H1870">
        <v>9791166300646</v>
      </c>
      <c r="I1870" t="s">
        <v>24</v>
      </c>
      <c r="J1870" t="s">
        <v>155</v>
      </c>
      <c r="K1870" t="s">
        <v>119</v>
      </c>
      <c r="L1870" t="s">
        <v>27</v>
      </c>
      <c r="M1870" s="3">
        <v>3200</v>
      </c>
      <c r="N1870" t="s">
        <v>27</v>
      </c>
      <c r="O1870" s="3">
        <v>3200</v>
      </c>
      <c r="P1870" s="3">
        <v>3200</v>
      </c>
      <c r="Q1870" t="s">
        <v>30</v>
      </c>
      <c r="R1870" s="2">
        <v>0.7</v>
      </c>
      <c r="S1870" s="3">
        <v>2240</v>
      </c>
      <c r="T1870" t="s">
        <v>27</v>
      </c>
      <c r="U1870" s="3">
        <v>2240</v>
      </c>
      <c r="V1870" s="7" t="str">
        <f>IF(ISERROR(VLOOKUP(K1870,[1]작가별정산률!$R:$S,2,0)),"스토리위즈",VLOOKUP(K1870,[1]작가별정산률!$R:$S,2,0))</f>
        <v>스토리위즈</v>
      </c>
      <c r="W1870" s="7" t="str">
        <f>IF(V1870="스토리위즈",VLOOKUP(K1870,[1]작가별정산률!$A:$B,2,0),V1870)</f>
        <v>김광수</v>
      </c>
    </row>
    <row r="1871" spans="1:23" x14ac:dyDescent="0.4">
      <c r="A1871" t="s">
        <v>262</v>
      </c>
      <c r="B1871" t="s">
        <v>2159</v>
      </c>
      <c r="C1871" t="s">
        <v>2219</v>
      </c>
      <c r="D1871" t="s">
        <v>21</v>
      </c>
      <c r="E1871" t="s">
        <v>22</v>
      </c>
      <c r="F1871" t="s">
        <v>23</v>
      </c>
      <c r="G1871">
        <v>1</v>
      </c>
      <c r="H1871">
        <v>9791189084813</v>
      </c>
      <c r="I1871" t="s">
        <v>143</v>
      </c>
      <c r="J1871" t="s">
        <v>563</v>
      </c>
      <c r="K1871" t="s">
        <v>564</v>
      </c>
      <c r="L1871" t="s">
        <v>27</v>
      </c>
      <c r="M1871" s="3">
        <v>4000</v>
      </c>
      <c r="N1871" t="s">
        <v>27</v>
      </c>
      <c r="O1871" s="3">
        <v>4000</v>
      </c>
      <c r="P1871" s="3">
        <v>4000</v>
      </c>
      <c r="Q1871" t="s">
        <v>30</v>
      </c>
      <c r="R1871" s="2">
        <v>0.7</v>
      </c>
      <c r="S1871" s="3">
        <v>2800</v>
      </c>
      <c r="T1871" t="s">
        <v>27</v>
      </c>
      <c r="U1871" s="3">
        <v>2800</v>
      </c>
      <c r="V1871" s="7" t="str">
        <f>IF(ISERROR(VLOOKUP(K1871,[1]작가별정산률!$R:$S,2,0)),"스토리위즈",VLOOKUP(K1871,[1]작가별정산률!$R:$S,2,0))</f>
        <v>스토리위즈</v>
      </c>
      <c r="W1871" s="7" t="str">
        <f>IF(V1871="스토리위즈",VLOOKUP(K1871,[1]작가별정산률!$A:$B,2,0),V1871)</f>
        <v>셔틀</v>
      </c>
    </row>
    <row r="1872" spans="1:23" x14ac:dyDescent="0.4">
      <c r="A1872" t="s">
        <v>262</v>
      </c>
      <c r="B1872" t="s">
        <v>2159</v>
      </c>
      <c r="C1872" t="s">
        <v>2220</v>
      </c>
      <c r="D1872" t="s">
        <v>64</v>
      </c>
      <c r="E1872" t="s">
        <v>22</v>
      </c>
      <c r="F1872" t="s">
        <v>23</v>
      </c>
      <c r="G1872">
        <v>1</v>
      </c>
      <c r="H1872">
        <v>9791159283093</v>
      </c>
      <c r="I1872" t="s">
        <v>24</v>
      </c>
      <c r="J1872" t="s">
        <v>73</v>
      </c>
      <c r="K1872" t="s">
        <v>37</v>
      </c>
      <c r="L1872" t="s">
        <v>27</v>
      </c>
      <c r="M1872">
        <v>900</v>
      </c>
      <c r="N1872" t="s">
        <v>27</v>
      </c>
      <c r="O1872">
        <v>900</v>
      </c>
      <c r="P1872">
        <v>900</v>
      </c>
      <c r="Q1872" t="s">
        <v>30</v>
      </c>
      <c r="R1872" s="2">
        <v>0.7</v>
      </c>
      <c r="S1872">
        <v>630</v>
      </c>
      <c r="T1872" t="s">
        <v>27</v>
      </c>
      <c r="U1872">
        <v>630</v>
      </c>
      <c r="V1872" s="7" t="str">
        <f>IF(ISERROR(VLOOKUP(K1872,[1]작가별정산률!$R:$S,2,0)),"스토리위즈",VLOOKUP(K1872,[1]작가별정산률!$R:$S,2,0))</f>
        <v>스토리위즈</v>
      </c>
      <c r="W1872" s="7" t="str">
        <f>IF(V1872="스토리위즈",VLOOKUP(K1872,[1]작가별정산률!$A:$B,2,0),V1872)</f>
        <v>권용찬</v>
      </c>
    </row>
    <row r="1873" spans="1:23" x14ac:dyDescent="0.4">
      <c r="A1873" t="s">
        <v>262</v>
      </c>
      <c r="B1873" t="s">
        <v>2159</v>
      </c>
      <c r="C1873" t="s">
        <v>2221</v>
      </c>
      <c r="D1873" t="s">
        <v>64</v>
      </c>
      <c r="E1873" t="s">
        <v>22</v>
      </c>
      <c r="F1873" t="s">
        <v>23</v>
      </c>
      <c r="G1873">
        <v>1</v>
      </c>
      <c r="H1873">
        <v>9791159283123</v>
      </c>
      <c r="I1873" t="s">
        <v>24</v>
      </c>
      <c r="J1873" t="s">
        <v>78</v>
      </c>
      <c r="K1873" t="s">
        <v>37</v>
      </c>
      <c r="L1873" t="s">
        <v>27</v>
      </c>
      <c r="M1873">
        <v>900</v>
      </c>
      <c r="N1873" t="s">
        <v>27</v>
      </c>
      <c r="O1873">
        <v>900</v>
      </c>
      <c r="P1873">
        <v>900</v>
      </c>
      <c r="Q1873" t="s">
        <v>30</v>
      </c>
      <c r="R1873" s="2">
        <v>0.7</v>
      </c>
      <c r="S1873">
        <v>630</v>
      </c>
      <c r="T1873" t="s">
        <v>27</v>
      </c>
      <c r="U1873">
        <v>630</v>
      </c>
      <c r="V1873" s="7" t="str">
        <f>IF(ISERROR(VLOOKUP(K1873,[1]작가별정산률!$R:$S,2,0)),"스토리위즈",VLOOKUP(K1873,[1]작가별정산률!$R:$S,2,0))</f>
        <v>스토리위즈</v>
      </c>
      <c r="W1873" s="7" t="str">
        <f>IF(V1873="스토리위즈",VLOOKUP(K1873,[1]작가별정산률!$A:$B,2,0),V1873)</f>
        <v>권용찬</v>
      </c>
    </row>
    <row r="1874" spans="1:23" x14ac:dyDescent="0.4">
      <c r="A1874" t="s">
        <v>262</v>
      </c>
      <c r="B1874" t="s">
        <v>2159</v>
      </c>
      <c r="C1874" t="s">
        <v>2222</v>
      </c>
      <c r="D1874" t="s">
        <v>64</v>
      </c>
      <c r="E1874" t="s">
        <v>22</v>
      </c>
      <c r="F1874" t="s">
        <v>23</v>
      </c>
      <c r="G1874">
        <v>1</v>
      </c>
      <c r="H1874">
        <v>9791166300202</v>
      </c>
      <c r="I1874" t="s">
        <v>24</v>
      </c>
      <c r="J1874" t="s">
        <v>129</v>
      </c>
      <c r="K1874" t="s">
        <v>119</v>
      </c>
      <c r="L1874" t="s">
        <v>27</v>
      </c>
      <c r="M1874">
        <v>630</v>
      </c>
      <c r="N1874" t="s">
        <v>27</v>
      </c>
      <c r="O1874">
        <v>630</v>
      </c>
      <c r="P1874">
        <v>630</v>
      </c>
      <c r="Q1874" t="s">
        <v>30</v>
      </c>
      <c r="R1874" s="2">
        <v>0.7</v>
      </c>
      <c r="S1874">
        <v>441</v>
      </c>
      <c r="T1874" t="s">
        <v>27</v>
      </c>
      <c r="U1874">
        <v>441</v>
      </c>
      <c r="V1874" s="7" t="str">
        <f>IF(ISERROR(VLOOKUP(K1874,[1]작가별정산률!$R:$S,2,0)),"스토리위즈",VLOOKUP(K1874,[1]작가별정산률!$R:$S,2,0))</f>
        <v>스토리위즈</v>
      </c>
      <c r="W1874" s="7" t="str">
        <f>IF(V1874="스토리위즈",VLOOKUP(K1874,[1]작가별정산률!$A:$B,2,0),V1874)</f>
        <v>김광수</v>
      </c>
    </row>
    <row r="1875" spans="1:23" x14ac:dyDescent="0.4">
      <c r="A1875" t="s">
        <v>262</v>
      </c>
      <c r="B1875" t="s">
        <v>2159</v>
      </c>
      <c r="C1875" t="s">
        <v>2223</v>
      </c>
      <c r="D1875" t="s">
        <v>64</v>
      </c>
      <c r="E1875" t="s">
        <v>22</v>
      </c>
      <c r="F1875" t="s">
        <v>23</v>
      </c>
      <c r="G1875">
        <v>1</v>
      </c>
      <c r="H1875">
        <v>9791159283260</v>
      </c>
      <c r="I1875" t="s">
        <v>24</v>
      </c>
      <c r="J1875" t="s">
        <v>69</v>
      </c>
      <c r="K1875" t="s">
        <v>37</v>
      </c>
      <c r="L1875" t="s">
        <v>27</v>
      </c>
      <c r="M1875">
        <v>630</v>
      </c>
      <c r="N1875" t="s">
        <v>27</v>
      </c>
      <c r="O1875">
        <v>630</v>
      </c>
      <c r="P1875">
        <v>630</v>
      </c>
      <c r="Q1875" t="s">
        <v>30</v>
      </c>
      <c r="R1875" s="2">
        <v>0.7</v>
      </c>
      <c r="S1875">
        <v>441</v>
      </c>
      <c r="T1875" t="s">
        <v>27</v>
      </c>
      <c r="U1875">
        <v>441</v>
      </c>
      <c r="V1875" s="7" t="str">
        <f>IF(ISERROR(VLOOKUP(K1875,[1]작가별정산률!$R:$S,2,0)),"스토리위즈",VLOOKUP(K1875,[1]작가별정산률!$R:$S,2,0))</f>
        <v>스토리위즈</v>
      </c>
      <c r="W1875" s="7" t="str">
        <f>IF(V1875="스토리위즈",VLOOKUP(K1875,[1]작가별정산률!$A:$B,2,0),V1875)</f>
        <v>권용찬</v>
      </c>
    </row>
    <row r="1876" spans="1:23" x14ac:dyDescent="0.4">
      <c r="A1876" t="s">
        <v>262</v>
      </c>
      <c r="B1876" t="s">
        <v>2159</v>
      </c>
      <c r="C1876" t="s">
        <v>2224</v>
      </c>
      <c r="D1876" t="s">
        <v>64</v>
      </c>
      <c r="E1876" t="s">
        <v>22</v>
      </c>
      <c r="F1876" t="s">
        <v>23</v>
      </c>
      <c r="G1876">
        <v>1</v>
      </c>
      <c r="H1876">
        <v>9791166061110</v>
      </c>
      <c r="I1876" t="s">
        <v>24</v>
      </c>
      <c r="J1876" t="s">
        <v>97</v>
      </c>
      <c r="K1876" t="s">
        <v>37</v>
      </c>
      <c r="L1876" t="s">
        <v>27</v>
      </c>
      <c r="M1876">
        <v>900</v>
      </c>
      <c r="N1876" t="s">
        <v>27</v>
      </c>
      <c r="O1876">
        <v>900</v>
      </c>
      <c r="P1876">
        <v>900</v>
      </c>
      <c r="Q1876" t="s">
        <v>30</v>
      </c>
      <c r="R1876" s="2">
        <v>0.7</v>
      </c>
      <c r="S1876">
        <v>630</v>
      </c>
      <c r="T1876" t="s">
        <v>27</v>
      </c>
      <c r="U1876">
        <v>630</v>
      </c>
      <c r="V1876" s="7" t="str">
        <f>IF(ISERROR(VLOOKUP(K1876,[1]작가별정산률!$R:$S,2,0)),"스토리위즈",VLOOKUP(K1876,[1]작가별정산률!$R:$S,2,0))</f>
        <v>스토리위즈</v>
      </c>
      <c r="W1876" s="7" t="str">
        <f>IF(V1876="스토리위즈",VLOOKUP(K1876,[1]작가별정산률!$A:$B,2,0),V1876)</f>
        <v>권용찬</v>
      </c>
    </row>
    <row r="1877" spans="1:23" x14ac:dyDescent="0.4">
      <c r="A1877" t="s">
        <v>262</v>
      </c>
      <c r="B1877" t="s">
        <v>2159</v>
      </c>
      <c r="C1877" t="s">
        <v>2225</v>
      </c>
      <c r="D1877" t="s">
        <v>64</v>
      </c>
      <c r="E1877" t="s">
        <v>22</v>
      </c>
      <c r="F1877" t="s">
        <v>23</v>
      </c>
      <c r="G1877">
        <v>1</v>
      </c>
      <c r="H1877">
        <v>9791159283109</v>
      </c>
      <c r="I1877" t="s">
        <v>24</v>
      </c>
      <c r="J1877" t="s">
        <v>75</v>
      </c>
      <c r="K1877" t="s">
        <v>37</v>
      </c>
      <c r="L1877" t="s">
        <v>27</v>
      </c>
      <c r="M1877">
        <v>900</v>
      </c>
      <c r="N1877" t="s">
        <v>27</v>
      </c>
      <c r="O1877">
        <v>900</v>
      </c>
      <c r="P1877">
        <v>900</v>
      </c>
      <c r="Q1877" t="s">
        <v>30</v>
      </c>
      <c r="R1877" s="2">
        <v>0.7</v>
      </c>
      <c r="S1877">
        <v>630</v>
      </c>
      <c r="T1877" t="s">
        <v>27</v>
      </c>
      <c r="U1877">
        <v>630</v>
      </c>
      <c r="V1877" s="7" t="str">
        <f>IF(ISERROR(VLOOKUP(K1877,[1]작가별정산률!$R:$S,2,0)),"스토리위즈",VLOOKUP(K1877,[1]작가별정산률!$R:$S,2,0))</f>
        <v>스토리위즈</v>
      </c>
      <c r="W1877" s="7" t="str">
        <f>IF(V1877="스토리위즈",VLOOKUP(K1877,[1]작가별정산률!$A:$B,2,0),V1877)</f>
        <v>권용찬</v>
      </c>
    </row>
    <row r="1878" spans="1:23" x14ac:dyDescent="0.4">
      <c r="A1878" t="s">
        <v>262</v>
      </c>
      <c r="B1878" t="s">
        <v>2159</v>
      </c>
      <c r="C1878" t="s">
        <v>2226</v>
      </c>
      <c r="D1878" t="s">
        <v>64</v>
      </c>
      <c r="E1878" t="s">
        <v>22</v>
      </c>
      <c r="F1878" t="s">
        <v>23</v>
      </c>
      <c r="G1878">
        <v>1</v>
      </c>
      <c r="H1878">
        <v>9791159283093</v>
      </c>
      <c r="I1878" t="s">
        <v>24</v>
      </c>
      <c r="J1878" t="s">
        <v>73</v>
      </c>
      <c r="K1878" t="s">
        <v>37</v>
      </c>
      <c r="L1878" t="s">
        <v>27</v>
      </c>
      <c r="M1878">
        <v>900</v>
      </c>
      <c r="N1878" t="s">
        <v>27</v>
      </c>
      <c r="O1878">
        <v>900</v>
      </c>
      <c r="P1878">
        <v>900</v>
      </c>
      <c r="Q1878" t="s">
        <v>30</v>
      </c>
      <c r="R1878" s="2">
        <v>0.7</v>
      </c>
      <c r="S1878">
        <v>630</v>
      </c>
      <c r="T1878" t="s">
        <v>27</v>
      </c>
      <c r="U1878">
        <v>630</v>
      </c>
      <c r="V1878" s="7" t="str">
        <f>IF(ISERROR(VLOOKUP(K1878,[1]작가별정산률!$R:$S,2,0)),"스토리위즈",VLOOKUP(K1878,[1]작가별정산률!$R:$S,2,0))</f>
        <v>스토리위즈</v>
      </c>
      <c r="W1878" s="7" t="str">
        <f>IF(V1878="스토리위즈",VLOOKUP(K1878,[1]작가별정산률!$A:$B,2,0),V1878)</f>
        <v>권용찬</v>
      </c>
    </row>
    <row r="1879" spans="1:23" x14ac:dyDescent="0.4">
      <c r="A1879" t="s">
        <v>262</v>
      </c>
      <c r="B1879" t="s">
        <v>2159</v>
      </c>
      <c r="C1879" t="s">
        <v>2227</v>
      </c>
      <c r="D1879" t="s">
        <v>64</v>
      </c>
      <c r="E1879" t="s">
        <v>22</v>
      </c>
      <c r="F1879" t="s">
        <v>23</v>
      </c>
      <c r="G1879">
        <v>1</v>
      </c>
      <c r="H1879">
        <v>9791159286575</v>
      </c>
      <c r="I1879" t="s">
        <v>24</v>
      </c>
      <c r="J1879" t="s">
        <v>237</v>
      </c>
      <c r="K1879" t="s">
        <v>140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  <c r="V1879" s="7" t="str">
        <f>IF(ISERROR(VLOOKUP(K1879,[1]작가별정산률!$R:$S,2,0)),"스토리위즈",VLOOKUP(K1879,[1]작가별정산률!$R:$S,2,0))</f>
        <v>스토리위즈</v>
      </c>
      <c r="W1879" s="7" t="str">
        <f>IF(V1879="스토리위즈",VLOOKUP(K1879,[1]작가별정산률!$A:$B,2,0),V1879)</f>
        <v>이동열</v>
      </c>
    </row>
    <row r="1880" spans="1:23" x14ac:dyDescent="0.4">
      <c r="A1880" t="s">
        <v>262</v>
      </c>
      <c r="B1880" t="s">
        <v>2159</v>
      </c>
      <c r="C1880" t="s">
        <v>2228</v>
      </c>
      <c r="D1880" t="s">
        <v>64</v>
      </c>
      <c r="E1880" t="s">
        <v>22</v>
      </c>
      <c r="F1880" t="s">
        <v>23</v>
      </c>
      <c r="G1880">
        <v>1</v>
      </c>
      <c r="H1880">
        <v>9791166300226</v>
      </c>
      <c r="I1880" t="s">
        <v>24</v>
      </c>
      <c r="J1880" t="s">
        <v>131</v>
      </c>
      <c r="K1880" t="s">
        <v>119</v>
      </c>
      <c r="L1880" t="s">
        <v>27</v>
      </c>
      <c r="M1880">
        <v>630</v>
      </c>
      <c r="N1880" t="s">
        <v>27</v>
      </c>
      <c r="O1880">
        <v>630</v>
      </c>
      <c r="P1880">
        <v>630</v>
      </c>
      <c r="Q1880" t="s">
        <v>30</v>
      </c>
      <c r="R1880" s="2">
        <v>0.7</v>
      </c>
      <c r="S1880">
        <v>441</v>
      </c>
      <c r="T1880" t="s">
        <v>27</v>
      </c>
      <c r="U1880">
        <v>441</v>
      </c>
      <c r="V1880" s="7" t="str">
        <f>IF(ISERROR(VLOOKUP(K1880,[1]작가별정산률!$R:$S,2,0)),"스토리위즈",VLOOKUP(K1880,[1]작가별정산률!$R:$S,2,0))</f>
        <v>스토리위즈</v>
      </c>
      <c r="W1880" s="7" t="str">
        <f>IF(V1880="스토리위즈",VLOOKUP(K1880,[1]작가별정산률!$A:$B,2,0),V1880)</f>
        <v>김광수</v>
      </c>
    </row>
    <row r="1881" spans="1:23" x14ac:dyDescent="0.4">
      <c r="A1881" t="s">
        <v>262</v>
      </c>
      <c r="B1881" t="s">
        <v>2159</v>
      </c>
      <c r="C1881" t="s">
        <v>2229</v>
      </c>
      <c r="D1881" t="s">
        <v>64</v>
      </c>
      <c r="E1881" t="s">
        <v>22</v>
      </c>
      <c r="F1881" t="s">
        <v>23</v>
      </c>
      <c r="G1881">
        <v>1</v>
      </c>
      <c r="H1881">
        <v>9791166064166</v>
      </c>
      <c r="I1881" t="s">
        <v>24</v>
      </c>
      <c r="J1881" t="s">
        <v>87</v>
      </c>
      <c r="K1881" t="s">
        <v>37</v>
      </c>
      <c r="L1881" t="s">
        <v>27</v>
      </c>
      <c r="M1881">
        <v>900</v>
      </c>
      <c r="N1881" t="s">
        <v>27</v>
      </c>
      <c r="O1881">
        <v>900</v>
      </c>
      <c r="P1881">
        <v>900</v>
      </c>
      <c r="Q1881" t="s">
        <v>30</v>
      </c>
      <c r="R1881" s="2">
        <v>0.7</v>
      </c>
      <c r="S1881">
        <v>630</v>
      </c>
      <c r="T1881" t="s">
        <v>27</v>
      </c>
      <c r="U1881">
        <v>630</v>
      </c>
      <c r="V1881" s="7" t="str">
        <f>IF(ISERROR(VLOOKUP(K1881,[1]작가별정산률!$R:$S,2,0)),"스토리위즈",VLOOKUP(K1881,[1]작가별정산률!$R:$S,2,0))</f>
        <v>스토리위즈</v>
      </c>
      <c r="W1881" s="7" t="str">
        <f>IF(V1881="스토리위즈",VLOOKUP(K1881,[1]작가별정산률!$A:$B,2,0),V1881)</f>
        <v>권용찬</v>
      </c>
    </row>
    <row r="1882" spans="1:23" x14ac:dyDescent="0.4">
      <c r="A1882" t="s">
        <v>262</v>
      </c>
      <c r="B1882" t="s">
        <v>2159</v>
      </c>
      <c r="C1882" t="s">
        <v>2230</v>
      </c>
      <c r="D1882" t="s">
        <v>64</v>
      </c>
      <c r="E1882" t="s">
        <v>22</v>
      </c>
      <c r="F1882" t="s">
        <v>23</v>
      </c>
      <c r="G1882">
        <v>1</v>
      </c>
      <c r="H1882">
        <v>9791166300219</v>
      </c>
      <c r="I1882" t="s">
        <v>24</v>
      </c>
      <c r="J1882" t="s">
        <v>130</v>
      </c>
      <c r="K1882" t="s">
        <v>119</v>
      </c>
      <c r="L1882" t="s">
        <v>27</v>
      </c>
      <c r="M1882">
        <v>630</v>
      </c>
      <c r="N1882" t="s">
        <v>27</v>
      </c>
      <c r="O1882">
        <v>630</v>
      </c>
      <c r="P1882">
        <v>630</v>
      </c>
      <c r="Q1882" t="s">
        <v>30</v>
      </c>
      <c r="R1882" s="2">
        <v>0.7</v>
      </c>
      <c r="S1882">
        <v>441</v>
      </c>
      <c r="T1882" t="s">
        <v>27</v>
      </c>
      <c r="U1882">
        <v>441</v>
      </c>
      <c r="V1882" s="7" t="str">
        <f>IF(ISERROR(VLOOKUP(K1882,[1]작가별정산률!$R:$S,2,0)),"스토리위즈",VLOOKUP(K1882,[1]작가별정산률!$R:$S,2,0))</f>
        <v>스토리위즈</v>
      </c>
      <c r="W1882" s="7" t="str">
        <f>IF(V1882="스토리위즈",VLOOKUP(K1882,[1]작가별정산률!$A:$B,2,0),V1882)</f>
        <v>김광수</v>
      </c>
    </row>
    <row r="1883" spans="1:23" x14ac:dyDescent="0.4">
      <c r="A1883" t="s">
        <v>262</v>
      </c>
      <c r="B1883" t="s">
        <v>2159</v>
      </c>
      <c r="C1883" t="s">
        <v>2231</v>
      </c>
      <c r="D1883" t="s">
        <v>64</v>
      </c>
      <c r="E1883" t="s">
        <v>22</v>
      </c>
      <c r="F1883" t="s">
        <v>23</v>
      </c>
      <c r="G1883">
        <v>1</v>
      </c>
      <c r="H1883">
        <v>9791159286582</v>
      </c>
      <c r="I1883" t="s">
        <v>24</v>
      </c>
      <c r="J1883" t="s">
        <v>1837</v>
      </c>
      <c r="K1883" t="s">
        <v>140</v>
      </c>
      <c r="L1883" t="s">
        <v>27</v>
      </c>
      <c r="M1883">
        <v>630</v>
      </c>
      <c r="N1883" t="s">
        <v>27</v>
      </c>
      <c r="O1883">
        <v>630</v>
      </c>
      <c r="P1883">
        <v>630</v>
      </c>
      <c r="Q1883" t="s">
        <v>30</v>
      </c>
      <c r="R1883" s="2">
        <v>0.7</v>
      </c>
      <c r="S1883">
        <v>441</v>
      </c>
      <c r="T1883" t="s">
        <v>27</v>
      </c>
      <c r="U1883">
        <v>441</v>
      </c>
      <c r="V1883" s="7" t="str">
        <f>IF(ISERROR(VLOOKUP(K1883,[1]작가별정산률!$R:$S,2,0)),"스토리위즈",VLOOKUP(K1883,[1]작가별정산률!$R:$S,2,0))</f>
        <v>스토리위즈</v>
      </c>
      <c r="W1883" s="7" t="str">
        <f>IF(V1883="스토리위즈",VLOOKUP(K1883,[1]작가별정산률!$A:$B,2,0),V1883)</f>
        <v>이동열</v>
      </c>
    </row>
    <row r="1884" spans="1:23" x14ac:dyDescent="0.4">
      <c r="A1884" t="s">
        <v>262</v>
      </c>
      <c r="B1884" t="s">
        <v>2159</v>
      </c>
      <c r="C1884" t="s">
        <v>2232</v>
      </c>
      <c r="D1884" t="s">
        <v>21</v>
      </c>
      <c r="E1884" t="s">
        <v>22</v>
      </c>
      <c r="F1884" t="s">
        <v>23</v>
      </c>
      <c r="G1884">
        <v>1</v>
      </c>
      <c r="H1884">
        <v>9791191562125</v>
      </c>
      <c r="I1884" t="s">
        <v>143</v>
      </c>
      <c r="J1884" t="s">
        <v>212</v>
      </c>
      <c r="K1884" t="s">
        <v>213</v>
      </c>
      <c r="L1884" t="s">
        <v>27</v>
      </c>
      <c r="M1884" s="3">
        <v>2500</v>
      </c>
      <c r="N1884" t="s">
        <v>27</v>
      </c>
      <c r="O1884" s="3">
        <v>2500</v>
      </c>
      <c r="P1884" s="3">
        <v>2500</v>
      </c>
      <c r="Q1884" t="s">
        <v>30</v>
      </c>
      <c r="R1884" s="2">
        <v>0.7</v>
      </c>
      <c r="S1884" s="3">
        <v>1750</v>
      </c>
      <c r="T1884" t="s">
        <v>27</v>
      </c>
      <c r="U1884" s="3">
        <v>1750</v>
      </c>
      <c r="V1884" s="7" t="str">
        <f>IF(ISERROR(VLOOKUP(K1884,[1]작가별정산률!$R:$S,2,0)),"스토리위즈",VLOOKUP(K1884,[1]작가별정산률!$R:$S,2,0))</f>
        <v>밀리의 서재</v>
      </c>
      <c r="W1884" s="7" t="str">
        <f>IF(V1884="스토리위즈",VLOOKUP(K1884,[1]작가별정산률!$A:$B,2,0),V1884)</f>
        <v>밀리의 서재</v>
      </c>
    </row>
    <row r="1885" spans="1:23" x14ac:dyDescent="0.4">
      <c r="A1885" t="s">
        <v>262</v>
      </c>
      <c r="B1885" t="s">
        <v>2159</v>
      </c>
      <c r="C1885" t="s">
        <v>2233</v>
      </c>
      <c r="D1885" t="s">
        <v>64</v>
      </c>
      <c r="E1885" t="s">
        <v>22</v>
      </c>
      <c r="F1885" t="s">
        <v>23</v>
      </c>
      <c r="G1885">
        <v>1</v>
      </c>
      <c r="H1885">
        <v>9791166061103</v>
      </c>
      <c r="I1885" t="s">
        <v>24</v>
      </c>
      <c r="J1885" t="s">
        <v>96</v>
      </c>
      <c r="K1885" t="s">
        <v>37</v>
      </c>
      <c r="L1885" t="s">
        <v>27</v>
      </c>
      <c r="M1885">
        <v>900</v>
      </c>
      <c r="N1885" t="s">
        <v>27</v>
      </c>
      <c r="O1885">
        <v>900</v>
      </c>
      <c r="P1885">
        <v>900</v>
      </c>
      <c r="Q1885" t="s">
        <v>30</v>
      </c>
      <c r="R1885" s="2">
        <v>0.7</v>
      </c>
      <c r="S1885">
        <v>630</v>
      </c>
      <c r="T1885" t="s">
        <v>27</v>
      </c>
      <c r="U1885">
        <v>630</v>
      </c>
      <c r="V1885" s="7" t="str">
        <f>IF(ISERROR(VLOOKUP(K1885,[1]작가별정산률!$R:$S,2,0)),"스토리위즈",VLOOKUP(K1885,[1]작가별정산률!$R:$S,2,0))</f>
        <v>스토리위즈</v>
      </c>
      <c r="W1885" s="7" t="str">
        <f>IF(V1885="스토리위즈",VLOOKUP(K1885,[1]작가별정산률!$A:$B,2,0),V1885)</f>
        <v>권용찬</v>
      </c>
    </row>
    <row r="1886" spans="1:23" x14ac:dyDescent="0.4">
      <c r="A1886" t="s">
        <v>262</v>
      </c>
      <c r="B1886" t="s">
        <v>2159</v>
      </c>
      <c r="C1886" t="s">
        <v>2234</v>
      </c>
      <c r="D1886" t="s">
        <v>64</v>
      </c>
      <c r="E1886" t="s">
        <v>22</v>
      </c>
      <c r="F1886" t="s">
        <v>23</v>
      </c>
      <c r="G1886">
        <v>1</v>
      </c>
      <c r="H1886">
        <v>9791159283116</v>
      </c>
      <c r="I1886" t="s">
        <v>24</v>
      </c>
      <c r="J1886" t="s">
        <v>76</v>
      </c>
      <c r="K1886" t="s">
        <v>37</v>
      </c>
      <c r="L1886" t="s">
        <v>27</v>
      </c>
      <c r="M1886">
        <v>900</v>
      </c>
      <c r="N1886" t="s">
        <v>27</v>
      </c>
      <c r="O1886">
        <v>900</v>
      </c>
      <c r="P1886">
        <v>900</v>
      </c>
      <c r="Q1886" t="s">
        <v>30</v>
      </c>
      <c r="R1886" s="2">
        <v>0.7</v>
      </c>
      <c r="S1886">
        <v>630</v>
      </c>
      <c r="T1886" t="s">
        <v>27</v>
      </c>
      <c r="U1886">
        <v>630</v>
      </c>
      <c r="V1886" s="7" t="str">
        <f>IF(ISERROR(VLOOKUP(K1886,[1]작가별정산률!$R:$S,2,0)),"스토리위즈",VLOOKUP(K1886,[1]작가별정산률!$R:$S,2,0))</f>
        <v>스토리위즈</v>
      </c>
      <c r="W1886" s="7" t="str">
        <f>IF(V1886="스토리위즈",VLOOKUP(K1886,[1]작가별정산률!$A:$B,2,0),V1886)</f>
        <v>권용찬</v>
      </c>
    </row>
    <row r="1887" spans="1:23" x14ac:dyDescent="0.4">
      <c r="A1887" t="s">
        <v>262</v>
      </c>
      <c r="B1887" t="s">
        <v>2159</v>
      </c>
      <c r="C1887" t="s">
        <v>2235</v>
      </c>
      <c r="D1887" t="s">
        <v>64</v>
      </c>
      <c r="E1887" t="s">
        <v>22</v>
      </c>
      <c r="F1887" t="s">
        <v>23</v>
      </c>
      <c r="G1887">
        <v>1</v>
      </c>
      <c r="H1887">
        <v>9791166069772</v>
      </c>
      <c r="I1887" t="s">
        <v>24</v>
      </c>
      <c r="J1887" t="s">
        <v>1441</v>
      </c>
      <c r="K1887" t="s">
        <v>1442</v>
      </c>
      <c r="L1887" t="s">
        <v>27</v>
      </c>
      <c r="M1887">
        <v>630</v>
      </c>
      <c r="N1887" t="s">
        <v>27</v>
      </c>
      <c r="O1887">
        <v>630</v>
      </c>
      <c r="P1887">
        <v>630</v>
      </c>
      <c r="Q1887" t="s">
        <v>30</v>
      </c>
      <c r="R1887" s="2">
        <v>0.7</v>
      </c>
      <c r="S1887">
        <v>441</v>
      </c>
      <c r="T1887" t="s">
        <v>27</v>
      </c>
      <c r="U1887">
        <v>441</v>
      </c>
      <c r="V1887" s="7" t="str">
        <f>IF(ISERROR(VLOOKUP(K1887,[1]작가별정산률!$R:$S,2,0)),"스토리위즈",VLOOKUP(K1887,[1]작가별정산률!$R:$S,2,0))</f>
        <v>스토리위즈</v>
      </c>
      <c r="W1887" s="7" t="str">
        <f>IF(V1887="스토리위즈",VLOOKUP(K1887,[1]작가별정산률!$A:$B,2,0),V1887)</f>
        <v>청빙</v>
      </c>
    </row>
    <row r="1888" spans="1:23" x14ac:dyDescent="0.4">
      <c r="A1888" t="s">
        <v>262</v>
      </c>
      <c r="B1888" t="s">
        <v>2236</v>
      </c>
      <c r="C1888" t="s">
        <v>2237</v>
      </c>
      <c r="D1888" t="s">
        <v>64</v>
      </c>
      <c r="E1888" t="s">
        <v>22</v>
      </c>
      <c r="F1888" t="s">
        <v>23</v>
      </c>
      <c r="G1888">
        <v>1</v>
      </c>
      <c r="H1888">
        <v>9791166300660</v>
      </c>
      <c r="I1888" t="s">
        <v>24</v>
      </c>
      <c r="J1888" t="s">
        <v>156</v>
      </c>
      <c r="K1888" t="s">
        <v>119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  <c r="V1888" s="7" t="str">
        <f>IF(ISERROR(VLOOKUP(K1888,[1]작가별정산률!$R:$S,2,0)),"스토리위즈",VLOOKUP(K1888,[1]작가별정산률!$R:$S,2,0))</f>
        <v>스토리위즈</v>
      </c>
      <c r="W1888" s="7" t="str">
        <f>IF(V1888="스토리위즈",VLOOKUP(K1888,[1]작가별정산률!$A:$B,2,0),V1888)</f>
        <v>김광수</v>
      </c>
    </row>
    <row r="1889" spans="1:23" x14ac:dyDescent="0.4">
      <c r="A1889" t="s">
        <v>262</v>
      </c>
      <c r="B1889" t="s">
        <v>2236</v>
      </c>
      <c r="C1889" t="s">
        <v>2238</v>
      </c>
      <c r="D1889" t="s">
        <v>64</v>
      </c>
      <c r="E1889" t="s">
        <v>22</v>
      </c>
      <c r="F1889" t="s">
        <v>23</v>
      </c>
      <c r="G1889">
        <v>1</v>
      </c>
      <c r="H1889">
        <v>9791159286599</v>
      </c>
      <c r="I1889" t="s">
        <v>24</v>
      </c>
      <c r="J1889" t="s">
        <v>1843</v>
      </c>
      <c r="K1889" t="s">
        <v>140</v>
      </c>
      <c r="L1889" t="s">
        <v>27</v>
      </c>
      <c r="M1889">
        <v>630</v>
      </c>
      <c r="N1889" t="s">
        <v>27</v>
      </c>
      <c r="O1889">
        <v>630</v>
      </c>
      <c r="P1889">
        <v>630</v>
      </c>
      <c r="Q1889" t="s">
        <v>30</v>
      </c>
      <c r="R1889" s="2">
        <v>0.7</v>
      </c>
      <c r="S1889">
        <v>441</v>
      </c>
      <c r="T1889" t="s">
        <v>27</v>
      </c>
      <c r="U1889">
        <v>441</v>
      </c>
      <c r="V1889" s="7" t="str">
        <f>IF(ISERROR(VLOOKUP(K1889,[1]작가별정산률!$R:$S,2,0)),"스토리위즈",VLOOKUP(K1889,[1]작가별정산률!$R:$S,2,0))</f>
        <v>스토리위즈</v>
      </c>
      <c r="W1889" s="7" t="str">
        <f>IF(V1889="스토리위즈",VLOOKUP(K1889,[1]작가별정산률!$A:$B,2,0),V1889)</f>
        <v>이동열</v>
      </c>
    </row>
    <row r="1890" spans="1:23" x14ac:dyDescent="0.4">
      <c r="A1890" t="s">
        <v>262</v>
      </c>
      <c r="B1890" t="s">
        <v>2236</v>
      </c>
      <c r="C1890" t="s">
        <v>2239</v>
      </c>
      <c r="D1890" t="s">
        <v>64</v>
      </c>
      <c r="E1890" t="s">
        <v>22</v>
      </c>
      <c r="F1890" t="s">
        <v>23</v>
      </c>
      <c r="G1890">
        <v>1</v>
      </c>
      <c r="H1890">
        <v>9791159282225</v>
      </c>
      <c r="I1890" t="s">
        <v>24</v>
      </c>
      <c r="J1890" t="s">
        <v>108</v>
      </c>
      <c r="K1890" t="s">
        <v>37</v>
      </c>
      <c r="L1890" t="s">
        <v>27</v>
      </c>
      <c r="M1890">
        <v>900</v>
      </c>
      <c r="N1890" t="s">
        <v>27</v>
      </c>
      <c r="O1890">
        <v>900</v>
      </c>
      <c r="P1890">
        <v>900</v>
      </c>
      <c r="Q1890" t="s">
        <v>30</v>
      </c>
      <c r="R1890" s="2">
        <v>0.7</v>
      </c>
      <c r="S1890">
        <v>630</v>
      </c>
      <c r="T1890" t="s">
        <v>27</v>
      </c>
      <c r="U1890">
        <v>630</v>
      </c>
      <c r="V1890" s="7" t="str">
        <f>IF(ISERROR(VLOOKUP(K1890,[1]작가별정산률!$R:$S,2,0)),"스토리위즈",VLOOKUP(K1890,[1]작가별정산률!$R:$S,2,0))</f>
        <v>스토리위즈</v>
      </c>
      <c r="W1890" s="7" t="str">
        <f>IF(V1890="스토리위즈",VLOOKUP(K1890,[1]작가별정산률!$A:$B,2,0),V1890)</f>
        <v>권용찬</v>
      </c>
    </row>
    <row r="1891" spans="1:23" x14ac:dyDescent="0.4">
      <c r="A1891" t="s">
        <v>262</v>
      </c>
      <c r="B1891" t="s">
        <v>2236</v>
      </c>
      <c r="C1891" t="s">
        <v>2240</v>
      </c>
      <c r="D1891" t="s">
        <v>64</v>
      </c>
      <c r="E1891" t="s">
        <v>22</v>
      </c>
      <c r="F1891" t="s">
        <v>23</v>
      </c>
      <c r="G1891">
        <v>1</v>
      </c>
      <c r="H1891">
        <v>9791166064098</v>
      </c>
      <c r="I1891" t="s">
        <v>24</v>
      </c>
      <c r="J1891" t="s">
        <v>92</v>
      </c>
      <c r="K1891" t="s">
        <v>37</v>
      </c>
      <c r="L1891" t="s">
        <v>27</v>
      </c>
      <c r="M1891">
        <v>900</v>
      </c>
      <c r="N1891" t="s">
        <v>27</v>
      </c>
      <c r="O1891">
        <v>900</v>
      </c>
      <c r="P1891">
        <v>900</v>
      </c>
      <c r="Q1891" t="s">
        <v>30</v>
      </c>
      <c r="R1891" s="2">
        <v>0.7</v>
      </c>
      <c r="S1891">
        <v>630</v>
      </c>
      <c r="T1891" t="s">
        <v>27</v>
      </c>
      <c r="U1891">
        <v>630</v>
      </c>
      <c r="V1891" s="7" t="str">
        <f>IF(ISERROR(VLOOKUP(K1891,[1]작가별정산률!$R:$S,2,0)),"스토리위즈",VLOOKUP(K1891,[1]작가별정산률!$R:$S,2,0))</f>
        <v>스토리위즈</v>
      </c>
      <c r="W1891" s="7" t="str">
        <f>IF(V1891="스토리위즈",VLOOKUP(K1891,[1]작가별정산률!$A:$B,2,0),V1891)</f>
        <v>권용찬</v>
      </c>
    </row>
    <row r="1892" spans="1:23" x14ac:dyDescent="0.4">
      <c r="A1892" t="s">
        <v>262</v>
      </c>
      <c r="B1892" t="s">
        <v>2236</v>
      </c>
      <c r="C1892" t="s">
        <v>2241</v>
      </c>
      <c r="D1892" t="s">
        <v>21</v>
      </c>
      <c r="E1892" t="s">
        <v>22</v>
      </c>
      <c r="F1892" t="s">
        <v>23</v>
      </c>
      <c r="G1892">
        <v>1</v>
      </c>
      <c r="H1892">
        <v>9791191562248</v>
      </c>
      <c r="I1892" t="s">
        <v>143</v>
      </c>
      <c r="J1892" t="s">
        <v>231</v>
      </c>
      <c r="K1892" t="s">
        <v>232</v>
      </c>
      <c r="L1892" t="s">
        <v>27</v>
      </c>
      <c r="M1892" s="3">
        <v>2000</v>
      </c>
      <c r="N1892" t="s">
        <v>27</v>
      </c>
      <c r="O1892" s="3">
        <v>2000</v>
      </c>
      <c r="P1892" s="3">
        <v>2000</v>
      </c>
      <c r="Q1892" t="s">
        <v>30</v>
      </c>
      <c r="R1892" s="2">
        <v>0.7</v>
      </c>
      <c r="S1892" s="3">
        <v>1400</v>
      </c>
      <c r="T1892" t="s">
        <v>27</v>
      </c>
      <c r="U1892" s="3">
        <v>1400</v>
      </c>
      <c r="V1892" s="7" t="str">
        <f>IF(ISERROR(VLOOKUP(K1892,[1]작가별정산률!$R:$S,2,0)),"스토리위즈",VLOOKUP(K1892,[1]작가별정산률!$R:$S,2,0))</f>
        <v>밀리의 서재</v>
      </c>
      <c r="W1892" s="7" t="str">
        <f>IF(V1892="스토리위즈",VLOOKUP(K1892,[1]작가별정산률!$A:$B,2,0),V1892)</f>
        <v>밀리의 서재</v>
      </c>
    </row>
    <row r="1893" spans="1:23" x14ac:dyDescent="0.4">
      <c r="A1893" t="s">
        <v>262</v>
      </c>
      <c r="B1893" t="s">
        <v>2236</v>
      </c>
      <c r="C1893" t="s">
        <v>2242</v>
      </c>
      <c r="D1893" t="s">
        <v>64</v>
      </c>
      <c r="E1893" t="s">
        <v>22</v>
      </c>
      <c r="F1893" t="s">
        <v>23</v>
      </c>
      <c r="G1893">
        <v>1</v>
      </c>
      <c r="H1893">
        <v>9791159284984</v>
      </c>
      <c r="I1893" t="s">
        <v>24</v>
      </c>
      <c r="J1893" t="s">
        <v>50</v>
      </c>
      <c r="K1893" t="s">
        <v>47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  <c r="V1893" s="7" t="str">
        <f>IF(ISERROR(VLOOKUP(K1893,[1]작가별정산률!$R:$S,2,0)),"스토리위즈",VLOOKUP(K1893,[1]작가별정산률!$R:$S,2,0))</f>
        <v>스토리위즈</v>
      </c>
      <c r="W1893" s="7" t="str">
        <f>IF(V1893="스토리위즈",VLOOKUP(K1893,[1]작가별정산률!$A:$B,2,0),V1893)</f>
        <v>전혁</v>
      </c>
    </row>
    <row r="1894" spans="1:23" x14ac:dyDescent="0.4">
      <c r="A1894" t="s">
        <v>262</v>
      </c>
      <c r="B1894" t="s">
        <v>2236</v>
      </c>
      <c r="C1894" t="s">
        <v>2243</v>
      </c>
      <c r="D1894" t="s">
        <v>64</v>
      </c>
      <c r="E1894" t="s">
        <v>22</v>
      </c>
      <c r="F1894" t="s">
        <v>23</v>
      </c>
      <c r="G1894">
        <v>1</v>
      </c>
      <c r="H1894">
        <v>9791159283123</v>
      </c>
      <c r="I1894" t="s">
        <v>24</v>
      </c>
      <c r="J1894" t="s">
        <v>78</v>
      </c>
      <c r="K1894" t="s">
        <v>37</v>
      </c>
      <c r="L1894" t="s">
        <v>27</v>
      </c>
      <c r="M1894">
        <v>900</v>
      </c>
      <c r="N1894" t="s">
        <v>27</v>
      </c>
      <c r="O1894">
        <v>900</v>
      </c>
      <c r="P1894">
        <v>900</v>
      </c>
      <c r="Q1894" t="s">
        <v>30</v>
      </c>
      <c r="R1894" s="2">
        <v>0.7</v>
      </c>
      <c r="S1894">
        <v>630</v>
      </c>
      <c r="T1894" t="s">
        <v>27</v>
      </c>
      <c r="U1894">
        <v>630</v>
      </c>
      <c r="V1894" s="7" t="str">
        <f>IF(ISERROR(VLOOKUP(K1894,[1]작가별정산률!$R:$S,2,0)),"스토리위즈",VLOOKUP(K1894,[1]작가별정산률!$R:$S,2,0))</f>
        <v>스토리위즈</v>
      </c>
      <c r="W1894" s="7" t="str">
        <f>IF(V1894="스토리위즈",VLOOKUP(K1894,[1]작가별정산률!$A:$B,2,0),V1894)</f>
        <v>권용찬</v>
      </c>
    </row>
    <row r="1895" spans="1:23" x14ac:dyDescent="0.4">
      <c r="A1895" t="s">
        <v>262</v>
      </c>
      <c r="B1895" t="s">
        <v>2236</v>
      </c>
      <c r="C1895" t="s">
        <v>2244</v>
      </c>
      <c r="D1895" t="s">
        <v>64</v>
      </c>
      <c r="E1895" t="s">
        <v>22</v>
      </c>
      <c r="F1895" t="s">
        <v>23</v>
      </c>
      <c r="G1895">
        <v>1</v>
      </c>
      <c r="H1895">
        <v>9791159283086</v>
      </c>
      <c r="I1895" t="s">
        <v>24</v>
      </c>
      <c r="J1895" t="s">
        <v>72</v>
      </c>
      <c r="K1895" t="s">
        <v>37</v>
      </c>
      <c r="L1895" t="s">
        <v>27</v>
      </c>
      <c r="M1895">
        <v>900</v>
      </c>
      <c r="N1895" t="s">
        <v>27</v>
      </c>
      <c r="O1895">
        <v>900</v>
      </c>
      <c r="P1895">
        <v>900</v>
      </c>
      <c r="Q1895" t="s">
        <v>30</v>
      </c>
      <c r="R1895" s="2">
        <v>0.7</v>
      </c>
      <c r="S1895">
        <v>630</v>
      </c>
      <c r="T1895" t="s">
        <v>27</v>
      </c>
      <c r="U1895">
        <v>630</v>
      </c>
      <c r="V1895" s="7" t="str">
        <f>IF(ISERROR(VLOOKUP(K1895,[1]작가별정산률!$R:$S,2,0)),"스토리위즈",VLOOKUP(K1895,[1]작가별정산률!$R:$S,2,0))</f>
        <v>스토리위즈</v>
      </c>
      <c r="W1895" s="7" t="str">
        <f>IF(V1895="스토리위즈",VLOOKUP(K1895,[1]작가별정산률!$A:$B,2,0),V1895)</f>
        <v>권용찬</v>
      </c>
    </row>
    <row r="1896" spans="1:23" x14ac:dyDescent="0.4">
      <c r="A1896" t="s">
        <v>262</v>
      </c>
      <c r="B1896" t="s">
        <v>2236</v>
      </c>
      <c r="C1896" t="s">
        <v>2245</v>
      </c>
      <c r="D1896" t="s">
        <v>64</v>
      </c>
      <c r="E1896" t="s">
        <v>22</v>
      </c>
      <c r="F1896" t="s">
        <v>23</v>
      </c>
      <c r="G1896">
        <v>1</v>
      </c>
      <c r="H1896">
        <v>9791166300226</v>
      </c>
      <c r="I1896" t="s">
        <v>24</v>
      </c>
      <c r="J1896" t="s">
        <v>131</v>
      </c>
      <c r="K1896" t="s">
        <v>119</v>
      </c>
      <c r="L1896" t="s">
        <v>27</v>
      </c>
      <c r="M1896">
        <v>630</v>
      </c>
      <c r="N1896" t="s">
        <v>27</v>
      </c>
      <c r="O1896">
        <v>630</v>
      </c>
      <c r="P1896">
        <v>630</v>
      </c>
      <c r="Q1896" t="s">
        <v>30</v>
      </c>
      <c r="R1896" s="2">
        <v>0.7</v>
      </c>
      <c r="S1896">
        <v>441</v>
      </c>
      <c r="T1896" t="s">
        <v>27</v>
      </c>
      <c r="U1896">
        <v>441</v>
      </c>
      <c r="V1896" s="7" t="str">
        <f>IF(ISERROR(VLOOKUP(K1896,[1]작가별정산률!$R:$S,2,0)),"스토리위즈",VLOOKUP(K1896,[1]작가별정산률!$R:$S,2,0))</f>
        <v>스토리위즈</v>
      </c>
      <c r="W1896" s="7" t="str">
        <f>IF(V1896="스토리위즈",VLOOKUP(K1896,[1]작가별정산률!$A:$B,2,0),V1896)</f>
        <v>김광수</v>
      </c>
    </row>
    <row r="1897" spans="1:23" x14ac:dyDescent="0.4">
      <c r="A1897" t="s">
        <v>262</v>
      </c>
      <c r="B1897" t="s">
        <v>2236</v>
      </c>
      <c r="C1897" t="s">
        <v>2246</v>
      </c>
      <c r="D1897" t="s">
        <v>64</v>
      </c>
      <c r="E1897" t="s">
        <v>22</v>
      </c>
      <c r="F1897" t="s">
        <v>23</v>
      </c>
      <c r="G1897">
        <v>1</v>
      </c>
      <c r="H1897">
        <v>9791166300295</v>
      </c>
      <c r="I1897" t="s">
        <v>24</v>
      </c>
      <c r="J1897" t="s">
        <v>138</v>
      </c>
      <c r="K1897" t="s">
        <v>119</v>
      </c>
      <c r="L1897" t="s">
        <v>27</v>
      </c>
      <c r="M1897">
        <v>630</v>
      </c>
      <c r="N1897" t="s">
        <v>27</v>
      </c>
      <c r="O1897">
        <v>630</v>
      </c>
      <c r="P1897">
        <v>630</v>
      </c>
      <c r="Q1897" t="s">
        <v>30</v>
      </c>
      <c r="R1897" s="2">
        <v>0.7</v>
      </c>
      <c r="S1897">
        <v>441</v>
      </c>
      <c r="T1897" t="s">
        <v>27</v>
      </c>
      <c r="U1897">
        <v>441</v>
      </c>
      <c r="V1897" s="7" t="str">
        <f>IF(ISERROR(VLOOKUP(K1897,[1]작가별정산률!$R:$S,2,0)),"스토리위즈",VLOOKUP(K1897,[1]작가별정산률!$R:$S,2,0))</f>
        <v>스토리위즈</v>
      </c>
      <c r="W1897" s="7" t="str">
        <f>IF(V1897="스토리위즈",VLOOKUP(K1897,[1]작가별정산률!$A:$B,2,0),V1897)</f>
        <v>김광수</v>
      </c>
    </row>
    <row r="1898" spans="1:23" x14ac:dyDescent="0.4">
      <c r="A1898" t="s">
        <v>262</v>
      </c>
      <c r="B1898" t="s">
        <v>2236</v>
      </c>
      <c r="C1898" t="s">
        <v>2247</v>
      </c>
      <c r="D1898" t="s">
        <v>64</v>
      </c>
      <c r="E1898" t="s">
        <v>22</v>
      </c>
      <c r="F1898" t="s">
        <v>23</v>
      </c>
      <c r="G1898">
        <v>1</v>
      </c>
      <c r="H1898">
        <v>9791159283123</v>
      </c>
      <c r="I1898" t="s">
        <v>24</v>
      </c>
      <c r="J1898" t="s">
        <v>78</v>
      </c>
      <c r="K1898" t="s">
        <v>37</v>
      </c>
      <c r="L1898" t="s">
        <v>27</v>
      </c>
      <c r="M1898">
        <v>900</v>
      </c>
      <c r="N1898" t="s">
        <v>27</v>
      </c>
      <c r="O1898">
        <v>900</v>
      </c>
      <c r="P1898">
        <v>900</v>
      </c>
      <c r="Q1898" t="s">
        <v>30</v>
      </c>
      <c r="R1898" s="2">
        <v>0.7</v>
      </c>
      <c r="S1898">
        <v>630</v>
      </c>
      <c r="T1898" t="s">
        <v>27</v>
      </c>
      <c r="U1898">
        <v>630</v>
      </c>
      <c r="V1898" s="7" t="str">
        <f>IF(ISERROR(VLOOKUP(K1898,[1]작가별정산률!$R:$S,2,0)),"스토리위즈",VLOOKUP(K1898,[1]작가별정산률!$R:$S,2,0))</f>
        <v>스토리위즈</v>
      </c>
      <c r="W1898" s="7" t="str">
        <f>IF(V1898="스토리위즈",VLOOKUP(K1898,[1]작가별정산률!$A:$B,2,0),V1898)</f>
        <v>권용찬</v>
      </c>
    </row>
    <row r="1899" spans="1:23" x14ac:dyDescent="0.4">
      <c r="A1899" t="s">
        <v>262</v>
      </c>
      <c r="B1899" t="s">
        <v>2236</v>
      </c>
      <c r="C1899" t="s">
        <v>2248</v>
      </c>
      <c r="D1899" t="s">
        <v>21</v>
      </c>
      <c r="E1899" t="s">
        <v>22</v>
      </c>
      <c r="F1899" t="s">
        <v>23</v>
      </c>
      <c r="G1899">
        <v>1</v>
      </c>
      <c r="H1899">
        <v>9791166300615</v>
      </c>
      <c r="I1899" t="s">
        <v>24</v>
      </c>
      <c r="J1899" t="s">
        <v>163</v>
      </c>
      <c r="K1899" t="s">
        <v>119</v>
      </c>
      <c r="L1899" t="s">
        <v>27</v>
      </c>
      <c r="M1899" s="3">
        <v>3200</v>
      </c>
      <c r="N1899" t="s">
        <v>27</v>
      </c>
      <c r="O1899" s="3">
        <v>3200</v>
      </c>
      <c r="P1899" s="3">
        <v>3200</v>
      </c>
      <c r="Q1899" t="s">
        <v>30</v>
      </c>
      <c r="R1899" s="2">
        <v>0.7</v>
      </c>
      <c r="S1899" s="3">
        <v>2240</v>
      </c>
      <c r="T1899" t="s">
        <v>27</v>
      </c>
      <c r="U1899" s="3">
        <v>2240</v>
      </c>
      <c r="V1899" s="7" t="str">
        <f>IF(ISERROR(VLOOKUP(K1899,[1]작가별정산률!$R:$S,2,0)),"스토리위즈",VLOOKUP(K1899,[1]작가별정산률!$R:$S,2,0))</f>
        <v>스토리위즈</v>
      </c>
      <c r="W1899" s="7" t="str">
        <f>IF(V1899="스토리위즈",VLOOKUP(K1899,[1]작가별정산률!$A:$B,2,0),V1899)</f>
        <v>김광수</v>
      </c>
    </row>
    <row r="1900" spans="1:23" x14ac:dyDescent="0.4">
      <c r="A1900" t="s">
        <v>262</v>
      </c>
      <c r="B1900" t="s">
        <v>2236</v>
      </c>
      <c r="C1900" t="s">
        <v>2249</v>
      </c>
      <c r="D1900" t="s">
        <v>21</v>
      </c>
      <c r="E1900" t="s">
        <v>22</v>
      </c>
      <c r="F1900" t="s">
        <v>23</v>
      </c>
      <c r="G1900">
        <v>1</v>
      </c>
      <c r="H1900">
        <v>9791191562286</v>
      </c>
      <c r="I1900" t="s">
        <v>143</v>
      </c>
      <c r="J1900" t="s">
        <v>238</v>
      </c>
      <c r="K1900" t="s">
        <v>239</v>
      </c>
      <c r="L1900" t="s">
        <v>27</v>
      </c>
      <c r="M1900" s="3">
        <v>2000</v>
      </c>
      <c r="N1900" t="s">
        <v>27</v>
      </c>
      <c r="O1900" s="3">
        <v>2000</v>
      </c>
      <c r="P1900" s="3">
        <v>2000</v>
      </c>
      <c r="Q1900" t="s">
        <v>30</v>
      </c>
      <c r="R1900" s="2">
        <v>0.7</v>
      </c>
      <c r="S1900" s="3">
        <v>1400</v>
      </c>
      <c r="T1900" t="s">
        <v>27</v>
      </c>
      <c r="U1900" s="3">
        <v>1400</v>
      </c>
      <c r="V1900" s="7" t="str">
        <f>IF(ISERROR(VLOOKUP(K1900,[1]작가별정산률!$R:$S,2,0)),"스토리위즈",VLOOKUP(K1900,[1]작가별정산률!$R:$S,2,0))</f>
        <v>밀리의 서재</v>
      </c>
      <c r="W1900" s="7" t="str">
        <f>IF(V1900="스토리위즈",VLOOKUP(K1900,[1]작가별정산률!$A:$B,2,0),V1900)</f>
        <v>밀리의 서재</v>
      </c>
    </row>
    <row r="1901" spans="1:23" x14ac:dyDescent="0.4">
      <c r="A1901" t="s">
        <v>262</v>
      </c>
      <c r="B1901" t="s">
        <v>2236</v>
      </c>
      <c r="C1901" t="s">
        <v>2250</v>
      </c>
      <c r="D1901" t="s">
        <v>64</v>
      </c>
      <c r="E1901" t="s">
        <v>22</v>
      </c>
      <c r="F1901" t="s">
        <v>23</v>
      </c>
      <c r="G1901">
        <v>1</v>
      </c>
      <c r="H1901">
        <v>9791159283130</v>
      </c>
      <c r="I1901" t="s">
        <v>24</v>
      </c>
      <c r="J1901" t="s">
        <v>82</v>
      </c>
      <c r="K1901" t="s">
        <v>37</v>
      </c>
      <c r="L1901" t="s">
        <v>27</v>
      </c>
      <c r="M1901">
        <v>900</v>
      </c>
      <c r="N1901" t="s">
        <v>27</v>
      </c>
      <c r="O1901">
        <v>900</v>
      </c>
      <c r="P1901">
        <v>900</v>
      </c>
      <c r="Q1901" t="s">
        <v>30</v>
      </c>
      <c r="R1901" s="2">
        <v>0.7</v>
      </c>
      <c r="S1901">
        <v>630</v>
      </c>
      <c r="T1901" t="s">
        <v>27</v>
      </c>
      <c r="U1901">
        <v>630</v>
      </c>
      <c r="V1901" s="7" t="str">
        <f>IF(ISERROR(VLOOKUP(K1901,[1]작가별정산률!$R:$S,2,0)),"스토리위즈",VLOOKUP(K1901,[1]작가별정산률!$R:$S,2,0))</f>
        <v>스토리위즈</v>
      </c>
      <c r="W1901" s="7" t="str">
        <f>IF(V1901="스토리위즈",VLOOKUP(K1901,[1]작가별정산률!$A:$B,2,0),V1901)</f>
        <v>권용찬</v>
      </c>
    </row>
    <row r="1902" spans="1:23" x14ac:dyDescent="0.4">
      <c r="A1902" t="s">
        <v>262</v>
      </c>
      <c r="B1902" t="s">
        <v>2236</v>
      </c>
      <c r="C1902" t="s">
        <v>2251</v>
      </c>
      <c r="D1902" t="s">
        <v>21</v>
      </c>
      <c r="E1902" t="s">
        <v>22</v>
      </c>
      <c r="F1902" t="s">
        <v>23</v>
      </c>
      <c r="G1902">
        <v>1</v>
      </c>
      <c r="H1902">
        <v>9791189084813</v>
      </c>
      <c r="I1902" t="s">
        <v>143</v>
      </c>
      <c r="J1902" t="s">
        <v>563</v>
      </c>
      <c r="K1902" t="s">
        <v>564</v>
      </c>
      <c r="L1902" t="s">
        <v>27</v>
      </c>
      <c r="M1902" s="3">
        <v>4000</v>
      </c>
      <c r="N1902" t="s">
        <v>27</v>
      </c>
      <c r="O1902" s="3">
        <v>4000</v>
      </c>
      <c r="P1902" s="3">
        <v>4000</v>
      </c>
      <c r="Q1902" t="s">
        <v>30</v>
      </c>
      <c r="R1902" s="2">
        <v>0.7</v>
      </c>
      <c r="S1902" s="3">
        <v>2800</v>
      </c>
      <c r="T1902" t="s">
        <v>27</v>
      </c>
      <c r="U1902" s="3">
        <v>2800</v>
      </c>
      <c r="V1902" s="7" t="str">
        <f>IF(ISERROR(VLOOKUP(K1902,[1]작가별정산률!$R:$S,2,0)),"스토리위즈",VLOOKUP(K1902,[1]작가별정산률!$R:$S,2,0))</f>
        <v>스토리위즈</v>
      </c>
      <c r="W1902" s="7" t="str">
        <f>IF(V1902="스토리위즈",VLOOKUP(K1902,[1]작가별정산률!$A:$B,2,0),V1902)</f>
        <v>셔틀</v>
      </c>
    </row>
    <row r="1903" spans="1:23" x14ac:dyDescent="0.4">
      <c r="A1903" t="s">
        <v>262</v>
      </c>
      <c r="B1903" t="s">
        <v>2236</v>
      </c>
      <c r="C1903" t="s">
        <v>2252</v>
      </c>
      <c r="D1903" t="s">
        <v>64</v>
      </c>
      <c r="E1903" t="s">
        <v>22</v>
      </c>
      <c r="F1903" t="s">
        <v>23</v>
      </c>
      <c r="G1903">
        <v>1</v>
      </c>
      <c r="H1903">
        <v>9791166300110</v>
      </c>
      <c r="I1903" t="s">
        <v>24</v>
      </c>
      <c r="J1903" t="s">
        <v>121</v>
      </c>
      <c r="K1903" t="s">
        <v>119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  <c r="V1903" s="7" t="str">
        <f>IF(ISERROR(VLOOKUP(K1903,[1]작가별정산률!$R:$S,2,0)),"스토리위즈",VLOOKUP(K1903,[1]작가별정산률!$R:$S,2,0))</f>
        <v>스토리위즈</v>
      </c>
      <c r="W1903" s="7" t="str">
        <f>IF(V1903="스토리위즈",VLOOKUP(K1903,[1]작가별정산률!$A:$B,2,0),V1903)</f>
        <v>김광수</v>
      </c>
    </row>
    <row r="1904" spans="1:23" x14ac:dyDescent="0.4">
      <c r="A1904" t="s">
        <v>262</v>
      </c>
      <c r="B1904" t="s">
        <v>2236</v>
      </c>
      <c r="C1904" t="s">
        <v>2253</v>
      </c>
      <c r="D1904" t="s">
        <v>21</v>
      </c>
      <c r="E1904" t="s">
        <v>22</v>
      </c>
      <c r="F1904" t="s">
        <v>23</v>
      </c>
      <c r="G1904">
        <v>1</v>
      </c>
      <c r="H1904">
        <v>9791164370962</v>
      </c>
      <c r="I1904" t="s">
        <v>143</v>
      </c>
      <c r="J1904" t="s">
        <v>1939</v>
      </c>
      <c r="K1904" t="s">
        <v>564</v>
      </c>
      <c r="L1904" t="s">
        <v>27</v>
      </c>
      <c r="M1904" s="3">
        <v>3800</v>
      </c>
      <c r="N1904" t="s">
        <v>27</v>
      </c>
      <c r="O1904" s="3">
        <v>3800</v>
      </c>
      <c r="P1904" s="3">
        <v>3800</v>
      </c>
      <c r="Q1904" t="s">
        <v>30</v>
      </c>
      <c r="R1904" s="2">
        <v>0.7</v>
      </c>
      <c r="S1904" s="3">
        <v>2660</v>
      </c>
      <c r="T1904" t="s">
        <v>27</v>
      </c>
      <c r="U1904" s="3">
        <v>2660</v>
      </c>
      <c r="V1904" s="7" t="str">
        <f>IF(ISERROR(VLOOKUP(K1904,[1]작가별정산률!$R:$S,2,0)),"스토리위즈",VLOOKUP(K1904,[1]작가별정산률!$R:$S,2,0))</f>
        <v>스토리위즈</v>
      </c>
      <c r="W1904" s="7" t="str">
        <f>IF(V1904="스토리위즈",VLOOKUP(K1904,[1]작가별정산률!$A:$B,2,0),V1904)</f>
        <v>셔틀</v>
      </c>
    </row>
    <row r="1905" spans="1:23" x14ac:dyDescent="0.4">
      <c r="A1905" t="s">
        <v>262</v>
      </c>
      <c r="B1905" t="s">
        <v>2236</v>
      </c>
      <c r="C1905" t="s">
        <v>2254</v>
      </c>
      <c r="D1905" t="s">
        <v>64</v>
      </c>
      <c r="E1905" t="s">
        <v>22</v>
      </c>
      <c r="F1905" t="s">
        <v>23</v>
      </c>
      <c r="G1905">
        <v>1</v>
      </c>
      <c r="H1905">
        <v>9791188630240</v>
      </c>
      <c r="I1905" t="s">
        <v>24</v>
      </c>
      <c r="J1905" t="s">
        <v>195</v>
      </c>
      <c r="K1905" t="s">
        <v>41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  <c r="V1905" s="7" t="str">
        <f>IF(ISERROR(VLOOKUP(K1905,[1]작가별정산률!$R:$S,2,0)),"스토리위즈",VLOOKUP(K1905,[1]작가별정산률!$R:$S,2,0))</f>
        <v>스토리위즈</v>
      </c>
      <c r="W1905" s="7" t="str">
        <f>IF(V1905="스토리위즈",VLOOKUP(K1905,[1]작가별정산률!$A:$B,2,0),V1905)</f>
        <v>무장</v>
      </c>
    </row>
    <row r="1906" spans="1:23" x14ac:dyDescent="0.4">
      <c r="A1906" t="s">
        <v>262</v>
      </c>
      <c r="B1906" t="s">
        <v>2236</v>
      </c>
      <c r="C1906" t="s">
        <v>2255</v>
      </c>
      <c r="D1906" t="s">
        <v>64</v>
      </c>
      <c r="E1906" t="s">
        <v>22</v>
      </c>
      <c r="F1906" t="s">
        <v>23</v>
      </c>
      <c r="G1906">
        <v>1</v>
      </c>
      <c r="H1906">
        <v>9791166300486</v>
      </c>
      <c r="I1906" t="s">
        <v>24</v>
      </c>
      <c r="J1906" t="s">
        <v>146</v>
      </c>
      <c r="K1906" t="s">
        <v>119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  <c r="V1906" s="7" t="str">
        <f>IF(ISERROR(VLOOKUP(K1906,[1]작가별정산률!$R:$S,2,0)),"스토리위즈",VLOOKUP(K1906,[1]작가별정산률!$R:$S,2,0))</f>
        <v>스토리위즈</v>
      </c>
      <c r="W1906" s="7" t="str">
        <f>IF(V1906="스토리위즈",VLOOKUP(K1906,[1]작가별정산률!$A:$B,2,0),V1906)</f>
        <v>김광수</v>
      </c>
    </row>
    <row r="1907" spans="1:23" x14ac:dyDescent="0.4">
      <c r="A1907" t="s">
        <v>262</v>
      </c>
      <c r="B1907" t="s">
        <v>2236</v>
      </c>
      <c r="C1907" t="s">
        <v>2256</v>
      </c>
      <c r="D1907" t="s">
        <v>64</v>
      </c>
      <c r="E1907" t="s">
        <v>22</v>
      </c>
      <c r="F1907" t="s">
        <v>23</v>
      </c>
      <c r="G1907">
        <v>1</v>
      </c>
      <c r="H1907">
        <v>9791166064166</v>
      </c>
      <c r="I1907" t="s">
        <v>24</v>
      </c>
      <c r="J1907" t="s">
        <v>87</v>
      </c>
      <c r="K1907" t="s">
        <v>37</v>
      </c>
      <c r="L1907" t="s">
        <v>27</v>
      </c>
      <c r="M1907">
        <v>900</v>
      </c>
      <c r="N1907" t="s">
        <v>27</v>
      </c>
      <c r="O1907">
        <v>900</v>
      </c>
      <c r="P1907">
        <v>900</v>
      </c>
      <c r="Q1907" t="s">
        <v>30</v>
      </c>
      <c r="R1907" s="2">
        <v>0.7</v>
      </c>
      <c r="S1907">
        <v>630</v>
      </c>
      <c r="T1907" t="s">
        <v>27</v>
      </c>
      <c r="U1907">
        <v>630</v>
      </c>
      <c r="V1907" s="7" t="str">
        <f>IF(ISERROR(VLOOKUP(K1907,[1]작가별정산률!$R:$S,2,0)),"스토리위즈",VLOOKUP(K1907,[1]작가별정산률!$R:$S,2,0))</f>
        <v>스토리위즈</v>
      </c>
      <c r="W1907" s="7" t="str">
        <f>IF(V1907="스토리위즈",VLOOKUP(K1907,[1]작가별정산률!$A:$B,2,0),V1907)</f>
        <v>권용찬</v>
      </c>
    </row>
    <row r="1908" spans="1:23" x14ac:dyDescent="0.4">
      <c r="A1908" t="s">
        <v>262</v>
      </c>
      <c r="B1908" t="s">
        <v>2236</v>
      </c>
      <c r="C1908" t="s">
        <v>2257</v>
      </c>
      <c r="D1908" t="s">
        <v>64</v>
      </c>
      <c r="E1908" t="s">
        <v>22</v>
      </c>
      <c r="F1908" t="s">
        <v>23</v>
      </c>
      <c r="G1908">
        <v>1</v>
      </c>
      <c r="H1908">
        <v>9791166061158</v>
      </c>
      <c r="I1908" t="s">
        <v>24</v>
      </c>
      <c r="J1908" t="s">
        <v>101</v>
      </c>
      <c r="K1908" t="s">
        <v>37</v>
      </c>
      <c r="L1908" t="s">
        <v>27</v>
      </c>
      <c r="M1908">
        <v>900</v>
      </c>
      <c r="N1908" t="s">
        <v>27</v>
      </c>
      <c r="O1908">
        <v>900</v>
      </c>
      <c r="P1908">
        <v>900</v>
      </c>
      <c r="Q1908" t="s">
        <v>30</v>
      </c>
      <c r="R1908" s="2">
        <v>0.7</v>
      </c>
      <c r="S1908">
        <v>630</v>
      </c>
      <c r="T1908" t="s">
        <v>27</v>
      </c>
      <c r="U1908">
        <v>630</v>
      </c>
      <c r="V1908" s="7" t="str">
        <f>IF(ISERROR(VLOOKUP(K1908,[1]작가별정산률!$R:$S,2,0)),"스토리위즈",VLOOKUP(K1908,[1]작가별정산률!$R:$S,2,0))</f>
        <v>스토리위즈</v>
      </c>
      <c r="W1908" s="7" t="str">
        <f>IF(V1908="스토리위즈",VLOOKUP(K1908,[1]작가별정산률!$A:$B,2,0),V1908)</f>
        <v>권용찬</v>
      </c>
    </row>
    <row r="1909" spans="1:23" x14ac:dyDescent="0.4">
      <c r="A1909" t="s">
        <v>262</v>
      </c>
      <c r="B1909" t="s">
        <v>2236</v>
      </c>
      <c r="C1909" t="s">
        <v>2258</v>
      </c>
      <c r="D1909" t="s">
        <v>21</v>
      </c>
      <c r="E1909" t="s">
        <v>22</v>
      </c>
      <c r="F1909" t="s">
        <v>23</v>
      </c>
      <c r="G1909">
        <v>1</v>
      </c>
      <c r="H1909">
        <v>9791159289583</v>
      </c>
      <c r="I1909" t="s">
        <v>24</v>
      </c>
      <c r="J1909" t="s">
        <v>141</v>
      </c>
      <c r="K1909" t="s">
        <v>140</v>
      </c>
      <c r="L1909" t="s">
        <v>27</v>
      </c>
      <c r="M1909" s="3">
        <v>3200</v>
      </c>
      <c r="N1909" t="s">
        <v>27</v>
      </c>
      <c r="O1909" s="3">
        <v>3200</v>
      </c>
      <c r="P1909" s="3">
        <v>3200</v>
      </c>
      <c r="Q1909" t="s">
        <v>30</v>
      </c>
      <c r="R1909" s="2">
        <v>0.7</v>
      </c>
      <c r="S1909" s="3">
        <v>2240</v>
      </c>
      <c r="T1909" t="s">
        <v>27</v>
      </c>
      <c r="U1909" s="3">
        <v>2240</v>
      </c>
      <c r="V1909" s="7" t="str">
        <f>IF(ISERROR(VLOOKUP(K1909,[1]작가별정산률!$R:$S,2,0)),"스토리위즈",VLOOKUP(K1909,[1]작가별정산률!$R:$S,2,0))</f>
        <v>스토리위즈</v>
      </c>
      <c r="W1909" s="7" t="str">
        <f>IF(V1909="스토리위즈",VLOOKUP(K1909,[1]작가별정산률!$A:$B,2,0),V1909)</f>
        <v>이동열</v>
      </c>
    </row>
    <row r="1910" spans="1:23" x14ac:dyDescent="0.4">
      <c r="A1910" t="s">
        <v>262</v>
      </c>
      <c r="B1910" t="s">
        <v>2236</v>
      </c>
      <c r="C1910" t="s">
        <v>2259</v>
      </c>
      <c r="D1910" t="s">
        <v>64</v>
      </c>
      <c r="E1910" t="s">
        <v>22</v>
      </c>
      <c r="F1910" t="s">
        <v>23</v>
      </c>
      <c r="G1910">
        <v>1</v>
      </c>
      <c r="H1910">
        <v>9791166300592</v>
      </c>
      <c r="I1910" t="s">
        <v>24</v>
      </c>
      <c r="J1910" t="s">
        <v>161</v>
      </c>
      <c r="K1910" t="s">
        <v>119</v>
      </c>
      <c r="L1910" t="s">
        <v>27</v>
      </c>
      <c r="M1910">
        <v>630</v>
      </c>
      <c r="N1910" t="s">
        <v>27</v>
      </c>
      <c r="O1910">
        <v>630</v>
      </c>
      <c r="P1910">
        <v>630</v>
      </c>
      <c r="Q1910" t="s">
        <v>30</v>
      </c>
      <c r="R1910" s="2">
        <v>0.7</v>
      </c>
      <c r="S1910">
        <v>441</v>
      </c>
      <c r="T1910" t="s">
        <v>27</v>
      </c>
      <c r="U1910">
        <v>441</v>
      </c>
      <c r="V1910" s="7" t="str">
        <f>IF(ISERROR(VLOOKUP(K1910,[1]작가별정산률!$R:$S,2,0)),"스토리위즈",VLOOKUP(K1910,[1]작가별정산률!$R:$S,2,0))</f>
        <v>스토리위즈</v>
      </c>
      <c r="W1910" s="7" t="str">
        <f>IF(V1910="스토리위즈",VLOOKUP(K1910,[1]작가별정산률!$A:$B,2,0),V1910)</f>
        <v>김광수</v>
      </c>
    </row>
    <row r="1911" spans="1:23" x14ac:dyDescent="0.4">
      <c r="A1911" t="s">
        <v>262</v>
      </c>
      <c r="B1911" t="s">
        <v>2236</v>
      </c>
      <c r="C1911" t="s">
        <v>2260</v>
      </c>
      <c r="D1911" t="s">
        <v>64</v>
      </c>
      <c r="E1911" t="s">
        <v>22</v>
      </c>
      <c r="F1911" t="s">
        <v>23</v>
      </c>
      <c r="G1911">
        <v>1</v>
      </c>
      <c r="H1911">
        <v>9791166300523</v>
      </c>
      <c r="I1911" t="s">
        <v>24</v>
      </c>
      <c r="J1911" t="s">
        <v>150</v>
      </c>
      <c r="K1911" t="s">
        <v>119</v>
      </c>
      <c r="L1911" t="s">
        <v>27</v>
      </c>
      <c r="M1911">
        <v>630</v>
      </c>
      <c r="N1911" t="s">
        <v>27</v>
      </c>
      <c r="O1911">
        <v>630</v>
      </c>
      <c r="P1911">
        <v>630</v>
      </c>
      <c r="Q1911" t="s">
        <v>30</v>
      </c>
      <c r="R1911" s="2">
        <v>0.7</v>
      </c>
      <c r="S1911">
        <v>441</v>
      </c>
      <c r="T1911" t="s">
        <v>27</v>
      </c>
      <c r="U1911">
        <v>441</v>
      </c>
      <c r="V1911" s="7" t="str">
        <f>IF(ISERROR(VLOOKUP(K1911,[1]작가별정산률!$R:$S,2,0)),"스토리위즈",VLOOKUP(K1911,[1]작가별정산률!$R:$S,2,0))</f>
        <v>스토리위즈</v>
      </c>
      <c r="W1911" s="7" t="str">
        <f>IF(V1911="스토리위즈",VLOOKUP(K1911,[1]작가별정산률!$A:$B,2,0),V1911)</f>
        <v>김광수</v>
      </c>
    </row>
    <row r="1912" spans="1:23" x14ac:dyDescent="0.4">
      <c r="A1912" t="s">
        <v>262</v>
      </c>
      <c r="B1912" t="s">
        <v>2236</v>
      </c>
      <c r="C1912" t="s">
        <v>2261</v>
      </c>
      <c r="D1912" t="s">
        <v>21</v>
      </c>
      <c r="E1912" t="s">
        <v>22</v>
      </c>
      <c r="F1912" t="s">
        <v>23</v>
      </c>
      <c r="G1912">
        <v>1</v>
      </c>
      <c r="H1912">
        <v>9791166300011</v>
      </c>
      <c r="I1912" t="s">
        <v>24</v>
      </c>
      <c r="J1912" t="s">
        <v>166</v>
      </c>
      <c r="K1912" t="s">
        <v>119</v>
      </c>
      <c r="L1912" t="s">
        <v>27</v>
      </c>
      <c r="M1912" s="3">
        <v>3200</v>
      </c>
      <c r="N1912" t="s">
        <v>27</v>
      </c>
      <c r="O1912" s="3">
        <v>3200</v>
      </c>
      <c r="P1912" s="3">
        <v>3200</v>
      </c>
      <c r="Q1912" t="s">
        <v>30</v>
      </c>
      <c r="R1912" s="2">
        <v>0.7</v>
      </c>
      <c r="S1912" s="3">
        <v>2240</v>
      </c>
      <c r="T1912" t="s">
        <v>27</v>
      </c>
      <c r="U1912" s="3">
        <v>2240</v>
      </c>
      <c r="V1912" s="7" t="str">
        <f>IF(ISERROR(VLOOKUP(K1912,[1]작가별정산률!$R:$S,2,0)),"스토리위즈",VLOOKUP(K1912,[1]작가별정산률!$R:$S,2,0))</f>
        <v>스토리위즈</v>
      </c>
      <c r="W1912" s="7" t="str">
        <f>IF(V1912="스토리위즈",VLOOKUP(K1912,[1]작가별정산률!$A:$B,2,0),V1912)</f>
        <v>김광수</v>
      </c>
    </row>
    <row r="1913" spans="1:23" x14ac:dyDescent="0.4">
      <c r="A1913" t="s">
        <v>262</v>
      </c>
      <c r="B1913" t="s">
        <v>2236</v>
      </c>
      <c r="C1913" t="s">
        <v>2262</v>
      </c>
      <c r="D1913" t="s">
        <v>64</v>
      </c>
      <c r="E1913" t="s">
        <v>22</v>
      </c>
      <c r="F1913" t="s">
        <v>23</v>
      </c>
      <c r="G1913">
        <v>1</v>
      </c>
      <c r="H1913">
        <v>9791190937320</v>
      </c>
      <c r="I1913" t="s">
        <v>24</v>
      </c>
      <c r="J1913" t="s">
        <v>252</v>
      </c>
      <c r="K1913" t="s">
        <v>106</v>
      </c>
      <c r="L1913" t="s">
        <v>27</v>
      </c>
      <c r="M1913">
        <v>630</v>
      </c>
      <c r="N1913" t="s">
        <v>27</v>
      </c>
      <c r="O1913">
        <v>630</v>
      </c>
      <c r="P1913">
        <v>630</v>
      </c>
      <c r="Q1913" t="s">
        <v>30</v>
      </c>
      <c r="R1913" s="2">
        <v>0.7</v>
      </c>
      <c r="S1913">
        <v>441</v>
      </c>
      <c r="T1913" t="s">
        <v>27</v>
      </c>
      <c r="U1913">
        <v>441</v>
      </c>
      <c r="V1913" s="7" t="str">
        <f>IF(ISERROR(VLOOKUP(K1913,[1]작가별정산률!$R:$S,2,0)),"스토리위즈",VLOOKUP(K1913,[1]작가별정산률!$R:$S,2,0))</f>
        <v>스토리위즈</v>
      </c>
      <c r="W1913" s="7" t="str">
        <f>IF(V1913="스토리위즈",VLOOKUP(K1913,[1]작가별정산률!$A:$B,2,0),V1913)</f>
        <v>진문</v>
      </c>
    </row>
    <row r="1914" spans="1:23" x14ac:dyDescent="0.4">
      <c r="A1914" t="s">
        <v>262</v>
      </c>
      <c r="B1914" t="s">
        <v>2236</v>
      </c>
      <c r="C1914" t="s">
        <v>2263</v>
      </c>
      <c r="D1914" t="s">
        <v>64</v>
      </c>
      <c r="E1914" t="s">
        <v>22</v>
      </c>
      <c r="F1914" t="s">
        <v>23</v>
      </c>
      <c r="G1914">
        <v>1</v>
      </c>
      <c r="H1914">
        <v>9791166300462</v>
      </c>
      <c r="I1914" t="s">
        <v>24</v>
      </c>
      <c r="J1914" t="s">
        <v>144</v>
      </c>
      <c r="K1914" t="s">
        <v>119</v>
      </c>
      <c r="L1914" t="s">
        <v>27</v>
      </c>
      <c r="M1914">
        <v>630</v>
      </c>
      <c r="N1914" t="s">
        <v>27</v>
      </c>
      <c r="O1914">
        <v>630</v>
      </c>
      <c r="P1914">
        <v>630</v>
      </c>
      <c r="Q1914" t="s">
        <v>30</v>
      </c>
      <c r="R1914" s="2">
        <v>0.7</v>
      </c>
      <c r="S1914">
        <v>441</v>
      </c>
      <c r="T1914" t="s">
        <v>27</v>
      </c>
      <c r="U1914">
        <v>441</v>
      </c>
      <c r="V1914" s="7" t="str">
        <f>IF(ISERROR(VLOOKUP(K1914,[1]작가별정산률!$R:$S,2,0)),"스토리위즈",VLOOKUP(K1914,[1]작가별정산률!$R:$S,2,0))</f>
        <v>스토리위즈</v>
      </c>
      <c r="W1914" s="7" t="str">
        <f>IF(V1914="스토리위즈",VLOOKUP(K1914,[1]작가별정산률!$A:$B,2,0),V1914)</f>
        <v>김광수</v>
      </c>
    </row>
    <row r="1915" spans="1:23" x14ac:dyDescent="0.4">
      <c r="A1915" t="s">
        <v>262</v>
      </c>
      <c r="B1915" t="s">
        <v>2236</v>
      </c>
      <c r="C1915" t="s">
        <v>2264</v>
      </c>
      <c r="D1915" t="s">
        <v>21</v>
      </c>
      <c r="E1915" t="s">
        <v>22</v>
      </c>
      <c r="F1915" t="s">
        <v>23</v>
      </c>
      <c r="G1915">
        <v>1</v>
      </c>
      <c r="H1915">
        <v>9791189627089</v>
      </c>
      <c r="I1915" t="s">
        <v>143</v>
      </c>
      <c r="J1915" t="s">
        <v>1066</v>
      </c>
      <c r="K1915" t="s">
        <v>1035</v>
      </c>
      <c r="L1915" t="s">
        <v>27</v>
      </c>
      <c r="M1915" s="3">
        <v>2200</v>
      </c>
      <c r="N1915" t="s">
        <v>27</v>
      </c>
      <c r="O1915" s="3">
        <v>2200</v>
      </c>
      <c r="P1915" s="3">
        <v>2200</v>
      </c>
      <c r="Q1915" t="s">
        <v>30</v>
      </c>
      <c r="R1915" s="2">
        <v>0.7</v>
      </c>
      <c r="S1915" s="3">
        <v>1540</v>
      </c>
      <c r="T1915" t="s">
        <v>27</v>
      </c>
      <c r="U1915" s="3">
        <v>1540</v>
      </c>
      <c r="V1915" s="7" t="str">
        <f>IF(ISERROR(VLOOKUP(K1915,[1]작가별정산률!$R:$S,2,0)),"스토리위즈",VLOOKUP(K1915,[1]작가별정산률!$R:$S,2,0))</f>
        <v>스토리위즈</v>
      </c>
      <c r="W1915" s="7" t="str">
        <f>IF(V1915="스토리위즈",VLOOKUP(K1915,[1]작가별정산률!$A:$B,2,0),V1915)</f>
        <v>모리미</v>
      </c>
    </row>
    <row r="1916" spans="1:23" x14ac:dyDescent="0.4">
      <c r="A1916" t="s">
        <v>262</v>
      </c>
      <c r="B1916" t="s">
        <v>2236</v>
      </c>
      <c r="C1916" t="s">
        <v>2265</v>
      </c>
      <c r="D1916" t="s">
        <v>21</v>
      </c>
      <c r="E1916" t="s">
        <v>22</v>
      </c>
      <c r="F1916" t="s">
        <v>23</v>
      </c>
      <c r="G1916">
        <v>1</v>
      </c>
      <c r="H1916">
        <v>9791166300028</v>
      </c>
      <c r="I1916" t="s">
        <v>24</v>
      </c>
      <c r="J1916" t="s">
        <v>167</v>
      </c>
      <c r="K1916" t="s">
        <v>119</v>
      </c>
      <c r="L1916" t="s">
        <v>27</v>
      </c>
      <c r="M1916" s="3">
        <v>3200</v>
      </c>
      <c r="N1916" t="s">
        <v>27</v>
      </c>
      <c r="O1916" s="3">
        <v>3200</v>
      </c>
      <c r="P1916" s="3">
        <v>3200</v>
      </c>
      <c r="Q1916" t="s">
        <v>30</v>
      </c>
      <c r="R1916" s="2">
        <v>0.7</v>
      </c>
      <c r="S1916" s="3">
        <v>2240</v>
      </c>
      <c r="T1916" t="s">
        <v>27</v>
      </c>
      <c r="U1916" s="3">
        <v>2240</v>
      </c>
      <c r="V1916" s="7" t="str">
        <f>IF(ISERROR(VLOOKUP(K1916,[1]작가별정산률!$R:$S,2,0)),"스토리위즈",VLOOKUP(K1916,[1]작가별정산률!$R:$S,2,0))</f>
        <v>스토리위즈</v>
      </c>
      <c r="W1916" s="7" t="str">
        <f>IF(V1916="스토리위즈",VLOOKUP(K1916,[1]작가별정산률!$A:$B,2,0),V1916)</f>
        <v>김광수</v>
      </c>
    </row>
    <row r="1917" spans="1:23" x14ac:dyDescent="0.4">
      <c r="A1917" t="s">
        <v>262</v>
      </c>
      <c r="B1917" t="s">
        <v>2236</v>
      </c>
      <c r="C1917" t="s">
        <v>2266</v>
      </c>
      <c r="D1917" t="s">
        <v>64</v>
      </c>
      <c r="E1917" t="s">
        <v>22</v>
      </c>
      <c r="F1917" t="s">
        <v>23</v>
      </c>
      <c r="G1917">
        <v>1</v>
      </c>
      <c r="H1917">
        <v>9791166300103</v>
      </c>
      <c r="I1917" t="s">
        <v>24</v>
      </c>
      <c r="J1917" t="s">
        <v>120</v>
      </c>
      <c r="K1917" t="s">
        <v>119</v>
      </c>
      <c r="L1917" t="s">
        <v>27</v>
      </c>
      <c r="M1917">
        <v>630</v>
      </c>
      <c r="N1917" t="s">
        <v>27</v>
      </c>
      <c r="O1917">
        <v>630</v>
      </c>
      <c r="P1917">
        <v>630</v>
      </c>
      <c r="Q1917" t="s">
        <v>30</v>
      </c>
      <c r="R1917" s="2">
        <v>0.7</v>
      </c>
      <c r="S1917">
        <v>441</v>
      </c>
      <c r="T1917" t="s">
        <v>27</v>
      </c>
      <c r="U1917">
        <v>441</v>
      </c>
      <c r="V1917" s="7" t="str">
        <f>IF(ISERROR(VLOOKUP(K1917,[1]작가별정산률!$R:$S,2,0)),"스토리위즈",VLOOKUP(K1917,[1]작가별정산률!$R:$S,2,0))</f>
        <v>스토리위즈</v>
      </c>
      <c r="W1917" s="7" t="str">
        <f>IF(V1917="스토리위즈",VLOOKUP(K1917,[1]작가별정산률!$A:$B,2,0),V1917)</f>
        <v>김광수</v>
      </c>
    </row>
    <row r="1918" spans="1:23" x14ac:dyDescent="0.4">
      <c r="A1918" t="s">
        <v>262</v>
      </c>
      <c r="B1918" t="s">
        <v>2236</v>
      </c>
      <c r="C1918" t="s">
        <v>2267</v>
      </c>
      <c r="D1918" t="s">
        <v>64</v>
      </c>
      <c r="E1918" t="s">
        <v>22</v>
      </c>
      <c r="F1918" t="s">
        <v>23</v>
      </c>
      <c r="G1918">
        <v>1</v>
      </c>
      <c r="H1918">
        <v>9791166300110</v>
      </c>
      <c r="I1918" t="s">
        <v>24</v>
      </c>
      <c r="J1918" t="s">
        <v>121</v>
      </c>
      <c r="K1918" t="s">
        <v>119</v>
      </c>
      <c r="L1918" t="s">
        <v>27</v>
      </c>
      <c r="M1918">
        <v>630</v>
      </c>
      <c r="N1918" t="s">
        <v>27</v>
      </c>
      <c r="O1918">
        <v>630</v>
      </c>
      <c r="P1918">
        <v>630</v>
      </c>
      <c r="Q1918" t="s">
        <v>30</v>
      </c>
      <c r="R1918" s="2">
        <v>0.7</v>
      </c>
      <c r="S1918">
        <v>441</v>
      </c>
      <c r="T1918" t="s">
        <v>27</v>
      </c>
      <c r="U1918">
        <v>441</v>
      </c>
      <c r="V1918" s="7" t="str">
        <f>IF(ISERROR(VLOOKUP(K1918,[1]작가별정산률!$R:$S,2,0)),"스토리위즈",VLOOKUP(K1918,[1]작가별정산률!$R:$S,2,0))</f>
        <v>스토리위즈</v>
      </c>
      <c r="W1918" s="7" t="str">
        <f>IF(V1918="스토리위즈",VLOOKUP(K1918,[1]작가별정산률!$A:$B,2,0),V1918)</f>
        <v>김광수</v>
      </c>
    </row>
    <row r="1919" spans="1:23" x14ac:dyDescent="0.4">
      <c r="A1919" t="s">
        <v>262</v>
      </c>
      <c r="B1919" t="s">
        <v>2236</v>
      </c>
      <c r="C1919" t="s">
        <v>2268</v>
      </c>
      <c r="D1919" t="s">
        <v>64</v>
      </c>
      <c r="E1919" t="s">
        <v>22</v>
      </c>
      <c r="F1919" t="s">
        <v>23</v>
      </c>
      <c r="G1919">
        <v>1</v>
      </c>
      <c r="H1919">
        <v>9791166064173</v>
      </c>
      <c r="I1919" t="s">
        <v>24</v>
      </c>
      <c r="J1919" t="s">
        <v>209</v>
      </c>
      <c r="K1919" t="s">
        <v>37</v>
      </c>
      <c r="L1919" t="s">
        <v>27</v>
      </c>
      <c r="M1919">
        <v>900</v>
      </c>
      <c r="N1919" t="s">
        <v>27</v>
      </c>
      <c r="O1919">
        <v>900</v>
      </c>
      <c r="P1919">
        <v>900</v>
      </c>
      <c r="Q1919" t="s">
        <v>30</v>
      </c>
      <c r="R1919" s="2">
        <v>0.7</v>
      </c>
      <c r="S1919">
        <v>630</v>
      </c>
      <c r="T1919" t="s">
        <v>27</v>
      </c>
      <c r="U1919">
        <v>630</v>
      </c>
      <c r="V1919" s="7" t="str">
        <f>IF(ISERROR(VLOOKUP(K1919,[1]작가별정산률!$R:$S,2,0)),"스토리위즈",VLOOKUP(K1919,[1]작가별정산률!$R:$S,2,0))</f>
        <v>스토리위즈</v>
      </c>
      <c r="W1919" s="7" t="str">
        <f>IF(V1919="스토리위즈",VLOOKUP(K1919,[1]작가별정산률!$A:$B,2,0),V1919)</f>
        <v>권용찬</v>
      </c>
    </row>
    <row r="1920" spans="1:23" x14ac:dyDescent="0.4">
      <c r="A1920" t="s">
        <v>262</v>
      </c>
      <c r="B1920" t="s">
        <v>2236</v>
      </c>
      <c r="C1920" t="s">
        <v>2269</v>
      </c>
      <c r="D1920" t="s">
        <v>21</v>
      </c>
      <c r="E1920" t="s">
        <v>22</v>
      </c>
      <c r="F1920" t="s">
        <v>23</v>
      </c>
      <c r="G1920">
        <v>1</v>
      </c>
      <c r="H1920">
        <v>9791191562439</v>
      </c>
      <c r="I1920" t="s">
        <v>143</v>
      </c>
      <c r="J1920" t="s">
        <v>1661</v>
      </c>
      <c r="K1920" t="s">
        <v>188</v>
      </c>
      <c r="L1920" t="s">
        <v>27</v>
      </c>
      <c r="M1920" s="3">
        <v>2500</v>
      </c>
      <c r="N1920" t="s">
        <v>27</v>
      </c>
      <c r="O1920" s="3">
        <v>2500</v>
      </c>
      <c r="P1920" s="3">
        <v>2500</v>
      </c>
      <c r="Q1920" t="s">
        <v>30</v>
      </c>
      <c r="R1920" s="2">
        <v>0.7</v>
      </c>
      <c r="S1920" s="3">
        <v>1750</v>
      </c>
      <c r="T1920" t="s">
        <v>27</v>
      </c>
      <c r="U1920" s="3">
        <v>1750</v>
      </c>
      <c r="V1920" s="7" t="str">
        <f>IF(ISERROR(VLOOKUP(K1920,[1]작가별정산률!$R:$S,2,0)),"스토리위즈",VLOOKUP(K1920,[1]작가별정산률!$R:$S,2,0))</f>
        <v>밀리의 서재</v>
      </c>
      <c r="W1920" s="7" t="str">
        <f>IF(V1920="스토리위즈",VLOOKUP(K1920,[1]작가별정산률!$A:$B,2,0),V1920)</f>
        <v>밀리의 서재</v>
      </c>
    </row>
    <row r="1921" spans="1:23" x14ac:dyDescent="0.4">
      <c r="A1921" t="s">
        <v>262</v>
      </c>
      <c r="B1921" t="s">
        <v>2236</v>
      </c>
      <c r="C1921" t="s">
        <v>2270</v>
      </c>
      <c r="D1921" t="s">
        <v>64</v>
      </c>
      <c r="E1921" t="s">
        <v>22</v>
      </c>
      <c r="F1921" t="s">
        <v>23</v>
      </c>
      <c r="G1921">
        <v>1</v>
      </c>
      <c r="H1921">
        <v>9791166300127</v>
      </c>
      <c r="I1921" t="s">
        <v>24</v>
      </c>
      <c r="J1921" t="s">
        <v>122</v>
      </c>
      <c r="K1921" t="s">
        <v>119</v>
      </c>
      <c r="L1921" t="s">
        <v>27</v>
      </c>
      <c r="M1921">
        <v>630</v>
      </c>
      <c r="N1921" t="s">
        <v>27</v>
      </c>
      <c r="O1921">
        <v>630</v>
      </c>
      <c r="P1921">
        <v>630</v>
      </c>
      <c r="Q1921" t="s">
        <v>30</v>
      </c>
      <c r="R1921" s="2">
        <v>0.7</v>
      </c>
      <c r="S1921">
        <v>441</v>
      </c>
      <c r="T1921" t="s">
        <v>27</v>
      </c>
      <c r="U1921">
        <v>441</v>
      </c>
      <c r="V1921" s="7" t="str">
        <f>IF(ISERROR(VLOOKUP(K1921,[1]작가별정산률!$R:$S,2,0)),"스토리위즈",VLOOKUP(K1921,[1]작가별정산률!$R:$S,2,0))</f>
        <v>스토리위즈</v>
      </c>
      <c r="W1921" s="7" t="str">
        <f>IF(V1921="스토리위즈",VLOOKUP(K1921,[1]작가별정산률!$A:$B,2,0),V1921)</f>
        <v>김광수</v>
      </c>
    </row>
    <row r="1922" spans="1:23" x14ac:dyDescent="0.4">
      <c r="A1922" t="s">
        <v>262</v>
      </c>
      <c r="B1922" t="s">
        <v>2236</v>
      </c>
      <c r="C1922" t="s">
        <v>2271</v>
      </c>
      <c r="D1922" t="s">
        <v>64</v>
      </c>
      <c r="E1922" t="s">
        <v>22</v>
      </c>
      <c r="F1922" t="s">
        <v>23</v>
      </c>
      <c r="G1922">
        <v>1</v>
      </c>
      <c r="H1922">
        <v>9791166300233</v>
      </c>
      <c r="I1922" t="s">
        <v>24</v>
      </c>
      <c r="J1922" t="s">
        <v>132</v>
      </c>
      <c r="K1922" t="s">
        <v>119</v>
      </c>
      <c r="L1922" t="s">
        <v>27</v>
      </c>
      <c r="M1922">
        <v>630</v>
      </c>
      <c r="N1922" t="s">
        <v>27</v>
      </c>
      <c r="O1922">
        <v>630</v>
      </c>
      <c r="P1922">
        <v>630</v>
      </c>
      <c r="Q1922" t="s">
        <v>30</v>
      </c>
      <c r="R1922" s="2">
        <v>0.7</v>
      </c>
      <c r="S1922">
        <v>441</v>
      </c>
      <c r="T1922" t="s">
        <v>27</v>
      </c>
      <c r="U1922">
        <v>441</v>
      </c>
      <c r="V1922" s="7" t="str">
        <f>IF(ISERROR(VLOOKUP(K1922,[1]작가별정산률!$R:$S,2,0)),"스토리위즈",VLOOKUP(K1922,[1]작가별정산률!$R:$S,2,0))</f>
        <v>스토리위즈</v>
      </c>
      <c r="W1922" s="7" t="str">
        <f>IF(V1922="스토리위즈",VLOOKUP(K1922,[1]작가별정산률!$A:$B,2,0),V1922)</f>
        <v>김광수</v>
      </c>
    </row>
    <row r="1923" spans="1:23" x14ac:dyDescent="0.4">
      <c r="A1923" t="s">
        <v>262</v>
      </c>
      <c r="B1923" t="s">
        <v>2236</v>
      </c>
      <c r="C1923" t="s">
        <v>2272</v>
      </c>
      <c r="D1923" t="s">
        <v>64</v>
      </c>
      <c r="E1923" t="s">
        <v>22</v>
      </c>
      <c r="F1923" t="s">
        <v>23</v>
      </c>
      <c r="G1923">
        <v>1</v>
      </c>
      <c r="H1923">
        <v>9791159283208</v>
      </c>
      <c r="I1923" t="s">
        <v>24</v>
      </c>
      <c r="J1923" t="s">
        <v>105</v>
      </c>
      <c r="K1923" t="s">
        <v>37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  <c r="V1923" s="7" t="str">
        <f>IF(ISERROR(VLOOKUP(K1923,[1]작가별정산률!$R:$S,2,0)),"스토리위즈",VLOOKUP(K1923,[1]작가별정산률!$R:$S,2,0))</f>
        <v>스토리위즈</v>
      </c>
      <c r="W1923" s="7" t="str">
        <f>IF(V1923="스토리위즈",VLOOKUP(K1923,[1]작가별정산률!$A:$B,2,0),V1923)</f>
        <v>권용찬</v>
      </c>
    </row>
    <row r="1924" spans="1:23" x14ac:dyDescent="0.4">
      <c r="A1924" t="s">
        <v>262</v>
      </c>
      <c r="B1924" t="s">
        <v>2236</v>
      </c>
      <c r="C1924" t="s">
        <v>2273</v>
      </c>
      <c r="D1924" t="s">
        <v>64</v>
      </c>
      <c r="E1924" t="s">
        <v>22</v>
      </c>
      <c r="F1924" t="s">
        <v>23</v>
      </c>
      <c r="G1924">
        <v>1</v>
      </c>
      <c r="H1924">
        <v>9791166300653</v>
      </c>
      <c r="I1924" t="s">
        <v>24</v>
      </c>
      <c r="J1924" t="s">
        <v>157</v>
      </c>
      <c r="K1924" t="s">
        <v>119</v>
      </c>
      <c r="L1924" t="s">
        <v>27</v>
      </c>
      <c r="M1924">
        <v>630</v>
      </c>
      <c r="N1924" t="s">
        <v>27</v>
      </c>
      <c r="O1924">
        <v>630</v>
      </c>
      <c r="P1924">
        <v>630</v>
      </c>
      <c r="Q1924" t="s">
        <v>30</v>
      </c>
      <c r="R1924" s="2">
        <v>0.7</v>
      </c>
      <c r="S1924">
        <v>441</v>
      </c>
      <c r="T1924" t="s">
        <v>27</v>
      </c>
      <c r="U1924">
        <v>441</v>
      </c>
      <c r="V1924" s="7" t="str">
        <f>IF(ISERROR(VLOOKUP(K1924,[1]작가별정산률!$R:$S,2,0)),"스토리위즈",VLOOKUP(K1924,[1]작가별정산률!$R:$S,2,0))</f>
        <v>스토리위즈</v>
      </c>
      <c r="W1924" s="7" t="str">
        <f>IF(V1924="스토리위즈",VLOOKUP(K1924,[1]작가별정산률!$A:$B,2,0),V1924)</f>
        <v>김광수</v>
      </c>
    </row>
    <row r="1925" spans="1:23" x14ac:dyDescent="0.4">
      <c r="A1925" t="s">
        <v>262</v>
      </c>
      <c r="B1925" t="s">
        <v>2236</v>
      </c>
      <c r="C1925" t="s">
        <v>2274</v>
      </c>
      <c r="D1925" t="s">
        <v>64</v>
      </c>
      <c r="E1925" t="s">
        <v>22</v>
      </c>
      <c r="F1925" t="s">
        <v>23</v>
      </c>
      <c r="G1925">
        <v>1</v>
      </c>
      <c r="H1925">
        <v>9791159282843</v>
      </c>
      <c r="I1925" t="s">
        <v>24</v>
      </c>
      <c r="J1925" t="s">
        <v>25</v>
      </c>
      <c r="K1925" t="s">
        <v>26</v>
      </c>
      <c r="L1925" t="s">
        <v>27</v>
      </c>
      <c r="M1925">
        <v>630</v>
      </c>
      <c r="N1925" t="s">
        <v>27</v>
      </c>
      <c r="O1925">
        <v>630</v>
      </c>
      <c r="P1925">
        <v>630</v>
      </c>
      <c r="Q1925" t="s">
        <v>30</v>
      </c>
      <c r="R1925" s="2">
        <v>0.7</v>
      </c>
      <c r="S1925">
        <v>441</v>
      </c>
      <c r="T1925" t="s">
        <v>27</v>
      </c>
      <c r="U1925">
        <v>441</v>
      </c>
      <c r="V1925" s="7" t="str">
        <f>IF(ISERROR(VLOOKUP(K1925,[1]작가별정산률!$R:$S,2,0)),"스토리위즈",VLOOKUP(K1925,[1]작가별정산률!$R:$S,2,0))</f>
        <v>스토리위즈</v>
      </c>
      <c r="W1925" s="7" t="str">
        <f>IF(V1925="스토리위즈",VLOOKUP(K1925,[1]작가별정산률!$A:$B,2,0),V1925)</f>
        <v>독고진</v>
      </c>
    </row>
    <row r="1926" spans="1:23" x14ac:dyDescent="0.4">
      <c r="A1926" t="s">
        <v>262</v>
      </c>
      <c r="B1926" t="s">
        <v>2236</v>
      </c>
      <c r="C1926" t="s">
        <v>2275</v>
      </c>
      <c r="D1926" t="s">
        <v>21</v>
      </c>
      <c r="E1926" t="s">
        <v>22</v>
      </c>
      <c r="F1926" t="s">
        <v>23</v>
      </c>
      <c r="G1926">
        <v>1</v>
      </c>
      <c r="H1926">
        <v>9791166300660</v>
      </c>
      <c r="I1926" t="s">
        <v>24</v>
      </c>
      <c r="J1926" t="s">
        <v>156</v>
      </c>
      <c r="K1926" t="s">
        <v>119</v>
      </c>
      <c r="L1926" t="s">
        <v>27</v>
      </c>
      <c r="M1926" s="3">
        <v>3200</v>
      </c>
      <c r="N1926" t="s">
        <v>27</v>
      </c>
      <c r="O1926" s="3">
        <v>3200</v>
      </c>
      <c r="P1926" s="3">
        <v>3200</v>
      </c>
      <c r="Q1926" t="s">
        <v>30</v>
      </c>
      <c r="R1926" s="2">
        <v>0.7</v>
      </c>
      <c r="S1926" s="3">
        <v>2240</v>
      </c>
      <c r="T1926" t="s">
        <v>27</v>
      </c>
      <c r="U1926" s="3">
        <v>2240</v>
      </c>
      <c r="V1926" s="7" t="str">
        <f>IF(ISERROR(VLOOKUP(K1926,[1]작가별정산률!$R:$S,2,0)),"스토리위즈",VLOOKUP(K1926,[1]작가별정산률!$R:$S,2,0))</f>
        <v>스토리위즈</v>
      </c>
      <c r="W1926" s="7" t="str">
        <f>IF(V1926="스토리위즈",VLOOKUP(K1926,[1]작가별정산률!$A:$B,2,0),V1926)</f>
        <v>김광수</v>
      </c>
    </row>
    <row r="1927" spans="1:23" x14ac:dyDescent="0.4">
      <c r="A1927" t="s">
        <v>262</v>
      </c>
      <c r="B1927" t="s">
        <v>2236</v>
      </c>
      <c r="C1927" t="s">
        <v>2276</v>
      </c>
      <c r="D1927" t="s">
        <v>21</v>
      </c>
      <c r="E1927" t="s">
        <v>22</v>
      </c>
      <c r="F1927" t="s">
        <v>23</v>
      </c>
      <c r="G1927">
        <v>1</v>
      </c>
      <c r="H1927">
        <v>9791191562019</v>
      </c>
      <c r="I1927" t="s">
        <v>143</v>
      </c>
      <c r="J1927" t="s">
        <v>194</v>
      </c>
      <c r="K1927" t="s">
        <v>186</v>
      </c>
      <c r="L1927" t="s">
        <v>27</v>
      </c>
      <c r="M1927" s="3">
        <v>2000</v>
      </c>
      <c r="N1927" t="s">
        <v>28</v>
      </c>
      <c r="O1927">
        <v>1.65</v>
      </c>
      <c r="P1927">
        <v>1.65</v>
      </c>
      <c r="Q1927" t="s">
        <v>29</v>
      </c>
      <c r="R1927" s="2">
        <v>0.7</v>
      </c>
      <c r="S1927">
        <v>1.1499999999999999</v>
      </c>
      <c r="T1927" t="s">
        <v>27</v>
      </c>
      <c r="U1927" s="3">
        <v>1445</v>
      </c>
      <c r="V1927" s="7" t="str">
        <f>IF(ISERROR(VLOOKUP(K1927,[1]작가별정산률!$R:$S,2,0)),"스토리위즈",VLOOKUP(K1927,[1]작가별정산률!$R:$S,2,0))</f>
        <v>밀리의 서재</v>
      </c>
      <c r="W1927" s="7" t="str">
        <f>IF(V1927="스토리위즈",VLOOKUP(K1927,[1]작가별정산률!$A:$B,2,0),V1927)</f>
        <v>밀리의 서재</v>
      </c>
    </row>
    <row r="1928" spans="1:23" x14ac:dyDescent="0.4">
      <c r="A1928" t="s">
        <v>262</v>
      </c>
      <c r="B1928" t="s">
        <v>2236</v>
      </c>
      <c r="C1928" t="s">
        <v>2277</v>
      </c>
      <c r="D1928" t="s">
        <v>64</v>
      </c>
      <c r="E1928" t="s">
        <v>22</v>
      </c>
      <c r="F1928" t="s">
        <v>23</v>
      </c>
      <c r="G1928">
        <v>1</v>
      </c>
      <c r="H1928">
        <v>9791159283147</v>
      </c>
      <c r="I1928" t="s">
        <v>24</v>
      </c>
      <c r="J1928" t="s">
        <v>83</v>
      </c>
      <c r="K1928" t="s">
        <v>37</v>
      </c>
      <c r="L1928" t="s">
        <v>27</v>
      </c>
      <c r="M1928">
        <v>900</v>
      </c>
      <c r="N1928" t="s">
        <v>27</v>
      </c>
      <c r="O1928">
        <v>900</v>
      </c>
      <c r="P1928">
        <v>900</v>
      </c>
      <c r="Q1928" t="s">
        <v>30</v>
      </c>
      <c r="R1928" s="2">
        <v>0.7</v>
      </c>
      <c r="S1928">
        <v>630</v>
      </c>
      <c r="T1928" t="s">
        <v>27</v>
      </c>
      <c r="U1928">
        <v>630</v>
      </c>
      <c r="V1928" s="7" t="str">
        <f>IF(ISERROR(VLOOKUP(K1928,[1]작가별정산률!$R:$S,2,0)),"스토리위즈",VLOOKUP(K1928,[1]작가별정산률!$R:$S,2,0))</f>
        <v>스토리위즈</v>
      </c>
      <c r="W1928" s="7" t="str">
        <f>IF(V1928="스토리위즈",VLOOKUP(K1928,[1]작가별정산률!$A:$B,2,0),V1928)</f>
        <v>권용찬</v>
      </c>
    </row>
    <row r="1929" spans="1:23" x14ac:dyDescent="0.4">
      <c r="A1929" t="s">
        <v>262</v>
      </c>
      <c r="B1929" t="s">
        <v>2236</v>
      </c>
      <c r="C1929" t="s">
        <v>2278</v>
      </c>
      <c r="D1929" t="s">
        <v>21</v>
      </c>
      <c r="E1929" t="s">
        <v>22</v>
      </c>
      <c r="F1929" t="s">
        <v>23</v>
      </c>
      <c r="G1929">
        <v>1</v>
      </c>
      <c r="H1929">
        <v>9791166300622</v>
      </c>
      <c r="I1929" t="s">
        <v>24</v>
      </c>
      <c r="J1929" t="s">
        <v>164</v>
      </c>
      <c r="K1929" t="s">
        <v>119</v>
      </c>
      <c r="L1929" t="s">
        <v>27</v>
      </c>
      <c r="M1929" s="3">
        <v>3200</v>
      </c>
      <c r="N1929" t="s">
        <v>27</v>
      </c>
      <c r="O1929" s="3">
        <v>3200</v>
      </c>
      <c r="P1929" s="3">
        <v>3200</v>
      </c>
      <c r="Q1929" t="s">
        <v>30</v>
      </c>
      <c r="R1929" s="2">
        <v>0.7</v>
      </c>
      <c r="S1929" s="3">
        <v>2240</v>
      </c>
      <c r="T1929" t="s">
        <v>27</v>
      </c>
      <c r="U1929" s="3">
        <v>2240</v>
      </c>
      <c r="V1929" s="7" t="str">
        <f>IF(ISERROR(VLOOKUP(K1929,[1]작가별정산률!$R:$S,2,0)),"스토리위즈",VLOOKUP(K1929,[1]작가별정산률!$R:$S,2,0))</f>
        <v>스토리위즈</v>
      </c>
      <c r="W1929" s="7" t="str">
        <f>IF(V1929="스토리위즈",VLOOKUP(K1929,[1]작가별정산률!$A:$B,2,0),V1929)</f>
        <v>김광수</v>
      </c>
    </row>
    <row r="1930" spans="1:23" x14ac:dyDescent="0.4">
      <c r="A1930" t="s">
        <v>262</v>
      </c>
      <c r="B1930" t="s">
        <v>2236</v>
      </c>
      <c r="C1930" t="s">
        <v>2279</v>
      </c>
      <c r="D1930" t="s">
        <v>64</v>
      </c>
      <c r="E1930" t="s">
        <v>22</v>
      </c>
      <c r="F1930" t="s">
        <v>23</v>
      </c>
      <c r="G1930">
        <v>1</v>
      </c>
      <c r="H1930">
        <v>9791166300240</v>
      </c>
      <c r="I1930" t="s">
        <v>24</v>
      </c>
      <c r="J1930" t="s">
        <v>133</v>
      </c>
      <c r="K1930" t="s">
        <v>119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  <c r="V1930" s="7" t="str">
        <f>IF(ISERROR(VLOOKUP(K1930,[1]작가별정산률!$R:$S,2,0)),"스토리위즈",VLOOKUP(K1930,[1]작가별정산률!$R:$S,2,0))</f>
        <v>스토리위즈</v>
      </c>
      <c r="W1930" s="7" t="str">
        <f>IF(V1930="스토리위즈",VLOOKUP(K1930,[1]작가별정산률!$A:$B,2,0),V1930)</f>
        <v>김광수</v>
      </c>
    </row>
    <row r="1931" spans="1:23" x14ac:dyDescent="0.4">
      <c r="A1931" t="s">
        <v>262</v>
      </c>
      <c r="B1931" t="s">
        <v>2236</v>
      </c>
      <c r="C1931" t="s">
        <v>2280</v>
      </c>
      <c r="D1931" t="s">
        <v>64</v>
      </c>
      <c r="E1931" t="s">
        <v>22</v>
      </c>
      <c r="F1931" t="s">
        <v>23</v>
      </c>
      <c r="G1931">
        <v>1</v>
      </c>
      <c r="H1931">
        <v>9791166300127</v>
      </c>
      <c r="I1931" t="s">
        <v>24</v>
      </c>
      <c r="J1931" t="s">
        <v>122</v>
      </c>
      <c r="K1931" t="s">
        <v>119</v>
      </c>
      <c r="L1931" t="s">
        <v>27</v>
      </c>
      <c r="M1931">
        <v>630</v>
      </c>
      <c r="N1931" t="s">
        <v>27</v>
      </c>
      <c r="O1931">
        <v>630</v>
      </c>
      <c r="P1931">
        <v>630</v>
      </c>
      <c r="Q1931" t="s">
        <v>30</v>
      </c>
      <c r="R1931" s="2">
        <v>0.7</v>
      </c>
      <c r="S1931">
        <v>441</v>
      </c>
      <c r="T1931" t="s">
        <v>27</v>
      </c>
      <c r="U1931">
        <v>441</v>
      </c>
      <c r="V1931" s="7" t="str">
        <f>IF(ISERROR(VLOOKUP(K1931,[1]작가별정산률!$R:$S,2,0)),"스토리위즈",VLOOKUP(K1931,[1]작가별정산률!$R:$S,2,0))</f>
        <v>스토리위즈</v>
      </c>
      <c r="W1931" s="7" t="str">
        <f>IF(V1931="스토리위즈",VLOOKUP(K1931,[1]작가별정산률!$A:$B,2,0),V1931)</f>
        <v>김광수</v>
      </c>
    </row>
    <row r="1932" spans="1:23" x14ac:dyDescent="0.4">
      <c r="A1932" t="s">
        <v>262</v>
      </c>
      <c r="B1932" t="s">
        <v>2236</v>
      </c>
      <c r="C1932" t="s">
        <v>2281</v>
      </c>
      <c r="D1932" t="s">
        <v>21</v>
      </c>
      <c r="E1932" t="s">
        <v>22</v>
      </c>
      <c r="F1932" t="s">
        <v>23</v>
      </c>
      <c r="G1932">
        <v>1</v>
      </c>
      <c r="H1932">
        <v>9791164371051</v>
      </c>
      <c r="I1932" t="s">
        <v>143</v>
      </c>
      <c r="J1932" t="s">
        <v>2282</v>
      </c>
      <c r="K1932" t="s">
        <v>2283</v>
      </c>
      <c r="L1932" t="s">
        <v>27</v>
      </c>
      <c r="M1932">
        <v>500</v>
      </c>
      <c r="N1932" t="s">
        <v>27</v>
      </c>
      <c r="O1932">
        <v>500</v>
      </c>
      <c r="P1932">
        <v>500</v>
      </c>
      <c r="Q1932" t="s">
        <v>30</v>
      </c>
      <c r="R1932" s="2">
        <v>0.7</v>
      </c>
      <c r="S1932">
        <v>350</v>
      </c>
      <c r="T1932" t="s">
        <v>27</v>
      </c>
      <c r="U1932">
        <v>350</v>
      </c>
      <c r="V1932" s="7" t="str">
        <f>IF(ISERROR(VLOOKUP(K1932,[1]작가별정산률!$R:$S,2,0)),"스토리위즈",VLOOKUP(K1932,[1]작가별정산률!$R:$S,2,0))</f>
        <v>스토리위즈</v>
      </c>
      <c r="W1932" s="7" t="str">
        <f>IF(V1932="스토리위즈",VLOOKUP(K1932,[1]작가별정산률!$A:$B,2,0),V1932)</f>
        <v>블 루 스 카 이</v>
      </c>
    </row>
    <row r="1933" spans="1:23" x14ac:dyDescent="0.4">
      <c r="A1933" t="s">
        <v>262</v>
      </c>
      <c r="B1933" t="s">
        <v>2236</v>
      </c>
      <c r="C1933" t="s">
        <v>2284</v>
      </c>
      <c r="D1933" t="s">
        <v>64</v>
      </c>
      <c r="E1933" t="s">
        <v>22</v>
      </c>
      <c r="F1933" t="s">
        <v>23</v>
      </c>
      <c r="G1933">
        <v>1</v>
      </c>
      <c r="H1933">
        <v>9791159282850</v>
      </c>
      <c r="I1933" t="s">
        <v>24</v>
      </c>
      <c r="J1933" t="s">
        <v>31</v>
      </c>
      <c r="K1933" t="s">
        <v>26</v>
      </c>
      <c r="L1933" t="s">
        <v>27</v>
      </c>
      <c r="M1933">
        <v>630</v>
      </c>
      <c r="N1933" t="s">
        <v>27</v>
      </c>
      <c r="O1933">
        <v>630</v>
      </c>
      <c r="P1933">
        <v>630</v>
      </c>
      <c r="Q1933" t="s">
        <v>30</v>
      </c>
      <c r="R1933" s="2">
        <v>0.7</v>
      </c>
      <c r="S1933">
        <v>441</v>
      </c>
      <c r="T1933" t="s">
        <v>27</v>
      </c>
      <c r="U1933">
        <v>441</v>
      </c>
      <c r="V1933" s="7" t="str">
        <f>IF(ISERROR(VLOOKUP(K1933,[1]작가별정산률!$R:$S,2,0)),"스토리위즈",VLOOKUP(K1933,[1]작가별정산률!$R:$S,2,0))</f>
        <v>스토리위즈</v>
      </c>
      <c r="W1933" s="7" t="str">
        <f>IF(V1933="스토리위즈",VLOOKUP(K1933,[1]작가별정산률!$A:$B,2,0),V1933)</f>
        <v>독고진</v>
      </c>
    </row>
    <row r="1934" spans="1:23" x14ac:dyDescent="0.4">
      <c r="A1934" t="s">
        <v>262</v>
      </c>
      <c r="B1934" t="s">
        <v>2236</v>
      </c>
      <c r="C1934" t="s">
        <v>2285</v>
      </c>
      <c r="D1934" t="s">
        <v>64</v>
      </c>
      <c r="E1934" t="s">
        <v>22</v>
      </c>
      <c r="F1934" t="s">
        <v>23</v>
      </c>
      <c r="G1934">
        <v>1</v>
      </c>
      <c r="H1934">
        <v>9791159282232</v>
      </c>
      <c r="I1934" t="s">
        <v>24</v>
      </c>
      <c r="J1934" t="s">
        <v>109</v>
      </c>
      <c r="K1934" t="s">
        <v>37</v>
      </c>
      <c r="L1934" t="s">
        <v>27</v>
      </c>
      <c r="M1934">
        <v>900</v>
      </c>
      <c r="N1934" t="s">
        <v>27</v>
      </c>
      <c r="O1934">
        <v>900</v>
      </c>
      <c r="P1934">
        <v>900</v>
      </c>
      <c r="Q1934" t="s">
        <v>30</v>
      </c>
      <c r="R1934" s="2">
        <v>0.7</v>
      </c>
      <c r="S1934">
        <v>630</v>
      </c>
      <c r="T1934" t="s">
        <v>27</v>
      </c>
      <c r="U1934">
        <v>630</v>
      </c>
      <c r="V1934" s="7" t="str">
        <f>IF(ISERROR(VLOOKUP(K1934,[1]작가별정산률!$R:$S,2,0)),"스토리위즈",VLOOKUP(K1934,[1]작가별정산률!$R:$S,2,0))</f>
        <v>스토리위즈</v>
      </c>
      <c r="W1934" s="7" t="str">
        <f>IF(V1934="스토리위즈",VLOOKUP(K1934,[1]작가별정산률!$A:$B,2,0),V1934)</f>
        <v>권용찬</v>
      </c>
    </row>
    <row r="1935" spans="1:23" x14ac:dyDescent="0.4">
      <c r="A1935" t="s">
        <v>262</v>
      </c>
      <c r="B1935" t="s">
        <v>2236</v>
      </c>
      <c r="C1935" t="s">
        <v>2286</v>
      </c>
      <c r="D1935" t="s">
        <v>64</v>
      </c>
      <c r="E1935" t="s">
        <v>22</v>
      </c>
      <c r="F1935" t="s">
        <v>23</v>
      </c>
      <c r="G1935">
        <v>1</v>
      </c>
      <c r="H1935">
        <v>9791159283154</v>
      </c>
      <c r="I1935" t="s">
        <v>24</v>
      </c>
      <c r="J1935" t="s">
        <v>84</v>
      </c>
      <c r="K1935" t="s">
        <v>37</v>
      </c>
      <c r="L1935" t="s">
        <v>27</v>
      </c>
      <c r="M1935">
        <v>900</v>
      </c>
      <c r="N1935" t="s">
        <v>27</v>
      </c>
      <c r="O1935">
        <v>900</v>
      </c>
      <c r="P1935">
        <v>900</v>
      </c>
      <c r="Q1935" t="s">
        <v>30</v>
      </c>
      <c r="R1935" s="2">
        <v>0.7</v>
      </c>
      <c r="S1935">
        <v>630</v>
      </c>
      <c r="T1935" t="s">
        <v>27</v>
      </c>
      <c r="U1935">
        <v>630</v>
      </c>
      <c r="V1935" s="7" t="str">
        <f>IF(ISERROR(VLOOKUP(K1935,[1]작가별정산률!$R:$S,2,0)),"스토리위즈",VLOOKUP(K1935,[1]작가별정산률!$R:$S,2,0))</f>
        <v>스토리위즈</v>
      </c>
      <c r="W1935" s="7" t="str">
        <f>IF(V1935="스토리위즈",VLOOKUP(K1935,[1]작가별정산률!$A:$B,2,0),V1935)</f>
        <v>권용찬</v>
      </c>
    </row>
    <row r="1936" spans="1:23" x14ac:dyDescent="0.4">
      <c r="A1936" t="s">
        <v>262</v>
      </c>
      <c r="B1936" t="s">
        <v>2236</v>
      </c>
      <c r="C1936" t="s">
        <v>2287</v>
      </c>
      <c r="D1936" t="s">
        <v>64</v>
      </c>
      <c r="E1936" t="s">
        <v>22</v>
      </c>
      <c r="F1936" t="s">
        <v>23</v>
      </c>
      <c r="G1936">
        <v>1</v>
      </c>
      <c r="H1936">
        <v>9791159282867</v>
      </c>
      <c r="I1936" t="s">
        <v>24</v>
      </c>
      <c r="J1936" t="s">
        <v>32</v>
      </c>
      <c r="K1936" t="s">
        <v>26</v>
      </c>
      <c r="L1936" t="s">
        <v>27</v>
      </c>
      <c r="M1936">
        <v>630</v>
      </c>
      <c r="N1936" t="s">
        <v>27</v>
      </c>
      <c r="O1936">
        <v>630</v>
      </c>
      <c r="P1936">
        <v>630</v>
      </c>
      <c r="Q1936" t="s">
        <v>30</v>
      </c>
      <c r="R1936" s="2">
        <v>0.7</v>
      </c>
      <c r="S1936">
        <v>441</v>
      </c>
      <c r="T1936" t="s">
        <v>27</v>
      </c>
      <c r="U1936">
        <v>441</v>
      </c>
      <c r="V1936" s="7" t="str">
        <f>IF(ISERROR(VLOOKUP(K1936,[1]작가별정산률!$R:$S,2,0)),"스토리위즈",VLOOKUP(K1936,[1]작가별정산률!$R:$S,2,0))</f>
        <v>스토리위즈</v>
      </c>
      <c r="W1936" s="7" t="str">
        <f>IF(V1936="스토리위즈",VLOOKUP(K1936,[1]작가별정산률!$A:$B,2,0),V1936)</f>
        <v>독고진</v>
      </c>
    </row>
    <row r="1937" spans="1:23" x14ac:dyDescent="0.4">
      <c r="A1937" t="s">
        <v>262</v>
      </c>
      <c r="B1937" t="s">
        <v>2236</v>
      </c>
      <c r="C1937" t="s">
        <v>2288</v>
      </c>
      <c r="D1937" t="s">
        <v>21</v>
      </c>
      <c r="E1937" t="s">
        <v>22</v>
      </c>
      <c r="F1937" t="s">
        <v>23</v>
      </c>
      <c r="G1937">
        <v>1</v>
      </c>
      <c r="H1937">
        <v>9791166300035</v>
      </c>
      <c r="I1937" t="s">
        <v>24</v>
      </c>
      <c r="J1937" t="s">
        <v>142</v>
      </c>
      <c r="K1937" t="s">
        <v>119</v>
      </c>
      <c r="L1937" t="s">
        <v>27</v>
      </c>
      <c r="M1937" s="3">
        <v>3200</v>
      </c>
      <c r="N1937" t="s">
        <v>27</v>
      </c>
      <c r="O1937" s="3">
        <v>3200</v>
      </c>
      <c r="P1937" s="3">
        <v>3200</v>
      </c>
      <c r="Q1937" t="s">
        <v>30</v>
      </c>
      <c r="R1937" s="2">
        <v>0.7</v>
      </c>
      <c r="S1937" s="3">
        <v>2240</v>
      </c>
      <c r="T1937" t="s">
        <v>27</v>
      </c>
      <c r="U1937" s="3">
        <v>2240</v>
      </c>
      <c r="V1937" s="7" t="str">
        <f>IF(ISERROR(VLOOKUP(K1937,[1]작가별정산률!$R:$S,2,0)),"스토리위즈",VLOOKUP(K1937,[1]작가별정산률!$R:$S,2,0))</f>
        <v>스토리위즈</v>
      </c>
      <c r="W1937" s="7" t="str">
        <f>IF(V1937="스토리위즈",VLOOKUP(K1937,[1]작가별정산률!$A:$B,2,0),V1937)</f>
        <v>김광수</v>
      </c>
    </row>
    <row r="1938" spans="1:23" x14ac:dyDescent="0.4">
      <c r="A1938" t="s">
        <v>262</v>
      </c>
      <c r="B1938" t="s">
        <v>2236</v>
      </c>
      <c r="C1938" t="s">
        <v>2289</v>
      </c>
      <c r="D1938" t="s">
        <v>64</v>
      </c>
      <c r="E1938" t="s">
        <v>22</v>
      </c>
      <c r="F1938" t="s">
        <v>23</v>
      </c>
      <c r="G1938">
        <v>1</v>
      </c>
      <c r="H1938">
        <v>9791166300134</v>
      </c>
      <c r="I1938" t="s">
        <v>24</v>
      </c>
      <c r="J1938" t="s">
        <v>123</v>
      </c>
      <c r="K1938" t="s">
        <v>119</v>
      </c>
      <c r="L1938" t="s">
        <v>27</v>
      </c>
      <c r="M1938">
        <v>630</v>
      </c>
      <c r="N1938" t="s">
        <v>27</v>
      </c>
      <c r="O1938">
        <v>630</v>
      </c>
      <c r="P1938">
        <v>630</v>
      </c>
      <c r="Q1938" t="s">
        <v>30</v>
      </c>
      <c r="R1938" s="2">
        <v>0.7</v>
      </c>
      <c r="S1938">
        <v>441</v>
      </c>
      <c r="T1938" t="s">
        <v>27</v>
      </c>
      <c r="U1938">
        <v>441</v>
      </c>
      <c r="V1938" s="7" t="str">
        <f>IF(ISERROR(VLOOKUP(K1938,[1]작가별정산률!$R:$S,2,0)),"스토리위즈",VLOOKUP(K1938,[1]작가별정산률!$R:$S,2,0))</f>
        <v>스토리위즈</v>
      </c>
      <c r="W1938" s="7" t="str">
        <f>IF(V1938="스토리위즈",VLOOKUP(K1938,[1]작가별정산률!$A:$B,2,0),V1938)</f>
        <v>김광수</v>
      </c>
    </row>
    <row r="1939" spans="1:23" x14ac:dyDescent="0.4">
      <c r="A1939" t="s">
        <v>262</v>
      </c>
      <c r="B1939" t="s">
        <v>2236</v>
      </c>
      <c r="C1939" t="s">
        <v>2290</v>
      </c>
      <c r="D1939" t="s">
        <v>21</v>
      </c>
      <c r="E1939" t="s">
        <v>22</v>
      </c>
      <c r="F1939" t="s">
        <v>23</v>
      </c>
      <c r="G1939">
        <v>1</v>
      </c>
      <c r="H1939">
        <v>9791191562248</v>
      </c>
      <c r="I1939" t="s">
        <v>143</v>
      </c>
      <c r="J1939" t="s">
        <v>231</v>
      </c>
      <c r="K1939" t="s">
        <v>232</v>
      </c>
      <c r="L1939" t="s">
        <v>27</v>
      </c>
      <c r="M1939" s="3">
        <v>2000</v>
      </c>
      <c r="N1939" t="s">
        <v>28</v>
      </c>
      <c r="O1939">
        <v>1.65</v>
      </c>
      <c r="P1939">
        <v>1.65</v>
      </c>
      <c r="Q1939" t="s">
        <v>29</v>
      </c>
      <c r="R1939" s="2">
        <v>0.7</v>
      </c>
      <c r="S1939">
        <v>1.1499999999999999</v>
      </c>
      <c r="T1939" t="s">
        <v>27</v>
      </c>
      <c r="U1939" s="3">
        <v>1445</v>
      </c>
      <c r="V1939" s="7" t="str">
        <f>IF(ISERROR(VLOOKUP(K1939,[1]작가별정산률!$R:$S,2,0)),"스토리위즈",VLOOKUP(K1939,[1]작가별정산률!$R:$S,2,0))</f>
        <v>밀리의 서재</v>
      </c>
      <c r="W1939" s="7" t="str">
        <f>IF(V1939="스토리위즈",VLOOKUP(K1939,[1]작가별정산률!$A:$B,2,0),V1939)</f>
        <v>밀리의 서재</v>
      </c>
    </row>
    <row r="1940" spans="1:23" x14ac:dyDescent="0.4">
      <c r="A1940" t="s">
        <v>262</v>
      </c>
      <c r="B1940" t="s">
        <v>2236</v>
      </c>
      <c r="C1940" t="s">
        <v>2291</v>
      </c>
      <c r="D1940" t="s">
        <v>64</v>
      </c>
      <c r="E1940" t="s">
        <v>22</v>
      </c>
      <c r="F1940" t="s">
        <v>23</v>
      </c>
      <c r="G1940">
        <v>1</v>
      </c>
      <c r="H1940">
        <v>9791159283130</v>
      </c>
      <c r="I1940" t="s">
        <v>24</v>
      </c>
      <c r="J1940" t="s">
        <v>82</v>
      </c>
      <c r="K1940" t="s">
        <v>37</v>
      </c>
      <c r="L1940" t="s">
        <v>27</v>
      </c>
      <c r="M1940">
        <v>900</v>
      </c>
      <c r="N1940" t="s">
        <v>27</v>
      </c>
      <c r="O1940">
        <v>900</v>
      </c>
      <c r="P1940">
        <v>900</v>
      </c>
      <c r="Q1940" t="s">
        <v>30</v>
      </c>
      <c r="R1940" s="2">
        <v>0.7</v>
      </c>
      <c r="S1940">
        <v>630</v>
      </c>
      <c r="T1940" t="s">
        <v>27</v>
      </c>
      <c r="U1940">
        <v>630</v>
      </c>
      <c r="V1940" s="7" t="str">
        <f>IF(ISERROR(VLOOKUP(K1940,[1]작가별정산률!$R:$S,2,0)),"스토리위즈",VLOOKUP(K1940,[1]작가별정산률!$R:$S,2,0))</f>
        <v>스토리위즈</v>
      </c>
      <c r="W1940" s="7" t="str">
        <f>IF(V1940="스토리위즈",VLOOKUP(K1940,[1]작가별정산률!$A:$B,2,0),V1940)</f>
        <v>권용찬</v>
      </c>
    </row>
    <row r="1941" spans="1:23" x14ac:dyDescent="0.4">
      <c r="A1941" t="s">
        <v>262</v>
      </c>
      <c r="B1941" t="s">
        <v>2236</v>
      </c>
      <c r="C1941" t="s">
        <v>2292</v>
      </c>
      <c r="D1941" t="s">
        <v>64</v>
      </c>
      <c r="E1941" t="s">
        <v>22</v>
      </c>
      <c r="F1941" t="s">
        <v>23</v>
      </c>
      <c r="G1941">
        <v>1</v>
      </c>
      <c r="H1941">
        <v>9791159283093</v>
      </c>
      <c r="I1941" t="s">
        <v>24</v>
      </c>
      <c r="J1941" t="s">
        <v>73</v>
      </c>
      <c r="K1941" t="s">
        <v>37</v>
      </c>
      <c r="L1941" t="s">
        <v>27</v>
      </c>
      <c r="M1941">
        <v>900</v>
      </c>
      <c r="N1941" t="s">
        <v>27</v>
      </c>
      <c r="O1941">
        <v>900</v>
      </c>
      <c r="P1941">
        <v>900</v>
      </c>
      <c r="Q1941" t="s">
        <v>30</v>
      </c>
      <c r="R1941" s="2">
        <v>0.7</v>
      </c>
      <c r="S1941">
        <v>630</v>
      </c>
      <c r="T1941" t="s">
        <v>27</v>
      </c>
      <c r="U1941">
        <v>630</v>
      </c>
      <c r="V1941" s="7" t="str">
        <f>IF(ISERROR(VLOOKUP(K1941,[1]작가별정산률!$R:$S,2,0)),"스토리위즈",VLOOKUP(K1941,[1]작가별정산률!$R:$S,2,0))</f>
        <v>스토리위즈</v>
      </c>
      <c r="W1941" s="7" t="str">
        <f>IF(V1941="스토리위즈",VLOOKUP(K1941,[1]작가별정산률!$A:$B,2,0),V1941)</f>
        <v>권용찬</v>
      </c>
    </row>
    <row r="1942" spans="1:23" x14ac:dyDescent="0.4">
      <c r="A1942" t="s">
        <v>262</v>
      </c>
      <c r="B1942" t="s">
        <v>2236</v>
      </c>
      <c r="C1942" t="s">
        <v>2293</v>
      </c>
      <c r="D1942" t="s">
        <v>64</v>
      </c>
      <c r="E1942" t="s">
        <v>22</v>
      </c>
      <c r="F1942" t="s">
        <v>23</v>
      </c>
      <c r="G1942">
        <v>1</v>
      </c>
      <c r="H1942">
        <v>9791166064135</v>
      </c>
      <c r="I1942" t="s">
        <v>24</v>
      </c>
      <c r="J1942" t="s">
        <v>77</v>
      </c>
      <c r="K1942" t="s">
        <v>37</v>
      </c>
      <c r="L1942" t="s">
        <v>27</v>
      </c>
      <c r="M1942">
        <v>900</v>
      </c>
      <c r="N1942" t="s">
        <v>27</v>
      </c>
      <c r="O1942">
        <v>900</v>
      </c>
      <c r="P1942">
        <v>900</v>
      </c>
      <c r="Q1942" t="s">
        <v>30</v>
      </c>
      <c r="R1942" s="2">
        <v>0.7</v>
      </c>
      <c r="S1942">
        <v>630</v>
      </c>
      <c r="T1942" t="s">
        <v>27</v>
      </c>
      <c r="U1942">
        <v>630</v>
      </c>
      <c r="V1942" s="7" t="str">
        <f>IF(ISERROR(VLOOKUP(K1942,[1]작가별정산률!$R:$S,2,0)),"스토리위즈",VLOOKUP(K1942,[1]작가별정산률!$R:$S,2,0))</f>
        <v>스토리위즈</v>
      </c>
      <c r="W1942" s="7" t="str">
        <f>IF(V1942="스토리위즈",VLOOKUP(K1942,[1]작가별정산률!$A:$B,2,0),V1942)</f>
        <v>권용찬</v>
      </c>
    </row>
    <row r="1943" spans="1:23" x14ac:dyDescent="0.4">
      <c r="A1943" t="s">
        <v>262</v>
      </c>
      <c r="B1943" t="s">
        <v>2236</v>
      </c>
      <c r="C1943" t="s">
        <v>2294</v>
      </c>
      <c r="D1943" t="s">
        <v>21</v>
      </c>
      <c r="E1943" t="s">
        <v>22</v>
      </c>
      <c r="F1943" t="s">
        <v>23</v>
      </c>
      <c r="G1943">
        <v>1</v>
      </c>
      <c r="H1943">
        <v>9791191562262</v>
      </c>
      <c r="I1943" t="s">
        <v>143</v>
      </c>
      <c r="J1943" t="s">
        <v>250</v>
      </c>
      <c r="K1943" t="s">
        <v>251</v>
      </c>
      <c r="L1943" t="s">
        <v>27</v>
      </c>
      <c r="M1943" s="3">
        <v>2000</v>
      </c>
      <c r="N1943" t="s">
        <v>27</v>
      </c>
      <c r="O1943" s="3">
        <v>2000</v>
      </c>
      <c r="P1943" s="3">
        <v>2000</v>
      </c>
      <c r="Q1943" t="s">
        <v>30</v>
      </c>
      <c r="R1943" s="2">
        <v>0.7</v>
      </c>
      <c r="S1943" s="3">
        <v>1400</v>
      </c>
      <c r="T1943" t="s">
        <v>27</v>
      </c>
      <c r="U1943" s="3">
        <v>1400</v>
      </c>
      <c r="V1943" s="7" t="str">
        <f>IF(ISERROR(VLOOKUP(K1943,[1]작가별정산률!$R:$S,2,0)),"스토리위즈",VLOOKUP(K1943,[1]작가별정산률!$R:$S,2,0))</f>
        <v>밀리의 서재</v>
      </c>
      <c r="W1943" s="7" t="str">
        <f>IF(V1943="스토리위즈",VLOOKUP(K1943,[1]작가별정산률!$A:$B,2,0),V1943)</f>
        <v>밀리의 서재</v>
      </c>
    </row>
    <row r="1944" spans="1:23" x14ac:dyDescent="0.4">
      <c r="A1944" t="s">
        <v>262</v>
      </c>
      <c r="B1944" t="s">
        <v>2236</v>
      </c>
      <c r="C1944" t="s">
        <v>2295</v>
      </c>
      <c r="D1944" t="s">
        <v>64</v>
      </c>
      <c r="E1944" t="s">
        <v>22</v>
      </c>
      <c r="F1944" t="s">
        <v>23</v>
      </c>
      <c r="G1944">
        <v>1</v>
      </c>
      <c r="H1944">
        <v>9791159283215</v>
      </c>
      <c r="I1944" t="s">
        <v>24</v>
      </c>
      <c r="J1944" t="s">
        <v>103</v>
      </c>
      <c r="K1944" t="s">
        <v>37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  <c r="V1944" s="7" t="str">
        <f>IF(ISERROR(VLOOKUP(K1944,[1]작가별정산률!$R:$S,2,0)),"스토리위즈",VLOOKUP(K1944,[1]작가별정산률!$R:$S,2,0))</f>
        <v>스토리위즈</v>
      </c>
      <c r="W1944" s="7" t="str">
        <f>IF(V1944="스토리위즈",VLOOKUP(K1944,[1]작가별정산률!$A:$B,2,0),V1944)</f>
        <v>권용찬</v>
      </c>
    </row>
    <row r="1945" spans="1:23" x14ac:dyDescent="0.4">
      <c r="A1945" t="s">
        <v>262</v>
      </c>
      <c r="B1945" t="s">
        <v>2236</v>
      </c>
      <c r="C1945" t="s">
        <v>2296</v>
      </c>
      <c r="D1945" t="s">
        <v>64</v>
      </c>
      <c r="E1945" t="s">
        <v>22</v>
      </c>
      <c r="F1945" t="s">
        <v>23</v>
      </c>
      <c r="G1945">
        <v>1</v>
      </c>
      <c r="H1945">
        <v>9791166064104</v>
      </c>
      <c r="I1945" t="s">
        <v>24</v>
      </c>
      <c r="J1945" t="s">
        <v>93</v>
      </c>
      <c r="K1945" t="s">
        <v>37</v>
      </c>
      <c r="L1945" t="s">
        <v>27</v>
      </c>
      <c r="M1945">
        <v>900</v>
      </c>
      <c r="N1945" t="s">
        <v>27</v>
      </c>
      <c r="O1945">
        <v>900</v>
      </c>
      <c r="P1945">
        <v>900</v>
      </c>
      <c r="Q1945" t="s">
        <v>30</v>
      </c>
      <c r="R1945" s="2">
        <v>0.7</v>
      </c>
      <c r="S1945">
        <v>630</v>
      </c>
      <c r="T1945" t="s">
        <v>27</v>
      </c>
      <c r="U1945">
        <v>630</v>
      </c>
      <c r="V1945" s="7" t="str">
        <f>IF(ISERROR(VLOOKUP(K1945,[1]작가별정산률!$R:$S,2,0)),"스토리위즈",VLOOKUP(K1945,[1]작가별정산률!$R:$S,2,0))</f>
        <v>스토리위즈</v>
      </c>
      <c r="W1945" s="7" t="str">
        <f>IF(V1945="스토리위즈",VLOOKUP(K1945,[1]작가별정산률!$A:$B,2,0),V1945)</f>
        <v>권용찬</v>
      </c>
    </row>
    <row r="1946" spans="1:23" x14ac:dyDescent="0.4">
      <c r="A1946" t="s">
        <v>262</v>
      </c>
      <c r="B1946" t="s">
        <v>2236</v>
      </c>
      <c r="C1946" t="s">
        <v>2297</v>
      </c>
      <c r="D1946" t="s">
        <v>64</v>
      </c>
      <c r="E1946" t="s">
        <v>22</v>
      </c>
      <c r="F1946" t="s">
        <v>23</v>
      </c>
      <c r="G1946">
        <v>1</v>
      </c>
      <c r="H1946">
        <v>9791166300134</v>
      </c>
      <c r="I1946" t="s">
        <v>24</v>
      </c>
      <c r="J1946" t="s">
        <v>123</v>
      </c>
      <c r="K1946" t="s">
        <v>119</v>
      </c>
      <c r="L1946" t="s">
        <v>27</v>
      </c>
      <c r="M1946">
        <v>630</v>
      </c>
      <c r="N1946" t="s">
        <v>27</v>
      </c>
      <c r="O1946">
        <v>630</v>
      </c>
      <c r="P1946">
        <v>630</v>
      </c>
      <c r="Q1946" t="s">
        <v>30</v>
      </c>
      <c r="R1946" s="2">
        <v>0.7</v>
      </c>
      <c r="S1946">
        <v>441</v>
      </c>
      <c r="T1946" t="s">
        <v>27</v>
      </c>
      <c r="U1946">
        <v>441</v>
      </c>
      <c r="V1946" s="7" t="str">
        <f>IF(ISERROR(VLOOKUP(K1946,[1]작가별정산률!$R:$S,2,0)),"스토리위즈",VLOOKUP(K1946,[1]작가별정산률!$R:$S,2,0))</f>
        <v>스토리위즈</v>
      </c>
      <c r="W1946" s="7" t="str">
        <f>IF(V1946="스토리위즈",VLOOKUP(K1946,[1]작가별정산률!$A:$B,2,0),V1946)</f>
        <v>김광수</v>
      </c>
    </row>
    <row r="1947" spans="1:23" x14ac:dyDescent="0.4">
      <c r="A1947" t="s">
        <v>262</v>
      </c>
      <c r="B1947" t="s">
        <v>2236</v>
      </c>
      <c r="C1947" t="s">
        <v>2298</v>
      </c>
      <c r="D1947" t="s">
        <v>64</v>
      </c>
      <c r="E1947" t="s">
        <v>22</v>
      </c>
      <c r="F1947" t="s">
        <v>23</v>
      </c>
      <c r="G1947">
        <v>1</v>
      </c>
      <c r="H1947">
        <v>9791159283161</v>
      </c>
      <c r="I1947" t="s">
        <v>24</v>
      </c>
      <c r="J1947" t="s">
        <v>85</v>
      </c>
      <c r="K1947" t="s">
        <v>37</v>
      </c>
      <c r="L1947" t="s">
        <v>27</v>
      </c>
      <c r="M1947">
        <v>900</v>
      </c>
      <c r="N1947" t="s">
        <v>27</v>
      </c>
      <c r="O1947">
        <v>900</v>
      </c>
      <c r="P1947">
        <v>900</v>
      </c>
      <c r="Q1947" t="s">
        <v>30</v>
      </c>
      <c r="R1947" s="2">
        <v>0.7</v>
      </c>
      <c r="S1947">
        <v>630</v>
      </c>
      <c r="T1947" t="s">
        <v>27</v>
      </c>
      <c r="U1947">
        <v>630</v>
      </c>
      <c r="V1947" s="7" t="str">
        <f>IF(ISERROR(VLOOKUP(K1947,[1]작가별정산률!$R:$S,2,0)),"스토리위즈",VLOOKUP(K1947,[1]작가별정산률!$R:$S,2,0))</f>
        <v>스토리위즈</v>
      </c>
      <c r="W1947" s="7" t="str">
        <f>IF(V1947="스토리위즈",VLOOKUP(K1947,[1]작가별정산률!$A:$B,2,0),V1947)</f>
        <v>권용찬</v>
      </c>
    </row>
    <row r="1948" spans="1:23" x14ac:dyDescent="0.4">
      <c r="A1948" t="s">
        <v>262</v>
      </c>
      <c r="B1948" t="s">
        <v>2236</v>
      </c>
      <c r="C1948" t="s">
        <v>2299</v>
      </c>
      <c r="D1948" t="s">
        <v>21</v>
      </c>
      <c r="E1948" t="s">
        <v>22</v>
      </c>
      <c r="F1948" t="s">
        <v>23</v>
      </c>
      <c r="G1948">
        <v>1</v>
      </c>
      <c r="H1948">
        <v>9791166300639</v>
      </c>
      <c r="I1948" t="s">
        <v>24</v>
      </c>
      <c r="J1948" t="s">
        <v>165</v>
      </c>
      <c r="K1948" t="s">
        <v>119</v>
      </c>
      <c r="L1948" t="s">
        <v>27</v>
      </c>
      <c r="M1948" s="3">
        <v>3200</v>
      </c>
      <c r="N1948" t="s">
        <v>27</v>
      </c>
      <c r="O1948" s="3">
        <v>3200</v>
      </c>
      <c r="P1948" s="3">
        <v>3200</v>
      </c>
      <c r="Q1948" t="s">
        <v>30</v>
      </c>
      <c r="R1948" s="2">
        <v>0.7</v>
      </c>
      <c r="S1948" s="3">
        <v>2240</v>
      </c>
      <c r="T1948" t="s">
        <v>27</v>
      </c>
      <c r="U1948" s="3">
        <v>2240</v>
      </c>
      <c r="V1948" s="7" t="str">
        <f>IF(ISERROR(VLOOKUP(K1948,[1]작가별정산률!$R:$S,2,0)),"스토리위즈",VLOOKUP(K1948,[1]작가별정산률!$R:$S,2,0))</f>
        <v>스토리위즈</v>
      </c>
      <c r="W1948" s="7" t="str">
        <f>IF(V1948="스토리위즈",VLOOKUP(K1948,[1]작가별정산률!$A:$B,2,0),V1948)</f>
        <v>김광수</v>
      </c>
    </row>
    <row r="1949" spans="1:23" x14ac:dyDescent="0.4">
      <c r="A1949" t="s">
        <v>262</v>
      </c>
      <c r="B1949" t="s">
        <v>2236</v>
      </c>
      <c r="C1949" t="s">
        <v>2300</v>
      </c>
      <c r="D1949" t="s">
        <v>64</v>
      </c>
      <c r="E1949" t="s">
        <v>22</v>
      </c>
      <c r="F1949" t="s">
        <v>23</v>
      </c>
      <c r="G1949">
        <v>1</v>
      </c>
      <c r="H1949">
        <v>9791166300264</v>
      </c>
      <c r="I1949" t="s">
        <v>24</v>
      </c>
      <c r="J1949" t="s">
        <v>135</v>
      </c>
      <c r="K1949" t="s">
        <v>119</v>
      </c>
      <c r="L1949" t="s">
        <v>27</v>
      </c>
      <c r="M1949">
        <v>630</v>
      </c>
      <c r="N1949" t="s">
        <v>27</v>
      </c>
      <c r="O1949">
        <v>630</v>
      </c>
      <c r="P1949">
        <v>630</v>
      </c>
      <c r="Q1949" t="s">
        <v>30</v>
      </c>
      <c r="R1949" s="2">
        <v>0.7</v>
      </c>
      <c r="S1949">
        <v>441</v>
      </c>
      <c r="T1949" t="s">
        <v>27</v>
      </c>
      <c r="U1949">
        <v>441</v>
      </c>
      <c r="V1949" s="7" t="str">
        <f>IF(ISERROR(VLOOKUP(K1949,[1]작가별정산률!$R:$S,2,0)),"스토리위즈",VLOOKUP(K1949,[1]작가별정산률!$R:$S,2,0))</f>
        <v>스토리위즈</v>
      </c>
      <c r="W1949" s="7" t="str">
        <f>IF(V1949="스토리위즈",VLOOKUP(K1949,[1]작가별정산률!$A:$B,2,0),V1949)</f>
        <v>김광수</v>
      </c>
    </row>
    <row r="1950" spans="1:23" x14ac:dyDescent="0.4">
      <c r="A1950" t="s">
        <v>262</v>
      </c>
      <c r="B1950" t="s">
        <v>2236</v>
      </c>
      <c r="C1950" t="s">
        <v>2301</v>
      </c>
      <c r="D1950" t="s">
        <v>64</v>
      </c>
      <c r="E1950" t="s">
        <v>22</v>
      </c>
      <c r="F1950" t="s">
        <v>23</v>
      </c>
      <c r="G1950">
        <v>1</v>
      </c>
      <c r="H1950">
        <v>9791166061097</v>
      </c>
      <c r="I1950" t="s">
        <v>24</v>
      </c>
      <c r="J1950" t="s">
        <v>95</v>
      </c>
      <c r="K1950" t="s">
        <v>37</v>
      </c>
      <c r="L1950" t="s">
        <v>27</v>
      </c>
      <c r="M1950">
        <v>900</v>
      </c>
      <c r="N1950" t="s">
        <v>27</v>
      </c>
      <c r="O1950">
        <v>900</v>
      </c>
      <c r="P1950">
        <v>900</v>
      </c>
      <c r="Q1950" t="s">
        <v>30</v>
      </c>
      <c r="R1950" s="2">
        <v>0.7</v>
      </c>
      <c r="S1950">
        <v>630</v>
      </c>
      <c r="T1950" t="s">
        <v>27</v>
      </c>
      <c r="U1950">
        <v>630</v>
      </c>
      <c r="V1950" s="7" t="str">
        <f>IF(ISERROR(VLOOKUP(K1950,[1]작가별정산률!$R:$S,2,0)),"스토리위즈",VLOOKUP(K1950,[1]작가별정산률!$R:$S,2,0))</f>
        <v>스토리위즈</v>
      </c>
      <c r="W1950" s="7" t="str">
        <f>IF(V1950="스토리위즈",VLOOKUP(K1950,[1]작가별정산률!$A:$B,2,0),V1950)</f>
        <v>권용찬</v>
      </c>
    </row>
    <row r="1951" spans="1:23" x14ac:dyDescent="0.4">
      <c r="A1951" t="s">
        <v>262</v>
      </c>
      <c r="B1951" t="s">
        <v>2236</v>
      </c>
      <c r="C1951" t="s">
        <v>2302</v>
      </c>
      <c r="D1951" t="s">
        <v>64</v>
      </c>
      <c r="E1951" t="s">
        <v>22</v>
      </c>
      <c r="F1951" t="s">
        <v>23</v>
      </c>
      <c r="G1951">
        <v>1</v>
      </c>
      <c r="H1951">
        <v>9791159282249</v>
      </c>
      <c r="I1951" t="s">
        <v>24</v>
      </c>
      <c r="J1951" t="s">
        <v>110</v>
      </c>
      <c r="K1951" t="s">
        <v>37</v>
      </c>
      <c r="L1951" t="s">
        <v>27</v>
      </c>
      <c r="M1951">
        <v>900</v>
      </c>
      <c r="N1951" t="s">
        <v>27</v>
      </c>
      <c r="O1951">
        <v>900</v>
      </c>
      <c r="P1951">
        <v>900</v>
      </c>
      <c r="Q1951" t="s">
        <v>30</v>
      </c>
      <c r="R1951" s="2">
        <v>0.7</v>
      </c>
      <c r="S1951">
        <v>630</v>
      </c>
      <c r="T1951" t="s">
        <v>27</v>
      </c>
      <c r="U1951">
        <v>630</v>
      </c>
      <c r="V1951" s="7" t="str">
        <f>IF(ISERROR(VLOOKUP(K1951,[1]작가별정산률!$R:$S,2,0)),"스토리위즈",VLOOKUP(K1951,[1]작가별정산률!$R:$S,2,0))</f>
        <v>스토리위즈</v>
      </c>
      <c r="W1951" s="7" t="str">
        <f>IF(V1951="스토리위즈",VLOOKUP(K1951,[1]작가별정산률!$A:$B,2,0),V1951)</f>
        <v>권용찬</v>
      </c>
    </row>
    <row r="1952" spans="1:23" x14ac:dyDescent="0.4">
      <c r="A1952" t="s">
        <v>262</v>
      </c>
      <c r="B1952" t="s">
        <v>2236</v>
      </c>
      <c r="C1952" t="s">
        <v>2303</v>
      </c>
      <c r="D1952" t="s">
        <v>21</v>
      </c>
      <c r="E1952" t="s">
        <v>22</v>
      </c>
      <c r="F1952" t="s">
        <v>23</v>
      </c>
      <c r="G1952">
        <v>1</v>
      </c>
      <c r="H1952">
        <v>9791191562361</v>
      </c>
      <c r="I1952" t="s">
        <v>143</v>
      </c>
      <c r="J1952" t="s">
        <v>916</v>
      </c>
      <c r="K1952" t="s">
        <v>186</v>
      </c>
      <c r="L1952" t="s">
        <v>27</v>
      </c>
      <c r="M1952" s="3">
        <v>2000</v>
      </c>
      <c r="N1952" t="s">
        <v>27</v>
      </c>
      <c r="O1952" s="3">
        <v>2000</v>
      </c>
      <c r="P1952" s="3">
        <v>2000</v>
      </c>
      <c r="Q1952" t="s">
        <v>30</v>
      </c>
      <c r="R1952" s="2">
        <v>0.7</v>
      </c>
      <c r="S1952" s="3">
        <v>1400</v>
      </c>
      <c r="T1952" t="s">
        <v>27</v>
      </c>
      <c r="U1952" s="3">
        <v>1400</v>
      </c>
      <c r="V1952" s="7" t="str">
        <f>IF(ISERROR(VLOOKUP(K1952,[1]작가별정산률!$R:$S,2,0)),"스토리위즈",VLOOKUP(K1952,[1]작가별정산률!$R:$S,2,0))</f>
        <v>밀리의 서재</v>
      </c>
      <c r="W1952" s="7" t="str">
        <f>IF(V1952="스토리위즈",VLOOKUP(K1952,[1]작가별정산률!$A:$B,2,0),V1952)</f>
        <v>밀리의 서재</v>
      </c>
    </row>
    <row r="1953" spans="1:23" x14ac:dyDescent="0.4">
      <c r="A1953" t="s">
        <v>262</v>
      </c>
      <c r="B1953" t="s">
        <v>2236</v>
      </c>
      <c r="C1953" t="s">
        <v>2304</v>
      </c>
      <c r="D1953" t="s">
        <v>64</v>
      </c>
      <c r="E1953" t="s">
        <v>22</v>
      </c>
      <c r="F1953" t="s">
        <v>23</v>
      </c>
      <c r="G1953">
        <v>1</v>
      </c>
      <c r="H1953">
        <v>9791166061103</v>
      </c>
      <c r="I1953" t="s">
        <v>24</v>
      </c>
      <c r="J1953" t="s">
        <v>96</v>
      </c>
      <c r="K1953" t="s">
        <v>37</v>
      </c>
      <c r="L1953" t="s">
        <v>27</v>
      </c>
      <c r="M1953">
        <v>900</v>
      </c>
      <c r="N1953" t="s">
        <v>27</v>
      </c>
      <c r="O1953">
        <v>900</v>
      </c>
      <c r="P1953">
        <v>900</v>
      </c>
      <c r="Q1953" t="s">
        <v>30</v>
      </c>
      <c r="R1953" s="2">
        <v>0.7</v>
      </c>
      <c r="S1953">
        <v>630</v>
      </c>
      <c r="T1953" t="s">
        <v>27</v>
      </c>
      <c r="U1953">
        <v>630</v>
      </c>
      <c r="V1953" s="7" t="str">
        <f>IF(ISERROR(VLOOKUP(K1953,[1]작가별정산률!$R:$S,2,0)),"스토리위즈",VLOOKUP(K1953,[1]작가별정산률!$R:$S,2,0))</f>
        <v>스토리위즈</v>
      </c>
      <c r="W1953" s="7" t="str">
        <f>IF(V1953="스토리위즈",VLOOKUP(K1953,[1]작가별정산률!$A:$B,2,0),V1953)</f>
        <v>권용찬</v>
      </c>
    </row>
    <row r="1954" spans="1:23" x14ac:dyDescent="0.4">
      <c r="A1954" t="s">
        <v>262</v>
      </c>
      <c r="B1954" t="s">
        <v>2236</v>
      </c>
      <c r="C1954" t="s">
        <v>2305</v>
      </c>
      <c r="D1954" t="s">
        <v>21</v>
      </c>
      <c r="E1954" t="s">
        <v>22</v>
      </c>
      <c r="F1954" t="s">
        <v>23</v>
      </c>
      <c r="G1954">
        <v>1</v>
      </c>
      <c r="H1954">
        <v>9791166300042</v>
      </c>
      <c r="I1954" t="s">
        <v>24</v>
      </c>
      <c r="J1954" t="s">
        <v>168</v>
      </c>
      <c r="K1954" t="s">
        <v>119</v>
      </c>
      <c r="L1954" t="s">
        <v>27</v>
      </c>
      <c r="M1954" s="3">
        <v>3200</v>
      </c>
      <c r="N1954" t="s">
        <v>27</v>
      </c>
      <c r="O1954" s="3">
        <v>3200</v>
      </c>
      <c r="P1954" s="3">
        <v>3200</v>
      </c>
      <c r="Q1954" t="s">
        <v>30</v>
      </c>
      <c r="R1954" s="2">
        <v>0.7</v>
      </c>
      <c r="S1954" s="3">
        <v>2240</v>
      </c>
      <c r="T1954" t="s">
        <v>27</v>
      </c>
      <c r="U1954" s="3">
        <v>2240</v>
      </c>
      <c r="V1954" s="7" t="str">
        <f>IF(ISERROR(VLOOKUP(K1954,[1]작가별정산률!$R:$S,2,0)),"스토리위즈",VLOOKUP(K1954,[1]작가별정산률!$R:$S,2,0))</f>
        <v>스토리위즈</v>
      </c>
      <c r="W1954" s="7" t="str">
        <f>IF(V1954="스토리위즈",VLOOKUP(K1954,[1]작가별정산률!$A:$B,2,0),V1954)</f>
        <v>김광수</v>
      </c>
    </row>
    <row r="1955" spans="1:23" x14ac:dyDescent="0.4">
      <c r="A1955" t="s">
        <v>262</v>
      </c>
      <c r="B1955" t="s">
        <v>2236</v>
      </c>
      <c r="C1955" t="s">
        <v>2306</v>
      </c>
      <c r="D1955" t="s">
        <v>64</v>
      </c>
      <c r="E1955" t="s">
        <v>22</v>
      </c>
      <c r="F1955" t="s">
        <v>23</v>
      </c>
      <c r="G1955">
        <v>1</v>
      </c>
      <c r="H1955">
        <v>9791159285004</v>
      </c>
      <c r="I1955" t="s">
        <v>24</v>
      </c>
      <c r="J1955" t="s">
        <v>53</v>
      </c>
      <c r="K1955" t="s">
        <v>47</v>
      </c>
      <c r="L1955" t="s">
        <v>27</v>
      </c>
      <c r="M1955">
        <v>630</v>
      </c>
      <c r="N1955" t="s">
        <v>27</v>
      </c>
      <c r="O1955">
        <v>630</v>
      </c>
      <c r="P1955">
        <v>630</v>
      </c>
      <c r="Q1955" t="s">
        <v>30</v>
      </c>
      <c r="R1955" s="2">
        <v>0.7</v>
      </c>
      <c r="S1955">
        <v>441</v>
      </c>
      <c r="T1955" t="s">
        <v>27</v>
      </c>
      <c r="U1955">
        <v>441</v>
      </c>
      <c r="V1955" s="7" t="str">
        <f>IF(ISERROR(VLOOKUP(K1955,[1]작가별정산률!$R:$S,2,0)),"스토리위즈",VLOOKUP(K1955,[1]작가별정산률!$R:$S,2,0))</f>
        <v>스토리위즈</v>
      </c>
      <c r="W1955" s="7" t="str">
        <f>IF(V1955="스토리위즈",VLOOKUP(K1955,[1]작가별정산률!$A:$B,2,0),V1955)</f>
        <v>전혁</v>
      </c>
    </row>
    <row r="1956" spans="1:23" x14ac:dyDescent="0.4">
      <c r="A1956" t="s">
        <v>262</v>
      </c>
      <c r="B1956" t="s">
        <v>2236</v>
      </c>
      <c r="C1956" t="s">
        <v>2307</v>
      </c>
      <c r="D1956" t="s">
        <v>64</v>
      </c>
      <c r="E1956" t="s">
        <v>22</v>
      </c>
      <c r="F1956" t="s">
        <v>23</v>
      </c>
      <c r="G1956">
        <v>1</v>
      </c>
      <c r="H1956">
        <v>9791159283178</v>
      </c>
      <c r="I1956" t="s">
        <v>24</v>
      </c>
      <c r="J1956" t="s">
        <v>88</v>
      </c>
      <c r="K1956" t="s">
        <v>37</v>
      </c>
      <c r="L1956" t="s">
        <v>27</v>
      </c>
      <c r="M1956">
        <v>900</v>
      </c>
      <c r="N1956" t="s">
        <v>27</v>
      </c>
      <c r="O1956">
        <v>900</v>
      </c>
      <c r="P1956">
        <v>900</v>
      </c>
      <c r="Q1956" t="s">
        <v>30</v>
      </c>
      <c r="R1956" s="2">
        <v>0.7</v>
      </c>
      <c r="S1956">
        <v>630</v>
      </c>
      <c r="T1956" t="s">
        <v>27</v>
      </c>
      <c r="U1956">
        <v>630</v>
      </c>
      <c r="V1956" s="7" t="str">
        <f>IF(ISERROR(VLOOKUP(K1956,[1]작가별정산률!$R:$S,2,0)),"스토리위즈",VLOOKUP(K1956,[1]작가별정산률!$R:$S,2,0))</f>
        <v>스토리위즈</v>
      </c>
      <c r="W1956" s="7" t="str">
        <f>IF(V1956="스토리위즈",VLOOKUP(K1956,[1]작가별정산률!$A:$B,2,0),V1956)</f>
        <v>권용찬</v>
      </c>
    </row>
    <row r="1957" spans="1:23" x14ac:dyDescent="0.4">
      <c r="A1957" t="s">
        <v>262</v>
      </c>
      <c r="B1957" t="s">
        <v>2308</v>
      </c>
      <c r="C1957" t="s">
        <v>2309</v>
      </c>
      <c r="D1957" t="s">
        <v>64</v>
      </c>
      <c r="E1957" t="s">
        <v>22</v>
      </c>
      <c r="F1957" t="s">
        <v>23</v>
      </c>
      <c r="G1957">
        <v>1</v>
      </c>
      <c r="H1957">
        <v>9791166300493</v>
      </c>
      <c r="I1957" t="s">
        <v>24</v>
      </c>
      <c r="J1957" t="s">
        <v>147</v>
      </c>
      <c r="K1957" t="s">
        <v>119</v>
      </c>
      <c r="L1957" t="s">
        <v>27</v>
      </c>
      <c r="M1957">
        <v>630</v>
      </c>
      <c r="N1957" t="s">
        <v>27</v>
      </c>
      <c r="O1957">
        <v>630</v>
      </c>
      <c r="P1957">
        <v>630</v>
      </c>
      <c r="Q1957" t="s">
        <v>30</v>
      </c>
      <c r="R1957" s="2">
        <v>0.7</v>
      </c>
      <c r="S1957">
        <v>441</v>
      </c>
      <c r="T1957" t="s">
        <v>27</v>
      </c>
      <c r="U1957">
        <v>441</v>
      </c>
      <c r="V1957" s="7" t="str">
        <f>IF(ISERROR(VLOOKUP(K1957,[1]작가별정산률!$R:$S,2,0)),"스토리위즈",VLOOKUP(K1957,[1]작가별정산률!$R:$S,2,0))</f>
        <v>스토리위즈</v>
      </c>
      <c r="W1957" s="7" t="str">
        <f>IF(V1957="스토리위즈",VLOOKUP(K1957,[1]작가별정산률!$A:$B,2,0),V1957)</f>
        <v>김광수</v>
      </c>
    </row>
    <row r="1958" spans="1:23" x14ac:dyDescent="0.4">
      <c r="A1958" t="s">
        <v>262</v>
      </c>
      <c r="B1958" t="s">
        <v>2308</v>
      </c>
      <c r="C1958" t="s">
        <v>2310</v>
      </c>
      <c r="D1958" t="s">
        <v>21</v>
      </c>
      <c r="E1958" t="s">
        <v>22</v>
      </c>
      <c r="F1958" t="s">
        <v>23</v>
      </c>
      <c r="G1958">
        <v>1</v>
      </c>
      <c r="H1958">
        <v>9791189084813</v>
      </c>
      <c r="I1958" t="s">
        <v>143</v>
      </c>
      <c r="J1958" t="s">
        <v>563</v>
      </c>
      <c r="K1958" t="s">
        <v>564</v>
      </c>
      <c r="L1958" t="s">
        <v>27</v>
      </c>
      <c r="M1958" s="3">
        <v>4000</v>
      </c>
      <c r="N1958" t="s">
        <v>27</v>
      </c>
      <c r="O1958" s="3">
        <v>4000</v>
      </c>
      <c r="P1958" s="3">
        <v>4000</v>
      </c>
      <c r="Q1958" t="s">
        <v>30</v>
      </c>
      <c r="R1958" s="2">
        <v>0.7</v>
      </c>
      <c r="S1958" s="3">
        <v>2800</v>
      </c>
      <c r="T1958" t="s">
        <v>27</v>
      </c>
      <c r="U1958" s="3">
        <v>2800</v>
      </c>
      <c r="V1958" s="7" t="str">
        <f>IF(ISERROR(VLOOKUP(K1958,[1]작가별정산률!$R:$S,2,0)),"스토리위즈",VLOOKUP(K1958,[1]작가별정산률!$R:$S,2,0))</f>
        <v>스토리위즈</v>
      </c>
      <c r="W1958" s="7" t="str">
        <f>IF(V1958="스토리위즈",VLOOKUP(K1958,[1]작가별정산률!$A:$B,2,0),V1958)</f>
        <v>셔틀</v>
      </c>
    </row>
    <row r="1959" spans="1:23" x14ac:dyDescent="0.4">
      <c r="A1959" t="s">
        <v>262</v>
      </c>
      <c r="B1959" t="s">
        <v>2308</v>
      </c>
      <c r="C1959" t="s">
        <v>2311</v>
      </c>
      <c r="D1959" t="s">
        <v>64</v>
      </c>
      <c r="E1959" t="s">
        <v>22</v>
      </c>
      <c r="F1959" t="s">
        <v>23</v>
      </c>
      <c r="G1959">
        <v>1</v>
      </c>
      <c r="H1959">
        <v>9791166061110</v>
      </c>
      <c r="I1959" t="s">
        <v>24</v>
      </c>
      <c r="J1959" t="s">
        <v>97</v>
      </c>
      <c r="K1959" t="s">
        <v>37</v>
      </c>
      <c r="L1959" t="s">
        <v>27</v>
      </c>
      <c r="M1959">
        <v>900</v>
      </c>
      <c r="N1959" t="s">
        <v>27</v>
      </c>
      <c r="O1959">
        <v>900</v>
      </c>
      <c r="P1959">
        <v>900</v>
      </c>
      <c r="Q1959" t="s">
        <v>30</v>
      </c>
      <c r="R1959" s="2">
        <v>0.7</v>
      </c>
      <c r="S1959">
        <v>630</v>
      </c>
      <c r="T1959" t="s">
        <v>27</v>
      </c>
      <c r="U1959">
        <v>630</v>
      </c>
      <c r="V1959" s="7" t="str">
        <f>IF(ISERROR(VLOOKUP(K1959,[1]작가별정산률!$R:$S,2,0)),"스토리위즈",VLOOKUP(K1959,[1]작가별정산률!$R:$S,2,0))</f>
        <v>스토리위즈</v>
      </c>
      <c r="W1959" s="7" t="str">
        <f>IF(V1959="스토리위즈",VLOOKUP(K1959,[1]작가별정산률!$A:$B,2,0),V1959)</f>
        <v>권용찬</v>
      </c>
    </row>
    <row r="1960" spans="1:23" x14ac:dyDescent="0.4">
      <c r="A1960" t="s">
        <v>262</v>
      </c>
      <c r="B1960" t="s">
        <v>2308</v>
      </c>
      <c r="C1960" t="s">
        <v>2312</v>
      </c>
      <c r="D1960" t="s">
        <v>64</v>
      </c>
      <c r="E1960" t="s">
        <v>22</v>
      </c>
      <c r="F1960" t="s">
        <v>23</v>
      </c>
      <c r="G1960">
        <v>1</v>
      </c>
      <c r="H1960">
        <v>9791166064180</v>
      </c>
      <c r="I1960" t="s">
        <v>24</v>
      </c>
      <c r="J1960" t="s">
        <v>211</v>
      </c>
      <c r="K1960" t="s">
        <v>37</v>
      </c>
      <c r="L1960" t="s">
        <v>27</v>
      </c>
      <c r="M1960">
        <v>900</v>
      </c>
      <c r="N1960" t="s">
        <v>27</v>
      </c>
      <c r="O1960">
        <v>900</v>
      </c>
      <c r="P1960">
        <v>900</v>
      </c>
      <c r="Q1960" t="s">
        <v>30</v>
      </c>
      <c r="R1960" s="2">
        <v>0.7</v>
      </c>
      <c r="S1960">
        <v>630</v>
      </c>
      <c r="T1960" t="s">
        <v>27</v>
      </c>
      <c r="U1960">
        <v>630</v>
      </c>
      <c r="V1960" s="7" t="str">
        <f>IF(ISERROR(VLOOKUP(K1960,[1]작가별정산률!$R:$S,2,0)),"스토리위즈",VLOOKUP(K1960,[1]작가별정산률!$R:$S,2,0))</f>
        <v>스토리위즈</v>
      </c>
      <c r="W1960" s="7" t="str">
        <f>IF(V1960="스토리위즈",VLOOKUP(K1960,[1]작가별정산률!$A:$B,2,0),V1960)</f>
        <v>권용찬</v>
      </c>
    </row>
    <row r="1961" spans="1:23" x14ac:dyDescent="0.4">
      <c r="A1961" t="s">
        <v>262</v>
      </c>
      <c r="B1961" t="s">
        <v>2308</v>
      </c>
      <c r="C1961" t="s">
        <v>2313</v>
      </c>
      <c r="D1961" t="s">
        <v>21</v>
      </c>
      <c r="E1961" t="s">
        <v>22</v>
      </c>
      <c r="F1961" t="s">
        <v>23</v>
      </c>
      <c r="G1961">
        <v>1</v>
      </c>
      <c r="H1961">
        <v>9791166300226</v>
      </c>
      <c r="I1961" t="s">
        <v>24</v>
      </c>
      <c r="J1961" t="s">
        <v>131</v>
      </c>
      <c r="K1961" t="s">
        <v>119</v>
      </c>
      <c r="L1961" t="s">
        <v>27</v>
      </c>
      <c r="M1961" s="3">
        <v>3200</v>
      </c>
      <c r="N1961" t="s">
        <v>27</v>
      </c>
      <c r="O1961" s="3">
        <v>3200</v>
      </c>
      <c r="P1961" s="3">
        <v>3200</v>
      </c>
      <c r="Q1961" t="s">
        <v>30</v>
      </c>
      <c r="R1961" s="2">
        <v>0.7</v>
      </c>
      <c r="S1961" s="3">
        <v>2240</v>
      </c>
      <c r="T1961" t="s">
        <v>27</v>
      </c>
      <c r="U1961" s="3">
        <v>2240</v>
      </c>
      <c r="V1961" s="7" t="str">
        <f>IF(ISERROR(VLOOKUP(K1961,[1]작가별정산률!$R:$S,2,0)),"스토리위즈",VLOOKUP(K1961,[1]작가별정산률!$R:$S,2,0))</f>
        <v>스토리위즈</v>
      </c>
      <c r="W1961" s="7" t="str">
        <f>IF(V1961="스토리위즈",VLOOKUP(K1961,[1]작가별정산률!$A:$B,2,0),V1961)</f>
        <v>김광수</v>
      </c>
    </row>
    <row r="1962" spans="1:23" x14ac:dyDescent="0.4">
      <c r="A1962" t="s">
        <v>262</v>
      </c>
      <c r="B1962" t="s">
        <v>2308</v>
      </c>
      <c r="C1962" t="s">
        <v>2314</v>
      </c>
      <c r="D1962" t="s">
        <v>21</v>
      </c>
      <c r="E1962" t="s">
        <v>22</v>
      </c>
      <c r="F1962" t="s">
        <v>23</v>
      </c>
      <c r="G1962">
        <v>1</v>
      </c>
      <c r="H1962">
        <v>9791191562361</v>
      </c>
      <c r="I1962" t="s">
        <v>143</v>
      </c>
      <c r="J1962" t="s">
        <v>916</v>
      </c>
      <c r="K1962" t="s">
        <v>186</v>
      </c>
      <c r="L1962" t="s">
        <v>27</v>
      </c>
      <c r="M1962" s="3">
        <v>2000</v>
      </c>
      <c r="N1962" t="s">
        <v>27</v>
      </c>
      <c r="O1962" s="3">
        <v>2000</v>
      </c>
      <c r="P1962" s="3">
        <v>2000</v>
      </c>
      <c r="Q1962" t="s">
        <v>30</v>
      </c>
      <c r="R1962" s="2">
        <v>0.7</v>
      </c>
      <c r="S1962" s="3">
        <v>1400</v>
      </c>
      <c r="T1962" t="s">
        <v>27</v>
      </c>
      <c r="U1962" s="3">
        <v>1400</v>
      </c>
      <c r="V1962" s="7" t="str">
        <f>IF(ISERROR(VLOOKUP(K1962,[1]작가별정산률!$R:$S,2,0)),"스토리위즈",VLOOKUP(K1962,[1]작가별정산률!$R:$S,2,0))</f>
        <v>밀리의 서재</v>
      </c>
      <c r="W1962" s="7" t="str">
        <f>IF(V1962="스토리위즈",VLOOKUP(K1962,[1]작가별정산률!$A:$B,2,0),V1962)</f>
        <v>밀리의 서재</v>
      </c>
    </row>
    <row r="1963" spans="1:23" x14ac:dyDescent="0.4">
      <c r="A1963" t="s">
        <v>262</v>
      </c>
      <c r="B1963" t="s">
        <v>2308</v>
      </c>
      <c r="C1963" t="s">
        <v>2315</v>
      </c>
      <c r="D1963" t="s">
        <v>64</v>
      </c>
      <c r="E1963" t="s">
        <v>22</v>
      </c>
      <c r="F1963" t="s">
        <v>23</v>
      </c>
      <c r="G1963">
        <v>1</v>
      </c>
      <c r="H1963">
        <v>9791166300141</v>
      </c>
      <c r="I1963" t="s">
        <v>24</v>
      </c>
      <c r="J1963" t="s">
        <v>124</v>
      </c>
      <c r="K1963" t="s">
        <v>119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  <c r="V1963" s="7" t="str">
        <f>IF(ISERROR(VLOOKUP(K1963,[1]작가별정산률!$R:$S,2,0)),"스토리위즈",VLOOKUP(K1963,[1]작가별정산률!$R:$S,2,0))</f>
        <v>스토리위즈</v>
      </c>
      <c r="W1963" s="7" t="str">
        <f>IF(V1963="스토리위즈",VLOOKUP(K1963,[1]작가별정산률!$A:$B,2,0),V1963)</f>
        <v>김광수</v>
      </c>
    </row>
    <row r="1964" spans="1:23" x14ac:dyDescent="0.4">
      <c r="A1964" t="s">
        <v>262</v>
      </c>
      <c r="B1964" t="s">
        <v>2308</v>
      </c>
      <c r="C1964" t="s">
        <v>2316</v>
      </c>
      <c r="D1964" t="s">
        <v>64</v>
      </c>
      <c r="E1964" t="s">
        <v>22</v>
      </c>
      <c r="F1964" t="s">
        <v>23</v>
      </c>
      <c r="G1964">
        <v>1</v>
      </c>
      <c r="H1964">
        <v>9791166300257</v>
      </c>
      <c r="I1964" t="s">
        <v>24</v>
      </c>
      <c r="J1964" t="s">
        <v>134</v>
      </c>
      <c r="K1964" t="s">
        <v>119</v>
      </c>
      <c r="L1964" t="s">
        <v>27</v>
      </c>
      <c r="M1964">
        <v>630</v>
      </c>
      <c r="N1964" t="s">
        <v>27</v>
      </c>
      <c r="O1964">
        <v>630</v>
      </c>
      <c r="P1964">
        <v>630</v>
      </c>
      <c r="Q1964" t="s">
        <v>30</v>
      </c>
      <c r="R1964" s="2">
        <v>0.7</v>
      </c>
      <c r="S1964">
        <v>441</v>
      </c>
      <c r="T1964" t="s">
        <v>27</v>
      </c>
      <c r="U1964">
        <v>441</v>
      </c>
      <c r="V1964" s="7" t="str">
        <f>IF(ISERROR(VLOOKUP(K1964,[1]작가별정산률!$R:$S,2,0)),"스토리위즈",VLOOKUP(K1964,[1]작가별정산률!$R:$S,2,0))</f>
        <v>스토리위즈</v>
      </c>
      <c r="W1964" s="7" t="str">
        <f>IF(V1964="스토리위즈",VLOOKUP(K1964,[1]작가별정산률!$A:$B,2,0),V1964)</f>
        <v>김광수</v>
      </c>
    </row>
    <row r="1965" spans="1:23" x14ac:dyDescent="0.4">
      <c r="A1965" t="s">
        <v>262</v>
      </c>
      <c r="B1965" t="s">
        <v>2308</v>
      </c>
      <c r="C1965" t="s">
        <v>2317</v>
      </c>
      <c r="D1965" t="s">
        <v>64</v>
      </c>
      <c r="E1965" t="s">
        <v>22</v>
      </c>
      <c r="F1965" t="s">
        <v>23</v>
      </c>
      <c r="G1965">
        <v>1</v>
      </c>
      <c r="H1965">
        <v>9791166064111</v>
      </c>
      <c r="I1965" t="s">
        <v>24</v>
      </c>
      <c r="J1965" t="s">
        <v>94</v>
      </c>
      <c r="K1965" t="s">
        <v>37</v>
      </c>
      <c r="L1965" t="s">
        <v>27</v>
      </c>
      <c r="M1965">
        <v>900</v>
      </c>
      <c r="N1965" t="s">
        <v>27</v>
      </c>
      <c r="O1965">
        <v>900</v>
      </c>
      <c r="P1965">
        <v>900</v>
      </c>
      <c r="Q1965" t="s">
        <v>30</v>
      </c>
      <c r="R1965" s="2">
        <v>0.7</v>
      </c>
      <c r="S1965">
        <v>630</v>
      </c>
      <c r="T1965" t="s">
        <v>27</v>
      </c>
      <c r="U1965">
        <v>630</v>
      </c>
      <c r="V1965" s="7" t="str">
        <f>IF(ISERROR(VLOOKUP(K1965,[1]작가별정산률!$R:$S,2,0)),"스토리위즈",VLOOKUP(K1965,[1]작가별정산률!$R:$S,2,0))</f>
        <v>스토리위즈</v>
      </c>
      <c r="W1965" s="7" t="str">
        <f>IF(V1965="스토리위즈",VLOOKUP(K1965,[1]작가별정산률!$A:$B,2,0),V1965)</f>
        <v>권용찬</v>
      </c>
    </row>
    <row r="1966" spans="1:23" x14ac:dyDescent="0.4">
      <c r="A1966" t="s">
        <v>262</v>
      </c>
      <c r="B1966" t="s">
        <v>2308</v>
      </c>
      <c r="C1966" t="s">
        <v>2318</v>
      </c>
      <c r="D1966" t="s">
        <v>21</v>
      </c>
      <c r="E1966" t="s">
        <v>22</v>
      </c>
      <c r="F1966" t="s">
        <v>23</v>
      </c>
      <c r="G1966">
        <v>1</v>
      </c>
      <c r="H1966">
        <v>9791166300059</v>
      </c>
      <c r="I1966" t="s">
        <v>24</v>
      </c>
      <c r="J1966" t="s">
        <v>174</v>
      </c>
      <c r="K1966" t="s">
        <v>119</v>
      </c>
      <c r="L1966" t="s">
        <v>27</v>
      </c>
      <c r="M1966" s="3">
        <v>3200</v>
      </c>
      <c r="N1966" t="s">
        <v>27</v>
      </c>
      <c r="O1966" s="3">
        <v>3200</v>
      </c>
      <c r="P1966" s="3">
        <v>3200</v>
      </c>
      <c r="Q1966" t="s">
        <v>30</v>
      </c>
      <c r="R1966" s="2">
        <v>0.7</v>
      </c>
      <c r="S1966" s="3">
        <v>2240</v>
      </c>
      <c r="T1966" t="s">
        <v>27</v>
      </c>
      <c r="U1966" s="3">
        <v>2240</v>
      </c>
      <c r="V1966" s="7" t="str">
        <f>IF(ISERROR(VLOOKUP(K1966,[1]작가별정산률!$R:$S,2,0)),"스토리위즈",VLOOKUP(K1966,[1]작가별정산률!$R:$S,2,0))</f>
        <v>스토리위즈</v>
      </c>
      <c r="W1966" s="7" t="str">
        <f>IF(V1966="스토리위즈",VLOOKUP(K1966,[1]작가별정산률!$A:$B,2,0),V1966)</f>
        <v>김광수</v>
      </c>
    </row>
    <row r="1967" spans="1:23" x14ac:dyDescent="0.4">
      <c r="A1967" t="s">
        <v>262</v>
      </c>
      <c r="B1967" t="s">
        <v>2308</v>
      </c>
      <c r="C1967" t="s">
        <v>2319</v>
      </c>
      <c r="D1967" t="s">
        <v>21</v>
      </c>
      <c r="E1967" t="s">
        <v>22</v>
      </c>
      <c r="F1967" t="s">
        <v>23</v>
      </c>
      <c r="G1967">
        <v>1</v>
      </c>
      <c r="H1967">
        <v>9791191562415</v>
      </c>
      <c r="I1967" t="s">
        <v>143</v>
      </c>
      <c r="J1967" t="s">
        <v>1077</v>
      </c>
      <c r="K1967" t="s">
        <v>1078</v>
      </c>
      <c r="L1967" t="s">
        <v>27</v>
      </c>
      <c r="M1967" s="3">
        <v>2000</v>
      </c>
      <c r="N1967" t="s">
        <v>27</v>
      </c>
      <c r="O1967" s="3">
        <v>2000</v>
      </c>
      <c r="P1967" s="3">
        <v>2000</v>
      </c>
      <c r="Q1967" t="s">
        <v>30</v>
      </c>
      <c r="R1967" s="2">
        <v>0.7</v>
      </c>
      <c r="S1967" s="3">
        <v>1400</v>
      </c>
      <c r="T1967" t="s">
        <v>27</v>
      </c>
      <c r="U1967" s="3">
        <v>1400</v>
      </c>
      <c r="V1967" s="7" t="str">
        <f>IF(ISERROR(VLOOKUP(K1967,[1]작가별정산률!$R:$S,2,0)),"스토리위즈",VLOOKUP(K1967,[1]작가별정산률!$R:$S,2,0))</f>
        <v>밀리의 서재</v>
      </c>
      <c r="W1967" s="7" t="str">
        <f>IF(V1967="스토리위즈",VLOOKUP(K1967,[1]작가별정산률!$A:$B,2,0),V1967)</f>
        <v>밀리의 서재</v>
      </c>
    </row>
    <row r="1968" spans="1:23" x14ac:dyDescent="0.4">
      <c r="A1968" t="s">
        <v>262</v>
      </c>
      <c r="B1968" t="s">
        <v>2308</v>
      </c>
      <c r="C1968" t="s">
        <v>2320</v>
      </c>
      <c r="D1968" t="s">
        <v>21</v>
      </c>
      <c r="E1968" t="s">
        <v>22</v>
      </c>
      <c r="F1968" t="s">
        <v>23</v>
      </c>
      <c r="G1968">
        <v>1</v>
      </c>
      <c r="H1968">
        <v>9791189084813</v>
      </c>
      <c r="I1968" t="s">
        <v>143</v>
      </c>
      <c r="J1968" t="s">
        <v>563</v>
      </c>
      <c r="K1968" t="s">
        <v>564</v>
      </c>
      <c r="L1968" t="s">
        <v>27</v>
      </c>
      <c r="M1968" s="3">
        <v>4000</v>
      </c>
      <c r="N1968" t="s">
        <v>27</v>
      </c>
      <c r="O1968" s="3">
        <v>4000</v>
      </c>
      <c r="P1968" s="3">
        <v>4000</v>
      </c>
      <c r="Q1968" t="s">
        <v>30</v>
      </c>
      <c r="R1968" s="2">
        <v>0.7</v>
      </c>
      <c r="S1968" s="3">
        <v>2800</v>
      </c>
      <c r="T1968" t="s">
        <v>27</v>
      </c>
      <c r="U1968" s="3">
        <v>2800</v>
      </c>
      <c r="V1968" s="7" t="str">
        <f>IF(ISERROR(VLOOKUP(K1968,[1]작가별정산률!$R:$S,2,0)),"스토리위즈",VLOOKUP(K1968,[1]작가별정산률!$R:$S,2,0))</f>
        <v>스토리위즈</v>
      </c>
      <c r="W1968" s="7" t="str">
        <f>IF(V1968="스토리위즈",VLOOKUP(K1968,[1]작가별정산률!$A:$B,2,0),V1968)</f>
        <v>셔틀</v>
      </c>
    </row>
    <row r="1969" spans="1:23" x14ac:dyDescent="0.4">
      <c r="A1969" t="s">
        <v>262</v>
      </c>
      <c r="B1969" t="s">
        <v>2308</v>
      </c>
      <c r="C1969" t="s">
        <v>2321</v>
      </c>
      <c r="D1969" t="s">
        <v>21</v>
      </c>
      <c r="E1969" t="s">
        <v>22</v>
      </c>
      <c r="F1969" t="s">
        <v>23</v>
      </c>
      <c r="G1969">
        <v>1</v>
      </c>
      <c r="H1969">
        <v>9791191562286</v>
      </c>
      <c r="I1969" t="s">
        <v>143</v>
      </c>
      <c r="J1969" t="s">
        <v>238</v>
      </c>
      <c r="K1969" t="s">
        <v>239</v>
      </c>
      <c r="L1969" t="s">
        <v>27</v>
      </c>
      <c r="M1969" s="3">
        <v>2000</v>
      </c>
      <c r="N1969" t="s">
        <v>27</v>
      </c>
      <c r="O1969" s="3">
        <v>2000</v>
      </c>
      <c r="P1969" s="3">
        <v>2000</v>
      </c>
      <c r="Q1969" t="s">
        <v>30</v>
      </c>
      <c r="R1969" s="2">
        <v>0.7</v>
      </c>
      <c r="S1969" s="3">
        <v>1400</v>
      </c>
      <c r="T1969" t="s">
        <v>27</v>
      </c>
      <c r="U1969" s="3">
        <v>1400</v>
      </c>
      <c r="V1969" s="7" t="str">
        <f>IF(ISERROR(VLOOKUP(K1969,[1]작가별정산률!$R:$S,2,0)),"스토리위즈",VLOOKUP(K1969,[1]작가별정산률!$R:$S,2,0))</f>
        <v>밀리의 서재</v>
      </c>
      <c r="W1969" s="7" t="str">
        <f>IF(V1969="스토리위즈",VLOOKUP(K1969,[1]작가별정산률!$A:$B,2,0),V1969)</f>
        <v>밀리의 서재</v>
      </c>
    </row>
    <row r="1970" spans="1:23" x14ac:dyDescent="0.4">
      <c r="A1970" t="s">
        <v>262</v>
      </c>
      <c r="B1970" t="s">
        <v>2308</v>
      </c>
      <c r="C1970" t="s">
        <v>2322</v>
      </c>
      <c r="D1970" t="s">
        <v>21</v>
      </c>
      <c r="E1970" t="s">
        <v>22</v>
      </c>
      <c r="F1970" t="s">
        <v>23</v>
      </c>
      <c r="G1970">
        <v>1</v>
      </c>
      <c r="H1970">
        <v>9791166300691</v>
      </c>
      <c r="I1970" t="s">
        <v>24</v>
      </c>
      <c r="J1970" t="s">
        <v>152</v>
      </c>
      <c r="K1970" t="s">
        <v>119</v>
      </c>
      <c r="L1970" t="s">
        <v>27</v>
      </c>
      <c r="M1970" s="3">
        <v>3200</v>
      </c>
      <c r="N1970" t="s">
        <v>27</v>
      </c>
      <c r="O1970" s="3">
        <v>3200</v>
      </c>
      <c r="P1970" s="3">
        <v>3200</v>
      </c>
      <c r="Q1970" t="s">
        <v>30</v>
      </c>
      <c r="R1970" s="2">
        <v>0.7</v>
      </c>
      <c r="S1970" s="3">
        <v>2240</v>
      </c>
      <c r="T1970" t="s">
        <v>27</v>
      </c>
      <c r="U1970" s="3">
        <v>2240</v>
      </c>
      <c r="V1970" s="7" t="str">
        <f>IF(ISERROR(VLOOKUP(K1970,[1]작가별정산률!$R:$S,2,0)),"스토리위즈",VLOOKUP(K1970,[1]작가별정산률!$R:$S,2,0))</f>
        <v>스토리위즈</v>
      </c>
      <c r="W1970" s="7" t="str">
        <f>IF(V1970="스토리위즈",VLOOKUP(K1970,[1]작가별정산률!$A:$B,2,0),V1970)</f>
        <v>김광수</v>
      </c>
    </row>
    <row r="1971" spans="1:23" x14ac:dyDescent="0.4">
      <c r="A1971" t="s">
        <v>262</v>
      </c>
      <c r="B1971" t="s">
        <v>2308</v>
      </c>
      <c r="C1971" t="s">
        <v>2323</v>
      </c>
      <c r="D1971" t="s">
        <v>21</v>
      </c>
      <c r="E1971" t="s">
        <v>22</v>
      </c>
      <c r="F1971" t="s">
        <v>23</v>
      </c>
      <c r="G1971">
        <v>1</v>
      </c>
      <c r="H1971">
        <v>9791166300646</v>
      </c>
      <c r="I1971" t="s">
        <v>24</v>
      </c>
      <c r="J1971" t="s">
        <v>155</v>
      </c>
      <c r="K1971" t="s">
        <v>119</v>
      </c>
      <c r="L1971" t="s">
        <v>27</v>
      </c>
      <c r="M1971" s="3">
        <v>3200</v>
      </c>
      <c r="N1971" t="s">
        <v>27</v>
      </c>
      <c r="O1971" s="3">
        <v>3200</v>
      </c>
      <c r="P1971" s="3">
        <v>3200</v>
      </c>
      <c r="Q1971" t="s">
        <v>30</v>
      </c>
      <c r="R1971" s="2">
        <v>0.7</v>
      </c>
      <c r="S1971" s="3">
        <v>2240</v>
      </c>
      <c r="T1971" t="s">
        <v>27</v>
      </c>
      <c r="U1971" s="3">
        <v>2240</v>
      </c>
      <c r="V1971" s="7" t="str">
        <f>IF(ISERROR(VLOOKUP(K1971,[1]작가별정산률!$R:$S,2,0)),"스토리위즈",VLOOKUP(K1971,[1]작가별정산률!$R:$S,2,0))</f>
        <v>스토리위즈</v>
      </c>
      <c r="W1971" s="7" t="str">
        <f>IF(V1971="스토리위즈",VLOOKUP(K1971,[1]작가별정산률!$A:$B,2,0),V1971)</f>
        <v>김광수</v>
      </c>
    </row>
    <row r="1972" spans="1:23" x14ac:dyDescent="0.4">
      <c r="A1972" t="s">
        <v>262</v>
      </c>
      <c r="B1972" t="s">
        <v>2308</v>
      </c>
      <c r="C1972" t="s">
        <v>2324</v>
      </c>
      <c r="D1972" t="s">
        <v>64</v>
      </c>
      <c r="E1972" t="s">
        <v>22</v>
      </c>
      <c r="F1972" t="s">
        <v>23</v>
      </c>
      <c r="G1972">
        <v>1</v>
      </c>
      <c r="H1972">
        <v>9791166300141</v>
      </c>
      <c r="I1972" t="s">
        <v>24</v>
      </c>
      <c r="J1972" t="s">
        <v>124</v>
      </c>
      <c r="K1972" t="s">
        <v>119</v>
      </c>
      <c r="L1972" t="s">
        <v>27</v>
      </c>
      <c r="M1972">
        <v>630</v>
      </c>
      <c r="N1972" t="s">
        <v>27</v>
      </c>
      <c r="O1972">
        <v>630</v>
      </c>
      <c r="P1972">
        <v>630</v>
      </c>
      <c r="Q1972" t="s">
        <v>30</v>
      </c>
      <c r="R1972" s="2">
        <v>0.7</v>
      </c>
      <c r="S1972">
        <v>441</v>
      </c>
      <c r="T1972" t="s">
        <v>27</v>
      </c>
      <c r="U1972">
        <v>441</v>
      </c>
      <c r="V1972" s="7" t="str">
        <f>IF(ISERROR(VLOOKUP(K1972,[1]작가별정산률!$R:$S,2,0)),"스토리위즈",VLOOKUP(K1972,[1]작가별정산률!$R:$S,2,0))</f>
        <v>스토리위즈</v>
      </c>
      <c r="W1972" s="7" t="str">
        <f>IF(V1972="스토리위즈",VLOOKUP(K1972,[1]작가별정산률!$A:$B,2,0),V1972)</f>
        <v>김광수</v>
      </c>
    </row>
    <row r="1973" spans="1:23" x14ac:dyDescent="0.4">
      <c r="A1973" t="s">
        <v>262</v>
      </c>
      <c r="B1973" t="s">
        <v>2308</v>
      </c>
      <c r="C1973" t="s">
        <v>2325</v>
      </c>
      <c r="D1973" t="s">
        <v>64</v>
      </c>
      <c r="E1973" t="s">
        <v>22</v>
      </c>
      <c r="F1973" t="s">
        <v>23</v>
      </c>
      <c r="G1973">
        <v>1</v>
      </c>
      <c r="H1973">
        <v>9791166300479</v>
      </c>
      <c r="I1973" t="s">
        <v>24</v>
      </c>
      <c r="J1973" t="s">
        <v>145</v>
      </c>
      <c r="K1973" t="s">
        <v>119</v>
      </c>
      <c r="L1973" t="s">
        <v>27</v>
      </c>
      <c r="M1973">
        <v>630</v>
      </c>
      <c r="N1973" t="s">
        <v>27</v>
      </c>
      <c r="O1973">
        <v>630</v>
      </c>
      <c r="P1973">
        <v>630</v>
      </c>
      <c r="Q1973" t="s">
        <v>30</v>
      </c>
      <c r="R1973" s="2">
        <v>0.7</v>
      </c>
      <c r="S1973">
        <v>441</v>
      </c>
      <c r="T1973" t="s">
        <v>27</v>
      </c>
      <c r="U1973">
        <v>441</v>
      </c>
      <c r="V1973" s="7" t="str">
        <f>IF(ISERROR(VLOOKUP(K1973,[1]작가별정산률!$R:$S,2,0)),"스토리위즈",VLOOKUP(K1973,[1]작가별정산률!$R:$S,2,0))</f>
        <v>스토리위즈</v>
      </c>
      <c r="W1973" s="7" t="str">
        <f>IF(V1973="스토리위즈",VLOOKUP(K1973,[1]작가별정산률!$A:$B,2,0),V1973)</f>
        <v>김광수</v>
      </c>
    </row>
    <row r="1974" spans="1:23" x14ac:dyDescent="0.4">
      <c r="A1974" t="s">
        <v>262</v>
      </c>
      <c r="B1974" t="s">
        <v>2308</v>
      </c>
      <c r="C1974" t="s">
        <v>2326</v>
      </c>
      <c r="D1974" t="s">
        <v>21</v>
      </c>
      <c r="E1974" t="s">
        <v>22</v>
      </c>
      <c r="F1974" t="s">
        <v>23</v>
      </c>
      <c r="G1974">
        <v>1</v>
      </c>
      <c r="H1974">
        <v>9791191562149</v>
      </c>
      <c r="I1974" t="s">
        <v>143</v>
      </c>
      <c r="J1974" t="s">
        <v>1081</v>
      </c>
      <c r="K1974" t="s">
        <v>1078</v>
      </c>
      <c r="L1974" t="s">
        <v>27</v>
      </c>
      <c r="M1974" s="3">
        <v>2000</v>
      </c>
      <c r="N1974" t="s">
        <v>27</v>
      </c>
      <c r="O1974" s="3">
        <v>2000</v>
      </c>
      <c r="P1974" s="3">
        <v>2000</v>
      </c>
      <c r="Q1974" t="s">
        <v>30</v>
      </c>
      <c r="R1974" s="2">
        <v>0.7</v>
      </c>
      <c r="S1974" s="3">
        <v>1400</v>
      </c>
      <c r="T1974" t="s">
        <v>27</v>
      </c>
      <c r="U1974" s="3">
        <v>1400</v>
      </c>
      <c r="V1974" s="7" t="str">
        <f>IF(ISERROR(VLOOKUP(K1974,[1]작가별정산률!$R:$S,2,0)),"스토리위즈",VLOOKUP(K1974,[1]작가별정산률!$R:$S,2,0))</f>
        <v>밀리의 서재</v>
      </c>
      <c r="W1974" s="7" t="str">
        <f>IF(V1974="스토리위즈",VLOOKUP(K1974,[1]작가별정산률!$A:$B,2,0),V1974)</f>
        <v>밀리의 서재</v>
      </c>
    </row>
    <row r="1975" spans="1:23" x14ac:dyDescent="0.4">
      <c r="A1975" t="s">
        <v>262</v>
      </c>
      <c r="B1975" t="s">
        <v>2308</v>
      </c>
      <c r="C1975" t="s">
        <v>2327</v>
      </c>
      <c r="D1975" t="s">
        <v>21</v>
      </c>
      <c r="E1975" t="s">
        <v>22</v>
      </c>
      <c r="F1975" t="s">
        <v>23</v>
      </c>
      <c r="G1975">
        <v>1</v>
      </c>
      <c r="H1975">
        <v>9791166300066</v>
      </c>
      <c r="I1975" t="s">
        <v>24</v>
      </c>
      <c r="J1975" t="s">
        <v>175</v>
      </c>
      <c r="K1975" t="s">
        <v>119</v>
      </c>
      <c r="L1975" t="s">
        <v>27</v>
      </c>
      <c r="M1975" s="3">
        <v>3200</v>
      </c>
      <c r="N1975" t="s">
        <v>27</v>
      </c>
      <c r="O1975" s="3">
        <v>3200</v>
      </c>
      <c r="P1975" s="3">
        <v>3200</v>
      </c>
      <c r="Q1975" t="s">
        <v>30</v>
      </c>
      <c r="R1975" s="2">
        <v>0.7</v>
      </c>
      <c r="S1975" s="3">
        <v>2240</v>
      </c>
      <c r="T1975" t="s">
        <v>27</v>
      </c>
      <c r="U1975" s="3">
        <v>2240</v>
      </c>
      <c r="V1975" s="7" t="str">
        <f>IF(ISERROR(VLOOKUP(K1975,[1]작가별정산률!$R:$S,2,0)),"스토리위즈",VLOOKUP(K1975,[1]작가별정산률!$R:$S,2,0))</f>
        <v>스토리위즈</v>
      </c>
      <c r="W1975" s="7" t="str">
        <f>IF(V1975="스토리위즈",VLOOKUP(K1975,[1]작가별정산률!$A:$B,2,0),V1975)</f>
        <v>김광수</v>
      </c>
    </row>
    <row r="1976" spans="1:23" x14ac:dyDescent="0.4">
      <c r="A1976" t="s">
        <v>262</v>
      </c>
      <c r="B1976" t="s">
        <v>2308</v>
      </c>
      <c r="C1976" t="s">
        <v>2328</v>
      </c>
      <c r="D1976" t="s">
        <v>21</v>
      </c>
      <c r="E1976" t="s">
        <v>22</v>
      </c>
      <c r="F1976" t="s">
        <v>23</v>
      </c>
      <c r="G1976">
        <v>1</v>
      </c>
      <c r="H1976">
        <v>9791189084462</v>
      </c>
      <c r="I1976" t="s">
        <v>143</v>
      </c>
      <c r="J1976" t="s">
        <v>1648</v>
      </c>
      <c r="K1976" t="s">
        <v>1378</v>
      </c>
      <c r="L1976" t="s">
        <v>27</v>
      </c>
      <c r="M1976" s="3">
        <v>3000</v>
      </c>
      <c r="N1976" t="s">
        <v>27</v>
      </c>
      <c r="O1976" s="3">
        <v>3000</v>
      </c>
      <c r="P1976" s="3">
        <v>3000</v>
      </c>
      <c r="Q1976" t="s">
        <v>30</v>
      </c>
      <c r="R1976" s="2">
        <v>0.7</v>
      </c>
      <c r="S1976" s="3">
        <v>2100</v>
      </c>
      <c r="T1976" t="s">
        <v>27</v>
      </c>
      <c r="U1976" s="3">
        <v>2100</v>
      </c>
      <c r="V1976" s="7" t="str">
        <f>IF(ISERROR(VLOOKUP(K1976,[1]작가별정산률!$R:$S,2,0)),"스토리위즈",VLOOKUP(K1976,[1]작가별정산률!$R:$S,2,0))</f>
        <v>스토리위즈</v>
      </c>
      <c r="W1976" s="7" t="str">
        <f>IF(V1976="스토리위즈",VLOOKUP(K1976,[1]작가별정산률!$A:$B,2,0),V1976)</f>
        <v>밈스</v>
      </c>
    </row>
    <row r="1977" spans="1:23" x14ac:dyDescent="0.4">
      <c r="A1977" t="s">
        <v>262</v>
      </c>
      <c r="B1977" t="s">
        <v>2308</v>
      </c>
      <c r="C1977" t="s">
        <v>2329</v>
      </c>
      <c r="D1977" t="s">
        <v>21</v>
      </c>
      <c r="E1977" t="s">
        <v>22</v>
      </c>
      <c r="F1977" t="s">
        <v>23</v>
      </c>
      <c r="G1977">
        <v>1</v>
      </c>
      <c r="H1977">
        <v>9791191562361</v>
      </c>
      <c r="I1977" t="s">
        <v>143</v>
      </c>
      <c r="J1977" t="s">
        <v>916</v>
      </c>
      <c r="K1977" t="s">
        <v>186</v>
      </c>
      <c r="L1977" t="s">
        <v>27</v>
      </c>
      <c r="M1977" s="3">
        <v>2000</v>
      </c>
      <c r="N1977" t="s">
        <v>27</v>
      </c>
      <c r="O1977" s="3">
        <v>2000</v>
      </c>
      <c r="P1977" s="3">
        <v>2000</v>
      </c>
      <c r="Q1977" t="s">
        <v>30</v>
      </c>
      <c r="R1977" s="2">
        <v>0.7</v>
      </c>
      <c r="S1977" s="3">
        <v>1400</v>
      </c>
      <c r="T1977" t="s">
        <v>27</v>
      </c>
      <c r="U1977" s="3">
        <v>1400</v>
      </c>
      <c r="V1977" s="7" t="str">
        <f>IF(ISERROR(VLOOKUP(K1977,[1]작가별정산률!$R:$S,2,0)),"스토리위즈",VLOOKUP(K1977,[1]작가별정산률!$R:$S,2,0))</f>
        <v>밀리의 서재</v>
      </c>
      <c r="W1977" s="7" t="str">
        <f>IF(V1977="스토리위즈",VLOOKUP(K1977,[1]작가별정산률!$A:$B,2,0),V1977)</f>
        <v>밀리의 서재</v>
      </c>
    </row>
    <row r="1978" spans="1:23" x14ac:dyDescent="0.4">
      <c r="A1978" t="s">
        <v>262</v>
      </c>
      <c r="B1978" t="s">
        <v>2308</v>
      </c>
      <c r="C1978" t="s">
        <v>2330</v>
      </c>
      <c r="D1978" t="s">
        <v>21</v>
      </c>
      <c r="E1978" t="s">
        <v>22</v>
      </c>
      <c r="F1978" t="s">
        <v>23</v>
      </c>
      <c r="G1978">
        <v>1</v>
      </c>
      <c r="H1978">
        <v>9791196945299</v>
      </c>
      <c r="I1978" t="s">
        <v>143</v>
      </c>
      <c r="J1978" t="s">
        <v>2331</v>
      </c>
      <c r="K1978" t="s">
        <v>2332</v>
      </c>
      <c r="L1978" t="s">
        <v>27</v>
      </c>
      <c r="M1978" s="3">
        <v>2000</v>
      </c>
      <c r="N1978" t="s">
        <v>28</v>
      </c>
      <c r="O1978">
        <v>1.65</v>
      </c>
      <c r="P1978">
        <v>1.65</v>
      </c>
      <c r="Q1978" t="s">
        <v>29</v>
      </c>
      <c r="R1978" s="2">
        <v>0.7</v>
      </c>
      <c r="S1978">
        <v>1.1499999999999999</v>
      </c>
      <c r="T1978" t="s">
        <v>27</v>
      </c>
      <c r="U1978" s="3">
        <v>1445</v>
      </c>
      <c r="V1978" s="7" t="str">
        <f>IF(ISERROR(VLOOKUP(K1978,[1]작가별정산률!$R:$S,2,0)),"스토리위즈",VLOOKUP(K1978,[1]작가별정산률!$R:$S,2,0))</f>
        <v>밀리의 서재</v>
      </c>
      <c r="W1978" s="7" t="str">
        <f>IF(V1978="스토리위즈",VLOOKUP(K1978,[1]작가별정산률!$A:$B,2,0),V1978)</f>
        <v>밀리의 서재</v>
      </c>
    </row>
    <row r="1979" spans="1:23" x14ac:dyDescent="0.4">
      <c r="A1979" t="s">
        <v>262</v>
      </c>
      <c r="B1979" t="s">
        <v>2308</v>
      </c>
      <c r="C1979" t="s">
        <v>2333</v>
      </c>
      <c r="D1979" t="s">
        <v>21</v>
      </c>
      <c r="E1979" t="s">
        <v>22</v>
      </c>
      <c r="F1979" t="s">
        <v>23</v>
      </c>
      <c r="G1979">
        <v>1</v>
      </c>
      <c r="H1979">
        <v>9791166300073</v>
      </c>
      <c r="I1979" t="s">
        <v>24</v>
      </c>
      <c r="J1979" t="s">
        <v>169</v>
      </c>
      <c r="K1979" t="s">
        <v>119</v>
      </c>
      <c r="L1979" t="s">
        <v>27</v>
      </c>
      <c r="M1979" s="3">
        <v>3200</v>
      </c>
      <c r="N1979" t="s">
        <v>27</v>
      </c>
      <c r="O1979" s="3">
        <v>3200</v>
      </c>
      <c r="P1979" s="3">
        <v>3200</v>
      </c>
      <c r="Q1979" t="s">
        <v>30</v>
      </c>
      <c r="R1979" s="2">
        <v>0.7</v>
      </c>
      <c r="S1979" s="3">
        <v>2240</v>
      </c>
      <c r="T1979" t="s">
        <v>27</v>
      </c>
      <c r="U1979" s="3">
        <v>2240</v>
      </c>
      <c r="V1979" s="7" t="str">
        <f>IF(ISERROR(VLOOKUP(K1979,[1]작가별정산률!$R:$S,2,0)),"스토리위즈",VLOOKUP(K1979,[1]작가별정산률!$R:$S,2,0))</f>
        <v>스토리위즈</v>
      </c>
      <c r="W1979" s="7" t="str">
        <f>IF(V1979="스토리위즈",VLOOKUP(K1979,[1]작가별정산률!$A:$B,2,0),V1979)</f>
        <v>김광수</v>
      </c>
    </row>
    <row r="1980" spans="1:23" x14ac:dyDescent="0.4">
      <c r="A1980" t="s">
        <v>262</v>
      </c>
      <c r="B1980" t="s">
        <v>2308</v>
      </c>
      <c r="C1980" t="s">
        <v>2334</v>
      </c>
      <c r="D1980" t="s">
        <v>64</v>
      </c>
      <c r="E1980" t="s">
        <v>22</v>
      </c>
      <c r="F1980" t="s">
        <v>23</v>
      </c>
      <c r="G1980">
        <v>1</v>
      </c>
      <c r="H1980">
        <v>9791159283208</v>
      </c>
      <c r="I1980" t="s">
        <v>24</v>
      </c>
      <c r="J1980" t="s">
        <v>105</v>
      </c>
      <c r="K1980" t="s">
        <v>37</v>
      </c>
      <c r="L1980" t="s">
        <v>27</v>
      </c>
      <c r="M1980">
        <v>630</v>
      </c>
      <c r="N1980" t="s">
        <v>27</v>
      </c>
      <c r="O1980">
        <v>630</v>
      </c>
      <c r="P1980">
        <v>630</v>
      </c>
      <c r="Q1980" t="s">
        <v>30</v>
      </c>
      <c r="R1980" s="2">
        <v>0.7</v>
      </c>
      <c r="S1980">
        <v>441</v>
      </c>
      <c r="T1980" t="s">
        <v>27</v>
      </c>
      <c r="U1980">
        <v>441</v>
      </c>
      <c r="V1980" s="7" t="str">
        <f>IF(ISERROR(VLOOKUP(K1980,[1]작가별정산률!$R:$S,2,0)),"스토리위즈",VLOOKUP(K1980,[1]작가별정산률!$R:$S,2,0))</f>
        <v>스토리위즈</v>
      </c>
      <c r="W1980" s="7" t="str">
        <f>IF(V1980="스토리위즈",VLOOKUP(K1980,[1]작가별정산률!$A:$B,2,0),V1980)</f>
        <v>권용찬</v>
      </c>
    </row>
    <row r="1981" spans="1:23" x14ac:dyDescent="0.4">
      <c r="A1981" t="s">
        <v>262</v>
      </c>
      <c r="B1981" t="s">
        <v>2308</v>
      </c>
      <c r="C1981" t="s">
        <v>2335</v>
      </c>
      <c r="D1981" t="s">
        <v>21</v>
      </c>
      <c r="E1981" t="s">
        <v>22</v>
      </c>
      <c r="F1981" t="s">
        <v>23</v>
      </c>
      <c r="G1981">
        <v>1</v>
      </c>
      <c r="H1981">
        <v>9791191562415</v>
      </c>
      <c r="I1981" t="s">
        <v>143</v>
      </c>
      <c r="J1981" t="s">
        <v>1077</v>
      </c>
      <c r="K1981" t="s">
        <v>1078</v>
      </c>
      <c r="L1981" t="s">
        <v>27</v>
      </c>
      <c r="M1981" s="3">
        <v>2000</v>
      </c>
      <c r="N1981" t="s">
        <v>27</v>
      </c>
      <c r="O1981" s="3">
        <v>2000</v>
      </c>
      <c r="P1981" s="3">
        <v>2000</v>
      </c>
      <c r="Q1981" t="s">
        <v>30</v>
      </c>
      <c r="R1981" s="2">
        <v>0.7</v>
      </c>
      <c r="S1981" s="3">
        <v>1400</v>
      </c>
      <c r="T1981" t="s">
        <v>27</v>
      </c>
      <c r="U1981" s="3">
        <v>1400</v>
      </c>
      <c r="V1981" s="7" t="str">
        <f>IF(ISERROR(VLOOKUP(K1981,[1]작가별정산률!$R:$S,2,0)),"스토리위즈",VLOOKUP(K1981,[1]작가별정산률!$R:$S,2,0))</f>
        <v>밀리의 서재</v>
      </c>
      <c r="W1981" s="7" t="str">
        <f>IF(V1981="스토리위즈",VLOOKUP(K1981,[1]작가별정산률!$A:$B,2,0),V1981)</f>
        <v>밀리의 서재</v>
      </c>
    </row>
    <row r="1982" spans="1:23" x14ac:dyDescent="0.4">
      <c r="A1982" t="s">
        <v>262</v>
      </c>
      <c r="B1982" t="s">
        <v>2308</v>
      </c>
      <c r="C1982" t="s">
        <v>2336</v>
      </c>
      <c r="D1982" t="s">
        <v>64</v>
      </c>
      <c r="E1982" t="s">
        <v>22</v>
      </c>
      <c r="F1982" t="s">
        <v>23</v>
      </c>
      <c r="G1982">
        <v>1</v>
      </c>
      <c r="H1982">
        <v>9791159283185</v>
      </c>
      <c r="I1982" t="s">
        <v>24</v>
      </c>
      <c r="J1982" t="s">
        <v>89</v>
      </c>
      <c r="K1982" t="s">
        <v>37</v>
      </c>
      <c r="L1982" t="s">
        <v>27</v>
      </c>
      <c r="M1982">
        <v>900</v>
      </c>
      <c r="N1982" t="s">
        <v>27</v>
      </c>
      <c r="O1982">
        <v>900</v>
      </c>
      <c r="P1982">
        <v>900</v>
      </c>
      <c r="Q1982" t="s">
        <v>30</v>
      </c>
      <c r="R1982" s="2">
        <v>0.7</v>
      </c>
      <c r="S1982">
        <v>630</v>
      </c>
      <c r="T1982" t="s">
        <v>27</v>
      </c>
      <c r="U1982">
        <v>630</v>
      </c>
      <c r="V1982" s="7" t="str">
        <f>IF(ISERROR(VLOOKUP(K1982,[1]작가별정산률!$R:$S,2,0)),"스토리위즈",VLOOKUP(K1982,[1]작가별정산률!$R:$S,2,0))</f>
        <v>스토리위즈</v>
      </c>
      <c r="W1982" s="7" t="str">
        <f>IF(V1982="스토리위즈",VLOOKUP(K1982,[1]작가별정산률!$A:$B,2,0),V1982)</f>
        <v>권용찬</v>
      </c>
    </row>
    <row r="1983" spans="1:23" x14ac:dyDescent="0.4">
      <c r="A1983" t="s">
        <v>262</v>
      </c>
      <c r="B1983" t="s">
        <v>2308</v>
      </c>
      <c r="C1983" t="s">
        <v>2337</v>
      </c>
      <c r="D1983" t="s">
        <v>64</v>
      </c>
      <c r="E1983" t="s">
        <v>22</v>
      </c>
      <c r="F1983" t="s">
        <v>23</v>
      </c>
      <c r="G1983">
        <v>1</v>
      </c>
      <c r="H1983">
        <v>9791166300530</v>
      </c>
      <c r="I1983" t="s">
        <v>24</v>
      </c>
      <c r="J1983" t="s">
        <v>151</v>
      </c>
      <c r="K1983" t="s">
        <v>119</v>
      </c>
      <c r="L1983" t="s">
        <v>27</v>
      </c>
      <c r="M1983">
        <v>630</v>
      </c>
      <c r="N1983" t="s">
        <v>27</v>
      </c>
      <c r="O1983">
        <v>630</v>
      </c>
      <c r="P1983">
        <v>630</v>
      </c>
      <c r="Q1983" t="s">
        <v>30</v>
      </c>
      <c r="R1983" s="2">
        <v>0.7</v>
      </c>
      <c r="S1983">
        <v>441</v>
      </c>
      <c r="T1983" t="s">
        <v>27</v>
      </c>
      <c r="U1983">
        <v>441</v>
      </c>
      <c r="V1983" s="7" t="str">
        <f>IF(ISERROR(VLOOKUP(K1983,[1]작가별정산률!$R:$S,2,0)),"스토리위즈",VLOOKUP(K1983,[1]작가별정산률!$R:$S,2,0))</f>
        <v>스토리위즈</v>
      </c>
      <c r="W1983" s="7" t="str">
        <f>IF(V1983="스토리위즈",VLOOKUP(K1983,[1]작가별정산률!$A:$B,2,0),V1983)</f>
        <v>김광수</v>
      </c>
    </row>
    <row r="1984" spans="1:23" x14ac:dyDescent="0.4">
      <c r="A1984" t="s">
        <v>262</v>
      </c>
      <c r="B1984" t="s">
        <v>2308</v>
      </c>
      <c r="C1984" t="s">
        <v>2338</v>
      </c>
      <c r="D1984" t="s">
        <v>64</v>
      </c>
      <c r="E1984" t="s">
        <v>22</v>
      </c>
      <c r="F1984" t="s">
        <v>23</v>
      </c>
      <c r="G1984">
        <v>1</v>
      </c>
      <c r="H1984">
        <v>9791166300240</v>
      </c>
      <c r="I1984" t="s">
        <v>24</v>
      </c>
      <c r="J1984" t="s">
        <v>133</v>
      </c>
      <c r="K1984" t="s">
        <v>119</v>
      </c>
      <c r="L1984" t="s">
        <v>27</v>
      </c>
      <c r="M1984">
        <v>630</v>
      </c>
      <c r="N1984" t="s">
        <v>27</v>
      </c>
      <c r="O1984">
        <v>630</v>
      </c>
      <c r="P1984">
        <v>630</v>
      </c>
      <c r="Q1984" t="s">
        <v>30</v>
      </c>
      <c r="R1984" s="2">
        <v>0.7</v>
      </c>
      <c r="S1984">
        <v>441</v>
      </c>
      <c r="T1984" t="s">
        <v>27</v>
      </c>
      <c r="U1984">
        <v>441</v>
      </c>
      <c r="V1984" s="7" t="str">
        <f>IF(ISERROR(VLOOKUP(K1984,[1]작가별정산률!$R:$S,2,0)),"스토리위즈",VLOOKUP(K1984,[1]작가별정산률!$R:$S,2,0))</f>
        <v>스토리위즈</v>
      </c>
      <c r="W1984" s="7" t="str">
        <f>IF(V1984="스토리위즈",VLOOKUP(K1984,[1]작가별정산률!$A:$B,2,0),V1984)</f>
        <v>김광수</v>
      </c>
    </row>
    <row r="1985" spans="1:23" x14ac:dyDescent="0.4">
      <c r="A1985" t="s">
        <v>262</v>
      </c>
      <c r="B1985" t="s">
        <v>2308</v>
      </c>
      <c r="C1985" t="s">
        <v>2339</v>
      </c>
      <c r="D1985" t="s">
        <v>21</v>
      </c>
      <c r="E1985" t="s">
        <v>22</v>
      </c>
      <c r="F1985" t="s">
        <v>23</v>
      </c>
      <c r="G1985">
        <v>1</v>
      </c>
      <c r="H1985">
        <v>9791189084813</v>
      </c>
      <c r="I1985" t="s">
        <v>143</v>
      </c>
      <c r="J1985" t="s">
        <v>563</v>
      </c>
      <c r="K1985" t="s">
        <v>564</v>
      </c>
      <c r="L1985" t="s">
        <v>27</v>
      </c>
      <c r="M1985" s="3">
        <v>4000</v>
      </c>
      <c r="N1985" t="s">
        <v>27</v>
      </c>
      <c r="O1985" s="3">
        <v>4000</v>
      </c>
      <c r="P1985" s="3">
        <v>4000</v>
      </c>
      <c r="Q1985" t="s">
        <v>30</v>
      </c>
      <c r="R1985" s="2">
        <v>0.7</v>
      </c>
      <c r="S1985" s="3">
        <v>2800</v>
      </c>
      <c r="T1985" t="s">
        <v>27</v>
      </c>
      <c r="U1985" s="3">
        <v>2800</v>
      </c>
      <c r="V1985" s="7" t="str">
        <f>IF(ISERROR(VLOOKUP(K1985,[1]작가별정산률!$R:$S,2,0)),"스토리위즈",VLOOKUP(K1985,[1]작가별정산률!$R:$S,2,0))</f>
        <v>스토리위즈</v>
      </c>
      <c r="W1985" s="7" t="str">
        <f>IF(V1985="스토리위즈",VLOOKUP(K1985,[1]작가별정산률!$A:$B,2,0),V1985)</f>
        <v>셔틀</v>
      </c>
    </row>
    <row r="1986" spans="1:23" x14ac:dyDescent="0.4">
      <c r="A1986" t="s">
        <v>262</v>
      </c>
      <c r="B1986" t="s">
        <v>2308</v>
      </c>
      <c r="C1986" t="s">
        <v>2340</v>
      </c>
      <c r="D1986" t="s">
        <v>21</v>
      </c>
      <c r="E1986" t="s">
        <v>22</v>
      </c>
      <c r="F1986" t="s">
        <v>23</v>
      </c>
      <c r="G1986">
        <v>1</v>
      </c>
      <c r="H1986">
        <v>9791191562439</v>
      </c>
      <c r="I1986" t="s">
        <v>143</v>
      </c>
      <c r="J1986" t="s">
        <v>1661</v>
      </c>
      <c r="K1986" t="s">
        <v>188</v>
      </c>
      <c r="L1986" t="s">
        <v>27</v>
      </c>
      <c r="M1986" s="3">
        <v>2500</v>
      </c>
      <c r="N1986" t="s">
        <v>27</v>
      </c>
      <c r="O1986" s="3">
        <v>2500</v>
      </c>
      <c r="P1986" s="3">
        <v>2500</v>
      </c>
      <c r="Q1986" t="s">
        <v>30</v>
      </c>
      <c r="R1986" s="2">
        <v>0.7</v>
      </c>
      <c r="S1986" s="3">
        <v>1750</v>
      </c>
      <c r="T1986" t="s">
        <v>27</v>
      </c>
      <c r="U1986" s="3">
        <v>1750</v>
      </c>
      <c r="V1986" s="7" t="str">
        <f>IF(ISERROR(VLOOKUP(K1986,[1]작가별정산률!$R:$S,2,0)),"스토리위즈",VLOOKUP(K1986,[1]작가별정산률!$R:$S,2,0))</f>
        <v>밀리의 서재</v>
      </c>
      <c r="W1986" s="7" t="str">
        <f>IF(V1986="스토리위즈",VLOOKUP(K1986,[1]작가별정산률!$A:$B,2,0),V1986)</f>
        <v>밀리의 서재</v>
      </c>
    </row>
    <row r="1987" spans="1:23" x14ac:dyDescent="0.4">
      <c r="A1987" t="s">
        <v>262</v>
      </c>
      <c r="B1987" t="s">
        <v>2308</v>
      </c>
      <c r="C1987" t="s">
        <v>2341</v>
      </c>
      <c r="D1987" t="s">
        <v>21</v>
      </c>
      <c r="E1987" t="s">
        <v>22</v>
      </c>
      <c r="F1987" t="s">
        <v>23</v>
      </c>
      <c r="G1987">
        <v>1</v>
      </c>
      <c r="H1987">
        <v>9791166300080</v>
      </c>
      <c r="I1987" t="s">
        <v>24</v>
      </c>
      <c r="J1987" t="s">
        <v>184</v>
      </c>
      <c r="K1987" t="s">
        <v>119</v>
      </c>
      <c r="L1987" t="s">
        <v>27</v>
      </c>
      <c r="M1987" s="3">
        <v>3200</v>
      </c>
      <c r="N1987" t="s">
        <v>27</v>
      </c>
      <c r="O1987" s="3">
        <v>3200</v>
      </c>
      <c r="P1987" s="3">
        <v>3200</v>
      </c>
      <c r="Q1987" t="s">
        <v>30</v>
      </c>
      <c r="R1987" s="2">
        <v>0.7</v>
      </c>
      <c r="S1987" s="3">
        <v>2240</v>
      </c>
      <c r="T1987" t="s">
        <v>27</v>
      </c>
      <c r="U1987" s="3">
        <v>2240</v>
      </c>
      <c r="V1987" s="7" t="str">
        <f>IF(ISERROR(VLOOKUP(K1987,[1]작가별정산률!$R:$S,2,0)),"스토리위즈",VLOOKUP(K1987,[1]작가별정산률!$R:$S,2,0))</f>
        <v>스토리위즈</v>
      </c>
      <c r="W1987" s="7" t="str">
        <f>IF(V1987="스토리위즈",VLOOKUP(K1987,[1]작가별정산률!$A:$B,2,0),V1987)</f>
        <v>김광수</v>
      </c>
    </row>
    <row r="1988" spans="1:23" x14ac:dyDescent="0.4">
      <c r="A1988" t="s">
        <v>262</v>
      </c>
      <c r="B1988" t="s">
        <v>2308</v>
      </c>
      <c r="C1988" t="s">
        <v>2342</v>
      </c>
      <c r="D1988" t="s">
        <v>64</v>
      </c>
      <c r="E1988" t="s">
        <v>22</v>
      </c>
      <c r="F1988" t="s">
        <v>23</v>
      </c>
      <c r="G1988">
        <v>1</v>
      </c>
      <c r="H1988">
        <v>9791166061158</v>
      </c>
      <c r="I1988" t="s">
        <v>24</v>
      </c>
      <c r="J1988" t="s">
        <v>101</v>
      </c>
      <c r="K1988" t="s">
        <v>37</v>
      </c>
      <c r="L1988" t="s">
        <v>27</v>
      </c>
      <c r="M1988">
        <v>900</v>
      </c>
      <c r="N1988" t="s">
        <v>27</v>
      </c>
      <c r="O1988">
        <v>900</v>
      </c>
      <c r="P1988">
        <v>900</v>
      </c>
      <c r="Q1988" t="s">
        <v>30</v>
      </c>
      <c r="R1988" s="2">
        <v>0.7</v>
      </c>
      <c r="S1988">
        <v>630</v>
      </c>
      <c r="T1988" t="s">
        <v>27</v>
      </c>
      <c r="U1988">
        <v>630</v>
      </c>
      <c r="V1988" s="7" t="str">
        <f>IF(ISERROR(VLOOKUP(K1988,[1]작가별정산률!$R:$S,2,0)),"스토리위즈",VLOOKUP(K1988,[1]작가별정산률!$R:$S,2,0))</f>
        <v>스토리위즈</v>
      </c>
      <c r="W1988" s="7" t="str">
        <f>IF(V1988="스토리위즈",VLOOKUP(K1988,[1]작가별정산률!$A:$B,2,0),V1988)</f>
        <v>권용찬</v>
      </c>
    </row>
    <row r="1989" spans="1:23" x14ac:dyDescent="0.4">
      <c r="A1989" t="s">
        <v>262</v>
      </c>
      <c r="B1989" t="s">
        <v>2308</v>
      </c>
      <c r="C1989" t="s">
        <v>2343</v>
      </c>
      <c r="D1989" t="s">
        <v>21</v>
      </c>
      <c r="E1989" t="s">
        <v>22</v>
      </c>
      <c r="F1989" t="s">
        <v>23</v>
      </c>
      <c r="G1989">
        <v>1</v>
      </c>
      <c r="H1989">
        <v>9791191562361</v>
      </c>
      <c r="I1989" t="s">
        <v>143</v>
      </c>
      <c r="J1989" t="s">
        <v>916</v>
      </c>
      <c r="K1989" t="s">
        <v>186</v>
      </c>
      <c r="L1989" t="s">
        <v>27</v>
      </c>
      <c r="M1989" s="3">
        <v>2000</v>
      </c>
      <c r="N1989" t="s">
        <v>27</v>
      </c>
      <c r="O1989" s="3">
        <v>2000</v>
      </c>
      <c r="P1989" s="3">
        <v>2000</v>
      </c>
      <c r="Q1989" t="s">
        <v>30</v>
      </c>
      <c r="R1989" s="2">
        <v>0.7</v>
      </c>
      <c r="S1989" s="3">
        <v>1400</v>
      </c>
      <c r="T1989" t="s">
        <v>27</v>
      </c>
      <c r="U1989" s="3">
        <v>1400</v>
      </c>
      <c r="V1989" s="7" t="str">
        <f>IF(ISERROR(VLOOKUP(K1989,[1]작가별정산률!$R:$S,2,0)),"스토리위즈",VLOOKUP(K1989,[1]작가별정산률!$R:$S,2,0))</f>
        <v>밀리의 서재</v>
      </c>
      <c r="W1989" s="7" t="str">
        <f>IF(V1989="스토리위즈",VLOOKUP(K1989,[1]작가별정산률!$A:$B,2,0),V1989)</f>
        <v>밀리의 서재</v>
      </c>
    </row>
    <row r="1990" spans="1:23" x14ac:dyDescent="0.4">
      <c r="A1990" t="s">
        <v>262</v>
      </c>
      <c r="B1990" t="s">
        <v>2308</v>
      </c>
      <c r="C1990" t="s">
        <v>2344</v>
      </c>
      <c r="D1990" t="s">
        <v>21</v>
      </c>
      <c r="E1990" t="s">
        <v>22</v>
      </c>
      <c r="F1990" t="s">
        <v>23</v>
      </c>
      <c r="G1990">
        <v>1</v>
      </c>
      <c r="H1990">
        <v>9791191562453</v>
      </c>
      <c r="I1990" t="s">
        <v>143</v>
      </c>
      <c r="J1990" t="s">
        <v>1900</v>
      </c>
      <c r="K1990" t="s">
        <v>1901</v>
      </c>
      <c r="L1990" t="s">
        <v>27</v>
      </c>
      <c r="M1990" s="3">
        <v>2500</v>
      </c>
      <c r="N1990" t="s">
        <v>27</v>
      </c>
      <c r="O1990" s="3">
        <v>2500</v>
      </c>
      <c r="P1990" s="3">
        <v>2500</v>
      </c>
      <c r="Q1990" t="s">
        <v>30</v>
      </c>
      <c r="R1990" s="2">
        <v>0.7</v>
      </c>
      <c r="S1990" s="3">
        <v>1750</v>
      </c>
      <c r="T1990" t="s">
        <v>27</v>
      </c>
      <c r="U1990" s="3">
        <v>1750</v>
      </c>
      <c r="V1990" s="7" t="str">
        <f>IF(ISERROR(VLOOKUP(K1990,[1]작가별정산률!$R:$S,2,0)),"스토리위즈",VLOOKUP(K1990,[1]작가별정산률!$R:$S,2,0))</f>
        <v>밀리의 서재</v>
      </c>
      <c r="W1990" s="7" t="str">
        <f>IF(V1990="스토리위즈",VLOOKUP(K1990,[1]작가별정산률!$A:$B,2,0),V1990)</f>
        <v>밀리의 서재</v>
      </c>
    </row>
    <row r="1991" spans="1:23" x14ac:dyDescent="0.4">
      <c r="A1991" t="s">
        <v>262</v>
      </c>
      <c r="B1991" t="s">
        <v>2308</v>
      </c>
      <c r="C1991" t="s">
        <v>2345</v>
      </c>
      <c r="D1991" t="s">
        <v>64</v>
      </c>
      <c r="E1991" t="s">
        <v>22</v>
      </c>
      <c r="F1991" t="s">
        <v>23</v>
      </c>
      <c r="G1991">
        <v>1</v>
      </c>
      <c r="H1991">
        <v>9791159283123</v>
      </c>
      <c r="I1991" t="s">
        <v>24</v>
      </c>
      <c r="J1991" t="s">
        <v>78</v>
      </c>
      <c r="K1991" t="s">
        <v>37</v>
      </c>
      <c r="L1991" t="s">
        <v>27</v>
      </c>
      <c r="M1991">
        <v>900</v>
      </c>
      <c r="N1991" t="s">
        <v>27</v>
      </c>
      <c r="O1991">
        <v>900</v>
      </c>
      <c r="P1991">
        <v>900</v>
      </c>
      <c r="Q1991" t="s">
        <v>30</v>
      </c>
      <c r="R1991" s="2">
        <v>0.7</v>
      </c>
      <c r="S1991">
        <v>630</v>
      </c>
      <c r="T1991" t="s">
        <v>27</v>
      </c>
      <c r="U1991">
        <v>630</v>
      </c>
      <c r="V1991" s="7" t="str">
        <f>IF(ISERROR(VLOOKUP(K1991,[1]작가별정산률!$R:$S,2,0)),"스토리위즈",VLOOKUP(K1991,[1]작가별정산률!$R:$S,2,0))</f>
        <v>스토리위즈</v>
      </c>
      <c r="W1991" s="7" t="str">
        <f>IF(V1991="스토리위즈",VLOOKUP(K1991,[1]작가별정산률!$A:$B,2,0),V1991)</f>
        <v>권용찬</v>
      </c>
    </row>
    <row r="1992" spans="1:23" x14ac:dyDescent="0.4">
      <c r="A1992" t="s">
        <v>262</v>
      </c>
      <c r="B1992" t="s">
        <v>2308</v>
      </c>
      <c r="C1992" t="s">
        <v>2346</v>
      </c>
      <c r="D1992" t="s">
        <v>64</v>
      </c>
      <c r="E1992" t="s">
        <v>22</v>
      </c>
      <c r="F1992" t="s">
        <v>23</v>
      </c>
      <c r="G1992">
        <v>1</v>
      </c>
      <c r="H1992">
        <v>9791159283147</v>
      </c>
      <c r="I1992" t="s">
        <v>24</v>
      </c>
      <c r="J1992" t="s">
        <v>83</v>
      </c>
      <c r="K1992" t="s">
        <v>37</v>
      </c>
      <c r="L1992" t="s">
        <v>27</v>
      </c>
      <c r="M1992">
        <v>900</v>
      </c>
      <c r="N1992" t="s">
        <v>27</v>
      </c>
      <c r="O1992">
        <v>900</v>
      </c>
      <c r="P1992">
        <v>900</v>
      </c>
      <c r="Q1992" t="s">
        <v>30</v>
      </c>
      <c r="R1992" s="2">
        <v>0.7</v>
      </c>
      <c r="S1992">
        <v>630</v>
      </c>
      <c r="T1992" t="s">
        <v>27</v>
      </c>
      <c r="U1992">
        <v>630</v>
      </c>
      <c r="V1992" s="7" t="str">
        <f>IF(ISERROR(VLOOKUP(K1992,[1]작가별정산률!$R:$S,2,0)),"스토리위즈",VLOOKUP(K1992,[1]작가별정산률!$R:$S,2,0))</f>
        <v>스토리위즈</v>
      </c>
      <c r="W1992" s="7" t="str">
        <f>IF(V1992="스토리위즈",VLOOKUP(K1992,[1]작가별정산률!$A:$B,2,0),V1992)</f>
        <v>권용찬</v>
      </c>
    </row>
    <row r="1993" spans="1:23" x14ac:dyDescent="0.4">
      <c r="A1993" t="s">
        <v>262</v>
      </c>
      <c r="B1993" t="s">
        <v>2308</v>
      </c>
      <c r="C1993" t="s">
        <v>2347</v>
      </c>
      <c r="D1993" t="s">
        <v>64</v>
      </c>
      <c r="E1993" t="s">
        <v>22</v>
      </c>
      <c r="F1993" t="s">
        <v>23</v>
      </c>
      <c r="G1993">
        <v>1</v>
      </c>
      <c r="H1993">
        <v>9791159284953</v>
      </c>
      <c r="I1993" t="s">
        <v>24</v>
      </c>
      <c r="J1993" t="s">
        <v>46</v>
      </c>
      <c r="K1993" t="s">
        <v>47</v>
      </c>
      <c r="L1993" t="s">
        <v>27</v>
      </c>
      <c r="M1993">
        <v>630</v>
      </c>
      <c r="N1993" t="s">
        <v>27</v>
      </c>
      <c r="O1993">
        <v>630</v>
      </c>
      <c r="P1993">
        <v>630</v>
      </c>
      <c r="Q1993" t="s">
        <v>30</v>
      </c>
      <c r="R1993" s="2">
        <v>0.7</v>
      </c>
      <c r="S1993">
        <v>441</v>
      </c>
      <c r="T1993" t="s">
        <v>27</v>
      </c>
      <c r="U1993">
        <v>441</v>
      </c>
      <c r="V1993" s="7" t="str">
        <f>IF(ISERROR(VLOOKUP(K1993,[1]작가별정산률!$R:$S,2,0)),"스토리위즈",VLOOKUP(K1993,[1]작가별정산률!$R:$S,2,0))</f>
        <v>스토리위즈</v>
      </c>
      <c r="W1993" s="7" t="str">
        <f>IF(V1993="스토리위즈",VLOOKUP(K1993,[1]작가별정산률!$A:$B,2,0),V1993)</f>
        <v>전혁</v>
      </c>
    </row>
    <row r="1994" spans="1:23" x14ac:dyDescent="0.4">
      <c r="A1994" t="s">
        <v>262</v>
      </c>
      <c r="B1994" t="s">
        <v>2308</v>
      </c>
      <c r="C1994" t="s">
        <v>2348</v>
      </c>
      <c r="D1994" t="s">
        <v>21</v>
      </c>
      <c r="E1994" t="s">
        <v>22</v>
      </c>
      <c r="F1994" t="s">
        <v>23</v>
      </c>
      <c r="G1994">
        <v>1</v>
      </c>
      <c r="H1994">
        <v>9791191562262</v>
      </c>
      <c r="I1994" t="s">
        <v>143</v>
      </c>
      <c r="J1994" t="s">
        <v>250</v>
      </c>
      <c r="K1994" t="s">
        <v>251</v>
      </c>
      <c r="L1994" t="s">
        <v>27</v>
      </c>
      <c r="M1994" s="3">
        <v>2000</v>
      </c>
      <c r="N1994" t="s">
        <v>27</v>
      </c>
      <c r="O1994" s="3">
        <v>2000</v>
      </c>
      <c r="P1994" s="3">
        <v>2000</v>
      </c>
      <c r="Q1994" t="s">
        <v>30</v>
      </c>
      <c r="R1994" s="2">
        <v>0.7</v>
      </c>
      <c r="S1994" s="3">
        <v>1400</v>
      </c>
      <c r="T1994" t="s">
        <v>27</v>
      </c>
      <c r="U1994" s="3">
        <v>1400</v>
      </c>
      <c r="V1994" s="7" t="str">
        <f>IF(ISERROR(VLOOKUP(K1994,[1]작가별정산률!$R:$S,2,0)),"스토리위즈",VLOOKUP(K1994,[1]작가별정산률!$R:$S,2,0))</f>
        <v>밀리의 서재</v>
      </c>
      <c r="W1994" s="7" t="str">
        <f>IF(V1994="스토리위즈",VLOOKUP(K1994,[1]작가별정산률!$A:$B,2,0),V1994)</f>
        <v>밀리의 서재</v>
      </c>
    </row>
    <row r="1995" spans="1:23" x14ac:dyDescent="0.4">
      <c r="A1995" t="s">
        <v>262</v>
      </c>
      <c r="B1995" t="s">
        <v>2308</v>
      </c>
      <c r="C1995" t="s">
        <v>2349</v>
      </c>
      <c r="D1995" t="s">
        <v>21</v>
      </c>
      <c r="E1995" t="s">
        <v>22</v>
      </c>
      <c r="F1995" t="s">
        <v>23</v>
      </c>
      <c r="G1995">
        <v>1</v>
      </c>
      <c r="H1995">
        <v>9791164370719</v>
      </c>
      <c r="I1995" t="s">
        <v>143</v>
      </c>
      <c r="J1995" t="s">
        <v>2350</v>
      </c>
      <c r="K1995" t="s">
        <v>1035</v>
      </c>
      <c r="L1995" t="s">
        <v>27</v>
      </c>
      <c r="M1995">
        <v>500</v>
      </c>
      <c r="N1995" t="s">
        <v>2351</v>
      </c>
      <c r="O1995">
        <v>1.89</v>
      </c>
      <c r="P1995">
        <v>1.89</v>
      </c>
      <c r="Q1995" t="s">
        <v>2352</v>
      </c>
      <c r="R1995" s="2">
        <v>0.7</v>
      </c>
      <c r="S1995">
        <v>1.32</v>
      </c>
      <c r="T1995" t="s">
        <v>27</v>
      </c>
      <c r="U1995">
        <v>350</v>
      </c>
      <c r="V1995" s="7" t="str">
        <f>IF(ISERROR(VLOOKUP(K1995,[1]작가별정산률!$R:$S,2,0)),"스토리위즈",VLOOKUP(K1995,[1]작가별정산률!$R:$S,2,0))</f>
        <v>스토리위즈</v>
      </c>
      <c r="W1995" s="7" t="str">
        <f>IF(V1995="스토리위즈",VLOOKUP(K1995,[1]작가별정산률!$A:$B,2,0),V1995)</f>
        <v>모리미</v>
      </c>
    </row>
    <row r="1996" spans="1:23" x14ac:dyDescent="0.4">
      <c r="A1996" t="s">
        <v>262</v>
      </c>
      <c r="B1996" t="s">
        <v>2308</v>
      </c>
      <c r="C1996" t="s">
        <v>2353</v>
      </c>
      <c r="D1996" t="s">
        <v>64</v>
      </c>
      <c r="E1996" t="s">
        <v>22</v>
      </c>
      <c r="F1996" t="s">
        <v>23</v>
      </c>
      <c r="G1996">
        <v>1</v>
      </c>
      <c r="H1996">
        <v>9791166300523</v>
      </c>
      <c r="I1996" t="s">
        <v>24</v>
      </c>
      <c r="J1996" t="s">
        <v>150</v>
      </c>
      <c r="K1996" t="s">
        <v>119</v>
      </c>
      <c r="L1996" t="s">
        <v>27</v>
      </c>
      <c r="M1996">
        <v>630</v>
      </c>
      <c r="N1996" t="s">
        <v>27</v>
      </c>
      <c r="O1996">
        <v>630</v>
      </c>
      <c r="P1996">
        <v>630</v>
      </c>
      <c r="Q1996" t="s">
        <v>30</v>
      </c>
      <c r="R1996" s="2">
        <v>0.7</v>
      </c>
      <c r="S1996">
        <v>441</v>
      </c>
      <c r="T1996" t="s">
        <v>27</v>
      </c>
      <c r="U1996">
        <v>441</v>
      </c>
      <c r="V1996" s="7" t="str">
        <f>IF(ISERROR(VLOOKUP(K1996,[1]작가별정산률!$R:$S,2,0)),"스토리위즈",VLOOKUP(K1996,[1]작가별정산률!$R:$S,2,0))</f>
        <v>스토리위즈</v>
      </c>
      <c r="W1996" s="7" t="str">
        <f>IF(V1996="스토리위즈",VLOOKUP(K1996,[1]작가별정산률!$A:$B,2,0),V1996)</f>
        <v>김광수</v>
      </c>
    </row>
    <row r="1997" spans="1:23" x14ac:dyDescent="0.4">
      <c r="A1997" t="s">
        <v>262</v>
      </c>
      <c r="B1997" t="s">
        <v>2308</v>
      </c>
      <c r="C1997" t="s">
        <v>2354</v>
      </c>
      <c r="D1997" t="s">
        <v>21</v>
      </c>
      <c r="E1997" t="s">
        <v>22</v>
      </c>
      <c r="F1997" t="s">
        <v>23</v>
      </c>
      <c r="G1997">
        <v>1</v>
      </c>
      <c r="H1997">
        <v>9791164370184</v>
      </c>
      <c r="I1997" t="s">
        <v>143</v>
      </c>
      <c r="J1997" t="s">
        <v>1996</v>
      </c>
      <c r="K1997" t="s">
        <v>1035</v>
      </c>
      <c r="L1997" t="s">
        <v>27</v>
      </c>
      <c r="M1997" s="3">
        <v>2500</v>
      </c>
      <c r="N1997" t="s">
        <v>27</v>
      </c>
      <c r="O1997" s="3">
        <v>2500</v>
      </c>
      <c r="P1997" s="3">
        <v>2500</v>
      </c>
      <c r="Q1997" t="s">
        <v>30</v>
      </c>
      <c r="R1997" s="2">
        <v>0.7</v>
      </c>
      <c r="S1997" s="3">
        <v>1750</v>
      </c>
      <c r="T1997" t="s">
        <v>27</v>
      </c>
      <c r="U1997" s="3">
        <v>1750</v>
      </c>
      <c r="V1997" s="7" t="str">
        <f>IF(ISERROR(VLOOKUP(K1997,[1]작가별정산률!$R:$S,2,0)),"스토리위즈",VLOOKUP(K1997,[1]작가별정산률!$R:$S,2,0))</f>
        <v>스토리위즈</v>
      </c>
      <c r="W1997" s="7" t="str">
        <f>IF(V1997="스토리위즈",VLOOKUP(K1997,[1]작가별정산률!$A:$B,2,0),V1997)</f>
        <v>모리미</v>
      </c>
    </row>
    <row r="1998" spans="1:23" x14ac:dyDescent="0.4">
      <c r="A1998" t="s">
        <v>262</v>
      </c>
      <c r="B1998" t="s">
        <v>2308</v>
      </c>
      <c r="C1998" t="s">
        <v>2355</v>
      </c>
      <c r="D1998" t="s">
        <v>21</v>
      </c>
      <c r="E1998" t="s">
        <v>22</v>
      </c>
      <c r="F1998" t="s">
        <v>23</v>
      </c>
      <c r="G1998">
        <v>1</v>
      </c>
      <c r="H1998">
        <v>9791166300660</v>
      </c>
      <c r="I1998" t="s">
        <v>24</v>
      </c>
      <c r="J1998" t="s">
        <v>156</v>
      </c>
      <c r="K1998" t="s">
        <v>119</v>
      </c>
      <c r="L1998" t="s">
        <v>27</v>
      </c>
      <c r="M1998" s="3">
        <v>3200</v>
      </c>
      <c r="N1998" t="s">
        <v>27</v>
      </c>
      <c r="O1998" s="3">
        <v>3200</v>
      </c>
      <c r="P1998" s="3">
        <v>3200</v>
      </c>
      <c r="Q1998" t="s">
        <v>30</v>
      </c>
      <c r="R1998" s="2">
        <v>0.7</v>
      </c>
      <c r="S1998" s="3">
        <v>2240</v>
      </c>
      <c r="T1998" t="s">
        <v>27</v>
      </c>
      <c r="U1998" s="3">
        <v>2240</v>
      </c>
      <c r="V1998" s="7" t="str">
        <f>IF(ISERROR(VLOOKUP(K1998,[1]작가별정산률!$R:$S,2,0)),"스토리위즈",VLOOKUP(K1998,[1]작가별정산률!$R:$S,2,0))</f>
        <v>스토리위즈</v>
      </c>
      <c r="W1998" s="7" t="str">
        <f>IF(V1998="스토리위즈",VLOOKUP(K1998,[1]작가별정산률!$A:$B,2,0),V1998)</f>
        <v>김광수</v>
      </c>
    </row>
    <row r="1999" spans="1:23" x14ac:dyDescent="0.4">
      <c r="A1999" t="s">
        <v>262</v>
      </c>
      <c r="B1999" t="s">
        <v>2308</v>
      </c>
      <c r="C1999" t="s">
        <v>2356</v>
      </c>
      <c r="D1999" t="s">
        <v>21</v>
      </c>
      <c r="E1999" t="s">
        <v>22</v>
      </c>
      <c r="F1999" t="s">
        <v>23</v>
      </c>
      <c r="G1999">
        <v>1</v>
      </c>
      <c r="H1999">
        <v>9791189084837</v>
      </c>
      <c r="I1999" t="s">
        <v>143</v>
      </c>
      <c r="J1999" t="s">
        <v>1921</v>
      </c>
      <c r="K1999" t="s">
        <v>1378</v>
      </c>
      <c r="L1999" t="s">
        <v>27</v>
      </c>
      <c r="M1999">
        <v>400</v>
      </c>
      <c r="N1999" t="s">
        <v>27</v>
      </c>
      <c r="O1999">
        <v>400</v>
      </c>
      <c r="P1999">
        <v>400</v>
      </c>
      <c r="Q1999" t="s">
        <v>30</v>
      </c>
      <c r="R1999" s="2">
        <v>0.7</v>
      </c>
      <c r="S1999">
        <v>280</v>
      </c>
      <c r="T1999" t="s">
        <v>27</v>
      </c>
      <c r="U1999">
        <v>280</v>
      </c>
      <c r="V1999" s="7" t="str">
        <f>IF(ISERROR(VLOOKUP(K1999,[1]작가별정산률!$R:$S,2,0)),"스토리위즈",VLOOKUP(K1999,[1]작가별정산률!$R:$S,2,0))</f>
        <v>스토리위즈</v>
      </c>
      <c r="W1999" s="7" t="str">
        <f>IF(V1999="스토리위즈",VLOOKUP(K1999,[1]작가별정산률!$A:$B,2,0),V1999)</f>
        <v>밈스</v>
      </c>
    </row>
    <row r="2000" spans="1:23" x14ac:dyDescent="0.4">
      <c r="A2000" t="s">
        <v>262</v>
      </c>
      <c r="B2000" t="s">
        <v>2308</v>
      </c>
      <c r="C2000" t="s">
        <v>2357</v>
      </c>
      <c r="D2000" t="s">
        <v>64</v>
      </c>
      <c r="E2000" t="s">
        <v>22</v>
      </c>
      <c r="F2000" t="s">
        <v>23</v>
      </c>
      <c r="G2000">
        <v>1</v>
      </c>
      <c r="H2000">
        <v>9791159283154</v>
      </c>
      <c r="I2000" t="s">
        <v>24</v>
      </c>
      <c r="J2000" t="s">
        <v>84</v>
      </c>
      <c r="K2000" t="s">
        <v>37</v>
      </c>
      <c r="L2000" t="s">
        <v>27</v>
      </c>
      <c r="M2000">
        <v>900</v>
      </c>
      <c r="N2000" t="s">
        <v>27</v>
      </c>
      <c r="O2000">
        <v>900</v>
      </c>
      <c r="P2000">
        <v>900</v>
      </c>
      <c r="Q2000" t="s">
        <v>30</v>
      </c>
      <c r="R2000" s="2">
        <v>0.7</v>
      </c>
      <c r="S2000">
        <v>630</v>
      </c>
      <c r="T2000" t="s">
        <v>27</v>
      </c>
      <c r="U2000">
        <v>630</v>
      </c>
      <c r="V2000" s="7" t="str">
        <f>IF(ISERROR(VLOOKUP(K2000,[1]작가별정산률!$R:$S,2,0)),"스토리위즈",VLOOKUP(K2000,[1]작가별정산률!$R:$S,2,0))</f>
        <v>스토리위즈</v>
      </c>
      <c r="W2000" s="7" t="str">
        <f>IF(V2000="스토리위즈",VLOOKUP(K2000,[1]작가별정산률!$A:$B,2,0),V2000)</f>
        <v>권용찬</v>
      </c>
    </row>
    <row r="2001" spans="1:23" x14ac:dyDescent="0.4">
      <c r="A2001" t="s">
        <v>262</v>
      </c>
      <c r="B2001" t="s">
        <v>2308</v>
      </c>
      <c r="C2001" t="s">
        <v>2358</v>
      </c>
      <c r="D2001" t="s">
        <v>64</v>
      </c>
      <c r="E2001" t="s">
        <v>22</v>
      </c>
      <c r="F2001" t="s">
        <v>23</v>
      </c>
      <c r="G2001">
        <v>1</v>
      </c>
      <c r="H2001">
        <v>9791166064173</v>
      </c>
      <c r="I2001" t="s">
        <v>24</v>
      </c>
      <c r="J2001" t="s">
        <v>209</v>
      </c>
      <c r="K2001" t="s">
        <v>37</v>
      </c>
      <c r="L2001" t="s">
        <v>27</v>
      </c>
      <c r="M2001">
        <v>900</v>
      </c>
      <c r="N2001" t="s">
        <v>27</v>
      </c>
      <c r="O2001">
        <v>900</v>
      </c>
      <c r="P2001">
        <v>900</v>
      </c>
      <c r="Q2001" t="s">
        <v>30</v>
      </c>
      <c r="R2001" s="2">
        <v>0.7</v>
      </c>
      <c r="S2001">
        <v>630</v>
      </c>
      <c r="T2001" t="s">
        <v>27</v>
      </c>
      <c r="U2001">
        <v>630</v>
      </c>
      <c r="V2001" s="7" t="str">
        <f>IF(ISERROR(VLOOKUP(K2001,[1]작가별정산률!$R:$S,2,0)),"스토리위즈",VLOOKUP(K2001,[1]작가별정산률!$R:$S,2,0))</f>
        <v>스토리위즈</v>
      </c>
      <c r="W2001" s="7" t="str">
        <f>IF(V2001="스토리위즈",VLOOKUP(K2001,[1]작가별정산률!$A:$B,2,0),V2001)</f>
        <v>권용찬</v>
      </c>
    </row>
    <row r="2002" spans="1:23" x14ac:dyDescent="0.4">
      <c r="A2002" t="s">
        <v>262</v>
      </c>
      <c r="B2002" t="s">
        <v>2308</v>
      </c>
      <c r="C2002" t="s">
        <v>2359</v>
      </c>
      <c r="D2002" t="s">
        <v>21</v>
      </c>
      <c r="E2002" t="s">
        <v>22</v>
      </c>
      <c r="F2002" t="s">
        <v>23</v>
      </c>
      <c r="G2002">
        <v>1</v>
      </c>
      <c r="H2002">
        <v>9791191562361</v>
      </c>
      <c r="I2002" t="s">
        <v>143</v>
      </c>
      <c r="J2002" t="s">
        <v>916</v>
      </c>
      <c r="K2002" t="s">
        <v>186</v>
      </c>
      <c r="L2002" t="s">
        <v>27</v>
      </c>
      <c r="M2002" s="3">
        <v>2000</v>
      </c>
      <c r="N2002" t="s">
        <v>27</v>
      </c>
      <c r="O2002" s="3">
        <v>2000</v>
      </c>
      <c r="P2002" s="3">
        <v>2000</v>
      </c>
      <c r="Q2002" t="s">
        <v>30</v>
      </c>
      <c r="R2002" s="2">
        <v>0.7</v>
      </c>
      <c r="S2002" s="3">
        <v>1400</v>
      </c>
      <c r="T2002" t="s">
        <v>27</v>
      </c>
      <c r="U2002" s="3">
        <v>1400</v>
      </c>
      <c r="V2002" s="7" t="str">
        <f>IF(ISERROR(VLOOKUP(K2002,[1]작가별정산률!$R:$S,2,0)),"스토리위즈",VLOOKUP(K2002,[1]작가별정산률!$R:$S,2,0))</f>
        <v>밀리의 서재</v>
      </c>
      <c r="W2002" s="7" t="str">
        <f>IF(V2002="스토리위즈",VLOOKUP(K2002,[1]작가별정산률!$A:$B,2,0),V2002)</f>
        <v>밀리의 서재</v>
      </c>
    </row>
    <row r="2003" spans="1:23" x14ac:dyDescent="0.4">
      <c r="A2003" t="s">
        <v>262</v>
      </c>
      <c r="B2003" t="s">
        <v>2308</v>
      </c>
      <c r="C2003" t="s">
        <v>2360</v>
      </c>
      <c r="D2003" t="s">
        <v>64</v>
      </c>
      <c r="E2003" t="s">
        <v>22</v>
      </c>
      <c r="F2003" t="s">
        <v>23</v>
      </c>
      <c r="G2003">
        <v>1</v>
      </c>
      <c r="H2003">
        <v>9791166061127</v>
      </c>
      <c r="I2003" t="s">
        <v>24</v>
      </c>
      <c r="J2003" t="s">
        <v>100</v>
      </c>
      <c r="K2003" t="s">
        <v>37</v>
      </c>
      <c r="L2003" t="s">
        <v>27</v>
      </c>
      <c r="M2003">
        <v>900</v>
      </c>
      <c r="N2003" t="s">
        <v>27</v>
      </c>
      <c r="O2003">
        <v>900</v>
      </c>
      <c r="P2003">
        <v>900</v>
      </c>
      <c r="Q2003" t="s">
        <v>30</v>
      </c>
      <c r="R2003" s="2">
        <v>0.7</v>
      </c>
      <c r="S2003">
        <v>630</v>
      </c>
      <c r="T2003" t="s">
        <v>27</v>
      </c>
      <c r="U2003">
        <v>630</v>
      </c>
      <c r="V2003" s="7" t="str">
        <f>IF(ISERROR(VLOOKUP(K2003,[1]작가별정산률!$R:$S,2,0)),"스토리위즈",VLOOKUP(K2003,[1]작가별정산률!$R:$S,2,0))</f>
        <v>스토리위즈</v>
      </c>
      <c r="W2003" s="7" t="str">
        <f>IF(V2003="스토리위즈",VLOOKUP(K2003,[1]작가별정산률!$A:$B,2,0),V2003)</f>
        <v>권용찬</v>
      </c>
    </row>
    <row r="2004" spans="1:23" x14ac:dyDescent="0.4">
      <c r="A2004" t="s">
        <v>262</v>
      </c>
      <c r="B2004" t="s">
        <v>2308</v>
      </c>
      <c r="C2004" t="s">
        <v>2361</v>
      </c>
      <c r="D2004" t="s">
        <v>64</v>
      </c>
      <c r="E2004" t="s">
        <v>22</v>
      </c>
      <c r="F2004" t="s">
        <v>23</v>
      </c>
      <c r="G2004">
        <v>1</v>
      </c>
      <c r="H2004">
        <v>9791159284977</v>
      </c>
      <c r="I2004" t="s">
        <v>24</v>
      </c>
      <c r="J2004" t="s">
        <v>49</v>
      </c>
      <c r="K2004" t="s">
        <v>47</v>
      </c>
      <c r="L2004" t="s">
        <v>27</v>
      </c>
      <c r="M2004">
        <v>630</v>
      </c>
      <c r="N2004" t="s">
        <v>27</v>
      </c>
      <c r="O2004">
        <v>630</v>
      </c>
      <c r="P2004">
        <v>630</v>
      </c>
      <c r="Q2004" t="s">
        <v>30</v>
      </c>
      <c r="R2004" s="2">
        <v>0.7</v>
      </c>
      <c r="S2004">
        <v>441</v>
      </c>
      <c r="T2004" t="s">
        <v>27</v>
      </c>
      <c r="U2004">
        <v>441</v>
      </c>
      <c r="V2004" s="7" t="str">
        <f>IF(ISERROR(VLOOKUP(K2004,[1]작가별정산률!$R:$S,2,0)),"스토리위즈",VLOOKUP(K2004,[1]작가별정산률!$R:$S,2,0))</f>
        <v>스토리위즈</v>
      </c>
      <c r="W2004" s="7" t="str">
        <f>IF(V2004="스토리위즈",VLOOKUP(K2004,[1]작가별정산률!$A:$B,2,0),V2004)</f>
        <v>전혁</v>
      </c>
    </row>
    <row r="2005" spans="1:23" x14ac:dyDescent="0.4">
      <c r="A2005" t="s">
        <v>262</v>
      </c>
      <c r="B2005" t="s">
        <v>2308</v>
      </c>
      <c r="C2005" t="s">
        <v>2362</v>
      </c>
      <c r="D2005" t="s">
        <v>21</v>
      </c>
      <c r="E2005" t="s">
        <v>22</v>
      </c>
      <c r="F2005" t="s">
        <v>23</v>
      </c>
      <c r="G2005">
        <v>1</v>
      </c>
      <c r="H2005">
        <v>9791189084448</v>
      </c>
      <c r="I2005" t="s">
        <v>143</v>
      </c>
      <c r="J2005" t="s">
        <v>1377</v>
      </c>
      <c r="K2005" t="s">
        <v>1378</v>
      </c>
      <c r="L2005" t="s">
        <v>27</v>
      </c>
      <c r="M2005" s="3">
        <v>3000</v>
      </c>
      <c r="N2005" t="s">
        <v>27</v>
      </c>
      <c r="O2005" s="3">
        <v>3000</v>
      </c>
      <c r="P2005" s="3">
        <v>3000</v>
      </c>
      <c r="Q2005" t="s">
        <v>30</v>
      </c>
      <c r="R2005" s="2">
        <v>0.7</v>
      </c>
      <c r="S2005" s="3">
        <v>2100</v>
      </c>
      <c r="T2005" t="s">
        <v>27</v>
      </c>
      <c r="U2005" s="3">
        <v>2100</v>
      </c>
      <c r="V2005" s="7" t="str">
        <f>IF(ISERROR(VLOOKUP(K2005,[1]작가별정산률!$R:$S,2,0)),"스토리위즈",VLOOKUP(K2005,[1]작가별정산률!$R:$S,2,0))</f>
        <v>스토리위즈</v>
      </c>
      <c r="W2005" s="7" t="str">
        <f>IF(V2005="스토리위즈",VLOOKUP(K2005,[1]작가별정산률!$A:$B,2,0),V2005)</f>
        <v>밈스</v>
      </c>
    </row>
    <row r="2006" spans="1:23" x14ac:dyDescent="0.4">
      <c r="A2006" t="s">
        <v>262</v>
      </c>
      <c r="B2006" t="s">
        <v>2308</v>
      </c>
      <c r="C2006" t="s">
        <v>2363</v>
      </c>
      <c r="D2006" t="s">
        <v>64</v>
      </c>
      <c r="E2006" t="s">
        <v>22</v>
      </c>
      <c r="F2006" t="s">
        <v>23</v>
      </c>
      <c r="G2006">
        <v>1</v>
      </c>
      <c r="H2006">
        <v>9791159282256</v>
      </c>
      <c r="I2006" t="s">
        <v>24</v>
      </c>
      <c r="J2006" t="s">
        <v>117</v>
      </c>
      <c r="K2006" t="s">
        <v>37</v>
      </c>
      <c r="L2006" t="s">
        <v>27</v>
      </c>
      <c r="M2006">
        <v>900</v>
      </c>
      <c r="N2006" t="s">
        <v>27</v>
      </c>
      <c r="O2006">
        <v>900</v>
      </c>
      <c r="P2006">
        <v>900</v>
      </c>
      <c r="Q2006" t="s">
        <v>30</v>
      </c>
      <c r="R2006" s="2">
        <v>0.7</v>
      </c>
      <c r="S2006">
        <v>630</v>
      </c>
      <c r="T2006" t="s">
        <v>27</v>
      </c>
      <c r="U2006">
        <v>630</v>
      </c>
      <c r="V2006" s="7" t="str">
        <f>IF(ISERROR(VLOOKUP(K2006,[1]작가별정산률!$R:$S,2,0)),"스토리위즈",VLOOKUP(K2006,[1]작가별정산률!$R:$S,2,0))</f>
        <v>스토리위즈</v>
      </c>
      <c r="W2006" s="7" t="str">
        <f>IF(V2006="스토리위즈",VLOOKUP(K2006,[1]작가별정산률!$A:$B,2,0),V2006)</f>
        <v>권용찬</v>
      </c>
    </row>
    <row r="2007" spans="1:23" x14ac:dyDescent="0.4">
      <c r="A2007" t="s">
        <v>262</v>
      </c>
      <c r="B2007" t="s">
        <v>2308</v>
      </c>
      <c r="C2007" t="s">
        <v>2364</v>
      </c>
      <c r="D2007" t="s">
        <v>21</v>
      </c>
      <c r="E2007" t="s">
        <v>22</v>
      </c>
      <c r="F2007" t="s">
        <v>23</v>
      </c>
      <c r="G2007">
        <v>1</v>
      </c>
      <c r="H2007">
        <v>9791189084448</v>
      </c>
      <c r="I2007" t="s">
        <v>143</v>
      </c>
      <c r="J2007" t="s">
        <v>1377</v>
      </c>
      <c r="K2007" t="s">
        <v>1378</v>
      </c>
      <c r="L2007" t="s">
        <v>27</v>
      </c>
      <c r="M2007" s="3">
        <v>3000</v>
      </c>
      <c r="N2007" t="s">
        <v>28</v>
      </c>
      <c r="O2007">
        <v>2.4700000000000002</v>
      </c>
      <c r="P2007">
        <v>2.4700000000000002</v>
      </c>
      <c r="Q2007" t="s">
        <v>29</v>
      </c>
      <c r="R2007" s="2">
        <v>0.7</v>
      </c>
      <c r="S2007">
        <v>1.73</v>
      </c>
      <c r="T2007" t="s">
        <v>27</v>
      </c>
      <c r="U2007" s="3">
        <v>2173</v>
      </c>
      <c r="V2007" s="7" t="str">
        <f>IF(ISERROR(VLOOKUP(K2007,[1]작가별정산률!$R:$S,2,0)),"스토리위즈",VLOOKUP(K2007,[1]작가별정산률!$R:$S,2,0))</f>
        <v>스토리위즈</v>
      </c>
      <c r="W2007" s="7" t="str">
        <f>IF(V2007="스토리위즈",VLOOKUP(K2007,[1]작가별정산률!$A:$B,2,0),V2007)</f>
        <v>밈스</v>
      </c>
    </row>
    <row r="2008" spans="1:23" x14ac:dyDescent="0.4">
      <c r="A2008" t="s">
        <v>262</v>
      </c>
      <c r="B2008" t="s">
        <v>2308</v>
      </c>
      <c r="C2008" t="s">
        <v>2365</v>
      </c>
      <c r="D2008" t="s">
        <v>21</v>
      </c>
      <c r="E2008" t="s">
        <v>22</v>
      </c>
      <c r="F2008" t="s">
        <v>23</v>
      </c>
      <c r="G2008">
        <v>1</v>
      </c>
      <c r="H2008">
        <v>9791189084455</v>
      </c>
      <c r="I2008" t="s">
        <v>143</v>
      </c>
      <c r="J2008" t="s">
        <v>1446</v>
      </c>
      <c r="K2008" t="s">
        <v>1378</v>
      </c>
      <c r="L2008" t="s">
        <v>27</v>
      </c>
      <c r="M2008" s="3">
        <v>3000</v>
      </c>
      <c r="N2008" t="s">
        <v>28</v>
      </c>
      <c r="O2008">
        <v>2.4700000000000002</v>
      </c>
      <c r="P2008">
        <v>2.4700000000000002</v>
      </c>
      <c r="Q2008" t="s">
        <v>29</v>
      </c>
      <c r="R2008" s="2">
        <v>0.7</v>
      </c>
      <c r="S2008">
        <v>1.73</v>
      </c>
      <c r="T2008" t="s">
        <v>27</v>
      </c>
      <c r="U2008" s="3">
        <v>2166</v>
      </c>
      <c r="V2008" s="7" t="str">
        <f>IF(ISERROR(VLOOKUP(K2008,[1]작가별정산률!$R:$S,2,0)),"스토리위즈",VLOOKUP(K2008,[1]작가별정산률!$R:$S,2,0))</f>
        <v>스토리위즈</v>
      </c>
      <c r="W2008" s="7" t="str">
        <f>IF(V2008="스토리위즈",VLOOKUP(K2008,[1]작가별정산률!$A:$B,2,0),V2008)</f>
        <v>밈스</v>
      </c>
    </row>
    <row r="2009" spans="1:23" x14ac:dyDescent="0.4">
      <c r="A2009" t="s">
        <v>262</v>
      </c>
      <c r="B2009" t="s">
        <v>2308</v>
      </c>
      <c r="C2009" t="s">
        <v>2366</v>
      </c>
      <c r="D2009" t="s">
        <v>21</v>
      </c>
      <c r="E2009" t="s">
        <v>22</v>
      </c>
      <c r="F2009" t="s">
        <v>23</v>
      </c>
      <c r="G2009">
        <v>1</v>
      </c>
      <c r="H2009">
        <v>9791189084462</v>
      </c>
      <c r="I2009" t="s">
        <v>143</v>
      </c>
      <c r="J2009" t="s">
        <v>1648</v>
      </c>
      <c r="K2009" t="s">
        <v>1378</v>
      </c>
      <c r="L2009" t="s">
        <v>27</v>
      </c>
      <c r="M2009" s="3">
        <v>3000</v>
      </c>
      <c r="N2009" t="s">
        <v>28</v>
      </c>
      <c r="O2009">
        <v>2.4700000000000002</v>
      </c>
      <c r="P2009">
        <v>2.4700000000000002</v>
      </c>
      <c r="Q2009" t="s">
        <v>29</v>
      </c>
      <c r="R2009" s="2">
        <v>0.7</v>
      </c>
      <c r="S2009">
        <v>1.73</v>
      </c>
      <c r="T2009" t="s">
        <v>27</v>
      </c>
      <c r="U2009" s="3">
        <v>2166</v>
      </c>
      <c r="V2009" s="7" t="str">
        <f>IF(ISERROR(VLOOKUP(K2009,[1]작가별정산률!$R:$S,2,0)),"스토리위즈",VLOOKUP(K2009,[1]작가별정산률!$R:$S,2,0))</f>
        <v>스토리위즈</v>
      </c>
      <c r="W2009" s="7" t="str">
        <f>IF(V2009="스토리위즈",VLOOKUP(K2009,[1]작가별정산률!$A:$B,2,0),V2009)</f>
        <v>밈스</v>
      </c>
    </row>
    <row r="2010" spans="1:23" x14ac:dyDescent="0.4">
      <c r="A2010" t="s">
        <v>262</v>
      </c>
      <c r="B2010" t="s">
        <v>2308</v>
      </c>
      <c r="C2010" t="s">
        <v>2367</v>
      </c>
      <c r="D2010" t="s">
        <v>21</v>
      </c>
      <c r="E2010" t="s">
        <v>22</v>
      </c>
      <c r="F2010" t="s">
        <v>23</v>
      </c>
      <c r="G2010">
        <v>1</v>
      </c>
      <c r="H2010">
        <v>9791189084837</v>
      </c>
      <c r="I2010" t="s">
        <v>143</v>
      </c>
      <c r="J2010" t="s">
        <v>1921</v>
      </c>
      <c r="K2010" t="s">
        <v>1378</v>
      </c>
      <c r="L2010" t="s">
        <v>27</v>
      </c>
      <c r="M2010">
        <v>400</v>
      </c>
      <c r="N2010" t="s">
        <v>28</v>
      </c>
      <c r="O2010">
        <v>0.33</v>
      </c>
      <c r="P2010">
        <v>0.33</v>
      </c>
      <c r="Q2010" t="s">
        <v>29</v>
      </c>
      <c r="R2010" s="2">
        <v>0.7</v>
      </c>
      <c r="S2010">
        <v>0.23</v>
      </c>
      <c r="T2010" t="s">
        <v>27</v>
      </c>
      <c r="U2010">
        <v>288</v>
      </c>
      <c r="V2010" s="7" t="str">
        <f>IF(ISERROR(VLOOKUP(K2010,[1]작가별정산률!$R:$S,2,0)),"스토리위즈",VLOOKUP(K2010,[1]작가별정산률!$R:$S,2,0))</f>
        <v>스토리위즈</v>
      </c>
      <c r="W2010" s="7" t="str">
        <f>IF(V2010="스토리위즈",VLOOKUP(K2010,[1]작가별정산률!$A:$B,2,0),V2010)</f>
        <v>밈스</v>
      </c>
    </row>
    <row r="2011" spans="1:23" x14ac:dyDescent="0.4">
      <c r="A2011" t="s">
        <v>262</v>
      </c>
      <c r="B2011" t="s">
        <v>2308</v>
      </c>
      <c r="C2011" t="s">
        <v>2368</v>
      </c>
      <c r="D2011" t="s">
        <v>21</v>
      </c>
      <c r="E2011" t="s">
        <v>22</v>
      </c>
      <c r="F2011" t="s">
        <v>23</v>
      </c>
      <c r="G2011">
        <v>1</v>
      </c>
      <c r="H2011">
        <v>9791164372058</v>
      </c>
      <c r="I2011" t="s">
        <v>143</v>
      </c>
      <c r="J2011" t="s">
        <v>2369</v>
      </c>
      <c r="K2011" t="s">
        <v>1378</v>
      </c>
      <c r="L2011" t="s">
        <v>27</v>
      </c>
      <c r="M2011" s="3">
        <v>3200</v>
      </c>
      <c r="N2011" t="s">
        <v>28</v>
      </c>
      <c r="O2011">
        <v>2.64</v>
      </c>
      <c r="P2011">
        <v>2.64</v>
      </c>
      <c r="Q2011" t="s">
        <v>29</v>
      </c>
      <c r="R2011" s="2">
        <v>0.7</v>
      </c>
      <c r="S2011">
        <v>1.85</v>
      </c>
      <c r="T2011" t="s">
        <v>27</v>
      </c>
      <c r="U2011" s="3">
        <v>2316</v>
      </c>
      <c r="V2011" s="7" t="str">
        <f>IF(ISERROR(VLOOKUP(K2011,[1]작가별정산률!$R:$S,2,0)),"스토리위즈",VLOOKUP(K2011,[1]작가별정산률!$R:$S,2,0))</f>
        <v>스토리위즈</v>
      </c>
      <c r="W2011" s="7" t="str">
        <f>IF(V2011="스토리위즈",VLOOKUP(K2011,[1]작가별정산률!$A:$B,2,0),V2011)</f>
        <v>밈스</v>
      </c>
    </row>
    <row r="2012" spans="1:23" x14ac:dyDescent="0.4">
      <c r="A2012" t="s">
        <v>262</v>
      </c>
      <c r="B2012" t="s">
        <v>2308</v>
      </c>
      <c r="C2012" t="s">
        <v>2370</v>
      </c>
      <c r="D2012" t="s">
        <v>21</v>
      </c>
      <c r="E2012" t="s">
        <v>22</v>
      </c>
      <c r="F2012" t="s">
        <v>23</v>
      </c>
      <c r="G2012">
        <v>1</v>
      </c>
      <c r="H2012">
        <v>9791164372065</v>
      </c>
      <c r="I2012" t="s">
        <v>143</v>
      </c>
      <c r="J2012" t="s">
        <v>2371</v>
      </c>
      <c r="K2012" t="s">
        <v>1378</v>
      </c>
      <c r="L2012" t="s">
        <v>27</v>
      </c>
      <c r="M2012" s="3">
        <v>3200</v>
      </c>
      <c r="N2012" t="s">
        <v>28</v>
      </c>
      <c r="O2012">
        <v>2.64</v>
      </c>
      <c r="P2012">
        <v>2.64</v>
      </c>
      <c r="Q2012" t="s">
        <v>29</v>
      </c>
      <c r="R2012" s="2">
        <v>0.7</v>
      </c>
      <c r="S2012">
        <v>1.85</v>
      </c>
      <c r="T2012" t="s">
        <v>27</v>
      </c>
      <c r="U2012" s="3">
        <v>2316</v>
      </c>
      <c r="V2012" s="7" t="str">
        <f>IF(ISERROR(VLOOKUP(K2012,[1]작가별정산률!$R:$S,2,0)),"스토리위즈",VLOOKUP(K2012,[1]작가별정산률!$R:$S,2,0))</f>
        <v>스토리위즈</v>
      </c>
      <c r="W2012" s="7" t="str">
        <f>IF(V2012="스토리위즈",VLOOKUP(K2012,[1]작가별정산률!$A:$B,2,0),V2012)</f>
        <v>밈스</v>
      </c>
    </row>
    <row r="2013" spans="1:23" x14ac:dyDescent="0.4">
      <c r="A2013" t="s">
        <v>262</v>
      </c>
      <c r="B2013" t="s">
        <v>2308</v>
      </c>
      <c r="C2013" t="s">
        <v>2372</v>
      </c>
      <c r="D2013" t="s">
        <v>21</v>
      </c>
      <c r="E2013" t="s">
        <v>22</v>
      </c>
      <c r="F2013" t="s">
        <v>23</v>
      </c>
      <c r="G2013">
        <v>1</v>
      </c>
      <c r="H2013">
        <v>9791164372072</v>
      </c>
      <c r="I2013" t="s">
        <v>143</v>
      </c>
      <c r="J2013" t="s">
        <v>2373</v>
      </c>
      <c r="K2013" t="s">
        <v>1378</v>
      </c>
      <c r="L2013" t="s">
        <v>27</v>
      </c>
      <c r="M2013" s="3">
        <v>3200</v>
      </c>
      <c r="N2013" t="s">
        <v>28</v>
      </c>
      <c r="O2013">
        <v>2.64</v>
      </c>
      <c r="P2013">
        <v>2.64</v>
      </c>
      <c r="Q2013" t="s">
        <v>29</v>
      </c>
      <c r="R2013" s="2">
        <v>0.7</v>
      </c>
      <c r="S2013">
        <v>1.85</v>
      </c>
      <c r="T2013" t="s">
        <v>27</v>
      </c>
      <c r="U2013" s="3">
        <v>2316</v>
      </c>
      <c r="V2013" s="7" t="str">
        <f>IF(ISERROR(VLOOKUP(K2013,[1]작가별정산률!$R:$S,2,0)),"스토리위즈",VLOOKUP(K2013,[1]작가별정산률!$R:$S,2,0))</f>
        <v>스토리위즈</v>
      </c>
      <c r="W2013" s="7" t="str">
        <f>IF(V2013="스토리위즈",VLOOKUP(K2013,[1]작가별정산률!$A:$B,2,0),V2013)</f>
        <v>밈스</v>
      </c>
    </row>
    <row r="2014" spans="1:23" x14ac:dyDescent="0.4">
      <c r="A2014" t="s">
        <v>262</v>
      </c>
      <c r="B2014" t="s">
        <v>2308</v>
      </c>
      <c r="C2014" t="s">
        <v>2374</v>
      </c>
      <c r="D2014" t="s">
        <v>21</v>
      </c>
      <c r="E2014" t="s">
        <v>22</v>
      </c>
      <c r="F2014" t="s">
        <v>23</v>
      </c>
      <c r="G2014">
        <v>1</v>
      </c>
      <c r="H2014">
        <v>9791164372546</v>
      </c>
      <c r="I2014" t="s">
        <v>143</v>
      </c>
      <c r="J2014" t="s">
        <v>2375</v>
      </c>
      <c r="K2014" t="s">
        <v>1378</v>
      </c>
      <c r="L2014" t="s">
        <v>27</v>
      </c>
      <c r="M2014">
        <v>300</v>
      </c>
      <c r="N2014" t="s">
        <v>28</v>
      </c>
      <c r="O2014">
        <v>0.25</v>
      </c>
      <c r="P2014">
        <v>0.25</v>
      </c>
      <c r="Q2014" t="s">
        <v>29</v>
      </c>
      <c r="R2014" s="2">
        <v>0.7</v>
      </c>
      <c r="S2014">
        <v>0.17</v>
      </c>
      <c r="T2014" t="s">
        <v>27</v>
      </c>
      <c r="U2014">
        <v>213</v>
      </c>
      <c r="V2014" s="7" t="str">
        <f>IF(ISERROR(VLOOKUP(K2014,[1]작가별정산률!$R:$S,2,0)),"스토리위즈",VLOOKUP(K2014,[1]작가별정산률!$R:$S,2,0))</f>
        <v>스토리위즈</v>
      </c>
      <c r="W2014" s="7" t="str">
        <f>IF(V2014="스토리위즈",VLOOKUP(K2014,[1]작가별정산률!$A:$B,2,0),V2014)</f>
        <v>밈스</v>
      </c>
    </row>
    <row r="2015" spans="1:23" x14ac:dyDescent="0.4">
      <c r="A2015" t="s">
        <v>262</v>
      </c>
      <c r="B2015" t="s">
        <v>2308</v>
      </c>
      <c r="C2015" t="s">
        <v>2376</v>
      </c>
      <c r="D2015" t="s">
        <v>64</v>
      </c>
      <c r="E2015" t="s">
        <v>22</v>
      </c>
      <c r="F2015" t="s">
        <v>23</v>
      </c>
      <c r="G2015">
        <v>1</v>
      </c>
      <c r="H2015">
        <v>9791166300301</v>
      </c>
      <c r="I2015" t="s">
        <v>24</v>
      </c>
      <c r="J2015" t="s">
        <v>139</v>
      </c>
      <c r="K2015" t="s">
        <v>119</v>
      </c>
      <c r="L2015" t="s">
        <v>27</v>
      </c>
      <c r="M2015">
        <v>630</v>
      </c>
      <c r="N2015" t="s">
        <v>27</v>
      </c>
      <c r="O2015">
        <v>630</v>
      </c>
      <c r="P2015">
        <v>630</v>
      </c>
      <c r="Q2015" t="s">
        <v>30</v>
      </c>
      <c r="R2015" s="2">
        <v>0.7</v>
      </c>
      <c r="S2015">
        <v>441</v>
      </c>
      <c r="T2015" t="s">
        <v>27</v>
      </c>
      <c r="U2015">
        <v>441</v>
      </c>
      <c r="V2015" s="7" t="str">
        <f>IF(ISERROR(VLOOKUP(K2015,[1]작가별정산률!$R:$S,2,0)),"스토리위즈",VLOOKUP(K2015,[1]작가별정산률!$R:$S,2,0))</f>
        <v>스토리위즈</v>
      </c>
      <c r="W2015" s="7" t="str">
        <f>IF(V2015="스토리위즈",VLOOKUP(K2015,[1]작가별정산률!$A:$B,2,0),V2015)</f>
        <v>김광수</v>
      </c>
    </row>
    <row r="2016" spans="1:23" x14ac:dyDescent="0.4">
      <c r="A2016" t="s">
        <v>262</v>
      </c>
      <c r="B2016" t="s">
        <v>2308</v>
      </c>
      <c r="C2016" t="s">
        <v>2377</v>
      </c>
      <c r="D2016" t="s">
        <v>21</v>
      </c>
      <c r="E2016" t="s">
        <v>22</v>
      </c>
      <c r="F2016" t="s">
        <v>23</v>
      </c>
      <c r="G2016">
        <v>1</v>
      </c>
      <c r="H2016">
        <v>9791189627874</v>
      </c>
      <c r="I2016" t="s">
        <v>143</v>
      </c>
      <c r="J2016" t="s">
        <v>1825</v>
      </c>
      <c r="K2016" t="s">
        <v>1035</v>
      </c>
      <c r="L2016" t="s">
        <v>27</v>
      </c>
      <c r="M2016" s="3">
        <v>2800</v>
      </c>
      <c r="N2016" t="s">
        <v>27</v>
      </c>
      <c r="O2016" s="3">
        <v>2800</v>
      </c>
      <c r="P2016" s="3">
        <v>2800</v>
      </c>
      <c r="Q2016" t="s">
        <v>30</v>
      </c>
      <c r="R2016" s="2">
        <v>0.7</v>
      </c>
      <c r="S2016" s="3">
        <v>1960</v>
      </c>
      <c r="T2016" t="s">
        <v>27</v>
      </c>
      <c r="U2016" s="3">
        <v>1960</v>
      </c>
      <c r="V2016" s="7" t="str">
        <f>IF(ISERROR(VLOOKUP(K2016,[1]작가별정산률!$R:$S,2,0)),"스토리위즈",VLOOKUP(K2016,[1]작가별정산률!$R:$S,2,0))</f>
        <v>스토리위즈</v>
      </c>
      <c r="W2016" s="7" t="str">
        <f>IF(V2016="스토리위즈",VLOOKUP(K2016,[1]작가별정산률!$A:$B,2,0),V2016)</f>
        <v>모리미</v>
      </c>
    </row>
    <row r="2017" spans="1:23" x14ac:dyDescent="0.4">
      <c r="A2017" t="s">
        <v>262</v>
      </c>
      <c r="B2017" t="s">
        <v>2308</v>
      </c>
      <c r="C2017" t="s">
        <v>2378</v>
      </c>
      <c r="D2017" t="s">
        <v>64</v>
      </c>
      <c r="E2017" t="s">
        <v>22</v>
      </c>
      <c r="F2017" t="s">
        <v>23</v>
      </c>
      <c r="G2017">
        <v>1</v>
      </c>
      <c r="H2017">
        <v>9791166064395</v>
      </c>
      <c r="I2017" t="s">
        <v>24</v>
      </c>
      <c r="J2017" t="s">
        <v>104</v>
      </c>
      <c r="K2017" t="s">
        <v>102</v>
      </c>
      <c r="L2017" t="s">
        <v>27</v>
      </c>
      <c r="M2017">
        <v>720</v>
      </c>
      <c r="N2017" t="s">
        <v>28</v>
      </c>
      <c r="O2017">
        <v>0.59</v>
      </c>
      <c r="P2017">
        <v>0.59</v>
      </c>
      <c r="Q2017" t="s">
        <v>29</v>
      </c>
      <c r="R2017" s="2">
        <v>0.7</v>
      </c>
      <c r="S2017">
        <v>0.41</v>
      </c>
      <c r="T2017" t="s">
        <v>27</v>
      </c>
      <c r="U2017">
        <v>513</v>
      </c>
      <c r="V2017" s="7" t="str">
        <f>IF(ISERROR(VLOOKUP(K2017,[1]작가별정산률!$R:$S,2,0)),"스토리위즈",VLOOKUP(K2017,[1]작가별정산률!$R:$S,2,0))</f>
        <v>스토리위즈</v>
      </c>
      <c r="W2017" s="7" t="str">
        <f>IF(V2017="스토리위즈",VLOOKUP(K2017,[1]작가별정산률!$A:$B,2,0),V2017)</f>
        <v>예로나</v>
      </c>
    </row>
    <row r="2018" spans="1:23" x14ac:dyDescent="0.4">
      <c r="A2018" t="s">
        <v>262</v>
      </c>
      <c r="B2018" t="s">
        <v>2308</v>
      </c>
      <c r="C2018" t="s">
        <v>2379</v>
      </c>
      <c r="D2018" t="s">
        <v>64</v>
      </c>
      <c r="E2018" t="s">
        <v>22</v>
      </c>
      <c r="F2018" t="s">
        <v>23</v>
      </c>
      <c r="G2018">
        <v>1</v>
      </c>
      <c r="H2018">
        <v>9791159283260</v>
      </c>
      <c r="I2018" t="s">
        <v>24</v>
      </c>
      <c r="J2018" t="s">
        <v>69</v>
      </c>
      <c r="K2018" t="s">
        <v>37</v>
      </c>
      <c r="L2018" t="s">
        <v>27</v>
      </c>
      <c r="M2018">
        <v>630</v>
      </c>
      <c r="N2018" t="s">
        <v>27</v>
      </c>
      <c r="O2018">
        <v>630</v>
      </c>
      <c r="P2018">
        <v>630</v>
      </c>
      <c r="Q2018" t="s">
        <v>30</v>
      </c>
      <c r="R2018" s="2">
        <v>0.7</v>
      </c>
      <c r="S2018">
        <v>441</v>
      </c>
      <c r="T2018" t="s">
        <v>27</v>
      </c>
      <c r="U2018">
        <v>441</v>
      </c>
      <c r="V2018" s="7" t="str">
        <f>IF(ISERROR(VLOOKUP(K2018,[1]작가별정산률!$R:$S,2,0)),"스토리위즈",VLOOKUP(K2018,[1]작가별정산률!$R:$S,2,0))</f>
        <v>스토리위즈</v>
      </c>
      <c r="W2018" s="7" t="str">
        <f>IF(V2018="스토리위즈",VLOOKUP(K2018,[1]작가별정산률!$A:$B,2,0),V2018)</f>
        <v>권용찬</v>
      </c>
    </row>
    <row r="2019" spans="1:23" x14ac:dyDescent="0.4">
      <c r="A2019" t="s">
        <v>262</v>
      </c>
      <c r="B2019" t="s">
        <v>2308</v>
      </c>
      <c r="C2019" t="s">
        <v>2380</v>
      </c>
      <c r="D2019" t="s">
        <v>64</v>
      </c>
      <c r="E2019" t="s">
        <v>22</v>
      </c>
      <c r="F2019" t="s">
        <v>23</v>
      </c>
      <c r="G2019">
        <v>1</v>
      </c>
      <c r="H2019">
        <v>9791166300158</v>
      </c>
      <c r="I2019" t="s">
        <v>24</v>
      </c>
      <c r="J2019" t="s">
        <v>125</v>
      </c>
      <c r="K2019" t="s">
        <v>119</v>
      </c>
      <c r="L2019" t="s">
        <v>27</v>
      </c>
      <c r="M2019">
        <v>630</v>
      </c>
      <c r="N2019" t="s">
        <v>27</v>
      </c>
      <c r="O2019">
        <v>630</v>
      </c>
      <c r="P2019">
        <v>630</v>
      </c>
      <c r="Q2019" t="s">
        <v>30</v>
      </c>
      <c r="R2019" s="2">
        <v>0.7</v>
      </c>
      <c r="S2019">
        <v>441</v>
      </c>
      <c r="T2019" t="s">
        <v>27</v>
      </c>
      <c r="U2019">
        <v>441</v>
      </c>
      <c r="V2019" s="7" t="str">
        <f>IF(ISERROR(VLOOKUP(K2019,[1]작가별정산률!$R:$S,2,0)),"스토리위즈",VLOOKUP(K2019,[1]작가별정산률!$R:$S,2,0))</f>
        <v>스토리위즈</v>
      </c>
      <c r="W2019" s="7" t="str">
        <f>IF(V2019="스토리위즈",VLOOKUP(K2019,[1]작가별정산률!$A:$B,2,0),V2019)</f>
        <v>김광수</v>
      </c>
    </row>
    <row r="2020" spans="1:23" x14ac:dyDescent="0.4">
      <c r="A2020" t="s">
        <v>262</v>
      </c>
      <c r="B2020" t="s">
        <v>2308</v>
      </c>
      <c r="C2020" t="s">
        <v>2381</v>
      </c>
      <c r="D2020" t="s">
        <v>64</v>
      </c>
      <c r="E2020" t="s">
        <v>22</v>
      </c>
      <c r="F2020" t="s">
        <v>23</v>
      </c>
      <c r="G2020">
        <v>1</v>
      </c>
      <c r="H2020">
        <v>9791159283093</v>
      </c>
      <c r="I2020" t="s">
        <v>24</v>
      </c>
      <c r="J2020" t="s">
        <v>73</v>
      </c>
      <c r="K2020" t="s">
        <v>37</v>
      </c>
      <c r="L2020" t="s">
        <v>27</v>
      </c>
      <c r="M2020">
        <v>900</v>
      </c>
      <c r="N2020" t="s">
        <v>27</v>
      </c>
      <c r="O2020">
        <v>900</v>
      </c>
      <c r="P2020">
        <v>900</v>
      </c>
      <c r="Q2020" t="s">
        <v>30</v>
      </c>
      <c r="R2020" s="2">
        <v>0.7</v>
      </c>
      <c r="S2020">
        <v>630</v>
      </c>
      <c r="T2020" t="s">
        <v>27</v>
      </c>
      <c r="U2020">
        <v>630</v>
      </c>
      <c r="V2020" s="7" t="str">
        <f>IF(ISERROR(VLOOKUP(K2020,[1]작가별정산률!$R:$S,2,0)),"스토리위즈",VLOOKUP(K2020,[1]작가별정산률!$R:$S,2,0))</f>
        <v>스토리위즈</v>
      </c>
      <c r="W2020" s="7" t="str">
        <f>IF(V2020="스토리위즈",VLOOKUP(K2020,[1]작가별정산률!$A:$B,2,0),V2020)</f>
        <v>권용찬</v>
      </c>
    </row>
    <row r="2021" spans="1:23" x14ac:dyDescent="0.4">
      <c r="A2021" t="s">
        <v>262</v>
      </c>
      <c r="B2021" t="s">
        <v>2308</v>
      </c>
      <c r="C2021" t="s">
        <v>2382</v>
      </c>
      <c r="D2021" t="s">
        <v>64</v>
      </c>
      <c r="E2021" t="s">
        <v>22</v>
      </c>
      <c r="F2021" t="s">
        <v>23</v>
      </c>
      <c r="G2021">
        <v>1</v>
      </c>
      <c r="H2021">
        <v>9791166300462</v>
      </c>
      <c r="I2021" t="s">
        <v>24</v>
      </c>
      <c r="J2021" t="s">
        <v>144</v>
      </c>
      <c r="K2021" t="s">
        <v>119</v>
      </c>
      <c r="L2021" t="s">
        <v>27</v>
      </c>
      <c r="M2021">
        <v>630</v>
      </c>
      <c r="N2021" t="s">
        <v>27</v>
      </c>
      <c r="O2021">
        <v>630</v>
      </c>
      <c r="P2021">
        <v>630</v>
      </c>
      <c r="Q2021" t="s">
        <v>30</v>
      </c>
      <c r="R2021" s="2">
        <v>0.7</v>
      </c>
      <c r="S2021">
        <v>441</v>
      </c>
      <c r="T2021" t="s">
        <v>27</v>
      </c>
      <c r="U2021">
        <v>441</v>
      </c>
      <c r="V2021" s="7" t="str">
        <f>IF(ISERROR(VLOOKUP(K2021,[1]작가별정산률!$R:$S,2,0)),"스토리위즈",VLOOKUP(K2021,[1]작가별정산률!$R:$S,2,0))</f>
        <v>스토리위즈</v>
      </c>
      <c r="W2021" s="7" t="str">
        <f>IF(V2021="스토리위즈",VLOOKUP(K2021,[1]작가별정산률!$A:$B,2,0),V2021)</f>
        <v>김광수</v>
      </c>
    </row>
    <row r="2022" spans="1:23" x14ac:dyDescent="0.4">
      <c r="A2022" t="s">
        <v>262</v>
      </c>
      <c r="B2022" t="s">
        <v>2308</v>
      </c>
      <c r="C2022" t="s">
        <v>2383</v>
      </c>
      <c r="D2022" t="s">
        <v>64</v>
      </c>
      <c r="E2022" t="s">
        <v>22</v>
      </c>
      <c r="F2022" t="s">
        <v>23</v>
      </c>
      <c r="G2022">
        <v>1</v>
      </c>
      <c r="H2022">
        <v>9791159284960</v>
      </c>
      <c r="I2022" t="s">
        <v>24</v>
      </c>
      <c r="J2022" t="s">
        <v>48</v>
      </c>
      <c r="K2022" t="s">
        <v>47</v>
      </c>
      <c r="L2022" t="s">
        <v>27</v>
      </c>
      <c r="M2022">
        <v>630</v>
      </c>
      <c r="N2022" t="s">
        <v>27</v>
      </c>
      <c r="O2022">
        <v>630</v>
      </c>
      <c r="P2022">
        <v>630</v>
      </c>
      <c r="Q2022" t="s">
        <v>30</v>
      </c>
      <c r="R2022" s="2">
        <v>0.7</v>
      </c>
      <c r="S2022">
        <v>441</v>
      </c>
      <c r="T2022" t="s">
        <v>27</v>
      </c>
      <c r="U2022">
        <v>441</v>
      </c>
      <c r="V2022" s="7" t="str">
        <f>IF(ISERROR(VLOOKUP(K2022,[1]작가별정산률!$R:$S,2,0)),"스토리위즈",VLOOKUP(K2022,[1]작가별정산률!$R:$S,2,0))</f>
        <v>스토리위즈</v>
      </c>
      <c r="W2022" s="7" t="str">
        <f>IF(V2022="스토리위즈",VLOOKUP(K2022,[1]작가별정산률!$A:$B,2,0),V2022)</f>
        <v>전혁</v>
      </c>
    </row>
    <row r="2023" spans="1:23" x14ac:dyDescent="0.4">
      <c r="A2023" t="s">
        <v>262</v>
      </c>
      <c r="B2023" t="s">
        <v>2308</v>
      </c>
      <c r="C2023" t="s">
        <v>2384</v>
      </c>
      <c r="D2023" t="s">
        <v>64</v>
      </c>
      <c r="E2023" t="s">
        <v>22</v>
      </c>
      <c r="F2023" t="s">
        <v>23</v>
      </c>
      <c r="G2023">
        <v>1</v>
      </c>
      <c r="H2023">
        <v>9791166300103</v>
      </c>
      <c r="I2023" t="s">
        <v>24</v>
      </c>
      <c r="J2023" t="s">
        <v>120</v>
      </c>
      <c r="K2023" t="s">
        <v>119</v>
      </c>
      <c r="L2023" t="s">
        <v>27</v>
      </c>
      <c r="M2023">
        <v>630</v>
      </c>
      <c r="N2023" t="s">
        <v>27</v>
      </c>
      <c r="O2023">
        <v>630</v>
      </c>
      <c r="P2023">
        <v>630</v>
      </c>
      <c r="Q2023" t="s">
        <v>30</v>
      </c>
      <c r="R2023" s="2">
        <v>0.7</v>
      </c>
      <c r="S2023">
        <v>441</v>
      </c>
      <c r="T2023" t="s">
        <v>27</v>
      </c>
      <c r="U2023">
        <v>441</v>
      </c>
      <c r="V2023" s="7" t="str">
        <f>IF(ISERROR(VLOOKUP(K2023,[1]작가별정산률!$R:$S,2,0)),"스토리위즈",VLOOKUP(K2023,[1]작가별정산률!$R:$S,2,0))</f>
        <v>스토리위즈</v>
      </c>
      <c r="W2023" s="7" t="str">
        <f>IF(V2023="스토리위즈",VLOOKUP(K2023,[1]작가별정산률!$A:$B,2,0),V2023)</f>
        <v>김광수</v>
      </c>
    </row>
    <row r="2024" spans="1:23" x14ac:dyDescent="0.4">
      <c r="A2024" t="s">
        <v>262</v>
      </c>
      <c r="B2024" t="s">
        <v>2308</v>
      </c>
      <c r="C2024" t="s">
        <v>2385</v>
      </c>
      <c r="D2024" t="s">
        <v>21</v>
      </c>
      <c r="E2024" t="s">
        <v>22</v>
      </c>
      <c r="F2024" t="s">
        <v>23</v>
      </c>
      <c r="G2024">
        <v>1</v>
      </c>
      <c r="H2024">
        <v>9791191562439</v>
      </c>
      <c r="I2024" t="s">
        <v>143</v>
      </c>
      <c r="J2024" t="s">
        <v>1661</v>
      </c>
      <c r="K2024" t="s">
        <v>188</v>
      </c>
      <c r="L2024" t="s">
        <v>27</v>
      </c>
      <c r="M2024" s="3">
        <v>2500</v>
      </c>
      <c r="N2024" t="s">
        <v>27</v>
      </c>
      <c r="O2024" s="3">
        <v>2500</v>
      </c>
      <c r="P2024" s="3">
        <v>2500</v>
      </c>
      <c r="Q2024" t="s">
        <v>30</v>
      </c>
      <c r="R2024" s="2">
        <v>0.7</v>
      </c>
      <c r="S2024" s="3">
        <v>1750</v>
      </c>
      <c r="T2024" t="s">
        <v>27</v>
      </c>
      <c r="U2024" s="3">
        <v>1750</v>
      </c>
      <c r="V2024" s="7" t="str">
        <f>IF(ISERROR(VLOOKUP(K2024,[1]작가별정산률!$R:$S,2,0)),"스토리위즈",VLOOKUP(K2024,[1]작가별정산률!$R:$S,2,0))</f>
        <v>밀리의 서재</v>
      </c>
      <c r="W2024" s="7" t="str">
        <f>IF(V2024="스토리위즈",VLOOKUP(K2024,[1]작가별정산률!$A:$B,2,0),V2024)</f>
        <v>밀리의 서재</v>
      </c>
    </row>
    <row r="2025" spans="1:23" x14ac:dyDescent="0.4">
      <c r="A2025" t="s">
        <v>262</v>
      </c>
      <c r="B2025" t="s">
        <v>2308</v>
      </c>
      <c r="C2025" t="s">
        <v>2386</v>
      </c>
      <c r="D2025" t="s">
        <v>21</v>
      </c>
      <c r="E2025" t="s">
        <v>22</v>
      </c>
      <c r="F2025" t="s">
        <v>23</v>
      </c>
      <c r="G2025">
        <v>1</v>
      </c>
      <c r="H2025">
        <v>9791191562415</v>
      </c>
      <c r="I2025" t="s">
        <v>143</v>
      </c>
      <c r="J2025" t="s">
        <v>1077</v>
      </c>
      <c r="K2025" t="s">
        <v>1078</v>
      </c>
      <c r="L2025" t="s">
        <v>27</v>
      </c>
      <c r="M2025" s="3">
        <v>2000</v>
      </c>
      <c r="N2025" t="s">
        <v>27</v>
      </c>
      <c r="O2025" s="3">
        <v>2000</v>
      </c>
      <c r="P2025" s="3">
        <v>2000</v>
      </c>
      <c r="Q2025" t="s">
        <v>30</v>
      </c>
      <c r="R2025" s="2">
        <v>0.7</v>
      </c>
      <c r="S2025" s="3">
        <v>1400</v>
      </c>
      <c r="T2025" t="s">
        <v>27</v>
      </c>
      <c r="U2025" s="3">
        <v>1400</v>
      </c>
      <c r="V2025" s="7" t="str">
        <f>IF(ISERROR(VLOOKUP(K2025,[1]작가별정산률!$R:$S,2,0)),"스토리위즈",VLOOKUP(K2025,[1]작가별정산률!$R:$S,2,0))</f>
        <v>밀리의 서재</v>
      </c>
      <c r="W2025" s="7" t="str">
        <f>IF(V2025="스토리위즈",VLOOKUP(K2025,[1]작가별정산률!$A:$B,2,0),V2025)</f>
        <v>밀리의 서재</v>
      </c>
    </row>
    <row r="2026" spans="1:23" x14ac:dyDescent="0.4">
      <c r="A2026" t="s">
        <v>262</v>
      </c>
      <c r="B2026" t="s">
        <v>2308</v>
      </c>
      <c r="C2026" t="s">
        <v>2387</v>
      </c>
      <c r="D2026" t="s">
        <v>64</v>
      </c>
      <c r="E2026" t="s">
        <v>22</v>
      </c>
      <c r="F2026" t="s">
        <v>23</v>
      </c>
      <c r="G2026">
        <v>1</v>
      </c>
      <c r="H2026">
        <v>9791166300271</v>
      </c>
      <c r="I2026" t="s">
        <v>24</v>
      </c>
      <c r="J2026" t="s">
        <v>136</v>
      </c>
      <c r="K2026" t="s">
        <v>119</v>
      </c>
      <c r="L2026" t="s">
        <v>27</v>
      </c>
      <c r="M2026">
        <v>630</v>
      </c>
      <c r="N2026" t="s">
        <v>27</v>
      </c>
      <c r="O2026">
        <v>630</v>
      </c>
      <c r="P2026">
        <v>630</v>
      </c>
      <c r="Q2026" t="s">
        <v>30</v>
      </c>
      <c r="R2026" s="2">
        <v>0.7</v>
      </c>
      <c r="S2026">
        <v>441</v>
      </c>
      <c r="T2026" t="s">
        <v>27</v>
      </c>
      <c r="U2026">
        <v>441</v>
      </c>
      <c r="V2026" s="7" t="str">
        <f>IF(ISERROR(VLOOKUP(K2026,[1]작가별정산률!$R:$S,2,0)),"스토리위즈",VLOOKUP(K2026,[1]작가별정산률!$R:$S,2,0))</f>
        <v>스토리위즈</v>
      </c>
      <c r="W2026" s="7" t="str">
        <f>IF(V2026="스토리위즈",VLOOKUP(K2026,[1]작가별정산률!$A:$B,2,0),V2026)</f>
        <v>김광수</v>
      </c>
    </row>
    <row r="2027" spans="1:23" x14ac:dyDescent="0.4">
      <c r="A2027" t="s">
        <v>262</v>
      </c>
      <c r="B2027" t="s">
        <v>2308</v>
      </c>
      <c r="C2027" t="s">
        <v>2388</v>
      </c>
      <c r="D2027" t="s">
        <v>64</v>
      </c>
      <c r="E2027" t="s">
        <v>22</v>
      </c>
      <c r="F2027" t="s">
        <v>23</v>
      </c>
      <c r="G2027">
        <v>1</v>
      </c>
      <c r="H2027">
        <v>9791166300110</v>
      </c>
      <c r="I2027" t="s">
        <v>24</v>
      </c>
      <c r="J2027" t="s">
        <v>121</v>
      </c>
      <c r="K2027" t="s">
        <v>119</v>
      </c>
      <c r="L2027" t="s">
        <v>27</v>
      </c>
      <c r="M2027">
        <v>630</v>
      </c>
      <c r="N2027" t="s">
        <v>27</v>
      </c>
      <c r="O2027">
        <v>630</v>
      </c>
      <c r="P2027">
        <v>630</v>
      </c>
      <c r="Q2027" t="s">
        <v>30</v>
      </c>
      <c r="R2027" s="2">
        <v>0.7</v>
      </c>
      <c r="S2027">
        <v>441</v>
      </c>
      <c r="T2027" t="s">
        <v>27</v>
      </c>
      <c r="U2027">
        <v>441</v>
      </c>
      <c r="V2027" s="7" t="str">
        <f>IF(ISERROR(VLOOKUP(K2027,[1]작가별정산률!$R:$S,2,0)),"스토리위즈",VLOOKUP(K2027,[1]작가별정산률!$R:$S,2,0))</f>
        <v>스토리위즈</v>
      </c>
      <c r="W2027" s="7" t="str">
        <f>IF(V2027="스토리위즈",VLOOKUP(K2027,[1]작가별정산률!$A:$B,2,0),V2027)</f>
        <v>김광수</v>
      </c>
    </row>
    <row r="2028" spans="1:23" x14ac:dyDescent="0.4">
      <c r="A2028" t="s">
        <v>262</v>
      </c>
      <c r="B2028" t="s">
        <v>2308</v>
      </c>
      <c r="C2028" t="s">
        <v>2389</v>
      </c>
      <c r="D2028" t="s">
        <v>64</v>
      </c>
      <c r="E2028" t="s">
        <v>22</v>
      </c>
      <c r="F2028" t="s">
        <v>23</v>
      </c>
      <c r="G2028">
        <v>1</v>
      </c>
      <c r="H2028">
        <v>9791166061127</v>
      </c>
      <c r="I2028" t="s">
        <v>24</v>
      </c>
      <c r="J2028" t="s">
        <v>100</v>
      </c>
      <c r="K2028" t="s">
        <v>37</v>
      </c>
      <c r="L2028" t="s">
        <v>27</v>
      </c>
      <c r="M2028">
        <v>900</v>
      </c>
      <c r="N2028" t="s">
        <v>27</v>
      </c>
      <c r="O2028">
        <v>900</v>
      </c>
      <c r="P2028">
        <v>900</v>
      </c>
      <c r="Q2028" t="s">
        <v>30</v>
      </c>
      <c r="R2028" s="2">
        <v>0.7</v>
      </c>
      <c r="S2028">
        <v>630</v>
      </c>
      <c r="T2028" t="s">
        <v>27</v>
      </c>
      <c r="U2028">
        <v>630</v>
      </c>
      <c r="V2028" s="7" t="str">
        <f>IF(ISERROR(VLOOKUP(K2028,[1]작가별정산률!$R:$S,2,0)),"스토리위즈",VLOOKUP(K2028,[1]작가별정산률!$R:$S,2,0))</f>
        <v>스토리위즈</v>
      </c>
      <c r="W2028" s="7" t="str">
        <f>IF(V2028="스토리위즈",VLOOKUP(K2028,[1]작가별정산률!$A:$B,2,0),V2028)</f>
        <v>권용찬</v>
      </c>
    </row>
    <row r="2029" spans="1:23" x14ac:dyDescent="0.4">
      <c r="A2029" t="s">
        <v>262</v>
      </c>
      <c r="B2029" t="s">
        <v>2308</v>
      </c>
      <c r="C2029" t="s">
        <v>2390</v>
      </c>
      <c r="D2029" t="s">
        <v>21</v>
      </c>
      <c r="E2029" t="s">
        <v>22</v>
      </c>
      <c r="F2029" t="s">
        <v>23</v>
      </c>
      <c r="G2029">
        <v>1</v>
      </c>
      <c r="H2029">
        <v>9791164370177</v>
      </c>
      <c r="I2029" t="s">
        <v>143</v>
      </c>
      <c r="J2029" t="s">
        <v>1979</v>
      </c>
      <c r="K2029" t="s">
        <v>1035</v>
      </c>
      <c r="L2029" t="s">
        <v>27</v>
      </c>
      <c r="M2029" s="3">
        <v>2500</v>
      </c>
      <c r="N2029" t="s">
        <v>27</v>
      </c>
      <c r="O2029" s="3">
        <v>2500</v>
      </c>
      <c r="P2029" s="3">
        <v>2500</v>
      </c>
      <c r="Q2029" t="s">
        <v>30</v>
      </c>
      <c r="R2029" s="2">
        <v>0.7</v>
      </c>
      <c r="S2029" s="3">
        <v>1750</v>
      </c>
      <c r="T2029" t="s">
        <v>27</v>
      </c>
      <c r="U2029" s="3">
        <v>1750</v>
      </c>
      <c r="V2029" s="7" t="str">
        <f>IF(ISERROR(VLOOKUP(K2029,[1]작가별정산률!$R:$S,2,0)),"스토리위즈",VLOOKUP(K2029,[1]작가별정산률!$R:$S,2,0))</f>
        <v>스토리위즈</v>
      </c>
      <c r="W2029" s="7" t="str">
        <f>IF(V2029="스토리위즈",VLOOKUP(K2029,[1]작가별정산률!$A:$B,2,0),V2029)</f>
        <v>모리미</v>
      </c>
    </row>
    <row r="2030" spans="1:23" x14ac:dyDescent="0.4">
      <c r="A2030" t="s">
        <v>262</v>
      </c>
      <c r="B2030" t="s">
        <v>2308</v>
      </c>
      <c r="C2030" t="s">
        <v>2391</v>
      </c>
      <c r="D2030" t="s">
        <v>64</v>
      </c>
      <c r="E2030" t="s">
        <v>22</v>
      </c>
      <c r="F2030" t="s">
        <v>23</v>
      </c>
      <c r="G2030">
        <v>1</v>
      </c>
      <c r="H2030">
        <v>9791159283161</v>
      </c>
      <c r="I2030" t="s">
        <v>24</v>
      </c>
      <c r="J2030" t="s">
        <v>85</v>
      </c>
      <c r="K2030" t="s">
        <v>37</v>
      </c>
      <c r="L2030" t="s">
        <v>27</v>
      </c>
      <c r="M2030">
        <v>900</v>
      </c>
      <c r="N2030" t="s">
        <v>27</v>
      </c>
      <c r="O2030">
        <v>900</v>
      </c>
      <c r="P2030">
        <v>900</v>
      </c>
      <c r="Q2030" t="s">
        <v>30</v>
      </c>
      <c r="R2030" s="2">
        <v>0.7</v>
      </c>
      <c r="S2030">
        <v>630</v>
      </c>
      <c r="T2030" t="s">
        <v>27</v>
      </c>
      <c r="U2030">
        <v>630</v>
      </c>
      <c r="V2030" s="7" t="str">
        <f>IF(ISERROR(VLOOKUP(K2030,[1]작가별정산률!$R:$S,2,0)),"스토리위즈",VLOOKUP(K2030,[1]작가별정산률!$R:$S,2,0))</f>
        <v>스토리위즈</v>
      </c>
      <c r="W2030" s="7" t="str">
        <f>IF(V2030="스토리위즈",VLOOKUP(K2030,[1]작가별정산률!$A:$B,2,0),V2030)</f>
        <v>권용찬</v>
      </c>
    </row>
    <row r="2031" spans="1:23" x14ac:dyDescent="0.4">
      <c r="A2031" t="s">
        <v>262</v>
      </c>
      <c r="B2031" t="s">
        <v>2308</v>
      </c>
      <c r="C2031" t="s">
        <v>2392</v>
      </c>
      <c r="D2031" t="s">
        <v>64</v>
      </c>
      <c r="E2031" t="s">
        <v>22</v>
      </c>
      <c r="F2031" t="s">
        <v>23</v>
      </c>
      <c r="G2031">
        <v>1</v>
      </c>
      <c r="H2031">
        <v>9791166300158</v>
      </c>
      <c r="I2031" t="s">
        <v>24</v>
      </c>
      <c r="J2031" t="s">
        <v>125</v>
      </c>
      <c r="K2031" t="s">
        <v>119</v>
      </c>
      <c r="L2031" t="s">
        <v>27</v>
      </c>
      <c r="M2031">
        <v>630</v>
      </c>
      <c r="N2031" t="s">
        <v>27</v>
      </c>
      <c r="O2031">
        <v>630</v>
      </c>
      <c r="P2031">
        <v>630</v>
      </c>
      <c r="Q2031" t="s">
        <v>30</v>
      </c>
      <c r="R2031" s="2">
        <v>0.7</v>
      </c>
      <c r="S2031">
        <v>441</v>
      </c>
      <c r="T2031" t="s">
        <v>27</v>
      </c>
      <c r="U2031">
        <v>441</v>
      </c>
      <c r="V2031" s="7" t="str">
        <f>IF(ISERROR(VLOOKUP(K2031,[1]작가별정산률!$R:$S,2,0)),"스토리위즈",VLOOKUP(K2031,[1]작가별정산률!$R:$S,2,0))</f>
        <v>스토리위즈</v>
      </c>
      <c r="W2031" s="7" t="str">
        <f>IF(V2031="스토리위즈",VLOOKUP(K2031,[1]작가별정산률!$A:$B,2,0),V2031)</f>
        <v>김광수</v>
      </c>
    </row>
    <row r="2032" spans="1:23" x14ac:dyDescent="0.4">
      <c r="A2032" t="s">
        <v>262</v>
      </c>
      <c r="B2032" t="s">
        <v>2308</v>
      </c>
      <c r="C2032" t="s">
        <v>2393</v>
      </c>
      <c r="D2032" t="s">
        <v>21</v>
      </c>
      <c r="E2032" t="s">
        <v>22</v>
      </c>
      <c r="F2032" t="s">
        <v>23</v>
      </c>
      <c r="G2032">
        <v>1</v>
      </c>
      <c r="H2032">
        <v>9791191562262</v>
      </c>
      <c r="I2032" t="s">
        <v>143</v>
      </c>
      <c r="J2032" t="s">
        <v>250</v>
      </c>
      <c r="K2032" t="s">
        <v>251</v>
      </c>
      <c r="L2032" t="s">
        <v>27</v>
      </c>
      <c r="M2032" s="3">
        <v>2000</v>
      </c>
      <c r="N2032" t="s">
        <v>27</v>
      </c>
      <c r="O2032" s="3">
        <v>2000</v>
      </c>
      <c r="P2032" s="3">
        <v>2000</v>
      </c>
      <c r="Q2032" t="s">
        <v>30</v>
      </c>
      <c r="R2032" s="2">
        <v>0.7</v>
      </c>
      <c r="S2032" s="3">
        <v>1400</v>
      </c>
      <c r="T2032" t="s">
        <v>27</v>
      </c>
      <c r="U2032" s="3">
        <v>1400</v>
      </c>
      <c r="V2032" s="7" t="str">
        <f>IF(ISERROR(VLOOKUP(K2032,[1]작가별정산률!$R:$S,2,0)),"스토리위즈",VLOOKUP(K2032,[1]작가별정산률!$R:$S,2,0))</f>
        <v>밀리의 서재</v>
      </c>
      <c r="W2032" s="7" t="str">
        <f>IF(V2032="스토리위즈",VLOOKUP(K2032,[1]작가별정산률!$A:$B,2,0),V2032)</f>
        <v>밀리의 서재</v>
      </c>
    </row>
    <row r="2033" spans="1:23" x14ac:dyDescent="0.4">
      <c r="A2033" t="s">
        <v>262</v>
      </c>
      <c r="B2033" t="s">
        <v>2394</v>
      </c>
      <c r="C2033" t="s">
        <v>2395</v>
      </c>
      <c r="D2033" t="s">
        <v>64</v>
      </c>
      <c r="E2033" t="s">
        <v>22</v>
      </c>
      <c r="F2033" t="s">
        <v>23</v>
      </c>
      <c r="G2033">
        <v>1</v>
      </c>
      <c r="H2033">
        <v>9791166064180</v>
      </c>
      <c r="I2033" t="s">
        <v>24</v>
      </c>
      <c r="J2033" t="s">
        <v>211</v>
      </c>
      <c r="K2033" t="s">
        <v>37</v>
      </c>
      <c r="L2033" t="s">
        <v>27</v>
      </c>
      <c r="M2033">
        <v>900</v>
      </c>
      <c r="N2033" t="s">
        <v>27</v>
      </c>
      <c r="O2033">
        <v>900</v>
      </c>
      <c r="P2033">
        <v>900</v>
      </c>
      <c r="Q2033" t="s">
        <v>30</v>
      </c>
      <c r="R2033" s="2">
        <v>0.7</v>
      </c>
      <c r="S2033">
        <v>630</v>
      </c>
      <c r="T2033" t="s">
        <v>27</v>
      </c>
      <c r="U2033">
        <v>630</v>
      </c>
      <c r="V2033" s="7" t="str">
        <f>IF(ISERROR(VLOOKUP(K2033,[1]작가별정산률!$R:$S,2,0)),"스토리위즈",VLOOKUP(K2033,[1]작가별정산률!$R:$S,2,0))</f>
        <v>스토리위즈</v>
      </c>
      <c r="W2033" s="7" t="str">
        <f>IF(V2033="스토리위즈",VLOOKUP(K2033,[1]작가별정산률!$A:$B,2,0),V2033)</f>
        <v>권용찬</v>
      </c>
    </row>
    <row r="2034" spans="1:23" x14ac:dyDescent="0.4">
      <c r="A2034" t="s">
        <v>262</v>
      </c>
      <c r="B2034" t="s">
        <v>2394</v>
      </c>
      <c r="C2034" t="s">
        <v>2396</v>
      </c>
      <c r="D2034" t="s">
        <v>21</v>
      </c>
      <c r="E2034" t="s">
        <v>22</v>
      </c>
      <c r="F2034" t="s">
        <v>23</v>
      </c>
      <c r="G2034">
        <v>1</v>
      </c>
      <c r="H2034">
        <v>9791191562286</v>
      </c>
      <c r="I2034" t="s">
        <v>143</v>
      </c>
      <c r="J2034" t="s">
        <v>238</v>
      </c>
      <c r="K2034" t="s">
        <v>239</v>
      </c>
      <c r="L2034" t="s">
        <v>27</v>
      </c>
      <c r="M2034" s="3">
        <v>2000</v>
      </c>
      <c r="N2034" t="s">
        <v>27</v>
      </c>
      <c r="O2034" s="3">
        <v>2000</v>
      </c>
      <c r="P2034" s="3">
        <v>2000</v>
      </c>
      <c r="Q2034" t="s">
        <v>30</v>
      </c>
      <c r="R2034" s="2">
        <v>0.7</v>
      </c>
      <c r="S2034" s="3">
        <v>1400</v>
      </c>
      <c r="T2034" t="s">
        <v>27</v>
      </c>
      <c r="U2034" s="3">
        <v>1400</v>
      </c>
      <c r="V2034" s="7" t="str">
        <f>IF(ISERROR(VLOOKUP(K2034,[1]작가별정산률!$R:$S,2,0)),"스토리위즈",VLOOKUP(K2034,[1]작가별정산률!$R:$S,2,0))</f>
        <v>밀리의 서재</v>
      </c>
      <c r="W2034" s="7" t="str">
        <f>IF(V2034="스토리위즈",VLOOKUP(K2034,[1]작가별정산률!$A:$B,2,0),V2034)</f>
        <v>밀리의 서재</v>
      </c>
    </row>
    <row r="2035" spans="1:23" x14ac:dyDescent="0.4">
      <c r="A2035" t="s">
        <v>262</v>
      </c>
      <c r="B2035" t="s">
        <v>2394</v>
      </c>
      <c r="C2035" t="s">
        <v>2397</v>
      </c>
      <c r="D2035" t="s">
        <v>64</v>
      </c>
      <c r="E2035" t="s">
        <v>22</v>
      </c>
      <c r="F2035" t="s">
        <v>23</v>
      </c>
      <c r="G2035">
        <v>1</v>
      </c>
      <c r="H2035">
        <v>9791166300509</v>
      </c>
      <c r="I2035" t="s">
        <v>24</v>
      </c>
      <c r="J2035" t="s">
        <v>148</v>
      </c>
      <c r="K2035" t="s">
        <v>119</v>
      </c>
      <c r="L2035" t="s">
        <v>27</v>
      </c>
      <c r="M2035">
        <v>630</v>
      </c>
      <c r="N2035" t="s">
        <v>27</v>
      </c>
      <c r="O2035">
        <v>630</v>
      </c>
      <c r="P2035">
        <v>630</v>
      </c>
      <c r="Q2035" t="s">
        <v>30</v>
      </c>
      <c r="R2035" s="2">
        <v>0.7</v>
      </c>
      <c r="S2035">
        <v>441</v>
      </c>
      <c r="T2035" t="s">
        <v>27</v>
      </c>
      <c r="U2035">
        <v>441</v>
      </c>
      <c r="V2035" s="7" t="str">
        <f>IF(ISERROR(VLOOKUP(K2035,[1]작가별정산률!$R:$S,2,0)),"스토리위즈",VLOOKUP(K2035,[1]작가별정산률!$R:$S,2,0))</f>
        <v>스토리위즈</v>
      </c>
      <c r="W2035" s="7" t="str">
        <f>IF(V2035="스토리위즈",VLOOKUP(K2035,[1]작가별정산률!$A:$B,2,0),V2035)</f>
        <v>김광수</v>
      </c>
    </row>
    <row r="2036" spans="1:23" x14ac:dyDescent="0.4">
      <c r="A2036" t="s">
        <v>262</v>
      </c>
      <c r="B2036" t="s">
        <v>2394</v>
      </c>
      <c r="C2036" t="s">
        <v>2398</v>
      </c>
      <c r="D2036" t="s">
        <v>64</v>
      </c>
      <c r="E2036" t="s">
        <v>22</v>
      </c>
      <c r="F2036" t="s">
        <v>23</v>
      </c>
      <c r="G2036">
        <v>1</v>
      </c>
      <c r="H2036">
        <v>9791166300165</v>
      </c>
      <c r="I2036" t="s">
        <v>24</v>
      </c>
      <c r="J2036" t="s">
        <v>126</v>
      </c>
      <c r="K2036" t="s">
        <v>119</v>
      </c>
      <c r="L2036" t="s">
        <v>27</v>
      </c>
      <c r="M2036">
        <v>630</v>
      </c>
      <c r="N2036" t="s">
        <v>27</v>
      </c>
      <c r="O2036">
        <v>630</v>
      </c>
      <c r="P2036">
        <v>630</v>
      </c>
      <c r="Q2036" t="s">
        <v>30</v>
      </c>
      <c r="R2036" s="2">
        <v>0.7</v>
      </c>
      <c r="S2036">
        <v>441</v>
      </c>
      <c r="T2036" t="s">
        <v>27</v>
      </c>
      <c r="U2036">
        <v>441</v>
      </c>
      <c r="V2036" s="7" t="str">
        <f>IF(ISERROR(VLOOKUP(K2036,[1]작가별정산률!$R:$S,2,0)),"스토리위즈",VLOOKUP(K2036,[1]작가별정산률!$R:$S,2,0))</f>
        <v>스토리위즈</v>
      </c>
      <c r="W2036" s="7" t="str">
        <f>IF(V2036="스토리위즈",VLOOKUP(K2036,[1]작가별정산률!$A:$B,2,0),V2036)</f>
        <v>김광수</v>
      </c>
    </row>
    <row r="2037" spans="1:23" x14ac:dyDescent="0.4">
      <c r="A2037" t="s">
        <v>262</v>
      </c>
      <c r="B2037" t="s">
        <v>2394</v>
      </c>
      <c r="C2037" t="s">
        <v>2399</v>
      </c>
      <c r="D2037" t="s">
        <v>64</v>
      </c>
      <c r="E2037" t="s">
        <v>22</v>
      </c>
      <c r="F2037" t="s">
        <v>23</v>
      </c>
      <c r="G2037">
        <v>1</v>
      </c>
      <c r="H2037">
        <v>9791166300547</v>
      </c>
      <c r="I2037" t="s">
        <v>24</v>
      </c>
      <c r="J2037" t="s">
        <v>153</v>
      </c>
      <c r="K2037" t="s">
        <v>119</v>
      </c>
      <c r="L2037" t="s">
        <v>27</v>
      </c>
      <c r="M2037">
        <v>630</v>
      </c>
      <c r="N2037" t="s">
        <v>27</v>
      </c>
      <c r="O2037">
        <v>630</v>
      </c>
      <c r="P2037">
        <v>630</v>
      </c>
      <c r="Q2037" t="s">
        <v>30</v>
      </c>
      <c r="R2037" s="2">
        <v>0.7</v>
      </c>
      <c r="S2037">
        <v>441</v>
      </c>
      <c r="T2037" t="s">
        <v>27</v>
      </c>
      <c r="U2037">
        <v>441</v>
      </c>
      <c r="V2037" s="7" t="str">
        <f>IF(ISERROR(VLOOKUP(K2037,[1]작가별정산률!$R:$S,2,0)),"스토리위즈",VLOOKUP(K2037,[1]작가별정산률!$R:$S,2,0))</f>
        <v>스토리위즈</v>
      </c>
      <c r="W2037" s="7" t="str">
        <f>IF(V2037="스토리위즈",VLOOKUP(K2037,[1]작가별정산률!$A:$B,2,0),V2037)</f>
        <v>김광수</v>
      </c>
    </row>
    <row r="2038" spans="1:23" x14ac:dyDescent="0.4">
      <c r="A2038" t="s">
        <v>262</v>
      </c>
      <c r="B2038" t="s">
        <v>2394</v>
      </c>
      <c r="C2038" t="s">
        <v>2400</v>
      </c>
      <c r="D2038" t="s">
        <v>64</v>
      </c>
      <c r="E2038" t="s">
        <v>22</v>
      </c>
      <c r="F2038" t="s">
        <v>23</v>
      </c>
      <c r="G2038">
        <v>1</v>
      </c>
      <c r="H2038">
        <v>9791166300127</v>
      </c>
      <c r="I2038" t="s">
        <v>24</v>
      </c>
      <c r="J2038" t="s">
        <v>122</v>
      </c>
      <c r="K2038" t="s">
        <v>119</v>
      </c>
      <c r="L2038" t="s">
        <v>27</v>
      </c>
      <c r="M2038">
        <v>630</v>
      </c>
      <c r="N2038" t="s">
        <v>27</v>
      </c>
      <c r="O2038">
        <v>630</v>
      </c>
      <c r="P2038">
        <v>630</v>
      </c>
      <c r="Q2038" t="s">
        <v>30</v>
      </c>
      <c r="R2038" s="2">
        <v>0.7</v>
      </c>
      <c r="S2038">
        <v>441</v>
      </c>
      <c r="T2038" t="s">
        <v>27</v>
      </c>
      <c r="U2038">
        <v>441</v>
      </c>
      <c r="V2038" s="7" t="str">
        <f>IF(ISERROR(VLOOKUP(K2038,[1]작가별정산률!$R:$S,2,0)),"스토리위즈",VLOOKUP(K2038,[1]작가별정산률!$R:$S,2,0))</f>
        <v>스토리위즈</v>
      </c>
      <c r="W2038" s="7" t="str">
        <f>IF(V2038="스토리위즈",VLOOKUP(K2038,[1]작가별정산률!$A:$B,2,0),V2038)</f>
        <v>김광수</v>
      </c>
    </row>
    <row r="2039" spans="1:23" x14ac:dyDescent="0.4">
      <c r="A2039" t="s">
        <v>262</v>
      </c>
      <c r="B2039" t="s">
        <v>2394</v>
      </c>
      <c r="C2039" t="s">
        <v>2401</v>
      </c>
      <c r="D2039" t="s">
        <v>21</v>
      </c>
      <c r="E2039" t="s">
        <v>22</v>
      </c>
      <c r="F2039" t="s">
        <v>23</v>
      </c>
      <c r="G2039">
        <v>1</v>
      </c>
      <c r="H2039">
        <v>9791191562248</v>
      </c>
      <c r="I2039" t="s">
        <v>143</v>
      </c>
      <c r="J2039" t="s">
        <v>231</v>
      </c>
      <c r="K2039" t="s">
        <v>232</v>
      </c>
      <c r="L2039" t="s">
        <v>27</v>
      </c>
      <c r="M2039" s="3">
        <v>2000</v>
      </c>
      <c r="N2039" t="s">
        <v>27</v>
      </c>
      <c r="O2039" s="3">
        <v>2000</v>
      </c>
      <c r="P2039" s="3">
        <v>2000</v>
      </c>
      <c r="Q2039" t="s">
        <v>30</v>
      </c>
      <c r="R2039" s="2">
        <v>0.7</v>
      </c>
      <c r="S2039" s="3">
        <v>1400</v>
      </c>
      <c r="T2039" t="s">
        <v>27</v>
      </c>
      <c r="U2039" s="3">
        <v>1400</v>
      </c>
      <c r="V2039" s="7" t="str">
        <f>IF(ISERROR(VLOOKUP(K2039,[1]작가별정산률!$R:$S,2,0)),"스토리위즈",VLOOKUP(K2039,[1]작가별정산률!$R:$S,2,0))</f>
        <v>밀리의 서재</v>
      </c>
      <c r="W2039" s="7" t="str">
        <f>IF(V2039="스토리위즈",VLOOKUP(K2039,[1]작가별정산률!$A:$B,2,0),V2039)</f>
        <v>밀리의 서재</v>
      </c>
    </row>
    <row r="2040" spans="1:23" x14ac:dyDescent="0.4">
      <c r="A2040" t="s">
        <v>262</v>
      </c>
      <c r="B2040" t="s">
        <v>2394</v>
      </c>
      <c r="C2040" t="s">
        <v>2402</v>
      </c>
      <c r="D2040" t="s">
        <v>64</v>
      </c>
      <c r="E2040" t="s">
        <v>22</v>
      </c>
      <c r="F2040" t="s">
        <v>23</v>
      </c>
      <c r="G2040">
        <v>1</v>
      </c>
      <c r="H2040">
        <v>9791159284984</v>
      </c>
      <c r="I2040" t="s">
        <v>24</v>
      </c>
      <c r="J2040" t="s">
        <v>50</v>
      </c>
      <c r="K2040" t="s">
        <v>47</v>
      </c>
      <c r="L2040" t="s">
        <v>27</v>
      </c>
      <c r="M2040">
        <v>630</v>
      </c>
      <c r="N2040" t="s">
        <v>27</v>
      </c>
      <c r="O2040">
        <v>630</v>
      </c>
      <c r="P2040">
        <v>630</v>
      </c>
      <c r="Q2040" t="s">
        <v>30</v>
      </c>
      <c r="R2040" s="2">
        <v>0.7</v>
      </c>
      <c r="S2040">
        <v>441</v>
      </c>
      <c r="T2040" t="s">
        <v>27</v>
      </c>
      <c r="U2040">
        <v>441</v>
      </c>
      <c r="V2040" s="7" t="str">
        <f>IF(ISERROR(VLOOKUP(K2040,[1]작가별정산률!$R:$S,2,0)),"스토리위즈",VLOOKUP(K2040,[1]작가별정산률!$R:$S,2,0))</f>
        <v>스토리위즈</v>
      </c>
      <c r="W2040" s="7" t="str">
        <f>IF(V2040="스토리위즈",VLOOKUP(K2040,[1]작가별정산률!$A:$B,2,0),V2040)</f>
        <v>전혁</v>
      </c>
    </row>
    <row r="2041" spans="1:23" x14ac:dyDescent="0.4">
      <c r="A2041" t="s">
        <v>262</v>
      </c>
      <c r="B2041" t="s">
        <v>2394</v>
      </c>
      <c r="C2041" t="s">
        <v>2403</v>
      </c>
      <c r="D2041" t="s">
        <v>64</v>
      </c>
      <c r="E2041" t="s">
        <v>22</v>
      </c>
      <c r="F2041" t="s">
        <v>23</v>
      </c>
      <c r="G2041">
        <v>1</v>
      </c>
      <c r="H2041">
        <v>9791159283130</v>
      </c>
      <c r="I2041" t="s">
        <v>24</v>
      </c>
      <c r="J2041" t="s">
        <v>82</v>
      </c>
      <c r="K2041" t="s">
        <v>37</v>
      </c>
      <c r="L2041" t="s">
        <v>27</v>
      </c>
      <c r="M2041">
        <v>900</v>
      </c>
      <c r="N2041" t="s">
        <v>27</v>
      </c>
      <c r="O2041">
        <v>900</v>
      </c>
      <c r="P2041">
        <v>900</v>
      </c>
      <c r="Q2041" t="s">
        <v>30</v>
      </c>
      <c r="R2041" s="2">
        <v>0.7</v>
      </c>
      <c r="S2041">
        <v>630</v>
      </c>
      <c r="T2041" t="s">
        <v>27</v>
      </c>
      <c r="U2041">
        <v>630</v>
      </c>
      <c r="V2041" s="7" t="str">
        <f>IF(ISERROR(VLOOKUP(K2041,[1]작가별정산률!$R:$S,2,0)),"스토리위즈",VLOOKUP(K2041,[1]작가별정산률!$R:$S,2,0))</f>
        <v>스토리위즈</v>
      </c>
      <c r="W2041" s="7" t="str">
        <f>IF(V2041="스토리위즈",VLOOKUP(K2041,[1]작가별정산률!$A:$B,2,0),V2041)</f>
        <v>권용찬</v>
      </c>
    </row>
    <row r="2042" spans="1:23" x14ac:dyDescent="0.4">
      <c r="A2042" t="s">
        <v>262</v>
      </c>
      <c r="B2042" t="s">
        <v>2394</v>
      </c>
      <c r="C2042" t="s">
        <v>2404</v>
      </c>
      <c r="D2042" t="s">
        <v>64</v>
      </c>
      <c r="E2042" t="s">
        <v>22</v>
      </c>
      <c r="F2042" t="s">
        <v>23</v>
      </c>
      <c r="G2042">
        <v>1</v>
      </c>
      <c r="H2042">
        <v>9791159283109</v>
      </c>
      <c r="I2042" t="s">
        <v>24</v>
      </c>
      <c r="J2042" t="s">
        <v>75</v>
      </c>
      <c r="K2042" t="s">
        <v>37</v>
      </c>
      <c r="L2042" t="s">
        <v>27</v>
      </c>
      <c r="M2042">
        <v>900</v>
      </c>
      <c r="N2042" t="s">
        <v>27</v>
      </c>
      <c r="O2042">
        <v>900</v>
      </c>
      <c r="P2042">
        <v>900</v>
      </c>
      <c r="Q2042" t="s">
        <v>30</v>
      </c>
      <c r="R2042" s="2">
        <v>0.7</v>
      </c>
      <c r="S2042">
        <v>630</v>
      </c>
      <c r="T2042" t="s">
        <v>27</v>
      </c>
      <c r="U2042">
        <v>630</v>
      </c>
      <c r="V2042" s="7" t="str">
        <f>IF(ISERROR(VLOOKUP(K2042,[1]작가별정산률!$R:$S,2,0)),"스토리위즈",VLOOKUP(K2042,[1]작가별정산률!$R:$S,2,0))</f>
        <v>스토리위즈</v>
      </c>
      <c r="W2042" s="7" t="str">
        <f>IF(V2042="스토리위즈",VLOOKUP(K2042,[1]작가별정산률!$A:$B,2,0),V2042)</f>
        <v>권용찬</v>
      </c>
    </row>
    <row r="2043" spans="1:23" x14ac:dyDescent="0.4">
      <c r="A2043" t="s">
        <v>262</v>
      </c>
      <c r="B2043" t="s">
        <v>2394</v>
      </c>
      <c r="C2043" t="s">
        <v>2405</v>
      </c>
      <c r="D2043" t="s">
        <v>21</v>
      </c>
      <c r="E2043" t="s">
        <v>22</v>
      </c>
      <c r="F2043" t="s">
        <v>23</v>
      </c>
      <c r="G2043">
        <v>1</v>
      </c>
      <c r="H2043">
        <v>9791166300653</v>
      </c>
      <c r="I2043" t="s">
        <v>24</v>
      </c>
      <c r="J2043" t="s">
        <v>157</v>
      </c>
      <c r="K2043" t="s">
        <v>119</v>
      </c>
      <c r="L2043" t="s">
        <v>27</v>
      </c>
      <c r="M2043" s="3">
        <v>3200</v>
      </c>
      <c r="N2043" t="s">
        <v>27</v>
      </c>
      <c r="O2043" s="3">
        <v>3200</v>
      </c>
      <c r="P2043" s="3">
        <v>3200</v>
      </c>
      <c r="Q2043" t="s">
        <v>30</v>
      </c>
      <c r="R2043" s="2">
        <v>0.7</v>
      </c>
      <c r="S2043" s="3">
        <v>2240</v>
      </c>
      <c r="T2043" t="s">
        <v>27</v>
      </c>
      <c r="U2043" s="3">
        <v>2240</v>
      </c>
      <c r="V2043" s="7" t="str">
        <f>IF(ISERROR(VLOOKUP(K2043,[1]작가별정산률!$R:$S,2,0)),"스토리위즈",VLOOKUP(K2043,[1]작가별정산률!$R:$S,2,0))</f>
        <v>스토리위즈</v>
      </c>
      <c r="W2043" s="7" t="str">
        <f>IF(V2043="스토리위즈",VLOOKUP(K2043,[1]작가별정산률!$A:$B,2,0),V2043)</f>
        <v>김광수</v>
      </c>
    </row>
    <row r="2044" spans="1:23" x14ac:dyDescent="0.4">
      <c r="A2044" t="s">
        <v>262</v>
      </c>
      <c r="B2044" t="s">
        <v>2394</v>
      </c>
      <c r="C2044" t="s">
        <v>2406</v>
      </c>
      <c r="D2044" t="s">
        <v>21</v>
      </c>
      <c r="E2044" t="s">
        <v>22</v>
      </c>
      <c r="F2044" t="s">
        <v>23</v>
      </c>
      <c r="G2044">
        <v>1</v>
      </c>
      <c r="H2044">
        <v>9791166300233</v>
      </c>
      <c r="I2044" t="s">
        <v>24</v>
      </c>
      <c r="J2044" t="s">
        <v>132</v>
      </c>
      <c r="K2044" t="s">
        <v>119</v>
      </c>
      <c r="L2044" t="s">
        <v>27</v>
      </c>
      <c r="M2044" s="3">
        <v>3200</v>
      </c>
      <c r="N2044" t="s">
        <v>27</v>
      </c>
      <c r="O2044" s="3">
        <v>3200</v>
      </c>
      <c r="P2044" s="3">
        <v>3200</v>
      </c>
      <c r="Q2044" t="s">
        <v>30</v>
      </c>
      <c r="R2044" s="2">
        <v>0.7</v>
      </c>
      <c r="S2044" s="3">
        <v>2240</v>
      </c>
      <c r="T2044" t="s">
        <v>27</v>
      </c>
      <c r="U2044" s="3">
        <v>2240</v>
      </c>
      <c r="V2044" s="7" t="str">
        <f>IF(ISERROR(VLOOKUP(K2044,[1]작가별정산률!$R:$S,2,0)),"스토리위즈",VLOOKUP(K2044,[1]작가별정산률!$R:$S,2,0))</f>
        <v>스토리위즈</v>
      </c>
      <c r="W2044" s="7" t="str">
        <f>IF(V2044="스토리위즈",VLOOKUP(K2044,[1]작가별정산률!$A:$B,2,0),V2044)</f>
        <v>김광수</v>
      </c>
    </row>
    <row r="2045" spans="1:23" x14ac:dyDescent="0.4">
      <c r="A2045" t="s">
        <v>262</v>
      </c>
      <c r="B2045" t="s">
        <v>2394</v>
      </c>
      <c r="C2045" t="s">
        <v>2407</v>
      </c>
      <c r="D2045" t="s">
        <v>64</v>
      </c>
      <c r="E2045" t="s">
        <v>22</v>
      </c>
      <c r="F2045" t="s">
        <v>23</v>
      </c>
      <c r="G2045">
        <v>1</v>
      </c>
      <c r="H2045">
        <v>9791166300103</v>
      </c>
      <c r="I2045" t="s">
        <v>24</v>
      </c>
      <c r="J2045" t="s">
        <v>120</v>
      </c>
      <c r="K2045" t="s">
        <v>119</v>
      </c>
      <c r="L2045" t="s">
        <v>27</v>
      </c>
      <c r="M2045">
        <v>630</v>
      </c>
      <c r="N2045" t="s">
        <v>27</v>
      </c>
      <c r="O2045">
        <v>630</v>
      </c>
      <c r="P2045">
        <v>630</v>
      </c>
      <c r="Q2045" t="s">
        <v>30</v>
      </c>
      <c r="R2045" s="2">
        <v>0.7</v>
      </c>
      <c r="S2045">
        <v>441</v>
      </c>
      <c r="T2045" t="s">
        <v>27</v>
      </c>
      <c r="U2045">
        <v>441</v>
      </c>
      <c r="V2045" s="7" t="str">
        <f>IF(ISERROR(VLOOKUP(K2045,[1]작가별정산률!$R:$S,2,0)),"스토리위즈",VLOOKUP(K2045,[1]작가별정산률!$R:$S,2,0))</f>
        <v>스토리위즈</v>
      </c>
      <c r="W2045" s="7" t="str">
        <f>IF(V2045="스토리위즈",VLOOKUP(K2045,[1]작가별정산률!$A:$B,2,0),V2045)</f>
        <v>김광수</v>
      </c>
    </row>
    <row r="2046" spans="1:23" x14ac:dyDescent="0.4">
      <c r="A2046" t="s">
        <v>262</v>
      </c>
      <c r="B2046" t="s">
        <v>2394</v>
      </c>
      <c r="C2046" t="s">
        <v>2408</v>
      </c>
      <c r="D2046" t="s">
        <v>64</v>
      </c>
      <c r="E2046" t="s">
        <v>22</v>
      </c>
      <c r="F2046" t="s">
        <v>23</v>
      </c>
      <c r="G2046">
        <v>1</v>
      </c>
      <c r="H2046">
        <v>9791166300134</v>
      </c>
      <c r="I2046" t="s">
        <v>24</v>
      </c>
      <c r="J2046" t="s">
        <v>123</v>
      </c>
      <c r="K2046" t="s">
        <v>119</v>
      </c>
      <c r="L2046" t="s">
        <v>27</v>
      </c>
      <c r="M2046">
        <v>630</v>
      </c>
      <c r="N2046" t="s">
        <v>27</v>
      </c>
      <c r="O2046">
        <v>630</v>
      </c>
      <c r="P2046">
        <v>630</v>
      </c>
      <c r="Q2046" t="s">
        <v>30</v>
      </c>
      <c r="R2046" s="2">
        <v>0.7</v>
      </c>
      <c r="S2046">
        <v>441</v>
      </c>
      <c r="T2046" t="s">
        <v>27</v>
      </c>
      <c r="U2046">
        <v>441</v>
      </c>
      <c r="V2046" s="7" t="str">
        <f>IF(ISERROR(VLOOKUP(K2046,[1]작가별정산률!$R:$S,2,0)),"스토리위즈",VLOOKUP(K2046,[1]작가별정산률!$R:$S,2,0))</f>
        <v>스토리위즈</v>
      </c>
      <c r="W2046" s="7" t="str">
        <f>IF(V2046="스토리위즈",VLOOKUP(K2046,[1]작가별정산률!$A:$B,2,0),V2046)</f>
        <v>김광수</v>
      </c>
    </row>
    <row r="2047" spans="1:23" x14ac:dyDescent="0.4">
      <c r="A2047" t="s">
        <v>262</v>
      </c>
      <c r="B2047" t="s">
        <v>2394</v>
      </c>
      <c r="C2047" t="s">
        <v>2409</v>
      </c>
      <c r="D2047" t="s">
        <v>64</v>
      </c>
      <c r="E2047" t="s">
        <v>22</v>
      </c>
      <c r="F2047" t="s">
        <v>23</v>
      </c>
      <c r="G2047">
        <v>1</v>
      </c>
      <c r="H2047">
        <v>9791166300530</v>
      </c>
      <c r="I2047" t="s">
        <v>24</v>
      </c>
      <c r="J2047" t="s">
        <v>151</v>
      </c>
      <c r="K2047" t="s">
        <v>119</v>
      </c>
      <c r="L2047" t="s">
        <v>27</v>
      </c>
      <c r="M2047">
        <v>630</v>
      </c>
      <c r="N2047" t="s">
        <v>27</v>
      </c>
      <c r="O2047">
        <v>630</v>
      </c>
      <c r="P2047">
        <v>630</v>
      </c>
      <c r="Q2047" t="s">
        <v>30</v>
      </c>
      <c r="R2047" s="2">
        <v>0.7</v>
      </c>
      <c r="S2047">
        <v>441</v>
      </c>
      <c r="T2047" t="s">
        <v>27</v>
      </c>
      <c r="U2047">
        <v>441</v>
      </c>
      <c r="V2047" s="7" t="str">
        <f>IF(ISERROR(VLOOKUP(K2047,[1]작가별정산률!$R:$S,2,0)),"스토리위즈",VLOOKUP(K2047,[1]작가별정산률!$R:$S,2,0))</f>
        <v>스토리위즈</v>
      </c>
      <c r="W2047" s="7" t="str">
        <f>IF(V2047="스토리위즈",VLOOKUP(K2047,[1]작가별정산률!$A:$B,2,0),V2047)</f>
        <v>김광수</v>
      </c>
    </row>
    <row r="2048" spans="1:23" x14ac:dyDescent="0.4">
      <c r="A2048" t="s">
        <v>262</v>
      </c>
      <c r="B2048" t="s">
        <v>2394</v>
      </c>
      <c r="C2048" t="s">
        <v>2410</v>
      </c>
      <c r="D2048" t="s">
        <v>21</v>
      </c>
      <c r="E2048" t="s">
        <v>22</v>
      </c>
      <c r="F2048" t="s">
        <v>23</v>
      </c>
      <c r="G2048">
        <v>1</v>
      </c>
      <c r="H2048">
        <v>9791191562439</v>
      </c>
      <c r="I2048" t="s">
        <v>143</v>
      </c>
      <c r="J2048" t="s">
        <v>1661</v>
      </c>
      <c r="K2048" t="s">
        <v>188</v>
      </c>
      <c r="L2048" t="s">
        <v>27</v>
      </c>
      <c r="M2048" s="3">
        <v>2500</v>
      </c>
      <c r="N2048" t="s">
        <v>27</v>
      </c>
      <c r="O2048" s="3">
        <v>2500</v>
      </c>
      <c r="P2048" s="3">
        <v>2500</v>
      </c>
      <c r="Q2048" t="s">
        <v>30</v>
      </c>
      <c r="R2048" s="2">
        <v>0.7</v>
      </c>
      <c r="S2048" s="3">
        <v>1750</v>
      </c>
      <c r="T2048" t="s">
        <v>27</v>
      </c>
      <c r="U2048" s="3">
        <v>1750</v>
      </c>
      <c r="V2048" s="7" t="str">
        <f>IF(ISERROR(VLOOKUP(K2048,[1]작가별정산률!$R:$S,2,0)),"스토리위즈",VLOOKUP(K2048,[1]작가별정산률!$R:$S,2,0))</f>
        <v>밀리의 서재</v>
      </c>
      <c r="W2048" s="7" t="str">
        <f>IF(V2048="스토리위즈",VLOOKUP(K2048,[1]작가별정산률!$A:$B,2,0),V2048)</f>
        <v>밀리의 서재</v>
      </c>
    </row>
    <row r="2049" spans="1:23" x14ac:dyDescent="0.4">
      <c r="A2049" t="s">
        <v>262</v>
      </c>
      <c r="B2049" t="s">
        <v>2394</v>
      </c>
      <c r="C2049" t="s">
        <v>2411</v>
      </c>
      <c r="D2049" t="s">
        <v>21</v>
      </c>
      <c r="E2049" t="s">
        <v>22</v>
      </c>
      <c r="F2049" t="s">
        <v>23</v>
      </c>
      <c r="G2049">
        <v>1</v>
      </c>
      <c r="H2049">
        <v>9791191562361</v>
      </c>
      <c r="I2049" t="s">
        <v>143</v>
      </c>
      <c r="J2049" t="s">
        <v>916</v>
      </c>
      <c r="K2049" t="s">
        <v>186</v>
      </c>
      <c r="L2049" t="s">
        <v>27</v>
      </c>
      <c r="M2049" s="3">
        <v>2000</v>
      </c>
      <c r="N2049" t="s">
        <v>27</v>
      </c>
      <c r="O2049" s="3">
        <v>2000</v>
      </c>
      <c r="P2049" s="3">
        <v>2000</v>
      </c>
      <c r="Q2049" t="s">
        <v>30</v>
      </c>
      <c r="R2049" s="2">
        <v>0.7</v>
      </c>
      <c r="S2049" s="3">
        <v>1400</v>
      </c>
      <c r="T2049" t="s">
        <v>27</v>
      </c>
      <c r="U2049" s="3">
        <v>1400</v>
      </c>
      <c r="V2049" s="7" t="str">
        <f>IF(ISERROR(VLOOKUP(K2049,[1]작가별정산률!$R:$S,2,0)),"스토리위즈",VLOOKUP(K2049,[1]작가별정산률!$R:$S,2,0))</f>
        <v>밀리의 서재</v>
      </c>
      <c r="W2049" s="7" t="str">
        <f>IF(V2049="스토리위즈",VLOOKUP(K2049,[1]작가별정산률!$A:$B,2,0),V2049)</f>
        <v>밀리의 서재</v>
      </c>
    </row>
    <row r="2050" spans="1:23" x14ac:dyDescent="0.4">
      <c r="A2050" t="s">
        <v>262</v>
      </c>
      <c r="B2050" t="s">
        <v>2394</v>
      </c>
      <c r="C2050" t="s">
        <v>2412</v>
      </c>
      <c r="D2050" t="s">
        <v>21</v>
      </c>
      <c r="E2050" t="s">
        <v>22</v>
      </c>
      <c r="F2050" t="s">
        <v>23</v>
      </c>
      <c r="G2050">
        <v>1</v>
      </c>
      <c r="H2050">
        <v>9791191562453</v>
      </c>
      <c r="I2050" t="s">
        <v>143</v>
      </c>
      <c r="J2050" t="s">
        <v>1900</v>
      </c>
      <c r="K2050" t="s">
        <v>1901</v>
      </c>
      <c r="L2050" t="s">
        <v>27</v>
      </c>
      <c r="M2050" s="3">
        <v>2500</v>
      </c>
      <c r="N2050" t="s">
        <v>27</v>
      </c>
      <c r="O2050" s="3">
        <v>2500</v>
      </c>
      <c r="P2050" s="3">
        <v>2500</v>
      </c>
      <c r="Q2050" t="s">
        <v>30</v>
      </c>
      <c r="R2050" s="2">
        <v>0.7</v>
      </c>
      <c r="S2050" s="3">
        <v>1750</v>
      </c>
      <c r="T2050" t="s">
        <v>27</v>
      </c>
      <c r="U2050" s="3">
        <v>1750</v>
      </c>
      <c r="V2050" s="7" t="str">
        <f>IF(ISERROR(VLOOKUP(K2050,[1]작가별정산률!$R:$S,2,0)),"스토리위즈",VLOOKUP(K2050,[1]작가별정산률!$R:$S,2,0))</f>
        <v>밀리의 서재</v>
      </c>
      <c r="W2050" s="7" t="str">
        <f>IF(V2050="스토리위즈",VLOOKUP(K2050,[1]작가별정산률!$A:$B,2,0),V2050)</f>
        <v>밀리의 서재</v>
      </c>
    </row>
    <row r="2051" spans="1:23" x14ac:dyDescent="0.4">
      <c r="A2051" t="s">
        <v>262</v>
      </c>
      <c r="B2051" t="s">
        <v>2394</v>
      </c>
      <c r="C2051" t="s">
        <v>2413</v>
      </c>
      <c r="D2051" t="s">
        <v>64</v>
      </c>
      <c r="E2051" t="s">
        <v>22</v>
      </c>
      <c r="F2051" t="s">
        <v>23</v>
      </c>
      <c r="G2051">
        <v>1</v>
      </c>
      <c r="H2051">
        <v>9791166300691</v>
      </c>
      <c r="I2051" t="s">
        <v>24</v>
      </c>
      <c r="J2051" t="s">
        <v>152</v>
      </c>
      <c r="K2051" t="s">
        <v>119</v>
      </c>
      <c r="L2051" t="s">
        <v>27</v>
      </c>
      <c r="M2051">
        <v>630</v>
      </c>
      <c r="N2051" t="s">
        <v>27</v>
      </c>
      <c r="O2051">
        <v>630</v>
      </c>
      <c r="P2051">
        <v>630</v>
      </c>
      <c r="Q2051" t="s">
        <v>30</v>
      </c>
      <c r="R2051" s="2">
        <v>0.7</v>
      </c>
      <c r="S2051">
        <v>441</v>
      </c>
      <c r="T2051" t="s">
        <v>27</v>
      </c>
      <c r="U2051">
        <v>441</v>
      </c>
      <c r="V2051" s="7" t="str">
        <f>IF(ISERROR(VLOOKUP(K2051,[1]작가별정산률!$R:$S,2,0)),"스토리위즈",VLOOKUP(K2051,[1]작가별정산률!$R:$S,2,0))</f>
        <v>스토리위즈</v>
      </c>
      <c r="W2051" s="7" t="str">
        <f>IF(V2051="스토리위즈",VLOOKUP(K2051,[1]작가별정산률!$A:$B,2,0),V2051)</f>
        <v>김광수</v>
      </c>
    </row>
    <row r="2052" spans="1:23" x14ac:dyDescent="0.4">
      <c r="A2052" t="s">
        <v>262</v>
      </c>
      <c r="B2052" t="s">
        <v>2394</v>
      </c>
      <c r="C2052" t="s">
        <v>2414</v>
      </c>
      <c r="D2052" t="s">
        <v>64</v>
      </c>
      <c r="E2052" t="s">
        <v>22</v>
      </c>
      <c r="F2052" t="s">
        <v>23</v>
      </c>
      <c r="G2052">
        <v>1</v>
      </c>
      <c r="H2052">
        <v>9791166300486</v>
      </c>
      <c r="I2052" t="s">
        <v>24</v>
      </c>
      <c r="J2052" t="s">
        <v>146</v>
      </c>
      <c r="K2052" t="s">
        <v>119</v>
      </c>
      <c r="L2052" t="s">
        <v>27</v>
      </c>
      <c r="M2052">
        <v>630</v>
      </c>
      <c r="N2052" t="s">
        <v>27</v>
      </c>
      <c r="O2052">
        <v>630</v>
      </c>
      <c r="P2052">
        <v>630</v>
      </c>
      <c r="Q2052" t="s">
        <v>30</v>
      </c>
      <c r="R2052" s="2">
        <v>0.7</v>
      </c>
      <c r="S2052">
        <v>441</v>
      </c>
      <c r="T2052" t="s">
        <v>27</v>
      </c>
      <c r="U2052">
        <v>441</v>
      </c>
      <c r="V2052" s="7" t="str">
        <f>IF(ISERROR(VLOOKUP(K2052,[1]작가별정산률!$R:$S,2,0)),"스토리위즈",VLOOKUP(K2052,[1]작가별정산률!$R:$S,2,0))</f>
        <v>스토리위즈</v>
      </c>
      <c r="W2052" s="7" t="str">
        <f>IF(V2052="스토리위즈",VLOOKUP(K2052,[1]작가별정산률!$A:$B,2,0),V2052)</f>
        <v>김광수</v>
      </c>
    </row>
    <row r="2053" spans="1:23" x14ac:dyDescent="0.4">
      <c r="A2053" t="s">
        <v>262</v>
      </c>
      <c r="B2053" t="s">
        <v>2394</v>
      </c>
      <c r="C2053" t="s">
        <v>2415</v>
      </c>
      <c r="D2053" t="s">
        <v>64</v>
      </c>
      <c r="E2053" t="s">
        <v>22</v>
      </c>
      <c r="F2053" t="s">
        <v>23</v>
      </c>
      <c r="G2053">
        <v>1</v>
      </c>
      <c r="H2053">
        <v>9791166300202</v>
      </c>
      <c r="I2053" t="s">
        <v>24</v>
      </c>
      <c r="J2053" t="s">
        <v>129</v>
      </c>
      <c r="K2053" t="s">
        <v>119</v>
      </c>
      <c r="L2053" t="s">
        <v>27</v>
      </c>
      <c r="M2053">
        <v>630</v>
      </c>
      <c r="N2053" t="s">
        <v>27</v>
      </c>
      <c r="O2053">
        <v>630</v>
      </c>
      <c r="P2053">
        <v>630</v>
      </c>
      <c r="Q2053" t="s">
        <v>30</v>
      </c>
      <c r="R2053" s="2">
        <v>0.7</v>
      </c>
      <c r="S2053">
        <v>441</v>
      </c>
      <c r="T2053" t="s">
        <v>27</v>
      </c>
      <c r="U2053">
        <v>441</v>
      </c>
      <c r="V2053" s="7" t="str">
        <f>IF(ISERROR(VLOOKUP(K2053,[1]작가별정산률!$R:$S,2,0)),"스토리위즈",VLOOKUP(K2053,[1]작가별정산률!$R:$S,2,0))</f>
        <v>스토리위즈</v>
      </c>
      <c r="W2053" s="7" t="str">
        <f>IF(V2053="스토리위즈",VLOOKUP(K2053,[1]작가별정산률!$A:$B,2,0),V2053)</f>
        <v>김광수</v>
      </c>
    </row>
    <row r="2054" spans="1:23" x14ac:dyDescent="0.4">
      <c r="A2054" t="s">
        <v>262</v>
      </c>
      <c r="B2054" t="s">
        <v>2394</v>
      </c>
      <c r="C2054" t="s">
        <v>2416</v>
      </c>
      <c r="D2054" t="s">
        <v>21</v>
      </c>
      <c r="E2054" t="s">
        <v>22</v>
      </c>
      <c r="F2054" t="s">
        <v>23</v>
      </c>
      <c r="G2054">
        <v>1</v>
      </c>
      <c r="H2054">
        <v>9791191562361</v>
      </c>
      <c r="I2054" t="s">
        <v>143</v>
      </c>
      <c r="J2054" t="s">
        <v>916</v>
      </c>
      <c r="K2054" t="s">
        <v>186</v>
      </c>
      <c r="L2054" t="s">
        <v>27</v>
      </c>
      <c r="M2054" s="3">
        <v>2000</v>
      </c>
      <c r="N2054" t="s">
        <v>27</v>
      </c>
      <c r="O2054" s="3">
        <v>2000</v>
      </c>
      <c r="P2054" s="3">
        <v>2000</v>
      </c>
      <c r="Q2054" t="s">
        <v>30</v>
      </c>
      <c r="R2054" s="2">
        <v>0.7</v>
      </c>
      <c r="S2054" s="3">
        <v>1400</v>
      </c>
      <c r="T2054" t="s">
        <v>27</v>
      </c>
      <c r="U2054" s="3">
        <v>1400</v>
      </c>
      <c r="V2054" s="7" t="str">
        <f>IF(ISERROR(VLOOKUP(K2054,[1]작가별정산률!$R:$S,2,0)),"스토리위즈",VLOOKUP(K2054,[1]작가별정산률!$R:$S,2,0))</f>
        <v>밀리의 서재</v>
      </c>
      <c r="W2054" s="7" t="str">
        <f>IF(V2054="스토리위즈",VLOOKUP(K2054,[1]작가별정산률!$A:$B,2,0),V2054)</f>
        <v>밀리의 서재</v>
      </c>
    </row>
    <row r="2055" spans="1:23" x14ac:dyDescent="0.4">
      <c r="A2055" t="s">
        <v>262</v>
      </c>
      <c r="B2055" t="s">
        <v>2394</v>
      </c>
      <c r="C2055" t="s">
        <v>2417</v>
      </c>
      <c r="D2055" t="s">
        <v>21</v>
      </c>
      <c r="E2055" t="s">
        <v>22</v>
      </c>
      <c r="F2055" t="s">
        <v>23</v>
      </c>
      <c r="G2055">
        <v>1</v>
      </c>
      <c r="H2055">
        <v>9791191562361</v>
      </c>
      <c r="I2055" t="s">
        <v>143</v>
      </c>
      <c r="J2055" t="s">
        <v>916</v>
      </c>
      <c r="K2055" t="s">
        <v>186</v>
      </c>
      <c r="L2055" t="s">
        <v>27</v>
      </c>
      <c r="M2055" s="3">
        <v>2000</v>
      </c>
      <c r="N2055" t="s">
        <v>27</v>
      </c>
      <c r="O2055" s="3">
        <v>2000</v>
      </c>
      <c r="P2055" s="3">
        <v>2000</v>
      </c>
      <c r="Q2055" t="s">
        <v>30</v>
      </c>
      <c r="R2055" s="2">
        <v>0.7</v>
      </c>
      <c r="S2055" s="3">
        <v>1400</v>
      </c>
      <c r="T2055" t="s">
        <v>27</v>
      </c>
      <c r="U2055" s="3">
        <v>1400</v>
      </c>
      <c r="V2055" s="7" t="str">
        <f>IF(ISERROR(VLOOKUP(K2055,[1]작가별정산률!$R:$S,2,0)),"스토리위즈",VLOOKUP(K2055,[1]작가별정산률!$R:$S,2,0))</f>
        <v>밀리의 서재</v>
      </c>
      <c r="W2055" s="7" t="str">
        <f>IF(V2055="스토리위즈",VLOOKUP(K2055,[1]작가별정산률!$A:$B,2,0),V2055)</f>
        <v>밀리의 서재</v>
      </c>
    </row>
    <row r="2056" spans="1:23" x14ac:dyDescent="0.4">
      <c r="A2056" t="s">
        <v>262</v>
      </c>
      <c r="B2056" t="s">
        <v>2394</v>
      </c>
      <c r="C2056" t="s">
        <v>2418</v>
      </c>
      <c r="D2056" t="s">
        <v>21</v>
      </c>
      <c r="E2056" t="s">
        <v>22</v>
      </c>
      <c r="F2056" t="s">
        <v>23</v>
      </c>
      <c r="G2056">
        <v>1</v>
      </c>
      <c r="H2056">
        <v>9791164370184</v>
      </c>
      <c r="I2056" t="s">
        <v>143</v>
      </c>
      <c r="J2056" t="s">
        <v>1996</v>
      </c>
      <c r="K2056" t="s">
        <v>1035</v>
      </c>
      <c r="L2056" t="s">
        <v>27</v>
      </c>
      <c r="M2056" s="3">
        <v>2500</v>
      </c>
      <c r="N2056" t="s">
        <v>27</v>
      </c>
      <c r="O2056" s="3">
        <v>2500</v>
      </c>
      <c r="P2056" s="3">
        <v>2500</v>
      </c>
      <c r="Q2056" t="s">
        <v>30</v>
      </c>
      <c r="R2056" s="2">
        <v>0.7</v>
      </c>
      <c r="S2056" s="3">
        <v>1750</v>
      </c>
      <c r="T2056" t="s">
        <v>27</v>
      </c>
      <c r="U2056" s="3">
        <v>1750</v>
      </c>
      <c r="V2056" s="7" t="str">
        <f>IF(ISERROR(VLOOKUP(K2056,[1]작가별정산률!$R:$S,2,0)),"스토리위즈",VLOOKUP(K2056,[1]작가별정산률!$R:$S,2,0))</f>
        <v>스토리위즈</v>
      </c>
      <c r="W2056" s="7" t="str">
        <f>IF(V2056="스토리위즈",VLOOKUP(K2056,[1]작가별정산률!$A:$B,2,0),V2056)</f>
        <v>모리미</v>
      </c>
    </row>
    <row r="2057" spans="1:23" x14ac:dyDescent="0.4">
      <c r="A2057" t="s">
        <v>262</v>
      </c>
      <c r="B2057" t="s">
        <v>2394</v>
      </c>
      <c r="C2057" t="s">
        <v>2419</v>
      </c>
      <c r="D2057" t="s">
        <v>21</v>
      </c>
      <c r="E2057" t="s">
        <v>22</v>
      </c>
      <c r="F2057" t="s">
        <v>23</v>
      </c>
      <c r="G2057">
        <v>1</v>
      </c>
      <c r="H2057">
        <v>9791191562286</v>
      </c>
      <c r="I2057" t="s">
        <v>143</v>
      </c>
      <c r="J2057" t="s">
        <v>238</v>
      </c>
      <c r="K2057" t="s">
        <v>239</v>
      </c>
      <c r="L2057" t="s">
        <v>27</v>
      </c>
      <c r="M2057" s="3">
        <v>2000</v>
      </c>
      <c r="N2057" t="s">
        <v>27</v>
      </c>
      <c r="O2057" s="3">
        <v>2000</v>
      </c>
      <c r="P2057" s="3">
        <v>2000</v>
      </c>
      <c r="Q2057" t="s">
        <v>30</v>
      </c>
      <c r="R2057" s="2">
        <v>0.7</v>
      </c>
      <c r="S2057" s="3">
        <v>1400</v>
      </c>
      <c r="T2057" t="s">
        <v>27</v>
      </c>
      <c r="U2057" s="3">
        <v>1400</v>
      </c>
      <c r="V2057" s="7" t="str">
        <f>IF(ISERROR(VLOOKUP(K2057,[1]작가별정산률!$R:$S,2,0)),"스토리위즈",VLOOKUP(K2057,[1]작가별정산률!$R:$S,2,0))</f>
        <v>밀리의 서재</v>
      </c>
      <c r="W2057" s="7" t="str">
        <f>IF(V2057="스토리위즈",VLOOKUP(K2057,[1]작가별정산률!$A:$B,2,0),V2057)</f>
        <v>밀리의 서재</v>
      </c>
    </row>
    <row r="2058" spans="1:23" x14ac:dyDescent="0.4">
      <c r="A2058" t="s">
        <v>262</v>
      </c>
      <c r="B2058" t="s">
        <v>2394</v>
      </c>
      <c r="C2058" t="s">
        <v>2420</v>
      </c>
      <c r="D2058" t="s">
        <v>21</v>
      </c>
      <c r="E2058" t="s">
        <v>22</v>
      </c>
      <c r="F2058" t="s">
        <v>23</v>
      </c>
      <c r="G2058">
        <v>1</v>
      </c>
      <c r="H2058">
        <v>9791191562385</v>
      </c>
      <c r="I2058" t="s">
        <v>143</v>
      </c>
      <c r="J2058" t="s">
        <v>936</v>
      </c>
      <c r="K2058" t="s">
        <v>937</v>
      </c>
      <c r="L2058" t="s">
        <v>27</v>
      </c>
      <c r="M2058" s="3">
        <v>2000</v>
      </c>
      <c r="N2058" t="s">
        <v>27</v>
      </c>
      <c r="O2058" s="3">
        <v>2000</v>
      </c>
      <c r="P2058" s="3">
        <v>2000</v>
      </c>
      <c r="Q2058" t="s">
        <v>30</v>
      </c>
      <c r="R2058" s="2">
        <v>0.7</v>
      </c>
      <c r="S2058" s="3">
        <v>1400</v>
      </c>
      <c r="T2058" t="s">
        <v>27</v>
      </c>
      <c r="U2058" s="3">
        <v>1400</v>
      </c>
      <c r="V2058" s="7" t="str">
        <f>IF(ISERROR(VLOOKUP(K2058,[1]작가별정산률!$R:$S,2,0)),"스토리위즈",VLOOKUP(K2058,[1]작가별정산률!$R:$S,2,0))</f>
        <v>밀리의 서재</v>
      </c>
      <c r="W2058" s="7" t="str">
        <f>IF(V2058="스토리위즈",VLOOKUP(K2058,[1]작가별정산률!$A:$B,2,0),V2058)</f>
        <v>밀리의 서재</v>
      </c>
    </row>
    <row r="2059" spans="1:23" x14ac:dyDescent="0.4">
      <c r="A2059" t="s">
        <v>262</v>
      </c>
      <c r="B2059" t="s">
        <v>2394</v>
      </c>
      <c r="C2059" t="s">
        <v>2421</v>
      </c>
      <c r="D2059" t="s">
        <v>64</v>
      </c>
      <c r="E2059" t="s">
        <v>22</v>
      </c>
      <c r="F2059" t="s">
        <v>23</v>
      </c>
      <c r="G2059">
        <v>1</v>
      </c>
      <c r="H2059">
        <v>9791166300219</v>
      </c>
      <c r="I2059" t="s">
        <v>24</v>
      </c>
      <c r="J2059" t="s">
        <v>130</v>
      </c>
      <c r="K2059" t="s">
        <v>119</v>
      </c>
      <c r="L2059" t="s">
        <v>27</v>
      </c>
      <c r="M2059">
        <v>630</v>
      </c>
      <c r="N2059" t="s">
        <v>27</v>
      </c>
      <c r="O2059">
        <v>630</v>
      </c>
      <c r="P2059">
        <v>630</v>
      </c>
      <c r="Q2059" t="s">
        <v>30</v>
      </c>
      <c r="R2059" s="2">
        <v>0.7</v>
      </c>
      <c r="S2059">
        <v>441</v>
      </c>
      <c r="T2059" t="s">
        <v>27</v>
      </c>
      <c r="U2059">
        <v>441</v>
      </c>
      <c r="V2059" s="7" t="str">
        <f>IF(ISERROR(VLOOKUP(K2059,[1]작가별정산률!$R:$S,2,0)),"스토리위즈",VLOOKUP(K2059,[1]작가별정산률!$R:$S,2,0))</f>
        <v>스토리위즈</v>
      </c>
      <c r="W2059" s="7" t="str">
        <f>IF(V2059="스토리위즈",VLOOKUP(K2059,[1]작가별정산률!$A:$B,2,0),V2059)</f>
        <v>김광수</v>
      </c>
    </row>
    <row r="2060" spans="1:23" x14ac:dyDescent="0.4">
      <c r="A2060" t="s">
        <v>262</v>
      </c>
      <c r="B2060" t="s">
        <v>2394</v>
      </c>
      <c r="C2060" t="s">
        <v>2422</v>
      </c>
      <c r="D2060" t="s">
        <v>64</v>
      </c>
      <c r="E2060" t="s">
        <v>22</v>
      </c>
      <c r="F2060" t="s">
        <v>23</v>
      </c>
      <c r="G2060">
        <v>1</v>
      </c>
      <c r="H2060">
        <v>9791166064050</v>
      </c>
      <c r="I2060" t="s">
        <v>24</v>
      </c>
      <c r="J2060" t="s">
        <v>79</v>
      </c>
      <c r="K2060" t="s">
        <v>37</v>
      </c>
      <c r="L2060" t="s">
        <v>27</v>
      </c>
      <c r="M2060">
        <v>900</v>
      </c>
      <c r="N2060" t="s">
        <v>27</v>
      </c>
      <c r="O2060">
        <v>900</v>
      </c>
      <c r="P2060">
        <v>900</v>
      </c>
      <c r="Q2060" t="s">
        <v>30</v>
      </c>
      <c r="R2060" s="2">
        <v>0.7</v>
      </c>
      <c r="S2060">
        <v>630</v>
      </c>
      <c r="T2060" t="s">
        <v>27</v>
      </c>
      <c r="U2060">
        <v>630</v>
      </c>
      <c r="V2060" s="7" t="str">
        <f>IF(ISERROR(VLOOKUP(K2060,[1]작가별정산률!$R:$S,2,0)),"스토리위즈",VLOOKUP(K2060,[1]작가별정산률!$R:$S,2,0))</f>
        <v>스토리위즈</v>
      </c>
      <c r="W2060" s="7" t="str">
        <f>IF(V2060="스토리위즈",VLOOKUP(K2060,[1]작가별정산률!$A:$B,2,0),V2060)</f>
        <v>권용찬</v>
      </c>
    </row>
    <row r="2061" spans="1:23" x14ac:dyDescent="0.4">
      <c r="A2061" t="s">
        <v>262</v>
      </c>
      <c r="B2061" t="s">
        <v>2394</v>
      </c>
      <c r="C2061" t="s">
        <v>2423</v>
      </c>
      <c r="D2061" t="s">
        <v>64</v>
      </c>
      <c r="E2061" t="s">
        <v>22</v>
      </c>
      <c r="F2061" t="s">
        <v>23</v>
      </c>
      <c r="G2061">
        <v>1</v>
      </c>
      <c r="H2061">
        <v>9791166061080</v>
      </c>
      <c r="I2061" t="s">
        <v>24</v>
      </c>
      <c r="J2061" t="s">
        <v>74</v>
      </c>
      <c r="K2061" t="s">
        <v>37</v>
      </c>
      <c r="L2061" t="s">
        <v>27</v>
      </c>
      <c r="M2061">
        <v>900</v>
      </c>
      <c r="N2061" t="s">
        <v>27</v>
      </c>
      <c r="O2061">
        <v>900</v>
      </c>
      <c r="P2061">
        <v>900</v>
      </c>
      <c r="Q2061" t="s">
        <v>30</v>
      </c>
      <c r="R2061" s="2">
        <v>0.7</v>
      </c>
      <c r="S2061">
        <v>630</v>
      </c>
      <c r="T2061" t="s">
        <v>27</v>
      </c>
      <c r="U2061">
        <v>630</v>
      </c>
      <c r="V2061" s="7" t="str">
        <f>IF(ISERROR(VLOOKUP(K2061,[1]작가별정산률!$R:$S,2,0)),"스토리위즈",VLOOKUP(K2061,[1]작가별정산률!$R:$S,2,0))</f>
        <v>스토리위즈</v>
      </c>
      <c r="W2061" s="7" t="str">
        <f>IF(V2061="스토리위즈",VLOOKUP(K2061,[1]작가별정산률!$A:$B,2,0),V2061)</f>
        <v>권용찬</v>
      </c>
    </row>
    <row r="2062" spans="1:23" x14ac:dyDescent="0.4">
      <c r="A2062" t="s">
        <v>262</v>
      </c>
      <c r="B2062" t="s">
        <v>2394</v>
      </c>
      <c r="C2062" t="s">
        <v>2424</v>
      </c>
      <c r="D2062" t="s">
        <v>64</v>
      </c>
      <c r="E2062" t="s">
        <v>22</v>
      </c>
      <c r="F2062" t="s">
        <v>23</v>
      </c>
      <c r="G2062">
        <v>1</v>
      </c>
      <c r="H2062">
        <v>9791166300271</v>
      </c>
      <c r="I2062" t="s">
        <v>24</v>
      </c>
      <c r="J2062" t="s">
        <v>136</v>
      </c>
      <c r="K2062" t="s">
        <v>119</v>
      </c>
      <c r="L2062" t="s">
        <v>27</v>
      </c>
      <c r="M2062">
        <v>630</v>
      </c>
      <c r="N2062" t="s">
        <v>27</v>
      </c>
      <c r="O2062">
        <v>630</v>
      </c>
      <c r="P2062">
        <v>630</v>
      </c>
      <c r="Q2062" t="s">
        <v>30</v>
      </c>
      <c r="R2062" s="2">
        <v>0.7</v>
      </c>
      <c r="S2062">
        <v>441</v>
      </c>
      <c r="T2062" t="s">
        <v>27</v>
      </c>
      <c r="U2062">
        <v>441</v>
      </c>
      <c r="V2062" s="7" t="str">
        <f>IF(ISERROR(VLOOKUP(K2062,[1]작가별정산률!$R:$S,2,0)),"스토리위즈",VLOOKUP(K2062,[1]작가별정산률!$R:$S,2,0))</f>
        <v>스토리위즈</v>
      </c>
      <c r="W2062" s="7" t="str">
        <f>IF(V2062="스토리위즈",VLOOKUP(K2062,[1]작가별정산률!$A:$B,2,0),V2062)</f>
        <v>김광수</v>
      </c>
    </row>
    <row r="2063" spans="1:23" x14ac:dyDescent="0.4">
      <c r="A2063" t="s">
        <v>262</v>
      </c>
      <c r="B2063" t="s">
        <v>2394</v>
      </c>
      <c r="C2063" t="s">
        <v>2425</v>
      </c>
      <c r="D2063" t="s">
        <v>64</v>
      </c>
      <c r="E2063" t="s">
        <v>22</v>
      </c>
      <c r="F2063" t="s">
        <v>23</v>
      </c>
      <c r="G2063">
        <v>1</v>
      </c>
      <c r="H2063">
        <v>9791166300226</v>
      </c>
      <c r="I2063" t="s">
        <v>24</v>
      </c>
      <c r="J2063" t="s">
        <v>131</v>
      </c>
      <c r="K2063" t="s">
        <v>119</v>
      </c>
      <c r="L2063" t="s">
        <v>27</v>
      </c>
      <c r="M2063">
        <v>630</v>
      </c>
      <c r="N2063" t="s">
        <v>27</v>
      </c>
      <c r="O2063">
        <v>630</v>
      </c>
      <c r="P2063">
        <v>630</v>
      </c>
      <c r="Q2063" t="s">
        <v>30</v>
      </c>
      <c r="R2063" s="2">
        <v>0.7</v>
      </c>
      <c r="S2063">
        <v>441</v>
      </c>
      <c r="T2063" t="s">
        <v>27</v>
      </c>
      <c r="U2063">
        <v>441</v>
      </c>
      <c r="V2063" s="7" t="str">
        <f>IF(ISERROR(VLOOKUP(K2063,[1]작가별정산률!$R:$S,2,0)),"스토리위즈",VLOOKUP(K2063,[1]작가별정산률!$R:$S,2,0))</f>
        <v>스토리위즈</v>
      </c>
      <c r="W2063" s="7" t="str">
        <f>IF(V2063="스토리위즈",VLOOKUP(K2063,[1]작가별정산률!$A:$B,2,0),V2063)</f>
        <v>김광수</v>
      </c>
    </row>
    <row r="2064" spans="1:23" x14ac:dyDescent="0.4">
      <c r="A2064" t="s">
        <v>262</v>
      </c>
      <c r="B2064" t="s">
        <v>2394</v>
      </c>
      <c r="C2064" t="s">
        <v>2426</v>
      </c>
      <c r="D2064" t="s">
        <v>21</v>
      </c>
      <c r="E2064" t="s">
        <v>22</v>
      </c>
      <c r="F2064" t="s">
        <v>23</v>
      </c>
      <c r="G2064">
        <v>1</v>
      </c>
      <c r="H2064">
        <v>9791164370504</v>
      </c>
      <c r="I2064" t="s">
        <v>143</v>
      </c>
      <c r="J2064" t="s">
        <v>1971</v>
      </c>
      <c r="K2064" t="s">
        <v>1035</v>
      </c>
      <c r="L2064" t="s">
        <v>27</v>
      </c>
      <c r="M2064">
        <v>300</v>
      </c>
      <c r="N2064" t="s">
        <v>27</v>
      </c>
      <c r="O2064">
        <v>300</v>
      </c>
      <c r="P2064">
        <v>300</v>
      </c>
      <c r="Q2064" t="s">
        <v>30</v>
      </c>
      <c r="R2064" s="2">
        <v>0.7</v>
      </c>
      <c r="S2064">
        <v>210</v>
      </c>
      <c r="T2064" t="s">
        <v>27</v>
      </c>
      <c r="U2064">
        <v>210</v>
      </c>
      <c r="V2064" s="7" t="str">
        <f>IF(ISERROR(VLOOKUP(K2064,[1]작가별정산률!$R:$S,2,0)),"스토리위즈",VLOOKUP(K2064,[1]작가별정산률!$R:$S,2,0))</f>
        <v>스토리위즈</v>
      </c>
      <c r="W2064" s="7" t="str">
        <f>IF(V2064="스토리위즈",VLOOKUP(K2064,[1]작가별정산률!$A:$B,2,0),V2064)</f>
        <v>모리미</v>
      </c>
    </row>
    <row r="2065" spans="1:23" x14ac:dyDescent="0.4">
      <c r="A2065" t="s">
        <v>262</v>
      </c>
      <c r="B2065" t="s">
        <v>2394</v>
      </c>
      <c r="C2065" t="s">
        <v>2427</v>
      </c>
      <c r="D2065" t="s">
        <v>64</v>
      </c>
      <c r="E2065" t="s">
        <v>22</v>
      </c>
      <c r="F2065" t="s">
        <v>23</v>
      </c>
      <c r="G2065">
        <v>1</v>
      </c>
      <c r="H2065">
        <v>9791166300288</v>
      </c>
      <c r="I2065" t="s">
        <v>24</v>
      </c>
      <c r="J2065" t="s">
        <v>137</v>
      </c>
      <c r="K2065" t="s">
        <v>119</v>
      </c>
      <c r="L2065" t="s">
        <v>27</v>
      </c>
      <c r="M2065">
        <v>630</v>
      </c>
      <c r="N2065" t="s">
        <v>27</v>
      </c>
      <c r="O2065">
        <v>630</v>
      </c>
      <c r="P2065">
        <v>630</v>
      </c>
      <c r="Q2065" t="s">
        <v>30</v>
      </c>
      <c r="R2065" s="2">
        <v>0.7</v>
      </c>
      <c r="S2065">
        <v>441</v>
      </c>
      <c r="T2065" t="s">
        <v>27</v>
      </c>
      <c r="U2065">
        <v>441</v>
      </c>
      <c r="V2065" s="7" t="str">
        <f>IF(ISERROR(VLOOKUP(K2065,[1]작가별정산률!$R:$S,2,0)),"스토리위즈",VLOOKUP(K2065,[1]작가별정산률!$R:$S,2,0))</f>
        <v>스토리위즈</v>
      </c>
      <c r="W2065" s="7" t="str">
        <f>IF(V2065="스토리위즈",VLOOKUP(K2065,[1]작가별정산률!$A:$B,2,0),V2065)</f>
        <v>김광수</v>
      </c>
    </row>
    <row r="2066" spans="1:23" x14ac:dyDescent="0.4">
      <c r="A2066" t="s">
        <v>262</v>
      </c>
      <c r="B2066" t="s">
        <v>2394</v>
      </c>
      <c r="C2066" t="s">
        <v>2428</v>
      </c>
      <c r="D2066" t="s">
        <v>21</v>
      </c>
      <c r="E2066" t="s">
        <v>22</v>
      </c>
      <c r="F2066" t="s">
        <v>23</v>
      </c>
      <c r="G2066">
        <v>1</v>
      </c>
      <c r="H2066">
        <v>9791191562286</v>
      </c>
      <c r="I2066" t="s">
        <v>143</v>
      </c>
      <c r="J2066" t="s">
        <v>238</v>
      </c>
      <c r="K2066" t="s">
        <v>239</v>
      </c>
      <c r="L2066" t="s">
        <v>27</v>
      </c>
      <c r="M2066" s="3">
        <v>2000</v>
      </c>
      <c r="N2066" t="s">
        <v>28</v>
      </c>
      <c r="O2066">
        <v>1.65</v>
      </c>
      <c r="P2066">
        <v>1.65</v>
      </c>
      <c r="Q2066" t="s">
        <v>29</v>
      </c>
      <c r="R2066" s="2">
        <v>0.7</v>
      </c>
      <c r="S2066">
        <v>1.1499999999999999</v>
      </c>
      <c r="T2066" t="s">
        <v>27</v>
      </c>
      <c r="U2066" s="3">
        <v>1425</v>
      </c>
      <c r="V2066" s="7" t="str">
        <f>IF(ISERROR(VLOOKUP(K2066,[1]작가별정산률!$R:$S,2,0)),"스토리위즈",VLOOKUP(K2066,[1]작가별정산률!$R:$S,2,0))</f>
        <v>밀리의 서재</v>
      </c>
      <c r="W2066" s="7" t="str">
        <f>IF(V2066="스토리위즈",VLOOKUP(K2066,[1]작가별정산률!$A:$B,2,0),V2066)</f>
        <v>밀리의 서재</v>
      </c>
    </row>
    <row r="2067" spans="1:23" x14ac:dyDescent="0.4">
      <c r="A2067" t="s">
        <v>262</v>
      </c>
      <c r="B2067" t="s">
        <v>2394</v>
      </c>
      <c r="C2067" t="s">
        <v>2429</v>
      </c>
      <c r="D2067" t="s">
        <v>64</v>
      </c>
      <c r="E2067" t="s">
        <v>22</v>
      </c>
      <c r="F2067" t="s">
        <v>23</v>
      </c>
      <c r="G2067">
        <v>1</v>
      </c>
      <c r="H2067">
        <v>9791166064401</v>
      </c>
      <c r="I2067" t="s">
        <v>24</v>
      </c>
      <c r="J2067" t="s">
        <v>111</v>
      </c>
      <c r="K2067" t="s">
        <v>102</v>
      </c>
      <c r="L2067" t="s">
        <v>27</v>
      </c>
      <c r="M2067">
        <v>720</v>
      </c>
      <c r="N2067" t="s">
        <v>28</v>
      </c>
      <c r="O2067">
        <v>0.59</v>
      </c>
      <c r="P2067">
        <v>0.59</v>
      </c>
      <c r="Q2067" t="s">
        <v>29</v>
      </c>
      <c r="R2067" s="2">
        <v>0.7</v>
      </c>
      <c r="S2067">
        <v>0.41</v>
      </c>
      <c r="T2067" t="s">
        <v>27</v>
      </c>
      <c r="U2067">
        <v>508</v>
      </c>
      <c r="V2067" s="7" t="str">
        <f>IF(ISERROR(VLOOKUP(K2067,[1]작가별정산률!$R:$S,2,0)),"스토리위즈",VLOOKUP(K2067,[1]작가별정산률!$R:$S,2,0))</f>
        <v>스토리위즈</v>
      </c>
      <c r="W2067" s="7" t="str">
        <f>IF(V2067="스토리위즈",VLOOKUP(K2067,[1]작가별정산률!$A:$B,2,0),V2067)</f>
        <v>예로나</v>
      </c>
    </row>
    <row r="2068" spans="1:23" x14ac:dyDescent="0.4">
      <c r="A2068" t="s">
        <v>262</v>
      </c>
      <c r="B2068" t="s">
        <v>2394</v>
      </c>
      <c r="C2068" t="s">
        <v>2430</v>
      </c>
      <c r="D2068" t="s">
        <v>64</v>
      </c>
      <c r="E2068" t="s">
        <v>22</v>
      </c>
      <c r="F2068" t="s">
        <v>23</v>
      </c>
      <c r="G2068">
        <v>1</v>
      </c>
      <c r="H2068">
        <v>9791166300233</v>
      </c>
      <c r="I2068" t="s">
        <v>24</v>
      </c>
      <c r="J2068" t="s">
        <v>132</v>
      </c>
      <c r="K2068" t="s">
        <v>119</v>
      </c>
      <c r="L2068" t="s">
        <v>27</v>
      </c>
      <c r="M2068">
        <v>630</v>
      </c>
      <c r="N2068" t="s">
        <v>27</v>
      </c>
      <c r="O2068">
        <v>630</v>
      </c>
      <c r="P2068">
        <v>630</v>
      </c>
      <c r="Q2068" t="s">
        <v>30</v>
      </c>
      <c r="R2068" s="2">
        <v>0.7</v>
      </c>
      <c r="S2068">
        <v>441</v>
      </c>
      <c r="T2068" t="s">
        <v>27</v>
      </c>
      <c r="U2068">
        <v>441</v>
      </c>
      <c r="V2068" s="7" t="str">
        <f>IF(ISERROR(VLOOKUP(K2068,[1]작가별정산률!$R:$S,2,0)),"스토리위즈",VLOOKUP(K2068,[1]작가별정산률!$R:$S,2,0))</f>
        <v>스토리위즈</v>
      </c>
      <c r="W2068" s="7" t="str">
        <f>IF(V2068="스토리위즈",VLOOKUP(K2068,[1]작가별정산률!$A:$B,2,0),V2068)</f>
        <v>김광수</v>
      </c>
    </row>
    <row r="2069" spans="1:23" x14ac:dyDescent="0.4">
      <c r="A2069" t="s">
        <v>262</v>
      </c>
      <c r="B2069" t="s">
        <v>2394</v>
      </c>
      <c r="C2069" t="s">
        <v>2431</v>
      </c>
      <c r="D2069" t="s">
        <v>64</v>
      </c>
      <c r="E2069" t="s">
        <v>22</v>
      </c>
      <c r="F2069" t="s">
        <v>23</v>
      </c>
      <c r="G2069">
        <v>1</v>
      </c>
      <c r="H2069">
        <v>9791166061097</v>
      </c>
      <c r="I2069" t="s">
        <v>24</v>
      </c>
      <c r="J2069" t="s">
        <v>95</v>
      </c>
      <c r="K2069" t="s">
        <v>37</v>
      </c>
      <c r="L2069" t="s">
        <v>27</v>
      </c>
      <c r="M2069">
        <v>900</v>
      </c>
      <c r="N2069" t="s">
        <v>27</v>
      </c>
      <c r="O2069">
        <v>900</v>
      </c>
      <c r="P2069">
        <v>900</v>
      </c>
      <c r="Q2069" t="s">
        <v>30</v>
      </c>
      <c r="R2069" s="2">
        <v>0.7</v>
      </c>
      <c r="S2069">
        <v>630</v>
      </c>
      <c r="T2069" t="s">
        <v>27</v>
      </c>
      <c r="U2069">
        <v>630</v>
      </c>
      <c r="V2069" s="7" t="str">
        <f>IF(ISERROR(VLOOKUP(K2069,[1]작가별정산률!$R:$S,2,0)),"스토리위즈",VLOOKUP(K2069,[1]작가별정산률!$R:$S,2,0))</f>
        <v>스토리위즈</v>
      </c>
      <c r="W2069" s="7" t="str">
        <f>IF(V2069="스토리위즈",VLOOKUP(K2069,[1]작가별정산률!$A:$B,2,0),V2069)</f>
        <v>권용찬</v>
      </c>
    </row>
    <row r="2070" spans="1:23" x14ac:dyDescent="0.4">
      <c r="A2070" t="s">
        <v>262</v>
      </c>
      <c r="B2070" t="s">
        <v>2394</v>
      </c>
      <c r="C2070" t="s">
        <v>2432</v>
      </c>
      <c r="D2070" t="s">
        <v>64</v>
      </c>
      <c r="E2070" t="s">
        <v>22</v>
      </c>
      <c r="F2070" t="s">
        <v>23</v>
      </c>
      <c r="G2070">
        <v>1</v>
      </c>
      <c r="H2070">
        <v>9791166300295</v>
      </c>
      <c r="I2070" t="s">
        <v>24</v>
      </c>
      <c r="J2070" t="s">
        <v>138</v>
      </c>
      <c r="K2070" t="s">
        <v>119</v>
      </c>
      <c r="L2070" t="s">
        <v>27</v>
      </c>
      <c r="M2070">
        <v>630</v>
      </c>
      <c r="N2070" t="s">
        <v>27</v>
      </c>
      <c r="O2070">
        <v>630</v>
      </c>
      <c r="P2070">
        <v>630</v>
      </c>
      <c r="Q2070" t="s">
        <v>30</v>
      </c>
      <c r="R2070" s="2">
        <v>0.7</v>
      </c>
      <c r="S2070">
        <v>441</v>
      </c>
      <c r="T2070" t="s">
        <v>27</v>
      </c>
      <c r="U2070">
        <v>441</v>
      </c>
      <c r="V2070" s="7" t="str">
        <f>IF(ISERROR(VLOOKUP(K2070,[1]작가별정산률!$R:$S,2,0)),"스토리위즈",VLOOKUP(K2070,[1]작가별정산률!$R:$S,2,0))</f>
        <v>스토리위즈</v>
      </c>
      <c r="W2070" s="7" t="str">
        <f>IF(V2070="스토리위즈",VLOOKUP(K2070,[1]작가별정산률!$A:$B,2,0),V2070)</f>
        <v>김광수</v>
      </c>
    </row>
    <row r="2071" spans="1:23" x14ac:dyDescent="0.4">
      <c r="A2071" t="s">
        <v>262</v>
      </c>
      <c r="B2071" t="s">
        <v>2394</v>
      </c>
      <c r="C2071" t="s">
        <v>2433</v>
      </c>
      <c r="D2071" t="s">
        <v>64</v>
      </c>
      <c r="E2071" t="s">
        <v>22</v>
      </c>
      <c r="F2071" t="s">
        <v>23</v>
      </c>
      <c r="G2071">
        <v>1</v>
      </c>
      <c r="H2071">
        <v>9791166300233</v>
      </c>
      <c r="I2071" t="s">
        <v>24</v>
      </c>
      <c r="J2071" t="s">
        <v>132</v>
      </c>
      <c r="K2071" t="s">
        <v>119</v>
      </c>
      <c r="L2071" t="s">
        <v>27</v>
      </c>
      <c r="M2071">
        <v>630</v>
      </c>
      <c r="N2071" t="s">
        <v>27</v>
      </c>
      <c r="O2071">
        <v>630</v>
      </c>
      <c r="P2071">
        <v>630</v>
      </c>
      <c r="Q2071" t="s">
        <v>30</v>
      </c>
      <c r="R2071" s="2">
        <v>0.7</v>
      </c>
      <c r="S2071">
        <v>441</v>
      </c>
      <c r="T2071" t="s">
        <v>27</v>
      </c>
      <c r="U2071">
        <v>441</v>
      </c>
      <c r="V2071" s="7" t="str">
        <f>IF(ISERROR(VLOOKUP(K2071,[1]작가별정산률!$R:$S,2,0)),"스토리위즈",VLOOKUP(K2071,[1]작가별정산률!$R:$S,2,0))</f>
        <v>스토리위즈</v>
      </c>
      <c r="W2071" s="7" t="str">
        <f>IF(V2071="스토리위즈",VLOOKUP(K2071,[1]작가별정산률!$A:$B,2,0),V2071)</f>
        <v>김광수</v>
      </c>
    </row>
    <row r="2072" spans="1:23" x14ac:dyDescent="0.4">
      <c r="A2072" t="s">
        <v>262</v>
      </c>
      <c r="B2072" t="s">
        <v>2394</v>
      </c>
      <c r="C2072" t="s">
        <v>2434</v>
      </c>
      <c r="D2072" t="s">
        <v>64</v>
      </c>
      <c r="E2072" t="s">
        <v>22</v>
      </c>
      <c r="F2072" t="s">
        <v>23</v>
      </c>
      <c r="G2072">
        <v>1</v>
      </c>
      <c r="H2072">
        <v>9791166061134</v>
      </c>
      <c r="I2072" t="s">
        <v>24</v>
      </c>
      <c r="J2072" t="s">
        <v>98</v>
      </c>
      <c r="K2072" t="s">
        <v>37</v>
      </c>
      <c r="L2072" t="s">
        <v>27</v>
      </c>
      <c r="M2072">
        <v>900</v>
      </c>
      <c r="N2072" t="s">
        <v>27</v>
      </c>
      <c r="O2072">
        <v>900</v>
      </c>
      <c r="P2072">
        <v>900</v>
      </c>
      <c r="Q2072" t="s">
        <v>30</v>
      </c>
      <c r="R2072" s="2">
        <v>0.7</v>
      </c>
      <c r="S2072">
        <v>630</v>
      </c>
      <c r="T2072" t="s">
        <v>27</v>
      </c>
      <c r="U2072">
        <v>630</v>
      </c>
      <c r="V2072" s="7" t="str">
        <f>IF(ISERROR(VLOOKUP(K2072,[1]작가별정산률!$R:$S,2,0)),"스토리위즈",VLOOKUP(K2072,[1]작가별정산률!$R:$S,2,0))</f>
        <v>스토리위즈</v>
      </c>
      <c r="W2072" s="7" t="str">
        <f>IF(V2072="스토리위즈",VLOOKUP(K2072,[1]작가별정산률!$A:$B,2,0),V2072)</f>
        <v>권용찬</v>
      </c>
    </row>
    <row r="2073" spans="1:23" x14ac:dyDescent="0.4">
      <c r="A2073" t="s">
        <v>262</v>
      </c>
      <c r="B2073" t="s">
        <v>2394</v>
      </c>
      <c r="C2073" t="s">
        <v>2435</v>
      </c>
      <c r="D2073" t="s">
        <v>21</v>
      </c>
      <c r="E2073" t="s">
        <v>22</v>
      </c>
      <c r="F2073" t="s">
        <v>23</v>
      </c>
      <c r="G2073">
        <v>1</v>
      </c>
      <c r="H2073">
        <v>9791189627843</v>
      </c>
      <c r="I2073" t="s">
        <v>143</v>
      </c>
      <c r="J2073" t="s">
        <v>1546</v>
      </c>
      <c r="K2073" t="s">
        <v>1035</v>
      </c>
      <c r="L2073" t="s">
        <v>27</v>
      </c>
      <c r="M2073" s="3">
        <v>3200</v>
      </c>
      <c r="N2073" t="s">
        <v>27</v>
      </c>
      <c r="O2073" s="3">
        <v>3200</v>
      </c>
      <c r="P2073" s="3">
        <v>3200</v>
      </c>
      <c r="Q2073" t="s">
        <v>30</v>
      </c>
      <c r="R2073" s="2">
        <v>0.7</v>
      </c>
      <c r="S2073" s="3">
        <v>2240</v>
      </c>
      <c r="T2073" t="s">
        <v>27</v>
      </c>
      <c r="U2073" s="3">
        <v>2240</v>
      </c>
      <c r="V2073" s="7" t="str">
        <f>IF(ISERROR(VLOOKUP(K2073,[1]작가별정산률!$R:$S,2,0)),"스토리위즈",VLOOKUP(K2073,[1]작가별정산률!$R:$S,2,0))</f>
        <v>스토리위즈</v>
      </c>
      <c r="W2073" s="7" t="str">
        <f>IF(V2073="스토리위즈",VLOOKUP(K2073,[1]작가별정산률!$A:$B,2,0),V2073)</f>
        <v>모리미</v>
      </c>
    </row>
    <row r="2074" spans="1:23" x14ac:dyDescent="0.4">
      <c r="A2074" t="s">
        <v>262</v>
      </c>
      <c r="B2074" t="s">
        <v>2394</v>
      </c>
      <c r="C2074" t="s">
        <v>2436</v>
      </c>
      <c r="D2074" t="s">
        <v>64</v>
      </c>
      <c r="E2074" t="s">
        <v>22</v>
      </c>
      <c r="F2074" t="s">
        <v>23</v>
      </c>
      <c r="G2074">
        <v>1</v>
      </c>
      <c r="H2074">
        <v>9791159284977</v>
      </c>
      <c r="I2074" t="s">
        <v>24</v>
      </c>
      <c r="J2074" t="s">
        <v>49</v>
      </c>
      <c r="K2074" t="s">
        <v>47</v>
      </c>
      <c r="L2074" t="s">
        <v>27</v>
      </c>
      <c r="M2074">
        <v>630</v>
      </c>
      <c r="N2074" t="s">
        <v>27</v>
      </c>
      <c r="O2074">
        <v>630</v>
      </c>
      <c r="P2074">
        <v>630</v>
      </c>
      <c r="Q2074" t="s">
        <v>30</v>
      </c>
      <c r="R2074" s="2">
        <v>0.7</v>
      </c>
      <c r="S2074">
        <v>441</v>
      </c>
      <c r="T2074" t="s">
        <v>27</v>
      </c>
      <c r="U2074">
        <v>441</v>
      </c>
      <c r="V2074" s="7" t="str">
        <f>IF(ISERROR(VLOOKUP(K2074,[1]작가별정산률!$R:$S,2,0)),"스토리위즈",VLOOKUP(K2074,[1]작가별정산률!$R:$S,2,0))</f>
        <v>스토리위즈</v>
      </c>
      <c r="W2074" s="7" t="str">
        <f>IF(V2074="스토리위즈",VLOOKUP(K2074,[1]작가별정산률!$A:$B,2,0),V2074)</f>
        <v>전혁</v>
      </c>
    </row>
    <row r="2075" spans="1:23" x14ac:dyDescent="0.4">
      <c r="A2075" t="s">
        <v>262</v>
      </c>
      <c r="B2075" t="s">
        <v>2394</v>
      </c>
      <c r="C2075" t="s">
        <v>2437</v>
      </c>
      <c r="D2075" t="s">
        <v>64</v>
      </c>
      <c r="E2075" t="s">
        <v>22</v>
      </c>
      <c r="F2075" t="s">
        <v>23</v>
      </c>
      <c r="G2075">
        <v>1</v>
      </c>
      <c r="H2075">
        <v>9791159283178</v>
      </c>
      <c r="I2075" t="s">
        <v>24</v>
      </c>
      <c r="J2075" t="s">
        <v>88</v>
      </c>
      <c r="K2075" t="s">
        <v>37</v>
      </c>
      <c r="L2075" t="s">
        <v>27</v>
      </c>
      <c r="M2075">
        <v>900</v>
      </c>
      <c r="N2075" t="s">
        <v>27</v>
      </c>
      <c r="O2075">
        <v>900</v>
      </c>
      <c r="P2075">
        <v>900</v>
      </c>
      <c r="Q2075" t="s">
        <v>30</v>
      </c>
      <c r="R2075" s="2">
        <v>0.7</v>
      </c>
      <c r="S2075">
        <v>630</v>
      </c>
      <c r="T2075" t="s">
        <v>27</v>
      </c>
      <c r="U2075">
        <v>630</v>
      </c>
      <c r="V2075" s="7" t="str">
        <f>IF(ISERROR(VLOOKUP(K2075,[1]작가별정산률!$R:$S,2,0)),"스토리위즈",VLOOKUP(K2075,[1]작가별정산률!$R:$S,2,0))</f>
        <v>스토리위즈</v>
      </c>
      <c r="W2075" s="7" t="str">
        <f>IF(V2075="스토리위즈",VLOOKUP(K2075,[1]작가별정산률!$A:$B,2,0),V2075)</f>
        <v>권용찬</v>
      </c>
    </row>
    <row r="2076" spans="1:23" x14ac:dyDescent="0.4">
      <c r="A2076" t="s">
        <v>262</v>
      </c>
      <c r="B2076" t="s">
        <v>2394</v>
      </c>
      <c r="C2076" t="s">
        <v>2438</v>
      </c>
      <c r="D2076" t="s">
        <v>21</v>
      </c>
      <c r="E2076" t="s">
        <v>22</v>
      </c>
      <c r="F2076" t="s">
        <v>23</v>
      </c>
      <c r="G2076">
        <v>1</v>
      </c>
      <c r="H2076">
        <v>9791191562125</v>
      </c>
      <c r="I2076" t="s">
        <v>143</v>
      </c>
      <c r="J2076" t="s">
        <v>212</v>
      </c>
      <c r="K2076" t="s">
        <v>213</v>
      </c>
      <c r="L2076" t="s">
        <v>27</v>
      </c>
      <c r="M2076" s="3">
        <v>2500</v>
      </c>
      <c r="N2076" t="s">
        <v>27</v>
      </c>
      <c r="O2076" s="3">
        <v>2500</v>
      </c>
      <c r="P2076" s="3">
        <v>2500</v>
      </c>
      <c r="Q2076" t="s">
        <v>30</v>
      </c>
      <c r="R2076" s="2">
        <v>0.7</v>
      </c>
      <c r="S2076" s="3">
        <v>1750</v>
      </c>
      <c r="T2076" t="s">
        <v>27</v>
      </c>
      <c r="U2076" s="3">
        <v>1750</v>
      </c>
      <c r="V2076" s="7" t="str">
        <f>IF(ISERROR(VLOOKUP(K2076,[1]작가별정산률!$R:$S,2,0)),"스토리위즈",VLOOKUP(K2076,[1]작가별정산률!$R:$S,2,0))</f>
        <v>밀리의 서재</v>
      </c>
      <c r="W2076" s="7" t="str">
        <f>IF(V2076="스토리위즈",VLOOKUP(K2076,[1]작가별정산률!$A:$B,2,0),V2076)</f>
        <v>밀리의 서재</v>
      </c>
    </row>
    <row r="2077" spans="1:23" x14ac:dyDescent="0.4">
      <c r="A2077" t="s">
        <v>262</v>
      </c>
      <c r="B2077" t="s">
        <v>2394</v>
      </c>
      <c r="C2077" t="s">
        <v>2439</v>
      </c>
      <c r="D2077" t="s">
        <v>21</v>
      </c>
      <c r="E2077" t="s">
        <v>22</v>
      </c>
      <c r="F2077" t="s">
        <v>23</v>
      </c>
      <c r="G2077">
        <v>1</v>
      </c>
      <c r="H2077">
        <v>9791191562286</v>
      </c>
      <c r="I2077" t="s">
        <v>143</v>
      </c>
      <c r="J2077" t="s">
        <v>238</v>
      </c>
      <c r="K2077" t="s">
        <v>239</v>
      </c>
      <c r="L2077" t="s">
        <v>27</v>
      </c>
      <c r="M2077" s="3">
        <v>2000</v>
      </c>
      <c r="N2077" t="s">
        <v>27</v>
      </c>
      <c r="O2077" s="3">
        <v>2000</v>
      </c>
      <c r="P2077" s="3">
        <v>2000</v>
      </c>
      <c r="Q2077" t="s">
        <v>30</v>
      </c>
      <c r="R2077" s="2">
        <v>0.7</v>
      </c>
      <c r="S2077" s="3">
        <v>1400</v>
      </c>
      <c r="T2077" t="s">
        <v>27</v>
      </c>
      <c r="U2077" s="3">
        <v>1400</v>
      </c>
      <c r="V2077" s="7" t="str">
        <f>IF(ISERROR(VLOOKUP(K2077,[1]작가별정산률!$R:$S,2,0)),"스토리위즈",VLOOKUP(K2077,[1]작가별정산률!$R:$S,2,0))</f>
        <v>밀리의 서재</v>
      </c>
      <c r="W2077" s="7" t="str">
        <f>IF(V2077="스토리위즈",VLOOKUP(K2077,[1]작가별정산률!$A:$B,2,0),V2077)</f>
        <v>밀리의 서재</v>
      </c>
    </row>
    <row r="2078" spans="1:23" x14ac:dyDescent="0.4">
      <c r="A2078" t="s">
        <v>262</v>
      </c>
      <c r="B2078" t="s">
        <v>2394</v>
      </c>
      <c r="C2078" t="s">
        <v>2440</v>
      </c>
      <c r="D2078" t="s">
        <v>64</v>
      </c>
      <c r="E2078" t="s">
        <v>22</v>
      </c>
      <c r="F2078" t="s">
        <v>23</v>
      </c>
      <c r="G2078">
        <v>1</v>
      </c>
      <c r="H2078">
        <v>9791166064067</v>
      </c>
      <c r="I2078" t="s">
        <v>24</v>
      </c>
      <c r="J2078" t="s">
        <v>81</v>
      </c>
      <c r="K2078" t="s">
        <v>37</v>
      </c>
      <c r="L2078" t="s">
        <v>27</v>
      </c>
      <c r="M2078">
        <v>900</v>
      </c>
      <c r="N2078" t="s">
        <v>27</v>
      </c>
      <c r="O2078">
        <v>900</v>
      </c>
      <c r="P2078">
        <v>900</v>
      </c>
      <c r="Q2078" t="s">
        <v>30</v>
      </c>
      <c r="R2078" s="2">
        <v>0.7</v>
      </c>
      <c r="S2078">
        <v>630</v>
      </c>
      <c r="T2078" t="s">
        <v>27</v>
      </c>
      <c r="U2078">
        <v>630</v>
      </c>
      <c r="V2078" s="7" t="str">
        <f>IF(ISERROR(VLOOKUP(K2078,[1]작가별정산률!$R:$S,2,0)),"스토리위즈",VLOOKUP(K2078,[1]작가별정산률!$R:$S,2,0))</f>
        <v>스토리위즈</v>
      </c>
      <c r="W2078" s="7" t="str">
        <f>IF(V2078="스토리위즈",VLOOKUP(K2078,[1]작가별정산률!$A:$B,2,0),V2078)</f>
        <v>권용찬</v>
      </c>
    </row>
    <row r="2079" spans="1:23" x14ac:dyDescent="0.4">
      <c r="A2079" t="s">
        <v>262</v>
      </c>
      <c r="B2079" t="s">
        <v>2394</v>
      </c>
      <c r="C2079" t="s">
        <v>2441</v>
      </c>
      <c r="D2079" t="s">
        <v>21</v>
      </c>
      <c r="E2079" t="s">
        <v>22</v>
      </c>
      <c r="F2079" t="s">
        <v>23</v>
      </c>
      <c r="G2079">
        <v>1</v>
      </c>
      <c r="H2079">
        <v>9791166300691</v>
      </c>
      <c r="I2079" t="s">
        <v>24</v>
      </c>
      <c r="J2079" t="s">
        <v>152</v>
      </c>
      <c r="K2079" t="s">
        <v>119</v>
      </c>
      <c r="L2079" t="s">
        <v>27</v>
      </c>
      <c r="M2079" s="3">
        <v>3200</v>
      </c>
      <c r="N2079" t="s">
        <v>27</v>
      </c>
      <c r="O2079" s="3">
        <v>3200</v>
      </c>
      <c r="P2079" s="3">
        <v>3200</v>
      </c>
      <c r="Q2079" t="s">
        <v>30</v>
      </c>
      <c r="R2079" s="2">
        <v>0.7</v>
      </c>
      <c r="S2079" s="3">
        <v>2240</v>
      </c>
      <c r="T2079" t="s">
        <v>27</v>
      </c>
      <c r="U2079" s="3">
        <v>2240</v>
      </c>
      <c r="V2079" s="7" t="str">
        <f>IF(ISERROR(VLOOKUP(K2079,[1]작가별정산률!$R:$S,2,0)),"스토리위즈",VLOOKUP(K2079,[1]작가별정산률!$R:$S,2,0))</f>
        <v>스토리위즈</v>
      </c>
      <c r="W2079" s="7" t="str">
        <f>IF(V2079="스토리위즈",VLOOKUP(K2079,[1]작가별정산률!$A:$B,2,0),V2079)</f>
        <v>김광수</v>
      </c>
    </row>
    <row r="2080" spans="1:23" x14ac:dyDescent="0.4">
      <c r="A2080" t="s">
        <v>262</v>
      </c>
      <c r="B2080" t="s">
        <v>2394</v>
      </c>
      <c r="C2080" t="s">
        <v>2442</v>
      </c>
      <c r="D2080" t="s">
        <v>64</v>
      </c>
      <c r="E2080" t="s">
        <v>22</v>
      </c>
      <c r="F2080" t="s">
        <v>23</v>
      </c>
      <c r="G2080">
        <v>1</v>
      </c>
      <c r="H2080">
        <v>9791166300127</v>
      </c>
      <c r="I2080" t="s">
        <v>24</v>
      </c>
      <c r="J2080" t="s">
        <v>122</v>
      </c>
      <c r="K2080" t="s">
        <v>119</v>
      </c>
      <c r="L2080" t="s">
        <v>27</v>
      </c>
      <c r="M2080">
        <v>630</v>
      </c>
      <c r="N2080" t="s">
        <v>27</v>
      </c>
      <c r="O2080">
        <v>630</v>
      </c>
      <c r="P2080">
        <v>630</v>
      </c>
      <c r="Q2080" t="s">
        <v>30</v>
      </c>
      <c r="R2080" s="2">
        <v>0.7</v>
      </c>
      <c r="S2080">
        <v>441</v>
      </c>
      <c r="T2080" t="s">
        <v>27</v>
      </c>
      <c r="U2080">
        <v>441</v>
      </c>
      <c r="V2080" s="7" t="str">
        <f>IF(ISERROR(VLOOKUP(K2080,[1]작가별정산률!$R:$S,2,0)),"스토리위즈",VLOOKUP(K2080,[1]작가별정산률!$R:$S,2,0))</f>
        <v>스토리위즈</v>
      </c>
      <c r="W2080" s="7" t="str">
        <f>IF(V2080="스토리위즈",VLOOKUP(K2080,[1]작가별정산률!$A:$B,2,0),V2080)</f>
        <v>김광수</v>
      </c>
    </row>
    <row r="2081" spans="1:23" x14ac:dyDescent="0.4">
      <c r="A2081" t="s">
        <v>262</v>
      </c>
      <c r="B2081" t="s">
        <v>2394</v>
      </c>
      <c r="C2081" t="s">
        <v>2443</v>
      </c>
      <c r="D2081" t="s">
        <v>64</v>
      </c>
      <c r="E2081" t="s">
        <v>22</v>
      </c>
      <c r="F2081" t="s">
        <v>23</v>
      </c>
      <c r="G2081">
        <v>1</v>
      </c>
      <c r="H2081">
        <v>9791166300554</v>
      </c>
      <c r="I2081" t="s">
        <v>24</v>
      </c>
      <c r="J2081" t="s">
        <v>154</v>
      </c>
      <c r="K2081" t="s">
        <v>119</v>
      </c>
      <c r="L2081" t="s">
        <v>27</v>
      </c>
      <c r="M2081">
        <v>630</v>
      </c>
      <c r="N2081" t="s">
        <v>27</v>
      </c>
      <c r="O2081">
        <v>630</v>
      </c>
      <c r="P2081">
        <v>630</v>
      </c>
      <c r="Q2081" t="s">
        <v>30</v>
      </c>
      <c r="R2081" s="2">
        <v>0.7</v>
      </c>
      <c r="S2081">
        <v>441</v>
      </c>
      <c r="T2081" t="s">
        <v>27</v>
      </c>
      <c r="U2081">
        <v>441</v>
      </c>
      <c r="V2081" s="7" t="str">
        <f>IF(ISERROR(VLOOKUP(K2081,[1]작가별정산률!$R:$S,2,0)),"스토리위즈",VLOOKUP(K2081,[1]작가별정산률!$R:$S,2,0))</f>
        <v>스토리위즈</v>
      </c>
      <c r="W2081" s="7" t="str">
        <f>IF(V2081="스토리위즈",VLOOKUP(K2081,[1]작가별정산률!$A:$B,2,0),V2081)</f>
        <v>김광수</v>
      </c>
    </row>
    <row r="2082" spans="1:23" x14ac:dyDescent="0.4">
      <c r="A2082" t="s">
        <v>262</v>
      </c>
      <c r="B2082" t="s">
        <v>2394</v>
      </c>
      <c r="C2082" t="s">
        <v>2444</v>
      </c>
      <c r="D2082" t="s">
        <v>64</v>
      </c>
      <c r="E2082" t="s">
        <v>22</v>
      </c>
      <c r="F2082" t="s">
        <v>23</v>
      </c>
      <c r="G2082">
        <v>1</v>
      </c>
      <c r="H2082">
        <v>9791166300288</v>
      </c>
      <c r="I2082" t="s">
        <v>24</v>
      </c>
      <c r="J2082" t="s">
        <v>137</v>
      </c>
      <c r="K2082" t="s">
        <v>119</v>
      </c>
      <c r="L2082" t="s">
        <v>27</v>
      </c>
      <c r="M2082">
        <v>630</v>
      </c>
      <c r="N2082" t="s">
        <v>27</v>
      </c>
      <c r="O2082">
        <v>630</v>
      </c>
      <c r="P2082">
        <v>630</v>
      </c>
      <c r="Q2082" t="s">
        <v>30</v>
      </c>
      <c r="R2082" s="2">
        <v>0.7</v>
      </c>
      <c r="S2082">
        <v>441</v>
      </c>
      <c r="T2082" t="s">
        <v>27</v>
      </c>
      <c r="U2082">
        <v>441</v>
      </c>
      <c r="V2082" s="7" t="str">
        <f>IF(ISERROR(VLOOKUP(K2082,[1]작가별정산률!$R:$S,2,0)),"스토리위즈",VLOOKUP(K2082,[1]작가별정산률!$R:$S,2,0))</f>
        <v>스토리위즈</v>
      </c>
      <c r="W2082" s="7" t="str">
        <f>IF(V2082="스토리위즈",VLOOKUP(K2082,[1]작가별정산률!$A:$B,2,0),V2082)</f>
        <v>김광수</v>
      </c>
    </row>
    <row r="2083" spans="1:23" x14ac:dyDescent="0.4">
      <c r="A2083" t="s">
        <v>262</v>
      </c>
      <c r="B2083" t="s">
        <v>2394</v>
      </c>
      <c r="C2083" t="s">
        <v>2445</v>
      </c>
      <c r="D2083" t="s">
        <v>64</v>
      </c>
      <c r="E2083" t="s">
        <v>22</v>
      </c>
      <c r="F2083" t="s">
        <v>23</v>
      </c>
      <c r="G2083">
        <v>1</v>
      </c>
      <c r="H2083">
        <v>9791166300479</v>
      </c>
      <c r="I2083" t="s">
        <v>24</v>
      </c>
      <c r="J2083" t="s">
        <v>145</v>
      </c>
      <c r="K2083" t="s">
        <v>119</v>
      </c>
      <c r="L2083" t="s">
        <v>27</v>
      </c>
      <c r="M2083">
        <v>630</v>
      </c>
      <c r="N2083" t="s">
        <v>27</v>
      </c>
      <c r="O2083">
        <v>630</v>
      </c>
      <c r="P2083">
        <v>630</v>
      </c>
      <c r="Q2083" t="s">
        <v>30</v>
      </c>
      <c r="R2083" s="2">
        <v>0.7</v>
      </c>
      <c r="S2083">
        <v>441</v>
      </c>
      <c r="T2083" t="s">
        <v>27</v>
      </c>
      <c r="U2083">
        <v>441</v>
      </c>
      <c r="V2083" s="7" t="str">
        <f>IF(ISERROR(VLOOKUP(K2083,[1]작가별정산률!$R:$S,2,0)),"스토리위즈",VLOOKUP(K2083,[1]작가별정산률!$R:$S,2,0))</f>
        <v>스토리위즈</v>
      </c>
      <c r="W2083" s="7" t="str">
        <f>IF(V2083="스토리위즈",VLOOKUP(K2083,[1]작가별정산률!$A:$B,2,0),V2083)</f>
        <v>김광수</v>
      </c>
    </row>
    <row r="2084" spans="1:23" x14ac:dyDescent="0.4">
      <c r="A2084" t="s">
        <v>262</v>
      </c>
      <c r="B2084" t="s">
        <v>2394</v>
      </c>
      <c r="C2084" t="s">
        <v>2446</v>
      </c>
      <c r="D2084" t="s">
        <v>64</v>
      </c>
      <c r="E2084" t="s">
        <v>22</v>
      </c>
      <c r="F2084" t="s">
        <v>23</v>
      </c>
      <c r="G2084">
        <v>1</v>
      </c>
      <c r="H2084">
        <v>9791166064395</v>
      </c>
      <c r="I2084" t="s">
        <v>24</v>
      </c>
      <c r="J2084" t="s">
        <v>104</v>
      </c>
      <c r="K2084" t="s">
        <v>102</v>
      </c>
      <c r="L2084" t="s">
        <v>27</v>
      </c>
      <c r="M2084">
        <v>720</v>
      </c>
      <c r="N2084" t="s">
        <v>27</v>
      </c>
      <c r="O2084">
        <v>720</v>
      </c>
      <c r="P2084">
        <v>720</v>
      </c>
      <c r="Q2084" t="s">
        <v>30</v>
      </c>
      <c r="R2084" s="2">
        <v>0.7</v>
      </c>
      <c r="S2084">
        <v>504</v>
      </c>
      <c r="T2084" t="s">
        <v>27</v>
      </c>
      <c r="U2084">
        <v>504</v>
      </c>
      <c r="V2084" s="7" t="str">
        <f>IF(ISERROR(VLOOKUP(K2084,[1]작가별정산률!$R:$S,2,0)),"스토리위즈",VLOOKUP(K2084,[1]작가별정산률!$R:$S,2,0))</f>
        <v>스토리위즈</v>
      </c>
      <c r="W2084" s="7" t="str">
        <f>IF(V2084="스토리위즈",VLOOKUP(K2084,[1]작가별정산률!$A:$B,2,0),V2084)</f>
        <v>예로나</v>
      </c>
    </row>
    <row r="2085" spans="1:23" x14ac:dyDescent="0.4">
      <c r="A2085" t="s">
        <v>262</v>
      </c>
      <c r="B2085" t="s">
        <v>2394</v>
      </c>
      <c r="C2085" t="s">
        <v>2447</v>
      </c>
      <c r="D2085" t="s">
        <v>64</v>
      </c>
      <c r="E2085" t="s">
        <v>22</v>
      </c>
      <c r="F2085" t="s">
        <v>23</v>
      </c>
      <c r="G2085">
        <v>1</v>
      </c>
      <c r="H2085">
        <v>9791166300134</v>
      </c>
      <c r="I2085" t="s">
        <v>24</v>
      </c>
      <c r="J2085" t="s">
        <v>123</v>
      </c>
      <c r="K2085" t="s">
        <v>119</v>
      </c>
      <c r="L2085" t="s">
        <v>27</v>
      </c>
      <c r="M2085">
        <v>630</v>
      </c>
      <c r="N2085" t="s">
        <v>27</v>
      </c>
      <c r="O2085">
        <v>630</v>
      </c>
      <c r="P2085">
        <v>630</v>
      </c>
      <c r="Q2085" t="s">
        <v>30</v>
      </c>
      <c r="R2085" s="2">
        <v>0.7</v>
      </c>
      <c r="S2085">
        <v>441</v>
      </c>
      <c r="T2085" t="s">
        <v>27</v>
      </c>
      <c r="U2085">
        <v>441</v>
      </c>
      <c r="V2085" s="7" t="str">
        <f>IF(ISERROR(VLOOKUP(K2085,[1]작가별정산률!$R:$S,2,0)),"스토리위즈",VLOOKUP(K2085,[1]작가별정산률!$R:$S,2,0))</f>
        <v>스토리위즈</v>
      </c>
      <c r="W2085" s="7" t="str">
        <f>IF(V2085="스토리위즈",VLOOKUP(K2085,[1]작가별정산률!$A:$B,2,0),V2085)</f>
        <v>김광수</v>
      </c>
    </row>
    <row r="2086" spans="1:23" x14ac:dyDescent="0.4">
      <c r="A2086" t="s">
        <v>262</v>
      </c>
      <c r="B2086" t="s">
        <v>2394</v>
      </c>
      <c r="C2086" t="s">
        <v>2448</v>
      </c>
      <c r="D2086" t="s">
        <v>64</v>
      </c>
      <c r="E2086" t="s">
        <v>22</v>
      </c>
      <c r="F2086" t="s">
        <v>23</v>
      </c>
      <c r="G2086">
        <v>1</v>
      </c>
      <c r="H2086">
        <v>9791166300165</v>
      </c>
      <c r="I2086" t="s">
        <v>24</v>
      </c>
      <c r="J2086" t="s">
        <v>126</v>
      </c>
      <c r="K2086" t="s">
        <v>119</v>
      </c>
      <c r="L2086" t="s">
        <v>27</v>
      </c>
      <c r="M2086">
        <v>630</v>
      </c>
      <c r="N2086" t="s">
        <v>27</v>
      </c>
      <c r="O2086">
        <v>630</v>
      </c>
      <c r="P2086">
        <v>630</v>
      </c>
      <c r="Q2086" t="s">
        <v>30</v>
      </c>
      <c r="R2086" s="2">
        <v>0.7</v>
      </c>
      <c r="S2086">
        <v>441</v>
      </c>
      <c r="T2086" t="s">
        <v>27</v>
      </c>
      <c r="U2086">
        <v>441</v>
      </c>
      <c r="V2086" s="7" t="str">
        <f>IF(ISERROR(VLOOKUP(K2086,[1]작가별정산률!$R:$S,2,0)),"스토리위즈",VLOOKUP(K2086,[1]작가별정산률!$R:$S,2,0))</f>
        <v>스토리위즈</v>
      </c>
      <c r="W2086" s="7" t="str">
        <f>IF(V2086="스토리위즈",VLOOKUP(K2086,[1]작가별정산률!$A:$B,2,0),V2086)</f>
        <v>김광수</v>
      </c>
    </row>
    <row r="2087" spans="1:23" x14ac:dyDescent="0.4">
      <c r="A2087" t="s">
        <v>262</v>
      </c>
      <c r="B2087" t="s">
        <v>2394</v>
      </c>
      <c r="C2087" t="s">
        <v>2449</v>
      </c>
      <c r="D2087" t="s">
        <v>64</v>
      </c>
      <c r="E2087" t="s">
        <v>22</v>
      </c>
      <c r="F2087" t="s">
        <v>23</v>
      </c>
      <c r="G2087">
        <v>1</v>
      </c>
      <c r="H2087">
        <v>9791166300103</v>
      </c>
      <c r="I2087" t="s">
        <v>24</v>
      </c>
      <c r="J2087" t="s">
        <v>120</v>
      </c>
      <c r="K2087" t="s">
        <v>119</v>
      </c>
      <c r="L2087" t="s">
        <v>27</v>
      </c>
      <c r="M2087">
        <v>630</v>
      </c>
      <c r="N2087" t="s">
        <v>27</v>
      </c>
      <c r="O2087">
        <v>630</v>
      </c>
      <c r="P2087">
        <v>630</v>
      </c>
      <c r="Q2087" t="s">
        <v>30</v>
      </c>
      <c r="R2087" s="2">
        <v>0.7</v>
      </c>
      <c r="S2087">
        <v>441</v>
      </c>
      <c r="T2087" t="s">
        <v>27</v>
      </c>
      <c r="U2087">
        <v>441</v>
      </c>
      <c r="V2087" s="7" t="str">
        <f>IF(ISERROR(VLOOKUP(K2087,[1]작가별정산률!$R:$S,2,0)),"스토리위즈",VLOOKUP(K2087,[1]작가별정산률!$R:$S,2,0))</f>
        <v>스토리위즈</v>
      </c>
      <c r="W2087" s="7" t="str">
        <f>IF(V2087="스토리위즈",VLOOKUP(K2087,[1]작가별정산률!$A:$B,2,0),V2087)</f>
        <v>김광수</v>
      </c>
    </row>
    <row r="2088" spans="1:23" x14ac:dyDescent="0.4">
      <c r="A2088" t="s">
        <v>262</v>
      </c>
      <c r="B2088" t="s">
        <v>2394</v>
      </c>
      <c r="C2088" t="s">
        <v>2450</v>
      </c>
      <c r="D2088" t="s">
        <v>64</v>
      </c>
      <c r="E2088" t="s">
        <v>22</v>
      </c>
      <c r="F2088" t="s">
        <v>23</v>
      </c>
      <c r="G2088">
        <v>1</v>
      </c>
      <c r="H2088">
        <v>9791166064418</v>
      </c>
      <c r="I2088" t="s">
        <v>24</v>
      </c>
      <c r="J2088" t="s">
        <v>112</v>
      </c>
      <c r="K2088" t="s">
        <v>102</v>
      </c>
      <c r="L2088" t="s">
        <v>27</v>
      </c>
      <c r="M2088">
        <v>720</v>
      </c>
      <c r="N2088" t="s">
        <v>28</v>
      </c>
      <c r="O2088">
        <v>0.59</v>
      </c>
      <c r="P2088">
        <v>0.59</v>
      </c>
      <c r="Q2088" t="s">
        <v>29</v>
      </c>
      <c r="R2088" s="2">
        <v>0.7</v>
      </c>
      <c r="S2088">
        <v>0.41</v>
      </c>
      <c r="T2088" t="s">
        <v>27</v>
      </c>
      <c r="U2088">
        <v>508</v>
      </c>
      <c r="V2088" s="7" t="str">
        <f>IF(ISERROR(VLOOKUP(K2088,[1]작가별정산률!$R:$S,2,0)),"스토리위즈",VLOOKUP(K2088,[1]작가별정산률!$R:$S,2,0))</f>
        <v>스토리위즈</v>
      </c>
      <c r="W2088" s="7" t="str">
        <f>IF(V2088="스토리위즈",VLOOKUP(K2088,[1]작가별정산률!$A:$B,2,0),V2088)</f>
        <v>예로나</v>
      </c>
    </row>
    <row r="2089" spans="1:23" x14ac:dyDescent="0.4">
      <c r="A2089" t="s">
        <v>262</v>
      </c>
      <c r="B2089" t="s">
        <v>2394</v>
      </c>
      <c r="C2089" t="s">
        <v>2451</v>
      </c>
      <c r="D2089" t="s">
        <v>64</v>
      </c>
      <c r="E2089" t="s">
        <v>22</v>
      </c>
      <c r="F2089" t="s">
        <v>23</v>
      </c>
      <c r="G2089">
        <v>1</v>
      </c>
      <c r="H2089">
        <v>9791159283215</v>
      </c>
      <c r="I2089" t="s">
        <v>24</v>
      </c>
      <c r="J2089" t="s">
        <v>103</v>
      </c>
      <c r="K2089" t="s">
        <v>37</v>
      </c>
      <c r="L2089" t="s">
        <v>27</v>
      </c>
      <c r="M2089">
        <v>630</v>
      </c>
      <c r="N2089" t="s">
        <v>27</v>
      </c>
      <c r="O2089">
        <v>630</v>
      </c>
      <c r="P2089">
        <v>630</v>
      </c>
      <c r="Q2089" t="s">
        <v>30</v>
      </c>
      <c r="R2089" s="2">
        <v>0.7</v>
      </c>
      <c r="S2089">
        <v>441</v>
      </c>
      <c r="T2089" t="s">
        <v>27</v>
      </c>
      <c r="U2089">
        <v>441</v>
      </c>
      <c r="V2089" s="7" t="str">
        <f>IF(ISERROR(VLOOKUP(K2089,[1]작가별정산률!$R:$S,2,0)),"스토리위즈",VLOOKUP(K2089,[1]작가별정산률!$R:$S,2,0))</f>
        <v>스토리위즈</v>
      </c>
      <c r="W2089" s="7" t="str">
        <f>IF(V2089="스토리위즈",VLOOKUP(K2089,[1]작가별정산률!$A:$B,2,0),V2089)</f>
        <v>권용찬</v>
      </c>
    </row>
    <row r="2090" spans="1:23" x14ac:dyDescent="0.4">
      <c r="A2090" t="s">
        <v>262</v>
      </c>
      <c r="B2090" t="s">
        <v>2394</v>
      </c>
      <c r="C2090" t="s">
        <v>2452</v>
      </c>
      <c r="D2090" t="s">
        <v>64</v>
      </c>
      <c r="E2090" t="s">
        <v>22</v>
      </c>
      <c r="F2090" t="s">
        <v>23</v>
      </c>
      <c r="G2090">
        <v>1</v>
      </c>
      <c r="H2090">
        <v>9791166061103</v>
      </c>
      <c r="I2090" t="s">
        <v>24</v>
      </c>
      <c r="J2090" t="s">
        <v>96</v>
      </c>
      <c r="K2090" t="s">
        <v>37</v>
      </c>
      <c r="L2090" t="s">
        <v>27</v>
      </c>
      <c r="M2090">
        <v>900</v>
      </c>
      <c r="N2090" t="s">
        <v>27</v>
      </c>
      <c r="O2090">
        <v>900</v>
      </c>
      <c r="P2090">
        <v>900</v>
      </c>
      <c r="Q2090" t="s">
        <v>30</v>
      </c>
      <c r="R2090" s="2">
        <v>0.7</v>
      </c>
      <c r="S2090">
        <v>630</v>
      </c>
      <c r="T2090" t="s">
        <v>27</v>
      </c>
      <c r="U2090">
        <v>630</v>
      </c>
      <c r="V2090" s="7" t="str">
        <f>IF(ISERROR(VLOOKUP(K2090,[1]작가별정산률!$R:$S,2,0)),"스토리위즈",VLOOKUP(K2090,[1]작가별정산률!$R:$S,2,0))</f>
        <v>스토리위즈</v>
      </c>
      <c r="W2090" s="7" t="str">
        <f>IF(V2090="스토리위즈",VLOOKUP(K2090,[1]작가별정산률!$A:$B,2,0),V2090)</f>
        <v>권용찬</v>
      </c>
    </row>
    <row r="2091" spans="1:23" x14ac:dyDescent="0.4">
      <c r="A2091" t="s">
        <v>262</v>
      </c>
      <c r="B2091" t="s">
        <v>2394</v>
      </c>
      <c r="C2091" t="s">
        <v>2453</v>
      </c>
      <c r="D2091" t="s">
        <v>64</v>
      </c>
      <c r="E2091" t="s">
        <v>22</v>
      </c>
      <c r="F2091" t="s">
        <v>23</v>
      </c>
      <c r="G2091">
        <v>1</v>
      </c>
      <c r="H2091">
        <v>9791166300172</v>
      </c>
      <c r="I2091" t="s">
        <v>24</v>
      </c>
      <c r="J2091" t="s">
        <v>127</v>
      </c>
      <c r="K2091" t="s">
        <v>119</v>
      </c>
      <c r="L2091" t="s">
        <v>27</v>
      </c>
      <c r="M2091">
        <v>630</v>
      </c>
      <c r="N2091" t="s">
        <v>27</v>
      </c>
      <c r="O2091">
        <v>630</v>
      </c>
      <c r="P2091">
        <v>630</v>
      </c>
      <c r="Q2091" t="s">
        <v>30</v>
      </c>
      <c r="R2091" s="2">
        <v>0.7</v>
      </c>
      <c r="S2091">
        <v>441</v>
      </c>
      <c r="T2091" t="s">
        <v>27</v>
      </c>
      <c r="U2091">
        <v>441</v>
      </c>
      <c r="V2091" s="7" t="str">
        <f>IF(ISERROR(VLOOKUP(K2091,[1]작가별정산률!$R:$S,2,0)),"스토리위즈",VLOOKUP(K2091,[1]작가별정산률!$R:$S,2,0))</f>
        <v>스토리위즈</v>
      </c>
      <c r="W2091" s="7" t="str">
        <f>IF(V2091="스토리위즈",VLOOKUP(K2091,[1]작가별정산률!$A:$B,2,0),V2091)</f>
        <v>김광수</v>
      </c>
    </row>
    <row r="2092" spans="1:23" x14ac:dyDescent="0.4">
      <c r="A2092" t="s">
        <v>262</v>
      </c>
      <c r="B2092" t="s">
        <v>2394</v>
      </c>
      <c r="C2092" t="s">
        <v>2454</v>
      </c>
      <c r="D2092" t="s">
        <v>64</v>
      </c>
      <c r="E2092" t="s">
        <v>22</v>
      </c>
      <c r="F2092" t="s">
        <v>23</v>
      </c>
      <c r="G2092">
        <v>1</v>
      </c>
      <c r="H2092">
        <v>9791166061134</v>
      </c>
      <c r="I2092" t="s">
        <v>24</v>
      </c>
      <c r="J2092" t="s">
        <v>98</v>
      </c>
      <c r="K2092" t="s">
        <v>37</v>
      </c>
      <c r="L2092" t="s">
        <v>27</v>
      </c>
      <c r="M2092">
        <v>900</v>
      </c>
      <c r="N2092" t="s">
        <v>27</v>
      </c>
      <c r="O2092">
        <v>900</v>
      </c>
      <c r="P2092">
        <v>900</v>
      </c>
      <c r="Q2092" t="s">
        <v>30</v>
      </c>
      <c r="R2092" s="2">
        <v>0.7</v>
      </c>
      <c r="S2092">
        <v>630</v>
      </c>
      <c r="T2092" t="s">
        <v>27</v>
      </c>
      <c r="U2092">
        <v>630</v>
      </c>
      <c r="V2092" s="7" t="str">
        <f>IF(ISERROR(VLOOKUP(K2092,[1]작가별정산률!$R:$S,2,0)),"스토리위즈",VLOOKUP(K2092,[1]작가별정산률!$R:$S,2,0))</f>
        <v>스토리위즈</v>
      </c>
      <c r="W2092" s="7" t="str">
        <f>IF(V2092="스토리위즈",VLOOKUP(K2092,[1]작가별정산률!$A:$B,2,0),V2092)</f>
        <v>권용찬</v>
      </c>
    </row>
    <row r="2093" spans="1:23" x14ac:dyDescent="0.4">
      <c r="A2093" t="s">
        <v>262</v>
      </c>
      <c r="B2093" t="s">
        <v>2394</v>
      </c>
      <c r="C2093" t="s">
        <v>2455</v>
      </c>
      <c r="D2093" t="s">
        <v>64</v>
      </c>
      <c r="E2093" t="s">
        <v>22</v>
      </c>
      <c r="F2093" t="s">
        <v>23</v>
      </c>
      <c r="G2093">
        <v>1</v>
      </c>
      <c r="H2093">
        <v>9791159283260</v>
      </c>
      <c r="I2093" t="s">
        <v>24</v>
      </c>
      <c r="J2093" t="s">
        <v>69</v>
      </c>
      <c r="K2093" t="s">
        <v>37</v>
      </c>
      <c r="L2093" t="s">
        <v>27</v>
      </c>
      <c r="M2093">
        <v>630</v>
      </c>
      <c r="N2093" t="s">
        <v>27</v>
      </c>
      <c r="O2093">
        <v>630</v>
      </c>
      <c r="P2093">
        <v>630</v>
      </c>
      <c r="Q2093" t="s">
        <v>30</v>
      </c>
      <c r="R2093" s="2">
        <v>0.7</v>
      </c>
      <c r="S2093">
        <v>441</v>
      </c>
      <c r="T2093" t="s">
        <v>27</v>
      </c>
      <c r="U2093">
        <v>441</v>
      </c>
      <c r="V2093" s="7" t="str">
        <f>IF(ISERROR(VLOOKUP(K2093,[1]작가별정산률!$R:$S,2,0)),"스토리위즈",VLOOKUP(K2093,[1]작가별정산률!$R:$S,2,0))</f>
        <v>스토리위즈</v>
      </c>
      <c r="W2093" s="7" t="str">
        <f>IF(V2093="스토리위즈",VLOOKUP(K2093,[1]작가별정산률!$A:$B,2,0),V2093)</f>
        <v>권용찬</v>
      </c>
    </row>
    <row r="2094" spans="1:23" x14ac:dyDescent="0.4">
      <c r="A2094" t="s">
        <v>262</v>
      </c>
      <c r="B2094" t="s">
        <v>2394</v>
      </c>
      <c r="C2094" t="s">
        <v>2456</v>
      </c>
      <c r="D2094" t="s">
        <v>64</v>
      </c>
      <c r="E2094" t="s">
        <v>22</v>
      </c>
      <c r="F2094" t="s">
        <v>23</v>
      </c>
      <c r="G2094">
        <v>1</v>
      </c>
      <c r="H2094">
        <v>9791166300516</v>
      </c>
      <c r="I2094" t="s">
        <v>24</v>
      </c>
      <c r="J2094" t="s">
        <v>149</v>
      </c>
      <c r="K2094" t="s">
        <v>119</v>
      </c>
      <c r="L2094" t="s">
        <v>27</v>
      </c>
      <c r="M2094">
        <v>630</v>
      </c>
      <c r="N2094" t="s">
        <v>27</v>
      </c>
      <c r="O2094">
        <v>630</v>
      </c>
      <c r="P2094">
        <v>630</v>
      </c>
      <c r="Q2094" t="s">
        <v>30</v>
      </c>
      <c r="R2094" s="2">
        <v>0.7</v>
      </c>
      <c r="S2094">
        <v>441</v>
      </c>
      <c r="T2094" t="s">
        <v>27</v>
      </c>
      <c r="U2094">
        <v>441</v>
      </c>
      <c r="V2094" s="7" t="str">
        <f>IF(ISERROR(VLOOKUP(K2094,[1]작가별정산률!$R:$S,2,0)),"스토리위즈",VLOOKUP(K2094,[1]작가별정산률!$R:$S,2,0))</f>
        <v>스토리위즈</v>
      </c>
      <c r="W2094" s="7" t="str">
        <f>IF(V2094="스토리위즈",VLOOKUP(K2094,[1]작가별정산률!$A:$B,2,0),V2094)</f>
        <v>김광수</v>
      </c>
    </row>
    <row r="2095" spans="1:23" x14ac:dyDescent="0.4">
      <c r="A2095" t="s">
        <v>262</v>
      </c>
      <c r="B2095" t="s">
        <v>2394</v>
      </c>
      <c r="C2095" t="s">
        <v>2457</v>
      </c>
      <c r="D2095" t="s">
        <v>64</v>
      </c>
      <c r="E2095" t="s">
        <v>22</v>
      </c>
      <c r="F2095" t="s">
        <v>23</v>
      </c>
      <c r="G2095">
        <v>1</v>
      </c>
      <c r="H2095">
        <v>9791166064395</v>
      </c>
      <c r="I2095" t="s">
        <v>24</v>
      </c>
      <c r="J2095" t="s">
        <v>104</v>
      </c>
      <c r="K2095" t="s">
        <v>102</v>
      </c>
      <c r="L2095" t="s">
        <v>27</v>
      </c>
      <c r="M2095">
        <v>720</v>
      </c>
      <c r="N2095" t="s">
        <v>27</v>
      </c>
      <c r="O2095">
        <v>720</v>
      </c>
      <c r="P2095">
        <v>720</v>
      </c>
      <c r="Q2095" t="s">
        <v>30</v>
      </c>
      <c r="R2095" s="2">
        <v>0.7</v>
      </c>
      <c r="S2095">
        <v>504</v>
      </c>
      <c r="T2095" t="s">
        <v>27</v>
      </c>
      <c r="U2095">
        <v>504</v>
      </c>
      <c r="V2095" s="7" t="str">
        <f>IF(ISERROR(VLOOKUP(K2095,[1]작가별정산률!$R:$S,2,0)),"스토리위즈",VLOOKUP(K2095,[1]작가별정산률!$R:$S,2,0))</f>
        <v>스토리위즈</v>
      </c>
      <c r="W2095" s="7" t="str">
        <f>IF(V2095="스토리위즈",VLOOKUP(K2095,[1]작가별정산률!$A:$B,2,0),V2095)</f>
        <v>예로나</v>
      </c>
    </row>
    <row r="2096" spans="1:23" x14ac:dyDescent="0.4">
      <c r="A2096" t="s">
        <v>262</v>
      </c>
      <c r="B2096" t="s">
        <v>2394</v>
      </c>
      <c r="C2096" t="s">
        <v>2458</v>
      </c>
      <c r="D2096" t="s">
        <v>21</v>
      </c>
      <c r="E2096" t="s">
        <v>22</v>
      </c>
      <c r="F2096" t="s">
        <v>23</v>
      </c>
      <c r="G2096">
        <v>1</v>
      </c>
      <c r="H2096">
        <v>9791189627881</v>
      </c>
      <c r="I2096" t="s">
        <v>143</v>
      </c>
      <c r="J2096" t="s">
        <v>1909</v>
      </c>
      <c r="K2096" t="s">
        <v>1035</v>
      </c>
      <c r="L2096" t="s">
        <v>27</v>
      </c>
      <c r="M2096" s="3">
        <v>2800</v>
      </c>
      <c r="N2096" t="s">
        <v>27</v>
      </c>
      <c r="O2096" s="3">
        <v>2800</v>
      </c>
      <c r="P2096" s="3">
        <v>2800</v>
      </c>
      <c r="Q2096" t="s">
        <v>30</v>
      </c>
      <c r="R2096" s="2">
        <v>0.7</v>
      </c>
      <c r="S2096" s="3">
        <v>1960</v>
      </c>
      <c r="T2096" t="s">
        <v>27</v>
      </c>
      <c r="U2096" s="3">
        <v>1960</v>
      </c>
      <c r="V2096" s="7" t="str">
        <f>IF(ISERROR(VLOOKUP(K2096,[1]작가별정산률!$R:$S,2,0)),"스토리위즈",VLOOKUP(K2096,[1]작가별정산률!$R:$S,2,0))</f>
        <v>스토리위즈</v>
      </c>
      <c r="W2096" s="7" t="str">
        <f>IF(V2096="스토리위즈",VLOOKUP(K2096,[1]작가별정산률!$A:$B,2,0),V2096)</f>
        <v>모리미</v>
      </c>
    </row>
    <row r="2097" spans="1:23" x14ac:dyDescent="0.4">
      <c r="A2097" t="s">
        <v>262</v>
      </c>
      <c r="B2097" t="s">
        <v>2394</v>
      </c>
      <c r="C2097" t="s">
        <v>2459</v>
      </c>
      <c r="D2097" t="s">
        <v>21</v>
      </c>
      <c r="E2097" t="s">
        <v>22</v>
      </c>
      <c r="F2097" t="s">
        <v>23</v>
      </c>
      <c r="G2097">
        <v>1</v>
      </c>
      <c r="H2097">
        <v>9791189084837</v>
      </c>
      <c r="I2097" t="s">
        <v>143</v>
      </c>
      <c r="J2097" t="s">
        <v>1921</v>
      </c>
      <c r="K2097" t="s">
        <v>1378</v>
      </c>
      <c r="L2097" t="s">
        <v>27</v>
      </c>
      <c r="M2097">
        <v>400</v>
      </c>
      <c r="N2097" t="s">
        <v>27</v>
      </c>
      <c r="O2097">
        <v>400</v>
      </c>
      <c r="P2097">
        <v>400</v>
      </c>
      <c r="Q2097" t="s">
        <v>30</v>
      </c>
      <c r="R2097" s="2">
        <v>0.7</v>
      </c>
      <c r="S2097">
        <v>280</v>
      </c>
      <c r="T2097" t="s">
        <v>27</v>
      </c>
      <c r="U2097">
        <v>280</v>
      </c>
      <c r="V2097" s="7" t="str">
        <f>IF(ISERROR(VLOOKUP(K2097,[1]작가별정산률!$R:$S,2,0)),"스토리위즈",VLOOKUP(K2097,[1]작가별정산률!$R:$S,2,0))</f>
        <v>스토리위즈</v>
      </c>
      <c r="W2097" s="7" t="str">
        <f>IF(V2097="스토리위즈",VLOOKUP(K2097,[1]작가별정산률!$A:$B,2,0),V2097)</f>
        <v>밈스</v>
      </c>
    </row>
    <row r="2098" spans="1:23" x14ac:dyDescent="0.4">
      <c r="A2098" t="s">
        <v>262</v>
      </c>
      <c r="B2098" t="s">
        <v>2394</v>
      </c>
      <c r="C2098" t="s">
        <v>2460</v>
      </c>
      <c r="D2098" t="s">
        <v>21</v>
      </c>
      <c r="E2098" t="s">
        <v>22</v>
      </c>
      <c r="F2098" t="s">
        <v>23</v>
      </c>
      <c r="G2098">
        <v>1</v>
      </c>
      <c r="H2098">
        <v>9791164372546</v>
      </c>
      <c r="I2098" t="s">
        <v>143</v>
      </c>
      <c r="J2098" t="s">
        <v>2375</v>
      </c>
      <c r="K2098" t="s">
        <v>1378</v>
      </c>
      <c r="L2098" t="s">
        <v>27</v>
      </c>
      <c r="M2098">
        <v>300</v>
      </c>
      <c r="N2098" t="s">
        <v>27</v>
      </c>
      <c r="O2098">
        <v>300</v>
      </c>
      <c r="P2098">
        <v>300</v>
      </c>
      <c r="Q2098" t="s">
        <v>30</v>
      </c>
      <c r="R2098" s="2">
        <v>0.7</v>
      </c>
      <c r="S2098">
        <v>210</v>
      </c>
      <c r="T2098" t="s">
        <v>27</v>
      </c>
      <c r="U2098">
        <v>210</v>
      </c>
      <c r="V2098" s="7" t="str">
        <f>IF(ISERROR(VLOOKUP(K2098,[1]작가별정산률!$R:$S,2,0)),"스토리위즈",VLOOKUP(K2098,[1]작가별정산률!$R:$S,2,0))</f>
        <v>스토리위즈</v>
      </c>
      <c r="W2098" s="7" t="str">
        <f>IF(V2098="스토리위즈",VLOOKUP(K2098,[1]작가별정산률!$A:$B,2,0),V2098)</f>
        <v>밈스</v>
      </c>
    </row>
    <row r="2099" spans="1:23" x14ac:dyDescent="0.4">
      <c r="A2099" t="s">
        <v>262</v>
      </c>
      <c r="B2099" t="s">
        <v>2394</v>
      </c>
      <c r="C2099" t="s">
        <v>2461</v>
      </c>
      <c r="D2099" t="s">
        <v>64</v>
      </c>
      <c r="E2099" t="s">
        <v>22</v>
      </c>
      <c r="F2099" t="s">
        <v>23</v>
      </c>
      <c r="G2099">
        <v>1</v>
      </c>
      <c r="H2099">
        <v>9791166300301</v>
      </c>
      <c r="I2099" t="s">
        <v>24</v>
      </c>
      <c r="J2099" t="s">
        <v>139</v>
      </c>
      <c r="K2099" t="s">
        <v>119</v>
      </c>
      <c r="L2099" t="s">
        <v>27</v>
      </c>
      <c r="M2099">
        <v>630</v>
      </c>
      <c r="N2099" t="s">
        <v>27</v>
      </c>
      <c r="O2099">
        <v>630</v>
      </c>
      <c r="P2099">
        <v>630</v>
      </c>
      <c r="Q2099" t="s">
        <v>30</v>
      </c>
      <c r="R2099" s="2">
        <v>0.7</v>
      </c>
      <c r="S2099">
        <v>441</v>
      </c>
      <c r="T2099" t="s">
        <v>27</v>
      </c>
      <c r="U2099">
        <v>441</v>
      </c>
      <c r="V2099" s="7" t="str">
        <f>IF(ISERROR(VLOOKUP(K2099,[1]작가별정산률!$R:$S,2,0)),"스토리위즈",VLOOKUP(K2099,[1]작가별정산률!$R:$S,2,0))</f>
        <v>스토리위즈</v>
      </c>
      <c r="W2099" s="7" t="str">
        <f>IF(V2099="스토리위즈",VLOOKUP(K2099,[1]작가별정산률!$A:$B,2,0),V2099)</f>
        <v>김광수</v>
      </c>
    </row>
    <row r="2100" spans="1:23" x14ac:dyDescent="0.4">
      <c r="A2100" t="s">
        <v>262</v>
      </c>
      <c r="B2100" t="s">
        <v>2394</v>
      </c>
      <c r="C2100" t="s">
        <v>2462</v>
      </c>
      <c r="D2100" t="s">
        <v>21</v>
      </c>
      <c r="E2100" t="s">
        <v>22</v>
      </c>
      <c r="F2100" t="s">
        <v>23</v>
      </c>
      <c r="G2100">
        <v>1</v>
      </c>
      <c r="H2100">
        <v>9791191562439</v>
      </c>
      <c r="I2100" t="s">
        <v>143</v>
      </c>
      <c r="J2100" t="s">
        <v>1661</v>
      </c>
      <c r="K2100" t="s">
        <v>188</v>
      </c>
      <c r="L2100" t="s">
        <v>27</v>
      </c>
      <c r="M2100" s="3">
        <v>2500</v>
      </c>
      <c r="N2100" t="s">
        <v>27</v>
      </c>
      <c r="O2100" s="3">
        <v>2500</v>
      </c>
      <c r="P2100" s="3">
        <v>2500</v>
      </c>
      <c r="Q2100" t="s">
        <v>30</v>
      </c>
      <c r="R2100" s="2">
        <v>0.7</v>
      </c>
      <c r="S2100" s="3">
        <v>1750</v>
      </c>
      <c r="T2100" t="s">
        <v>27</v>
      </c>
      <c r="U2100" s="3">
        <v>1750</v>
      </c>
      <c r="V2100" s="7" t="str">
        <f>IF(ISERROR(VLOOKUP(K2100,[1]작가별정산률!$R:$S,2,0)),"스토리위즈",VLOOKUP(K2100,[1]작가별정산률!$R:$S,2,0))</f>
        <v>밀리의 서재</v>
      </c>
      <c r="W2100" s="7" t="str">
        <f>IF(V2100="스토리위즈",VLOOKUP(K2100,[1]작가별정산률!$A:$B,2,0),V2100)</f>
        <v>밀리의 서재</v>
      </c>
    </row>
    <row r="2101" spans="1:23" x14ac:dyDescent="0.4">
      <c r="A2101" t="s">
        <v>262</v>
      </c>
      <c r="B2101" t="s">
        <v>2394</v>
      </c>
      <c r="C2101" t="s">
        <v>2463</v>
      </c>
      <c r="D2101" t="s">
        <v>64</v>
      </c>
      <c r="E2101" t="s">
        <v>22</v>
      </c>
      <c r="F2101" t="s">
        <v>23</v>
      </c>
      <c r="G2101">
        <v>1</v>
      </c>
      <c r="H2101">
        <v>9791159283116</v>
      </c>
      <c r="I2101" t="s">
        <v>24</v>
      </c>
      <c r="J2101" t="s">
        <v>76</v>
      </c>
      <c r="K2101" t="s">
        <v>37</v>
      </c>
      <c r="L2101" t="s">
        <v>27</v>
      </c>
      <c r="M2101">
        <v>900</v>
      </c>
      <c r="N2101" t="s">
        <v>27</v>
      </c>
      <c r="O2101">
        <v>900</v>
      </c>
      <c r="P2101">
        <v>900</v>
      </c>
      <c r="Q2101" t="s">
        <v>30</v>
      </c>
      <c r="R2101" s="2">
        <v>0.7</v>
      </c>
      <c r="S2101">
        <v>630</v>
      </c>
      <c r="T2101" t="s">
        <v>27</v>
      </c>
      <c r="U2101">
        <v>630</v>
      </c>
      <c r="V2101" s="7" t="str">
        <f>IF(ISERROR(VLOOKUP(K2101,[1]작가별정산률!$R:$S,2,0)),"스토리위즈",VLOOKUP(K2101,[1]작가별정산률!$R:$S,2,0))</f>
        <v>스토리위즈</v>
      </c>
      <c r="W2101" s="7" t="str">
        <f>IF(V2101="스토리위즈",VLOOKUP(K2101,[1]작가별정산률!$A:$B,2,0),V2101)</f>
        <v>권용찬</v>
      </c>
    </row>
    <row r="2102" spans="1:23" x14ac:dyDescent="0.4">
      <c r="A2102" t="s">
        <v>262</v>
      </c>
      <c r="B2102" t="s">
        <v>2394</v>
      </c>
      <c r="C2102" t="s">
        <v>2464</v>
      </c>
      <c r="D2102" t="s">
        <v>21</v>
      </c>
      <c r="E2102" t="s">
        <v>22</v>
      </c>
      <c r="F2102" t="s">
        <v>23</v>
      </c>
      <c r="G2102">
        <v>1</v>
      </c>
      <c r="H2102">
        <v>9791189084813</v>
      </c>
      <c r="I2102" t="s">
        <v>143</v>
      </c>
      <c r="J2102" t="s">
        <v>563</v>
      </c>
      <c r="K2102" t="s">
        <v>564</v>
      </c>
      <c r="L2102" t="s">
        <v>27</v>
      </c>
      <c r="M2102" s="3">
        <v>4000</v>
      </c>
      <c r="N2102" t="s">
        <v>27</v>
      </c>
      <c r="O2102" s="3">
        <v>4000</v>
      </c>
      <c r="P2102" s="3">
        <v>4000</v>
      </c>
      <c r="Q2102" t="s">
        <v>30</v>
      </c>
      <c r="R2102" s="2">
        <v>0.7</v>
      </c>
      <c r="S2102" s="3">
        <v>2800</v>
      </c>
      <c r="T2102" t="s">
        <v>27</v>
      </c>
      <c r="U2102" s="3">
        <v>2800</v>
      </c>
      <c r="V2102" s="7" t="str">
        <f>IF(ISERROR(VLOOKUP(K2102,[1]작가별정산률!$R:$S,2,0)),"스토리위즈",VLOOKUP(K2102,[1]작가별정산률!$R:$S,2,0))</f>
        <v>스토리위즈</v>
      </c>
      <c r="W2102" s="7" t="str">
        <f>IF(V2102="스토리위즈",VLOOKUP(K2102,[1]작가별정산률!$A:$B,2,0),V2102)</f>
        <v>셔틀</v>
      </c>
    </row>
    <row r="2103" spans="1:23" x14ac:dyDescent="0.4">
      <c r="A2103" t="s">
        <v>262</v>
      </c>
      <c r="B2103" t="s">
        <v>2394</v>
      </c>
      <c r="C2103" t="s">
        <v>2465</v>
      </c>
      <c r="D2103" t="s">
        <v>64</v>
      </c>
      <c r="E2103" t="s">
        <v>22</v>
      </c>
      <c r="F2103" t="s">
        <v>23</v>
      </c>
      <c r="G2103">
        <v>1</v>
      </c>
      <c r="H2103">
        <v>9791166300172</v>
      </c>
      <c r="I2103" t="s">
        <v>24</v>
      </c>
      <c r="J2103" t="s">
        <v>127</v>
      </c>
      <c r="K2103" t="s">
        <v>119</v>
      </c>
      <c r="L2103" t="s">
        <v>27</v>
      </c>
      <c r="M2103">
        <v>630</v>
      </c>
      <c r="N2103" t="s">
        <v>27</v>
      </c>
      <c r="O2103">
        <v>630</v>
      </c>
      <c r="P2103">
        <v>630</v>
      </c>
      <c r="Q2103" t="s">
        <v>30</v>
      </c>
      <c r="R2103" s="2">
        <v>0.7</v>
      </c>
      <c r="S2103">
        <v>441</v>
      </c>
      <c r="T2103" t="s">
        <v>27</v>
      </c>
      <c r="U2103">
        <v>441</v>
      </c>
      <c r="V2103" s="7" t="str">
        <f>IF(ISERROR(VLOOKUP(K2103,[1]작가별정산률!$R:$S,2,0)),"스토리위즈",VLOOKUP(K2103,[1]작가별정산률!$R:$S,2,0))</f>
        <v>스토리위즈</v>
      </c>
      <c r="W2103" s="7" t="str">
        <f>IF(V2103="스토리위즈",VLOOKUP(K2103,[1]작가별정산률!$A:$B,2,0),V2103)</f>
        <v>김광수</v>
      </c>
    </row>
    <row r="2104" spans="1:23" x14ac:dyDescent="0.4">
      <c r="A2104" t="s">
        <v>262</v>
      </c>
      <c r="B2104" t="s">
        <v>2394</v>
      </c>
      <c r="C2104" t="s">
        <v>2466</v>
      </c>
      <c r="D2104" t="s">
        <v>64</v>
      </c>
      <c r="E2104" t="s">
        <v>22</v>
      </c>
      <c r="F2104" t="s">
        <v>23</v>
      </c>
      <c r="G2104">
        <v>1</v>
      </c>
      <c r="H2104">
        <v>9791159283222</v>
      </c>
      <c r="I2104" t="s">
        <v>24</v>
      </c>
      <c r="J2104" t="s">
        <v>65</v>
      </c>
      <c r="K2104" t="s">
        <v>37</v>
      </c>
      <c r="L2104" t="s">
        <v>27</v>
      </c>
      <c r="M2104">
        <v>630</v>
      </c>
      <c r="N2104" t="s">
        <v>27</v>
      </c>
      <c r="O2104">
        <v>630</v>
      </c>
      <c r="P2104">
        <v>630</v>
      </c>
      <c r="Q2104" t="s">
        <v>30</v>
      </c>
      <c r="R2104" s="2">
        <v>0.7</v>
      </c>
      <c r="S2104">
        <v>441</v>
      </c>
      <c r="T2104" t="s">
        <v>27</v>
      </c>
      <c r="U2104">
        <v>441</v>
      </c>
      <c r="V2104" s="7" t="str">
        <f>IF(ISERROR(VLOOKUP(K2104,[1]작가별정산률!$R:$S,2,0)),"스토리위즈",VLOOKUP(K2104,[1]작가별정산률!$R:$S,2,0))</f>
        <v>스토리위즈</v>
      </c>
      <c r="W2104" s="7" t="str">
        <f>IF(V2104="스토리위즈",VLOOKUP(K2104,[1]작가별정산률!$A:$B,2,0),V2104)</f>
        <v>권용찬</v>
      </c>
    </row>
    <row r="2105" spans="1:23" x14ac:dyDescent="0.4">
      <c r="A2105" t="s">
        <v>262</v>
      </c>
      <c r="B2105" t="s">
        <v>2394</v>
      </c>
      <c r="C2105" t="s">
        <v>2467</v>
      </c>
      <c r="D2105" t="s">
        <v>21</v>
      </c>
      <c r="E2105" t="s">
        <v>22</v>
      </c>
      <c r="F2105" t="s">
        <v>23</v>
      </c>
      <c r="G2105">
        <v>1</v>
      </c>
      <c r="H2105">
        <v>9791159289583</v>
      </c>
      <c r="I2105" t="s">
        <v>24</v>
      </c>
      <c r="J2105" t="s">
        <v>141</v>
      </c>
      <c r="K2105" t="s">
        <v>140</v>
      </c>
      <c r="L2105" t="s">
        <v>27</v>
      </c>
      <c r="M2105" s="3">
        <v>3200</v>
      </c>
      <c r="N2105" t="s">
        <v>191</v>
      </c>
      <c r="O2105">
        <v>3.5</v>
      </c>
      <c r="P2105">
        <v>3.18</v>
      </c>
      <c r="Q2105" t="s">
        <v>190</v>
      </c>
      <c r="R2105" s="2">
        <v>0.7</v>
      </c>
      <c r="S2105">
        <v>2.23</v>
      </c>
      <c r="T2105" t="s">
        <v>27</v>
      </c>
      <c r="U2105" s="3">
        <v>1982</v>
      </c>
      <c r="V2105" s="7" t="str">
        <f>IF(ISERROR(VLOOKUP(K2105,[1]작가별정산률!$R:$S,2,0)),"스토리위즈",VLOOKUP(K2105,[1]작가별정산률!$R:$S,2,0))</f>
        <v>스토리위즈</v>
      </c>
      <c r="W2105" s="7" t="str">
        <f>IF(V2105="스토리위즈",VLOOKUP(K2105,[1]작가별정산률!$A:$B,2,0),V2105)</f>
        <v>이동열</v>
      </c>
    </row>
    <row r="2106" spans="1:23" x14ac:dyDescent="0.4">
      <c r="A2106" t="s">
        <v>262</v>
      </c>
      <c r="B2106" t="s">
        <v>2394</v>
      </c>
      <c r="C2106" t="s">
        <v>2468</v>
      </c>
      <c r="D2106" t="s">
        <v>64</v>
      </c>
      <c r="E2106" t="s">
        <v>22</v>
      </c>
      <c r="F2106" t="s">
        <v>23</v>
      </c>
      <c r="G2106">
        <v>1</v>
      </c>
      <c r="H2106">
        <v>9791166061110</v>
      </c>
      <c r="I2106" t="s">
        <v>24</v>
      </c>
      <c r="J2106" t="s">
        <v>97</v>
      </c>
      <c r="K2106" t="s">
        <v>37</v>
      </c>
      <c r="L2106" t="s">
        <v>27</v>
      </c>
      <c r="M2106">
        <v>900</v>
      </c>
      <c r="N2106" t="s">
        <v>27</v>
      </c>
      <c r="O2106">
        <v>900</v>
      </c>
      <c r="P2106">
        <v>900</v>
      </c>
      <c r="Q2106" t="s">
        <v>30</v>
      </c>
      <c r="R2106" s="2">
        <v>0.7</v>
      </c>
      <c r="S2106">
        <v>630</v>
      </c>
      <c r="T2106" t="s">
        <v>27</v>
      </c>
      <c r="U2106">
        <v>630</v>
      </c>
      <c r="V2106" s="7" t="str">
        <f>IF(ISERROR(VLOOKUP(K2106,[1]작가별정산률!$R:$S,2,0)),"스토리위즈",VLOOKUP(K2106,[1]작가별정산률!$R:$S,2,0))</f>
        <v>스토리위즈</v>
      </c>
      <c r="W2106" s="7" t="str">
        <f>IF(V2106="스토리위즈",VLOOKUP(K2106,[1]작가별정산률!$A:$B,2,0),V2106)</f>
        <v>권용찬</v>
      </c>
    </row>
    <row r="2107" spans="1:23" x14ac:dyDescent="0.4">
      <c r="A2107" t="s">
        <v>262</v>
      </c>
      <c r="B2107" t="s">
        <v>2394</v>
      </c>
      <c r="C2107" t="s">
        <v>2469</v>
      </c>
      <c r="D2107" t="s">
        <v>64</v>
      </c>
      <c r="E2107" t="s">
        <v>22</v>
      </c>
      <c r="F2107" t="s">
        <v>23</v>
      </c>
      <c r="G2107">
        <v>1</v>
      </c>
      <c r="H2107">
        <v>9791159284984</v>
      </c>
      <c r="I2107" t="s">
        <v>24</v>
      </c>
      <c r="J2107" t="s">
        <v>50</v>
      </c>
      <c r="K2107" t="s">
        <v>47</v>
      </c>
      <c r="L2107" t="s">
        <v>27</v>
      </c>
      <c r="M2107">
        <v>630</v>
      </c>
      <c r="N2107" t="s">
        <v>27</v>
      </c>
      <c r="O2107">
        <v>630</v>
      </c>
      <c r="P2107">
        <v>630</v>
      </c>
      <c r="Q2107" t="s">
        <v>30</v>
      </c>
      <c r="R2107" s="2">
        <v>0.7</v>
      </c>
      <c r="S2107">
        <v>441</v>
      </c>
      <c r="T2107" t="s">
        <v>27</v>
      </c>
      <c r="U2107">
        <v>441</v>
      </c>
      <c r="V2107" s="7" t="str">
        <f>IF(ISERROR(VLOOKUP(K2107,[1]작가별정산률!$R:$S,2,0)),"스토리위즈",VLOOKUP(K2107,[1]작가별정산률!$R:$S,2,0))</f>
        <v>스토리위즈</v>
      </c>
      <c r="W2107" s="7" t="str">
        <f>IF(V2107="스토리위즈",VLOOKUP(K2107,[1]작가별정산률!$A:$B,2,0),V2107)</f>
        <v>전혁</v>
      </c>
    </row>
    <row r="2108" spans="1:23" x14ac:dyDescent="0.4">
      <c r="A2108" t="s">
        <v>262</v>
      </c>
      <c r="B2108" t="s">
        <v>2394</v>
      </c>
      <c r="C2108" t="s">
        <v>2470</v>
      </c>
      <c r="D2108" t="s">
        <v>64</v>
      </c>
      <c r="E2108" t="s">
        <v>22</v>
      </c>
      <c r="F2108" t="s">
        <v>23</v>
      </c>
      <c r="G2108">
        <v>1</v>
      </c>
      <c r="H2108">
        <v>9791166300103</v>
      </c>
      <c r="I2108" t="s">
        <v>24</v>
      </c>
      <c r="J2108" t="s">
        <v>120</v>
      </c>
      <c r="K2108" t="s">
        <v>119</v>
      </c>
      <c r="L2108" t="s">
        <v>27</v>
      </c>
      <c r="M2108">
        <v>630</v>
      </c>
      <c r="N2108" t="s">
        <v>27</v>
      </c>
      <c r="O2108">
        <v>630</v>
      </c>
      <c r="P2108">
        <v>630</v>
      </c>
      <c r="Q2108" t="s">
        <v>30</v>
      </c>
      <c r="R2108" s="2">
        <v>0.7</v>
      </c>
      <c r="S2108">
        <v>441</v>
      </c>
      <c r="T2108" t="s">
        <v>27</v>
      </c>
      <c r="U2108">
        <v>441</v>
      </c>
      <c r="V2108" s="7" t="str">
        <f>IF(ISERROR(VLOOKUP(K2108,[1]작가별정산률!$R:$S,2,0)),"스토리위즈",VLOOKUP(K2108,[1]작가별정산률!$R:$S,2,0))</f>
        <v>스토리위즈</v>
      </c>
      <c r="W2108" s="7" t="str">
        <f>IF(V2108="스토리위즈",VLOOKUP(K2108,[1]작가별정산률!$A:$B,2,0),V2108)</f>
        <v>김광수</v>
      </c>
    </row>
    <row r="2109" spans="1:23" x14ac:dyDescent="0.4">
      <c r="A2109" t="s">
        <v>262</v>
      </c>
      <c r="B2109" t="s">
        <v>262</v>
      </c>
      <c r="C2109" t="s">
        <v>2471</v>
      </c>
      <c r="D2109" t="s">
        <v>64</v>
      </c>
      <c r="E2109" t="s">
        <v>22</v>
      </c>
      <c r="F2109" t="s">
        <v>23</v>
      </c>
      <c r="G2109">
        <v>1</v>
      </c>
      <c r="H2109">
        <v>9791159283239</v>
      </c>
      <c r="I2109" t="s">
        <v>24</v>
      </c>
      <c r="J2109" t="s">
        <v>66</v>
      </c>
      <c r="K2109" t="s">
        <v>37</v>
      </c>
      <c r="L2109" t="s">
        <v>27</v>
      </c>
      <c r="M2109">
        <v>630</v>
      </c>
      <c r="N2109" t="s">
        <v>27</v>
      </c>
      <c r="O2109">
        <v>630</v>
      </c>
      <c r="P2109">
        <v>630</v>
      </c>
      <c r="Q2109" t="s">
        <v>30</v>
      </c>
      <c r="R2109" s="2">
        <v>0.7</v>
      </c>
      <c r="S2109">
        <v>441</v>
      </c>
      <c r="T2109" t="s">
        <v>27</v>
      </c>
      <c r="U2109">
        <v>441</v>
      </c>
      <c r="V2109" s="7" t="str">
        <f>IF(ISERROR(VLOOKUP(K2109,[1]작가별정산률!$R:$S,2,0)),"스토리위즈",VLOOKUP(K2109,[1]작가별정산률!$R:$S,2,0))</f>
        <v>스토리위즈</v>
      </c>
      <c r="W2109" s="7" t="str">
        <f>IF(V2109="스토리위즈",VLOOKUP(K2109,[1]작가별정산률!$A:$B,2,0),V2109)</f>
        <v>권용찬</v>
      </c>
    </row>
    <row r="2110" spans="1:23" x14ac:dyDescent="0.4">
      <c r="A2110" t="s">
        <v>262</v>
      </c>
      <c r="B2110" t="s">
        <v>262</v>
      </c>
      <c r="C2110" t="s">
        <v>2472</v>
      </c>
      <c r="D2110" t="s">
        <v>64</v>
      </c>
      <c r="E2110" t="s">
        <v>22</v>
      </c>
      <c r="F2110" t="s">
        <v>23</v>
      </c>
      <c r="G2110">
        <v>1</v>
      </c>
      <c r="H2110">
        <v>9791159283246</v>
      </c>
      <c r="I2110" t="s">
        <v>24</v>
      </c>
      <c r="J2110" t="s">
        <v>67</v>
      </c>
      <c r="K2110" t="s">
        <v>37</v>
      </c>
      <c r="L2110" t="s">
        <v>27</v>
      </c>
      <c r="M2110">
        <v>630</v>
      </c>
      <c r="N2110" t="s">
        <v>27</v>
      </c>
      <c r="O2110">
        <v>630</v>
      </c>
      <c r="P2110">
        <v>630</v>
      </c>
      <c r="Q2110" t="s">
        <v>30</v>
      </c>
      <c r="R2110" s="2">
        <v>0.7</v>
      </c>
      <c r="S2110">
        <v>441</v>
      </c>
      <c r="T2110" t="s">
        <v>27</v>
      </c>
      <c r="U2110">
        <v>441</v>
      </c>
      <c r="V2110" s="7" t="str">
        <f>IF(ISERROR(VLOOKUP(K2110,[1]작가별정산률!$R:$S,2,0)),"스토리위즈",VLOOKUP(K2110,[1]작가별정산률!$R:$S,2,0))</f>
        <v>스토리위즈</v>
      </c>
      <c r="W2110" s="7" t="str">
        <f>IF(V2110="스토리위즈",VLOOKUP(K2110,[1]작가별정산률!$A:$B,2,0),V2110)</f>
        <v>권용찬</v>
      </c>
    </row>
    <row r="2111" spans="1:23" x14ac:dyDescent="0.4">
      <c r="A2111" t="s">
        <v>262</v>
      </c>
      <c r="B2111" t="s">
        <v>262</v>
      </c>
      <c r="C2111" t="s">
        <v>2473</v>
      </c>
      <c r="D2111" t="s">
        <v>64</v>
      </c>
      <c r="E2111" t="s">
        <v>22</v>
      </c>
      <c r="F2111" t="s">
        <v>23</v>
      </c>
      <c r="G2111">
        <v>1</v>
      </c>
      <c r="H2111">
        <v>9791159283147</v>
      </c>
      <c r="I2111" t="s">
        <v>24</v>
      </c>
      <c r="J2111" t="s">
        <v>83</v>
      </c>
      <c r="K2111" t="s">
        <v>37</v>
      </c>
      <c r="L2111" t="s">
        <v>27</v>
      </c>
      <c r="M2111">
        <v>900</v>
      </c>
      <c r="N2111" t="s">
        <v>27</v>
      </c>
      <c r="O2111">
        <v>900</v>
      </c>
      <c r="P2111">
        <v>900</v>
      </c>
      <c r="Q2111" t="s">
        <v>30</v>
      </c>
      <c r="R2111" s="2">
        <v>0.7</v>
      </c>
      <c r="S2111">
        <v>630</v>
      </c>
      <c r="T2111" t="s">
        <v>27</v>
      </c>
      <c r="U2111">
        <v>630</v>
      </c>
      <c r="V2111" s="7" t="str">
        <f>IF(ISERROR(VLOOKUP(K2111,[1]작가별정산률!$R:$S,2,0)),"스토리위즈",VLOOKUP(K2111,[1]작가별정산률!$R:$S,2,0))</f>
        <v>스토리위즈</v>
      </c>
      <c r="W2111" s="7" t="str">
        <f>IF(V2111="스토리위즈",VLOOKUP(K2111,[1]작가별정산률!$A:$B,2,0),V2111)</f>
        <v>권용찬</v>
      </c>
    </row>
    <row r="2112" spans="1:23" x14ac:dyDescent="0.4">
      <c r="A2112" t="s">
        <v>262</v>
      </c>
      <c r="B2112" t="s">
        <v>262</v>
      </c>
      <c r="C2112" t="s">
        <v>2474</v>
      </c>
      <c r="D2112" t="s">
        <v>64</v>
      </c>
      <c r="E2112" t="s">
        <v>22</v>
      </c>
      <c r="F2112" t="s">
        <v>23</v>
      </c>
      <c r="G2112">
        <v>1</v>
      </c>
      <c r="H2112">
        <v>9791159284984</v>
      </c>
      <c r="I2112" t="s">
        <v>24</v>
      </c>
      <c r="J2112" t="s">
        <v>50</v>
      </c>
      <c r="K2112" t="s">
        <v>47</v>
      </c>
      <c r="L2112" t="s">
        <v>27</v>
      </c>
      <c r="M2112">
        <v>630</v>
      </c>
      <c r="N2112" t="s">
        <v>27</v>
      </c>
      <c r="O2112">
        <v>630</v>
      </c>
      <c r="P2112">
        <v>630</v>
      </c>
      <c r="Q2112" t="s">
        <v>30</v>
      </c>
      <c r="R2112" s="2">
        <v>0.7</v>
      </c>
      <c r="S2112">
        <v>441</v>
      </c>
      <c r="T2112" t="s">
        <v>27</v>
      </c>
      <c r="U2112">
        <v>441</v>
      </c>
      <c r="V2112" s="7" t="str">
        <f>IF(ISERROR(VLOOKUP(K2112,[1]작가별정산률!$R:$S,2,0)),"스토리위즈",VLOOKUP(K2112,[1]작가별정산률!$R:$S,2,0))</f>
        <v>스토리위즈</v>
      </c>
      <c r="W2112" s="7" t="str">
        <f>IF(V2112="스토리위즈",VLOOKUP(K2112,[1]작가별정산률!$A:$B,2,0),V2112)</f>
        <v>전혁</v>
      </c>
    </row>
    <row r="2113" spans="1:23" x14ac:dyDescent="0.4">
      <c r="A2113" t="s">
        <v>262</v>
      </c>
      <c r="B2113" t="s">
        <v>262</v>
      </c>
      <c r="C2113" t="s">
        <v>2475</v>
      </c>
      <c r="D2113" t="s">
        <v>64</v>
      </c>
      <c r="E2113" t="s">
        <v>22</v>
      </c>
      <c r="F2113" t="s">
        <v>23</v>
      </c>
      <c r="G2113">
        <v>1</v>
      </c>
      <c r="H2113">
        <v>9791166300196</v>
      </c>
      <c r="I2113" t="s">
        <v>24</v>
      </c>
      <c r="J2113" t="s">
        <v>128</v>
      </c>
      <c r="K2113" t="s">
        <v>119</v>
      </c>
      <c r="L2113" t="s">
        <v>27</v>
      </c>
      <c r="M2113">
        <v>630</v>
      </c>
      <c r="N2113" t="s">
        <v>27</v>
      </c>
      <c r="O2113">
        <v>630</v>
      </c>
      <c r="P2113">
        <v>630</v>
      </c>
      <c r="Q2113" t="s">
        <v>30</v>
      </c>
      <c r="R2113" s="2">
        <v>0.7</v>
      </c>
      <c r="S2113">
        <v>441</v>
      </c>
      <c r="T2113" t="s">
        <v>27</v>
      </c>
      <c r="U2113">
        <v>441</v>
      </c>
      <c r="V2113" s="7" t="str">
        <f>IF(ISERROR(VLOOKUP(K2113,[1]작가별정산률!$R:$S,2,0)),"스토리위즈",VLOOKUP(K2113,[1]작가별정산률!$R:$S,2,0))</f>
        <v>스토리위즈</v>
      </c>
      <c r="W2113" s="7" t="str">
        <f>IF(V2113="스토리위즈",VLOOKUP(K2113,[1]작가별정산률!$A:$B,2,0),V2113)</f>
        <v>김광수</v>
      </c>
    </row>
    <row r="2114" spans="1:23" x14ac:dyDescent="0.4">
      <c r="A2114" t="s">
        <v>262</v>
      </c>
      <c r="B2114" t="s">
        <v>262</v>
      </c>
      <c r="C2114" t="s">
        <v>2476</v>
      </c>
      <c r="D2114" t="s">
        <v>64</v>
      </c>
      <c r="E2114" t="s">
        <v>22</v>
      </c>
      <c r="F2114" t="s">
        <v>23</v>
      </c>
      <c r="G2114">
        <v>1</v>
      </c>
      <c r="H2114">
        <v>9791166300141</v>
      </c>
      <c r="I2114" t="s">
        <v>24</v>
      </c>
      <c r="J2114" t="s">
        <v>124</v>
      </c>
      <c r="K2114" t="s">
        <v>119</v>
      </c>
      <c r="L2114" t="s">
        <v>27</v>
      </c>
      <c r="M2114">
        <v>630</v>
      </c>
      <c r="N2114" t="s">
        <v>27</v>
      </c>
      <c r="O2114">
        <v>630</v>
      </c>
      <c r="P2114">
        <v>630</v>
      </c>
      <c r="Q2114" t="s">
        <v>30</v>
      </c>
      <c r="R2114" s="2">
        <v>0.7</v>
      </c>
      <c r="S2114">
        <v>441</v>
      </c>
      <c r="T2114" t="s">
        <v>27</v>
      </c>
      <c r="U2114">
        <v>441</v>
      </c>
      <c r="V2114" s="7" t="str">
        <f>IF(ISERROR(VLOOKUP(K2114,[1]작가별정산률!$R:$S,2,0)),"스토리위즈",VLOOKUP(K2114,[1]작가별정산률!$R:$S,2,0))</f>
        <v>스토리위즈</v>
      </c>
      <c r="W2114" s="7" t="str">
        <f>IF(V2114="스토리위즈",VLOOKUP(K2114,[1]작가별정산률!$A:$B,2,0),V2114)</f>
        <v>김광수</v>
      </c>
    </row>
    <row r="2115" spans="1:23" x14ac:dyDescent="0.4">
      <c r="A2115" t="s">
        <v>262</v>
      </c>
      <c r="B2115" t="s">
        <v>262</v>
      </c>
      <c r="C2115" t="s">
        <v>2477</v>
      </c>
      <c r="D2115" t="s">
        <v>21</v>
      </c>
      <c r="E2115" t="s">
        <v>22</v>
      </c>
      <c r="F2115" t="s">
        <v>23</v>
      </c>
      <c r="G2115">
        <v>1</v>
      </c>
      <c r="H2115">
        <v>9791191562361</v>
      </c>
      <c r="I2115" t="s">
        <v>143</v>
      </c>
      <c r="J2115" t="s">
        <v>916</v>
      </c>
      <c r="K2115" t="s">
        <v>186</v>
      </c>
      <c r="L2115" t="s">
        <v>27</v>
      </c>
      <c r="M2115" s="3">
        <v>2000</v>
      </c>
      <c r="N2115" t="s">
        <v>27</v>
      </c>
      <c r="O2115" s="3">
        <v>2000</v>
      </c>
      <c r="P2115" s="3">
        <v>2000</v>
      </c>
      <c r="Q2115" t="s">
        <v>30</v>
      </c>
      <c r="R2115" s="2">
        <v>0.7</v>
      </c>
      <c r="S2115" s="3">
        <v>1400</v>
      </c>
      <c r="T2115" t="s">
        <v>27</v>
      </c>
      <c r="U2115" s="3">
        <v>1400</v>
      </c>
      <c r="V2115" s="7" t="str">
        <f>IF(ISERROR(VLOOKUP(K2115,[1]작가별정산률!$R:$S,2,0)),"스토리위즈",VLOOKUP(K2115,[1]작가별정산률!$R:$S,2,0))</f>
        <v>밀리의 서재</v>
      </c>
      <c r="W2115" s="7" t="str">
        <f>IF(V2115="스토리위즈",VLOOKUP(K2115,[1]작가별정산률!$A:$B,2,0),V2115)</f>
        <v>밀리의 서재</v>
      </c>
    </row>
    <row r="2116" spans="1:23" x14ac:dyDescent="0.4">
      <c r="A2116" t="s">
        <v>262</v>
      </c>
      <c r="B2116" t="s">
        <v>262</v>
      </c>
      <c r="C2116" t="s">
        <v>2478</v>
      </c>
      <c r="D2116" t="s">
        <v>21</v>
      </c>
      <c r="E2116" t="s">
        <v>22</v>
      </c>
      <c r="F2116" t="s">
        <v>23</v>
      </c>
      <c r="G2116">
        <v>1</v>
      </c>
      <c r="H2116">
        <v>9791191562415</v>
      </c>
      <c r="I2116" t="s">
        <v>143</v>
      </c>
      <c r="J2116" t="s">
        <v>1077</v>
      </c>
      <c r="K2116" t="s">
        <v>1078</v>
      </c>
      <c r="L2116" t="s">
        <v>27</v>
      </c>
      <c r="M2116" s="3">
        <v>2000</v>
      </c>
      <c r="N2116" t="s">
        <v>27</v>
      </c>
      <c r="O2116" s="3">
        <v>2000</v>
      </c>
      <c r="P2116" s="3">
        <v>2000</v>
      </c>
      <c r="Q2116" t="s">
        <v>30</v>
      </c>
      <c r="R2116" s="2">
        <v>0.7</v>
      </c>
      <c r="S2116" s="3">
        <v>1400</v>
      </c>
      <c r="T2116" t="s">
        <v>27</v>
      </c>
      <c r="U2116" s="3">
        <v>1400</v>
      </c>
      <c r="V2116" s="7" t="str">
        <f>IF(ISERROR(VLOOKUP(K2116,[1]작가별정산률!$R:$S,2,0)),"스토리위즈",VLOOKUP(K2116,[1]작가별정산률!$R:$S,2,0))</f>
        <v>밀리의 서재</v>
      </c>
      <c r="W2116" s="7" t="str">
        <f>IF(V2116="스토리위즈",VLOOKUP(K2116,[1]작가별정산률!$A:$B,2,0),V2116)</f>
        <v>밀리의 서재</v>
      </c>
    </row>
    <row r="2117" spans="1:23" x14ac:dyDescent="0.4">
      <c r="A2117" t="s">
        <v>262</v>
      </c>
      <c r="B2117" t="s">
        <v>262</v>
      </c>
      <c r="C2117" t="s">
        <v>2479</v>
      </c>
      <c r="D2117" t="s">
        <v>64</v>
      </c>
      <c r="E2117" t="s">
        <v>22</v>
      </c>
      <c r="F2117" t="s">
        <v>23</v>
      </c>
      <c r="G2117">
        <v>1</v>
      </c>
      <c r="H2117">
        <v>9791159282256</v>
      </c>
      <c r="I2117" t="s">
        <v>24</v>
      </c>
      <c r="J2117" t="s">
        <v>117</v>
      </c>
      <c r="K2117" t="s">
        <v>37</v>
      </c>
      <c r="L2117" t="s">
        <v>27</v>
      </c>
      <c r="M2117">
        <v>900</v>
      </c>
      <c r="N2117" t="s">
        <v>27</v>
      </c>
      <c r="O2117">
        <v>900</v>
      </c>
      <c r="P2117">
        <v>900</v>
      </c>
      <c r="Q2117" t="s">
        <v>30</v>
      </c>
      <c r="R2117" s="2">
        <v>0.7</v>
      </c>
      <c r="S2117">
        <v>630</v>
      </c>
      <c r="T2117" t="s">
        <v>27</v>
      </c>
      <c r="U2117">
        <v>630</v>
      </c>
      <c r="V2117" s="7" t="str">
        <f>IF(ISERROR(VLOOKUP(K2117,[1]작가별정산률!$R:$S,2,0)),"스토리위즈",VLOOKUP(K2117,[1]작가별정산률!$R:$S,2,0))</f>
        <v>스토리위즈</v>
      </c>
      <c r="W2117" s="7" t="str">
        <f>IF(V2117="스토리위즈",VLOOKUP(K2117,[1]작가별정산률!$A:$B,2,0),V2117)</f>
        <v>권용찬</v>
      </c>
    </row>
    <row r="2118" spans="1:23" x14ac:dyDescent="0.4">
      <c r="A2118" t="s">
        <v>262</v>
      </c>
      <c r="B2118" t="s">
        <v>262</v>
      </c>
      <c r="C2118" t="s">
        <v>2480</v>
      </c>
      <c r="D2118" t="s">
        <v>64</v>
      </c>
      <c r="E2118" t="s">
        <v>22</v>
      </c>
      <c r="F2118" t="s">
        <v>23</v>
      </c>
      <c r="G2118">
        <v>1</v>
      </c>
      <c r="H2118">
        <v>9791159283253</v>
      </c>
      <c r="I2118" t="s">
        <v>24</v>
      </c>
      <c r="J2118" t="s">
        <v>68</v>
      </c>
      <c r="K2118" t="s">
        <v>37</v>
      </c>
      <c r="L2118" t="s">
        <v>27</v>
      </c>
      <c r="M2118">
        <v>630</v>
      </c>
      <c r="N2118" t="s">
        <v>27</v>
      </c>
      <c r="O2118">
        <v>630</v>
      </c>
      <c r="P2118">
        <v>630</v>
      </c>
      <c r="Q2118" t="s">
        <v>30</v>
      </c>
      <c r="R2118" s="2">
        <v>0.7</v>
      </c>
      <c r="S2118">
        <v>441</v>
      </c>
      <c r="T2118" t="s">
        <v>27</v>
      </c>
      <c r="U2118">
        <v>441</v>
      </c>
      <c r="V2118" s="7" t="str">
        <f>IF(ISERROR(VLOOKUP(K2118,[1]작가별정산률!$R:$S,2,0)),"스토리위즈",VLOOKUP(K2118,[1]작가별정산률!$R:$S,2,0))</f>
        <v>스토리위즈</v>
      </c>
      <c r="W2118" s="7" t="str">
        <f>IF(V2118="스토리위즈",VLOOKUP(K2118,[1]작가별정산률!$A:$B,2,0),V2118)</f>
        <v>권용찬</v>
      </c>
    </row>
    <row r="2119" spans="1:23" x14ac:dyDescent="0.4">
      <c r="A2119" t="s">
        <v>262</v>
      </c>
      <c r="B2119" t="s">
        <v>262</v>
      </c>
      <c r="C2119" t="s">
        <v>2481</v>
      </c>
      <c r="D2119" t="s">
        <v>64</v>
      </c>
      <c r="E2119" t="s">
        <v>22</v>
      </c>
      <c r="F2119" t="s">
        <v>23</v>
      </c>
      <c r="G2119">
        <v>1</v>
      </c>
      <c r="H2119">
        <v>9791159283260</v>
      </c>
      <c r="I2119" t="s">
        <v>24</v>
      </c>
      <c r="J2119" t="s">
        <v>69</v>
      </c>
      <c r="K2119" t="s">
        <v>37</v>
      </c>
      <c r="L2119" t="s">
        <v>27</v>
      </c>
      <c r="M2119">
        <v>630</v>
      </c>
      <c r="N2119" t="s">
        <v>27</v>
      </c>
      <c r="O2119">
        <v>630</v>
      </c>
      <c r="P2119">
        <v>630</v>
      </c>
      <c r="Q2119" t="s">
        <v>30</v>
      </c>
      <c r="R2119" s="2">
        <v>0.7</v>
      </c>
      <c r="S2119">
        <v>441</v>
      </c>
      <c r="T2119" t="s">
        <v>27</v>
      </c>
      <c r="U2119">
        <v>441</v>
      </c>
      <c r="V2119" s="7" t="str">
        <f>IF(ISERROR(VLOOKUP(K2119,[1]작가별정산률!$R:$S,2,0)),"스토리위즈",VLOOKUP(K2119,[1]작가별정산률!$R:$S,2,0))</f>
        <v>스토리위즈</v>
      </c>
      <c r="W2119" s="7" t="str">
        <f>IF(V2119="스토리위즈",VLOOKUP(K2119,[1]작가별정산률!$A:$B,2,0),V2119)</f>
        <v>권용찬</v>
      </c>
    </row>
    <row r="2120" spans="1:23" x14ac:dyDescent="0.4">
      <c r="A2120" t="s">
        <v>262</v>
      </c>
      <c r="B2120" t="s">
        <v>262</v>
      </c>
      <c r="C2120" t="s">
        <v>2482</v>
      </c>
      <c r="D2120" t="s">
        <v>64</v>
      </c>
      <c r="E2120" t="s">
        <v>22</v>
      </c>
      <c r="F2120" t="s">
        <v>23</v>
      </c>
      <c r="G2120">
        <v>1</v>
      </c>
      <c r="H2120">
        <v>9791166300295</v>
      </c>
      <c r="I2120" t="s">
        <v>24</v>
      </c>
      <c r="J2120" t="s">
        <v>138</v>
      </c>
      <c r="K2120" t="s">
        <v>119</v>
      </c>
      <c r="L2120" t="s">
        <v>27</v>
      </c>
      <c r="M2120">
        <v>630</v>
      </c>
      <c r="N2120" t="s">
        <v>27</v>
      </c>
      <c r="O2120">
        <v>630</v>
      </c>
      <c r="P2120">
        <v>630</v>
      </c>
      <c r="Q2120" t="s">
        <v>30</v>
      </c>
      <c r="R2120" s="2">
        <v>0.7</v>
      </c>
      <c r="S2120">
        <v>441</v>
      </c>
      <c r="T2120" t="s">
        <v>27</v>
      </c>
      <c r="U2120">
        <v>441</v>
      </c>
      <c r="V2120" s="7" t="str">
        <f>IF(ISERROR(VLOOKUP(K2120,[1]작가별정산률!$R:$S,2,0)),"스토리위즈",VLOOKUP(K2120,[1]작가별정산률!$R:$S,2,0))</f>
        <v>스토리위즈</v>
      </c>
      <c r="W2120" s="7" t="str">
        <f>IF(V2120="스토리위즈",VLOOKUP(K2120,[1]작가별정산률!$A:$B,2,0),V2120)</f>
        <v>김광수</v>
      </c>
    </row>
    <row r="2121" spans="1:23" x14ac:dyDescent="0.4">
      <c r="A2121" t="s">
        <v>262</v>
      </c>
      <c r="B2121" t="s">
        <v>262</v>
      </c>
      <c r="C2121" t="s">
        <v>2483</v>
      </c>
      <c r="D2121" t="s">
        <v>64</v>
      </c>
      <c r="E2121" t="s">
        <v>22</v>
      </c>
      <c r="F2121" t="s">
        <v>23</v>
      </c>
      <c r="G2121">
        <v>1</v>
      </c>
      <c r="H2121">
        <v>9791166300240</v>
      </c>
      <c r="I2121" t="s">
        <v>24</v>
      </c>
      <c r="J2121" t="s">
        <v>133</v>
      </c>
      <c r="K2121" t="s">
        <v>119</v>
      </c>
      <c r="L2121" t="s">
        <v>27</v>
      </c>
      <c r="M2121">
        <v>630</v>
      </c>
      <c r="N2121" t="s">
        <v>27</v>
      </c>
      <c r="O2121">
        <v>630</v>
      </c>
      <c r="P2121">
        <v>630</v>
      </c>
      <c r="Q2121" t="s">
        <v>30</v>
      </c>
      <c r="R2121" s="2">
        <v>0.7</v>
      </c>
      <c r="S2121">
        <v>441</v>
      </c>
      <c r="T2121" t="s">
        <v>27</v>
      </c>
      <c r="U2121">
        <v>441</v>
      </c>
      <c r="V2121" s="7" t="str">
        <f>IF(ISERROR(VLOOKUP(K2121,[1]작가별정산률!$R:$S,2,0)),"스토리위즈",VLOOKUP(K2121,[1]작가별정산률!$R:$S,2,0))</f>
        <v>스토리위즈</v>
      </c>
      <c r="W2121" s="7" t="str">
        <f>IF(V2121="스토리위즈",VLOOKUP(K2121,[1]작가별정산률!$A:$B,2,0),V2121)</f>
        <v>김광수</v>
      </c>
    </row>
    <row r="2122" spans="1:23" x14ac:dyDescent="0.4">
      <c r="A2122" t="s">
        <v>262</v>
      </c>
      <c r="B2122" t="s">
        <v>262</v>
      </c>
      <c r="C2122" t="s">
        <v>2484</v>
      </c>
      <c r="D2122" t="s">
        <v>21</v>
      </c>
      <c r="E2122" t="s">
        <v>22</v>
      </c>
      <c r="F2122" t="s">
        <v>23</v>
      </c>
      <c r="G2122">
        <v>1</v>
      </c>
      <c r="H2122">
        <v>9791189627836</v>
      </c>
      <c r="I2122" t="s">
        <v>143</v>
      </c>
      <c r="J2122" t="s">
        <v>2209</v>
      </c>
      <c r="K2122" t="s">
        <v>1035</v>
      </c>
      <c r="L2122" t="s">
        <v>27</v>
      </c>
      <c r="M2122" s="3">
        <v>3200</v>
      </c>
      <c r="N2122" t="s">
        <v>200</v>
      </c>
      <c r="O2122">
        <v>2.5</v>
      </c>
      <c r="P2122">
        <v>2.4</v>
      </c>
      <c r="Q2122" t="s">
        <v>2485</v>
      </c>
      <c r="R2122" s="2">
        <v>0.7</v>
      </c>
      <c r="S2122">
        <v>1.68</v>
      </c>
      <c r="T2122" t="s">
        <v>27</v>
      </c>
      <c r="U2122" s="3">
        <v>2230</v>
      </c>
      <c r="V2122" s="7" t="str">
        <f>IF(ISERROR(VLOOKUP(K2122,[1]작가별정산률!$R:$S,2,0)),"스토리위즈",VLOOKUP(K2122,[1]작가별정산률!$R:$S,2,0))</f>
        <v>스토리위즈</v>
      </c>
      <c r="W2122" s="7" t="str">
        <f>IF(V2122="스토리위즈",VLOOKUP(K2122,[1]작가별정산률!$A:$B,2,0),V2122)</f>
        <v>모리미</v>
      </c>
    </row>
    <row r="2123" spans="1:23" x14ac:dyDescent="0.4">
      <c r="A2123" t="s">
        <v>262</v>
      </c>
      <c r="B2123" t="s">
        <v>262</v>
      </c>
      <c r="C2123" t="s">
        <v>2486</v>
      </c>
      <c r="D2123" t="s">
        <v>64</v>
      </c>
      <c r="E2123" t="s">
        <v>22</v>
      </c>
      <c r="F2123" t="s">
        <v>23</v>
      </c>
      <c r="G2123">
        <v>1</v>
      </c>
      <c r="H2123">
        <v>9791166061141</v>
      </c>
      <c r="I2123" t="s">
        <v>24</v>
      </c>
      <c r="J2123" t="s">
        <v>99</v>
      </c>
      <c r="K2123" t="s">
        <v>37</v>
      </c>
      <c r="L2123" t="s">
        <v>27</v>
      </c>
      <c r="M2123">
        <v>900</v>
      </c>
      <c r="N2123" t="s">
        <v>27</v>
      </c>
      <c r="O2123">
        <v>900</v>
      </c>
      <c r="P2123">
        <v>900</v>
      </c>
      <c r="Q2123" t="s">
        <v>30</v>
      </c>
      <c r="R2123" s="2">
        <v>0.7</v>
      </c>
      <c r="S2123">
        <v>630</v>
      </c>
      <c r="T2123" t="s">
        <v>27</v>
      </c>
      <c r="U2123">
        <v>630</v>
      </c>
      <c r="V2123" s="7" t="str">
        <f>IF(ISERROR(VLOOKUP(K2123,[1]작가별정산률!$R:$S,2,0)),"스토리위즈",VLOOKUP(K2123,[1]작가별정산률!$R:$S,2,0))</f>
        <v>스토리위즈</v>
      </c>
      <c r="W2123" s="7" t="str">
        <f>IF(V2123="스토리위즈",VLOOKUP(K2123,[1]작가별정산률!$A:$B,2,0),V2123)</f>
        <v>권용찬</v>
      </c>
    </row>
    <row r="2124" spans="1:23" x14ac:dyDescent="0.4">
      <c r="A2124" t="s">
        <v>262</v>
      </c>
      <c r="B2124" t="s">
        <v>262</v>
      </c>
      <c r="C2124" t="s">
        <v>2487</v>
      </c>
      <c r="D2124" t="s">
        <v>21</v>
      </c>
      <c r="E2124" t="s">
        <v>22</v>
      </c>
      <c r="F2124" t="s">
        <v>23</v>
      </c>
      <c r="G2124">
        <v>1</v>
      </c>
      <c r="H2124">
        <v>9791164370177</v>
      </c>
      <c r="I2124" t="s">
        <v>143</v>
      </c>
      <c r="J2124" t="s">
        <v>1979</v>
      </c>
      <c r="K2124" t="s">
        <v>1035</v>
      </c>
      <c r="L2124" t="s">
        <v>27</v>
      </c>
      <c r="M2124" s="3">
        <v>2500</v>
      </c>
      <c r="N2124" t="s">
        <v>27</v>
      </c>
      <c r="O2124" s="3">
        <v>2500</v>
      </c>
      <c r="P2124" s="3">
        <v>2500</v>
      </c>
      <c r="Q2124" t="s">
        <v>30</v>
      </c>
      <c r="R2124" s="2">
        <v>0.7</v>
      </c>
      <c r="S2124" s="3">
        <v>1750</v>
      </c>
      <c r="T2124" t="s">
        <v>27</v>
      </c>
      <c r="U2124" s="3">
        <v>1750</v>
      </c>
      <c r="V2124" s="7" t="str">
        <f>IF(ISERROR(VLOOKUP(K2124,[1]작가별정산률!$R:$S,2,0)),"스토리위즈",VLOOKUP(K2124,[1]작가별정산률!$R:$S,2,0))</f>
        <v>스토리위즈</v>
      </c>
      <c r="W2124" s="7" t="str">
        <f>IF(V2124="스토리위즈",VLOOKUP(K2124,[1]작가별정산률!$A:$B,2,0),V2124)</f>
        <v>모리미</v>
      </c>
    </row>
    <row r="2125" spans="1:23" x14ac:dyDescent="0.4">
      <c r="A2125" t="s">
        <v>262</v>
      </c>
      <c r="B2125" t="s">
        <v>262</v>
      </c>
      <c r="C2125" t="s">
        <v>2488</v>
      </c>
      <c r="D2125" t="s">
        <v>21</v>
      </c>
      <c r="E2125" t="s">
        <v>22</v>
      </c>
      <c r="F2125" t="s">
        <v>23</v>
      </c>
      <c r="G2125">
        <v>1</v>
      </c>
      <c r="H2125">
        <v>9791191562415</v>
      </c>
      <c r="I2125" t="s">
        <v>143</v>
      </c>
      <c r="J2125" t="s">
        <v>1077</v>
      </c>
      <c r="K2125" t="s">
        <v>1078</v>
      </c>
      <c r="L2125" t="s">
        <v>27</v>
      </c>
      <c r="M2125" s="3">
        <v>2000</v>
      </c>
      <c r="N2125" t="s">
        <v>27</v>
      </c>
      <c r="O2125" s="3">
        <v>2000</v>
      </c>
      <c r="P2125" s="3">
        <v>2000</v>
      </c>
      <c r="Q2125" t="s">
        <v>30</v>
      </c>
      <c r="R2125" s="2">
        <v>0.7</v>
      </c>
      <c r="S2125" s="3">
        <v>1400</v>
      </c>
      <c r="T2125" t="s">
        <v>27</v>
      </c>
      <c r="U2125" s="3">
        <v>1400</v>
      </c>
      <c r="V2125" s="7" t="str">
        <f>IF(ISERROR(VLOOKUP(K2125,[1]작가별정산률!$R:$S,2,0)),"스토리위즈",VLOOKUP(K2125,[1]작가별정산률!$R:$S,2,0))</f>
        <v>밀리의 서재</v>
      </c>
      <c r="W2125" s="7" t="str">
        <f>IF(V2125="스토리위즈",VLOOKUP(K2125,[1]작가별정산률!$A:$B,2,0),V2125)</f>
        <v>밀리의 서재</v>
      </c>
    </row>
    <row r="2126" spans="1:23" x14ac:dyDescent="0.4">
      <c r="A2126" t="s">
        <v>262</v>
      </c>
      <c r="B2126" t="s">
        <v>262</v>
      </c>
      <c r="C2126" t="s">
        <v>2489</v>
      </c>
      <c r="D2126" t="s">
        <v>64</v>
      </c>
      <c r="E2126" t="s">
        <v>22</v>
      </c>
      <c r="F2126" t="s">
        <v>23</v>
      </c>
      <c r="G2126">
        <v>1</v>
      </c>
      <c r="H2126">
        <v>9791159283246</v>
      </c>
      <c r="I2126" t="s">
        <v>24</v>
      </c>
      <c r="J2126" t="s">
        <v>67</v>
      </c>
      <c r="K2126" t="s">
        <v>37</v>
      </c>
      <c r="L2126" t="s">
        <v>27</v>
      </c>
      <c r="M2126">
        <v>630</v>
      </c>
      <c r="N2126" t="s">
        <v>27</v>
      </c>
      <c r="O2126">
        <v>630</v>
      </c>
      <c r="P2126">
        <v>630</v>
      </c>
      <c r="Q2126" t="s">
        <v>30</v>
      </c>
      <c r="R2126" s="2">
        <v>0.7</v>
      </c>
      <c r="S2126">
        <v>441</v>
      </c>
      <c r="T2126" t="s">
        <v>27</v>
      </c>
      <c r="U2126">
        <v>441</v>
      </c>
      <c r="V2126" s="7" t="str">
        <f>IF(ISERROR(VLOOKUP(K2126,[1]작가별정산률!$R:$S,2,0)),"스토리위즈",VLOOKUP(K2126,[1]작가별정산률!$R:$S,2,0))</f>
        <v>스토리위즈</v>
      </c>
      <c r="W2126" s="7" t="str">
        <f>IF(V2126="스토리위즈",VLOOKUP(K2126,[1]작가별정산률!$A:$B,2,0),V2126)</f>
        <v>권용찬</v>
      </c>
    </row>
    <row r="2127" spans="1:23" x14ac:dyDescent="0.4">
      <c r="A2127" t="s">
        <v>262</v>
      </c>
      <c r="B2127" t="s">
        <v>262</v>
      </c>
      <c r="C2127" t="s">
        <v>2490</v>
      </c>
      <c r="D2127" t="s">
        <v>64</v>
      </c>
      <c r="E2127" t="s">
        <v>22</v>
      </c>
      <c r="F2127" t="s">
        <v>23</v>
      </c>
      <c r="G2127">
        <v>1</v>
      </c>
      <c r="H2127">
        <v>9791166300202</v>
      </c>
      <c r="I2127" t="s">
        <v>24</v>
      </c>
      <c r="J2127" t="s">
        <v>129</v>
      </c>
      <c r="K2127" t="s">
        <v>119</v>
      </c>
      <c r="L2127" t="s">
        <v>27</v>
      </c>
      <c r="M2127">
        <v>630</v>
      </c>
      <c r="N2127" t="s">
        <v>27</v>
      </c>
      <c r="O2127">
        <v>630</v>
      </c>
      <c r="P2127">
        <v>630</v>
      </c>
      <c r="Q2127" t="s">
        <v>30</v>
      </c>
      <c r="R2127" s="2">
        <v>0.7</v>
      </c>
      <c r="S2127">
        <v>441</v>
      </c>
      <c r="T2127" t="s">
        <v>27</v>
      </c>
      <c r="U2127">
        <v>441</v>
      </c>
      <c r="V2127" s="7" t="str">
        <f>IF(ISERROR(VLOOKUP(K2127,[1]작가별정산률!$R:$S,2,0)),"스토리위즈",VLOOKUP(K2127,[1]작가별정산률!$R:$S,2,0))</f>
        <v>스토리위즈</v>
      </c>
      <c r="W2127" s="7" t="str">
        <f>IF(V2127="스토리위즈",VLOOKUP(K2127,[1]작가별정산률!$A:$B,2,0),V2127)</f>
        <v>김광수</v>
      </c>
    </row>
    <row r="2128" spans="1:23" x14ac:dyDescent="0.4">
      <c r="A2128" t="s">
        <v>262</v>
      </c>
      <c r="B2128" t="s">
        <v>262</v>
      </c>
      <c r="C2128" t="s">
        <v>2491</v>
      </c>
      <c r="D2128" t="s">
        <v>21</v>
      </c>
      <c r="E2128" t="s">
        <v>22</v>
      </c>
      <c r="F2128" t="s">
        <v>23</v>
      </c>
      <c r="G2128">
        <v>1</v>
      </c>
      <c r="H2128">
        <v>9791191562439</v>
      </c>
      <c r="I2128" t="s">
        <v>143</v>
      </c>
      <c r="J2128" t="s">
        <v>1661</v>
      </c>
      <c r="K2128" t="s">
        <v>188</v>
      </c>
      <c r="L2128" t="s">
        <v>27</v>
      </c>
      <c r="M2128" s="3">
        <v>2500</v>
      </c>
      <c r="N2128" t="s">
        <v>27</v>
      </c>
      <c r="O2128" s="3">
        <v>2500</v>
      </c>
      <c r="P2128" s="3">
        <v>2500</v>
      </c>
      <c r="Q2128" t="s">
        <v>30</v>
      </c>
      <c r="R2128" s="2">
        <v>0.7</v>
      </c>
      <c r="S2128" s="3">
        <v>1750</v>
      </c>
      <c r="T2128" t="s">
        <v>27</v>
      </c>
      <c r="U2128" s="3">
        <v>1750</v>
      </c>
      <c r="V2128" s="7" t="str">
        <f>IF(ISERROR(VLOOKUP(K2128,[1]작가별정산률!$R:$S,2,0)),"스토리위즈",VLOOKUP(K2128,[1]작가별정산률!$R:$S,2,0))</f>
        <v>밀리의 서재</v>
      </c>
      <c r="W2128" s="7" t="str">
        <f>IF(V2128="스토리위즈",VLOOKUP(K2128,[1]작가별정산률!$A:$B,2,0),V2128)</f>
        <v>밀리의 서재</v>
      </c>
    </row>
    <row r="2129" spans="1:23" x14ac:dyDescent="0.4">
      <c r="A2129" t="s">
        <v>262</v>
      </c>
      <c r="B2129" t="s">
        <v>262</v>
      </c>
      <c r="C2129" t="s">
        <v>2492</v>
      </c>
      <c r="D2129" t="s">
        <v>64</v>
      </c>
      <c r="E2129" t="s">
        <v>22</v>
      </c>
      <c r="F2129" t="s">
        <v>23</v>
      </c>
      <c r="G2129">
        <v>1</v>
      </c>
      <c r="H2129">
        <v>9791166300622</v>
      </c>
      <c r="I2129" t="s">
        <v>24</v>
      </c>
      <c r="J2129" t="s">
        <v>164</v>
      </c>
      <c r="K2129" t="s">
        <v>119</v>
      </c>
      <c r="L2129" t="s">
        <v>27</v>
      </c>
      <c r="M2129">
        <v>630</v>
      </c>
      <c r="N2129" t="s">
        <v>27</v>
      </c>
      <c r="O2129">
        <v>630</v>
      </c>
      <c r="P2129">
        <v>630</v>
      </c>
      <c r="Q2129" t="s">
        <v>30</v>
      </c>
      <c r="R2129" s="2">
        <v>0.7</v>
      </c>
      <c r="S2129">
        <v>441</v>
      </c>
      <c r="T2129" t="s">
        <v>27</v>
      </c>
      <c r="U2129">
        <v>441</v>
      </c>
      <c r="V2129" s="7" t="str">
        <f>IF(ISERROR(VLOOKUP(K2129,[1]작가별정산률!$R:$S,2,0)),"스토리위즈",VLOOKUP(K2129,[1]작가별정산률!$R:$S,2,0))</f>
        <v>스토리위즈</v>
      </c>
      <c r="W2129" s="7" t="str">
        <f>IF(V2129="스토리위즈",VLOOKUP(K2129,[1]작가별정산률!$A:$B,2,0),V2129)</f>
        <v>김광수</v>
      </c>
    </row>
    <row r="2130" spans="1:23" x14ac:dyDescent="0.4">
      <c r="A2130" t="s">
        <v>262</v>
      </c>
      <c r="B2130" t="s">
        <v>262</v>
      </c>
      <c r="C2130" t="s">
        <v>2493</v>
      </c>
      <c r="D2130" t="s">
        <v>64</v>
      </c>
      <c r="E2130" t="s">
        <v>22</v>
      </c>
      <c r="F2130" t="s">
        <v>23</v>
      </c>
      <c r="G2130">
        <v>1</v>
      </c>
      <c r="H2130">
        <v>9791166061127</v>
      </c>
      <c r="I2130" t="s">
        <v>24</v>
      </c>
      <c r="J2130" t="s">
        <v>100</v>
      </c>
      <c r="K2130" t="s">
        <v>37</v>
      </c>
      <c r="L2130" t="s">
        <v>27</v>
      </c>
      <c r="M2130">
        <v>900</v>
      </c>
      <c r="N2130" t="s">
        <v>27</v>
      </c>
      <c r="O2130">
        <v>900</v>
      </c>
      <c r="P2130">
        <v>900</v>
      </c>
      <c r="Q2130" t="s">
        <v>30</v>
      </c>
      <c r="R2130" s="2">
        <v>0.7</v>
      </c>
      <c r="S2130">
        <v>630</v>
      </c>
      <c r="T2130" t="s">
        <v>27</v>
      </c>
      <c r="U2130">
        <v>630</v>
      </c>
      <c r="V2130" s="7" t="str">
        <f>IF(ISERROR(VLOOKUP(K2130,[1]작가별정산률!$R:$S,2,0)),"스토리위즈",VLOOKUP(K2130,[1]작가별정산률!$R:$S,2,0))</f>
        <v>스토리위즈</v>
      </c>
      <c r="W2130" s="7" t="str">
        <f>IF(V2130="스토리위즈",VLOOKUP(K2130,[1]작가별정산률!$A:$B,2,0),V2130)</f>
        <v>권용찬</v>
      </c>
    </row>
    <row r="2131" spans="1:23" x14ac:dyDescent="0.4">
      <c r="A2131" t="s">
        <v>262</v>
      </c>
      <c r="B2131" t="s">
        <v>262</v>
      </c>
      <c r="C2131" t="s">
        <v>2494</v>
      </c>
      <c r="D2131" t="s">
        <v>21</v>
      </c>
      <c r="E2131" t="s">
        <v>22</v>
      </c>
      <c r="F2131" t="s">
        <v>23</v>
      </c>
      <c r="G2131">
        <v>1</v>
      </c>
      <c r="H2131">
        <v>9791189084448</v>
      </c>
      <c r="I2131" t="s">
        <v>143</v>
      </c>
      <c r="J2131" t="s">
        <v>1377</v>
      </c>
      <c r="K2131" t="s">
        <v>1378</v>
      </c>
      <c r="L2131" t="s">
        <v>27</v>
      </c>
      <c r="M2131" s="3">
        <v>3000</v>
      </c>
      <c r="N2131" t="s">
        <v>27</v>
      </c>
      <c r="O2131" s="3">
        <v>3000</v>
      </c>
      <c r="P2131" s="3">
        <v>3000</v>
      </c>
      <c r="Q2131" t="s">
        <v>30</v>
      </c>
      <c r="R2131" s="2">
        <v>0.7</v>
      </c>
      <c r="S2131" s="3">
        <v>2100</v>
      </c>
      <c r="T2131" t="s">
        <v>27</v>
      </c>
      <c r="U2131" s="3">
        <v>2100</v>
      </c>
      <c r="V2131" s="7" t="str">
        <f>IF(ISERROR(VLOOKUP(K2131,[1]작가별정산률!$R:$S,2,0)),"스토리위즈",VLOOKUP(K2131,[1]작가별정산률!$R:$S,2,0))</f>
        <v>스토리위즈</v>
      </c>
      <c r="W2131" s="7" t="str">
        <f>IF(V2131="스토리위즈",VLOOKUP(K2131,[1]작가별정산률!$A:$B,2,0),V2131)</f>
        <v>밈스</v>
      </c>
    </row>
    <row r="2132" spans="1:23" x14ac:dyDescent="0.4">
      <c r="A2132" t="s">
        <v>262</v>
      </c>
      <c r="B2132" t="s">
        <v>262</v>
      </c>
      <c r="C2132" t="s">
        <v>2495</v>
      </c>
      <c r="D2132" t="s">
        <v>21</v>
      </c>
      <c r="E2132" t="s">
        <v>22</v>
      </c>
      <c r="F2132" t="s">
        <v>23</v>
      </c>
      <c r="G2132">
        <v>1</v>
      </c>
      <c r="H2132">
        <v>9791189084455</v>
      </c>
      <c r="I2132" t="s">
        <v>143</v>
      </c>
      <c r="J2132" t="s">
        <v>1446</v>
      </c>
      <c r="K2132" t="s">
        <v>1378</v>
      </c>
      <c r="L2132" t="s">
        <v>27</v>
      </c>
      <c r="M2132" s="3">
        <v>3000</v>
      </c>
      <c r="N2132" t="s">
        <v>27</v>
      </c>
      <c r="O2132" s="3">
        <v>3000</v>
      </c>
      <c r="P2132" s="3">
        <v>3000</v>
      </c>
      <c r="Q2132" t="s">
        <v>30</v>
      </c>
      <c r="R2132" s="2">
        <v>0.7</v>
      </c>
      <c r="S2132" s="3">
        <v>2100</v>
      </c>
      <c r="T2132" t="s">
        <v>27</v>
      </c>
      <c r="U2132" s="3">
        <v>2100</v>
      </c>
      <c r="V2132" s="7" t="str">
        <f>IF(ISERROR(VLOOKUP(K2132,[1]작가별정산률!$R:$S,2,0)),"스토리위즈",VLOOKUP(K2132,[1]작가별정산률!$R:$S,2,0))</f>
        <v>스토리위즈</v>
      </c>
      <c r="W2132" s="7" t="str">
        <f>IF(V2132="스토리위즈",VLOOKUP(K2132,[1]작가별정산률!$A:$B,2,0),V2132)</f>
        <v>밈스</v>
      </c>
    </row>
    <row r="2133" spans="1:23" x14ac:dyDescent="0.4">
      <c r="A2133" t="s">
        <v>262</v>
      </c>
      <c r="B2133" t="s">
        <v>262</v>
      </c>
      <c r="C2133" t="s">
        <v>2496</v>
      </c>
      <c r="D2133" t="s">
        <v>64</v>
      </c>
      <c r="E2133" t="s">
        <v>22</v>
      </c>
      <c r="F2133" t="s">
        <v>23</v>
      </c>
      <c r="G2133">
        <v>1</v>
      </c>
      <c r="H2133">
        <v>9791166061134</v>
      </c>
      <c r="I2133" t="s">
        <v>24</v>
      </c>
      <c r="J2133" t="s">
        <v>98</v>
      </c>
      <c r="K2133" t="s">
        <v>37</v>
      </c>
      <c r="L2133" t="s">
        <v>27</v>
      </c>
      <c r="M2133">
        <v>900</v>
      </c>
      <c r="N2133" t="s">
        <v>27</v>
      </c>
      <c r="O2133">
        <v>900</v>
      </c>
      <c r="P2133">
        <v>900</v>
      </c>
      <c r="Q2133" t="s">
        <v>30</v>
      </c>
      <c r="R2133" s="2">
        <v>0.7</v>
      </c>
      <c r="S2133">
        <v>630</v>
      </c>
      <c r="T2133" t="s">
        <v>27</v>
      </c>
      <c r="U2133">
        <v>630</v>
      </c>
      <c r="V2133" s="7" t="str">
        <f>IF(ISERROR(VLOOKUP(K2133,[1]작가별정산률!$R:$S,2,0)),"스토리위즈",VLOOKUP(K2133,[1]작가별정산률!$R:$S,2,0))</f>
        <v>스토리위즈</v>
      </c>
      <c r="W2133" s="7" t="str">
        <f>IF(V2133="스토리위즈",VLOOKUP(K2133,[1]작가별정산률!$A:$B,2,0),V2133)</f>
        <v>권용찬</v>
      </c>
    </row>
    <row r="2134" spans="1:23" x14ac:dyDescent="0.4">
      <c r="A2134" t="s">
        <v>262</v>
      </c>
      <c r="B2134" t="s">
        <v>262</v>
      </c>
      <c r="C2134" t="s">
        <v>2497</v>
      </c>
      <c r="D2134" t="s">
        <v>64</v>
      </c>
      <c r="E2134" t="s">
        <v>22</v>
      </c>
      <c r="F2134" t="s">
        <v>23</v>
      </c>
      <c r="G2134">
        <v>1</v>
      </c>
      <c r="H2134">
        <v>9791166300493</v>
      </c>
      <c r="I2134" t="s">
        <v>24</v>
      </c>
      <c r="J2134" t="s">
        <v>147</v>
      </c>
      <c r="K2134" t="s">
        <v>119</v>
      </c>
      <c r="L2134" t="s">
        <v>27</v>
      </c>
      <c r="M2134">
        <v>630</v>
      </c>
      <c r="N2134" t="s">
        <v>27</v>
      </c>
      <c r="O2134">
        <v>630</v>
      </c>
      <c r="P2134">
        <v>630</v>
      </c>
      <c r="Q2134" t="s">
        <v>30</v>
      </c>
      <c r="R2134" s="2">
        <v>0.7</v>
      </c>
      <c r="S2134">
        <v>441</v>
      </c>
      <c r="T2134" t="s">
        <v>27</v>
      </c>
      <c r="U2134">
        <v>441</v>
      </c>
      <c r="V2134" s="7" t="str">
        <f>IF(ISERROR(VLOOKUP(K2134,[1]작가별정산률!$R:$S,2,0)),"스토리위즈",VLOOKUP(K2134,[1]작가별정산률!$R:$S,2,0))</f>
        <v>스토리위즈</v>
      </c>
      <c r="W2134" s="7" t="str">
        <f>IF(V2134="스토리위즈",VLOOKUP(K2134,[1]작가별정산률!$A:$B,2,0),V2134)</f>
        <v>김광수</v>
      </c>
    </row>
    <row r="2135" spans="1:23" x14ac:dyDescent="0.4">
      <c r="A2135" t="s">
        <v>262</v>
      </c>
      <c r="B2135" t="s">
        <v>262</v>
      </c>
      <c r="C2135" t="s">
        <v>2498</v>
      </c>
      <c r="D2135" t="s">
        <v>21</v>
      </c>
      <c r="E2135" t="s">
        <v>22</v>
      </c>
      <c r="F2135" t="s">
        <v>23</v>
      </c>
      <c r="G2135">
        <v>1</v>
      </c>
      <c r="H2135">
        <v>9791189084813</v>
      </c>
      <c r="I2135" t="s">
        <v>143</v>
      </c>
      <c r="J2135" t="s">
        <v>563</v>
      </c>
      <c r="K2135" t="s">
        <v>564</v>
      </c>
      <c r="L2135" t="s">
        <v>27</v>
      </c>
      <c r="M2135" s="3">
        <v>4000</v>
      </c>
      <c r="N2135" t="s">
        <v>27</v>
      </c>
      <c r="O2135" s="3">
        <v>4000</v>
      </c>
      <c r="P2135" s="3">
        <v>4000</v>
      </c>
      <c r="Q2135" t="s">
        <v>30</v>
      </c>
      <c r="R2135" s="2">
        <v>0.7</v>
      </c>
      <c r="S2135" s="3">
        <v>2800</v>
      </c>
      <c r="T2135" t="s">
        <v>27</v>
      </c>
      <c r="U2135" s="3">
        <v>2800</v>
      </c>
      <c r="V2135" s="7" t="str">
        <f>IF(ISERROR(VLOOKUP(K2135,[1]작가별정산률!$R:$S,2,0)),"스토리위즈",VLOOKUP(K2135,[1]작가별정산률!$R:$S,2,0))</f>
        <v>스토리위즈</v>
      </c>
      <c r="W2135" s="7" t="str">
        <f>IF(V2135="스토리위즈",VLOOKUP(K2135,[1]작가별정산률!$A:$B,2,0),V2135)</f>
        <v>셔틀</v>
      </c>
    </row>
    <row r="2136" spans="1:23" x14ac:dyDescent="0.4">
      <c r="A2136" t="s">
        <v>262</v>
      </c>
      <c r="B2136" t="s">
        <v>262</v>
      </c>
      <c r="C2136" t="s">
        <v>2499</v>
      </c>
      <c r="D2136" t="s">
        <v>64</v>
      </c>
      <c r="E2136" t="s">
        <v>22</v>
      </c>
      <c r="F2136" t="s">
        <v>23</v>
      </c>
      <c r="G2136">
        <v>1</v>
      </c>
      <c r="H2136">
        <v>9791166300530</v>
      </c>
      <c r="I2136" t="s">
        <v>24</v>
      </c>
      <c r="J2136" t="s">
        <v>151</v>
      </c>
      <c r="K2136" t="s">
        <v>119</v>
      </c>
      <c r="L2136" t="s">
        <v>27</v>
      </c>
      <c r="M2136">
        <v>630</v>
      </c>
      <c r="N2136" t="s">
        <v>27</v>
      </c>
      <c r="O2136">
        <v>630</v>
      </c>
      <c r="P2136">
        <v>630</v>
      </c>
      <c r="Q2136" t="s">
        <v>30</v>
      </c>
      <c r="R2136" s="2">
        <v>0.7</v>
      </c>
      <c r="S2136">
        <v>441</v>
      </c>
      <c r="T2136" t="s">
        <v>27</v>
      </c>
      <c r="U2136">
        <v>441</v>
      </c>
      <c r="V2136" s="7" t="str">
        <f>IF(ISERROR(VLOOKUP(K2136,[1]작가별정산률!$R:$S,2,0)),"스토리위즈",VLOOKUP(K2136,[1]작가별정산률!$R:$S,2,0))</f>
        <v>스토리위즈</v>
      </c>
      <c r="W2136" s="7" t="str">
        <f>IF(V2136="스토리위즈",VLOOKUP(K2136,[1]작가별정산률!$A:$B,2,0),V2136)</f>
        <v>김광수</v>
      </c>
    </row>
    <row r="2137" spans="1:23" x14ac:dyDescent="0.4">
      <c r="A2137" t="s">
        <v>262</v>
      </c>
      <c r="B2137" t="s">
        <v>262</v>
      </c>
      <c r="C2137" t="s">
        <v>2500</v>
      </c>
      <c r="D2137" t="s">
        <v>21</v>
      </c>
      <c r="E2137" t="s">
        <v>22</v>
      </c>
      <c r="F2137" t="s">
        <v>23</v>
      </c>
      <c r="G2137">
        <v>1</v>
      </c>
      <c r="H2137">
        <v>9791191562361</v>
      </c>
      <c r="I2137" t="s">
        <v>143</v>
      </c>
      <c r="J2137" t="s">
        <v>916</v>
      </c>
      <c r="K2137" t="s">
        <v>186</v>
      </c>
      <c r="L2137" t="s">
        <v>27</v>
      </c>
      <c r="M2137" s="3">
        <v>2000</v>
      </c>
      <c r="N2137" t="s">
        <v>191</v>
      </c>
      <c r="O2137">
        <v>2.4</v>
      </c>
      <c r="P2137">
        <v>2.1800000000000002</v>
      </c>
      <c r="Q2137" t="s">
        <v>190</v>
      </c>
      <c r="R2137" s="2">
        <v>0.7</v>
      </c>
      <c r="S2137">
        <v>1.53</v>
      </c>
      <c r="T2137" t="s">
        <v>27</v>
      </c>
      <c r="U2137" s="3">
        <v>1359</v>
      </c>
      <c r="V2137" s="7" t="str">
        <f>IF(ISERROR(VLOOKUP(K2137,[1]작가별정산률!$R:$S,2,0)),"스토리위즈",VLOOKUP(K2137,[1]작가별정산률!$R:$S,2,0))</f>
        <v>밀리의 서재</v>
      </c>
      <c r="W2137" s="7" t="str">
        <f>IF(V2137="스토리위즈",VLOOKUP(K2137,[1]작가별정산률!$A:$B,2,0),V2137)</f>
        <v>밀리의 서재</v>
      </c>
    </row>
    <row r="2138" spans="1:23" x14ac:dyDescent="0.4">
      <c r="A2138" t="s">
        <v>262</v>
      </c>
      <c r="B2138" t="s">
        <v>262</v>
      </c>
      <c r="C2138" t="s">
        <v>2501</v>
      </c>
      <c r="D2138" t="s">
        <v>21</v>
      </c>
      <c r="E2138" t="s">
        <v>22</v>
      </c>
      <c r="F2138" t="s">
        <v>23</v>
      </c>
      <c r="G2138">
        <v>1</v>
      </c>
      <c r="H2138">
        <v>9791191562361</v>
      </c>
      <c r="I2138" t="s">
        <v>143</v>
      </c>
      <c r="J2138" t="s">
        <v>916</v>
      </c>
      <c r="K2138" t="s">
        <v>186</v>
      </c>
      <c r="L2138" t="s">
        <v>27</v>
      </c>
      <c r="M2138" s="3">
        <v>2000</v>
      </c>
      <c r="N2138" t="s">
        <v>27</v>
      </c>
      <c r="O2138" s="3">
        <v>2000</v>
      </c>
      <c r="P2138" s="3">
        <v>2000</v>
      </c>
      <c r="Q2138" t="s">
        <v>30</v>
      </c>
      <c r="R2138" s="2">
        <v>0.7</v>
      </c>
      <c r="S2138" s="3">
        <v>1400</v>
      </c>
      <c r="T2138" t="s">
        <v>27</v>
      </c>
      <c r="U2138" s="3">
        <v>1400</v>
      </c>
      <c r="V2138" s="7" t="str">
        <f>IF(ISERROR(VLOOKUP(K2138,[1]작가별정산률!$R:$S,2,0)),"스토리위즈",VLOOKUP(K2138,[1]작가별정산률!$R:$S,2,0))</f>
        <v>밀리의 서재</v>
      </c>
      <c r="W2138" s="7" t="str">
        <f>IF(V2138="스토리위즈",VLOOKUP(K2138,[1]작가별정산률!$A:$B,2,0),V2138)</f>
        <v>밀리의 서재</v>
      </c>
    </row>
    <row r="2139" spans="1:23" x14ac:dyDescent="0.4">
      <c r="A2139" t="s">
        <v>262</v>
      </c>
      <c r="B2139" t="s">
        <v>262</v>
      </c>
      <c r="C2139" t="s">
        <v>2502</v>
      </c>
      <c r="D2139" t="s">
        <v>21</v>
      </c>
      <c r="E2139" t="s">
        <v>22</v>
      </c>
      <c r="F2139" t="s">
        <v>23</v>
      </c>
      <c r="G2139">
        <v>1</v>
      </c>
      <c r="H2139">
        <v>9791164370184</v>
      </c>
      <c r="I2139" t="s">
        <v>143</v>
      </c>
      <c r="J2139" t="s">
        <v>1996</v>
      </c>
      <c r="K2139" t="s">
        <v>1035</v>
      </c>
      <c r="L2139" t="s">
        <v>27</v>
      </c>
      <c r="M2139" s="3">
        <v>2500</v>
      </c>
      <c r="N2139" t="s">
        <v>27</v>
      </c>
      <c r="O2139" s="3">
        <v>2500</v>
      </c>
      <c r="P2139" s="3">
        <v>2500</v>
      </c>
      <c r="Q2139" t="s">
        <v>30</v>
      </c>
      <c r="R2139" s="2">
        <v>0.7</v>
      </c>
      <c r="S2139" s="3">
        <v>1750</v>
      </c>
      <c r="T2139" t="s">
        <v>27</v>
      </c>
      <c r="U2139" s="3">
        <v>1750</v>
      </c>
      <c r="V2139" s="7" t="str">
        <f>IF(ISERROR(VLOOKUP(K2139,[1]작가별정산률!$R:$S,2,0)),"스토리위즈",VLOOKUP(K2139,[1]작가별정산률!$R:$S,2,0))</f>
        <v>스토리위즈</v>
      </c>
      <c r="W2139" s="7" t="str">
        <f>IF(V2139="스토리위즈",VLOOKUP(K2139,[1]작가별정산률!$A:$B,2,0),V2139)</f>
        <v>모리미</v>
      </c>
    </row>
    <row r="2140" spans="1:23" x14ac:dyDescent="0.4">
      <c r="A2140" t="s">
        <v>262</v>
      </c>
      <c r="B2140" t="s">
        <v>262</v>
      </c>
      <c r="C2140" t="s">
        <v>2503</v>
      </c>
      <c r="D2140" t="s">
        <v>64</v>
      </c>
      <c r="E2140" t="s">
        <v>22</v>
      </c>
      <c r="F2140" t="s">
        <v>23</v>
      </c>
      <c r="G2140">
        <v>1</v>
      </c>
      <c r="H2140">
        <v>9791159284991</v>
      </c>
      <c r="I2140" t="s">
        <v>24</v>
      </c>
      <c r="J2140" t="s">
        <v>51</v>
      </c>
      <c r="K2140" t="s">
        <v>47</v>
      </c>
      <c r="L2140" t="s">
        <v>27</v>
      </c>
      <c r="M2140">
        <v>630</v>
      </c>
      <c r="N2140" t="s">
        <v>27</v>
      </c>
      <c r="O2140">
        <v>630</v>
      </c>
      <c r="P2140">
        <v>630</v>
      </c>
      <c r="Q2140" t="s">
        <v>30</v>
      </c>
      <c r="R2140" s="2">
        <v>0.7</v>
      </c>
      <c r="S2140">
        <v>441</v>
      </c>
      <c r="T2140" t="s">
        <v>27</v>
      </c>
      <c r="U2140">
        <v>441</v>
      </c>
      <c r="V2140" s="7" t="str">
        <f>IF(ISERROR(VLOOKUP(K2140,[1]작가별정산률!$R:$S,2,0)),"스토리위즈",VLOOKUP(K2140,[1]작가별정산률!$R:$S,2,0))</f>
        <v>스토리위즈</v>
      </c>
      <c r="W2140" s="7" t="str">
        <f>IF(V2140="스토리위즈",VLOOKUP(K2140,[1]작가별정산률!$A:$B,2,0),V2140)</f>
        <v>전혁</v>
      </c>
    </row>
    <row r="2141" spans="1:23" x14ac:dyDescent="0.4">
      <c r="A2141" t="s">
        <v>262</v>
      </c>
      <c r="B2141" t="s">
        <v>262</v>
      </c>
      <c r="C2141" t="s">
        <v>2504</v>
      </c>
      <c r="D2141" t="s">
        <v>21</v>
      </c>
      <c r="E2141" t="s">
        <v>22</v>
      </c>
      <c r="F2141" t="s">
        <v>23</v>
      </c>
      <c r="G2141">
        <v>1</v>
      </c>
      <c r="H2141">
        <v>9791189084813</v>
      </c>
      <c r="I2141" t="s">
        <v>143</v>
      </c>
      <c r="J2141" t="s">
        <v>563</v>
      </c>
      <c r="K2141" t="s">
        <v>564</v>
      </c>
      <c r="L2141" t="s">
        <v>27</v>
      </c>
      <c r="M2141" s="3">
        <v>4000</v>
      </c>
      <c r="N2141" t="s">
        <v>27</v>
      </c>
      <c r="O2141" s="3">
        <v>4000</v>
      </c>
      <c r="P2141" s="3">
        <v>4000</v>
      </c>
      <c r="Q2141" t="s">
        <v>30</v>
      </c>
      <c r="R2141" s="2">
        <v>0.7</v>
      </c>
      <c r="S2141" s="3">
        <v>2800</v>
      </c>
      <c r="T2141" t="s">
        <v>27</v>
      </c>
      <c r="U2141" s="3">
        <v>2800</v>
      </c>
      <c r="V2141" s="7" t="str">
        <f>IF(ISERROR(VLOOKUP(K2141,[1]작가별정산률!$R:$S,2,0)),"스토리위즈",VLOOKUP(K2141,[1]작가별정산률!$R:$S,2,0))</f>
        <v>스토리위즈</v>
      </c>
      <c r="W2141" s="7" t="str">
        <f>IF(V2141="스토리위즈",VLOOKUP(K2141,[1]작가별정산률!$A:$B,2,0),V2141)</f>
        <v>셔틀</v>
      </c>
    </row>
    <row r="2142" spans="1:23" x14ac:dyDescent="0.4">
      <c r="A2142" t="s">
        <v>262</v>
      </c>
      <c r="B2142" t="s">
        <v>262</v>
      </c>
      <c r="C2142" t="s">
        <v>2505</v>
      </c>
      <c r="D2142" t="s">
        <v>64</v>
      </c>
      <c r="E2142" t="s">
        <v>22</v>
      </c>
      <c r="F2142" t="s">
        <v>23</v>
      </c>
      <c r="G2142">
        <v>1</v>
      </c>
      <c r="H2142">
        <v>9791166064401</v>
      </c>
      <c r="I2142" t="s">
        <v>24</v>
      </c>
      <c r="J2142" t="s">
        <v>111</v>
      </c>
      <c r="K2142" t="s">
        <v>102</v>
      </c>
      <c r="L2142" t="s">
        <v>27</v>
      </c>
      <c r="M2142">
        <v>720</v>
      </c>
      <c r="N2142" t="s">
        <v>27</v>
      </c>
      <c r="O2142">
        <v>720</v>
      </c>
      <c r="P2142">
        <v>720</v>
      </c>
      <c r="Q2142" t="s">
        <v>30</v>
      </c>
      <c r="R2142" s="2">
        <v>0.7</v>
      </c>
      <c r="S2142">
        <v>504</v>
      </c>
      <c r="T2142" t="s">
        <v>27</v>
      </c>
      <c r="U2142">
        <v>504</v>
      </c>
      <c r="V2142" s="7" t="str">
        <f>IF(ISERROR(VLOOKUP(K2142,[1]작가별정산률!$R:$S,2,0)),"스토리위즈",VLOOKUP(K2142,[1]작가별정산률!$R:$S,2,0))</f>
        <v>스토리위즈</v>
      </c>
      <c r="W2142" s="7" t="str">
        <f>IF(V2142="스토리위즈",VLOOKUP(K2142,[1]작가별정산률!$A:$B,2,0),V2142)</f>
        <v>예로나</v>
      </c>
    </row>
    <row r="2143" spans="1:23" x14ac:dyDescent="0.4">
      <c r="A2143" t="s">
        <v>262</v>
      </c>
      <c r="B2143" t="s">
        <v>262</v>
      </c>
      <c r="C2143" t="s">
        <v>2506</v>
      </c>
      <c r="D2143" t="s">
        <v>64</v>
      </c>
      <c r="E2143" t="s">
        <v>22</v>
      </c>
      <c r="F2143" t="s">
        <v>23</v>
      </c>
      <c r="G2143">
        <v>1</v>
      </c>
      <c r="H2143">
        <v>9791159284977</v>
      </c>
      <c r="I2143" t="s">
        <v>24</v>
      </c>
      <c r="J2143" t="s">
        <v>49</v>
      </c>
      <c r="K2143" t="s">
        <v>47</v>
      </c>
      <c r="L2143" t="s">
        <v>27</v>
      </c>
      <c r="M2143">
        <v>630</v>
      </c>
      <c r="N2143" t="s">
        <v>27</v>
      </c>
      <c r="O2143">
        <v>630</v>
      </c>
      <c r="P2143">
        <v>630</v>
      </c>
      <c r="Q2143" t="s">
        <v>30</v>
      </c>
      <c r="R2143" s="2">
        <v>0.7</v>
      </c>
      <c r="S2143">
        <v>441</v>
      </c>
      <c r="T2143" t="s">
        <v>27</v>
      </c>
      <c r="U2143">
        <v>441</v>
      </c>
      <c r="V2143" s="7" t="str">
        <f>IF(ISERROR(VLOOKUP(K2143,[1]작가별정산률!$R:$S,2,0)),"스토리위즈",VLOOKUP(K2143,[1]작가별정산률!$R:$S,2,0))</f>
        <v>스토리위즈</v>
      </c>
      <c r="W2143" s="7" t="str">
        <f>IF(V2143="스토리위즈",VLOOKUP(K2143,[1]작가별정산률!$A:$B,2,0),V2143)</f>
        <v>전혁</v>
      </c>
    </row>
    <row r="2144" spans="1:23" x14ac:dyDescent="0.4">
      <c r="A2144" t="s">
        <v>262</v>
      </c>
      <c r="B2144" t="s">
        <v>262</v>
      </c>
      <c r="C2144" t="s">
        <v>2507</v>
      </c>
      <c r="D2144" t="s">
        <v>64</v>
      </c>
      <c r="E2144" t="s">
        <v>22</v>
      </c>
      <c r="F2144" t="s">
        <v>23</v>
      </c>
      <c r="G2144">
        <v>1</v>
      </c>
      <c r="H2144">
        <v>9791159283123</v>
      </c>
      <c r="I2144" t="s">
        <v>24</v>
      </c>
      <c r="J2144" t="s">
        <v>78</v>
      </c>
      <c r="K2144" t="s">
        <v>37</v>
      </c>
      <c r="L2144" t="s">
        <v>27</v>
      </c>
      <c r="M2144">
        <v>900</v>
      </c>
      <c r="N2144" t="s">
        <v>27</v>
      </c>
      <c r="O2144">
        <v>900</v>
      </c>
      <c r="P2144">
        <v>900</v>
      </c>
      <c r="Q2144" t="s">
        <v>30</v>
      </c>
      <c r="R2144" s="2">
        <v>0.7</v>
      </c>
      <c r="S2144">
        <v>630</v>
      </c>
      <c r="T2144" t="s">
        <v>27</v>
      </c>
      <c r="U2144">
        <v>630</v>
      </c>
      <c r="V2144" s="7" t="str">
        <f>IF(ISERROR(VLOOKUP(K2144,[1]작가별정산률!$R:$S,2,0)),"스토리위즈",VLOOKUP(K2144,[1]작가별정산률!$R:$S,2,0))</f>
        <v>스토리위즈</v>
      </c>
      <c r="W2144" s="7" t="str">
        <f>IF(V2144="스토리위즈",VLOOKUP(K2144,[1]작가별정산률!$A:$B,2,0),V2144)</f>
        <v>권용찬</v>
      </c>
    </row>
    <row r="2145" spans="1:23" x14ac:dyDescent="0.4">
      <c r="A2145" t="s">
        <v>262</v>
      </c>
      <c r="B2145" t="s">
        <v>262</v>
      </c>
      <c r="C2145" t="s">
        <v>2508</v>
      </c>
      <c r="D2145" t="s">
        <v>21</v>
      </c>
      <c r="E2145" t="s">
        <v>22</v>
      </c>
      <c r="F2145" t="s">
        <v>23</v>
      </c>
      <c r="G2145">
        <v>1</v>
      </c>
      <c r="H2145">
        <v>9791191562286</v>
      </c>
      <c r="I2145" t="s">
        <v>143</v>
      </c>
      <c r="J2145" t="s">
        <v>238</v>
      </c>
      <c r="K2145" t="s">
        <v>239</v>
      </c>
      <c r="L2145" t="s">
        <v>27</v>
      </c>
      <c r="M2145" s="3">
        <v>2000</v>
      </c>
      <c r="N2145" t="s">
        <v>27</v>
      </c>
      <c r="O2145" s="3">
        <v>2000</v>
      </c>
      <c r="P2145" s="3">
        <v>2000</v>
      </c>
      <c r="Q2145" t="s">
        <v>30</v>
      </c>
      <c r="R2145" s="2">
        <v>0.7</v>
      </c>
      <c r="S2145" s="3">
        <v>1400</v>
      </c>
      <c r="T2145" t="s">
        <v>27</v>
      </c>
      <c r="U2145" s="3">
        <v>1400</v>
      </c>
      <c r="V2145" s="7" t="str">
        <f>IF(ISERROR(VLOOKUP(K2145,[1]작가별정산률!$R:$S,2,0)),"스토리위즈",VLOOKUP(K2145,[1]작가별정산률!$R:$S,2,0))</f>
        <v>밀리의 서재</v>
      </c>
      <c r="W2145" s="7" t="str">
        <f>IF(V2145="스토리위즈",VLOOKUP(K2145,[1]작가별정산률!$A:$B,2,0),V2145)</f>
        <v>밀리의 서재</v>
      </c>
    </row>
    <row r="2146" spans="1:23" x14ac:dyDescent="0.4">
      <c r="A2146" t="s">
        <v>262</v>
      </c>
      <c r="B2146" t="s">
        <v>262</v>
      </c>
      <c r="C2146" t="s">
        <v>2509</v>
      </c>
      <c r="D2146" t="s">
        <v>21</v>
      </c>
      <c r="E2146" t="s">
        <v>22</v>
      </c>
      <c r="F2146" t="s">
        <v>23</v>
      </c>
      <c r="G2146">
        <v>1</v>
      </c>
      <c r="H2146">
        <v>9791189084462</v>
      </c>
      <c r="I2146" t="s">
        <v>143</v>
      </c>
      <c r="J2146" t="s">
        <v>1648</v>
      </c>
      <c r="K2146" t="s">
        <v>1378</v>
      </c>
      <c r="L2146" t="s">
        <v>27</v>
      </c>
      <c r="M2146" s="3">
        <v>3000</v>
      </c>
      <c r="N2146" t="s">
        <v>27</v>
      </c>
      <c r="O2146" s="3">
        <v>3000</v>
      </c>
      <c r="P2146" s="3">
        <v>3000</v>
      </c>
      <c r="Q2146" t="s">
        <v>30</v>
      </c>
      <c r="R2146" s="2">
        <v>0.7</v>
      </c>
      <c r="S2146" s="3">
        <v>2100</v>
      </c>
      <c r="T2146" t="s">
        <v>27</v>
      </c>
      <c r="U2146" s="3">
        <v>2100</v>
      </c>
      <c r="V2146" s="7" t="str">
        <f>IF(ISERROR(VLOOKUP(K2146,[1]작가별정산률!$R:$S,2,0)),"스토리위즈",VLOOKUP(K2146,[1]작가별정산률!$R:$S,2,0))</f>
        <v>스토리위즈</v>
      </c>
      <c r="W2146" s="7" t="str">
        <f>IF(V2146="스토리위즈",VLOOKUP(K2146,[1]작가별정산률!$A:$B,2,0),V2146)</f>
        <v>밈스</v>
      </c>
    </row>
    <row r="2147" spans="1:23" x14ac:dyDescent="0.4">
      <c r="A2147" t="s">
        <v>262</v>
      </c>
      <c r="B2147" t="s">
        <v>262</v>
      </c>
      <c r="C2147" t="s">
        <v>2510</v>
      </c>
      <c r="D2147" t="s">
        <v>21</v>
      </c>
      <c r="E2147" t="s">
        <v>22</v>
      </c>
      <c r="F2147" t="s">
        <v>23</v>
      </c>
      <c r="G2147">
        <v>1</v>
      </c>
      <c r="H2147">
        <v>9791191562002</v>
      </c>
      <c r="I2147" t="s">
        <v>143</v>
      </c>
      <c r="J2147" t="s">
        <v>193</v>
      </c>
      <c r="K2147" t="s">
        <v>192</v>
      </c>
      <c r="L2147" t="s">
        <v>27</v>
      </c>
      <c r="M2147" s="3">
        <v>2500</v>
      </c>
      <c r="N2147" t="s">
        <v>27</v>
      </c>
      <c r="O2147" s="3">
        <v>2500</v>
      </c>
      <c r="P2147" s="3">
        <v>2500</v>
      </c>
      <c r="Q2147" t="s">
        <v>30</v>
      </c>
      <c r="R2147" s="2">
        <v>0.7</v>
      </c>
      <c r="S2147" s="3">
        <v>1750</v>
      </c>
      <c r="T2147" t="s">
        <v>27</v>
      </c>
      <c r="U2147" s="3">
        <v>1750</v>
      </c>
      <c r="V2147" s="7" t="str">
        <f>IF(ISERROR(VLOOKUP(K2147,[1]작가별정산률!$R:$S,2,0)),"스토리위즈",VLOOKUP(K2147,[1]작가별정산률!$R:$S,2,0))</f>
        <v>밀리의 서재</v>
      </c>
      <c r="W2147" s="7" t="str">
        <f>IF(V2147="스토리위즈",VLOOKUP(K2147,[1]작가별정산률!$A:$B,2,0),V2147)</f>
        <v>밀리의 서재</v>
      </c>
    </row>
    <row r="2148" spans="1:23" x14ac:dyDescent="0.4">
      <c r="A2148" t="s">
        <v>262</v>
      </c>
      <c r="B2148" t="s">
        <v>262</v>
      </c>
      <c r="C2148" t="s">
        <v>2511</v>
      </c>
      <c r="D2148" t="s">
        <v>21</v>
      </c>
      <c r="E2148" t="s">
        <v>22</v>
      </c>
      <c r="F2148" t="s">
        <v>23</v>
      </c>
      <c r="G2148">
        <v>1</v>
      </c>
      <c r="H2148">
        <v>9791191562439</v>
      </c>
      <c r="I2148" t="s">
        <v>143</v>
      </c>
      <c r="J2148" t="s">
        <v>1661</v>
      </c>
      <c r="K2148" t="s">
        <v>188</v>
      </c>
      <c r="L2148" t="s">
        <v>27</v>
      </c>
      <c r="M2148" s="3">
        <v>2500</v>
      </c>
      <c r="N2148" t="s">
        <v>27</v>
      </c>
      <c r="O2148" s="3">
        <v>2500</v>
      </c>
      <c r="P2148" s="3">
        <v>2500</v>
      </c>
      <c r="Q2148" t="s">
        <v>30</v>
      </c>
      <c r="R2148" s="2">
        <v>0.7</v>
      </c>
      <c r="S2148" s="3">
        <v>1750</v>
      </c>
      <c r="T2148" t="s">
        <v>27</v>
      </c>
      <c r="U2148" s="3">
        <v>1750</v>
      </c>
      <c r="V2148" s="7" t="str">
        <f>IF(ISERROR(VLOOKUP(K2148,[1]작가별정산률!$R:$S,2,0)),"스토리위즈",VLOOKUP(K2148,[1]작가별정산률!$R:$S,2,0))</f>
        <v>밀리의 서재</v>
      </c>
      <c r="W2148" s="7" t="str">
        <f>IF(V2148="스토리위즈",VLOOKUP(K2148,[1]작가별정산률!$A:$B,2,0),V2148)</f>
        <v>밀리의 서재</v>
      </c>
    </row>
    <row r="2149" spans="1:23" x14ac:dyDescent="0.4">
      <c r="A2149" t="s">
        <v>262</v>
      </c>
      <c r="B2149" t="s">
        <v>262</v>
      </c>
      <c r="C2149" t="s">
        <v>2512</v>
      </c>
      <c r="D2149" t="s">
        <v>21</v>
      </c>
      <c r="E2149" t="s">
        <v>22</v>
      </c>
      <c r="F2149" t="s">
        <v>23</v>
      </c>
      <c r="G2149">
        <v>1</v>
      </c>
      <c r="H2149">
        <v>9791189084448</v>
      </c>
      <c r="I2149" t="s">
        <v>143</v>
      </c>
      <c r="J2149" t="s">
        <v>1377</v>
      </c>
      <c r="K2149" t="s">
        <v>1378</v>
      </c>
      <c r="L2149" t="s">
        <v>27</v>
      </c>
      <c r="M2149" s="3">
        <v>3000</v>
      </c>
      <c r="N2149" t="s">
        <v>27</v>
      </c>
      <c r="O2149" s="3">
        <v>3000</v>
      </c>
      <c r="P2149" s="3">
        <v>3000</v>
      </c>
      <c r="Q2149" t="s">
        <v>30</v>
      </c>
      <c r="R2149" s="2">
        <v>0.7</v>
      </c>
      <c r="S2149" s="3">
        <v>2100</v>
      </c>
      <c r="T2149" t="s">
        <v>27</v>
      </c>
      <c r="U2149" s="3">
        <v>2100</v>
      </c>
      <c r="V2149" s="7" t="str">
        <f>IF(ISERROR(VLOOKUP(K2149,[1]작가별정산률!$R:$S,2,0)),"스토리위즈",VLOOKUP(K2149,[1]작가별정산률!$R:$S,2,0))</f>
        <v>스토리위즈</v>
      </c>
      <c r="W2149" s="7" t="str">
        <f>IF(V2149="스토리위즈",VLOOKUP(K2149,[1]작가별정산률!$A:$B,2,0),V2149)</f>
        <v>밈스</v>
      </c>
    </row>
    <row r="2150" spans="1:23" x14ac:dyDescent="0.4">
      <c r="A2150" t="s">
        <v>262</v>
      </c>
      <c r="B2150" t="s">
        <v>262</v>
      </c>
      <c r="C2150" t="s">
        <v>2513</v>
      </c>
      <c r="D2150" t="s">
        <v>64</v>
      </c>
      <c r="E2150" t="s">
        <v>22</v>
      </c>
      <c r="F2150" t="s">
        <v>23</v>
      </c>
      <c r="G2150">
        <v>1</v>
      </c>
      <c r="H2150">
        <v>9791159283185</v>
      </c>
      <c r="I2150" t="s">
        <v>24</v>
      </c>
      <c r="J2150" t="s">
        <v>89</v>
      </c>
      <c r="K2150" t="s">
        <v>37</v>
      </c>
      <c r="L2150" t="s">
        <v>27</v>
      </c>
      <c r="M2150">
        <v>900</v>
      </c>
      <c r="N2150" t="s">
        <v>27</v>
      </c>
      <c r="O2150">
        <v>900</v>
      </c>
      <c r="P2150">
        <v>900</v>
      </c>
      <c r="Q2150" t="s">
        <v>30</v>
      </c>
      <c r="R2150" s="2">
        <v>0.7</v>
      </c>
      <c r="S2150">
        <v>630</v>
      </c>
      <c r="T2150" t="s">
        <v>27</v>
      </c>
      <c r="U2150">
        <v>630</v>
      </c>
      <c r="V2150" s="7" t="str">
        <f>IF(ISERROR(VLOOKUP(K2150,[1]작가별정산률!$R:$S,2,0)),"스토리위즈",VLOOKUP(K2150,[1]작가별정산률!$R:$S,2,0))</f>
        <v>스토리위즈</v>
      </c>
      <c r="W2150" s="7" t="str">
        <f>IF(V2150="스토리위즈",VLOOKUP(K2150,[1]작가별정산률!$A:$B,2,0),V2150)</f>
        <v>권용찬</v>
      </c>
    </row>
    <row r="2151" spans="1:23" x14ac:dyDescent="0.4">
      <c r="A2151" t="s">
        <v>262</v>
      </c>
      <c r="B2151" t="s">
        <v>262</v>
      </c>
      <c r="C2151" t="s">
        <v>2514</v>
      </c>
      <c r="D2151" t="s">
        <v>64</v>
      </c>
      <c r="E2151" t="s">
        <v>22</v>
      </c>
      <c r="F2151" t="s">
        <v>23</v>
      </c>
      <c r="G2151">
        <v>1</v>
      </c>
      <c r="H2151">
        <v>9791159284953</v>
      </c>
      <c r="I2151" t="s">
        <v>24</v>
      </c>
      <c r="J2151" t="s">
        <v>46</v>
      </c>
      <c r="K2151" t="s">
        <v>47</v>
      </c>
      <c r="L2151" t="s">
        <v>27</v>
      </c>
      <c r="M2151">
        <v>630</v>
      </c>
      <c r="N2151" t="s">
        <v>27</v>
      </c>
      <c r="O2151">
        <v>630</v>
      </c>
      <c r="P2151">
        <v>630</v>
      </c>
      <c r="Q2151" t="s">
        <v>30</v>
      </c>
      <c r="R2151" s="2">
        <v>0.7</v>
      </c>
      <c r="S2151">
        <v>441</v>
      </c>
      <c r="T2151" t="s">
        <v>27</v>
      </c>
      <c r="U2151">
        <v>441</v>
      </c>
      <c r="V2151" s="7" t="str">
        <f>IF(ISERROR(VLOOKUP(K2151,[1]작가별정산률!$R:$S,2,0)),"스토리위즈",VLOOKUP(K2151,[1]작가별정산률!$R:$S,2,0))</f>
        <v>스토리위즈</v>
      </c>
      <c r="W2151" s="7" t="str">
        <f>IF(V2151="스토리위즈",VLOOKUP(K2151,[1]작가별정산률!$A:$B,2,0),V2151)</f>
        <v>전혁</v>
      </c>
    </row>
    <row r="2152" spans="1:23" x14ac:dyDescent="0.4">
      <c r="A2152" t="s">
        <v>262</v>
      </c>
      <c r="B2152" t="s">
        <v>262</v>
      </c>
      <c r="C2152" t="s">
        <v>2515</v>
      </c>
      <c r="D2152" t="s">
        <v>21</v>
      </c>
      <c r="E2152" t="s">
        <v>22</v>
      </c>
      <c r="F2152" t="s">
        <v>23</v>
      </c>
      <c r="G2152">
        <v>1</v>
      </c>
      <c r="H2152">
        <v>9791191562439</v>
      </c>
      <c r="I2152" t="s">
        <v>143</v>
      </c>
      <c r="J2152" t="s">
        <v>1661</v>
      </c>
      <c r="K2152" t="s">
        <v>188</v>
      </c>
      <c r="L2152" t="s">
        <v>27</v>
      </c>
      <c r="M2152" s="3">
        <v>2500</v>
      </c>
      <c r="N2152" t="s">
        <v>27</v>
      </c>
      <c r="O2152" s="3">
        <v>2500</v>
      </c>
      <c r="P2152" s="3">
        <v>2500</v>
      </c>
      <c r="Q2152" t="s">
        <v>30</v>
      </c>
      <c r="R2152" s="2">
        <v>0.7</v>
      </c>
      <c r="S2152" s="3">
        <v>1750</v>
      </c>
      <c r="T2152" t="s">
        <v>27</v>
      </c>
      <c r="U2152" s="3">
        <v>1750</v>
      </c>
      <c r="V2152" s="7" t="str">
        <f>IF(ISERROR(VLOOKUP(K2152,[1]작가별정산률!$R:$S,2,0)),"스토리위즈",VLOOKUP(K2152,[1]작가별정산률!$R:$S,2,0))</f>
        <v>밀리의 서재</v>
      </c>
      <c r="W2152" s="7" t="str">
        <f>IF(V2152="스토리위즈",VLOOKUP(K2152,[1]작가별정산률!$A:$B,2,0),V2152)</f>
        <v>밀리의 서재</v>
      </c>
    </row>
    <row r="2153" spans="1:23" x14ac:dyDescent="0.4">
      <c r="A2153" t="s">
        <v>262</v>
      </c>
      <c r="B2153" t="s">
        <v>262</v>
      </c>
      <c r="C2153" t="s">
        <v>2516</v>
      </c>
      <c r="D2153" t="s">
        <v>64</v>
      </c>
      <c r="E2153" t="s">
        <v>22</v>
      </c>
      <c r="F2153" t="s">
        <v>23</v>
      </c>
      <c r="G2153">
        <v>1</v>
      </c>
      <c r="H2153">
        <v>9791166300219</v>
      </c>
      <c r="I2153" t="s">
        <v>24</v>
      </c>
      <c r="J2153" t="s">
        <v>130</v>
      </c>
      <c r="K2153" t="s">
        <v>119</v>
      </c>
      <c r="L2153" t="s">
        <v>27</v>
      </c>
      <c r="M2153">
        <v>630</v>
      </c>
      <c r="N2153" t="s">
        <v>27</v>
      </c>
      <c r="O2153">
        <v>630</v>
      </c>
      <c r="P2153">
        <v>630</v>
      </c>
      <c r="Q2153" t="s">
        <v>30</v>
      </c>
      <c r="R2153" s="2">
        <v>0.7</v>
      </c>
      <c r="S2153">
        <v>441</v>
      </c>
      <c r="T2153" t="s">
        <v>27</v>
      </c>
      <c r="U2153">
        <v>441</v>
      </c>
      <c r="V2153" s="7" t="str">
        <f>IF(ISERROR(VLOOKUP(K2153,[1]작가별정산률!$R:$S,2,0)),"스토리위즈",VLOOKUP(K2153,[1]작가별정산률!$R:$S,2,0))</f>
        <v>스토리위즈</v>
      </c>
      <c r="W2153" s="7" t="str">
        <f>IF(V2153="스토리위즈",VLOOKUP(K2153,[1]작가별정산률!$A:$B,2,0),V2153)</f>
        <v>김광수</v>
      </c>
    </row>
    <row r="2154" spans="1:23" x14ac:dyDescent="0.4">
      <c r="A2154" t="s">
        <v>262</v>
      </c>
      <c r="B2154" t="s">
        <v>262</v>
      </c>
      <c r="C2154" t="s">
        <v>2517</v>
      </c>
      <c r="D2154" t="s">
        <v>21</v>
      </c>
      <c r="E2154" t="s">
        <v>22</v>
      </c>
      <c r="F2154" t="s">
        <v>23</v>
      </c>
      <c r="G2154">
        <v>1</v>
      </c>
      <c r="H2154">
        <v>9791166300127</v>
      </c>
      <c r="I2154" t="s">
        <v>24</v>
      </c>
      <c r="J2154" t="s">
        <v>122</v>
      </c>
      <c r="K2154" t="s">
        <v>119</v>
      </c>
      <c r="L2154" t="s">
        <v>27</v>
      </c>
      <c r="M2154" s="3">
        <v>3200</v>
      </c>
      <c r="N2154" t="s">
        <v>27</v>
      </c>
      <c r="O2154" s="3">
        <v>3200</v>
      </c>
      <c r="P2154" s="3">
        <v>3200</v>
      </c>
      <c r="Q2154" t="s">
        <v>30</v>
      </c>
      <c r="R2154" s="2">
        <v>0.7</v>
      </c>
      <c r="S2154" s="3">
        <v>2240</v>
      </c>
      <c r="T2154" t="s">
        <v>27</v>
      </c>
      <c r="U2154" s="3">
        <v>2240</v>
      </c>
      <c r="V2154" s="7" t="str">
        <f>IF(ISERROR(VLOOKUP(K2154,[1]작가별정산률!$R:$S,2,0)),"스토리위즈",VLOOKUP(K2154,[1]작가별정산률!$R:$S,2,0))</f>
        <v>스토리위즈</v>
      </c>
      <c r="W2154" s="7" t="str">
        <f>IF(V2154="스토리위즈",VLOOKUP(K2154,[1]작가별정산률!$A:$B,2,0),V2154)</f>
        <v>김광수</v>
      </c>
    </row>
    <row r="2155" spans="1:23" x14ac:dyDescent="0.4">
      <c r="A2155" t="s">
        <v>262</v>
      </c>
      <c r="B2155" t="s">
        <v>262</v>
      </c>
      <c r="C2155" t="s">
        <v>2518</v>
      </c>
      <c r="D2155" t="s">
        <v>64</v>
      </c>
      <c r="E2155" t="s">
        <v>22</v>
      </c>
      <c r="F2155" t="s">
        <v>23</v>
      </c>
      <c r="G2155">
        <v>1</v>
      </c>
      <c r="H2155">
        <v>9791159284991</v>
      </c>
      <c r="I2155" t="s">
        <v>24</v>
      </c>
      <c r="J2155" t="s">
        <v>51</v>
      </c>
      <c r="K2155" t="s">
        <v>47</v>
      </c>
      <c r="L2155" t="s">
        <v>27</v>
      </c>
      <c r="M2155">
        <v>630</v>
      </c>
      <c r="N2155" t="s">
        <v>27</v>
      </c>
      <c r="O2155">
        <v>630</v>
      </c>
      <c r="P2155">
        <v>630</v>
      </c>
      <c r="Q2155" t="s">
        <v>30</v>
      </c>
      <c r="R2155" s="2">
        <v>0.7</v>
      </c>
      <c r="S2155">
        <v>441</v>
      </c>
      <c r="T2155" t="s">
        <v>27</v>
      </c>
      <c r="U2155">
        <v>441</v>
      </c>
      <c r="V2155" s="7" t="str">
        <f>IF(ISERROR(VLOOKUP(K2155,[1]작가별정산률!$R:$S,2,0)),"스토리위즈",VLOOKUP(K2155,[1]작가별정산률!$R:$S,2,0))</f>
        <v>스토리위즈</v>
      </c>
      <c r="W2155" s="7" t="str">
        <f>IF(V2155="스토리위즈",VLOOKUP(K2155,[1]작가별정산률!$A:$B,2,0),V2155)</f>
        <v>전혁</v>
      </c>
    </row>
    <row r="2156" spans="1:23" x14ac:dyDescent="0.4">
      <c r="A2156" t="s">
        <v>262</v>
      </c>
      <c r="B2156" t="s">
        <v>262</v>
      </c>
      <c r="C2156" t="s">
        <v>2519</v>
      </c>
      <c r="D2156" t="s">
        <v>21</v>
      </c>
      <c r="E2156" t="s">
        <v>22</v>
      </c>
      <c r="F2156" t="s">
        <v>23</v>
      </c>
      <c r="G2156">
        <v>1</v>
      </c>
      <c r="H2156">
        <v>9791191562262</v>
      </c>
      <c r="I2156" t="s">
        <v>143</v>
      </c>
      <c r="J2156" t="s">
        <v>250</v>
      </c>
      <c r="K2156" t="s">
        <v>251</v>
      </c>
      <c r="L2156" t="s">
        <v>27</v>
      </c>
      <c r="M2156" s="3">
        <v>2000</v>
      </c>
      <c r="N2156" t="s">
        <v>27</v>
      </c>
      <c r="O2156" s="3">
        <v>2000</v>
      </c>
      <c r="P2156" s="3">
        <v>2000</v>
      </c>
      <c r="Q2156" t="s">
        <v>30</v>
      </c>
      <c r="R2156" s="2">
        <v>0.7</v>
      </c>
      <c r="S2156" s="3">
        <v>1400</v>
      </c>
      <c r="T2156" t="s">
        <v>27</v>
      </c>
      <c r="U2156" s="3">
        <v>1400</v>
      </c>
      <c r="V2156" s="7" t="str">
        <f>IF(ISERROR(VLOOKUP(K2156,[1]작가별정산률!$R:$S,2,0)),"스토리위즈",VLOOKUP(K2156,[1]작가별정산률!$R:$S,2,0))</f>
        <v>밀리의 서재</v>
      </c>
      <c r="W2156" s="7" t="str">
        <f>IF(V2156="스토리위즈",VLOOKUP(K2156,[1]작가별정산률!$A:$B,2,0),V2156)</f>
        <v>밀리의 서재</v>
      </c>
    </row>
    <row r="2157" spans="1:23" x14ac:dyDescent="0.4">
      <c r="A2157" t="s">
        <v>262</v>
      </c>
      <c r="B2157" t="s">
        <v>262</v>
      </c>
      <c r="C2157" t="s">
        <v>2520</v>
      </c>
      <c r="D2157" t="s">
        <v>64</v>
      </c>
      <c r="E2157" t="s">
        <v>22</v>
      </c>
      <c r="F2157" t="s">
        <v>23</v>
      </c>
      <c r="G2157">
        <v>1</v>
      </c>
      <c r="H2157">
        <v>9791166300301</v>
      </c>
      <c r="I2157" t="s">
        <v>24</v>
      </c>
      <c r="J2157" t="s">
        <v>139</v>
      </c>
      <c r="K2157" t="s">
        <v>119</v>
      </c>
      <c r="L2157" t="s">
        <v>27</v>
      </c>
      <c r="M2157">
        <v>630</v>
      </c>
      <c r="N2157" t="s">
        <v>27</v>
      </c>
      <c r="O2157">
        <v>630</v>
      </c>
      <c r="P2157">
        <v>630</v>
      </c>
      <c r="Q2157" t="s">
        <v>30</v>
      </c>
      <c r="R2157" s="2">
        <v>0.7</v>
      </c>
      <c r="S2157">
        <v>441</v>
      </c>
      <c r="T2157" t="s">
        <v>27</v>
      </c>
      <c r="U2157">
        <v>441</v>
      </c>
      <c r="V2157" s="7" t="str">
        <f>IF(ISERROR(VLOOKUP(K2157,[1]작가별정산률!$R:$S,2,0)),"스토리위즈",VLOOKUP(K2157,[1]작가별정산률!$R:$S,2,0))</f>
        <v>스토리위즈</v>
      </c>
      <c r="W2157" s="7" t="str">
        <f>IF(V2157="스토리위즈",VLOOKUP(K2157,[1]작가별정산률!$A:$B,2,0),V2157)</f>
        <v>김광수</v>
      </c>
    </row>
    <row r="2158" spans="1:23" x14ac:dyDescent="0.4">
      <c r="A2158" t="s">
        <v>262</v>
      </c>
      <c r="B2158" t="s">
        <v>262</v>
      </c>
      <c r="C2158" t="s">
        <v>2521</v>
      </c>
      <c r="D2158" t="s">
        <v>21</v>
      </c>
      <c r="E2158" t="s">
        <v>22</v>
      </c>
      <c r="F2158" t="s">
        <v>23</v>
      </c>
      <c r="G2158">
        <v>1</v>
      </c>
      <c r="H2158">
        <v>9791191562316</v>
      </c>
      <c r="I2158" t="s">
        <v>143</v>
      </c>
      <c r="J2158" t="s">
        <v>229</v>
      </c>
      <c r="K2158" t="s">
        <v>230</v>
      </c>
      <c r="L2158" t="s">
        <v>27</v>
      </c>
      <c r="M2158" s="3">
        <v>2500</v>
      </c>
      <c r="N2158" t="s">
        <v>27</v>
      </c>
      <c r="O2158" s="3">
        <v>2500</v>
      </c>
      <c r="P2158" s="3">
        <v>2500</v>
      </c>
      <c r="Q2158" t="s">
        <v>30</v>
      </c>
      <c r="R2158" s="2">
        <v>0.7</v>
      </c>
      <c r="S2158" s="3">
        <v>1750</v>
      </c>
      <c r="T2158" t="s">
        <v>27</v>
      </c>
      <c r="U2158" s="3">
        <v>1750</v>
      </c>
      <c r="V2158" s="7" t="str">
        <f>IF(ISERROR(VLOOKUP(K2158,[1]작가별정산률!$R:$S,2,0)),"스토리위즈",VLOOKUP(K2158,[1]작가별정산률!$R:$S,2,0))</f>
        <v>밀리의 서재</v>
      </c>
      <c r="W2158" s="7" t="str">
        <f>IF(V2158="스토리위즈",VLOOKUP(K2158,[1]작가별정산률!$A:$B,2,0),V2158)</f>
        <v>밀리의 서재</v>
      </c>
    </row>
    <row r="2159" spans="1:23" x14ac:dyDescent="0.4">
      <c r="A2159" t="s">
        <v>262</v>
      </c>
      <c r="B2159" t="s">
        <v>262</v>
      </c>
      <c r="C2159" t="s">
        <v>2522</v>
      </c>
      <c r="D2159" t="s">
        <v>64</v>
      </c>
      <c r="E2159" t="s">
        <v>22</v>
      </c>
      <c r="F2159" t="s">
        <v>23</v>
      </c>
      <c r="G2159">
        <v>1</v>
      </c>
      <c r="H2159">
        <v>9791166300196</v>
      </c>
      <c r="I2159" t="s">
        <v>24</v>
      </c>
      <c r="J2159" t="s">
        <v>128</v>
      </c>
      <c r="K2159" t="s">
        <v>119</v>
      </c>
      <c r="L2159" t="s">
        <v>27</v>
      </c>
      <c r="M2159">
        <v>630</v>
      </c>
      <c r="N2159" t="s">
        <v>27</v>
      </c>
      <c r="O2159">
        <v>630</v>
      </c>
      <c r="P2159">
        <v>630</v>
      </c>
      <c r="Q2159" t="s">
        <v>30</v>
      </c>
      <c r="R2159" s="2">
        <v>0.7</v>
      </c>
      <c r="S2159">
        <v>441</v>
      </c>
      <c r="T2159" t="s">
        <v>27</v>
      </c>
      <c r="U2159">
        <v>441</v>
      </c>
      <c r="V2159" s="7" t="str">
        <f>IF(ISERROR(VLOOKUP(K2159,[1]작가별정산률!$R:$S,2,0)),"스토리위즈",VLOOKUP(K2159,[1]작가별정산률!$R:$S,2,0))</f>
        <v>스토리위즈</v>
      </c>
      <c r="W2159" s="7" t="str">
        <f>IF(V2159="스토리위즈",VLOOKUP(K2159,[1]작가별정산률!$A:$B,2,0),V2159)</f>
        <v>김광수</v>
      </c>
    </row>
    <row r="2160" spans="1:23" x14ac:dyDescent="0.4">
      <c r="A2160" t="s">
        <v>262</v>
      </c>
      <c r="B2160" t="s">
        <v>262</v>
      </c>
      <c r="C2160" t="s">
        <v>2523</v>
      </c>
      <c r="D2160" t="s">
        <v>21</v>
      </c>
      <c r="E2160" t="s">
        <v>22</v>
      </c>
      <c r="F2160" t="s">
        <v>23</v>
      </c>
      <c r="G2160">
        <v>1</v>
      </c>
      <c r="H2160">
        <v>9791189084455</v>
      </c>
      <c r="I2160" t="s">
        <v>143</v>
      </c>
      <c r="J2160" t="s">
        <v>1446</v>
      </c>
      <c r="K2160" t="s">
        <v>1378</v>
      </c>
      <c r="L2160" t="s">
        <v>27</v>
      </c>
      <c r="M2160" s="3">
        <v>3000</v>
      </c>
      <c r="N2160" t="s">
        <v>27</v>
      </c>
      <c r="O2160" s="3">
        <v>3000</v>
      </c>
      <c r="P2160" s="3">
        <v>3000</v>
      </c>
      <c r="Q2160" t="s">
        <v>30</v>
      </c>
      <c r="R2160" s="2">
        <v>0.7</v>
      </c>
      <c r="S2160" s="3">
        <v>2100</v>
      </c>
      <c r="T2160" t="s">
        <v>27</v>
      </c>
      <c r="U2160" s="3">
        <v>2100</v>
      </c>
      <c r="V2160" s="7" t="str">
        <f>IF(ISERROR(VLOOKUP(K2160,[1]작가별정산률!$R:$S,2,0)),"스토리위즈",VLOOKUP(K2160,[1]작가별정산률!$R:$S,2,0))</f>
        <v>스토리위즈</v>
      </c>
      <c r="W2160" s="7" t="str">
        <f>IF(V2160="스토리위즈",VLOOKUP(K2160,[1]작가별정산률!$A:$B,2,0),V2160)</f>
        <v>밈스</v>
      </c>
    </row>
    <row r="2161" spans="1:23" x14ac:dyDescent="0.4">
      <c r="A2161" t="s">
        <v>262</v>
      </c>
      <c r="B2161" t="s">
        <v>262</v>
      </c>
      <c r="C2161" t="s">
        <v>2524</v>
      </c>
      <c r="D2161" t="s">
        <v>64</v>
      </c>
      <c r="E2161" t="s">
        <v>22</v>
      </c>
      <c r="F2161" t="s">
        <v>23</v>
      </c>
      <c r="G2161">
        <v>1</v>
      </c>
      <c r="H2161">
        <v>9791166300523</v>
      </c>
      <c r="I2161" t="s">
        <v>24</v>
      </c>
      <c r="J2161" t="s">
        <v>150</v>
      </c>
      <c r="K2161" t="s">
        <v>119</v>
      </c>
      <c r="L2161" t="s">
        <v>27</v>
      </c>
      <c r="M2161">
        <v>630</v>
      </c>
      <c r="N2161" t="s">
        <v>27</v>
      </c>
      <c r="O2161">
        <v>630</v>
      </c>
      <c r="P2161">
        <v>630</v>
      </c>
      <c r="Q2161" t="s">
        <v>30</v>
      </c>
      <c r="R2161" s="2">
        <v>0.7</v>
      </c>
      <c r="S2161">
        <v>441</v>
      </c>
      <c r="T2161" t="s">
        <v>27</v>
      </c>
      <c r="U2161">
        <v>441</v>
      </c>
      <c r="V2161" s="7" t="str">
        <f>IF(ISERROR(VLOOKUP(K2161,[1]작가별정산률!$R:$S,2,0)),"스토리위즈",VLOOKUP(K2161,[1]작가별정산률!$R:$S,2,0))</f>
        <v>스토리위즈</v>
      </c>
      <c r="W2161" s="7" t="str">
        <f>IF(V2161="스토리위즈",VLOOKUP(K2161,[1]작가별정산률!$A:$B,2,0),V2161)</f>
        <v>김광수</v>
      </c>
    </row>
    <row r="2162" spans="1:23" x14ac:dyDescent="0.4">
      <c r="A2162" t="s">
        <v>262</v>
      </c>
      <c r="B2162" t="s">
        <v>262</v>
      </c>
      <c r="C2162" t="s">
        <v>2525</v>
      </c>
      <c r="D2162" t="s">
        <v>21</v>
      </c>
      <c r="E2162" t="s">
        <v>22</v>
      </c>
      <c r="F2162" t="s">
        <v>23</v>
      </c>
      <c r="G2162">
        <v>1</v>
      </c>
      <c r="H2162">
        <v>9791164370962</v>
      </c>
      <c r="I2162" t="s">
        <v>143</v>
      </c>
      <c r="J2162" t="s">
        <v>1939</v>
      </c>
      <c r="K2162" t="s">
        <v>564</v>
      </c>
      <c r="L2162" t="s">
        <v>27</v>
      </c>
      <c r="M2162" s="3">
        <v>3800</v>
      </c>
      <c r="N2162" t="s">
        <v>27</v>
      </c>
      <c r="O2162" s="3">
        <v>3800</v>
      </c>
      <c r="P2162" s="3">
        <v>3800</v>
      </c>
      <c r="Q2162" t="s">
        <v>30</v>
      </c>
      <c r="R2162" s="2">
        <v>0.7</v>
      </c>
      <c r="S2162" s="3">
        <v>2660</v>
      </c>
      <c r="T2162" t="s">
        <v>27</v>
      </c>
      <c r="U2162" s="3">
        <v>2660</v>
      </c>
      <c r="V2162" s="7" t="str">
        <f>IF(ISERROR(VLOOKUP(K2162,[1]작가별정산률!$R:$S,2,0)),"스토리위즈",VLOOKUP(K2162,[1]작가별정산률!$R:$S,2,0))</f>
        <v>스토리위즈</v>
      </c>
      <c r="W2162" s="7" t="str">
        <f>IF(V2162="스토리위즈",VLOOKUP(K2162,[1]작가별정산률!$A:$B,2,0),V2162)</f>
        <v>셔틀</v>
      </c>
    </row>
    <row r="2163" spans="1:23" x14ac:dyDescent="0.4">
      <c r="A2163" t="s">
        <v>262</v>
      </c>
      <c r="B2163" t="s">
        <v>262</v>
      </c>
      <c r="C2163" t="s">
        <v>2526</v>
      </c>
      <c r="D2163" t="s">
        <v>64</v>
      </c>
      <c r="E2163" t="s">
        <v>22</v>
      </c>
      <c r="F2163" t="s">
        <v>23</v>
      </c>
      <c r="G2163">
        <v>1</v>
      </c>
      <c r="H2163">
        <v>9791166300233</v>
      </c>
      <c r="I2163" t="s">
        <v>24</v>
      </c>
      <c r="J2163" t="s">
        <v>132</v>
      </c>
      <c r="K2163" t="s">
        <v>119</v>
      </c>
      <c r="L2163" t="s">
        <v>27</v>
      </c>
      <c r="M2163">
        <v>630</v>
      </c>
      <c r="N2163" t="s">
        <v>27</v>
      </c>
      <c r="O2163">
        <v>630</v>
      </c>
      <c r="P2163">
        <v>630</v>
      </c>
      <c r="Q2163" t="s">
        <v>30</v>
      </c>
      <c r="R2163" s="2">
        <v>0.7</v>
      </c>
      <c r="S2163">
        <v>441</v>
      </c>
      <c r="T2163" t="s">
        <v>27</v>
      </c>
      <c r="U2163">
        <v>441</v>
      </c>
      <c r="V2163" s="7" t="str">
        <f>IF(ISERROR(VLOOKUP(K2163,[1]작가별정산률!$R:$S,2,0)),"스토리위즈",VLOOKUP(K2163,[1]작가별정산률!$R:$S,2,0))</f>
        <v>스토리위즈</v>
      </c>
      <c r="W2163" s="7" t="str">
        <f>IF(V2163="스토리위즈",VLOOKUP(K2163,[1]작가별정산률!$A:$B,2,0),V2163)</f>
        <v>김광수</v>
      </c>
    </row>
    <row r="2164" spans="1:23" x14ac:dyDescent="0.4">
      <c r="A2164" t="s">
        <v>262</v>
      </c>
      <c r="B2164" t="s">
        <v>262</v>
      </c>
      <c r="C2164" t="s">
        <v>2527</v>
      </c>
      <c r="D2164" t="s">
        <v>64</v>
      </c>
      <c r="E2164" t="s">
        <v>22</v>
      </c>
      <c r="F2164" t="s">
        <v>23</v>
      </c>
      <c r="G2164">
        <v>1</v>
      </c>
      <c r="H2164">
        <v>9791159283277</v>
      </c>
      <c r="I2164" t="s">
        <v>24</v>
      </c>
      <c r="J2164" t="s">
        <v>118</v>
      </c>
      <c r="K2164" t="s">
        <v>37</v>
      </c>
      <c r="L2164" t="s">
        <v>27</v>
      </c>
      <c r="M2164">
        <v>630</v>
      </c>
      <c r="N2164" t="s">
        <v>27</v>
      </c>
      <c r="O2164">
        <v>630</v>
      </c>
      <c r="P2164">
        <v>630</v>
      </c>
      <c r="Q2164" t="s">
        <v>30</v>
      </c>
      <c r="R2164" s="2">
        <v>0.7</v>
      </c>
      <c r="S2164">
        <v>441</v>
      </c>
      <c r="T2164" t="s">
        <v>27</v>
      </c>
      <c r="U2164">
        <v>441</v>
      </c>
      <c r="V2164" s="7" t="str">
        <f>IF(ISERROR(VLOOKUP(K2164,[1]작가별정산률!$R:$S,2,0)),"스토리위즈",VLOOKUP(K2164,[1]작가별정산률!$R:$S,2,0))</f>
        <v>스토리위즈</v>
      </c>
      <c r="W2164" s="7" t="str">
        <f>IF(V2164="스토리위즈",VLOOKUP(K2164,[1]작가별정산률!$A:$B,2,0),V2164)</f>
        <v>권용찬</v>
      </c>
    </row>
    <row r="2165" spans="1:23" x14ac:dyDescent="0.4">
      <c r="A2165" t="s">
        <v>262</v>
      </c>
      <c r="B2165" t="s">
        <v>262</v>
      </c>
      <c r="C2165" t="s">
        <v>2528</v>
      </c>
      <c r="D2165" t="s">
        <v>21</v>
      </c>
      <c r="E2165" t="s">
        <v>22</v>
      </c>
      <c r="F2165" t="s">
        <v>23</v>
      </c>
      <c r="G2165">
        <v>1</v>
      </c>
      <c r="H2165">
        <v>9791164372058</v>
      </c>
      <c r="I2165" t="s">
        <v>143</v>
      </c>
      <c r="J2165" t="s">
        <v>2369</v>
      </c>
      <c r="K2165" t="s">
        <v>1378</v>
      </c>
      <c r="L2165" t="s">
        <v>27</v>
      </c>
      <c r="M2165" s="3">
        <v>3200</v>
      </c>
      <c r="N2165" t="s">
        <v>27</v>
      </c>
      <c r="O2165" s="3">
        <v>3200</v>
      </c>
      <c r="P2165" s="3">
        <v>3200</v>
      </c>
      <c r="Q2165" t="s">
        <v>30</v>
      </c>
      <c r="R2165" s="2">
        <v>0.7</v>
      </c>
      <c r="S2165" s="3">
        <v>2240</v>
      </c>
      <c r="T2165" t="s">
        <v>27</v>
      </c>
      <c r="U2165" s="3">
        <v>2240</v>
      </c>
      <c r="V2165" s="7" t="str">
        <f>IF(ISERROR(VLOOKUP(K2165,[1]작가별정산률!$R:$S,2,0)),"스토리위즈",VLOOKUP(K2165,[1]작가별정산률!$R:$S,2,0))</f>
        <v>스토리위즈</v>
      </c>
      <c r="W2165" s="7" t="str">
        <f>IF(V2165="스토리위즈",VLOOKUP(K2165,[1]작가별정산률!$A:$B,2,0),V2165)</f>
        <v>밈스</v>
      </c>
    </row>
    <row r="2166" spans="1:23" x14ac:dyDescent="0.4">
      <c r="A2166" t="s">
        <v>262</v>
      </c>
      <c r="B2166" t="s">
        <v>262</v>
      </c>
      <c r="C2166" t="s">
        <v>2529</v>
      </c>
      <c r="D2166" t="s">
        <v>21</v>
      </c>
      <c r="E2166" t="s">
        <v>22</v>
      </c>
      <c r="F2166" t="s">
        <v>23</v>
      </c>
      <c r="G2166">
        <v>1</v>
      </c>
      <c r="H2166">
        <v>9791164370504</v>
      </c>
      <c r="I2166" t="s">
        <v>143</v>
      </c>
      <c r="J2166" t="s">
        <v>1971</v>
      </c>
      <c r="K2166" t="s">
        <v>1035</v>
      </c>
      <c r="L2166" t="s">
        <v>27</v>
      </c>
      <c r="M2166">
        <v>300</v>
      </c>
      <c r="N2166" t="s">
        <v>2111</v>
      </c>
      <c r="O2166">
        <v>4.9000000000000004</v>
      </c>
      <c r="P2166">
        <v>4.9000000000000004</v>
      </c>
      <c r="Q2166" t="s">
        <v>2112</v>
      </c>
      <c r="R2166" s="2">
        <v>0.7</v>
      </c>
      <c r="S2166">
        <v>3.43</v>
      </c>
      <c r="T2166" t="s">
        <v>27</v>
      </c>
      <c r="U2166">
        <v>217</v>
      </c>
      <c r="V2166" s="7" t="str">
        <f>IF(ISERROR(VLOOKUP(K2166,[1]작가별정산률!$R:$S,2,0)),"스토리위즈",VLOOKUP(K2166,[1]작가별정산률!$R:$S,2,0))</f>
        <v>스토리위즈</v>
      </c>
      <c r="W2166" s="7" t="str">
        <f>IF(V2166="스토리위즈",VLOOKUP(K2166,[1]작가별정산률!$A:$B,2,0),V2166)</f>
        <v>모리미</v>
      </c>
    </row>
    <row r="2167" spans="1:23" x14ac:dyDescent="0.4">
      <c r="A2167" t="s">
        <v>262</v>
      </c>
      <c r="B2167" t="s">
        <v>262</v>
      </c>
      <c r="C2167" t="s">
        <v>2530</v>
      </c>
      <c r="D2167" t="s">
        <v>21</v>
      </c>
      <c r="E2167" t="s">
        <v>22</v>
      </c>
      <c r="F2167" t="s">
        <v>23</v>
      </c>
      <c r="G2167">
        <v>1</v>
      </c>
      <c r="H2167">
        <v>9791189084813</v>
      </c>
      <c r="I2167" t="s">
        <v>143</v>
      </c>
      <c r="J2167" t="s">
        <v>563</v>
      </c>
      <c r="K2167" t="s">
        <v>564</v>
      </c>
      <c r="L2167" t="s">
        <v>27</v>
      </c>
      <c r="M2167" s="3">
        <v>4000</v>
      </c>
      <c r="N2167" t="s">
        <v>27</v>
      </c>
      <c r="O2167" s="3">
        <v>4000</v>
      </c>
      <c r="P2167" s="3">
        <v>4000</v>
      </c>
      <c r="Q2167" t="s">
        <v>30</v>
      </c>
      <c r="R2167" s="2">
        <v>0.7</v>
      </c>
      <c r="S2167" s="3">
        <v>2800</v>
      </c>
      <c r="T2167" t="s">
        <v>27</v>
      </c>
      <c r="U2167" s="3">
        <v>2800</v>
      </c>
      <c r="V2167" s="7" t="str">
        <f>IF(ISERROR(VLOOKUP(K2167,[1]작가별정산률!$R:$S,2,0)),"스토리위즈",VLOOKUP(K2167,[1]작가별정산률!$R:$S,2,0))</f>
        <v>스토리위즈</v>
      </c>
      <c r="W2167" s="7" t="str">
        <f>IF(V2167="스토리위즈",VLOOKUP(K2167,[1]작가별정산률!$A:$B,2,0),V2167)</f>
        <v>셔틀</v>
      </c>
    </row>
    <row r="2168" spans="1:23" x14ac:dyDescent="0.4">
      <c r="A2168" t="s">
        <v>262</v>
      </c>
      <c r="B2168" t="s">
        <v>262</v>
      </c>
      <c r="C2168" t="s">
        <v>2531</v>
      </c>
      <c r="D2168" t="s">
        <v>21</v>
      </c>
      <c r="E2168" t="s">
        <v>22</v>
      </c>
      <c r="F2168" t="s">
        <v>23</v>
      </c>
      <c r="G2168">
        <v>1</v>
      </c>
      <c r="H2168">
        <v>9791164372188</v>
      </c>
      <c r="I2168" t="s">
        <v>143</v>
      </c>
      <c r="J2168" t="s">
        <v>2532</v>
      </c>
      <c r="K2168" t="s">
        <v>564</v>
      </c>
      <c r="L2168" t="s">
        <v>27</v>
      </c>
      <c r="M2168">
        <v>300</v>
      </c>
      <c r="N2168" t="s">
        <v>27</v>
      </c>
      <c r="O2168">
        <v>300</v>
      </c>
      <c r="P2168">
        <v>300</v>
      </c>
      <c r="Q2168" t="s">
        <v>30</v>
      </c>
      <c r="R2168" s="2">
        <v>0.7</v>
      </c>
      <c r="S2168">
        <v>210</v>
      </c>
      <c r="T2168" t="s">
        <v>27</v>
      </c>
      <c r="U2168">
        <v>210</v>
      </c>
      <c r="V2168" s="7" t="str">
        <f>IF(ISERROR(VLOOKUP(K2168,[1]작가별정산률!$R:$S,2,0)),"스토리위즈",VLOOKUP(K2168,[1]작가별정산률!$R:$S,2,0))</f>
        <v>스토리위즈</v>
      </c>
      <c r="W2168" s="7" t="str">
        <f>IF(V2168="스토리위즈",VLOOKUP(K2168,[1]작가별정산률!$A:$B,2,0),V2168)</f>
        <v>셔틀</v>
      </c>
    </row>
    <row r="2169" spans="1:23" x14ac:dyDescent="0.4">
      <c r="A2169" t="s">
        <v>262</v>
      </c>
      <c r="B2169" t="s">
        <v>262</v>
      </c>
      <c r="C2169" t="s">
        <v>2533</v>
      </c>
      <c r="D2169" t="s">
        <v>21</v>
      </c>
      <c r="E2169" t="s">
        <v>22</v>
      </c>
      <c r="F2169" t="s">
        <v>23</v>
      </c>
      <c r="G2169">
        <v>1</v>
      </c>
      <c r="H2169">
        <v>9791164371051</v>
      </c>
      <c r="I2169" t="s">
        <v>143</v>
      </c>
      <c r="J2169" t="s">
        <v>2282</v>
      </c>
      <c r="K2169" t="s">
        <v>2283</v>
      </c>
      <c r="L2169" t="s">
        <v>27</v>
      </c>
      <c r="M2169">
        <v>500</v>
      </c>
      <c r="N2169" t="s">
        <v>27</v>
      </c>
      <c r="O2169">
        <v>500</v>
      </c>
      <c r="P2169">
        <v>500</v>
      </c>
      <c r="Q2169" t="s">
        <v>30</v>
      </c>
      <c r="R2169" s="2">
        <v>0.7</v>
      </c>
      <c r="S2169">
        <v>350</v>
      </c>
      <c r="T2169" t="s">
        <v>27</v>
      </c>
      <c r="U2169">
        <v>350</v>
      </c>
      <c r="V2169" s="7" t="str">
        <f>IF(ISERROR(VLOOKUP(K2169,[1]작가별정산률!$R:$S,2,0)),"스토리위즈",VLOOKUP(K2169,[1]작가별정산률!$R:$S,2,0))</f>
        <v>스토리위즈</v>
      </c>
      <c r="W2169" s="7" t="str">
        <f>IF(V2169="스토리위즈",VLOOKUP(K2169,[1]작가별정산률!$A:$B,2,0),V2169)</f>
        <v>블 루 스 카 이</v>
      </c>
    </row>
    <row r="2170" spans="1:23" x14ac:dyDescent="0.4">
      <c r="A2170" t="s">
        <v>262</v>
      </c>
      <c r="B2170" t="s">
        <v>262</v>
      </c>
      <c r="C2170" t="s">
        <v>2534</v>
      </c>
      <c r="D2170" t="s">
        <v>64</v>
      </c>
      <c r="E2170" t="s">
        <v>22</v>
      </c>
      <c r="F2170" t="s">
        <v>23</v>
      </c>
      <c r="G2170">
        <v>1</v>
      </c>
      <c r="H2170">
        <v>9791166300509</v>
      </c>
      <c r="I2170" t="s">
        <v>24</v>
      </c>
      <c r="J2170" t="s">
        <v>148</v>
      </c>
      <c r="K2170" t="s">
        <v>119</v>
      </c>
      <c r="L2170" t="s">
        <v>27</v>
      </c>
      <c r="M2170">
        <v>630</v>
      </c>
      <c r="N2170" t="s">
        <v>27</v>
      </c>
      <c r="O2170">
        <v>630</v>
      </c>
      <c r="P2170">
        <v>630</v>
      </c>
      <c r="Q2170" t="s">
        <v>30</v>
      </c>
      <c r="R2170" s="2">
        <v>0.7</v>
      </c>
      <c r="S2170">
        <v>441</v>
      </c>
      <c r="T2170" t="s">
        <v>27</v>
      </c>
      <c r="U2170">
        <v>441</v>
      </c>
      <c r="V2170" s="7" t="str">
        <f>IF(ISERROR(VLOOKUP(K2170,[1]작가별정산률!$R:$S,2,0)),"스토리위즈",VLOOKUP(K2170,[1]작가별정산률!$R:$S,2,0))</f>
        <v>스토리위즈</v>
      </c>
      <c r="W2170" s="7" t="str">
        <f>IF(V2170="스토리위즈",VLOOKUP(K2170,[1]작가별정산률!$A:$B,2,0),V2170)</f>
        <v>김광수</v>
      </c>
    </row>
    <row r="2171" spans="1:23" x14ac:dyDescent="0.4">
      <c r="A2171" t="s">
        <v>262</v>
      </c>
      <c r="B2171" t="s">
        <v>262</v>
      </c>
      <c r="C2171" t="s">
        <v>2535</v>
      </c>
      <c r="D2171" t="s">
        <v>64</v>
      </c>
      <c r="E2171" t="s">
        <v>22</v>
      </c>
      <c r="F2171" t="s">
        <v>23</v>
      </c>
      <c r="G2171">
        <v>1</v>
      </c>
      <c r="H2171">
        <v>9791166061134</v>
      </c>
      <c r="I2171" t="s">
        <v>24</v>
      </c>
      <c r="J2171" t="s">
        <v>98</v>
      </c>
      <c r="K2171" t="s">
        <v>37</v>
      </c>
      <c r="L2171" t="s">
        <v>27</v>
      </c>
      <c r="M2171">
        <v>900</v>
      </c>
      <c r="N2171" t="s">
        <v>27</v>
      </c>
      <c r="O2171">
        <v>900</v>
      </c>
      <c r="P2171">
        <v>900</v>
      </c>
      <c r="Q2171" t="s">
        <v>30</v>
      </c>
      <c r="R2171" s="2">
        <v>0.7</v>
      </c>
      <c r="S2171">
        <v>630</v>
      </c>
      <c r="T2171" t="s">
        <v>27</v>
      </c>
      <c r="U2171">
        <v>630</v>
      </c>
      <c r="V2171" s="7" t="str">
        <f>IF(ISERROR(VLOOKUP(K2171,[1]작가별정산률!$R:$S,2,0)),"스토리위즈",VLOOKUP(K2171,[1]작가별정산률!$R:$S,2,0))</f>
        <v>스토리위즈</v>
      </c>
      <c r="W2171" s="7" t="str">
        <f>IF(V2171="스토리위즈",VLOOKUP(K2171,[1]작가별정산률!$A:$B,2,0),V2171)</f>
        <v>권용찬</v>
      </c>
    </row>
    <row r="2172" spans="1:23" x14ac:dyDescent="0.4">
      <c r="A2172" t="s">
        <v>262</v>
      </c>
      <c r="B2172" t="s">
        <v>262</v>
      </c>
      <c r="C2172" t="s">
        <v>2536</v>
      </c>
      <c r="D2172" t="s">
        <v>64</v>
      </c>
      <c r="E2172" t="s">
        <v>22</v>
      </c>
      <c r="F2172" t="s">
        <v>23</v>
      </c>
      <c r="G2172">
        <v>1</v>
      </c>
      <c r="H2172">
        <v>9791166300240</v>
      </c>
      <c r="I2172" t="s">
        <v>24</v>
      </c>
      <c r="J2172" t="s">
        <v>133</v>
      </c>
      <c r="K2172" t="s">
        <v>119</v>
      </c>
      <c r="L2172" t="s">
        <v>27</v>
      </c>
      <c r="M2172">
        <v>630</v>
      </c>
      <c r="N2172" t="s">
        <v>27</v>
      </c>
      <c r="O2172">
        <v>630</v>
      </c>
      <c r="P2172">
        <v>630</v>
      </c>
      <c r="Q2172" t="s">
        <v>30</v>
      </c>
      <c r="R2172" s="2">
        <v>0.7</v>
      </c>
      <c r="S2172">
        <v>441</v>
      </c>
      <c r="T2172" t="s">
        <v>27</v>
      </c>
      <c r="U2172">
        <v>441</v>
      </c>
      <c r="V2172" s="7" t="str">
        <f>IF(ISERROR(VLOOKUP(K2172,[1]작가별정산률!$R:$S,2,0)),"스토리위즈",VLOOKUP(K2172,[1]작가별정산률!$R:$S,2,0))</f>
        <v>스토리위즈</v>
      </c>
      <c r="W2172" s="7" t="str">
        <f>IF(V2172="스토리위즈",VLOOKUP(K2172,[1]작가별정산률!$A:$B,2,0),V2172)</f>
        <v>김광수</v>
      </c>
    </row>
    <row r="2173" spans="1:23" x14ac:dyDescent="0.4">
      <c r="A2173" t="s">
        <v>262</v>
      </c>
      <c r="B2173" t="s">
        <v>262</v>
      </c>
      <c r="C2173" t="s">
        <v>2537</v>
      </c>
      <c r="D2173" t="s">
        <v>21</v>
      </c>
      <c r="E2173" t="s">
        <v>22</v>
      </c>
      <c r="F2173" t="s">
        <v>23</v>
      </c>
      <c r="G2173">
        <v>1</v>
      </c>
      <c r="H2173">
        <v>9791191562262</v>
      </c>
      <c r="I2173" t="s">
        <v>143</v>
      </c>
      <c r="J2173" t="s">
        <v>250</v>
      </c>
      <c r="K2173" t="s">
        <v>251</v>
      </c>
      <c r="L2173" t="s">
        <v>27</v>
      </c>
      <c r="M2173" s="3">
        <v>2000</v>
      </c>
      <c r="N2173" t="s">
        <v>27</v>
      </c>
      <c r="O2173" s="3">
        <v>2000</v>
      </c>
      <c r="P2173" s="3">
        <v>2000</v>
      </c>
      <c r="Q2173" t="s">
        <v>30</v>
      </c>
      <c r="R2173" s="2">
        <v>0.7</v>
      </c>
      <c r="S2173" s="3">
        <v>1400</v>
      </c>
      <c r="T2173" t="s">
        <v>27</v>
      </c>
      <c r="U2173" s="3">
        <v>1400</v>
      </c>
      <c r="V2173" s="7" t="str">
        <f>IF(ISERROR(VLOOKUP(K2173,[1]작가별정산률!$R:$S,2,0)),"스토리위즈",VLOOKUP(K2173,[1]작가별정산률!$R:$S,2,0))</f>
        <v>밀리의 서재</v>
      </c>
      <c r="W2173" s="7" t="str">
        <f>IF(V2173="스토리위즈",VLOOKUP(K2173,[1]작가별정산률!$A:$B,2,0),V2173)</f>
        <v>밀리의 서재</v>
      </c>
    </row>
    <row r="2174" spans="1:23" x14ac:dyDescent="0.4">
      <c r="A2174" t="s">
        <v>262</v>
      </c>
      <c r="B2174" t="s">
        <v>262</v>
      </c>
      <c r="C2174" t="s">
        <v>2538</v>
      </c>
      <c r="D2174" t="s">
        <v>64</v>
      </c>
      <c r="E2174" t="s">
        <v>22</v>
      </c>
      <c r="F2174" t="s">
        <v>23</v>
      </c>
      <c r="G2174">
        <v>1</v>
      </c>
      <c r="H2174">
        <v>9791166061141</v>
      </c>
      <c r="I2174" t="s">
        <v>24</v>
      </c>
      <c r="J2174" t="s">
        <v>99</v>
      </c>
      <c r="K2174" t="s">
        <v>37</v>
      </c>
      <c r="L2174" t="s">
        <v>27</v>
      </c>
      <c r="M2174">
        <v>900</v>
      </c>
      <c r="N2174" t="s">
        <v>27</v>
      </c>
      <c r="O2174">
        <v>900</v>
      </c>
      <c r="P2174">
        <v>900</v>
      </c>
      <c r="Q2174" t="s">
        <v>30</v>
      </c>
      <c r="R2174" s="2">
        <v>0.7</v>
      </c>
      <c r="S2174">
        <v>630</v>
      </c>
      <c r="T2174" t="s">
        <v>27</v>
      </c>
      <c r="U2174">
        <v>630</v>
      </c>
      <c r="V2174" s="7" t="str">
        <f>IF(ISERROR(VLOOKUP(K2174,[1]작가별정산률!$R:$S,2,0)),"스토리위즈",VLOOKUP(K2174,[1]작가별정산률!$R:$S,2,0))</f>
        <v>스토리위즈</v>
      </c>
      <c r="W2174" s="7" t="str">
        <f>IF(V2174="스토리위즈",VLOOKUP(K2174,[1]작가별정산률!$A:$B,2,0),V2174)</f>
        <v>권용찬</v>
      </c>
    </row>
    <row r="2175" spans="1:23" x14ac:dyDescent="0.4">
      <c r="A2175" t="s">
        <v>262</v>
      </c>
      <c r="B2175" t="s">
        <v>262</v>
      </c>
      <c r="C2175" t="s">
        <v>2539</v>
      </c>
      <c r="D2175" t="s">
        <v>21</v>
      </c>
      <c r="E2175" t="s">
        <v>22</v>
      </c>
      <c r="F2175" t="s">
        <v>23</v>
      </c>
      <c r="G2175">
        <v>1</v>
      </c>
      <c r="H2175">
        <v>9791164372478</v>
      </c>
      <c r="I2175" t="s">
        <v>143</v>
      </c>
      <c r="J2175" t="s">
        <v>2540</v>
      </c>
      <c r="K2175" t="s">
        <v>2185</v>
      </c>
      <c r="L2175" t="s">
        <v>27</v>
      </c>
      <c r="M2175" s="3">
        <v>4000</v>
      </c>
      <c r="N2175" t="s">
        <v>27</v>
      </c>
      <c r="O2175" s="3">
        <v>4000</v>
      </c>
      <c r="P2175" s="3">
        <v>4000</v>
      </c>
      <c r="Q2175" t="s">
        <v>30</v>
      </c>
      <c r="R2175" s="2">
        <v>0.7</v>
      </c>
      <c r="S2175" s="3">
        <v>2800</v>
      </c>
      <c r="T2175" t="s">
        <v>27</v>
      </c>
      <c r="U2175" s="3">
        <v>2800</v>
      </c>
      <c r="V2175" s="7" t="str">
        <f>IF(ISERROR(VLOOKUP(K2175,[1]작가별정산률!$R:$S,2,0)),"스토리위즈",VLOOKUP(K2175,[1]작가별정산률!$R:$S,2,0))</f>
        <v>스토리위즈</v>
      </c>
      <c r="W2175" s="7" t="str">
        <f>IF(V2175="스토리위즈",VLOOKUP(K2175,[1]작가별정산률!$A:$B,2,0),V2175)</f>
        <v>아이리스</v>
      </c>
    </row>
    <row r="2176" spans="1:23" x14ac:dyDescent="0.4">
      <c r="A2176" t="s">
        <v>262</v>
      </c>
      <c r="B2176" t="s">
        <v>262</v>
      </c>
      <c r="C2176" t="s">
        <v>2541</v>
      </c>
      <c r="D2176" t="s">
        <v>21</v>
      </c>
      <c r="E2176" t="s">
        <v>22</v>
      </c>
      <c r="F2176" t="s">
        <v>23</v>
      </c>
      <c r="G2176">
        <v>1</v>
      </c>
      <c r="H2176">
        <v>9791164372461</v>
      </c>
      <c r="I2176" t="s">
        <v>143</v>
      </c>
      <c r="J2176" t="s">
        <v>2542</v>
      </c>
      <c r="K2176" t="s">
        <v>2185</v>
      </c>
      <c r="L2176" t="s">
        <v>27</v>
      </c>
      <c r="M2176" s="3">
        <v>4000</v>
      </c>
      <c r="N2176" t="s">
        <v>27</v>
      </c>
      <c r="O2176" s="3">
        <v>4000</v>
      </c>
      <c r="P2176" s="3">
        <v>4000</v>
      </c>
      <c r="Q2176" t="s">
        <v>30</v>
      </c>
      <c r="R2176" s="2">
        <v>0.7</v>
      </c>
      <c r="S2176" s="3">
        <v>2800</v>
      </c>
      <c r="T2176" t="s">
        <v>27</v>
      </c>
      <c r="U2176" s="3">
        <v>2800</v>
      </c>
      <c r="V2176" s="7" t="str">
        <f>IF(ISERROR(VLOOKUP(K2176,[1]작가별정산률!$R:$S,2,0)),"스토리위즈",VLOOKUP(K2176,[1]작가별정산률!$R:$S,2,0))</f>
        <v>스토리위즈</v>
      </c>
      <c r="W2176" s="7" t="str">
        <f>IF(V2176="스토리위즈",VLOOKUP(K2176,[1]작가별정산률!$A:$B,2,0),V2176)</f>
        <v>아이리스</v>
      </c>
    </row>
    <row r="2177" spans="1:23" x14ac:dyDescent="0.4">
      <c r="A2177" t="s">
        <v>262</v>
      </c>
      <c r="B2177" t="s">
        <v>262</v>
      </c>
      <c r="C2177" t="s">
        <v>2543</v>
      </c>
      <c r="D2177" t="s">
        <v>21</v>
      </c>
      <c r="E2177" t="s">
        <v>22</v>
      </c>
      <c r="F2177" t="s">
        <v>23</v>
      </c>
      <c r="G2177">
        <v>1</v>
      </c>
      <c r="H2177">
        <v>9791164370498</v>
      </c>
      <c r="I2177" t="s">
        <v>143</v>
      </c>
      <c r="J2177" t="s">
        <v>2544</v>
      </c>
      <c r="K2177" t="s">
        <v>1035</v>
      </c>
      <c r="L2177" t="s">
        <v>27</v>
      </c>
      <c r="M2177" s="3">
        <v>2800</v>
      </c>
      <c r="N2177" t="s">
        <v>27</v>
      </c>
      <c r="O2177" s="3">
        <v>2800</v>
      </c>
      <c r="P2177" s="3">
        <v>2800</v>
      </c>
      <c r="Q2177" t="s">
        <v>30</v>
      </c>
      <c r="R2177" s="2">
        <v>0.7</v>
      </c>
      <c r="S2177" s="3">
        <v>1960</v>
      </c>
      <c r="T2177" t="s">
        <v>27</v>
      </c>
      <c r="U2177" s="3">
        <v>1960</v>
      </c>
      <c r="V2177" s="7" t="str">
        <f>IF(ISERROR(VLOOKUP(K2177,[1]작가별정산률!$R:$S,2,0)),"스토리위즈",VLOOKUP(K2177,[1]작가별정산률!$R:$S,2,0))</f>
        <v>스토리위즈</v>
      </c>
      <c r="W2177" s="7" t="str">
        <f>IF(V2177="스토리위즈",VLOOKUP(K2177,[1]작가별정산률!$A:$B,2,0),V2177)</f>
        <v>모리미</v>
      </c>
    </row>
    <row r="2178" spans="1:23" x14ac:dyDescent="0.4">
      <c r="A2178" t="s">
        <v>262</v>
      </c>
      <c r="B2178" t="s">
        <v>262</v>
      </c>
      <c r="C2178" t="s">
        <v>2545</v>
      </c>
      <c r="D2178" t="s">
        <v>21</v>
      </c>
      <c r="E2178" t="s">
        <v>22</v>
      </c>
      <c r="F2178" t="s">
        <v>23</v>
      </c>
      <c r="G2178">
        <v>1</v>
      </c>
      <c r="H2178">
        <v>9791191562248</v>
      </c>
      <c r="I2178" t="s">
        <v>143</v>
      </c>
      <c r="J2178" t="s">
        <v>231</v>
      </c>
      <c r="K2178" t="s">
        <v>232</v>
      </c>
      <c r="L2178" t="s">
        <v>27</v>
      </c>
      <c r="M2178" s="3">
        <v>2000</v>
      </c>
      <c r="N2178" t="s">
        <v>27</v>
      </c>
      <c r="O2178" s="3">
        <v>2000</v>
      </c>
      <c r="P2178" s="3">
        <v>2000</v>
      </c>
      <c r="Q2178" t="s">
        <v>30</v>
      </c>
      <c r="R2178" s="2">
        <v>0.7</v>
      </c>
      <c r="S2178" s="3">
        <v>1400</v>
      </c>
      <c r="T2178" t="s">
        <v>27</v>
      </c>
      <c r="U2178" s="3">
        <v>1400</v>
      </c>
      <c r="V2178" s="7" t="str">
        <f>IF(ISERROR(VLOOKUP(K2178,[1]작가별정산률!$R:$S,2,0)),"스토리위즈",VLOOKUP(K2178,[1]작가별정산률!$R:$S,2,0))</f>
        <v>밀리의 서재</v>
      </c>
      <c r="W2178" s="7" t="str">
        <f>IF(V2178="스토리위즈",VLOOKUP(K2178,[1]작가별정산률!$A:$B,2,0),V2178)</f>
        <v>밀리의 서재</v>
      </c>
    </row>
    <row r="2179" spans="1:23" x14ac:dyDescent="0.4">
      <c r="A2179" t="s">
        <v>262</v>
      </c>
      <c r="B2179" t="s">
        <v>262</v>
      </c>
      <c r="C2179" t="s">
        <v>2546</v>
      </c>
      <c r="D2179" t="s">
        <v>64</v>
      </c>
      <c r="E2179" t="s">
        <v>22</v>
      </c>
      <c r="F2179" t="s">
        <v>23</v>
      </c>
      <c r="G2179">
        <v>1</v>
      </c>
      <c r="H2179">
        <v>9791159284960</v>
      </c>
      <c r="I2179" t="s">
        <v>24</v>
      </c>
      <c r="J2179" t="s">
        <v>48</v>
      </c>
      <c r="K2179" t="s">
        <v>47</v>
      </c>
      <c r="L2179" t="s">
        <v>27</v>
      </c>
      <c r="M2179">
        <v>630</v>
      </c>
      <c r="N2179" t="s">
        <v>27</v>
      </c>
      <c r="O2179">
        <v>630</v>
      </c>
      <c r="P2179">
        <v>630</v>
      </c>
      <c r="Q2179" t="s">
        <v>30</v>
      </c>
      <c r="R2179" s="2">
        <v>0.7</v>
      </c>
      <c r="S2179">
        <v>441</v>
      </c>
      <c r="T2179" t="s">
        <v>27</v>
      </c>
      <c r="U2179">
        <v>441</v>
      </c>
      <c r="V2179" s="7" t="str">
        <f>IF(ISERROR(VLOOKUP(K2179,[1]작가별정산률!$R:$S,2,0)),"스토리위즈",VLOOKUP(K2179,[1]작가별정산률!$R:$S,2,0))</f>
        <v>스토리위즈</v>
      </c>
      <c r="W2179" s="7" t="str">
        <f>IF(V2179="스토리위즈",VLOOKUP(K2179,[1]작가별정산률!$A:$B,2,0),V2179)</f>
        <v>전혁</v>
      </c>
    </row>
    <row r="2180" spans="1:23" x14ac:dyDescent="0.4">
      <c r="A2180" t="s">
        <v>262</v>
      </c>
      <c r="B2180" t="s">
        <v>262</v>
      </c>
      <c r="C2180" t="s">
        <v>2547</v>
      </c>
      <c r="D2180" t="s">
        <v>21</v>
      </c>
      <c r="E2180" t="s">
        <v>22</v>
      </c>
      <c r="F2180" t="s">
        <v>23</v>
      </c>
      <c r="G2180">
        <v>1</v>
      </c>
      <c r="H2180">
        <v>9791191562477</v>
      </c>
      <c r="I2180" t="s">
        <v>143</v>
      </c>
      <c r="J2180" t="s">
        <v>2548</v>
      </c>
      <c r="K2180" t="s">
        <v>2549</v>
      </c>
      <c r="L2180" t="s">
        <v>27</v>
      </c>
      <c r="M2180" s="3">
        <v>2000</v>
      </c>
      <c r="N2180" t="s">
        <v>27</v>
      </c>
      <c r="O2180" s="3">
        <v>2000</v>
      </c>
      <c r="P2180" s="3">
        <v>2000</v>
      </c>
      <c r="Q2180" t="s">
        <v>30</v>
      </c>
      <c r="R2180" s="2">
        <v>0.7</v>
      </c>
      <c r="S2180" s="3">
        <v>1400</v>
      </c>
      <c r="T2180" t="s">
        <v>27</v>
      </c>
      <c r="U2180" s="3">
        <v>1400</v>
      </c>
      <c r="V2180" s="7" t="str">
        <f>IF(ISERROR(VLOOKUP(K2180,[1]작가별정산률!$R:$S,2,0)),"스토리위즈",VLOOKUP(K2180,[1]작가별정산률!$R:$S,2,0))</f>
        <v>밀리의 서재</v>
      </c>
      <c r="W2180" s="7" t="str">
        <f>IF(V2180="스토리위즈",VLOOKUP(K2180,[1]작가별정산률!$A:$B,2,0),V2180)</f>
        <v>밀리의 서재</v>
      </c>
    </row>
    <row r="2181" spans="1:23" x14ac:dyDescent="0.4">
      <c r="A2181" t="s">
        <v>262</v>
      </c>
      <c r="B2181" t="s">
        <v>262</v>
      </c>
      <c r="C2181" t="s">
        <v>2550</v>
      </c>
      <c r="D2181" t="s">
        <v>64</v>
      </c>
      <c r="E2181" t="s">
        <v>22</v>
      </c>
      <c r="F2181" t="s">
        <v>23</v>
      </c>
      <c r="G2181">
        <v>1</v>
      </c>
      <c r="H2181">
        <v>9791166300134</v>
      </c>
      <c r="I2181" t="s">
        <v>24</v>
      </c>
      <c r="J2181" t="s">
        <v>123</v>
      </c>
      <c r="K2181" t="s">
        <v>119</v>
      </c>
      <c r="L2181" t="s">
        <v>27</v>
      </c>
      <c r="M2181">
        <v>630</v>
      </c>
      <c r="N2181" t="s">
        <v>27</v>
      </c>
      <c r="O2181">
        <v>630</v>
      </c>
      <c r="P2181">
        <v>630</v>
      </c>
      <c r="Q2181" t="s">
        <v>30</v>
      </c>
      <c r="R2181" s="2">
        <v>0.7</v>
      </c>
      <c r="S2181">
        <v>441</v>
      </c>
      <c r="T2181" t="s">
        <v>27</v>
      </c>
      <c r="U2181">
        <v>441</v>
      </c>
      <c r="V2181" s="7" t="str">
        <f>IF(ISERROR(VLOOKUP(K2181,[1]작가별정산률!$R:$S,2,0)),"스토리위즈",VLOOKUP(K2181,[1]작가별정산률!$R:$S,2,0))</f>
        <v>스토리위즈</v>
      </c>
      <c r="W2181" s="7" t="str">
        <f>IF(V2181="스토리위즈",VLOOKUP(K2181,[1]작가별정산률!$A:$B,2,0),V2181)</f>
        <v>김광수</v>
      </c>
    </row>
    <row r="2182" spans="1:23" x14ac:dyDescent="0.4">
      <c r="U2182" s="4">
        <f>SUM(U2:U2181)</f>
        <v>2081259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061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8.8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263</v>
      </c>
      <c r="C2" t="s">
        <v>264</v>
      </c>
      <c r="D2" t="s">
        <v>64</v>
      </c>
      <c r="E2" t="s">
        <v>22</v>
      </c>
      <c r="F2" t="s">
        <v>23</v>
      </c>
      <c r="G2">
        <v>1</v>
      </c>
      <c r="H2">
        <v>9791166300691</v>
      </c>
      <c r="I2" t="s">
        <v>24</v>
      </c>
      <c r="J2" t="s">
        <v>152</v>
      </c>
      <c r="K2" t="s">
        <v>119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">
        <v>24</v>
      </c>
      <c r="W2" s="7" t="s">
        <v>119</v>
      </c>
    </row>
    <row r="3" spans="1:23" x14ac:dyDescent="0.4">
      <c r="A3" t="s">
        <v>262</v>
      </c>
      <c r="B3" t="s">
        <v>263</v>
      </c>
      <c r="C3" t="s">
        <v>265</v>
      </c>
      <c r="D3" t="s">
        <v>21</v>
      </c>
      <c r="E3" t="s">
        <v>22</v>
      </c>
      <c r="F3" t="s">
        <v>23</v>
      </c>
      <c r="G3">
        <v>1</v>
      </c>
      <c r="H3">
        <v>9791166300103</v>
      </c>
      <c r="I3" t="s">
        <v>24</v>
      </c>
      <c r="J3" t="s">
        <v>120</v>
      </c>
      <c r="K3" t="s">
        <v>119</v>
      </c>
      <c r="L3" t="s">
        <v>27</v>
      </c>
      <c r="M3" s="3">
        <v>3200</v>
      </c>
      <c r="N3" t="s">
        <v>27</v>
      </c>
      <c r="O3" s="3">
        <v>3200</v>
      </c>
      <c r="P3" s="3">
        <v>3200</v>
      </c>
      <c r="Q3" t="s">
        <v>30</v>
      </c>
      <c r="R3" s="2">
        <v>0.7</v>
      </c>
      <c r="S3" s="3">
        <v>2240</v>
      </c>
      <c r="T3" t="s">
        <v>27</v>
      </c>
      <c r="U3" s="3">
        <v>2240</v>
      </c>
      <c r="V3" s="7" t="s">
        <v>24</v>
      </c>
      <c r="W3" s="7" t="s">
        <v>119</v>
      </c>
    </row>
    <row r="4" spans="1:23" x14ac:dyDescent="0.4">
      <c r="A4" t="s">
        <v>262</v>
      </c>
      <c r="B4" t="s">
        <v>263</v>
      </c>
      <c r="C4" t="s">
        <v>266</v>
      </c>
      <c r="D4" t="s">
        <v>64</v>
      </c>
      <c r="E4" t="s">
        <v>22</v>
      </c>
      <c r="F4" t="s">
        <v>23</v>
      </c>
      <c r="G4">
        <v>1</v>
      </c>
      <c r="H4">
        <v>9791166300196</v>
      </c>
      <c r="I4" t="s">
        <v>24</v>
      </c>
      <c r="J4" t="s">
        <v>128</v>
      </c>
      <c r="K4" t="s">
        <v>119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  <c r="V4" s="7" t="s">
        <v>24</v>
      </c>
      <c r="W4" s="7" t="s">
        <v>119</v>
      </c>
    </row>
    <row r="5" spans="1:23" x14ac:dyDescent="0.4">
      <c r="A5" t="s">
        <v>262</v>
      </c>
      <c r="B5" t="s">
        <v>263</v>
      </c>
      <c r="C5" t="s">
        <v>267</v>
      </c>
      <c r="D5" t="s">
        <v>64</v>
      </c>
      <c r="E5" t="s">
        <v>22</v>
      </c>
      <c r="F5" t="s">
        <v>23</v>
      </c>
      <c r="G5">
        <v>1</v>
      </c>
      <c r="H5">
        <v>9791166300462</v>
      </c>
      <c r="I5" t="s">
        <v>24</v>
      </c>
      <c r="J5" t="s">
        <v>144</v>
      </c>
      <c r="K5" t="s">
        <v>119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  <c r="V5" s="7" t="s">
        <v>24</v>
      </c>
      <c r="W5" s="7" t="s">
        <v>119</v>
      </c>
    </row>
    <row r="6" spans="1:23" x14ac:dyDescent="0.4">
      <c r="A6" t="s">
        <v>262</v>
      </c>
      <c r="B6" t="s">
        <v>263</v>
      </c>
      <c r="C6" t="s">
        <v>268</v>
      </c>
      <c r="D6" t="s">
        <v>64</v>
      </c>
      <c r="E6" t="s">
        <v>22</v>
      </c>
      <c r="F6" t="s">
        <v>23</v>
      </c>
      <c r="G6">
        <v>1</v>
      </c>
      <c r="H6">
        <v>9791166300103</v>
      </c>
      <c r="I6" t="s">
        <v>24</v>
      </c>
      <c r="J6" t="s">
        <v>120</v>
      </c>
      <c r="K6" t="s">
        <v>119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">
        <v>24</v>
      </c>
      <c r="W6" s="7" t="s">
        <v>119</v>
      </c>
    </row>
    <row r="7" spans="1:23" x14ac:dyDescent="0.4">
      <c r="A7" t="s">
        <v>262</v>
      </c>
      <c r="B7" t="s">
        <v>263</v>
      </c>
      <c r="C7" t="s">
        <v>269</v>
      </c>
      <c r="D7" t="s">
        <v>64</v>
      </c>
      <c r="E7" t="s">
        <v>22</v>
      </c>
      <c r="F7" t="s">
        <v>23</v>
      </c>
      <c r="G7">
        <v>1</v>
      </c>
      <c r="H7">
        <v>9791166300271</v>
      </c>
      <c r="I7" t="s">
        <v>24</v>
      </c>
      <c r="J7" t="s">
        <v>136</v>
      </c>
      <c r="K7" t="s">
        <v>119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  <c r="V7" s="7" t="s">
        <v>24</v>
      </c>
      <c r="W7" s="7" t="s">
        <v>119</v>
      </c>
    </row>
    <row r="8" spans="1:23" x14ac:dyDescent="0.4">
      <c r="A8" t="s">
        <v>262</v>
      </c>
      <c r="B8" t="s">
        <v>263</v>
      </c>
      <c r="C8" t="s">
        <v>271</v>
      </c>
      <c r="D8" t="s">
        <v>64</v>
      </c>
      <c r="E8" t="s">
        <v>22</v>
      </c>
      <c r="F8" t="s">
        <v>23</v>
      </c>
      <c r="G8">
        <v>1</v>
      </c>
      <c r="H8">
        <v>9791166300264</v>
      </c>
      <c r="I8" t="s">
        <v>24</v>
      </c>
      <c r="J8" t="s">
        <v>135</v>
      </c>
      <c r="K8" t="s">
        <v>119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  <c r="V8" s="7" t="s">
        <v>24</v>
      </c>
      <c r="W8" s="7" t="s">
        <v>119</v>
      </c>
    </row>
    <row r="9" spans="1:23" x14ac:dyDescent="0.4">
      <c r="A9" t="s">
        <v>262</v>
      </c>
      <c r="B9" t="s">
        <v>263</v>
      </c>
      <c r="C9" t="s">
        <v>272</v>
      </c>
      <c r="D9" t="s">
        <v>64</v>
      </c>
      <c r="E9" t="s">
        <v>22</v>
      </c>
      <c r="F9" t="s">
        <v>23</v>
      </c>
      <c r="G9">
        <v>1</v>
      </c>
      <c r="H9">
        <v>9791166300592</v>
      </c>
      <c r="I9" t="s">
        <v>24</v>
      </c>
      <c r="J9" t="s">
        <v>161</v>
      </c>
      <c r="K9" t="s">
        <v>119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  <c r="V9" s="7" t="s">
        <v>24</v>
      </c>
      <c r="W9" s="7" t="s">
        <v>119</v>
      </c>
    </row>
    <row r="10" spans="1:23" x14ac:dyDescent="0.4">
      <c r="A10" t="s">
        <v>262</v>
      </c>
      <c r="B10" t="s">
        <v>263</v>
      </c>
      <c r="C10" t="s">
        <v>273</v>
      </c>
      <c r="D10" t="s">
        <v>64</v>
      </c>
      <c r="E10" t="s">
        <v>22</v>
      </c>
      <c r="F10" t="s">
        <v>23</v>
      </c>
      <c r="G10">
        <v>1</v>
      </c>
      <c r="H10">
        <v>9791166300509</v>
      </c>
      <c r="I10" t="s">
        <v>24</v>
      </c>
      <c r="J10" t="s">
        <v>148</v>
      </c>
      <c r="K10" t="s">
        <v>119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  <c r="V10" s="7" t="s">
        <v>24</v>
      </c>
      <c r="W10" s="7" t="s">
        <v>119</v>
      </c>
    </row>
    <row r="11" spans="1:23" x14ac:dyDescent="0.4">
      <c r="A11" t="s">
        <v>262</v>
      </c>
      <c r="B11" t="s">
        <v>263</v>
      </c>
      <c r="C11" t="s">
        <v>275</v>
      </c>
      <c r="D11" t="s">
        <v>64</v>
      </c>
      <c r="E11" t="s">
        <v>22</v>
      </c>
      <c r="F11" t="s">
        <v>23</v>
      </c>
      <c r="G11">
        <v>1</v>
      </c>
      <c r="H11">
        <v>9791166300615</v>
      </c>
      <c r="I11" t="s">
        <v>24</v>
      </c>
      <c r="J11" t="s">
        <v>163</v>
      </c>
      <c r="K11" t="s">
        <v>119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7" t="s">
        <v>24</v>
      </c>
      <c r="W11" s="7" t="s">
        <v>119</v>
      </c>
    </row>
    <row r="12" spans="1:23" x14ac:dyDescent="0.4">
      <c r="A12" t="s">
        <v>262</v>
      </c>
      <c r="B12" t="s">
        <v>263</v>
      </c>
      <c r="C12" t="s">
        <v>278</v>
      </c>
      <c r="D12" t="s">
        <v>64</v>
      </c>
      <c r="E12" t="s">
        <v>22</v>
      </c>
      <c r="F12" t="s">
        <v>23</v>
      </c>
      <c r="G12">
        <v>1</v>
      </c>
      <c r="H12">
        <v>9791166300202</v>
      </c>
      <c r="I12" t="s">
        <v>24</v>
      </c>
      <c r="J12" t="s">
        <v>129</v>
      </c>
      <c r="K12" t="s">
        <v>119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  <c r="V12" s="7" t="s">
        <v>24</v>
      </c>
      <c r="W12" s="7" t="s">
        <v>119</v>
      </c>
    </row>
    <row r="13" spans="1:23" x14ac:dyDescent="0.4">
      <c r="A13" t="s">
        <v>262</v>
      </c>
      <c r="B13" t="s">
        <v>263</v>
      </c>
      <c r="C13" t="s">
        <v>280</v>
      </c>
      <c r="D13" t="s">
        <v>64</v>
      </c>
      <c r="E13" t="s">
        <v>22</v>
      </c>
      <c r="F13" t="s">
        <v>23</v>
      </c>
      <c r="G13">
        <v>1</v>
      </c>
      <c r="H13">
        <v>9791166300523</v>
      </c>
      <c r="I13" t="s">
        <v>24</v>
      </c>
      <c r="J13" t="s">
        <v>150</v>
      </c>
      <c r="K13" t="s">
        <v>119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  <c r="V13" s="7" t="s">
        <v>24</v>
      </c>
      <c r="W13" s="7" t="s">
        <v>119</v>
      </c>
    </row>
    <row r="14" spans="1:23" x14ac:dyDescent="0.4">
      <c r="A14" t="s">
        <v>262</v>
      </c>
      <c r="B14" t="s">
        <v>263</v>
      </c>
      <c r="C14" t="s">
        <v>281</v>
      </c>
      <c r="D14" t="s">
        <v>64</v>
      </c>
      <c r="E14" t="s">
        <v>22</v>
      </c>
      <c r="F14" t="s">
        <v>23</v>
      </c>
      <c r="G14">
        <v>1</v>
      </c>
      <c r="H14">
        <v>9791166300271</v>
      </c>
      <c r="I14" t="s">
        <v>24</v>
      </c>
      <c r="J14" t="s">
        <v>136</v>
      </c>
      <c r="K14" t="s">
        <v>119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  <c r="V14" s="7" t="s">
        <v>24</v>
      </c>
      <c r="W14" s="7" t="s">
        <v>119</v>
      </c>
    </row>
    <row r="15" spans="1:23" x14ac:dyDescent="0.4">
      <c r="A15" t="s">
        <v>262</v>
      </c>
      <c r="B15" t="s">
        <v>263</v>
      </c>
      <c r="C15" t="s">
        <v>282</v>
      </c>
      <c r="D15" t="s">
        <v>64</v>
      </c>
      <c r="E15" t="s">
        <v>22</v>
      </c>
      <c r="F15" t="s">
        <v>23</v>
      </c>
      <c r="G15">
        <v>1</v>
      </c>
      <c r="H15">
        <v>9791166300622</v>
      </c>
      <c r="I15" t="s">
        <v>24</v>
      </c>
      <c r="J15" t="s">
        <v>164</v>
      </c>
      <c r="K15" t="s">
        <v>119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  <c r="V15" s="7" t="s">
        <v>24</v>
      </c>
      <c r="W15" s="7" t="s">
        <v>119</v>
      </c>
    </row>
    <row r="16" spans="1:23" x14ac:dyDescent="0.4">
      <c r="A16" t="s">
        <v>262</v>
      </c>
      <c r="B16" t="s">
        <v>263</v>
      </c>
      <c r="C16" t="s">
        <v>283</v>
      </c>
      <c r="D16" t="s">
        <v>21</v>
      </c>
      <c r="E16" t="s">
        <v>22</v>
      </c>
      <c r="F16" t="s">
        <v>23</v>
      </c>
      <c r="G16">
        <v>1</v>
      </c>
      <c r="H16">
        <v>9791166300110</v>
      </c>
      <c r="I16" t="s">
        <v>24</v>
      </c>
      <c r="J16" t="s">
        <v>121</v>
      </c>
      <c r="K16" t="s">
        <v>119</v>
      </c>
      <c r="L16" t="s">
        <v>27</v>
      </c>
      <c r="M16" s="3">
        <v>3200</v>
      </c>
      <c r="N16" t="s">
        <v>27</v>
      </c>
      <c r="O16" s="3">
        <v>3200</v>
      </c>
      <c r="P16" s="3">
        <v>3200</v>
      </c>
      <c r="Q16" t="s">
        <v>30</v>
      </c>
      <c r="R16" s="2">
        <v>0.7</v>
      </c>
      <c r="S16" s="3">
        <v>2240</v>
      </c>
      <c r="T16" t="s">
        <v>27</v>
      </c>
      <c r="U16" s="3">
        <v>2240</v>
      </c>
      <c r="V16" s="7" t="s">
        <v>24</v>
      </c>
      <c r="W16" s="7" t="s">
        <v>119</v>
      </c>
    </row>
    <row r="17" spans="1:23" x14ac:dyDescent="0.4">
      <c r="A17" t="s">
        <v>262</v>
      </c>
      <c r="B17" t="s">
        <v>263</v>
      </c>
      <c r="C17" t="s">
        <v>284</v>
      </c>
      <c r="D17" t="s">
        <v>64</v>
      </c>
      <c r="E17" t="s">
        <v>22</v>
      </c>
      <c r="F17" t="s">
        <v>23</v>
      </c>
      <c r="G17">
        <v>1</v>
      </c>
      <c r="H17">
        <v>9791166300561</v>
      </c>
      <c r="I17" t="s">
        <v>24</v>
      </c>
      <c r="J17" t="s">
        <v>158</v>
      </c>
      <c r="K17" t="s">
        <v>119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  <c r="V17" s="7" t="s">
        <v>24</v>
      </c>
      <c r="W17" s="7" t="s">
        <v>119</v>
      </c>
    </row>
    <row r="18" spans="1:23" x14ac:dyDescent="0.4">
      <c r="A18" t="s">
        <v>262</v>
      </c>
      <c r="B18" t="s">
        <v>263</v>
      </c>
      <c r="C18" t="s">
        <v>285</v>
      </c>
      <c r="D18" t="s">
        <v>64</v>
      </c>
      <c r="E18" t="s">
        <v>22</v>
      </c>
      <c r="F18" t="s">
        <v>23</v>
      </c>
      <c r="G18">
        <v>1</v>
      </c>
      <c r="H18">
        <v>9791166300257</v>
      </c>
      <c r="I18" t="s">
        <v>24</v>
      </c>
      <c r="J18" t="s">
        <v>134</v>
      </c>
      <c r="K18" t="s">
        <v>119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  <c r="V18" s="7" t="s">
        <v>24</v>
      </c>
      <c r="W18" s="7" t="s">
        <v>119</v>
      </c>
    </row>
    <row r="19" spans="1:23" x14ac:dyDescent="0.4">
      <c r="A19" t="s">
        <v>262</v>
      </c>
      <c r="B19" t="s">
        <v>263</v>
      </c>
      <c r="C19" t="s">
        <v>287</v>
      </c>
      <c r="D19" t="s">
        <v>64</v>
      </c>
      <c r="E19" t="s">
        <v>22</v>
      </c>
      <c r="F19" t="s">
        <v>23</v>
      </c>
      <c r="G19">
        <v>1</v>
      </c>
      <c r="H19">
        <v>9791166300660</v>
      </c>
      <c r="I19" t="s">
        <v>24</v>
      </c>
      <c r="J19" t="s">
        <v>156</v>
      </c>
      <c r="K19" t="s">
        <v>119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7" t="s">
        <v>24</v>
      </c>
      <c r="W19" s="7" t="s">
        <v>119</v>
      </c>
    </row>
    <row r="20" spans="1:23" x14ac:dyDescent="0.4">
      <c r="A20" t="s">
        <v>262</v>
      </c>
      <c r="B20" t="s">
        <v>263</v>
      </c>
      <c r="C20" t="s">
        <v>288</v>
      </c>
      <c r="D20" t="s">
        <v>64</v>
      </c>
      <c r="E20" t="s">
        <v>22</v>
      </c>
      <c r="F20" t="s">
        <v>23</v>
      </c>
      <c r="G20">
        <v>1</v>
      </c>
      <c r="H20">
        <v>9791166300516</v>
      </c>
      <c r="I20" t="s">
        <v>24</v>
      </c>
      <c r="J20" t="s">
        <v>149</v>
      </c>
      <c r="K20" t="s">
        <v>119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  <c r="V20" s="7" t="s">
        <v>24</v>
      </c>
      <c r="W20" s="7" t="s">
        <v>119</v>
      </c>
    </row>
    <row r="21" spans="1:23" x14ac:dyDescent="0.4">
      <c r="A21" t="s">
        <v>262</v>
      </c>
      <c r="B21" t="s">
        <v>263</v>
      </c>
      <c r="C21" t="s">
        <v>289</v>
      </c>
      <c r="D21" t="s">
        <v>64</v>
      </c>
      <c r="E21" t="s">
        <v>22</v>
      </c>
      <c r="F21" t="s">
        <v>23</v>
      </c>
      <c r="G21">
        <v>1</v>
      </c>
      <c r="H21">
        <v>9791166300288</v>
      </c>
      <c r="I21" t="s">
        <v>24</v>
      </c>
      <c r="J21" t="s">
        <v>137</v>
      </c>
      <c r="K21" t="s">
        <v>119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  <c r="V21" s="7" t="s">
        <v>24</v>
      </c>
      <c r="W21" s="7" t="s">
        <v>119</v>
      </c>
    </row>
    <row r="22" spans="1:23" x14ac:dyDescent="0.4">
      <c r="A22" t="s">
        <v>262</v>
      </c>
      <c r="B22" t="s">
        <v>263</v>
      </c>
      <c r="C22" t="s">
        <v>290</v>
      </c>
      <c r="D22" t="s">
        <v>21</v>
      </c>
      <c r="E22" t="s">
        <v>22</v>
      </c>
      <c r="F22" t="s">
        <v>23</v>
      </c>
      <c r="G22">
        <v>1</v>
      </c>
      <c r="H22">
        <v>9791166300585</v>
      </c>
      <c r="I22" t="s">
        <v>24</v>
      </c>
      <c r="J22" t="s">
        <v>160</v>
      </c>
      <c r="K22" t="s">
        <v>119</v>
      </c>
      <c r="L22" t="s">
        <v>27</v>
      </c>
      <c r="M22" s="3">
        <v>3200</v>
      </c>
      <c r="N22" t="s">
        <v>27</v>
      </c>
      <c r="O22" s="3">
        <v>3200</v>
      </c>
      <c r="P22" s="3">
        <v>3200</v>
      </c>
      <c r="Q22" t="s">
        <v>30</v>
      </c>
      <c r="R22" s="2">
        <v>0.7</v>
      </c>
      <c r="S22" s="3">
        <v>2240</v>
      </c>
      <c r="T22" t="s">
        <v>27</v>
      </c>
      <c r="U22" s="3">
        <v>2240</v>
      </c>
      <c r="V22" s="7" t="s">
        <v>24</v>
      </c>
      <c r="W22" s="7" t="s">
        <v>119</v>
      </c>
    </row>
    <row r="23" spans="1:23" x14ac:dyDescent="0.4">
      <c r="A23" t="s">
        <v>262</v>
      </c>
      <c r="B23" t="s">
        <v>263</v>
      </c>
      <c r="C23" t="s">
        <v>290</v>
      </c>
      <c r="D23" t="s">
        <v>21</v>
      </c>
      <c r="E23" t="s">
        <v>22</v>
      </c>
      <c r="F23" t="s">
        <v>23</v>
      </c>
      <c r="G23">
        <v>1</v>
      </c>
      <c r="H23">
        <v>9791166300592</v>
      </c>
      <c r="I23" t="s">
        <v>24</v>
      </c>
      <c r="J23" t="s">
        <v>161</v>
      </c>
      <c r="K23" t="s">
        <v>119</v>
      </c>
      <c r="L23" t="s">
        <v>27</v>
      </c>
      <c r="M23" s="3">
        <v>3200</v>
      </c>
      <c r="N23" t="s">
        <v>27</v>
      </c>
      <c r="O23" s="3">
        <v>3200</v>
      </c>
      <c r="P23" s="3">
        <v>3200</v>
      </c>
      <c r="Q23" t="s">
        <v>30</v>
      </c>
      <c r="R23" s="2">
        <v>0.7</v>
      </c>
      <c r="S23" s="3">
        <v>2240</v>
      </c>
      <c r="T23" t="s">
        <v>27</v>
      </c>
      <c r="U23" s="3">
        <v>2240</v>
      </c>
      <c r="V23" s="7" t="s">
        <v>24</v>
      </c>
      <c r="W23" s="7" t="s">
        <v>119</v>
      </c>
    </row>
    <row r="24" spans="1:23" x14ac:dyDescent="0.4">
      <c r="A24" t="s">
        <v>262</v>
      </c>
      <c r="B24" t="s">
        <v>263</v>
      </c>
      <c r="C24" t="s">
        <v>290</v>
      </c>
      <c r="D24" t="s">
        <v>21</v>
      </c>
      <c r="E24" t="s">
        <v>22</v>
      </c>
      <c r="F24" t="s">
        <v>23</v>
      </c>
      <c r="G24">
        <v>1</v>
      </c>
      <c r="H24">
        <v>9791166300608</v>
      </c>
      <c r="I24" t="s">
        <v>24</v>
      </c>
      <c r="J24" t="s">
        <v>162</v>
      </c>
      <c r="K24" t="s">
        <v>119</v>
      </c>
      <c r="L24" t="s">
        <v>27</v>
      </c>
      <c r="M24" s="3">
        <v>3200</v>
      </c>
      <c r="N24" t="s">
        <v>27</v>
      </c>
      <c r="O24" s="3">
        <v>3200</v>
      </c>
      <c r="P24" s="3">
        <v>3200</v>
      </c>
      <c r="Q24" t="s">
        <v>30</v>
      </c>
      <c r="R24" s="2">
        <v>0.7</v>
      </c>
      <c r="S24" s="3">
        <v>2240</v>
      </c>
      <c r="T24" t="s">
        <v>27</v>
      </c>
      <c r="U24" s="3">
        <v>2240</v>
      </c>
      <c r="V24" s="7" t="s">
        <v>24</v>
      </c>
      <c r="W24" s="7" t="s">
        <v>119</v>
      </c>
    </row>
    <row r="25" spans="1:23" x14ac:dyDescent="0.4">
      <c r="A25" t="s">
        <v>262</v>
      </c>
      <c r="B25" t="s">
        <v>263</v>
      </c>
      <c r="C25" t="s">
        <v>290</v>
      </c>
      <c r="D25" t="s">
        <v>21</v>
      </c>
      <c r="E25" t="s">
        <v>22</v>
      </c>
      <c r="F25" t="s">
        <v>23</v>
      </c>
      <c r="G25">
        <v>1</v>
      </c>
      <c r="H25">
        <v>9791166300615</v>
      </c>
      <c r="I25" t="s">
        <v>24</v>
      </c>
      <c r="J25" t="s">
        <v>163</v>
      </c>
      <c r="K25" t="s">
        <v>119</v>
      </c>
      <c r="L25" t="s">
        <v>27</v>
      </c>
      <c r="M25" s="3">
        <v>3200</v>
      </c>
      <c r="N25" t="s">
        <v>27</v>
      </c>
      <c r="O25" s="3">
        <v>3200</v>
      </c>
      <c r="P25" s="3">
        <v>3200</v>
      </c>
      <c r="Q25" t="s">
        <v>30</v>
      </c>
      <c r="R25" s="2">
        <v>0.7</v>
      </c>
      <c r="S25" s="3">
        <v>2240</v>
      </c>
      <c r="T25" t="s">
        <v>27</v>
      </c>
      <c r="U25" s="3">
        <v>2240</v>
      </c>
      <c r="V25" s="7" t="s">
        <v>24</v>
      </c>
      <c r="W25" s="7" t="s">
        <v>119</v>
      </c>
    </row>
    <row r="26" spans="1:23" x14ac:dyDescent="0.4">
      <c r="A26" t="s">
        <v>262</v>
      </c>
      <c r="B26" t="s">
        <v>263</v>
      </c>
      <c r="C26" t="s">
        <v>290</v>
      </c>
      <c r="D26" t="s">
        <v>21</v>
      </c>
      <c r="E26" t="s">
        <v>22</v>
      </c>
      <c r="F26" t="s">
        <v>23</v>
      </c>
      <c r="G26">
        <v>1</v>
      </c>
      <c r="H26">
        <v>9791166300622</v>
      </c>
      <c r="I26" t="s">
        <v>24</v>
      </c>
      <c r="J26" t="s">
        <v>164</v>
      </c>
      <c r="K26" t="s">
        <v>119</v>
      </c>
      <c r="L26" t="s">
        <v>27</v>
      </c>
      <c r="M26" s="3">
        <v>3200</v>
      </c>
      <c r="N26" t="s">
        <v>27</v>
      </c>
      <c r="O26" s="3">
        <v>3200</v>
      </c>
      <c r="P26" s="3">
        <v>3200</v>
      </c>
      <c r="Q26" t="s">
        <v>30</v>
      </c>
      <c r="R26" s="2">
        <v>0.7</v>
      </c>
      <c r="S26" s="3">
        <v>2240</v>
      </c>
      <c r="T26" t="s">
        <v>27</v>
      </c>
      <c r="U26" s="3">
        <v>2240</v>
      </c>
      <c r="V26" s="7" t="s">
        <v>24</v>
      </c>
      <c r="W26" s="7" t="s">
        <v>119</v>
      </c>
    </row>
    <row r="27" spans="1:23" x14ac:dyDescent="0.4">
      <c r="A27" t="s">
        <v>262</v>
      </c>
      <c r="B27" t="s">
        <v>263</v>
      </c>
      <c r="C27" t="s">
        <v>292</v>
      </c>
      <c r="D27" t="s">
        <v>64</v>
      </c>
      <c r="E27" t="s">
        <v>22</v>
      </c>
      <c r="F27" t="s">
        <v>23</v>
      </c>
      <c r="G27">
        <v>1</v>
      </c>
      <c r="H27">
        <v>9791166300110</v>
      </c>
      <c r="I27" t="s">
        <v>24</v>
      </c>
      <c r="J27" t="s">
        <v>121</v>
      </c>
      <c r="K27" t="s">
        <v>119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  <c r="V27" s="7" t="s">
        <v>24</v>
      </c>
      <c r="W27" s="7" t="s">
        <v>119</v>
      </c>
    </row>
    <row r="28" spans="1:23" x14ac:dyDescent="0.4">
      <c r="A28" t="s">
        <v>262</v>
      </c>
      <c r="B28" t="s">
        <v>263</v>
      </c>
      <c r="C28" t="s">
        <v>294</v>
      </c>
      <c r="D28" t="s">
        <v>64</v>
      </c>
      <c r="E28" t="s">
        <v>22</v>
      </c>
      <c r="F28" t="s">
        <v>23</v>
      </c>
      <c r="G28">
        <v>1</v>
      </c>
      <c r="H28">
        <v>9791166300264</v>
      </c>
      <c r="I28" t="s">
        <v>24</v>
      </c>
      <c r="J28" t="s">
        <v>135</v>
      </c>
      <c r="K28" t="s">
        <v>119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  <c r="V28" s="7" t="s">
        <v>24</v>
      </c>
      <c r="W28" s="7" t="s">
        <v>119</v>
      </c>
    </row>
    <row r="29" spans="1:23" x14ac:dyDescent="0.4">
      <c r="A29" t="s">
        <v>262</v>
      </c>
      <c r="B29" t="s">
        <v>263</v>
      </c>
      <c r="C29" t="s">
        <v>295</v>
      </c>
      <c r="D29" t="s">
        <v>64</v>
      </c>
      <c r="E29" t="s">
        <v>22</v>
      </c>
      <c r="F29" t="s">
        <v>23</v>
      </c>
      <c r="G29">
        <v>1</v>
      </c>
      <c r="H29">
        <v>9791166300127</v>
      </c>
      <c r="I29" t="s">
        <v>24</v>
      </c>
      <c r="J29" t="s">
        <v>122</v>
      </c>
      <c r="K29" t="s">
        <v>119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  <c r="V29" s="7" t="s">
        <v>24</v>
      </c>
      <c r="W29" s="7" t="s">
        <v>119</v>
      </c>
    </row>
    <row r="30" spans="1:23" x14ac:dyDescent="0.4">
      <c r="A30" t="s">
        <v>262</v>
      </c>
      <c r="B30" t="s">
        <v>263</v>
      </c>
      <c r="C30" t="s">
        <v>296</v>
      </c>
      <c r="D30" t="s">
        <v>64</v>
      </c>
      <c r="E30" t="s">
        <v>22</v>
      </c>
      <c r="F30" t="s">
        <v>23</v>
      </c>
      <c r="G30">
        <v>1</v>
      </c>
      <c r="H30">
        <v>9791166300523</v>
      </c>
      <c r="I30" t="s">
        <v>24</v>
      </c>
      <c r="J30" t="s">
        <v>150</v>
      </c>
      <c r="K30" t="s">
        <v>119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  <c r="V30" s="7" t="s">
        <v>24</v>
      </c>
      <c r="W30" s="7" t="s">
        <v>119</v>
      </c>
    </row>
    <row r="31" spans="1:23" x14ac:dyDescent="0.4">
      <c r="A31" t="s">
        <v>262</v>
      </c>
      <c r="B31" t="s">
        <v>263</v>
      </c>
      <c r="C31" t="s">
        <v>297</v>
      </c>
      <c r="D31" t="s">
        <v>64</v>
      </c>
      <c r="E31" t="s">
        <v>22</v>
      </c>
      <c r="F31" t="s">
        <v>23</v>
      </c>
      <c r="G31">
        <v>1</v>
      </c>
      <c r="H31">
        <v>9791166300554</v>
      </c>
      <c r="I31" t="s">
        <v>24</v>
      </c>
      <c r="J31" t="s">
        <v>154</v>
      </c>
      <c r="K31" t="s">
        <v>119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440</v>
      </c>
      <c r="V31" s="7" t="s">
        <v>24</v>
      </c>
      <c r="W31" s="7" t="s">
        <v>119</v>
      </c>
    </row>
    <row r="32" spans="1:23" x14ac:dyDescent="0.4">
      <c r="A32" t="s">
        <v>262</v>
      </c>
      <c r="B32" t="s">
        <v>263</v>
      </c>
      <c r="C32" t="s">
        <v>298</v>
      </c>
      <c r="D32" t="s">
        <v>64</v>
      </c>
      <c r="E32" t="s">
        <v>22</v>
      </c>
      <c r="F32" t="s">
        <v>23</v>
      </c>
      <c r="G32">
        <v>1</v>
      </c>
      <c r="H32">
        <v>9791166300608</v>
      </c>
      <c r="I32" t="s">
        <v>24</v>
      </c>
      <c r="J32" t="s">
        <v>162</v>
      </c>
      <c r="K32" t="s">
        <v>119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7" t="s">
        <v>24</v>
      </c>
      <c r="W32" s="7" t="s">
        <v>119</v>
      </c>
    </row>
    <row r="33" spans="1:23" x14ac:dyDescent="0.4">
      <c r="A33" t="s">
        <v>262</v>
      </c>
      <c r="B33" t="s">
        <v>263</v>
      </c>
      <c r="C33" t="s">
        <v>300</v>
      </c>
      <c r="D33" t="s">
        <v>64</v>
      </c>
      <c r="E33" t="s">
        <v>22</v>
      </c>
      <c r="F33" t="s">
        <v>23</v>
      </c>
      <c r="G33">
        <v>1</v>
      </c>
      <c r="H33">
        <v>9791166300516</v>
      </c>
      <c r="I33" t="s">
        <v>24</v>
      </c>
      <c r="J33" t="s">
        <v>149</v>
      </c>
      <c r="K33" t="s">
        <v>119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  <c r="V33" s="7" t="s">
        <v>24</v>
      </c>
      <c r="W33" s="7" t="s">
        <v>119</v>
      </c>
    </row>
    <row r="34" spans="1:23" x14ac:dyDescent="0.4">
      <c r="A34" t="s">
        <v>262</v>
      </c>
      <c r="B34" t="s">
        <v>263</v>
      </c>
      <c r="C34" t="s">
        <v>301</v>
      </c>
      <c r="D34" t="s">
        <v>64</v>
      </c>
      <c r="E34" t="s">
        <v>22</v>
      </c>
      <c r="F34" t="s">
        <v>23</v>
      </c>
      <c r="G34">
        <v>1</v>
      </c>
      <c r="H34">
        <v>9791166300295</v>
      </c>
      <c r="I34" t="s">
        <v>24</v>
      </c>
      <c r="J34" t="s">
        <v>138</v>
      </c>
      <c r="K34" t="s">
        <v>119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  <c r="V34" s="7" t="s">
        <v>24</v>
      </c>
      <c r="W34" s="7" t="s">
        <v>119</v>
      </c>
    </row>
    <row r="35" spans="1:23" x14ac:dyDescent="0.4">
      <c r="A35" t="s">
        <v>262</v>
      </c>
      <c r="B35" t="s">
        <v>263</v>
      </c>
      <c r="C35" t="s">
        <v>303</v>
      </c>
      <c r="D35" t="s">
        <v>64</v>
      </c>
      <c r="E35" t="s">
        <v>22</v>
      </c>
      <c r="F35" t="s">
        <v>23</v>
      </c>
      <c r="G35">
        <v>1</v>
      </c>
      <c r="H35">
        <v>9791166300103</v>
      </c>
      <c r="I35" t="s">
        <v>24</v>
      </c>
      <c r="J35" t="s">
        <v>120</v>
      </c>
      <c r="K35" t="s">
        <v>119</v>
      </c>
      <c r="L35" t="s">
        <v>27</v>
      </c>
      <c r="M35">
        <v>630</v>
      </c>
      <c r="N35" t="s">
        <v>27</v>
      </c>
      <c r="O35">
        <v>630</v>
      </c>
      <c r="P35">
        <v>630</v>
      </c>
      <c r="Q35" t="s">
        <v>30</v>
      </c>
      <c r="R35" s="2">
        <v>0.7</v>
      </c>
      <c r="S35">
        <v>441</v>
      </c>
      <c r="T35" t="s">
        <v>27</v>
      </c>
      <c r="U35">
        <v>441</v>
      </c>
      <c r="V35" s="7" t="s">
        <v>24</v>
      </c>
      <c r="W35" s="7" t="s">
        <v>119</v>
      </c>
    </row>
    <row r="36" spans="1:23" x14ac:dyDescent="0.4">
      <c r="A36" t="s">
        <v>262</v>
      </c>
      <c r="B36" t="s">
        <v>263</v>
      </c>
      <c r="C36" t="s">
        <v>305</v>
      </c>
      <c r="D36" t="s">
        <v>64</v>
      </c>
      <c r="E36" t="s">
        <v>22</v>
      </c>
      <c r="F36" t="s">
        <v>23</v>
      </c>
      <c r="G36">
        <v>1</v>
      </c>
      <c r="H36">
        <v>9791166300486</v>
      </c>
      <c r="I36" t="s">
        <v>24</v>
      </c>
      <c r="J36" t="s">
        <v>146</v>
      </c>
      <c r="K36" t="s">
        <v>119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  <c r="V36" s="7" t="s">
        <v>24</v>
      </c>
      <c r="W36" s="7" t="s">
        <v>119</v>
      </c>
    </row>
    <row r="37" spans="1:23" x14ac:dyDescent="0.4">
      <c r="A37" t="s">
        <v>262</v>
      </c>
      <c r="B37" t="s">
        <v>263</v>
      </c>
      <c r="C37" t="s">
        <v>309</v>
      </c>
      <c r="D37" t="s">
        <v>64</v>
      </c>
      <c r="E37" t="s">
        <v>22</v>
      </c>
      <c r="F37" t="s">
        <v>23</v>
      </c>
      <c r="G37">
        <v>1</v>
      </c>
      <c r="H37">
        <v>9791166300110</v>
      </c>
      <c r="I37" t="s">
        <v>24</v>
      </c>
      <c r="J37" t="s">
        <v>121</v>
      </c>
      <c r="K37" t="s">
        <v>119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  <c r="V37" s="7" t="s">
        <v>24</v>
      </c>
      <c r="W37" s="7" t="s">
        <v>119</v>
      </c>
    </row>
    <row r="38" spans="1:23" x14ac:dyDescent="0.4">
      <c r="A38" t="s">
        <v>262</v>
      </c>
      <c r="B38" t="s">
        <v>263</v>
      </c>
      <c r="C38" t="s">
        <v>310</v>
      </c>
      <c r="D38" t="s">
        <v>64</v>
      </c>
      <c r="E38" t="s">
        <v>22</v>
      </c>
      <c r="F38" t="s">
        <v>23</v>
      </c>
      <c r="G38">
        <v>1</v>
      </c>
      <c r="H38">
        <v>9791166300578</v>
      </c>
      <c r="I38" t="s">
        <v>24</v>
      </c>
      <c r="J38" t="s">
        <v>159</v>
      </c>
      <c r="K38" t="s">
        <v>119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  <c r="V38" s="7" t="s">
        <v>24</v>
      </c>
      <c r="W38" s="7" t="s">
        <v>119</v>
      </c>
    </row>
    <row r="39" spans="1:23" x14ac:dyDescent="0.4">
      <c r="A39" t="s">
        <v>262</v>
      </c>
      <c r="B39" t="s">
        <v>263</v>
      </c>
      <c r="C39" t="s">
        <v>311</v>
      </c>
      <c r="D39" t="s">
        <v>64</v>
      </c>
      <c r="E39" t="s">
        <v>22</v>
      </c>
      <c r="F39" t="s">
        <v>23</v>
      </c>
      <c r="G39">
        <v>1</v>
      </c>
      <c r="H39">
        <v>9791166300127</v>
      </c>
      <c r="I39" t="s">
        <v>24</v>
      </c>
      <c r="J39" t="s">
        <v>122</v>
      </c>
      <c r="K39" t="s">
        <v>119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  <c r="V39" s="7" t="s">
        <v>24</v>
      </c>
      <c r="W39" s="7" t="s">
        <v>119</v>
      </c>
    </row>
    <row r="40" spans="1:23" x14ac:dyDescent="0.4">
      <c r="A40" t="s">
        <v>262</v>
      </c>
      <c r="B40" t="s">
        <v>263</v>
      </c>
      <c r="C40" t="s">
        <v>312</v>
      </c>
      <c r="D40" t="s">
        <v>21</v>
      </c>
      <c r="E40" t="s">
        <v>22</v>
      </c>
      <c r="F40" t="s">
        <v>23</v>
      </c>
      <c r="G40">
        <v>1</v>
      </c>
      <c r="H40">
        <v>9791166300127</v>
      </c>
      <c r="I40" t="s">
        <v>24</v>
      </c>
      <c r="J40" t="s">
        <v>122</v>
      </c>
      <c r="K40" t="s">
        <v>119</v>
      </c>
      <c r="L40" t="s">
        <v>27</v>
      </c>
      <c r="M40" s="3">
        <v>3200</v>
      </c>
      <c r="N40" t="s">
        <v>27</v>
      </c>
      <c r="O40" s="3">
        <v>3200</v>
      </c>
      <c r="P40" s="3">
        <v>3200</v>
      </c>
      <c r="Q40" t="s">
        <v>30</v>
      </c>
      <c r="R40" s="2">
        <v>0.7</v>
      </c>
      <c r="S40" s="3">
        <v>2240</v>
      </c>
      <c r="T40" t="s">
        <v>27</v>
      </c>
      <c r="U40" s="3">
        <v>2240</v>
      </c>
      <c r="V40" s="7" t="s">
        <v>24</v>
      </c>
      <c r="W40" s="7" t="s">
        <v>119</v>
      </c>
    </row>
    <row r="41" spans="1:23" x14ac:dyDescent="0.4">
      <c r="A41" t="s">
        <v>262</v>
      </c>
      <c r="B41" t="s">
        <v>263</v>
      </c>
      <c r="C41" t="s">
        <v>313</v>
      </c>
      <c r="D41" t="s">
        <v>64</v>
      </c>
      <c r="E41" t="s">
        <v>22</v>
      </c>
      <c r="F41" t="s">
        <v>23</v>
      </c>
      <c r="G41">
        <v>1</v>
      </c>
      <c r="H41">
        <v>9791166300219</v>
      </c>
      <c r="I41" t="s">
        <v>24</v>
      </c>
      <c r="J41" t="s">
        <v>130</v>
      </c>
      <c r="K41" t="s">
        <v>119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  <c r="V41" s="7" t="s">
        <v>24</v>
      </c>
      <c r="W41" s="7" t="s">
        <v>119</v>
      </c>
    </row>
    <row r="42" spans="1:23" x14ac:dyDescent="0.4">
      <c r="A42" t="s">
        <v>262</v>
      </c>
      <c r="B42" t="s">
        <v>263</v>
      </c>
      <c r="C42" t="s">
        <v>314</v>
      </c>
      <c r="D42" t="s">
        <v>64</v>
      </c>
      <c r="E42" t="s">
        <v>22</v>
      </c>
      <c r="F42" t="s">
        <v>23</v>
      </c>
      <c r="G42">
        <v>1</v>
      </c>
      <c r="H42">
        <v>9791166300134</v>
      </c>
      <c r="I42" t="s">
        <v>24</v>
      </c>
      <c r="J42" t="s">
        <v>123</v>
      </c>
      <c r="K42" t="s">
        <v>119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  <c r="V42" s="7" t="s">
        <v>24</v>
      </c>
      <c r="W42" s="7" t="s">
        <v>119</v>
      </c>
    </row>
    <row r="43" spans="1:23" x14ac:dyDescent="0.4">
      <c r="A43" t="s">
        <v>262</v>
      </c>
      <c r="B43" t="s">
        <v>263</v>
      </c>
      <c r="C43" t="s">
        <v>315</v>
      </c>
      <c r="D43" t="s">
        <v>64</v>
      </c>
      <c r="E43" t="s">
        <v>22</v>
      </c>
      <c r="F43" t="s">
        <v>23</v>
      </c>
      <c r="G43">
        <v>1</v>
      </c>
      <c r="H43">
        <v>9791166300288</v>
      </c>
      <c r="I43" t="s">
        <v>24</v>
      </c>
      <c r="J43" t="s">
        <v>137</v>
      </c>
      <c r="K43" t="s">
        <v>119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  <c r="V43" s="7" t="s">
        <v>24</v>
      </c>
      <c r="W43" s="7" t="s">
        <v>119</v>
      </c>
    </row>
    <row r="44" spans="1:23" x14ac:dyDescent="0.4">
      <c r="A44" t="s">
        <v>262</v>
      </c>
      <c r="B44" t="s">
        <v>263</v>
      </c>
      <c r="C44" t="s">
        <v>317</v>
      </c>
      <c r="D44" t="s">
        <v>64</v>
      </c>
      <c r="E44" t="s">
        <v>22</v>
      </c>
      <c r="F44" t="s">
        <v>23</v>
      </c>
      <c r="G44">
        <v>1</v>
      </c>
      <c r="H44">
        <v>9791166300530</v>
      </c>
      <c r="I44" t="s">
        <v>24</v>
      </c>
      <c r="J44" t="s">
        <v>151</v>
      </c>
      <c r="K44" t="s">
        <v>119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  <c r="V44" s="7" t="s">
        <v>24</v>
      </c>
      <c r="W44" s="7" t="s">
        <v>119</v>
      </c>
    </row>
    <row r="45" spans="1:23" x14ac:dyDescent="0.4">
      <c r="A45" t="s">
        <v>262</v>
      </c>
      <c r="B45" t="s">
        <v>263</v>
      </c>
      <c r="C45" t="s">
        <v>319</v>
      </c>
      <c r="D45" t="s">
        <v>64</v>
      </c>
      <c r="E45" t="s">
        <v>22</v>
      </c>
      <c r="F45" t="s">
        <v>23</v>
      </c>
      <c r="G45">
        <v>1</v>
      </c>
      <c r="H45">
        <v>9791166300523</v>
      </c>
      <c r="I45" t="s">
        <v>24</v>
      </c>
      <c r="J45" t="s">
        <v>150</v>
      </c>
      <c r="K45" t="s">
        <v>119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2">
        <v>0.7</v>
      </c>
      <c r="S45">
        <v>441</v>
      </c>
      <c r="T45" t="s">
        <v>27</v>
      </c>
      <c r="U45">
        <v>441</v>
      </c>
      <c r="V45" s="7" t="s">
        <v>24</v>
      </c>
      <c r="W45" s="7" t="s">
        <v>119</v>
      </c>
    </row>
    <row r="46" spans="1:23" x14ac:dyDescent="0.4">
      <c r="A46" t="s">
        <v>262</v>
      </c>
      <c r="B46" t="s">
        <v>263</v>
      </c>
      <c r="C46" t="s">
        <v>320</v>
      </c>
      <c r="D46" t="s">
        <v>64</v>
      </c>
      <c r="E46" t="s">
        <v>22</v>
      </c>
      <c r="F46" t="s">
        <v>23</v>
      </c>
      <c r="G46">
        <v>1</v>
      </c>
      <c r="H46">
        <v>9791166300301</v>
      </c>
      <c r="I46" t="s">
        <v>24</v>
      </c>
      <c r="J46" t="s">
        <v>139</v>
      </c>
      <c r="K46" t="s">
        <v>119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  <c r="V46" s="7" t="s">
        <v>24</v>
      </c>
      <c r="W46" s="7" t="s">
        <v>119</v>
      </c>
    </row>
    <row r="47" spans="1:23" x14ac:dyDescent="0.4">
      <c r="A47" t="s">
        <v>262</v>
      </c>
      <c r="B47" t="s">
        <v>263</v>
      </c>
      <c r="C47" t="s">
        <v>321</v>
      </c>
      <c r="D47" t="s">
        <v>64</v>
      </c>
      <c r="E47" t="s">
        <v>22</v>
      </c>
      <c r="F47" t="s">
        <v>23</v>
      </c>
      <c r="G47">
        <v>1</v>
      </c>
      <c r="H47">
        <v>9791166300653</v>
      </c>
      <c r="I47" t="s">
        <v>24</v>
      </c>
      <c r="J47" t="s">
        <v>157</v>
      </c>
      <c r="K47" t="s">
        <v>119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  <c r="V47" s="7" t="s">
        <v>24</v>
      </c>
      <c r="W47" s="7" t="s">
        <v>119</v>
      </c>
    </row>
    <row r="48" spans="1:23" x14ac:dyDescent="0.4">
      <c r="A48" t="s">
        <v>262</v>
      </c>
      <c r="B48" t="s">
        <v>263</v>
      </c>
      <c r="C48" t="s">
        <v>322</v>
      </c>
      <c r="D48" t="s">
        <v>64</v>
      </c>
      <c r="E48" t="s">
        <v>22</v>
      </c>
      <c r="F48" t="s">
        <v>23</v>
      </c>
      <c r="G48">
        <v>1</v>
      </c>
      <c r="H48">
        <v>9791166300530</v>
      </c>
      <c r="I48" t="s">
        <v>24</v>
      </c>
      <c r="J48" t="s">
        <v>151</v>
      </c>
      <c r="K48" t="s">
        <v>119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  <c r="V48" s="7" t="s">
        <v>24</v>
      </c>
      <c r="W48" s="7" t="s">
        <v>119</v>
      </c>
    </row>
    <row r="49" spans="1:23" x14ac:dyDescent="0.4">
      <c r="A49" t="s">
        <v>262</v>
      </c>
      <c r="B49" t="s">
        <v>263</v>
      </c>
      <c r="C49" t="s">
        <v>323</v>
      </c>
      <c r="D49" t="s">
        <v>64</v>
      </c>
      <c r="E49" t="s">
        <v>22</v>
      </c>
      <c r="F49" t="s">
        <v>23</v>
      </c>
      <c r="G49">
        <v>1</v>
      </c>
      <c r="H49">
        <v>9791166300127</v>
      </c>
      <c r="I49" t="s">
        <v>24</v>
      </c>
      <c r="J49" t="s">
        <v>122</v>
      </c>
      <c r="K49" t="s">
        <v>119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  <c r="V49" s="7" t="s">
        <v>24</v>
      </c>
      <c r="W49" s="7" t="s">
        <v>119</v>
      </c>
    </row>
    <row r="50" spans="1:23" x14ac:dyDescent="0.4">
      <c r="A50" t="s">
        <v>262</v>
      </c>
      <c r="B50" t="s">
        <v>263</v>
      </c>
      <c r="C50" t="s">
        <v>324</v>
      </c>
      <c r="D50" t="s">
        <v>21</v>
      </c>
      <c r="E50" t="s">
        <v>22</v>
      </c>
      <c r="F50" t="s">
        <v>23</v>
      </c>
      <c r="G50">
        <v>1</v>
      </c>
      <c r="H50">
        <v>9791166300134</v>
      </c>
      <c r="I50" t="s">
        <v>24</v>
      </c>
      <c r="J50" t="s">
        <v>123</v>
      </c>
      <c r="K50" t="s">
        <v>119</v>
      </c>
      <c r="L50" t="s">
        <v>27</v>
      </c>
      <c r="M50" s="3">
        <v>3200</v>
      </c>
      <c r="N50" t="s">
        <v>27</v>
      </c>
      <c r="O50" s="3">
        <v>3200</v>
      </c>
      <c r="P50" s="3">
        <v>3200</v>
      </c>
      <c r="Q50" t="s">
        <v>30</v>
      </c>
      <c r="R50" s="2">
        <v>0.7</v>
      </c>
      <c r="S50" s="3">
        <v>2240</v>
      </c>
      <c r="T50" t="s">
        <v>27</v>
      </c>
      <c r="U50" s="3">
        <v>2240</v>
      </c>
      <c r="V50" s="7" t="s">
        <v>24</v>
      </c>
      <c r="W50" s="7" t="s">
        <v>119</v>
      </c>
    </row>
    <row r="51" spans="1:23" x14ac:dyDescent="0.4">
      <c r="A51" t="s">
        <v>262</v>
      </c>
      <c r="B51" t="s">
        <v>263</v>
      </c>
      <c r="C51" t="s">
        <v>325</v>
      </c>
      <c r="D51" t="s">
        <v>64</v>
      </c>
      <c r="E51" t="s">
        <v>22</v>
      </c>
      <c r="F51" t="s">
        <v>23</v>
      </c>
      <c r="G51">
        <v>1</v>
      </c>
      <c r="H51">
        <v>9791166300103</v>
      </c>
      <c r="I51" t="s">
        <v>24</v>
      </c>
      <c r="J51" t="s">
        <v>120</v>
      </c>
      <c r="K51" t="s">
        <v>119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  <c r="V51" s="7" t="s">
        <v>24</v>
      </c>
      <c r="W51" s="7" t="s">
        <v>119</v>
      </c>
    </row>
    <row r="52" spans="1:23" x14ac:dyDescent="0.4">
      <c r="A52" t="s">
        <v>262</v>
      </c>
      <c r="B52" t="s">
        <v>326</v>
      </c>
      <c r="C52" t="s">
        <v>327</v>
      </c>
      <c r="D52" t="s">
        <v>64</v>
      </c>
      <c r="E52" t="s">
        <v>22</v>
      </c>
      <c r="F52" t="s">
        <v>23</v>
      </c>
      <c r="G52">
        <v>1</v>
      </c>
      <c r="H52">
        <v>9791166300530</v>
      </c>
      <c r="I52" t="s">
        <v>24</v>
      </c>
      <c r="J52" t="s">
        <v>151</v>
      </c>
      <c r="K52" t="s">
        <v>119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  <c r="V52" s="7" t="s">
        <v>24</v>
      </c>
      <c r="W52" s="7" t="s">
        <v>119</v>
      </c>
    </row>
    <row r="53" spans="1:23" x14ac:dyDescent="0.4">
      <c r="A53" t="s">
        <v>262</v>
      </c>
      <c r="B53" t="s">
        <v>326</v>
      </c>
      <c r="C53" t="s">
        <v>328</v>
      </c>
      <c r="D53" t="s">
        <v>64</v>
      </c>
      <c r="E53" t="s">
        <v>22</v>
      </c>
      <c r="F53" t="s">
        <v>23</v>
      </c>
      <c r="G53">
        <v>1</v>
      </c>
      <c r="H53">
        <v>9791166300103</v>
      </c>
      <c r="I53" t="s">
        <v>24</v>
      </c>
      <c r="J53" t="s">
        <v>120</v>
      </c>
      <c r="K53" t="s">
        <v>119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  <c r="V53" s="7" t="s">
        <v>24</v>
      </c>
      <c r="W53" s="7" t="s">
        <v>119</v>
      </c>
    </row>
    <row r="54" spans="1:23" x14ac:dyDescent="0.4">
      <c r="A54" t="s">
        <v>262</v>
      </c>
      <c r="B54" t="s">
        <v>326</v>
      </c>
      <c r="C54" t="s">
        <v>329</v>
      </c>
      <c r="D54" t="s">
        <v>64</v>
      </c>
      <c r="E54" t="s">
        <v>22</v>
      </c>
      <c r="F54" t="s">
        <v>23</v>
      </c>
      <c r="G54">
        <v>1</v>
      </c>
      <c r="H54">
        <v>9791166300271</v>
      </c>
      <c r="I54" t="s">
        <v>24</v>
      </c>
      <c r="J54" t="s">
        <v>136</v>
      </c>
      <c r="K54" t="s">
        <v>119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  <c r="V54" s="7" t="s">
        <v>24</v>
      </c>
      <c r="W54" s="7" t="s">
        <v>119</v>
      </c>
    </row>
    <row r="55" spans="1:23" x14ac:dyDescent="0.4">
      <c r="A55" t="s">
        <v>262</v>
      </c>
      <c r="B55" t="s">
        <v>326</v>
      </c>
      <c r="C55" t="s">
        <v>331</v>
      </c>
      <c r="D55" t="s">
        <v>21</v>
      </c>
      <c r="E55" t="s">
        <v>22</v>
      </c>
      <c r="F55" t="s">
        <v>23</v>
      </c>
      <c r="G55">
        <v>1</v>
      </c>
      <c r="H55">
        <v>9791166300141</v>
      </c>
      <c r="I55" t="s">
        <v>24</v>
      </c>
      <c r="J55" t="s">
        <v>124</v>
      </c>
      <c r="K55" t="s">
        <v>119</v>
      </c>
      <c r="L55" t="s">
        <v>27</v>
      </c>
      <c r="M55" s="3">
        <v>3200</v>
      </c>
      <c r="N55" t="s">
        <v>27</v>
      </c>
      <c r="O55" s="3">
        <v>3200</v>
      </c>
      <c r="P55" s="3">
        <v>3200</v>
      </c>
      <c r="Q55" t="s">
        <v>30</v>
      </c>
      <c r="R55" s="2">
        <v>0.7</v>
      </c>
      <c r="S55" s="3">
        <v>2240</v>
      </c>
      <c r="T55" t="s">
        <v>27</v>
      </c>
      <c r="U55" s="3">
        <v>2240</v>
      </c>
      <c r="V55" s="7" t="s">
        <v>24</v>
      </c>
      <c r="W55" s="7" t="s">
        <v>119</v>
      </c>
    </row>
    <row r="56" spans="1:23" x14ac:dyDescent="0.4">
      <c r="A56" t="s">
        <v>262</v>
      </c>
      <c r="B56" t="s">
        <v>326</v>
      </c>
      <c r="C56" t="s">
        <v>332</v>
      </c>
      <c r="D56" t="s">
        <v>64</v>
      </c>
      <c r="E56" t="s">
        <v>22</v>
      </c>
      <c r="F56" t="s">
        <v>23</v>
      </c>
      <c r="G56">
        <v>1</v>
      </c>
      <c r="H56">
        <v>9791166300110</v>
      </c>
      <c r="I56" t="s">
        <v>24</v>
      </c>
      <c r="J56" t="s">
        <v>121</v>
      </c>
      <c r="K56" t="s">
        <v>119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  <c r="V56" s="7" t="s">
        <v>24</v>
      </c>
      <c r="W56" s="7" t="s">
        <v>119</v>
      </c>
    </row>
    <row r="57" spans="1:23" x14ac:dyDescent="0.4">
      <c r="A57" t="s">
        <v>262</v>
      </c>
      <c r="B57" t="s">
        <v>326</v>
      </c>
      <c r="C57" t="s">
        <v>333</v>
      </c>
      <c r="D57" t="s">
        <v>64</v>
      </c>
      <c r="E57" t="s">
        <v>22</v>
      </c>
      <c r="F57" t="s">
        <v>23</v>
      </c>
      <c r="G57">
        <v>1</v>
      </c>
      <c r="H57">
        <v>9791166300561</v>
      </c>
      <c r="I57" t="s">
        <v>24</v>
      </c>
      <c r="J57" t="s">
        <v>158</v>
      </c>
      <c r="K57" t="s">
        <v>119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444</v>
      </c>
      <c r="V57" s="7" t="s">
        <v>24</v>
      </c>
      <c r="W57" s="7" t="s">
        <v>119</v>
      </c>
    </row>
    <row r="58" spans="1:23" x14ac:dyDescent="0.4">
      <c r="A58" t="s">
        <v>262</v>
      </c>
      <c r="B58" t="s">
        <v>326</v>
      </c>
      <c r="C58" t="s">
        <v>334</v>
      </c>
      <c r="D58" t="s">
        <v>64</v>
      </c>
      <c r="E58" t="s">
        <v>22</v>
      </c>
      <c r="F58" t="s">
        <v>23</v>
      </c>
      <c r="G58">
        <v>1</v>
      </c>
      <c r="H58">
        <v>9791166300585</v>
      </c>
      <c r="I58" t="s">
        <v>24</v>
      </c>
      <c r="J58" t="s">
        <v>160</v>
      </c>
      <c r="K58" t="s">
        <v>119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  <c r="V58" s="7" t="s">
        <v>24</v>
      </c>
      <c r="W58" s="7" t="s">
        <v>119</v>
      </c>
    </row>
    <row r="59" spans="1:23" x14ac:dyDescent="0.4">
      <c r="A59" t="s">
        <v>262</v>
      </c>
      <c r="B59" t="s">
        <v>326</v>
      </c>
      <c r="C59" t="s">
        <v>336</v>
      </c>
      <c r="D59" t="s">
        <v>64</v>
      </c>
      <c r="E59" t="s">
        <v>22</v>
      </c>
      <c r="F59" t="s">
        <v>23</v>
      </c>
      <c r="G59">
        <v>1</v>
      </c>
      <c r="H59">
        <v>9791166300134</v>
      </c>
      <c r="I59" t="s">
        <v>24</v>
      </c>
      <c r="J59" t="s">
        <v>123</v>
      </c>
      <c r="K59" t="s">
        <v>119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  <c r="V59" s="7" t="s">
        <v>24</v>
      </c>
      <c r="W59" s="7" t="s">
        <v>119</v>
      </c>
    </row>
    <row r="60" spans="1:23" x14ac:dyDescent="0.4">
      <c r="A60" t="s">
        <v>262</v>
      </c>
      <c r="B60" t="s">
        <v>326</v>
      </c>
      <c r="C60" t="s">
        <v>338</v>
      </c>
      <c r="D60" t="s">
        <v>64</v>
      </c>
      <c r="E60" t="s">
        <v>22</v>
      </c>
      <c r="F60" t="s">
        <v>23</v>
      </c>
      <c r="G60">
        <v>1</v>
      </c>
      <c r="H60">
        <v>9791166300547</v>
      </c>
      <c r="I60" t="s">
        <v>24</v>
      </c>
      <c r="J60" t="s">
        <v>153</v>
      </c>
      <c r="K60" t="s">
        <v>119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  <c r="V60" s="7" t="s">
        <v>24</v>
      </c>
      <c r="W60" s="7" t="s">
        <v>119</v>
      </c>
    </row>
    <row r="61" spans="1:23" x14ac:dyDescent="0.4">
      <c r="A61" t="s">
        <v>262</v>
      </c>
      <c r="B61" t="s">
        <v>326</v>
      </c>
      <c r="C61" t="s">
        <v>339</v>
      </c>
      <c r="D61" t="s">
        <v>64</v>
      </c>
      <c r="E61" t="s">
        <v>22</v>
      </c>
      <c r="F61" t="s">
        <v>23</v>
      </c>
      <c r="G61">
        <v>1</v>
      </c>
      <c r="H61">
        <v>9791166300127</v>
      </c>
      <c r="I61" t="s">
        <v>24</v>
      </c>
      <c r="J61" t="s">
        <v>122</v>
      </c>
      <c r="K61" t="s">
        <v>119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  <c r="V61" s="7" t="s">
        <v>24</v>
      </c>
      <c r="W61" s="7" t="s">
        <v>119</v>
      </c>
    </row>
    <row r="62" spans="1:23" x14ac:dyDescent="0.4">
      <c r="A62" t="s">
        <v>262</v>
      </c>
      <c r="B62" t="s">
        <v>326</v>
      </c>
      <c r="C62" t="s">
        <v>340</v>
      </c>
      <c r="D62" t="s">
        <v>64</v>
      </c>
      <c r="E62" t="s">
        <v>22</v>
      </c>
      <c r="F62" t="s">
        <v>23</v>
      </c>
      <c r="G62">
        <v>1</v>
      </c>
      <c r="H62">
        <v>9791166300110</v>
      </c>
      <c r="I62" t="s">
        <v>24</v>
      </c>
      <c r="J62" t="s">
        <v>121</v>
      </c>
      <c r="K62" t="s">
        <v>119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  <c r="V62" s="7" t="s">
        <v>24</v>
      </c>
      <c r="W62" s="7" t="s">
        <v>119</v>
      </c>
    </row>
    <row r="63" spans="1:23" x14ac:dyDescent="0.4">
      <c r="A63" t="s">
        <v>262</v>
      </c>
      <c r="B63" t="s">
        <v>326</v>
      </c>
      <c r="C63" t="s">
        <v>341</v>
      </c>
      <c r="D63" t="s">
        <v>64</v>
      </c>
      <c r="E63" t="s">
        <v>22</v>
      </c>
      <c r="F63" t="s">
        <v>23</v>
      </c>
      <c r="G63">
        <v>1</v>
      </c>
      <c r="H63">
        <v>9791166300547</v>
      </c>
      <c r="I63" t="s">
        <v>24</v>
      </c>
      <c r="J63" t="s">
        <v>153</v>
      </c>
      <c r="K63" t="s">
        <v>119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2">
        <v>0.7</v>
      </c>
      <c r="S63">
        <v>441</v>
      </c>
      <c r="T63" t="s">
        <v>27</v>
      </c>
      <c r="U63">
        <v>441</v>
      </c>
      <c r="V63" s="7" t="s">
        <v>24</v>
      </c>
      <c r="W63" s="7" t="s">
        <v>119</v>
      </c>
    </row>
    <row r="64" spans="1:23" x14ac:dyDescent="0.4">
      <c r="A64" t="s">
        <v>262</v>
      </c>
      <c r="B64" t="s">
        <v>326</v>
      </c>
      <c r="C64" t="s">
        <v>342</v>
      </c>
      <c r="D64" t="s">
        <v>64</v>
      </c>
      <c r="E64" t="s">
        <v>22</v>
      </c>
      <c r="F64" t="s">
        <v>23</v>
      </c>
      <c r="G64">
        <v>1</v>
      </c>
      <c r="H64">
        <v>9791166300103</v>
      </c>
      <c r="I64" t="s">
        <v>24</v>
      </c>
      <c r="J64" t="s">
        <v>120</v>
      </c>
      <c r="K64" t="s">
        <v>119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  <c r="V64" s="7" t="s">
        <v>24</v>
      </c>
      <c r="W64" s="7" t="s">
        <v>119</v>
      </c>
    </row>
    <row r="65" spans="1:23" x14ac:dyDescent="0.4">
      <c r="A65" t="s">
        <v>262</v>
      </c>
      <c r="B65" t="s">
        <v>326</v>
      </c>
      <c r="C65" t="s">
        <v>343</v>
      </c>
      <c r="D65" t="s">
        <v>64</v>
      </c>
      <c r="E65" t="s">
        <v>22</v>
      </c>
      <c r="F65" t="s">
        <v>23</v>
      </c>
      <c r="G65">
        <v>1</v>
      </c>
      <c r="H65">
        <v>9791166300608</v>
      </c>
      <c r="I65" t="s">
        <v>24</v>
      </c>
      <c r="J65" t="s">
        <v>162</v>
      </c>
      <c r="K65" t="s">
        <v>119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  <c r="V65" s="7" t="s">
        <v>24</v>
      </c>
      <c r="W65" s="7" t="s">
        <v>119</v>
      </c>
    </row>
    <row r="66" spans="1:23" x14ac:dyDescent="0.4">
      <c r="A66" t="s">
        <v>262</v>
      </c>
      <c r="B66" t="s">
        <v>326</v>
      </c>
      <c r="C66" t="s">
        <v>344</v>
      </c>
      <c r="D66" t="s">
        <v>64</v>
      </c>
      <c r="E66" t="s">
        <v>22</v>
      </c>
      <c r="F66" t="s">
        <v>23</v>
      </c>
      <c r="G66">
        <v>1</v>
      </c>
      <c r="H66">
        <v>9791166300639</v>
      </c>
      <c r="I66" t="s">
        <v>24</v>
      </c>
      <c r="J66" t="s">
        <v>165</v>
      </c>
      <c r="K66" t="s">
        <v>119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2">
        <v>0.7</v>
      </c>
      <c r="S66">
        <v>441</v>
      </c>
      <c r="T66" t="s">
        <v>27</v>
      </c>
      <c r="U66">
        <v>441</v>
      </c>
      <c r="V66" s="7" t="s">
        <v>24</v>
      </c>
      <c r="W66" s="7" t="s">
        <v>119</v>
      </c>
    </row>
    <row r="67" spans="1:23" x14ac:dyDescent="0.4">
      <c r="A67" t="s">
        <v>262</v>
      </c>
      <c r="B67" t="s">
        <v>326</v>
      </c>
      <c r="C67" t="s">
        <v>348</v>
      </c>
      <c r="D67" t="s">
        <v>64</v>
      </c>
      <c r="E67" t="s">
        <v>22</v>
      </c>
      <c r="F67" t="s">
        <v>23</v>
      </c>
      <c r="G67">
        <v>1</v>
      </c>
      <c r="H67">
        <v>9791166300226</v>
      </c>
      <c r="I67" t="s">
        <v>24</v>
      </c>
      <c r="J67" t="s">
        <v>131</v>
      </c>
      <c r="K67" t="s">
        <v>119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2">
        <v>0.7</v>
      </c>
      <c r="S67">
        <v>441</v>
      </c>
      <c r="T67" t="s">
        <v>27</v>
      </c>
      <c r="U67">
        <v>441</v>
      </c>
      <c r="V67" s="7" t="s">
        <v>24</v>
      </c>
      <c r="W67" s="7" t="s">
        <v>119</v>
      </c>
    </row>
    <row r="68" spans="1:23" x14ac:dyDescent="0.4">
      <c r="A68" t="s">
        <v>262</v>
      </c>
      <c r="B68" t="s">
        <v>326</v>
      </c>
      <c r="C68" t="s">
        <v>349</v>
      </c>
      <c r="D68" t="s">
        <v>64</v>
      </c>
      <c r="E68" t="s">
        <v>22</v>
      </c>
      <c r="F68" t="s">
        <v>23</v>
      </c>
      <c r="G68">
        <v>1</v>
      </c>
      <c r="H68">
        <v>9791166300479</v>
      </c>
      <c r="I68" t="s">
        <v>24</v>
      </c>
      <c r="J68" t="s">
        <v>145</v>
      </c>
      <c r="K68" t="s">
        <v>119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  <c r="V68" s="7" t="s">
        <v>24</v>
      </c>
      <c r="W68" s="7" t="s">
        <v>119</v>
      </c>
    </row>
    <row r="69" spans="1:23" x14ac:dyDescent="0.4">
      <c r="A69" t="s">
        <v>262</v>
      </c>
      <c r="B69" t="s">
        <v>326</v>
      </c>
      <c r="C69" t="s">
        <v>350</v>
      </c>
      <c r="D69" t="s">
        <v>64</v>
      </c>
      <c r="E69" t="s">
        <v>22</v>
      </c>
      <c r="F69" t="s">
        <v>23</v>
      </c>
      <c r="G69">
        <v>1</v>
      </c>
      <c r="H69">
        <v>9791166300134</v>
      </c>
      <c r="I69" t="s">
        <v>24</v>
      </c>
      <c r="J69" t="s">
        <v>123</v>
      </c>
      <c r="K69" t="s">
        <v>119</v>
      </c>
      <c r="L69" t="s">
        <v>27</v>
      </c>
      <c r="M69">
        <v>630</v>
      </c>
      <c r="N69" t="s">
        <v>27</v>
      </c>
      <c r="O69">
        <v>630</v>
      </c>
      <c r="P69">
        <v>630</v>
      </c>
      <c r="Q69" t="s">
        <v>30</v>
      </c>
      <c r="R69" s="2">
        <v>0.7</v>
      </c>
      <c r="S69">
        <v>441</v>
      </c>
      <c r="T69" t="s">
        <v>27</v>
      </c>
      <c r="U69">
        <v>441</v>
      </c>
      <c r="V69" s="7" t="s">
        <v>24</v>
      </c>
      <c r="W69" s="7" t="s">
        <v>119</v>
      </c>
    </row>
    <row r="70" spans="1:23" x14ac:dyDescent="0.4">
      <c r="A70" t="s">
        <v>262</v>
      </c>
      <c r="B70" t="s">
        <v>326</v>
      </c>
      <c r="C70" t="s">
        <v>351</v>
      </c>
      <c r="D70" t="s">
        <v>64</v>
      </c>
      <c r="E70" t="s">
        <v>22</v>
      </c>
      <c r="F70" t="s">
        <v>23</v>
      </c>
      <c r="G70">
        <v>1</v>
      </c>
      <c r="H70">
        <v>9791166300547</v>
      </c>
      <c r="I70" t="s">
        <v>24</v>
      </c>
      <c r="J70" t="s">
        <v>153</v>
      </c>
      <c r="K70" t="s">
        <v>119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2">
        <v>0.7</v>
      </c>
      <c r="S70">
        <v>441</v>
      </c>
      <c r="T70" t="s">
        <v>27</v>
      </c>
      <c r="U70">
        <v>441</v>
      </c>
      <c r="V70" s="7" t="s">
        <v>24</v>
      </c>
      <c r="W70" s="7" t="s">
        <v>119</v>
      </c>
    </row>
    <row r="71" spans="1:23" x14ac:dyDescent="0.4">
      <c r="A71" t="s">
        <v>262</v>
      </c>
      <c r="B71" t="s">
        <v>326</v>
      </c>
      <c r="C71" t="s">
        <v>352</v>
      </c>
      <c r="D71" t="s">
        <v>64</v>
      </c>
      <c r="E71" t="s">
        <v>22</v>
      </c>
      <c r="F71" t="s">
        <v>23</v>
      </c>
      <c r="G71">
        <v>1</v>
      </c>
      <c r="H71">
        <v>9791166300462</v>
      </c>
      <c r="I71" t="s">
        <v>24</v>
      </c>
      <c r="J71" t="s">
        <v>144</v>
      </c>
      <c r="K71" t="s">
        <v>119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  <c r="V71" s="7" t="s">
        <v>24</v>
      </c>
      <c r="W71" s="7" t="s">
        <v>119</v>
      </c>
    </row>
    <row r="72" spans="1:23" x14ac:dyDescent="0.4">
      <c r="A72" t="s">
        <v>262</v>
      </c>
      <c r="B72" t="s">
        <v>326</v>
      </c>
      <c r="C72" t="s">
        <v>353</v>
      </c>
      <c r="D72" t="s">
        <v>64</v>
      </c>
      <c r="E72" t="s">
        <v>22</v>
      </c>
      <c r="F72" t="s">
        <v>23</v>
      </c>
      <c r="G72">
        <v>1</v>
      </c>
      <c r="H72">
        <v>9791166300547</v>
      </c>
      <c r="I72" t="s">
        <v>24</v>
      </c>
      <c r="J72" t="s">
        <v>153</v>
      </c>
      <c r="K72" t="s">
        <v>119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441</v>
      </c>
      <c r="V72" s="7" t="s">
        <v>24</v>
      </c>
      <c r="W72" s="7" t="s">
        <v>119</v>
      </c>
    </row>
    <row r="73" spans="1:23" x14ac:dyDescent="0.4">
      <c r="A73" t="s">
        <v>262</v>
      </c>
      <c r="B73" t="s">
        <v>326</v>
      </c>
      <c r="C73" t="s">
        <v>354</v>
      </c>
      <c r="D73" t="s">
        <v>64</v>
      </c>
      <c r="E73" t="s">
        <v>22</v>
      </c>
      <c r="F73" t="s">
        <v>23</v>
      </c>
      <c r="G73">
        <v>1</v>
      </c>
      <c r="H73">
        <v>9791166300141</v>
      </c>
      <c r="I73" t="s">
        <v>24</v>
      </c>
      <c r="J73" t="s">
        <v>124</v>
      </c>
      <c r="K73" t="s">
        <v>119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2">
        <v>0.7</v>
      </c>
      <c r="S73">
        <v>441</v>
      </c>
      <c r="T73" t="s">
        <v>27</v>
      </c>
      <c r="U73">
        <v>441</v>
      </c>
      <c r="V73" s="7" t="s">
        <v>24</v>
      </c>
      <c r="W73" s="7" t="s">
        <v>119</v>
      </c>
    </row>
    <row r="74" spans="1:23" x14ac:dyDescent="0.4">
      <c r="A74" t="s">
        <v>262</v>
      </c>
      <c r="B74" t="s">
        <v>326</v>
      </c>
      <c r="C74" t="s">
        <v>355</v>
      </c>
      <c r="D74" t="s">
        <v>64</v>
      </c>
      <c r="E74" t="s">
        <v>22</v>
      </c>
      <c r="F74" t="s">
        <v>23</v>
      </c>
      <c r="G74">
        <v>1</v>
      </c>
      <c r="H74">
        <v>9791166300141</v>
      </c>
      <c r="I74" t="s">
        <v>24</v>
      </c>
      <c r="J74" t="s">
        <v>124</v>
      </c>
      <c r="K74" t="s">
        <v>119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2">
        <v>0.7</v>
      </c>
      <c r="S74">
        <v>441</v>
      </c>
      <c r="T74" t="s">
        <v>27</v>
      </c>
      <c r="U74">
        <v>441</v>
      </c>
      <c r="V74" s="7" t="s">
        <v>24</v>
      </c>
      <c r="W74" s="7" t="s">
        <v>119</v>
      </c>
    </row>
    <row r="75" spans="1:23" x14ac:dyDescent="0.4">
      <c r="A75" t="s">
        <v>262</v>
      </c>
      <c r="B75" t="s">
        <v>326</v>
      </c>
      <c r="C75" t="s">
        <v>356</v>
      </c>
      <c r="D75" t="s">
        <v>64</v>
      </c>
      <c r="E75" t="s">
        <v>22</v>
      </c>
      <c r="F75" t="s">
        <v>23</v>
      </c>
      <c r="G75">
        <v>1</v>
      </c>
      <c r="H75">
        <v>9791166300554</v>
      </c>
      <c r="I75" t="s">
        <v>24</v>
      </c>
      <c r="J75" t="s">
        <v>154</v>
      </c>
      <c r="K75" t="s">
        <v>119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  <c r="V75" s="7" t="s">
        <v>24</v>
      </c>
      <c r="W75" s="7" t="s">
        <v>119</v>
      </c>
    </row>
    <row r="76" spans="1:23" x14ac:dyDescent="0.4">
      <c r="A76" t="s">
        <v>262</v>
      </c>
      <c r="B76" t="s">
        <v>326</v>
      </c>
      <c r="C76" t="s">
        <v>357</v>
      </c>
      <c r="D76" t="s">
        <v>64</v>
      </c>
      <c r="E76" t="s">
        <v>22</v>
      </c>
      <c r="F76" t="s">
        <v>23</v>
      </c>
      <c r="G76">
        <v>1</v>
      </c>
      <c r="H76">
        <v>9791166300158</v>
      </c>
      <c r="I76" t="s">
        <v>24</v>
      </c>
      <c r="J76" t="s">
        <v>125</v>
      </c>
      <c r="K76" t="s">
        <v>119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  <c r="V76" s="7" t="s">
        <v>24</v>
      </c>
      <c r="W76" s="7" t="s">
        <v>119</v>
      </c>
    </row>
    <row r="77" spans="1:23" x14ac:dyDescent="0.4">
      <c r="A77" t="s">
        <v>262</v>
      </c>
      <c r="B77" t="s">
        <v>326</v>
      </c>
      <c r="C77" t="s">
        <v>361</v>
      </c>
      <c r="D77" t="s">
        <v>64</v>
      </c>
      <c r="E77" t="s">
        <v>22</v>
      </c>
      <c r="F77" t="s">
        <v>23</v>
      </c>
      <c r="G77">
        <v>1</v>
      </c>
      <c r="H77">
        <v>9791166300479</v>
      </c>
      <c r="I77" t="s">
        <v>24</v>
      </c>
      <c r="J77" t="s">
        <v>145</v>
      </c>
      <c r="K77" t="s">
        <v>119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  <c r="V77" s="7" t="s">
        <v>24</v>
      </c>
      <c r="W77" s="7" t="s">
        <v>119</v>
      </c>
    </row>
    <row r="78" spans="1:23" x14ac:dyDescent="0.4">
      <c r="A78" t="s">
        <v>262</v>
      </c>
      <c r="B78" t="s">
        <v>326</v>
      </c>
      <c r="C78" t="s">
        <v>363</v>
      </c>
      <c r="D78" t="s">
        <v>64</v>
      </c>
      <c r="E78" t="s">
        <v>22</v>
      </c>
      <c r="F78" t="s">
        <v>23</v>
      </c>
      <c r="G78">
        <v>1</v>
      </c>
      <c r="H78">
        <v>9791166300288</v>
      </c>
      <c r="I78" t="s">
        <v>24</v>
      </c>
      <c r="J78" t="s">
        <v>137</v>
      </c>
      <c r="K78" t="s">
        <v>119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  <c r="V78" s="7" t="s">
        <v>24</v>
      </c>
      <c r="W78" s="7" t="s">
        <v>119</v>
      </c>
    </row>
    <row r="79" spans="1:23" x14ac:dyDescent="0.4">
      <c r="A79" t="s">
        <v>262</v>
      </c>
      <c r="B79" t="s">
        <v>326</v>
      </c>
      <c r="C79" t="s">
        <v>365</v>
      </c>
      <c r="D79" t="s">
        <v>64</v>
      </c>
      <c r="E79" t="s">
        <v>22</v>
      </c>
      <c r="F79" t="s">
        <v>23</v>
      </c>
      <c r="G79">
        <v>1</v>
      </c>
      <c r="H79">
        <v>9791166300561</v>
      </c>
      <c r="I79" t="s">
        <v>24</v>
      </c>
      <c r="J79" t="s">
        <v>158</v>
      </c>
      <c r="K79" t="s">
        <v>119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2">
        <v>0.7</v>
      </c>
      <c r="S79">
        <v>441</v>
      </c>
      <c r="T79" t="s">
        <v>27</v>
      </c>
      <c r="U79">
        <v>441</v>
      </c>
      <c r="V79" s="7" t="s">
        <v>24</v>
      </c>
      <c r="W79" s="7" t="s">
        <v>119</v>
      </c>
    </row>
    <row r="80" spans="1:23" x14ac:dyDescent="0.4">
      <c r="A80" t="s">
        <v>262</v>
      </c>
      <c r="B80" t="s">
        <v>326</v>
      </c>
      <c r="C80" t="s">
        <v>366</v>
      </c>
      <c r="D80" t="s">
        <v>64</v>
      </c>
      <c r="E80" t="s">
        <v>22</v>
      </c>
      <c r="F80" t="s">
        <v>23</v>
      </c>
      <c r="G80">
        <v>1</v>
      </c>
      <c r="H80">
        <v>9791166300158</v>
      </c>
      <c r="I80" t="s">
        <v>24</v>
      </c>
      <c r="J80" t="s">
        <v>125</v>
      </c>
      <c r="K80" t="s">
        <v>119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2">
        <v>0.7</v>
      </c>
      <c r="S80">
        <v>441</v>
      </c>
      <c r="T80" t="s">
        <v>27</v>
      </c>
      <c r="U80">
        <v>441</v>
      </c>
      <c r="V80" s="7" t="s">
        <v>24</v>
      </c>
      <c r="W80" s="7" t="s">
        <v>119</v>
      </c>
    </row>
    <row r="81" spans="1:23" x14ac:dyDescent="0.4">
      <c r="A81" t="s">
        <v>262</v>
      </c>
      <c r="B81" t="s">
        <v>326</v>
      </c>
      <c r="C81" t="s">
        <v>368</v>
      </c>
      <c r="D81" t="s">
        <v>64</v>
      </c>
      <c r="E81" t="s">
        <v>22</v>
      </c>
      <c r="F81" t="s">
        <v>23</v>
      </c>
      <c r="G81">
        <v>1</v>
      </c>
      <c r="H81">
        <v>9791166300295</v>
      </c>
      <c r="I81" t="s">
        <v>24</v>
      </c>
      <c r="J81" t="s">
        <v>138</v>
      </c>
      <c r="K81" t="s">
        <v>119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2">
        <v>0.7</v>
      </c>
      <c r="S81">
        <v>441</v>
      </c>
      <c r="T81" t="s">
        <v>27</v>
      </c>
      <c r="U81">
        <v>441</v>
      </c>
      <c r="V81" s="7" t="s">
        <v>24</v>
      </c>
      <c r="W81" s="7" t="s">
        <v>119</v>
      </c>
    </row>
    <row r="82" spans="1:23" x14ac:dyDescent="0.4">
      <c r="A82" t="s">
        <v>262</v>
      </c>
      <c r="B82" t="s">
        <v>326</v>
      </c>
      <c r="C82" t="s">
        <v>371</v>
      </c>
      <c r="D82" t="s">
        <v>21</v>
      </c>
      <c r="E82" t="s">
        <v>22</v>
      </c>
      <c r="F82" t="s">
        <v>23</v>
      </c>
      <c r="G82">
        <v>1</v>
      </c>
      <c r="H82">
        <v>9791166300158</v>
      </c>
      <c r="I82" t="s">
        <v>24</v>
      </c>
      <c r="J82" t="s">
        <v>125</v>
      </c>
      <c r="K82" t="s">
        <v>119</v>
      </c>
      <c r="L82" t="s">
        <v>27</v>
      </c>
      <c r="M82" s="3">
        <v>3200</v>
      </c>
      <c r="N82" t="s">
        <v>27</v>
      </c>
      <c r="O82" s="3">
        <v>3200</v>
      </c>
      <c r="P82" s="3">
        <v>3200</v>
      </c>
      <c r="Q82" t="s">
        <v>30</v>
      </c>
      <c r="R82" s="2">
        <v>0.7</v>
      </c>
      <c r="S82" s="3">
        <v>2240</v>
      </c>
      <c r="T82" t="s">
        <v>27</v>
      </c>
      <c r="U82" s="3">
        <v>2240</v>
      </c>
      <c r="V82" s="7" t="s">
        <v>24</v>
      </c>
      <c r="W82" s="7" t="s">
        <v>119</v>
      </c>
    </row>
    <row r="83" spans="1:23" x14ac:dyDescent="0.4">
      <c r="A83" t="s">
        <v>262</v>
      </c>
      <c r="B83" t="s">
        <v>326</v>
      </c>
      <c r="C83" t="s">
        <v>372</v>
      </c>
      <c r="D83" t="s">
        <v>64</v>
      </c>
      <c r="E83" t="s">
        <v>22</v>
      </c>
      <c r="F83" t="s">
        <v>23</v>
      </c>
      <c r="G83">
        <v>1</v>
      </c>
      <c r="H83">
        <v>9791166300592</v>
      </c>
      <c r="I83" t="s">
        <v>24</v>
      </c>
      <c r="J83" t="s">
        <v>161</v>
      </c>
      <c r="K83" t="s">
        <v>119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2">
        <v>0.7</v>
      </c>
      <c r="S83">
        <v>441</v>
      </c>
      <c r="T83" t="s">
        <v>27</v>
      </c>
      <c r="U83">
        <v>441</v>
      </c>
      <c r="V83" s="7" t="s">
        <v>24</v>
      </c>
      <c r="W83" s="7" t="s">
        <v>119</v>
      </c>
    </row>
    <row r="84" spans="1:23" x14ac:dyDescent="0.4">
      <c r="A84" t="s">
        <v>262</v>
      </c>
      <c r="B84" t="s">
        <v>326</v>
      </c>
      <c r="C84" t="s">
        <v>373</v>
      </c>
      <c r="D84" t="s">
        <v>64</v>
      </c>
      <c r="E84" t="s">
        <v>22</v>
      </c>
      <c r="F84" t="s">
        <v>23</v>
      </c>
      <c r="G84">
        <v>1</v>
      </c>
      <c r="H84">
        <v>9791166300493</v>
      </c>
      <c r="I84" t="s">
        <v>24</v>
      </c>
      <c r="J84" t="s">
        <v>147</v>
      </c>
      <c r="K84" t="s">
        <v>119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  <c r="V84" s="7" t="s">
        <v>24</v>
      </c>
      <c r="W84" s="7" t="s">
        <v>119</v>
      </c>
    </row>
    <row r="85" spans="1:23" x14ac:dyDescent="0.4">
      <c r="A85" t="s">
        <v>262</v>
      </c>
      <c r="B85" t="s">
        <v>326</v>
      </c>
      <c r="C85" t="s">
        <v>374</v>
      </c>
      <c r="D85" t="s">
        <v>64</v>
      </c>
      <c r="E85" t="s">
        <v>22</v>
      </c>
      <c r="F85" t="s">
        <v>23</v>
      </c>
      <c r="G85">
        <v>1</v>
      </c>
      <c r="H85">
        <v>9791166300127</v>
      </c>
      <c r="I85" t="s">
        <v>24</v>
      </c>
      <c r="J85" t="s">
        <v>122</v>
      </c>
      <c r="K85" t="s">
        <v>119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  <c r="V85" s="7" t="s">
        <v>24</v>
      </c>
      <c r="W85" s="7" t="s">
        <v>119</v>
      </c>
    </row>
    <row r="86" spans="1:23" x14ac:dyDescent="0.4">
      <c r="A86" t="s">
        <v>262</v>
      </c>
      <c r="B86" t="s">
        <v>326</v>
      </c>
      <c r="C86" t="s">
        <v>375</v>
      </c>
      <c r="D86" t="s">
        <v>64</v>
      </c>
      <c r="E86" t="s">
        <v>22</v>
      </c>
      <c r="F86" t="s">
        <v>23</v>
      </c>
      <c r="G86">
        <v>1</v>
      </c>
      <c r="H86">
        <v>9791166300691</v>
      </c>
      <c r="I86" t="s">
        <v>24</v>
      </c>
      <c r="J86" t="s">
        <v>152</v>
      </c>
      <c r="K86" t="s">
        <v>119</v>
      </c>
      <c r="L86" t="s">
        <v>27</v>
      </c>
      <c r="M86">
        <v>630</v>
      </c>
      <c r="N86" t="s">
        <v>27</v>
      </c>
      <c r="O86">
        <v>630</v>
      </c>
      <c r="P86">
        <v>630</v>
      </c>
      <c r="Q86" t="s">
        <v>30</v>
      </c>
      <c r="R86" s="2">
        <v>0.7</v>
      </c>
      <c r="S86">
        <v>441</v>
      </c>
      <c r="T86" t="s">
        <v>27</v>
      </c>
      <c r="U86">
        <v>441</v>
      </c>
      <c r="V86" s="7" t="s">
        <v>24</v>
      </c>
      <c r="W86" s="7" t="s">
        <v>119</v>
      </c>
    </row>
    <row r="87" spans="1:23" x14ac:dyDescent="0.4">
      <c r="A87" t="s">
        <v>262</v>
      </c>
      <c r="B87" t="s">
        <v>326</v>
      </c>
      <c r="C87" t="s">
        <v>376</v>
      </c>
      <c r="D87" t="s">
        <v>64</v>
      </c>
      <c r="E87" t="s">
        <v>22</v>
      </c>
      <c r="F87" t="s">
        <v>23</v>
      </c>
      <c r="G87">
        <v>1</v>
      </c>
      <c r="H87">
        <v>9791166300615</v>
      </c>
      <c r="I87" t="s">
        <v>24</v>
      </c>
      <c r="J87" t="s">
        <v>163</v>
      </c>
      <c r="K87" t="s">
        <v>119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  <c r="V87" s="7" t="s">
        <v>24</v>
      </c>
      <c r="W87" s="7" t="s">
        <v>119</v>
      </c>
    </row>
    <row r="88" spans="1:23" x14ac:dyDescent="0.4">
      <c r="A88" t="s">
        <v>262</v>
      </c>
      <c r="B88" t="s">
        <v>326</v>
      </c>
      <c r="C88" t="s">
        <v>377</v>
      </c>
      <c r="D88" t="s">
        <v>64</v>
      </c>
      <c r="E88" t="s">
        <v>22</v>
      </c>
      <c r="F88" t="s">
        <v>23</v>
      </c>
      <c r="G88">
        <v>1</v>
      </c>
      <c r="H88">
        <v>9791166300165</v>
      </c>
      <c r="I88" t="s">
        <v>24</v>
      </c>
      <c r="J88" t="s">
        <v>126</v>
      </c>
      <c r="K88" t="s">
        <v>119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  <c r="V88" s="7" t="s">
        <v>24</v>
      </c>
      <c r="W88" s="7" t="s">
        <v>119</v>
      </c>
    </row>
    <row r="89" spans="1:23" x14ac:dyDescent="0.4">
      <c r="A89" t="s">
        <v>262</v>
      </c>
      <c r="B89" t="s">
        <v>326</v>
      </c>
      <c r="C89" t="s">
        <v>379</v>
      </c>
      <c r="D89" t="s">
        <v>64</v>
      </c>
      <c r="E89" t="s">
        <v>22</v>
      </c>
      <c r="F89" t="s">
        <v>23</v>
      </c>
      <c r="G89">
        <v>1</v>
      </c>
      <c r="H89">
        <v>9791166300134</v>
      </c>
      <c r="I89" t="s">
        <v>24</v>
      </c>
      <c r="J89" t="s">
        <v>123</v>
      </c>
      <c r="K89" t="s">
        <v>119</v>
      </c>
      <c r="L89" t="s">
        <v>27</v>
      </c>
      <c r="M89">
        <v>630</v>
      </c>
      <c r="N89" t="s">
        <v>27</v>
      </c>
      <c r="O89">
        <v>630</v>
      </c>
      <c r="P89">
        <v>630</v>
      </c>
      <c r="Q89" t="s">
        <v>30</v>
      </c>
      <c r="R89" s="2">
        <v>0.7</v>
      </c>
      <c r="S89">
        <v>441</v>
      </c>
      <c r="T89" t="s">
        <v>27</v>
      </c>
      <c r="U89">
        <v>441</v>
      </c>
      <c r="V89" s="7" t="s">
        <v>24</v>
      </c>
      <c r="W89" s="7" t="s">
        <v>119</v>
      </c>
    </row>
    <row r="90" spans="1:23" x14ac:dyDescent="0.4">
      <c r="A90" t="s">
        <v>262</v>
      </c>
      <c r="B90" t="s">
        <v>326</v>
      </c>
      <c r="C90" t="s">
        <v>381</v>
      </c>
      <c r="D90" t="s">
        <v>64</v>
      </c>
      <c r="E90" t="s">
        <v>22</v>
      </c>
      <c r="F90" t="s">
        <v>23</v>
      </c>
      <c r="G90">
        <v>1</v>
      </c>
      <c r="H90">
        <v>9791166300486</v>
      </c>
      <c r="I90" t="s">
        <v>24</v>
      </c>
      <c r="J90" t="s">
        <v>146</v>
      </c>
      <c r="K90" t="s">
        <v>119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2">
        <v>0.7</v>
      </c>
      <c r="S90">
        <v>441</v>
      </c>
      <c r="T90" t="s">
        <v>27</v>
      </c>
      <c r="U90">
        <v>441</v>
      </c>
      <c r="V90" s="7" t="s">
        <v>24</v>
      </c>
      <c r="W90" s="7" t="s">
        <v>119</v>
      </c>
    </row>
    <row r="91" spans="1:23" x14ac:dyDescent="0.4">
      <c r="A91" t="s">
        <v>262</v>
      </c>
      <c r="B91" t="s">
        <v>326</v>
      </c>
      <c r="C91" t="s">
        <v>383</v>
      </c>
      <c r="D91" t="s">
        <v>64</v>
      </c>
      <c r="E91" t="s">
        <v>22</v>
      </c>
      <c r="F91" t="s">
        <v>23</v>
      </c>
      <c r="G91">
        <v>1</v>
      </c>
      <c r="H91">
        <v>9791166300578</v>
      </c>
      <c r="I91" t="s">
        <v>24</v>
      </c>
      <c r="J91" t="s">
        <v>159</v>
      </c>
      <c r="K91" t="s">
        <v>119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2">
        <v>0.7</v>
      </c>
      <c r="S91">
        <v>441</v>
      </c>
      <c r="T91" t="s">
        <v>27</v>
      </c>
      <c r="U91">
        <v>441</v>
      </c>
      <c r="V91" s="7" t="s">
        <v>24</v>
      </c>
      <c r="W91" s="7" t="s">
        <v>119</v>
      </c>
    </row>
    <row r="92" spans="1:23" x14ac:dyDescent="0.4">
      <c r="A92" t="s">
        <v>262</v>
      </c>
      <c r="B92" t="s">
        <v>326</v>
      </c>
      <c r="C92" t="s">
        <v>384</v>
      </c>
      <c r="D92" t="s">
        <v>64</v>
      </c>
      <c r="E92" t="s">
        <v>22</v>
      </c>
      <c r="F92" t="s">
        <v>23</v>
      </c>
      <c r="G92">
        <v>1</v>
      </c>
      <c r="H92">
        <v>9791166300134</v>
      </c>
      <c r="I92" t="s">
        <v>24</v>
      </c>
      <c r="J92" t="s">
        <v>123</v>
      </c>
      <c r="K92" t="s">
        <v>119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  <c r="V92" s="7" t="s">
        <v>24</v>
      </c>
      <c r="W92" s="7" t="s">
        <v>119</v>
      </c>
    </row>
    <row r="93" spans="1:23" x14ac:dyDescent="0.4">
      <c r="A93" t="s">
        <v>262</v>
      </c>
      <c r="B93" t="s">
        <v>326</v>
      </c>
      <c r="C93" t="s">
        <v>386</v>
      </c>
      <c r="D93" t="s">
        <v>64</v>
      </c>
      <c r="E93" t="s">
        <v>22</v>
      </c>
      <c r="F93" t="s">
        <v>23</v>
      </c>
      <c r="G93">
        <v>1</v>
      </c>
      <c r="H93">
        <v>9791166300172</v>
      </c>
      <c r="I93" t="s">
        <v>24</v>
      </c>
      <c r="J93" t="s">
        <v>127</v>
      </c>
      <c r="K93" t="s">
        <v>119</v>
      </c>
      <c r="L93" t="s">
        <v>27</v>
      </c>
      <c r="M93">
        <v>630</v>
      </c>
      <c r="N93" t="s">
        <v>27</v>
      </c>
      <c r="O93">
        <v>630</v>
      </c>
      <c r="P93">
        <v>630</v>
      </c>
      <c r="Q93" t="s">
        <v>30</v>
      </c>
      <c r="R93" s="2">
        <v>0.7</v>
      </c>
      <c r="S93">
        <v>441</v>
      </c>
      <c r="T93" t="s">
        <v>27</v>
      </c>
      <c r="U93">
        <v>441</v>
      </c>
      <c r="V93" s="7" t="s">
        <v>24</v>
      </c>
      <c r="W93" s="7" t="s">
        <v>119</v>
      </c>
    </row>
    <row r="94" spans="1:23" x14ac:dyDescent="0.4">
      <c r="A94" t="s">
        <v>262</v>
      </c>
      <c r="B94" t="s">
        <v>326</v>
      </c>
      <c r="C94" t="s">
        <v>387</v>
      </c>
      <c r="D94" t="s">
        <v>64</v>
      </c>
      <c r="E94" t="s">
        <v>22</v>
      </c>
      <c r="F94" t="s">
        <v>23</v>
      </c>
      <c r="G94">
        <v>1</v>
      </c>
      <c r="H94">
        <v>9791166300578</v>
      </c>
      <c r="I94" t="s">
        <v>24</v>
      </c>
      <c r="J94" t="s">
        <v>159</v>
      </c>
      <c r="K94" t="s">
        <v>119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444</v>
      </c>
      <c r="V94" s="7" t="s">
        <v>24</v>
      </c>
      <c r="W94" s="7" t="s">
        <v>119</v>
      </c>
    </row>
    <row r="95" spans="1:23" x14ac:dyDescent="0.4">
      <c r="A95" t="s">
        <v>262</v>
      </c>
      <c r="B95" t="s">
        <v>326</v>
      </c>
      <c r="C95" t="s">
        <v>388</v>
      </c>
      <c r="D95" t="s">
        <v>64</v>
      </c>
      <c r="E95" t="s">
        <v>22</v>
      </c>
      <c r="F95" t="s">
        <v>23</v>
      </c>
      <c r="G95">
        <v>1</v>
      </c>
      <c r="H95">
        <v>9791166300196</v>
      </c>
      <c r="I95" t="s">
        <v>24</v>
      </c>
      <c r="J95" t="s">
        <v>128</v>
      </c>
      <c r="K95" t="s">
        <v>119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  <c r="V95" s="7" t="s">
        <v>24</v>
      </c>
      <c r="W95" s="7" t="s">
        <v>119</v>
      </c>
    </row>
    <row r="96" spans="1:23" x14ac:dyDescent="0.4">
      <c r="A96" t="s">
        <v>262</v>
      </c>
      <c r="B96" t="s">
        <v>326</v>
      </c>
      <c r="C96" t="s">
        <v>390</v>
      </c>
      <c r="D96" t="s">
        <v>21</v>
      </c>
      <c r="E96" t="s">
        <v>22</v>
      </c>
      <c r="F96" t="s">
        <v>23</v>
      </c>
      <c r="G96">
        <v>1</v>
      </c>
      <c r="H96">
        <v>9791166300165</v>
      </c>
      <c r="I96" t="s">
        <v>24</v>
      </c>
      <c r="J96" t="s">
        <v>126</v>
      </c>
      <c r="K96" t="s">
        <v>119</v>
      </c>
      <c r="L96" t="s">
        <v>27</v>
      </c>
      <c r="M96" s="3">
        <v>3200</v>
      </c>
      <c r="N96" t="s">
        <v>27</v>
      </c>
      <c r="O96" s="3">
        <v>3200</v>
      </c>
      <c r="P96" s="3">
        <v>3200</v>
      </c>
      <c r="Q96" t="s">
        <v>30</v>
      </c>
      <c r="R96" s="2">
        <v>0.7</v>
      </c>
      <c r="S96" s="3">
        <v>2240</v>
      </c>
      <c r="T96" t="s">
        <v>27</v>
      </c>
      <c r="U96" s="3">
        <v>2240</v>
      </c>
      <c r="V96" s="7" t="s">
        <v>24</v>
      </c>
      <c r="W96" s="7" t="s">
        <v>119</v>
      </c>
    </row>
    <row r="97" spans="1:23" x14ac:dyDescent="0.4">
      <c r="A97" t="s">
        <v>262</v>
      </c>
      <c r="B97" t="s">
        <v>326</v>
      </c>
      <c r="C97" t="s">
        <v>391</v>
      </c>
      <c r="D97" t="s">
        <v>64</v>
      </c>
      <c r="E97" t="s">
        <v>22</v>
      </c>
      <c r="F97" t="s">
        <v>23</v>
      </c>
      <c r="G97">
        <v>1</v>
      </c>
      <c r="H97">
        <v>9791166300493</v>
      </c>
      <c r="I97" t="s">
        <v>24</v>
      </c>
      <c r="J97" t="s">
        <v>147</v>
      </c>
      <c r="K97" t="s">
        <v>119</v>
      </c>
      <c r="L97" t="s">
        <v>27</v>
      </c>
      <c r="M97">
        <v>630</v>
      </c>
      <c r="N97" t="s">
        <v>27</v>
      </c>
      <c r="O97">
        <v>630</v>
      </c>
      <c r="P97">
        <v>630</v>
      </c>
      <c r="Q97" t="s">
        <v>30</v>
      </c>
      <c r="R97" s="2">
        <v>0.7</v>
      </c>
      <c r="S97">
        <v>441</v>
      </c>
      <c r="T97" t="s">
        <v>27</v>
      </c>
      <c r="U97">
        <v>441</v>
      </c>
      <c r="V97" s="7" t="s">
        <v>24</v>
      </c>
      <c r="W97" s="7" t="s">
        <v>119</v>
      </c>
    </row>
    <row r="98" spans="1:23" x14ac:dyDescent="0.4">
      <c r="A98" t="s">
        <v>262</v>
      </c>
      <c r="B98" t="s">
        <v>326</v>
      </c>
      <c r="C98" t="s">
        <v>393</v>
      </c>
      <c r="D98" t="s">
        <v>64</v>
      </c>
      <c r="E98" t="s">
        <v>22</v>
      </c>
      <c r="F98" t="s">
        <v>23</v>
      </c>
      <c r="G98">
        <v>1</v>
      </c>
      <c r="H98">
        <v>9791166300608</v>
      </c>
      <c r="I98" t="s">
        <v>24</v>
      </c>
      <c r="J98" t="s">
        <v>162</v>
      </c>
      <c r="K98" t="s">
        <v>119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  <c r="V98" s="7" t="s">
        <v>24</v>
      </c>
      <c r="W98" s="7" t="s">
        <v>119</v>
      </c>
    </row>
    <row r="99" spans="1:23" x14ac:dyDescent="0.4">
      <c r="A99" t="s">
        <v>262</v>
      </c>
      <c r="B99" t="s">
        <v>326</v>
      </c>
      <c r="C99" t="s">
        <v>394</v>
      </c>
      <c r="D99" t="s">
        <v>64</v>
      </c>
      <c r="E99" t="s">
        <v>22</v>
      </c>
      <c r="F99" t="s">
        <v>23</v>
      </c>
      <c r="G99">
        <v>1</v>
      </c>
      <c r="H99">
        <v>9791166300554</v>
      </c>
      <c r="I99" t="s">
        <v>24</v>
      </c>
      <c r="J99" t="s">
        <v>154</v>
      </c>
      <c r="K99" t="s">
        <v>119</v>
      </c>
      <c r="L99" t="s">
        <v>27</v>
      </c>
      <c r="M99">
        <v>630</v>
      </c>
      <c r="N99" t="s">
        <v>27</v>
      </c>
      <c r="O99">
        <v>630</v>
      </c>
      <c r="P99">
        <v>630</v>
      </c>
      <c r="Q99" t="s">
        <v>30</v>
      </c>
      <c r="R99" s="2">
        <v>0.7</v>
      </c>
      <c r="S99">
        <v>441</v>
      </c>
      <c r="T99" t="s">
        <v>27</v>
      </c>
      <c r="U99">
        <v>441</v>
      </c>
      <c r="V99" s="7" t="s">
        <v>24</v>
      </c>
      <c r="W99" s="7" t="s">
        <v>119</v>
      </c>
    </row>
    <row r="100" spans="1:23" x14ac:dyDescent="0.4">
      <c r="A100" t="s">
        <v>262</v>
      </c>
      <c r="B100" t="s">
        <v>326</v>
      </c>
      <c r="C100" t="s">
        <v>395</v>
      </c>
      <c r="D100" t="s">
        <v>64</v>
      </c>
      <c r="E100" t="s">
        <v>22</v>
      </c>
      <c r="F100" t="s">
        <v>23</v>
      </c>
      <c r="G100">
        <v>1</v>
      </c>
      <c r="H100">
        <v>9791166300158</v>
      </c>
      <c r="I100" t="s">
        <v>24</v>
      </c>
      <c r="J100" t="s">
        <v>125</v>
      </c>
      <c r="K100" t="s">
        <v>119</v>
      </c>
      <c r="L100" t="s">
        <v>27</v>
      </c>
      <c r="M100">
        <v>630</v>
      </c>
      <c r="N100" t="s">
        <v>27</v>
      </c>
      <c r="O100">
        <v>630</v>
      </c>
      <c r="P100">
        <v>630</v>
      </c>
      <c r="Q100" t="s">
        <v>30</v>
      </c>
      <c r="R100" s="2">
        <v>0.7</v>
      </c>
      <c r="S100">
        <v>441</v>
      </c>
      <c r="T100" t="s">
        <v>27</v>
      </c>
      <c r="U100">
        <v>441</v>
      </c>
      <c r="V100" s="7" t="s">
        <v>24</v>
      </c>
      <c r="W100" s="7" t="s">
        <v>119</v>
      </c>
    </row>
    <row r="101" spans="1:23" x14ac:dyDescent="0.4">
      <c r="A101" t="s">
        <v>262</v>
      </c>
      <c r="B101" t="s">
        <v>326</v>
      </c>
      <c r="C101" t="s">
        <v>396</v>
      </c>
      <c r="D101" t="s">
        <v>64</v>
      </c>
      <c r="E101" t="s">
        <v>22</v>
      </c>
      <c r="F101" t="s">
        <v>23</v>
      </c>
      <c r="G101">
        <v>1</v>
      </c>
      <c r="H101">
        <v>9791166300509</v>
      </c>
      <c r="I101" t="s">
        <v>24</v>
      </c>
      <c r="J101" t="s">
        <v>148</v>
      </c>
      <c r="K101" t="s">
        <v>119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  <c r="V101" s="7" t="s">
        <v>24</v>
      </c>
      <c r="W101" s="7" t="s">
        <v>119</v>
      </c>
    </row>
    <row r="102" spans="1:23" x14ac:dyDescent="0.4">
      <c r="A102" t="s">
        <v>262</v>
      </c>
      <c r="B102" t="s">
        <v>326</v>
      </c>
      <c r="C102" t="s">
        <v>397</v>
      </c>
      <c r="D102" t="s">
        <v>64</v>
      </c>
      <c r="E102" t="s">
        <v>22</v>
      </c>
      <c r="F102" t="s">
        <v>23</v>
      </c>
      <c r="G102">
        <v>1</v>
      </c>
      <c r="H102">
        <v>9791166300295</v>
      </c>
      <c r="I102" t="s">
        <v>24</v>
      </c>
      <c r="J102" t="s">
        <v>138</v>
      </c>
      <c r="K102" t="s">
        <v>119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  <c r="V102" s="7" t="s">
        <v>24</v>
      </c>
      <c r="W102" s="7" t="s">
        <v>119</v>
      </c>
    </row>
    <row r="103" spans="1:23" x14ac:dyDescent="0.4">
      <c r="A103" t="s">
        <v>262</v>
      </c>
      <c r="B103" t="s">
        <v>326</v>
      </c>
      <c r="C103" t="s">
        <v>400</v>
      </c>
      <c r="D103" t="s">
        <v>64</v>
      </c>
      <c r="E103" t="s">
        <v>22</v>
      </c>
      <c r="F103" t="s">
        <v>23</v>
      </c>
      <c r="G103">
        <v>1</v>
      </c>
      <c r="H103">
        <v>9791166300165</v>
      </c>
      <c r="I103" t="s">
        <v>24</v>
      </c>
      <c r="J103" t="s">
        <v>126</v>
      </c>
      <c r="K103" t="s">
        <v>119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2">
        <v>0.7</v>
      </c>
      <c r="S103">
        <v>441</v>
      </c>
      <c r="T103" t="s">
        <v>27</v>
      </c>
      <c r="U103">
        <v>441</v>
      </c>
      <c r="V103" s="7" t="s">
        <v>24</v>
      </c>
      <c r="W103" s="7" t="s">
        <v>119</v>
      </c>
    </row>
    <row r="104" spans="1:23" x14ac:dyDescent="0.4">
      <c r="A104" t="s">
        <v>262</v>
      </c>
      <c r="B104" t="s">
        <v>401</v>
      </c>
      <c r="C104" t="s">
        <v>405</v>
      </c>
      <c r="D104" t="s">
        <v>64</v>
      </c>
      <c r="E104" t="s">
        <v>22</v>
      </c>
      <c r="F104" t="s">
        <v>23</v>
      </c>
      <c r="G104">
        <v>1</v>
      </c>
      <c r="H104">
        <v>9791166300639</v>
      </c>
      <c r="I104" t="s">
        <v>24</v>
      </c>
      <c r="J104" t="s">
        <v>165</v>
      </c>
      <c r="K104" t="s">
        <v>119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2">
        <v>0.7</v>
      </c>
      <c r="S104">
        <v>441</v>
      </c>
      <c r="T104" t="s">
        <v>27</v>
      </c>
      <c r="U104">
        <v>441</v>
      </c>
      <c r="V104" s="7" t="s">
        <v>24</v>
      </c>
      <c r="W104" s="7" t="s">
        <v>119</v>
      </c>
    </row>
    <row r="105" spans="1:23" x14ac:dyDescent="0.4">
      <c r="A105" t="s">
        <v>262</v>
      </c>
      <c r="B105" t="s">
        <v>401</v>
      </c>
      <c r="C105" t="s">
        <v>408</v>
      </c>
      <c r="D105" t="s">
        <v>64</v>
      </c>
      <c r="E105" t="s">
        <v>22</v>
      </c>
      <c r="F105" t="s">
        <v>23</v>
      </c>
      <c r="G105">
        <v>1</v>
      </c>
      <c r="H105">
        <v>9791166300646</v>
      </c>
      <c r="I105" t="s">
        <v>24</v>
      </c>
      <c r="J105" t="s">
        <v>155</v>
      </c>
      <c r="K105" t="s">
        <v>119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2">
        <v>0.7</v>
      </c>
      <c r="S105">
        <v>441</v>
      </c>
      <c r="T105" t="s">
        <v>27</v>
      </c>
      <c r="U105">
        <v>441</v>
      </c>
      <c r="V105" s="7" t="s">
        <v>24</v>
      </c>
      <c r="W105" s="7" t="s">
        <v>119</v>
      </c>
    </row>
    <row r="106" spans="1:23" x14ac:dyDescent="0.4">
      <c r="A106" t="s">
        <v>262</v>
      </c>
      <c r="B106" t="s">
        <v>401</v>
      </c>
      <c r="C106" t="s">
        <v>409</v>
      </c>
      <c r="D106" t="s">
        <v>64</v>
      </c>
      <c r="E106" t="s">
        <v>22</v>
      </c>
      <c r="F106" t="s">
        <v>23</v>
      </c>
      <c r="G106">
        <v>1</v>
      </c>
      <c r="H106">
        <v>9791166300615</v>
      </c>
      <c r="I106" t="s">
        <v>24</v>
      </c>
      <c r="J106" t="s">
        <v>163</v>
      </c>
      <c r="K106" t="s">
        <v>119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2">
        <v>0.7</v>
      </c>
      <c r="S106">
        <v>441</v>
      </c>
      <c r="T106" t="s">
        <v>27</v>
      </c>
      <c r="U106">
        <v>441</v>
      </c>
      <c r="V106" s="7" t="s">
        <v>24</v>
      </c>
      <c r="W106" s="7" t="s">
        <v>119</v>
      </c>
    </row>
    <row r="107" spans="1:23" x14ac:dyDescent="0.4">
      <c r="A107" t="s">
        <v>262</v>
      </c>
      <c r="B107" t="s">
        <v>401</v>
      </c>
      <c r="C107" t="s">
        <v>410</v>
      </c>
      <c r="D107" t="s">
        <v>64</v>
      </c>
      <c r="E107" t="s">
        <v>22</v>
      </c>
      <c r="F107" t="s">
        <v>23</v>
      </c>
      <c r="G107">
        <v>1</v>
      </c>
      <c r="H107">
        <v>9791166300202</v>
      </c>
      <c r="I107" t="s">
        <v>24</v>
      </c>
      <c r="J107" t="s">
        <v>129</v>
      </c>
      <c r="K107" t="s">
        <v>119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  <c r="V107" s="7" t="s">
        <v>24</v>
      </c>
      <c r="W107" s="7" t="s">
        <v>119</v>
      </c>
    </row>
    <row r="108" spans="1:23" x14ac:dyDescent="0.4">
      <c r="A108" t="s">
        <v>262</v>
      </c>
      <c r="B108" t="s">
        <v>401</v>
      </c>
      <c r="C108" t="s">
        <v>411</v>
      </c>
      <c r="D108" t="s">
        <v>64</v>
      </c>
      <c r="E108" t="s">
        <v>22</v>
      </c>
      <c r="F108" t="s">
        <v>23</v>
      </c>
      <c r="G108">
        <v>1</v>
      </c>
      <c r="H108">
        <v>9791166300141</v>
      </c>
      <c r="I108" t="s">
        <v>24</v>
      </c>
      <c r="J108" t="s">
        <v>124</v>
      </c>
      <c r="K108" t="s">
        <v>119</v>
      </c>
      <c r="L108" t="s">
        <v>27</v>
      </c>
      <c r="M108">
        <v>630</v>
      </c>
      <c r="N108" t="s">
        <v>27</v>
      </c>
      <c r="O108">
        <v>630</v>
      </c>
      <c r="P108">
        <v>630</v>
      </c>
      <c r="Q108" t="s">
        <v>30</v>
      </c>
      <c r="R108" s="2">
        <v>0.7</v>
      </c>
      <c r="S108">
        <v>441</v>
      </c>
      <c r="T108" t="s">
        <v>27</v>
      </c>
      <c r="U108">
        <v>441</v>
      </c>
      <c r="V108" s="7" t="s">
        <v>24</v>
      </c>
      <c r="W108" s="7" t="s">
        <v>119</v>
      </c>
    </row>
    <row r="109" spans="1:23" x14ac:dyDescent="0.4">
      <c r="A109" t="s">
        <v>262</v>
      </c>
      <c r="B109" t="s">
        <v>401</v>
      </c>
      <c r="C109" t="s">
        <v>412</v>
      </c>
      <c r="D109" t="s">
        <v>64</v>
      </c>
      <c r="E109" t="s">
        <v>22</v>
      </c>
      <c r="F109" t="s">
        <v>23</v>
      </c>
      <c r="G109">
        <v>1</v>
      </c>
      <c r="H109">
        <v>9791166300516</v>
      </c>
      <c r="I109" t="s">
        <v>24</v>
      </c>
      <c r="J109" t="s">
        <v>149</v>
      </c>
      <c r="K109" t="s">
        <v>119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2">
        <v>0.7</v>
      </c>
      <c r="S109">
        <v>441</v>
      </c>
      <c r="T109" t="s">
        <v>27</v>
      </c>
      <c r="U109">
        <v>441</v>
      </c>
      <c r="V109" s="7" t="s">
        <v>24</v>
      </c>
      <c r="W109" s="7" t="s">
        <v>119</v>
      </c>
    </row>
    <row r="110" spans="1:23" x14ac:dyDescent="0.4">
      <c r="A110" t="s">
        <v>262</v>
      </c>
      <c r="B110" t="s">
        <v>401</v>
      </c>
      <c r="C110" t="s">
        <v>415</v>
      </c>
      <c r="D110" t="s">
        <v>64</v>
      </c>
      <c r="E110" t="s">
        <v>22</v>
      </c>
      <c r="F110" t="s">
        <v>23</v>
      </c>
      <c r="G110">
        <v>1</v>
      </c>
      <c r="H110">
        <v>9791166300233</v>
      </c>
      <c r="I110" t="s">
        <v>24</v>
      </c>
      <c r="J110" t="s">
        <v>132</v>
      </c>
      <c r="K110" t="s">
        <v>119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  <c r="V110" s="7" t="s">
        <v>24</v>
      </c>
      <c r="W110" s="7" t="s">
        <v>119</v>
      </c>
    </row>
    <row r="111" spans="1:23" x14ac:dyDescent="0.4">
      <c r="A111" t="s">
        <v>262</v>
      </c>
      <c r="B111" t="s">
        <v>401</v>
      </c>
      <c r="C111" t="s">
        <v>418</v>
      </c>
      <c r="D111" t="s">
        <v>64</v>
      </c>
      <c r="E111" t="s">
        <v>22</v>
      </c>
      <c r="F111" t="s">
        <v>23</v>
      </c>
      <c r="G111">
        <v>1</v>
      </c>
      <c r="H111">
        <v>9791166300202</v>
      </c>
      <c r="I111" t="s">
        <v>24</v>
      </c>
      <c r="J111" t="s">
        <v>129</v>
      </c>
      <c r="K111" t="s">
        <v>119</v>
      </c>
      <c r="L111" t="s">
        <v>27</v>
      </c>
      <c r="M111">
        <v>630</v>
      </c>
      <c r="N111" t="s">
        <v>27</v>
      </c>
      <c r="O111">
        <v>630</v>
      </c>
      <c r="P111">
        <v>630</v>
      </c>
      <c r="Q111" t="s">
        <v>30</v>
      </c>
      <c r="R111" s="2">
        <v>0.7</v>
      </c>
      <c r="S111">
        <v>441</v>
      </c>
      <c r="T111" t="s">
        <v>27</v>
      </c>
      <c r="U111">
        <v>441</v>
      </c>
      <c r="V111" s="7" t="s">
        <v>24</v>
      </c>
      <c r="W111" s="7" t="s">
        <v>119</v>
      </c>
    </row>
    <row r="112" spans="1:23" x14ac:dyDescent="0.4">
      <c r="A112" t="s">
        <v>262</v>
      </c>
      <c r="B112" t="s">
        <v>401</v>
      </c>
      <c r="C112" t="s">
        <v>419</v>
      </c>
      <c r="D112" t="s">
        <v>64</v>
      </c>
      <c r="E112" t="s">
        <v>22</v>
      </c>
      <c r="F112" t="s">
        <v>23</v>
      </c>
      <c r="G112">
        <v>1</v>
      </c>
      <c r="H112">
        <v>9791166300486</v>
      </c>
      <c r="I112" t="s">
        <v>24</v>
      </c>
      <c r="J112" t="s">
        <v>146</v>
      </c>
      <c r="K112" t="s">
        <v>119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  <c r="V112" s="7" t="s">
        <v>24</v>
      </c>
      <c r="W112" s="7" t="s">
        <v>119</v>
      </c>
    </row>
    <row r="113" spans="1:23" x14ac:dyDescent="0.4">
      <c r="A113" t="s">
        <v>262</v>
      </c>
      <c r="B113" t="s">
        <v>401</v>
      </c>
      <c r="C113" t="s">
        <v>421</v>
      </c>
      <c r="D113" t="s">
        <v>64</v>
      </c>
      <c r="E113" t="s">
        <v>22</v>
      </c>
      <c r="F113" t="s">
        <v>23</v>
      </c>
      <c r="G113">
        <v>1</v>
      </c>
      <c r="H113">
        <v>9791166300219</v>
      </c>
      <c r="I113" t="s">
        <v>24</v>
      </c>
      <c r="J113" t="s">
        <v>130</v>
      </c>
      <c r="K113" t="s">
        <v>119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  <c r="V113" s="7" t="s">
        <v>24</v>
      </c>
      <c r="W113" s="7" t="s">
        <v>119</v>
      </c>
    </row>
    <row r="114" spans="1:23" x14ac:dyDescent="0.4">
      <c r="A114" t="s">
        <v>262</v>
      </c>
      <c r="B114" t="s">
        <v>401</v>
      </c>
      <c r="C114" t="s">
        <v>422</v>
      </c>
      <c r="D114" t="s">
        <v>64</v>
      </c>
      <c r="E114" t="s">
        <v>22</v>
      </c>
      <c r="F114" t="s">
        <v>23</v>
      </c>
      <c r="G114">
        <v>1</v>
      </c>
      <c r="H114">
        <v>9791166300615</v>
      </c>
      <c r="I114" t="s">
        <v>24</v>
      </c>
      <c r="J114" t="s">
        <v>163</v>
      </c>
      <c r="K114" t="s">
        <v>119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  <c r="V114" s="7" t="s">
        <v>24</v>
      </c>
      <c r="W114" s="7" t="s">
        <v>119</v>
      </c>
    </row>
    <row r="115" spans="1:23" x14ac:dyDescent="0.4">
      <c r="A115" t="s">
        <v>262</v>
      </c>
      <c r="B115" t="s">
        <v>401</v>
      </c>
      <c r="C115" t="s">
        <v>424</v>
      </c>
      <c r="D115" t="s">
        <v>64</v>
      </c>
      <c r="E115" t="s">
        <v>22</v>
      </c>
      <c r="F115" t="s">
        <v>23</v>
      </c>
      <c r="G115">
        <v>1</v>
      </c>
      <c r="H115">
        <v>9791166300103</v>
      </c>
      <c r="I115" t="s">
        <v>24</v>
      </c>
      <c r="J115" t="s">
        <v>120</v>
      </c>
      <c r="K115" t="s">
        <v>119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  <c r="V115" s="7" t="s">
        <v>24</v>
      </c>
      <c r="W115" s="7" t="s">
        <v>119</v>
      </c>
    </row>
    <row r="116" spans="1:23" x14ac:dyDescent="0.4">
      <c r="A116" t="s">
        <v>262</v>
      </c>
      <c r="B116" t="s">
        <v>401</v>
      </c>
      <c r="C116" t="s">
        <v>425</v>
      </c>
      <c r="D116" t="s">
        <v>64</v>
      </c>
      <c r="E116" t="s">
        <v>22</v>
      </c>
      <c r="F116" t="s">
        <v>23</v>
      </c>
      <c r="G116">
        <v>1</v>
      </c>
      <c r="H116">
        <v>9791166300301</v>
      </c>
      <c r="I116" t="s">
        <v>24</v>
      </c>
      <c r="J116" t="s">
        <v>139</v>
      </c>
      <c r="K116" t="s">
        <v>119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  <c r="V116" s="7" t="s">
        <v>24</v>
      </c>
      <c r="W116" s="7" t="s">
        <v>119</v>
      </c>
    </row>
    <row r="117" spans="1:23" x14ac:dyDescent="0.4">
      <c r="A117" t="s">
        <v>262</v>
      </c>
      <c r="B117" t="s">
        <v>401</v>
      </c>
      <c r="C117" t="s">
        <v>428</v>
      </c>
      <c r="D117" t="s">
        <v>64</v>
      </c>
      <c r="E117" t="s">
        <v>22</v>
      </c>
      <c r="F117" t="s">
        <v>23</v>
      </c>
      <c r="G117">
        <v>1</v>
      </c>
      <c r="H117">
        <v>9791166300585</v>
      </c>
      <c r="I117" t="s">
        <v>24</v>
      </c>
      <c r="J117" t="s">
        <v>160</v>
      </c>
      <c r="K117" t="s">
        <v>119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2">
        <v>0.7</v>
      </c>
      <c r="S117">
        <v>441</v>
      </c>
      <c r="T117" t="s">
        <v>27</v>
      </c>
      <c r="U117">
        <v>441</v>
      </c>
      <c r="V117" s="7" t="s">
        <v>24</v>
      </c>
      <c r="W117" s="7" t="s">
        <v>119</v>
      </c>
    </row>
    <row r="118" spans="1:23" x14ac:dyDescent="0.4">
      <c r="A118" t="s">
        <v>262</v>
      </c>
      <c r="B118" t="s">
        <v>401</v>
      </c>
      <c r="C118" t="s">
        <v>430</v>
      </c>
      <c r="D118" t="s">
        <v>64</v>
      </c>
      <c r="E118" t="s">
        <v>22</v>
      </c>
      <c r="F118" t="s">
        <v>23</v>
      </c>
      <c r="G118">
        <v>1</v>
      </c>
      <c r="H118">
        <v>9791166300561</v>
      </c>
      <c r="I118" t="s">
        <v>24</v>
      </c>
      <c r="J118" t="s">
        <v>158</v>
      </c>
      <c r="K118" t="s">
        <v>119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  <c r="V118" s="7" t="s">
        <v>24</v>
      </c>
      <c r="W118" s="7" t="s">
        <v>119</v>
      </c>
    </row>
    <row r="119" spans="1:23" x14ac:dyDescent="0.4">
      <c r="A119" t="s">
        <v>262</v>
      </c>
      <c r="B119" t="s">
        <v>401</v>
      </c>
      <c r="C119" t="s">
        <v>434</v>
      </c>
      <c r="D119" t="s">
        <v>64</v>
      </c>
      <c r="E119" t="s">
        <v>22</v>
      </c>
      <c r="F119" t="s">
        <v>23</v>
      </c>
      <c r="G119">
        <v>1</v>
      </c>
      <c r="H119">
        <v>9791166300110</v>
      </c>
      <c r="I119" t="s">
        <v>24</v>
      </c>
      <c r="J119" t="s">
        <v>121</v>
      </c>
      <c r="K119" t="s">
        <v>119</v>
      </c>
      <c r="L119" t="s">
        <v>27</v>
      </c>
      <c r="M119">
        <v>630</v>
      </c>
      <c r="N119" t="s">
        <v>27</v>
      </c>
      <c r="O119">
        <v>630</v>
      </c>
      <c r="P119">
        <v>630</v>
      </c>
      <c r="Q119" t="s">
        <v>30</v>
      </c>
      <c r="R119" s="2">
        <v>0.7</v>
      </c>
      <c r="S119">
        <v>441</v>
      </c>
      <c r="T119" t="s">
        <v>27</v>
      </c>
      <c r="U119">
        <v>441</v>
      </c>
      <c r="V119" s="7" t="s">
        <v>24</v>
      </c>
      <c r="W119" s="7" t="s">
        <v>119</v>
      </c>
    </row>
    <row r="120" spans="1:23" x14ac:dyDescent="0.4">
      <c r="A120" t="s">
        <v>262</v>
      </c>
      <c r="B120" t="s">
        <v>401</v>
      </c>
      <c r="C120" t="s">
        <v>436</v>
      </c>
      <c r="D120" t="s">
        <v>64</v>
      </c>
      <c r="E120" t="s">
        <v>22</v>
      </c>
      <c r="F120" t="s">
        <v>23</v>
      </c>
      <c r="G120">
        <v>1</v>
      </c>
      <c r="H120">
        <v>9791166300523</v>
      </c>
      <c r="I120" t="s">
        <v>24</v>
      </c>
      <c r="J120" t="s">
        <v>150</v>
      </c>
      <c r="K120" t="s">
        <v>119</v>
      </c>
      <c r="L120" t="s">
        <v>27</v>
      </c>
      <c r="M120">
        <v>630</v>
      </c>
      <c r="N120" t="s">
        <v>27</v>
      </c>
      <c r="O120">
        <v>630</v>
      </c>
      <c r="P120">
        <v>630</v>
      </c>
      <c r="Q120" t="s">
        <v>30</v>
      </c>
      <c r="R120" s="2">
        <v>0.7</v>
      </c>
      <c r="S120">
        <v>441</v>
      </c>
      <c r="T120" t="s">
        <v>27</v>
      </c>
      <c r="U120">
        <v>441</v>
      </c>
      <c r="V120" s="7" t="s">
        <v>24</v>
      </c>
      <c r="W120" s="7" t="s">
        <v>119</v>
      </c>
    </row>
    <row r="121" spans="1:23" x14ac:dyDescent="0.4">
      <c r="A121" t="s">
        <v>262</v>
      </c>
      <c r="B121" t="s">
        <v>401</v>
      </c>
      <c r="C121" t="s">
        <v>437</v>
      </c>
      <c r="D121" t="s">
        <v>64</v>
      </c>
      <c r="E121" t="s">
        <v>22</v>
      </c>
      <c r="F121" t="s">
        <v>23</v>
      </c>
      <c r="G121">
        <v>1</v>
      </c>
      <c r="H121">
        <v>9791166300165</v>
      </c>
      <c r="I121" t="s">
        <v>24</v>
      </c>
      <c r="J121" t="s">
        <v>126</v>
      </c>
      <c r="K121" t="s">
        <v>119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  <c r="V121" s="7" t="s">
        <v>24</v>
      </c>
      <c r="W121" s="7" t="s">
        <v>119</v>
      </c>
    </row>
    <row r="122" spans="1:23" x14ac:dyDescent="0.4">
      <c r="A122" t="s">
        <v>262</v>
      </c>
      <c r="B122" t="s">
        <v>401</v>
      </c>
      <c r="C122" t="s">
        <v>441</v>
      </c>
      <c r="D122" t="s">
        <v>64</v>
      </c>
      <c r="E122" t="s">
        <v>22</v>
      </c>
      <c r="F122" t="s">
        <v>23</v>
      </c>
      <c r="G122">
        <v>1</v>
      </c>
      <c r="H122">
        <v>9791166300578</v>
      </c>
      <c r="I122" t="s">
        <v>24</v>
      </c>
      <c r="J122" t="s">
        <v>159</v>
      </c>
      <c r="K122" t="s">
        <v>119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  <c r="V122" s="7" t="s">
        <v>24</v>
      </c>
      <c r="W122" s="7" t="s">
        <v>119</v>
      </c>
    </row>
    <row r="123" spans="1:23" x14ac:dyDescent="0.4">
      <c r="A123" t="s">
        <v>262</v>
      </c>
      <c r="B123" t="s">
        <v>401</v>
      </c>
      <c r="C123" t="s">
        <v>442</v>
      </c>
      <c r="D123" t="s">
        <v>64</v>
      </c>
      <c r="E123" t="s">
        <v>22</v>
      </c>
      <c r="F123" t="s">
        <v>23</v>
      </c>
      <c r="G123">
        <v>1</v>
      </c>
      <c r="H123">
        <v>9791166300622</v>
      </c>
      <c r="I123" t="s">
        <v>24</v>
      </c>
      <c r="J123" t="s">
        <v>164</v>
      </c>
      <c r="K123" t="s">
        <v>119</v>
      </c>
      <c r="L123" t="s">
        <v>27</v>
      </c>
      <c r="M123">
        <v>630</v>
      </c>
      <c r="N123" t="s">
        <v>27</v>
      </c>
      <c r="O123">
        <v>630</v>
      </c>
      <c r="P123">
        <v>630</v>
      </c>
      <c r="Q123" t="s">
        <v>30</v>
      </c>
      <c r="R123" s="2">
        <v>0.7</v>
      </c>
      <c r="S123">
        <v>441</v>
      </c>
      <c r="T123" t="s">
        <v>27</v>
      </c>
      <c r="U123">
        <v>441</v>
      </c>
      <c r="V123" s="7" t="s">
        <v>24</v>
      </c>
      <c r="W123" s="7" t="s">
        <v>119</v>
      </c>
    </row>
    <row r="124" spans="1:23" x14ac:dyDescent="0.4">
      <c r="A124" t="s">
        <v>262</v>
      </c>
      <c r="B124" t="s">
        <v>401</v>
      </c>
      <c r="C124" t="s">
        <v>443</v>
      </c>
      <c r="D124" t="s">
        <v>64</v>
      </c>
      <c r="E124" t="s">
        <v>22</v>
      </c>
      <c r="F124" t="s">
        <v>23</v>
      </c>
      <c r="G124">
        <v>1</v>
      </c>
      <c r="H124">
        <v>9791166300301</v>
      </c>
      <c r="I124" t="s">
        <v>24</v>
      </c>
      <c r="J124" t="s">
        <v>139</v>
      </c>
      <c r="K124" t="s">
        <v>119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  <c r="V124" s="7" t="s">
        <v>24</v>
      </c>
      <c r="W124" s="7" t="s">
        <v>119</v>
      </c>
    </row>
    <row r="125" spans="1:23" x14ac:dyDescent="0.4">
      <c r="A125" t="s">
        <v>262</v>
      </c>
      <c r="B125" t="s">
        <v>401</v>
      </c>
      <c r="C125" t="s">
        <v>444</v>
      </c>
      <c r="D125" t="s">
        <v>64</v>
      </c>
      <c r="E125" t="s">
        <v>22</v>
      </c>
      <c r="F125" t="s">
        <v>23</v>
      </c>
      <c r="G125">
        <v>1</v>
      </c>
      <c r="H125">
        <v>9791166300172</v>
      </c>
      <c r="I125" t="s">
        <v>24</v>
      </c>
      <c r="J125" t="s">
        <v>127</v>
      </c>
      <c r="K125" t="s">
        <v>119</v>
      </c>
      <c r="L125" t="s">
        <v>27</v>
      </c>
      <c r="M125">
        <v>630</v>
      </c>
      <c r="N125" t="s">
        <v>27</v>
      </c>
      <c r="O125">
        <v>630</v>
      </c>
      <c r="P125">
        <v>630</v>
      </c>
      <c r="Q125" t="s">
        <v>30</v>
      </c>
      <c r="R125" s="2">
        <v>0.7</v>
      </c>
      <c r="S125">
        <v>441</v>
      </c>
      <c r="T125" t="s">
        <v>27</v>
      </c>
      <c r="U125">
        <v>441</v>
      </c>
      <c r="V125" s="7" t="s">
        <v>24</v>
      </c>
      <c r="W125" s="7" t="s">
        <v>119</v>
      </c>
    </row>
    <row r="126" spans="1:23" x14ac:dyDescent="0.4">
      <c r="A126" t="s">
        <v>262</v>
      </c>
      <c r="B126" t="s">
        <v>401</v>
      </c>
      <c r="C126" t="s">
        <v>445</v>
      </c>
      <c r="D126" t="s">
        <v>64</v>
      </c>
      <c r="E126" t="s">
        <v>22</v>
      </c>
      <c r="F126" t="s">
        <v>23</v>
      </c>
      <c r="G126">
        <v>1</v>
      </c>
      <c r="H126">
        <v>9791166300226</v>
      </c>
      <c r="I126" t="s">
        <v>24</v>
      </c>
      <c r="J126" t="s">
        <v>131</v>
      </c>
      <c r="K126" t="s">
        <v>119</v>
      </c>
      <c r="L126" t="s">
        <v>27</v>
      </c>
      <c r="M126">
        <v>630</v>
      </c>
      <c r="N126" t="s">
        <v>27</v>
      </c>
      <c r="O126">
        <v>630</v>
      </c>
      <c r="P126">
        <v>630</v>
      </c>
      <c r="Q126" t="s">
        <v>30</v>
      </c>
      <c r="R126" s="2">
        <v>0.7</v>
      </c>
      <c r="S126">
        <v>441</v>
      </c>
      <c r="T126" t="s">
        <v>27</v>
      </c>
      <c r="U126">
        <v>441</v>
      </c>
      <c r="V126" s="7" t="s">
        <v>24</v>
      </c>
      <c r="W126" s="7" t="s">
        <v>119</v>
      </c>
    </row>
    <row r="127" spans="1:23" x14ac:dyDescent="0.4">
      <c r="A127" t="s">
        <v>262</v>
      </c>
      <c r="B127" t="s">
        <v>401</v>
      </c>
      <c r="C127" t="s">
        <v>446</v>
      </c>
      <c r="D127" t="s">
        <v>21</v>
      </c>
      <c r="E127" t="s">
        <v>22</v>
      </c>
      <c r="F127" t="s">
        <v>23</v>
      </c>
      <c r="G127">
        <v>1</v>
      </c>
      <c r="H127">
        <v>9791166300172</v>
      </c>
      <c r="I127" t="s">
        <v>24</v>
      </c>
      <c r="J127" t="s">
        <v>127</v>
      </c>
      <c r="K127" t="s">
        <v>119</v>
      </c>
      <c r="L127" t="s">
        <v>27</v>
      </c>
      <c r="M127" s="3">
        <v>3200</v>
      </c>
      <c r="N127" t="s">
        <v>27</v>
      </c>
      <c r="O127" s="3">
        <v>3200</v>
      </c>
      <c r="P127" s="3">
        <v>3200</v>
      </c>
      <c r="Q127" t="s">
        <v>30</v>
      </c>
      <c r="R127" s="2">
        <v>0.7</v>
      </c>
      <c r="S127" s="3">
        <v>2240</v>
      </c>
      <c r="T127" t="s">
        <v>27</v>
      </c>
      <c r="U127" s="3">
        <v>2240</v>
      </c>
      <c r="V127" s="7" t="s">
        <v>24</v>
      </c>
      <c r="W127" s="7" t="s">
        <v>119</v>
      </c>
    </row>
    <row r="128" spans="1:23" x14ac:dyDescent="0.4">
      <c r="A128" t="s">
        <v>262</v>
      </c>
      <c r="B128" t="s">
        <v>401</v>
      </c>
      <c r="C128" t="s">
        <v>447</v>
      </c>
      <c r="D128" t="s">
        <v>64</v>
      </c>
      <c r="E128" t="s">
        <v>22</v>
      </c>
      <c r="F128" t="s">
        <v>23</v>
      </c>
      <c r="G128">
        <v>1</v>
      </c>
      <c r="H128">
        <v>9791166300103</v>
      </c>
      <c r="I128" t="s">
        <v>24</v>
      </c>
      <c r="J128" t="s">
        <v>120</v>
      </c>
      <c r="K128" t="s">
        <v>119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2">
        <v>0.7</v>
      </c>
      <c r="S128">
        <v>441</v>
      </c>
      <c r="T128" t="s">
        <v>27</v>
      </c>
      <c r="U128">
        <v>441</v>
      </c>
      <c r="V128" s="7" t="s">
        <v>24</v>
      </c>
      <c r="W128" s="7" t="s">
        <v>119</v>
      </c>
    </row>
    <row r="129" spans="1:23" x14ac:dyDescent="0.4">
      <c r="A129" t="s">
        <v>262</v>
      </c>
      <c r="B129" t="s">
        <v>401</v>
      </c>
      <c r="C129" t="s">
        <v>450</v>
      </c>
      <c r="D129" t="s">
        <v>64</v>
      </c>
      <c r="E129" t="s">
        <v>22</v>
      </c>
      <c r="F129" t="s">
        <v>23</v>
      </c>
      <c r="G129">
        <v>1</v>
      </c>
      <c r="H129">
        <v>9791166300585</v>
      </c>
      <c r="I129" t="s">
        <v>24</v>
      </c>
      <c r="J129" t="s">
        <v>160</v>
      </c>
      <c r="K129" t="s">
        <v>119</v>
      </c>
      <c r="L129" t="s">
        <v>27</v>
      </c>
      <c r="M129">
        <v>630</v>
      </c>
      <c r="N129" t="s">
        <v>27</v>
      </c>
      <c r="O129">
        <v>630</v>
      </c>
      <c r="P129">
        <v>630</v>
      </c>
      <c r="Q129" t="s">
        <v>30</v>
      </c>
      <c r="R129" s="2">
        <v>0.7</v>
      </c>
      <c r="S129">
        <v>441</v>
      </c>
      <c r="T129" t="s">
        <v>27</v>
      </c>
      <c r="U129">
        <v>444</v>
      </c>
      <c r="V129" s="7" t="s">
        <v>24</v>
      </c>
      <c r="W129" s="7" t="s">
        <v>119</v>
      </c>
    </row>
    <row r="130" spans="1:23" x14ac:dyDescent="0.4">
      <c r="A130" t="s">
        <v>262</v>
      </c>
      <c r="B130" t="s">
        <v>401</v>
      </c>
      <c r="C130" t="s">
        <v>451</v>
      </c>
      <c r="D130" t="s">
        <v>64</v>
      </c>
      <c r="E130" t="s">
        <v>22</v>
      </c>
      <c r="F130" t="s">
        <v>23</v>
      </c>
      <c r="G130">
        <v>1</v>
      </c>
      <c r="H130">
        <v>9791166300493</v>
      </c>
      <c r="I130" t="s">
        <v>24</v>
      </c>
      <c r="J130" t="s">
        <v>147</v>
      </c>
      <c r="K130" t="s">
        <v>119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  <c r="V130" s="7" t="s">
        <v>24</v>
      </c>
      <c r="W130" s="7" t="s">
        <v>119</v>
      </c>
    </row>
    <row r="131" spans="1:23" x14ac:dyDescent="0.4">
      <c r="A131" t="s">
        <v>262</v>
      </c>
      <c r="B131" t="s">
        <v>401</v>
      </c>
      <c r="C131" t="s">
        <v>453</v>
      </c>
      <c r="D131" t="s">
        <v>64</v>
      </c>
      <c r="E131" t="s">
        <v>22</v>
      </c>
      <c r="F131" t="s">
        <v>23</v>
      </c>
      <c r="G131">
        <v>1</v>
      </c>
      <c r="H131">
        <v>9791166300233</v>
      </c>
      <c r="I131" t="s">
        <v>24</v>
      </c>
      <c r="J131" t="s">
        <v>132</v>
      </c>
      <c r="K131" t="s">
        <v>119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  <c r="V131" s="7" t="s">
        <v>24</v>
      </c>
      <c r="W131" s="7" t="s">
        <v>119</v>
      </c>
    </row>
    <row r="132" spans="1:23" x14ac:dyDescent="0.4">
      <c r="A132" t="s">
        <v>262</v>
      </c>
      <c r="B132" t="s">
        <v>401</v>
      </c>
      <c r="C132" t="s">
        <v>454</v>
      </c>
      <c r="D132" t="s">
        <v>64</v>
      </c>
      <c r="E132" t="s">
        <v>22</v>
      </c>
      <c r="F132" t="s">
        <v>23</v>
      </c>
      <c r="G132">
        <v>1</v>
      </c>
      <c r="H132">
        <v>9791166300127</v>
      </c>
      <c r="I132" t="s">
        <v>24</v>
      </c>
      <c r="J132" t="s">
        <v>122</v>
      </c>
      <c r="K132" t="s">
        <v>119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  <c r="V132" s="7" t="s">
        <v>24</v>
      </c>
      <c r="W132" s="7" t="s">
        <v>119</v>
      </c>
    </row>
    <row r="133" spans="1:23" x14ac:dyDescent="0.4">
      <c r="A133" t="s">
        <v>262</v>
      </c>
      <c r="B133" t="s">
        <v>401</v>
      </c>
      <c r="C133" t="s">
        <v>455</v>
      </c>
      <c r="D133" t="s">
        <v>64</v>
      </c>
      <c r="E133" t="s">
        <v>22</v>
      </c>
      <c r="F133" t="s">
        <v>23</v>
      </c>
      <c r="G133">
        <v>1</v>
      </c>
      <c r="H133">
        <v>9791166300110</v>
      </c>
      <c r="I133" t="s">
        <v>24</v>
      </c>
      <c r="J133" t="s">
        <v>121</v>
      </c>
      <c r="K133" t="s">
        <v>119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  <c r="V133" s="7" t="s">
        <v>24</v>
      </c>
      <c r="W133" s="7" t="s">
        <v>119</v>
      </c>
    </row>
    <row r="134" spans="1:23" x14ac:dyDescent="0.4">
      <c r="A134" t="s">
        <v>262</v>
      </c>
      <c r="B134" t="s">
        <v>401</v>
      </c>
      <c r="C134" t="s">
        <v>456</v>
      </c>
      <c r="D134" t="s">
        <v>64</v>
      </c>
      <c r="E134" t="s">
        <v>22</v>
      </c>
      <c r="F134" t="s">
        <v>23</v>
      </c>
      <c r="G134">
        <v>1</v>
      </c>
      <c r="H134">
        <v>9791166300660</v>
      </c>
      <c r="I134" t="s">
        <v>24</v>
      </c>
      <c r="J134" t="s">
        <v>156</v>
      </c>
      <c r="K134" t="s">
        <v>119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  <c r="V134" s="7" t="s">
        <v>24</v>
      </c>
      <c r="W134" s="7" t="s">
        <v>119</v>
      </c>
    </row>
    <row r="135" spans="1:23" x14ac:dyDescent="0.4">
      <c r="A135" t="s">
        <v>262</v>
      </c>
      <c r="B135" t="s">
        <v>401</v>
      </c>
      <c r="C135" t="s">
        <v>457</v>
      </c>
      <c r="D135" t="s">
        <v>64</v>
      </c>
      <c r="E135" t="s">
        <v>22</v>
      </c>
      <c r="F135" t="s">
        <v>23</v>
      </c>
      <c r="G135">
        <v>1</v>
      </c>
      <c r="H135">
        <v>9791166300509</v>
      </c>
      <c r="I135" t="s">
        <v>24</v>
      </c>
      <c r="J135" t="s">
        <v>148</v>
      </c>
      <c r="K135" t="s">
        <v>119</v>
      </c>
      <c r="L135" t="s">
        <v>27</v>
      </c>
      <c r="M135">
        <v>630</v>
      </c>
      <c r="N135" t="s">
        <v>27</v>
      </c>
      <c r="O135">
        <v>630</v>
      </c>
      <c r="P135">
        <v>630</v>
      </c>
      <c r="Q135" t="s">
        <v>30</v>
      </c>
      <c r="R135" s="2">
        <v>0.7</v>
      </c>
      <c r="S135">
        <v>441</v>
      </c>
      <c r="T135" t="s">
        <v>27</v>
      </c>
      <c r="U135">
        <v>441</v>
      </c>
      <c r="V135" s="7" t="s">
        <v>24</v>
      </c>
      <c r="W135" s="7" t="s">
        <v>119</v>
      </c>
    </row>
    <row r="136" spans="1:23" x14ac:dyDescent="0.4">
      <c r="A136" t="s">
        <v>262</v>
      </c>
      <c r="B136" t="s">
        <v>401</v>
      </c>
      <c r="C136" t="s">
        <v>459</v>
      </c>
      <c r="D136" t="s">
        <v>64</v>
      </c>
      <c r="E136" t="s">
        <v>22</v>
      </c>
      <c r="F136" t="s">
        <v>23</v>
      </c>
      <c r="G136">
        <v>1</v>
      </c>
      <c r="H136">
        <v>9791166300622</v>
      </c>
      <c r="I136" t="s">
        <v>24</v>
      </c>
      <c r="J136" t="s">
        <v>164</v>
      </c>
      <c r="K136" t="s">
        <v>119</v>
      </c>
      <c r="L136" t="s">
        <v>27</v>
      </c>
      <c r="M136">
        <v>630</v>
      </c>
      <c r="N136" t="s">
        <v>27</v>
      </c>
      <c r="O136">
        <v>630</v>
      </c>
      <c r="P136">
        <v>630</v>
      </c>
      <c r="Q136" t="s">
        <v>30</v>
      </c>
      <c r="R136" s="2">
        <v>0.7</v>
      </c>
      <c r="S136">
        <v>441</v>
      </c>
      <c r="T136" t="s">
        <v>27</v>
      </c>
      <c r="U136">
        <v>441</v>
      </c>
      <c r="V136" s="7" t="s">
        <v>24</v>
      </c>
      <c r="W136" s="7" t="s">
        <v>119</v>
      </c>
    </row>
    <row r="137" spans="1:23" x14ac:dyDescent="0.4">
      <c r="A137" t="s">
        <v>262</v>
      </c>
      <c r="B137" t="s">
        <v>401</v>
      </c>
      <c r="C137" t="s">
        <v>463</v>
      </c>
      <c r="D137" t="s">
        <v>64</v>
      </c>
      <c r="E137" t="s">
        <v>22</v>
      </c>
      <c r="F137" t="s">
        <v>23</v>
      </c>
      <c r="G137">
        <v>1</v>
      </c>
      <c r="H137">
        <v>9791166300592</v>
      </c>
      <c r="I137" t="s">
        <v>24</v>
      </c>
      <c r="J137" t="s">
        <v>161</v>
      </c>
      <c r="K137" t="s">
        <v>119</v>
      </c>
      <c r="L137" t="s">
        <v>27</v>
      </c>
      <c r="M137">
        <v>630</v>
      </c>
      <c r="N137" t="s">
        <v>27</v>
      </c>
      <c r="O137">
        <v>630</v>
      </c>
      <c r="P137">
        <v>630</v>
      </c>
      <c r="Q137" t="s">
        <v>30</v>
      </c>
      <c r="R137" s="2">
        <v>0.7</v>
      </c>
      <c r="S137">
        <v>441</v>
      </c>
      <c r="T137" t="s">
        <v>27</v>
      </c>
      <c r="U137">
        <v>441</v>
      </c>
      <c r="V137" s="7" t="s">
        <v>24</v>
      </c>
      <c r="W137" s="7" t="s">
        <v>119</v>
      </c>
    </row>
    <row r="138" spans="1:23" x14ac:dyDescent="0.4">
      <c r="A138" t="s">
        <v>262</v>
      </c>
      <c r="B138" t="s">
        <v>401</v>
      </c>
      <c r="C138" t="s">
        <v>465</v>
      </c>
      <c r="D138" t="s">
        <v>64</v>
      </c>
      <c r="E138" t="s">
        <v>22</v>
      </c>
      <c r="F138" t="s">
        <v>23</v>
      </c>
      <c r="G138">
        <v>1</v>
      </c>
      <c r="H138">
        <v>9791166300530</v>
      </c>
      <c r="I138" t="s">
        <v>24</v>
      </c>
      <c r="J138" t="s">
        <v>151</v>
      </c>
      <c r="K138" t="s">
        <v>119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  <c r="V138" s="7" t="s">
        <v>24</v>
      </c>
      <c r="W138" s="7" t="s">
        <v>119</v>
      </c>
    </row>
    <row r="139" spans="1:23" x14ac:dyDescent="0.4">
      <c r="A139" t="s">
        <v>262</v>
      </c>
      <c r="B139" t="s">
        <v>401</v>
      </c>
      <c r="C139" t="s">
        <v>467</v>
      </c>
      <c r="D139" t="s">
        <v>64</v>
      </c>
      <c r="E139" t="s">
        <v>22</v>
      </c>
      <c r="F139" t="s">
        <v>23</v>
      </c>
      <c r="G139">
        <v>1</v>
      </c>
      <c r="H139">
        <v>9791166300554</v>
      </c>
      <c r="I139" t="s">
        <v>24</v>
      </c>
      <c r="J139" t="s">
        <v>154</v>
      </c>
      <c r="K139" t="s">
        <v>119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  <c r="V139" s="7" t="s">
        <v>24</v>
      </c>
      <c r="W139" s="7" t="s">
        <v>119</v>
      </c>
    </row>
    <row r="140" spans="1:23" x14ac:dyDescent="0.4">
      <c r="A140" t="s">
        <v>262</v>
      </c>
      <c r="B140" t="s">
        <v>401</v>
      </c>
      <c r="C140" t="s">
        <v>469</v>
      </c>
      <c r="D140" t="s">
        <v>64</v>
      </c>
      <c r="E140" t="s">
        <v>22</v>
      </c>
      <c r="F140" t="s">
        <v>23</v>
      </c>
      <c r="G140">
        <v>1</v>
      </c>
      <c r="H140">
        <v>9791166300288</v>
      </c>
      <c r="I140" t="s">
        <v>24</v>
      </c>
      <c r="J140" t="s">
        <v>137</v>
      </c>
      <c r="K140" t="s">
        <v>119</v>
      </c>
      <c r="L140" t="s">
        <v>27</v>
      </c>
      <c r="M140">
        <v>630</v>
      </c>
      <c r="N140" t="s">
        <v>27</v>
      </c>
      <c r="O140">
        <v>630</v>
      </c>
      <c r="P140">
        <v>630</v>
      </c>
      <c r="Q140" t="s">
        <v>30</v>
      </c>
      <c r="R140" s="2">
        <v>0.7</v>
      </c>
      <c r="S140">
        <v>441</v>
      </c>
      <c r="T140" t="s">
        <v>27</v>
      </c>
      <c r="U140">
        <v>441</v>
      </c>
      <c r="V140" s="7" t="s">
        <v>24</v>
      </c>
      <c r="W140" s="7" t="s">
        <v>119</v>
      </c>
    </row>
    <row r="141" spans="1:23" x14ac:dyDescent="0.4">
      <c r="A141" t="s">
        <v>262</v>
      </c>
      <c r="B141" t="s">
        <v>401</v>
      </c>
      <c r="C141" t="s">
        <v>471</v>
      </c>
      <c r="D141" t="s">
        <v>64</v>
      </c>
      <c r="E141" t="s">
        <v>22</v>
      </c>
      <c r="F141" t="s">
        <v>23</v>
      </c>
      <c r="G141">
        <v>1</v>
      </c>
      <c r="H141">
        <v>9791166300608</v>
      </c>
      <c r="I141" t="s">
        <v>24</v>
      </c>
      <c r="J141" t="s">
        <v>162</v>
      </c>
      <c r="K141" t="s">
        <v>119</v>
      </c>
      <c r="L141" t="s">
        <v>27</v>
      </c>
      <c r="M141">
        <v>630</v>
      </c>
      <c r="N141" t="s">
        <v>27</v>
      </c>
      <c r="O141">
        <v>630</v>
      </c>
      <c r="P141">
        <v>630</v>
      </c>
      <c r="Q141" t="s">
        <v>30</v>
      </c>
      <c r="R141" s="2">
        <v>0.7</v>
      </c>
      <c r="S141">
        <v>441</v>
      </c>
      <c r="T141" t="s">
        <v>27</v>
      </c>
      <c r="U141">
        <v>441</v>
      </c>
      <c r="V141" s="7" t="s">
        <v>24</v>
      </c>
      <c r="W141" s="7" t="s">
        <v>119</v>
      </c>
    </row>
    <row r="142" spans="1:23" x14ac:dyDescent="0.4">
      <c r="A142" t="s">
        <v>262</v>
      </c>
      <c r="B142" t="s">
        <v>401</v>
      </c>
      <c r="C142" t="s">
        <v>472</v>
      </c>
      <c r="D142" t="s">
        <v>64</v>
      </c>
      <c r="E142" t="s">
        <v>22</v>
      </c>
      <c r="F142" t="s">
        <v>23</v>
      </c>
      <c r="G142">
        <v>1</v>
      </c>
      <c r="H142">
        <v>9791166300639</v>
      </c>
      <c r="I142" t="s">
        <v>24</v>
      </c>
      <c r="J142" t="s">
        <v>165</v>
      </c>
      <c r="K142" t="s">
        <v>119</v>
      </c>
      <c r="L142" t="s">
        <v>27</v>
      </c>
      <c r="M142">
        <v>630</v>
      </c>
      <c r="N142" t="s">
        <v>27</v>
      </c>
      <c r="O142">
        <v>630</v>
      </c>
      <c r="P142">
        <v>630</v>
      </c>
      <c r="Q142" t="s">
        <v>30</v>
      </c>
      <c r="R142" s="2">
        <v>0.7</v>
      </c>
      <c r="S142">
        <v>441</v>
      </c>
      <c r="T142" t="s">
        <v>27</v>
      </c>
      <c r="U142">
        <v>441</v>
      </c>
      <c r="V142" s="7" t="s">
        <v>24</v>
      </c>
      <c r="W142" s="7" t="s">
        <v>119</v>
      </c>
    </row>
    <row r="143" spans="1:23" x14ac:dyDescent="0.4">
      <c r="A143" t="s">
        <v>262</v>
      </c>
      <c r="B143" t="s">
        <v>401</v>
      </c>
      <c r="C143" t="s">
        <v>473</v>
      </c>
      <c r="D143" t="s">
        <v>64</v>
      </c>
      <c r="E143" t="s">
        <v>22</v>
      </c>
      <c r="F143" t="s">
        <v>23</v>
      </c>
      <c r="G143">
        <v>1</v>
      </c>
      <c r="H143">
        <v>9791166300196</v>
      </c>
      <c r="I143" t="s">
        <v>24</v>
      </c>
      <c r="J143" t="s">
        <v>128</v>
      </c>
      <c r="K143" t="s">
        <v>119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2">
        <v>0.7</v>
      </c>
      <c r="S143">
        <v>441</v>
      </c>
      <c r="T143" t="s">
        <v>27</v>
      </c>
      <c r="U143">
        <v>441</v>
      </c>
      <c r="V143" s="7" t="s">
        <v>24</v>
      </c>
      <c r="W143" s="7" t="s">
        <v>119</v>
      </c>
    </row>
    <row r="144" spans="1:23" x14ac:dyDescent="0.4">
      <c r="A144" t="s">
        <v>262</v>
      </c>
      <c r="B144" t="s">
        <v>401</v>
      </c>
      <c r="C144" t="s">
        <v>474</v>
      </c>
      <c r="D144" t="s">
        <v>64</v>
      </c>
      <c r="E144" t="s">
        <v>22</v>
      </c>
      <c r="F144" t="s">
        <v>23</v>
      </c>
      <c r="G144">
        <v>1</v>
      </c>
      <c r="H144">
        <v>9791166300547</v>
      </c>
      <c r="I144" t="s">
        <v>24</v>
      </c>
      <c r="J144" t="s">
        <v>153</v>
      </c>
      <c r="K144" t="s">
        <v>119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  <c r="V144" s="7" t="s">
        <v>24</v>
      </c>
      <c r="W144" s="7" t="s">
        <v>119</v>
      </c>
    </row>
    <row r="145" spans="1:23" x14ac:dyDescent="0.4">
      <c r="A145" t="s">
        <v>262</v>
      </c>
      <c r="B145" t="s">
        <v>401</v>
      </c>
      <c r="C145" t="s">
        <v>475</v>
      </c>
      <c r="D145" t="s">
        <v>64</v>
      </c>
      <c r="E145" t="s">
        <v>22</v>
      </c>
      <c r="F145" t="s">
        <v>23</v>
      </c>
      <c r="G145">
        <v>1</v>
      </c>
      <c r="H145">
        <v>9791166300653</v>
      </c>
      <c r="I145" t="s">
        <v>24</v>
      </c>
      <c r="J145" t="s">
        <v>157</v>
      </c>
      <c r="K145" t="s">
        <v>119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  <c r="V145" s="7" t="s">
        <v>24</v>
      </c>
      <c r="W145" s="7" t="s">
        <v>119</v>
      </c>
    </row>
    <row r="146" spans="1:23" x14ac:dyDescent="0.4">
      <c r="A146" t="s">
        <v>262</v>
      </c>
      <c r="B146" t="s">
        <v>401</v>
      </c>
      <c r="C146" t="s">
        <v>476</v>
      </c>
      <c r="D146" t="s">
        <v>64</v>
      </c>
      <c r="E146" t="s">
        <v>22</v>
      </c>
      <c r="F146" t="s">
        <v>23</v>
      </c>
      <c r="G146">
        <v>1</v>
      </c>
      <c r="H146">
        <v>9791166300158</v>
      </c>
      <c r="I146" t="s">
        <v>24</v>
      </c>
      <c r="J146" t="s">
        <v>125</v>
      </c>
      <c r="K146" t="s">
        <v>119</v>
      </c>
      <c r="L146" t="s">
        <v>27</v>
      </c>
      <c r="M146">
        <v>630</v>
      </c>
      <c r="N146" t="s">
        <v>27</v>
      </c>
      <c r="O146">
        <v>630</v>
      </c>
      <c r="P146">
        <v>630</v>
      </c>
      <c r="Q146" t="s">
        <v>30</v>
      </c>
      <c r="R146" s="2">
        <v>0.7</v>
      </c>
      <c r="S146">
        <v>441</v>
      </c>
      <c r="T146" t="s">
        <v>27</v>
      </c>
      <c r="U146">
        <v>441</v>
      </c>
      <c r="V146" s="7" t="s">
        <v>24</v>
      </c>
      <c r="W146" s="7" t="s">
        <v>119</v>
      </c>
    </row>
    <row r="147" spans="1:23" x14ac:dyDescent="0.4">
      <c r="A147" t="s">
        <v>262</v>
      </c>
      <c r="B147" t="s">
        <v>401</v>
      </c>
      <c r="C147" t="s">
        <v>477</v>
      </c>
      <c r="D147" t="s">
        <v>64</v>
      </c>
      <c r="E147" t="s">
        <v>22</v>
      </c>
      <c r="F147" t="s">
        <v>23</v>
      </c>
      <c r="G147">
        <v>1</v>
      </c>
      <c r="H147">
        <v>9791166300295</v>
      </c>
      <c r="I147" t="s">
        <v>24</v>
      </c>
      <c r="J147" t="s">
        <v>138</v>
      </c>
      <c r="K147" t="s">
        <v>119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2">
        <v>0.7</v>
      </c>
      <c r="S147">
        <v>441</v>
      </c>
      <c r="T147" t="s">
        <v>27</v>
      </c>
      <c r="U147">
        <v>441</v>
      </c>
      <c r="V147" s="7" t="s">
        <v>24</v>
      </c>
      <c r="W147" s="7" t="s">
        <v>119</v>
      </c>
    </row>
    <row r="148" spans="1:23" x14ac:dyDescent="0.4">
      <c r="A148" t="s">
        <v>262</v>
      </c>
      <c r="B148" t="s">
        <v>401</v>
      </c>
      <c r="C148" t="s">
        <v>479</v>
      </c>
      <c r="D148" t="s">
        <v>64</v>
      </c>
      <c r="E148" t="s">
        <v>22</v>
      </c>
      <c r="F148" t="s">
        <v>23</v>
      </c>
      <c r="G148">
        <v>1</v>
      </c>
      <c r="H148">
        <v>9791166300516</v>
      </c>
      <c r="I148" t="s">
        <v>24</v>
      </c>
      <c r="J148" t="s">
        <v>149</v>
      </c>
      <c r="K148" t="s">
        <v>119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  <c r="V148" s="7" t="s">
        <v>24</v>
      </c>
      <c r="W148" s="7" t="s">
        <v>119</v>
      </c>
    </row>
    <row r="149" spans="1:23" x14ac:dyDescent="0.4">
      <c r="A149" t="s">
        <v>262</v>
      </c>
      <c r="B149" t="s">
        <v>401</v>
      </c>
      <c r="C149" t="s">
        <v>480</v>
      </c>
      <c r="D149" t="s">
        <v>64</v>
      </c>
      <c r="E149" t="s">
        <v>22</v>
      </c>
      <c r="F149" t="s">
        <v>23</v>
      </c>
      <c r="G149">
        <v>1</v>
      </c>
      <c r="H149">
        <v>9791166300554</v>
      </c>
      <c r="I149" t="s">
        <v>24</v>
      </c>
      <c r="J149" t="s">
        <v>154</v>
      </c>
      <c r="K149" t="s">
        <v>119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  <c r="V149" s="7" t="s">
        <v>24</v>
      </c>
      <c r="W149" s="7" t="s">
        <v>119</v>
      </c>
    </row>
    <row r="150" spans="1:23" x14ac:dyDescent="0.4">
      <c r="A150" t="s">
        <v>262</v>
      </c>
      <c r="B150" t="s">
        <v>481</v>
      </c>
      <c r="C150" t="s">
        <v>482</v>
      </c>
      <c r="D150" t="s">
        <v>64</v>
      </c>
      <c r="E150" t="s">
        <v>22</v>
      </c>
      <c r="F150" t="s">
        <v>23</v>
      </c>
      <c r="G150">
        <v>1</v>
      </c>
      <c r="H150">
        <v>9791166300240</v>
      </c>
      <c r="I150" t="s">
        <v>24</v>
      </c>
      <c r="J150" t="s">
        <v>133</v>
      </c>
      <c r="K150" t="s">
        <v>119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  <c r="V150" s="7" t="s">
        <v>24</v>
      </c>
      <c r="W150" s="7" t="s">
        <v>119</v>
      </c>
    </row>
    <row r="151" spans="1:23" x14ac:dyDescent="0.4">
      <c r="A151" t="s">
        <v>262</v>
      </c>
      <c r="B151" t="s">
        <v>481</v>
      </c>
      <c r="C151" t="s">
        <v>483</v>
      </c>
      <c r="D151" t="s">
        <v>64</v>
      </c>
      <c r="E151" t="s">
        <v>22</v>
      </c>
      <c r="F151" t="s">
        <v>23</v>
      </c>
      <c r="G151">
        <v>1</v>
      </c>
      <c r="H151">
        <v>9791166300615</v>
      </c>
      <c r="I151" t="s">
        <v>24</v>
      </c>
      <c r="J151" t="s">
        <v>163</v>
      </c>
      <c r="K151" t="s">
        <v>119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  <c r="V151" s="7" t="s">
        <v>24</v>
      </c>
      <c r="W151" s="7" t="s">
        <v>119</v>
      </c>
    </row>
    <row r="152" spans="1:23" x14ac:dyDescent="0.4">
      <c r="A152" t="s">
        <v>262</v>
      </c>
      <c r="B152" t="s">
        <v>481</v>
      </c>
      <c r="C152" t="s">
        <v>485</v>
      </c>
      <c r="D152" t="s">
        <v>64</v>
      </c>
      <c r="E152" t="s">
        <v>22</v>
      </c>
      <c r="F152" t="s">
        <v>23</v>
      </c>
      <c r="G152">
        <v>1</v>
      </c>
      <c r="H152">
        <v>9791166300585</v>
      </c>
      <c r="I152" t="s">
        <v>24</v>
      </c>
      <c r="J152" t="s">
        <v>160</v>
      </c>
      <c r="K152" t="s">
        <v>119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  <c r="V152" s="7" t="s">
        <v>24</v>
      </c>
      <c r="W152" s="7" t="s">
        <v>119</v>
      </c>
    </row>
    <row r="153" spans="1:23" x14ac:dyDescent="0.4">
      <c r="A153" t="s">
        <v>262</v>
      </c>
      <c r="B153" t="s">
        <v>481</v>
      </c>
      <c r="C153" t="s">
        <v>486</v>
      </c>
      <c r="D153" t="s">
        <v>64</v>
      </c>
      <c r="E153" t="s">
        <v>22</v>
      </c>
      <c r="F153" t="s">
        <v>23</v>
      </c>
      <c r="G153">
        <v>1</v>
      </c>
      <c r="H153">
        <v>9791166300462</v>
      </c>
      <c r="I153" t="s">
        <v>24</v>
      </c>
      <c r="J153" t="s">
        <v>144</v>
      </c>
      <c r="K153" t="s">
        <v>119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  <c r="V153" s="7" t="s">
        <v>24</v>
      </c>
      <c r="W153" s="7" t="s">
        <v>119</v>
      </c>
    </row>
    <row r="154" spans="1:23" x14ac:dyDescent="0.4">
      <c r="A154" t="s">
        <v>262</v>
      </c>
      <c r="B154" t="s">
        <v>481</v>
      </c>
      <c r="C154" t="s">
        <v>487</v>
      </c>
      <c r="D154" t="s">
        <v>64</v>
      </c>
      <c r="E154" t="s">
        <v>22</v>
      </c>
      <c r="F154" t="s">
        <v>23</v>
      </c>
      <c r="G154">
        <v>1</v>
      </c>
      <c r="H154">
        <v>9791166300110</v>
      </c>
      <c r="I154" t="s">
        <v>24</v>
      </c>
      <c r="J154" t="s">
        <v>121</v>
      </c>
      <c r="K154" t="s">
        <v>119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2">
        <v>0.7</v>
      </c>
      <c r="S154">
        <v>441</v>
      </c>
      <c r="T154" t="s">
        <v>27</v>
      </c>
      <c r="U154">
        <v>441</v>
      </c>
      <c r="V154" s="7" t="s">
        <v>24</v>
      </c>
      <c r="W154" s="7" t="s">
        <v>119</v>
      </c>
    </row>
    <row r="155" spans="1:23" x14ac:dyDescent="0.4">
      <c r="A155" t="s">
        <v>262</v>
      </c>
      <c r="B155" t="s">
        <v>481</v>
      </c>
      <c r="C155" t="s">
        <v>488</v>
      </c>
      <c r="D155" t="s">
        <v>64</v>
      </c>
      <c r="E155" t="s">
        <v>22</v>
      </c>
      <c r="F155" t="s">
        <v>23</v>
      </c>
      <c r="G155">
        <v>1</v>
      </c>
      <c r="H155">
        <v>9791166300523</v>
      </c>
      <c r="I155" t="s">
        <v>24</v>
      </c>
      <c r="J155" t="s">
        <v>150</v>
      </c>
      <c r="K155" t="s">
        <v>119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  <c r="V155" s="7" t="s">
        <v>24</v>
      </c>
      <c r="W155" s="7" t="s">
        <v>119</v>
      </c>
    </row>
    <row r="156" spans="1:23" x14ac:dyDescent="0.4">
      <c r="A156" t="s">
        <v>262</v>
      </c>
      <c r="B156" t="s">
        <v>481</v>
      </c>
      <c r="C156" t="s">
        <v>491</v>
      </c>
      <c r="D156" t="s">
        <v>64</v>
      </c>
      <c r="E156" t="s">
        <v>22</v>
      </c>
      <c r="F156" t="s">
        <v>23</v>
      </c>
      <c r="G156">
        <v>1</v>
      </c>
      <c r="H156">
        <v>9791166300240</v>
      </c>
      <c r="I156" t="s">
        <v>24</v>
      </c>
      <c r="J156" t="s">
        <v>133</v>
      </c>
      <c r="K156" t="s">
        <v>119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2">
        <v>0.7</v>
      </c>
      <c r="S156">
        <v>441</v>
      </c>
      <c r="T156" t="s">
        <v>27</v>
      </c>
      <c r="U156">
        <v>441</v>
      </c>
      <c r="V156" s="7" t="s">
        <v>24</v>
      </c>
      <c r="W156" s="7" t="s">
        <v>119</v>
      </c>
    </row>
    <row r="157" spans="1:23" x14ac:dyDescent="0.4">
      <c r="A157" t="s">
        <v>262</v>
      </c>
      <c r="B157" t="s">
        <v>481</v>
      </c>
      <c r="C157" t="s">
        <v>493</v>
      </c>
      <c r="D157" t="s">
        <v>64</v>
      </c>
      <c r="E157" t="s">
        <v>22</v>
      </c>
      <c r="F157" t="s">
        <v>23</v>
      </c>
      <c r="G157">
        <v>1</v>
      </c>
      <c r="H157">
        <v>9791166300257</v>
      </c>
      <c r="I157" t="s">
        <v>24</v>
      </c>
      <c r="J157" t="s">
        <v>134</v>
      </c>
      <c r="K157" t="s">
        <v>119</v>
      </c>
      <c r="L157" t="s">
        <v>27</v>
      </c>
      <c r="M157">
        <v>630</v>
      </c>
      <c r="N157" t="s">
        <v>27</v>
      </c>
      <c r="O157">
        <v>630</v>
      </c>
      <c r="P157">
        <v>630</v>
      </c>
      <c r="Q157" t="s">
        <v>30</v>
      </c>
      <c r="R157" s="2">
        <v>0.7</v>
      </c>
      <c r="S157">
        <v>441</v>
      </c>
      <c r="T157" t="s">
        <v>27</v>
      </c>
      <c r="U157">
        <v>441</v>
      </c>
      <c r="V157" s="7" t="s">
        <v>24</v>
      </c>
      <c r="W157" s="7" t="s">
        <v>119</v>
      </c>
    </row>
    <row r="158" spans="1:23" x14ac:dyDescent="0.4">
      <c r="A158" t="s">
        <v>262</v>
      </c>
      <c r="B158" t="s">
        <v>481</v>
      </c>
      <c r="C158" t="s">
        <v>494</v>
      </c>
      <c r="D158" t="s">
        <v>64</v>
      </c>
      <c r="E158" t="s">
        <v>22</v>
      </c>
      <c r="F158" t="s">
        <v>23</v>
      </c>
      <c r="G158">
        <v>1</v>
      </c>
      <c r="H158">
        <v>9791166300561</v>
      </c>
      <c r="I158" t="s">
        <v>24</v>
      </c>
      <c r="J158" t="s">
        <v>158</v>
      </c>
      <c r="K158" t="s">
        <v>119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  <c r="V158" s="7" t="s">
        <v>24</v>
      </c>
      <c r="W158" s="7" t="s">
        <v>119</v>
      </c>
    </row>
    <row r="159" spans="1:23" x14ac:dyDescent="0.4">
      <c r="A159" t="s">
        <v>262</v>
      </c>
      <c r="B159" t="s">
        <v>481</v>
      </c>
      <c r="C159" t="s">
        <v>497</v>
      </c>
      <c r="D159" t="s">
        <v>64</v>
      </c>
      <c r="E159" t="s">
        <v>22</v>
      </c>
      <c r="F159" t="s">
        <v>23</v>
      </c>
      <c r="G159">
        <v>1</v>
      </c>
      <c r="H159">
        <v>9791166300462</v>
      </c>
      <c r="I159" t="s">
        <v>24</v>
      </c>
      <c r="J159" t="s">
        <v>144</v>
      </c>
      <c r="K159" t="s">
        <v>119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  <c r="V159" s="7" t="s">
        <v>24</v>
      </c>
      <c r="W159" s="7" t="s">
        <v>119</v>
      </c>
    </row>
    <row r="160" spans="1:23" x14ac:dyDescent="0.4">
      <c r="A160" t="s">
        <v>262</v>
      </c>
      <c r="B160" t="s">
        <v>481</v>
      </c>
      <c r="C160" t="s">
        <v>498</v>
      </c>
      <c r="D160" t="s">
        <v>64</v>
      </c>
      <c r="E160" t="s">
        <v>22</v>
      </c>
      <c r="F160" t="s">
        <v>23</v>
      </c>
      <c r="G160">
        <v>1</v>
      </c>
      <c r="H160">
        <v>9791166300509</v>
      </c>
      <c r="I160" t="s">
        <v>24</v>
      </c>
      <c r="J160" t="s">
        <v>148</v>
      </c>
      <c r="K160" t="s">
        <v>119</v>
      </c>
      <c r="L160" t="s">
        <v>27</v>
      </c>
      <c r="M160">
        <v>630</v>
      </c>
      <c r="N160" t="s">
        <v>27</v>
      </c>
      <c r="O160">
        <v>630</v>
      </c>
      <c r="P160">
        <v>630</v>
      </c>
      <c r="Q160" t="s">
        <v>30</v>
      </c>
      <c r="R160" s="2">
        <v>0.7</v>
      </c>
      <c r="S160">
        <v>441</v>
      </c>
      <c r="T160" t="s">
        <v>27</v>
      </c>
      <c r="U160">
        <v>441</v>
      </c>
      <c r="V160" s="7" t="s">
        <v>24</v>
      </c>
      <c r="W160" s="7" t="s">
        <v>119</v>
      </c>
    </row>
    <row r="161" spans="1:23" x14ac:dyDescent="0.4">
      <c r="A161" t="s">
        <v>262</v>
      </c>
      <c r="B161" t="s">
        <v>481</v>
      </c>
      <c r="C161" t="s">
        <v>500</v>
      </c>
      <c r="D161" t="s">
        <v>64</v>
      </c>
      <c r="E161" t="s">
        <v>22</v>
      </c>
      <c r="F161" t="s">
        <v>23</v>
      </c>
      <c r="G161">
        <v>1</v>
      </c>
      <c r="H161">
        <v>9791166300134</v>
      </c>
      <c r="I161" t="s">
        <v>24</v>
      </c>
      <c r="J161" t="s">
        <v>123</v>
      </c>
      <c r="K161" t="s">
        <v>119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  <c r="V161" s="7" t="s">
        <v>24</v>
      </c>
      <c r="W161" s="7" t="s">
        <v>119</v>
      </c>
    </row>
    <row r="162" spans="1:23" x14ac:dyDescent="0.4">
      <c r="A162" t="s">
        <v>262</v>
      </c>
      <c r="B162" t="s">
        <v>481</v>
      </c>
      <c r="C162" t="s">
        <v>501</v>
      </c>
      <c r="D162" t="s">
        <v>64</v>
      </c>
      <c r="E162" t="s">
        <v>22</v>
      </c>
      <c r="F162" t="s">
        <v>23</v>
      </c>
      <c r="G162">
        <v>1</v>
      </c>
      <c r="H162">
        <v>9791166300660</v>
      </c>
      <c r="I162" t="s">
        <v>24</v>
      </c>
      <c r="J162" t="s">
        <v>156</v>
      </c>
      <c r="K162" t="s">
        <v>119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2">
        <v>0.7</v>
      </c>
      <c r="S162">
        <v>441</v>
      </c>
      <c r="T162" t="s">
        <v>27</v>
      </c>
      <c r="U162">
        <v>441</v>
      </c>
      <c r="V162" s="7" t="s">
        <v>24</v>
      </c>
      <c r="W162" s="7" t="s">
        <v>119</v>
      </c>
    </row>
    <row r="163" spans="1:23" x14ac:dyDescent="0.4">
      <c r="A163" t="s">
        <v>262</v>
      </c>
      <c r="B163" t="s">
        <v>481</v>
      </c>
      <c r="C163" t="s">
        <v>504</v>
      </c>
      <c r="D163" t="s">
        <v>64</v>
      </c>
      <c r="E163" t="s">
        <v>22</v>
      </c>
      <c r="F163" t="s">
        <v>23</v>
      </c>
      <c r="G163">
        <v>1</v>
      </c>
      <c r="H163">
        <v>9791166300264</v>
      </c>
      <c r="I163" t="s">
        <v>24</v>
      </c>
      <c r="J163" t="s">
        <v>135</v>
      </c>
      <c r="K163" t="s">
        <v>119</v>
      </c>
      <c r="L163" t="s">
        <v>27</v>
      </c>
      <c r="M163">
        <v>630</v>
      </c>
      <c r="N163" t="s">
        <v>27</v>
      </c>
      <c r="O163">
        <v>630</v>
      </c>
      <c r="P163">
        <v>630</v>
      </c>
      <c r="Q163" t="s">
        <v>30</v>
      </c>
      <c r="R163" s="2">
        <v>0.7</v>
      </c>
      <c r="S163">
        <v>441</v>
      </c>
      <c r="T163" t="s">
        <v>27</v>
      </c>
      <c r="U163">
        <v>441</v>
      </c>
      <c r="V163" s="7" t="s">
        <v>24</v>
      </c>
      <c r="W163" s="7" t="s">
        <v>119</v>
      </c>
    </row>
    <row r="164" spans="1:23" x14ac:dyDescent="0.4">
      <c r="A164" t="s">
        <v>262</v>
      </c>
      <c r="B164" t="s">
        <v>481</v>
      </c>
      <c r="C164" t="s">
        <v>505</v>
      </c>
      <c r="D164" t="s">
        <v>64</v>
      </c>
      <c r="E164" t="s">
        <v>22</v>
      </c>
      <c r="F164" t="s">
        <v>23</v>
      </c>
      <c r="G164">
        <v>1</v>
      </c>
      <c r="H164">
        <v>9791166300622</v>
      </c>
      <c r="I164" t="s">
        <v>24</v>
      </c>
      <c r="J164" t="s">
        <v>164</v>
      </c>
      <c r="K164" t="s">
        <v>119</v>
      </c>
      <c r="L164" t="s">
        <v>27</v>
      </c>
      <c r="M164">
        <v>630</v>
      </c>
      <c r="N164" t="s">
        <v>27</v>
      </c>
      <c r="O164">
        <v>630</v>
      </c>
      <c r="P164">
        <v>630</v>
      </c>
      <c r="Q164" t="s">
        <v>30</v>
      </c>
      <c r="R164" s="2">
        <v>0.7</v>
      </c>
      <c r="S164">
        <v>441</v>
      </c>
      <c r="T164" t="s">
        <v>27</v>
      </c>
      <c r="U164">
        <v>441</v>
      </c>
      <c r="V164" s="7" t="s">
        <v>24</v>
      </c>
      <c r="W164" s="7" t="s">
        <v>119</v>
      </c>
    </row>
    <row r="165" spans="1:23" x14ac:dyDescent="0.4">
      <c r="A165" t="s">
        <v>262</v>
      </c>
      <c r="B165" t="s">
        <v>481</v>
      </c>
      <c r="C165" t="s">
        <v>507</v>
      </c>
      <c r="D165" t="s">
        <v>64</v>
      </c>
      <c r="E165" t="s">
        <v>22</v>
      </c>
      <c r="F165" t="s">
        <v>23</v>
      </c>
      <c r="G165">
        <v>1</v>
      </c>
      <c r="H165">
        <v>9791166300202</v>
      </c>
      <c r="I165" t="s">
        <v>24</v>
      </c>
      <c r="J165" t="s">
        <v>129</v>
      </c>
      <c r="K165" t="s">
        <v>119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  <c r="V165" s="7" t="s">
        <v>24</v>
      </c>
      <c r="W165" s="7" t="s">
        <v>119</v>
      </c>
    </row>
    <row r="166" spans="1:23" x14ac:dyDescent="0.4">
      <c r="A166" t="s">
        <v>262</v>
      </c>
      <c r="B166" t="s">
        <v>481</v>
      </c>
      <c r="C166" t="s">
        <v>509</v>
      </c>
      <c r="D166" t="s">
        <v>64</v>
      </c>
      <c r="E166" t="s">
        <v>22</v>
      </c>
      <c r="F166" t="s">
        <v>23</v>
      </c>
      <c r="G166">
        <v>1</v>
      </c>
      <c r="H166">
        <v>9791166300691</v>
      </c>
      <c r="I166" t="s">
        <v>24</v>
      </c>
      <c r="J166" t="s">
        <v>152</v>
      </c>
      <c r="K166" t="s">
        <v>119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  <c r="V166" s="7" t="s">
        <v>24</v>
      </c>
      <c r="W166" s="7" t="s">
        <v>119</v>
      </c>
    </row>
    <row r="167" spans="1:23" x14ac:dyDescent="0.4">
      <c r="A167" t="s">
        <v>262</v>
      </c>
      <c r="B167" t="s">
        <v>481</v>
      </c>
      <c r="C167" t="s">
        <v>511</v>
      </c>
      <c r="D167" t="s">
        <v>64</v>
      </c>
      <c r="E167" t="s">
        <v>22</v>
      </c>
      <c r="F167" t="s">
        <v>23</v>
      </c>
      <c r="G167">
        <v>1</v>
      </c>
      <c r="H167">
        <v>9791166300578</v>
      </c>
      <c r="I167" t="s">
        <v>24</v>
      </c>
      <c r="J167" t="s">
        <v>159</v>
      </c>
      <c r="K167" t="s">
        <v>119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  <c r="V167" s="7" t="s">
        <v>24</v>
      </c>
      <c r="W167" s="7" t="s">
        <v>119</v>
      </c>
    </row>
    <row r="168" spans="1:23" x14ac:dyDescent="0.4">
      <c r="A168" t="s">
        <v>262</v>
      </c>
      <c r="B168" t="s">
        <v>481</v>
      </c>
      <c r="C168" t="s">
        <v>513</v>
      </c>
      <c r="D168" t="s">
        <v>64</v>
      </c>
      <c r="E168" t="s">
        <v>22</v>
      </c>
      <c r="F168" t="s">
        <v>23</v>
      </c>
      <c r="G168">
        <v>1</v>
      </c>
      <c r="H168">
        <v>9791166300592</v>
      </c>
      <c r="I168" t="s">
        <v>24</v>
      </c>
      <c r="J168" t="s">
        <v>161</v>
      </c>
      <c r="K168" t="s">
        <v>119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  <c r="V168" s="7" t="s">
        <v>24</v>
      </c>
      <c r="W168" s="7" t="s">
        <v>119</v>
      </c>
    </row>
    <row r="169" spans="1:23" x14ac:dyDescent="0.4">
      <c r="A169" t="s">
        <v>262</v>
      </c>
      <c r="B169" t="s">
        <v>481</v>
      </c>
      <c r="C169" t="s">
        <v>522</v>
      </c>
      <c r="D169" t="s">
        <v>64</v>
      </c>
      <c r="E169" t="s">
        <v>22</v>
      </c>
      <c r="F169" t="s">
        <v>23</v>
      </c>
      <c r="G169">
        <v>1</v>
      </c>
      <c r="H169">
        <v>9791166300691</v>
      </c>
      <c r="I169" t="s">
        <v>24</v>
      </c>
      <c r="J169" t="s">
        <v>152</v>
      </c>
      <c r="K169" t="s">
        <v>119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  <c r="V169" s="7" t="s">
        <v>24</v>
      </c>
      <c r="W169" s="7" t="s">
        <v>119</v>
      </c>
    </row>
    <row r="170" spans="1:23" x14ac:dyDescent="0.4">
      <c r="A170" t="s">
        <v>262</v>
      </c>
      <c r="B170" t="s">
        <v>481</v>
      </c>
      <c r="C170" t="s">
        <v>523</v>
      </c>
      <c r="D170" t="s">
        <v>64</v>
      </c>
      <c r="E170" t="s">
        <v>22</v>
      </c>
      <c r="F170" t="s">
        <v>23</v>
      </c>
      <c r="G170">
        <v>1</v>
      </c>
      <c r="H170">
        <v>9791166300479</v>
      </c>
      <c r="I170" t="s">
        <v>24</v>
      </c>
      <c r="J170" t="s">
        <v>145</v>
      </c>
      <c r="K170" t="s">
        <v>119</v>
      </c>
      <c r="L170" t="s">
        <v>27</v>
      </c>
      <c r="M170">
        <v>630</v>
      </c>
      <c r="N170" t="s">
        <v>27</v>
      </c>
      <c r="O170">
        <v>630</v>
      </c>
      <c r="P170">
        <v>630</v>
      </c>
      <c r="Q170" t="s">
        <v>30</v>
      </c>
      <c r="R170" s="2">
        <v>0.7</v>
      </c>
      <c r="S170">
        <v>441</v>
      </c>
      <c r="T170" t="s">
        <v>27</v>
      </c>
      <c r="U170">
        <v>441</v>
      </c>
      <c r="V170" s="7" t="s">
        <v>24</v>
      </c>
      <c r="W170" s="7" t="s">
        <v>119</v>
      </c>
    </row>
    <row r="171" spans="1:23" x14ac:dyDescent="0.4">
      <c r="A171" t="s">
        <v>262</v>
      </c>
      <c r="B171" t="s">
        <v>481</v>
      </c>
      <c r="C171" t="s">
        <v>524</v>
      </c>
      <c r="D171" t="s">
        <v>64</v>
      </c>
      <c r="E171" t="s">
        <v>22</v>
      </c>
      <c r="F171" t="s">
        <v>23</v>
      </c>
      <c r="G171">
        <v>1</v>
      </c>
      <c r="H171">
        <v>9791166300646</v>
      </c>
      <c r="I171" t="s">
        <v>24</v>
      </c>
      <c r="J171" t="s">
        <v>155</v>
      </c>
      <c r="K171" t="s">
        <v>119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2">
        <v>0.7</v>
      </c>
      <c r="S171">
        <v>441</v>
      </c>
      <c r="T171" t="s">
        <v>27</v>
      </c>
      <c r="U171">
        <v>441</v>
      </c>
      <c r="V171" s="7" t="s">
        <v>24</v>
      </c>
      <c r="W171" s="7" t="s">
        <v>119</v>
      </c>
    </row>
    <row r="172" spans="1:23" x14ac:dyDescent="0.4">
      <c r="A172" t="s">
        <v>262</v>
      </c>
      <c r="B172" t="s">
        <v>481</v>
      </c>
      <c r="C172" t="s">
        <v>525</v>
      </c>
      <c r="D172" t="s">
        <v>64</v>
      </c>
      <c r="E172" t="s">
        <v>22</v>
      </c>
      <c r="F172" t="s">
        <v>23</v>
      </c>
      <c r="G172">
        <v>1</v>
      </c>
      <c r="H172">
        <v>9791166300639</v>
      </c>
      <c r="I172" t="s">
        <v>24</v>
      </c>
      <c r="J172" t="s">
        <v>165</v>
      </c>
      <c r="K172" t="s">
        <v>119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  <c r="V172" s="7" t="s">
        <v>24</v>
      </c>
      <c r="W172" s="7" t="s">
        <v>119</v>
      </c>
    </row>
    <row r="173" spans="1:23" x14ac:dyDescent="0.4">
      <c r="A173" t="s">
        <v>262</v>
      </c>
      <c r="B173" t="s">
        <v>481</v>
      </c>
      <c r="C173" t="s">
        <v>528</v>
      </c>
      <c r="D173" t="s">
        <v>64</v>
      </c>
      <c r="E173" t="s">
        <v>22</v>
      </c>
      <c r="F173" t="s">
        <v>23</v>
      </c>
      <c r="G173">
        <v>1</v>
      </c>
      <c r="H173">
        <v>9791166300509</v>
      </c>
      <c r="I173" t="s">
        <v>24</v>
      </c>
      <c r="J173" t="s">
        <v>148</v>
      </c>
      <c r="K173" t="s">
        <v>119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  <c r="V173" s="7" t="s">
        <v>24</v>
      </c>
      <c r="W173" s="7" t="s">
        <v>119</v>
      </c>
    </row>
    <row r="174" spans="1:23" x14ac:dyDescent="0.4">
      <c r="A174" t="s">
        <v>262</v>
      </c>
      <c r="B174" t="s">
        <v>481</v>
      </c>
      <c r="C174" t="s">
        <v>529</v>
      </c>
      <c r="D174" t="s">
        <v>64</v>
      </c>
      <c r="E174" t="s">
        <v>22</v>
      </c>
      <c r="F174" t="s">
        <v>23</v>
      </c>
      <c r="G174">
        <v>1</v>
      </c>
      <c r="H174">
        <v>9791166300592</v>
      </c>
      <c r="I174" t="s">
        <v>24</v>
      </c>
      <c r="J174" t="s">
        <v>161</v>
      </c>
      <c r="K174" t="s">
        <v>119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2">
        <v>0.7</v>
      </c>
      <c r="S174">
        <v>441</v>
      </c>
      <c r="T174" t="s">
        <v>27</v>
      </c>
      <c r="U174">
        <v>443</v>
      </c>
      <c r="V174" s="7" t="s">
        <v>24</v>
      </c>
      <c r="W174" s="7" t="s">
        <v>119</v>
      </c>
    </row>
    <row r="175" spans="1:23" x14ac:dyDescent="0.4">
      <c r="A175" t="s">
        <v>262</v>
      </c>
      <c r="B175" t="s">
        <v>481</v>
      </c>
      <c r="C175" t="s">
        <v>532</v>
      </c>
      <c r="D175" t="s">
        <v>64</v>
      </c>
      <c r="E175" t="s">
        <v>22</v>
      </c>
      <c r="F175" t="s">
        <v>23</v>
      </c>
      <c r="G175">
        <v>1</v>
      </c>
      <c r="H175">
        <v>9791166300622</v>
      </c>
      <c r="I175" t="s">
        <v>24</v>
      </c>
      <c r="J175" t="s">
        <v>164</v>
      </c>
      <c r="K175" t="s">
        <v>119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  <c r="V175" s="7" t="s">
        <v>24</v>
      </c>
      <c r="W175" s="7" t="s">
        <v>119</v>
      </c>
    </row>
    <row r="176" spans="1:23" x14ac:dyDescent="0.4">
      <c r="A176" t="s">
        <v>262</v>
      </c>
      <c r="B176" t="s">
        <v>481</v>
      </c>
      <c r="C176" t="s">
        <v>533</v>
      </c>
      <c r="D176" t="s">
        <v>64</v>
      </c>
      <c r="E176" t="s">
        <v>22</v>
      </c>
      <c r="F176" t="s">
        <v>23</v>
      </c>
      <c r="G176">
        <v>1</v>
      </c>
      <c r="H176">
        <v>9791166300141</v>
      </c>
      <c r="I176" t="s">
        <v>24</v>
      </c>
      <c r="J176" t="s">
        <v>124</v>
      </c>
      <c r="K176" t="s">
        <v>119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  <c r="V176" s="7" t="s">
        <v>24</v>
      </c>
      <c r="W176" s="7" t="s">
        <v>119</v>
      </c>
    </row>
    <row r="177" spans="1:23" x14ac:dyDescent="0.4">
      <c r="A177" t="s">
        <v>262</v>
      </c>
      <c r="B177" t="s">
        <v>481</v>
      </c>
      <c r="C177" t="s">
        <v>534</v>
      </c>
      <c r="D177" t="s">
        <v>64</v>
      </c>
      <c r="E177" t="s">
        <v>22</v>
      </c>
      <c r="F177" t="s">
        <v>23</v>
      </c>
      <c r="G177">
        <v>1</v>
      </c>
      <c r="H177">
        <v>9791166300271</v>
      </c>
      <c r="I177" t="s">
        <v>24</v>
      </c>
      <c r="J177" t="s">
        <v>136</v>
      </c>
      <c r="K177" t="s">
        <v>119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2">
        <v>0.7</v>
      </c>
      <c r="S177">
        <v>441</v>
      </c>
      <c r="T177" t="s">
        <v>27</v>
      </c>
      <c r="U177">
        <v>441</v>
      </c>
      <c r="V177" s="7" t="s">
        <v>24</v>
      </c>
      <c r="W177" s="7" t="s">
        <v>119</v>
      </c>
    </row>
    <row r="178" spans="1:23" x14ac:dyDescent="0.4">
      <c r="A178" t="s">
        <v>262</v>
      </c>
      <c r="B178" t="s">
        <v>481</v>
      </c>
      <c r="C178" t="s">
        <v>535</v>
      </c>
      <c r="D178" t="s">
        <v>64</v>
      </c>
      <c r="E178" t="s">
        <v>22</v>
      </c>
      <c r="F178" t="s">
        <v>23</v>
      </c>
      <c r="G178">
        <v>1</v>
      </c>
      <c r="H178">
        <v>9791166300585</v>
      </c>
      <c r="I178" t="s">
        <v>24</v>
      </c>
      <c r="J178" t="s">
        <v>160</v>
      </c>
      <c r="K178" t="s">
        <v>119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  <c r="V178" s="7" t="s">
        <v>24</v>
      </c>
      <c r="W178" s="7" t="s">
        <v>119</v>
      </c>
    </row>
    <row r="179" spans="1:23" x14ac:dyDescent="0.4">
      <c r="A179" t="s">
        <v>262</v>
      </c>
      <c r="B179" t="s">
        <v>481</v>
      </c>
      <c r="C179" t="s">
        <v>539</v>
      </c>
      <c r="D179" t="s">
        <v>64</v>
      </c>
      <c r="E179" t="s">
        <v>22</v>
      </c>
      <c r="F179" t="s">
        <v>23</v>
      </c>
      <c r="G179">
        <v>1</v>
      </c>
      <c r="H179">
        <v>9791166300165</v>
      </c>
      <c r="I179" t="s">
        <v>24</v>
      </c>
      <c r="J179" t="s">
        <v>126</v>
      </c>
      <c r="K179" t="s">
        <v>119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2">
        <v>0.7</v>
      </c>
      <c r="S179">
        <v>441</v>
      </c>
      <c r="T179" t="s">
        <v>27</v>
      </c>
      <c r="U179">
        <v>441</v>
      </c>
      <c r="V179" s="7" t="s">
        <v>24</v>
      </c>
      <c r="W179" s="7" t="s">
        <v>119</v>
      </c>
    </row>
    <row r="180" spans="1:23" x14ac:dyDescent="0.4">
      <c r="A180" t="s">
        <v>262</v>
      </c>
      <c r="B180" t="s">
        <v>481</v>
      </c>
      <c r="C180" t="s">
        <v>541</v>
      </c>
      <c r="D180" t="s">
        <v>64</v>
      </c>
      <c r="E180" t="s">
        <v>22</v>
      </c>
      <c r="F180" t="s">
        <v>23</v>
      </c>
      <c r="G180">
        <v>1</v>
      </c>
      <c r="H180">
        <v>9791166300516</v>
      </c>
      <c r="I180" t="s">
        <v>24</v>
      </c>
      <c r="J180" t="s">
        <v>149</v>
      </c>
      <c r="K180" t="s">
        <v>119</v>
      </c>
      <c r="L180" t="s">
        <v>27</v>
      </c>
      <c r="M180">
        <v>630</v>
      </c>
      <c r="N180" t="s">
        <v>27</v>
      </c>
      <c r="O180">
        <v>630</v>
      </c>
      <c r="P180">
        <v>630</v>
      </c>
      <c r="Q180" t="s">
        <v>30</v>
      </c>
      <c r="R180" s="2">
        <v>0.7</v>
      </c>
      <c r="S180">
        <v>441</v>
      </c>
      <c r="T180" t="s">
        <v>27</v>
      </c>
      <c r="U180">
        <v>441</v>
      </c>
      <c r="V180" s="7" t="s">
        <v>24</v>
      </c>
      <c r="W180" s="7" t="s">
        <v>119</v>
      </c>
    </row>
    <row r="181" spans="1:23" x14ac:dyDescent="0.4">
      <c r="A181" t="s">
        <v>262</v>
      </c>
      <c r="B181" t="s">
        <v>481</v>
      </c>
      <c r="C181" t="s">
        <v>543</v>
      </c>
      <c r="D181" t="s">
        <v>64</v>
      </c>
      <c r="E181" t="s">
        <v>22</v>
      </c>
      <c r="F181" t="s">
        <v>23</v>
      </c>
      <c r="G181">
        <v>1</v>
      </c>
      <c r="H181">
        <v>9791166300288</v>
      </c>
      <c r="I181" t="s">
        <v>24</v>
      </c>
      <c r="J181" t="s">
        <v>137</v>
      </c>
      <c r="K181" t="s">
        <v>119</v>
      </c>
      <c r="L181" t="s">
        <v>27</v>
      </c>
      <c r="M181">
        <v>630</v>
      </c>
      <c r="N181" t="s">
        <v>27</v>
      </c>
      <c r="O181">
        <v>630</v>
      </c>
      <c r="P181">
        <v>630</v>
      </c>
      <c r="Q181" t="s">
        <v>30</v>
      </c>
      <c r="R181" s="2">
        <v>0.7</v>
      </c>
      <c r="S181">
        <v>441</v>
      </c>
      <c r="T181" t="s">
        <v>27</v>
      </c>
      <c r="U181">
        <v>441</v>
      </c>
      <c r="V181" s="7" t="s">
        <v>24</v>
      </c>
      <c r="W181" s="7" t="s">
        <v>119</v>
      </c>
    </row>
    <row r="182" spans="1:23" x14ac:dyDescent="0.4">
      <c r="A182" t="s">
        <v>262</v>
      </c>
      <c r="B182" t="s">
        <v>481</v>
      </c>
      <c r="C182" t="s">
        <v>544</v>
      </c>
      <c r="D182" t="s">
        <v>21</v>
      </c>
      <c r="E182" t="s">
        <v>22</v>
      </c>
      <c r="F182" t="s">
        <v>23</v>
      </c>
      <c r="G182">
        <v>1</v>
      </c>
      <c r="H182">
        <v>9791166300196</v>
      </c>
      <c r="I182" t="s">
        <v>24</v>
      </c>
      <c r="J182" t="s">
        <v>128</v>
      </c>
      <c r="K182" t="s">
        <v>119</v>
      </c>
      <c r="L182" t="s">
        <v>27</v>
      </c>
      <c r="M182" s="3">
        <v>3200</v>
      </c>
      <c r="N182" t="s">
        <v>27</v>
      </c>
      <c r="O182" s="3">
        <v>3200</v>
      </c>
      <c r="P182" s="3">
        <v>3200</v>
      </c>
      <c r="Q182" t="s">
        <v>30</v>
      </c>
      <c r="R182" s="2">
        <v>0.7</v>
      </c>
      <c r="S182" s="3">
        <v>2240</v>
      </c>
      <c r="T182" t="s">
        <v>27</v>
      </c>
      <c r="U182" s="3">
        <v>2240</v>
      </c>
      <c r="V182" s="7" t="s">
        <v>24</v>
      </c>
      <c r="W182" s="7" t="s">
        <v>119</v>
      </c>
    </row>
    <row r="183" spans="1:23" x14ac:dyDescent="0.4">
      <c r="A183" t="s">
        <v>262</v>
      </c>
      <c r="B183" t="s">
        <v>481</v>
      </c>
      <c r="C183" t="s">
        <v>545</v>
      </c>
      <c r="D183" t="s">
        <v>64</v>
      </c>
      <c r="E183" t="s">
        <v>22</v>
      </c>
      <c r="F183" t="s">
        <v>23</v>
      </c>
      <c r="G183">
        <v>1</v>
      </c>
      <c r="H183">
        <v>9791166300646</v>
      </c>
      <c r="I183" t="s">
        <v>24</v>
      </c>
      <c r="J183" t="s">
        <v>155</v>
      </c>
      <c r="K183" t="s">
        <v>119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  <c r="V183" s="7" t="s">
        <v>24</v>
      </c>
      <c r="W183" s="7" t="s">
        <v>119</v>
      </c>
    </row>
    <row r="184" spans="1:23" x14ac:dyDescent="0.4">
      <c r="A184" t="s">
        <v>262</v>
      </c>
      <c r="B184" t="s">
        <v>481</v>
      </c>
      <c r="C184" t="s">
        <v>546</v>
      </c>
      <c r="D184" t="s">
        <v>64</v>
      </c>
      <c r="E184" t="s">
        <v>22</v>
      </c>
      <c r="F184" t="s">
        <v>23</v>
      </c>
      <c r="G184">
        <v>1</v>
      </c>
      <c r="H184">
        <v>9791166300158</v>
      </c>
      <c r="I184" t="s">
        <v>24</v>
      </c>
      <c r="J184" t="s">
        <v>125</v>
      </c>
      <c r="K184" t="s">
        <v>119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  <c r="V184" s="7" t="s">
        <v>24</v>
      </c>
      <c r="W184" s="7" t="s">
        <v>119</v>
      </c>
    </row>
    <row r="185" spans="1:23" x14ac:dyDescent="0.4">
      <c r="A185" t="s">
        <v>262</v>
      </c>
      <c r="B185" t="s">
        <v>481</v>
      </c>
      <c r="C185" t="s">
        <v>547</v>
      </c>
      <c r="D185" t="s">
        <v>64</v>
      </c>
      <c r="E185" t="s">
        <v>22</v>
      </c>
      <c r="F185" t="s">
        <v>23</v>
      </c>
      <c r="G185">
        <v>1</v>
      </c>
      <c r="H185">
        <v>9791166300523</v>
      </c>
      <c r="I185" t="s">
        <v>24</v>
      </c>
      <c r="J185" t="s">
        <v>150</v>
      </c>
      <c r="K185" t="s">
        <v>119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  <c r="V185" s="7" t="s">
        <v>24</v>
      </c>
      <c r="W185" s="7" t="s">
        <v>119</v>
      </c>
    </row>
    <row r="186" spans="1:23" x14ac:dyDescent="0.4">
      <c r="A186" t="s">
        <v>262</v>
      </c>
      <c r="B186" t="s">
        <v>481</v>
      </c>
      <c r="C186" t="s">
        <v>548</v>
      </c>
      <c r="D186" t="s">
        <v>64</v>
      </c>
      <c r="E186" t="s">
        <v>22</v>
      </c>
      <c r="F186" t="s">
        <v>23</v>
      </c>
      <c r="G186">
        <v>1</v>
      </c>
      <c r="H186">
        <v>9791166300257</v>
      </c>
      <c r="I186" t="s">
        <v>24</v>
      </c>
      <c r="J186" t="s">
        <v>134</v>
      </c>
      <c r="K186" t="s">
        <v>119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  <c r="V186" s="7" t="s">
        <v>24</v>
      </c>
      <c r="W186" s="7" t="s">
        <v>119</v>
      </c>
    </row>
    <row r="187" spans="1:23" x14ac:dyDescent="0.4">
      <c r="A187" t="s">
        <v>262</v>
      </c>
      <c r="B187" t="s">
        <v>481</v>
      </c>
      <c r="C187" t="s">
        <v>549</v>
      </c>
      <c r="D187" t="s">
        <v>64</v>
      </c>
      <c r="E187" t="s">
        <v>22</v>
      </c>
      <c r="F187" t="s">
        <v>23</v>
      </c>
      <c r="G187">
        <v>1</v>
      </c>
      <c r="H187">
        <v>9791166300592</v>
      </c>
      <c r="I187" t="s">
        <v>24</v>
      </c>
      <c r="J187" t="s">
        <v>161</v>
      </c>
      <c r="K187" t="s">
        <v>119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  <c r="V187" s="7" t="s">
        <v>24</v>
      </c>
      <c r="W187" s="7" t="s">
        <v>119</v>
      </c>
    </row>
    <row r="188" spans="1:23" x14ac:dyDescent="0.4">
      <c r="A188" t="s">
        <v>262</v>
      </c>
      <c r="B188" t="s">
        <v>481</v>
      </c>
      <c r="C188" t="s">
        <v>550</v>
      </c>
      <c r="D188" t="s">
        <v>64</v>
      </c>
      <c r="E188" t="s">
        <v>22</v>
      </c>
      <c r="F188" t="s">
        <v>23</v>
      </c>
      <c r="G188">
        <v>1</v>
      </c>
      <c r="H188">
        <v>9791166300653</v>
      </c>
      <c r="I188" t="s">
        <v>24</v>
      </c>
      <c r="J188" t="s">
        <v>157</v>
      </c>
      <c r="K188" t="s">
        <v>119</v>
      </c>
      <c r="L188" t="s">
        <v>27</v>
      </c>
      <c r="M188">
        <v>630</v>
      </c>
      <c r="N188" t="s">
        <v>27</v>
      </c>
      <c r="O188">
        <v>630</v>
      </c>
      <c r="P188">
        <v>630</v>
      </c>
      <c r="Q188" t="s">
        <v>30</v>
      </c>
      <c r="R188" s="2">
        <v>0.7</v>
      </c>
      <c r="S188">
        <v>441</v>
      </c>
      <c r="T188" t="s">
        <v>27</v>
      </c>
      <c r="U188">
        <v>441</v>
      </c>
      <c r="V188" s="7" t="s">
        <v>24</v>
      </c>
      <c r="W188" s="7" t="s">
        <v>119</v>
      </c>
    </row>
    <row r="189" spans="1:23" x14ac:dyDescent="0.4">
      <c r="A189" t="s">
        <v>262</v>
      </c>
      <c r="B189" t="s">
        <v>481</v>
      </c>
      <c r="C189" t="s">
        <v>551</v>
      </c>
      <c r="D189" t="s">
        <v>64</v>
      </c>
      <c r="E189" t="s">
        <v>22</v>
      </c>
      <c r="F189" t="s">
        <v>23</v>
      </c>
      <c r="G189">
        <v>1</v>
      </c>
      <c r="H189">
        <v>9791166300295</v>
      </c>
      <c r="I189" t="s">
        <v>24</v>
      </c>
      <c r="J189" t="s">
        <v>138</v>
      </c>
      <c r="K189" t="s">
        <v>119</v>
      </c>
      <c r="L189" t="s">
        <v>27</v>
      </c>
      <c r="M189">
        <v>630</v>
      </c>
      <c r="N189" t="s">
        <v>27</v>
      </c>
      <c r="O189">
        <v>630</v>
      </c>
      <c r="P189">
        <v>630</v>
      </c>
      <c r="Q189" t="s">
        <v>30</v>
      </c>
      <c r="R189" s="2">
        <v>0.7</v>
      </c>
      <c r="S189">
        <v>441</v>
      </c>
      <c r="T189" t="s">
        <v>27</v>
      </c>
      <c r="U189">
        <v>441</v>
      </c>
      <c r="V189" s="7" t="s">
        <v>24</v>
      </c>
      <c r="W189" s="7" t="s">
        <v>119</v>
      </c>
    </row>
    <row r="190" spans="1:23" x14ac:dyDescent="0.4">
      <c r="A190" t="s">
        <v>262</v>
      </c>
      <c r="B190" t="s">
        <v>481</v>
      </c>
      <c r="C190" t="s">
        <v>553</v>
      </c>
      <c r="D190" t="s">
        <v>64</v>
      </c>
      <c r="E190" t="s">
        <v>22</v>
      </c>
      <c r="F190" t="s">
        <v>23</v>
      </c>
      <c r="G190">
        <v>1</v>
      </c>
      <c r="H190">
        <v>9791166300127</v>
      </c>
      <c r="I190" t="s">
        <v>24</v>
      </c>
      <c r="J190" t="s">
        <v>122</v>
      </c>
      <c r="K190" t="s">
        <v>119</v>
      </c>
      <c r="L190" t="s">
        <v>27</v>
      </c>
      <c r="M190">
        <v>630</v>
      </c>
      <c r="N190" t="s">
        <v>27</v>
      </c>
      <c r="O190">
        <v>630</v>
      </c>
      <c r="P190">
        <v>630</v>
      </c>
      <c r="Q190" t="s">
        <v>30</v>
      </c>
      <c r="R190" s="2">
        <v>0.7</v>
      </c>
      <c r="S190">
        <v>441</v>
      </c>
      <c r="T190" t="s">
        <v>27</v>
      </c>
      <c r="U190">
        <v>441</v>
      </c>
      <c r="V190" s="7" t="s">
        <v>24</v>
      </c>
      <c r="W190" s="7" t="s">
        <v>119</v>
      </c>
    </row>
    <row r="191" spans="1:23" x14ac:dyDescent="0.4">
      <c r="A191" t="s">
        <v>262</v>
      </c>
      <c r="B191" t="s">
        <v>481</v>
      </c>
      <c r="C191" t="s">
        <v>554</v>
      </c>
      <c r="D191" t="s">
        <v>64</v>
      </c>
      <c r="E191" t="s">
        <v>22</v>
      </c>
      <c r="F191" t="s">
        <v>23</v>
      </c>
      <c r="G191">
        <v>1</v>
      </c>
      <c r="H191">
        <v>9791166300516</v>
      </c>
      <c r="I191" t="s">
        <v>24</v>
      </c>
      <c r="J191" t="s">
        <v>149</v>
      </c>
      <c r="K191" t="s">
        <v>119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  <c r="V191" s="7" t="s">
        <v>24</v>
      </c>
      <c r="W191" s="7" t="s">
        <v>119</v>
      </c>
    </row>
    <row r="192" spans="1:23" x14ac:dyDescent="0.4">
      <c r="A192" t="s">
        <v>262</v>
      </c>
      <c r="B192" t="s">
        <v>481</v>
      </c>
      <c r="C192" t="s">
        <v>556</v>
      </c>
      <c r="D192" t="s">
        <v>64</v>
      </c>
      <c r="E192" t="s">
        <v>22</v>
      </c>
      <c r="F192" t="s">
        <v>23</v>
      </c>
      <c r="G192">
        <v>1</v>
      </c>
      <c r="H192">
        <v>9791166300530</v>
      </c>
      <c r="I192" t="s">
        <v>24</v>
      </c>
      <c r="J192" t="s">
        <v>151</v>
      </c>
      <c r="K192" t="s">
        <v>119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  <c r="V192" s="7" t="s">
        <v>24</v>
      </c>
      <c r="W192" s="7" t="s">
        <v>119</v>
      </c>
    </row>
    <row r="193" spans="1:23" x14ac:dyDescent="0.4">
      <c r="A193" t="s">
        <v>262</v>
      </c>
      <c r="B193" t="s">
        <v>481</v>
      </c>
      <c r="C193" t="s">
        <v>558</v>
      </c>
      <c r="D193" t="s">
        <v>64</v>
      </c>
      <c r="E193" t="s">
        <v>22</v>
      </c>
      <c r="F193" t="s">
        <v>23</v>
      </c>
      <c r="G193">
        <v>1</v>
      </c>
      <c r="H193">
        <v>9791166300608</v>
      </c>
      <c r="I193" t="s">
        <v>24</v>
      </c>
      <c r="J193" t="s">
        <v>162</v>
      </c>
      <c r="K193" t="s">
        <v>119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  <c r="V193" s="7" t="s">
        <v>24</v>
      </c>
      <c r="W193" s="7" t="s">
        <v>119</v>
      </c>
    </row>
    <row r="194" spans="1:23" x14ac:dyDescent="0.4">
      <c r="A194" t="s">
        <v>262</v>
      </c>
      <c r="B194" t="s">
        <v>481</v>
      </c>
      <c r="C194" t="s">
        <v>559</v>
      </c>
      <c r="D194" t="s">
        <v>64</v>
      </c>
      <c r="E194" t="s">
        <v>22</v>
      </c>
      <c r="F194" t="s">
        <v>23</v>
      </c>
      <c r="G194">
        <v>1</v>
      </c>
      <c r="H194">
        <v>9791166300608</v>
      </c>
      <c r="I194" t="s">
        <v>24</v>
      </c>
      <c r="J194" t="s">
        <v>162</v>
      </c>
      <c r="K194" t="s">
        <v>119</v>
      </c>
      <c r="L194" t="s">
        <v>27</v>
      </c>
      <c r="M194">
        <v>630</v>
      </c>
      <c r="N194" t="s">
        <v>27</v>
      </c>
      <c r="O194">
        <v>630</v>
      </c>
      <c r="P194">
        <v>630</v>
      </c>
      <c r="Q194" t="s">
        <v>30</v>
      </c>
      <c r="R194" s="2">
        <v>0.7</v>
      </c>
      <c r="S194">
        <v>441</v>
      </c>
      <c r="T194" t="s">
        <v>27</v>
      </c>
      <c r="U194">
        <v>441</v>
      </c>
      <c r="V194" s="7" t="s">
        <v>24</v>
      </c>
      <c r="W194" s="7" t="s">
        <v>119</v>
      </c>
    </row>
    <row r="195" spans="1:23" x14ac:dyDescent="0.4">
      <c r="A195" t="s">
        <v>262</v>
      </c>
      <c r="B195" t="s">
        <v>481</v>
      </c>
      <c r="C195" t="s">
        <v>560</v>
      </c>
      <c r="D195" t="s">
        <v>64</v>
      </c>
      <c r="E195" t="s">
        <v>22</v>
      </c>
      <c r="F195" t="s">
        <v>23</v>
      </c>
      <c r="G195">
        <v>1</v>
      </c>
      <c r="H195">
        <v>9791166300103</v>
      </c>
      <c r="I195" t="s">
        <v>24</v>
      </c>
      <c r="J195" t="s">
        <v>120</v>
      </c>
      <c r="K195" t="s">
        <v>119</v>
      </c>
      <c r="L195" t="s">
        <v>27</v>
      </c>
      <c r="M195">
        <v>630</v>
      </c>
      <c r="N195" t="s">
        <v>27</v>
      </c>
      <c r="O195">
        <v>630</v>
      </c>
      <c r="P195">
        <v>630</v>
      </c>
      <c r="Q195" t="s">
        <v>30</v>
      </c>
      <c r="R195" s="2">
        <v>0.7</v>
      </c>
      <c r="S195">
        <v>441</v>
      </c>
      <c r="T195" t="s">
        <v>27</v>
      </c>
      <c r="U195">
        <v>441</v>
      </c>
      <c r="V195" s="7" t="s">
        <v>24</v>
      </c>
      <c r="W195" s="7" t="s">
        <v>119</v>
      </c>
    </row>
    <row r="196" spans="1:23" x14ac:dyDescent="0.4">
      <c r="A196" t="s">
        <v>262</v>
      </c>
      <c r="B196" t="s">
        <v>481</v>
      </c>
      <c r="C196" t="s">
        <v>561</v>
      </c>
      <c r="D196" t="s">
        <v>64</v>
      </c>
      <c r="E196" t="s">
        <v>22</v>
      </c>
      <c r="F196" t="s">
        <v>23</v>
      </c>
      <c r="G196">
        <v>1</v>
      </c>
      <c r="H196">
        <v>9791166300172</v>
      </c>
      <c r="I196" t="s">
        <v>24</v>
      </c>
      <c r="J196" t="s">
        <v>127</v>
      </c>
      <c r="K196" t="s">
        <v>119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  <c r="V196" s="7" t="s">
        <v>24</v>
      </c>
      <c r="W196" s="7" t="s">
        <v>119</v>
      </c>
    </row>
    <row r="197" spans="1:23" x14ac:dyDescent="0.4">
      <c r="A197" t="s">
        <v>262</v>
      </c>
      <c r="B197" t="s">
        <v>481</v>
      </c>
      <c r="C197" t="s">
        <v>565</v>
      </c>
      <c r="D197" t="s">
        <v>64</v>
      </c>
      <c r="E197" t="s">
        <v>22</v>
      </c>
      <c r="F197" t="s">
        <v>23</v>
      </c>
      <c r="G197">
        <v>1</v>
      </c>
      <c r="H197">
        <v>9791166300165</v>
      </c>
      <c r="I197" t="s">
        <v>24</v>
      </c>
      <c r="J197" t="s">
        <v>126</v>
      </c>
      <c r="K197" t="s">
        <v>119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  <c r="V197" s="7" t="s">
        <v>24</v>
      </c>
      <c r="W197" s="7" t="s">
        <v>119</v>
      </c>
    </row>
    <row r="198" spans="1:23" x14ac:dyDescent="0.4">
      <c r="A198" t="s">
        <v>262</v>
      </c>
      <c r="B198" t="s">
        <v>566</v>
      </c>
      <c r="C198" t="s">
        <v>569</v>
      </c>
      <c r="D198" t="s">
        <v>21</v>
      </c>
      <c r="E198" t="s">
        <v>22</v>
      </c>
      <c r="F198" t="s">
        <v>23</v>
      </c>
      <c r="G198">
        <v>1</v>
      </c>
      <c r="H198">
        <v>9791166300202</v>
      </c>
      <c r="I198" t="s">
        <v>24</v>
      </c>
      <c r="J198" t="s">
        <v>129</v>
      </c>
      <c r="K198" t="s">
        <v>119</v>
      </c>
      <c r="L198" t="s">
        <v>27</v>
      </c>
      <c r="M198" s="3">
        <v>3200</v>
      </c>
      <c r="N198" t="s">
        <v>27</v>
      </c>
      <c r="O198" s="3">
        <v>3200</v>
      </c>
      <c r="P198" s="3">
        <v>3200</v>
      </c>
      <c r="Q198" t="s">
        <v>30</v>
      </c>
      <c r="R198" s="2">
        <v>0.7</v>
      </c>
      <c r="S198" s="3">
        <v>2240</v>
      </c>
      <c r="T198" t="s">
        <v>27</v>
      </c>
      <c r="U198" s="3">
        <v>2240</v>
      </c>
      <c r="V198" s="7" t="s">
        <v>24</v>
      </c>
      <c r="W198" s="7" t="s">
        <v>119</v>
      </c>
    </row>
    <row r="199" spans="1:23" x14ac:dyDescent="0.4">
      <c r="A199" t="s">
        <v>262</v>
      </c>
      <c r="B199" t="s">
        <v>566</v>
      </c>
      <c r="C199" t="s">
        <v>571</v>
      </c>
      <c r="D199" t="s">
        <v>64</v>
      </c>
      <c r="E199" t="s">
        <v>22</v>
      </c>
      <c r="F199" t="s">
        <v>23</v>
      </c>
      <c r="G199">
        <v>1</v>
      </c>
      <c r="H199">
        <v>9791166300608</v>
      </c>
      <c r="I199" t="s">
        <v>24</v>
      </c>
      <c r="J199" t="s">
        <v>162</v>
      </c>
      <c r="K199" t="s">
        <v>119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440</v>
      </c>
      <c r="V199" s="7" t="s">
        <v>24</v>
      </c>
      <c r="W199" s="7" t="s">
        <v>119</v>
      </c>
    </row>
    <row r="200" spans="1:23" x14ac:dyDescent="0.4">
      <c r="A200" t="s">
        <v>262</v>
      </c>
      <c r="B200" t="s">
        <v>566</v>
      </c>
      <c r="C200" t="s">
        <v>578</v>
      </c>
      <c r="D200" t="s">
        <v>64</v>
      </c>
      <c r="E200" t="s">
        <v>22</v>
      </c>
      <c r="F200" t="s">
        <v>23</v>
      </c>
      <c r="G200">
        <v>1</v>
      </c>
      <c r="H200">
        <v>9791166300301</v>
      </c>
      <c r="I200" t="s">
        <v>24</v>
      </c>
      <c r="J200" t="s">
        <v>139</v>
      </c>
      <c r="K200" t="s">
        <v>119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  <c r="V200" s="7" t="s">
        <v>24</v>
      </c>
      <c r="W200" s="7" t="s">
        <v>119</v>
      </c>
    </row>
    <row r="201" spans="1:23" x14ac:dyDescent="0.4">
      <c r="A201" t="s">
        <v>262</v>
      </c>
      <c r="B201" t="s">
        <v>566</v>
      </c>
      <c r="C201" t="s">
        <v>579</v>
      </c>
      <c r="D201" t="s">
        <v>64</v>
      </c>
      <c r="E201" t="s">
        <v>22</v>
      </c>
      <c r="F201" t="s">
        <v>23</v>
      </c>
      <c r="G201">
        <v>1</v>
      </c>
      <c r="H201">
        <v>9791166300479</v>
      </c>
      <c r="I201" t="s">
        <v>24</v>
      </c>
      <c r="J201" t="s">
        <v>145</v>
      </c>
      <c r="K201" t="s">
        <v>119</v>
      </c>
      <c r="L201" t="s">
        <v>27</v>
      </c>
      <c r="M201">
        <v>630</v>
      </c>
      <c r="N201" t="s">
        <v>27</v>
      </c>
      <c r="O201">
        <v>630</v>
      </c>
      <c r="P201">
        <v>630</v>
      </c>
      <c r="Q201" t="s">
        <v>30</v>
      </c>
      <c r="R201" s="2">
        <v>0.7</v>
      </c>
      <c r="S201">
        <v>441</v>
      </c>
      <c r="T201" t="s">
        <v>27</v>
      </c>
      <c r="U201">
        <v>441</v>
      </c>
      <c r="V201" s="7" t="s">
        <v>24</v>
      </c>
      <c r="W201" s="7" t="s">
        <v>119</v>
      </c>
    </row>
    <row r="202" spans="1:23" x14ac:dyDescent="0.4">
      <c r="A202" t="s">
        <v>262</v>
      </c>
      <c r="B202" t="s">
        <v>566</v>
      </c>
      <c r="C202" t="s">
        <v>580</v>
      </c>
      <c r="D202" t="s">
        <v>64</v>
      </c>
      <c r="E202" t="s">
        <v>22</v>
      </c>
      <c r="F202" t="s">
        <v>23</v>
      </c>
      <c r="G202">
        <v>1</v>
      </c>
      <c r="H202">
        <v>9791166300615</v>
      </c>
      <c r="I202" t="s">
        <v>24</v>
      </c>
      <c r="J202" t="s">
        <v>163</v>
      </c>
      <c r="K202" t="s">
        <v>119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  <c r="V202" s="7" t="s">
        <v>24</v>
      </c>
      <c r="W202" s="7" t="s">
        <v>119</v>
      </c>
    </row>
    <row r="203" spans="1:23" x14ac:dyDescent="0.4">
      <c r="A203" t="s">
        <v>262</v>
      </c>
      <c r="B203" t="s">
        <v>566</v>
      </c>
      <c r="C203" t="s">
        <v>581</v>
      </c>
      <c r="D203" t="s">
        <v>64</v>
      </c>
      <c r="E203" t="s">
        <v>22</v>
      </c>
      <c r="F203" t="s">
        <v>23</v>
      </c>
      <c r="G203">
        <v>1</v>
      </c>
      <c r="H203">
        <v>9791166300479</v>
      </c>
      <c r="I203" t="s">
        <v>24</v>
      </c>
      <c r="J203" t="s">
        <v>145</v>
      </c>
      <c r="K203" t="s">
        <v>119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  <c r="V203" s="7" t="s">
        <v>24</v>
      </c>
      <c r="W203" s="7" t="s">
        <v>119</v>
      </c>
    </row>
    <row r="204" spans="1:23" x14ac:dyDescent="0.4">
      <c r="A204" t="s">
        <v>262</v>
      </c>
      <c r="B204" t="s">
        <v>566</v>
      </c>
      <c r="C204" t="s">
        <v>585</v>
      </c>
      <c r="D204" t="s">
        <v>64</v>
      </c>
      <c r="E204" t="s">
        <v>22</v>
      </c>
      <c r="F204" t="s">
        <v>23</v>
      </c>
      <c r="G204">
        <v>1</v>
      </c>
      <c r="H204">
        <v>9791166300547</v>
      </c>
      <c r="I204" t="s">
        <v>24</v>
      </c>
      <c r="J204" t="s">
        <v>153</v>
      </c>
      <c r="K204" t="s">
        <v>119</v>
      </c>
      <c r="L204" t="s">
        <v>27</v>
      </c>
      <c r="M204">
        <v>630</v>
      </c>
      <c r="N204" t="s">
        <v>27</v>
      </c>
      <c r="O204">
        <v>630</v>
      </c>
      <c r="P204">
        <v>630</v>
      </c>
      <c r="Q204" t="s">
        <v>30</v>
      </c>
      <c r="R204" s="2">
        <v>0.7</v>
      </c>
      <c r="S204">
        <v>441</v>
      </c>
      <c r="T204" t="s">
        <v>27</v>
      </c>
      <c r="U204">
        <v>441</v>
      </c>
      <c r="V204" s="7" t="s">
        <v>24</v>
      </c>
      <c r="W204" s="7" t="s">
        <v>119</v>
      </c>
    </row>
    <row r="205" spans="1:23" x14ac:dyDescent="0.4">
      <c r="A205" t="s">
        <v>262</v>
      </c>
      <c r="B205" t="s">
        <v>566</v>
      </c>
      <c r="C205" t="s">
        <v>587</v>
      </c>
      <c r="D205" t="s">
        <v>64</v>
      </c>
      <c r="E205" t="s">
        <v>22</v>
      </c>
      <c r="F205" t="s">
        <v>23</v>
      </c>
      <c r="G205">
        <v>1</v>
      </c>
      <c r="H205">
        <v>9791166300172</v>
      </c>
      <c r="I205" t="s">
        <v>24</v>
      </c>
      <c r="J205" t="s">
        <v>127</v>
      </c>
      <c r="K205" t="s">
        <v>119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2">
        <v>0.7</v>
      </c>
      <c r="S205">
        <v>441</v>
      </c>
      <c r="T205" t="s">
        <v>27</v>
      </c>
      <c r="U205">
        <v>441</v>
      </c>
      <c r="V205" s="7" t="s">
        <v>24</v>
      </c>
      <c r="W205" s="7" t="s">
        <v>119</v>
      </c>
    </row>
    <row r="206" spans="1:23" x14ac:dyDescent="0.4">
      <c r="A206" t="s">
        <v>262</v>
      </c>
      <c r="B206" t="s">
        <v>566</v>
      </c>
      <c r="C206" t="s">
        <v>588</v>
      </c>
      <c r="D206" t="s">
        <v>64</v>
      </c>
      <c r="E206" t="s">
        <v>22</v>
      </c>
      <c r="F206" t="s">
        <v>23</v>
      </c>
      <c r="G206">
        <v>1</v>
      </c>
      <c r="H206">
        <v>9791166300530</v>
      </c>
      <c r="I206" t="s">
        <v>24</v>
      </c>
      <c r="J206" t="s">
        <v>151</v>
      </c>
      <c r="K206" t="s">
        <v>119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  <c r="V206" s="7" t="s">
        <v>24</v>
      </c>
      <c r="W206" s="7" t="s">
        <v>119</v>
      </c>
    </row>
    <row r="207" spans="1:23" x14ac:dyDescent="0.4">
      <c r="A207" t="s">
        <v>262</v>
      </c>
      <c r="B207" t="s">
        <v>566</v>
      </c>
      <c r="C207" t="s">
        <v>589</v>
      </c>
      <c r="D207" t="s">
        <v>64</v>
      </c>
      <c r="E207" t="s">
        <v>22</v>
      </c>
      <c r="F207" t="s">
        <v>23</v>
      </c>
      <c r="G207">
        <v>1</v>
      </c>
      <c r="H207">
        <v>9791166300219</v>
      </c>
      <c r="I207" t="s">
        <v>24</v>
      </c>
      <c r="J207" t="s">
        <v>130</v>
      </c>
      <c r="K207" t="s">
        <v>119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  <c r="V207" s="7" t="s">
        <v>24</v>
      </c>
      <c r="W207" s="7" t="s">
        <v>119</v>
      </c>
    </row>
    <row r="208" spans="1:23" x14ac:dyDescent="0.4">
      <c r="A208" t="s">
        <v>262</v>
      </c>
      <c r="B208" t="s">
        <v>566</v>
      </c>
      <c r="C208" t="s">
        <v>593</v>
      </c>
      <c r="D208" t="s">
        <v>64</v>
      </c>
      <c r="E208" t="s">
        <v>22</v>
      </c>
      <c r="F208" t="s">
        <v>23</v>
      </c>
      <c r="G208">
        <v>1</v>
      </c>
      <c r="H208">
        <v>9791166300196</v>
      </c>
      <c r="I208" t="s">
        <v>24</v>
      </c>
      <c r="J208" t="s">
        <v>128</v>
      </c>
      <c r="K208" t="s">
        <v>119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  <c r="V208" s="7" t="s">
        <v>24</v>
      </c>
      <c r="W208" s="7" t="s">
        <v>119</v>
      </c>
    </row>
    <row r="209" spans="1:23" x14ac:dyDescent="0.4">
      <c r="A209" t="s">
        <v>262</v>
      </c>
      <c r="B209" t="s">
        <v>566</v>
      </c>
      <c r="C209" t="s">
        <v>595</v>
      </c>
      <c r="D209" t="s">
        <v>21</v>
      </c>
      <c r="E209" t="s">
        <v>22</v>
      </c>
      <c r="F209" t="s">
        <v>23</v>
      </c>
      <c r="G209">
        <v>1</v>
      </c>
      <c r="H209">
        <v>9791166300219</v>
      </c>
      <c r="I209" t="s">
        <v>24</v>
      </c>
      <c r="J209" t="s">
        <v>130</v>
      </c>
      <c r="K209" t="s">
        <v>119</v>
      </c>
      <c r="L209" t="s">
        <v>27</v>
      </c>
      <c r="M209" s="3">
        <v>3200</v>
      </c>
      <c r="N209" t="s">
        <v>27</v>
      </c>
      <c r="O209" s="3">
        <v>3200</v>
      </c>
      <c r="P209" s="3">
        <v>3200</v>
      </c>
      <c r="Q209" t="s">
        <v>30</v>
      </c>
      <c r="R209" s="2">
        <v>0.7</v>
      </c>
      <c r="S209" s="3">
        <v>2240</v>
      </c>
      <c r="T209" t="s">
        <v>27</v>
      </c>
      <c r="U209" s="3">
        <v>2240</v>
      </c>
      <c r="V209" s="7" t="s">
        <v>24</v>
      </c>
      <c r="W209" s="7" t="s">
        <v>119</v>
      </c>
    </row>
    <row r="210" spans="1:23" x14ac:dyDescent="0.4">
      <c r="A210" t="s">
        <v>262</v>
      </c>
      <c r="B210" t="s">
        <v>566</v>
      </c>
      <c r="C210" t="s">
        <v>596</v>
      </c>
      <c r="D210" t="s">
        <v>64</v>
      </c>
      <c r="E210" t="s">
        <v>22</v>
      </c>
      <c r="F210" t="s">
        <v>23</v>
      </c>
      <c r="G210">
        <v>1</v>
      </c>
      <c r="H210">
        <v>9791166300103</v>
      </c>
      <c r="I210" t="s">
        <v>24</v>
      </c>
      <c r="J210" t="s">
        <v>120</v>
      </c>
      <c r="K210" t="s">
        <v>119</v>
      </c>
      <c r="L210" t="s">
        <v>27</v>
      </c>
      <c r="M210">
        <v>630</v>
      </c>
      <c r="N210" t="s">
        <v>27</v>
      </c>
      <c r="O210">
        <v>630</v>
      </c>
      <c r="P210">
        <v>630</v>
      </c>
      <c r="Q210" t="s">
        <v>30</v>
      </c>
      <c r="R210" s="2">
        <v>0.7</v>
      </c>
      <c r="S210">
        <v>441</v>
      </c>
      <c r="T210" t="s">
        <v>27</v>
      </c>
      <c r="U210">
        <v>441</v>
      </c>
      <c r="V210" s="7" t="s">
        <v>24</v>
      </c>
      <c r="W210" s="7" t="s">
        <v>119</v>
      </c>
    </row>
    <row r="211" spans="1:23" x14ac:dyDescent="0.4">
      <c r="A211" t="s">
        <v>262</v>
      </c>
      <c r="B211" t="s">
        <v>566</v>
      </c>
      <c r="C211" t="s">
        <v>597</v>
      </c>
      <c r="D211" t="s">
        <v>64</v>
      </c>
      <c r="E211" t="s">
        <v>22</v>
      </c>
      <c r="F211" t="s">
        <v>23</v>
      </c>
      <c r="G211">
        <v>1</v>
      </c>
      <c r="H211">
        <v>9791166300103</v>
      </c>
      <c r="I211" t="s">
        <v>24</v>
      </c>
      <c r="J211" t="s">
        <v>120</v>
      </c>
      <c r="K211" t="s">
        <v>119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  <c r="V211" s="7" t="s">
        <v>24</v>
      </c>
      <c r="W211" s="7" t="s">
        <v>119</v>
      </c>
    </row>
    <row r="212" spans="1:23" x14ac:dyDescent="0.4">
      <c r="A212" t="s">
        <v>262</v>
      </c>
      <c r="B212" t="s">
        <v>566</v>
      </c>
      <c r="C212" t="s">
        <v>605</v>
      </c>
      <c r="D212" t="s">
        <v>64</v>
      </c>
      <c r="E212" t="s">
        <v>22</v>
      </c>
      <c r="F212" t="s">
        <v>23</v>
      </c>
      <c r="G212">
        <v>1</v>
      </c>
      <c r="H212">
        <v>9791166300226</v>
      </c>
      <c r="I212" t="s">
        <v>24</v>
      </c>
      <c r="J212" t="s">
        <v>131</v>
      </c>
      <c r="K212" t="s">
        <v>119</v>
      </c>
      <c r="L212" t="s">
        <v>27</v>
      </c>
      <c r="M212">
        <v>630</v>
      </c>
      <c r="N212" t="s">
        <v>27</v>
      </c>
      <c r="O212">
        <v>630</v>
      </c>
      <c r="P212">
        <v>630</v>
      </c>
      <c r="Q212" t="s">
        <v>30</v>
      </c>
      <c r="R212" s="2">
        <v>0.7</v>
      </c>
      <c r="S212">
        <v>441</v>
      </c>
      <c r="T212" t="s">
        <v>27</v>
      </c>
      <c r="U212">
        <v>441</v>
      </c>
      <c r="V212" s="7" t="s">
        <v>24</v>
      </c>
      <c r="W212" s="7" t="s">
        <v>119</v>
      </c>
    </row>
    <row r="213" spans="1:23" x14ac:dyDescent="0.4">
      <c r="A213" t="s">
        <v>262</v>
      </c>
      <c r="B213" t="s">
        <v>566</v>
      </c>
      <c r="C213" t="s">
        <v>606</v>
      </c>
      <c r="D213" t="s">
        <v>64</v>
      </c>
      <c r="E213" t="s">
        <v>22</v>
      </c>
      <c r="F213" t="s">
        <v>23</v>
      </c>
      <c r="G213">
        <v>1</v>
      </c>
      <c r="H213">
        <v>9791166300264</v>
      </c>
      <c r="I213" t="s">
        <v>24</v>
      </c>
      <c r="J213" t="s">
        <v>135</v>
      </c>
      <c r="K213" t="s">
        <v>119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  <c r="V213" s="7" t="s">
        <v>24</v>
      </c>
      <c r="W213" s="7" t="s">
        <v>119</v>
      </c>
    </row>
    <row r="214" spans="1:23" x14ac:dyDescent="0.4">
      <c r="A214" t="s">
        <v>262</v>
      </c>
      <c r="B214" t="s">
        <v>566</v>
      </c>
      <c r="C214" t="s">
        <v>607</v>
      </c>
      <c r="D214" t="s">
        <v>64</v>
      </c>
      <c r="E214" t="s">
        <v>22</v>
      </c>
      <c r="F214" t="s">
        <v>23</v>
      </c>
      <c r="G214">
        <v>1</v>
      </c>
      <c r="H214">
        <v>9791166300110</v>
      </c>
      <c r="I214" t="s">
        <v>24</v>
      </c>
      <c r="J214" t="s">
        <v>121</v>
      </c>
      <c r="K214" t="s">
        <v>119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  <c r="V214" s="7" t="s">
        <v>24</v>
      </c>
      <c r="W214" s="7" t="s">
        <v>119</v>
      </c>
    </row>
    <row r="215" spans="1:23" x14ac:dyDescent="0.4">
      <c r="A215" t="s">
        <v>262</v>
      </c>
      <c r="B215" t="s">
        <v>566</v>
      </c>
      <c r="C215" t="s">
        <v>608</v>
      </c>
      <c r="D215" t="s">
        <v>64</v>
      </c>
      <c r="E215" t="s">
        <v>22</v>
      </c>
      <c r="F215" t="s">
        <v>23</v>
      </c>
      <c r="G215">
        <v>1</v>
      </c>
      <c r="H215">
        <v>9791166300660</v>
      </c>
      <c r="I215" t="s">
        <v>24</v>
      </c>
      <c r="J215" t="s">
        <v>156</v>
      </c>
      <c r="K215" t="s">
        <v>119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  <c r="V215" s="7" t="s">
        <v>24</v>
      </c>
      <c r="W215" s="7" t="s">
        <v>119</v>
      </c>
    </row>
    <row r="216" spans="1:23" x14ac:dyDescent="0.4">
      <c r="A216" t="s">
        <v>262</v>
      </c>
      <c r="B216" t="s">
        <v>566</v>
      </c>
      <c r="C216" t="s">
        <v>609</v>
      </c>
      <c r="D216" t="s">
        <v>64</v>
      </c>
      <c r="E216" t="s">
        <v>22</v>
      </c>
      <c r="F216" t="s">
        <v>23</v>
      </c>
      <c r="G216">
        <v>1</v>
      </c>
      <c r="H216">
        <v>9791166300202</v>
      </c>
      <c r="I216" t="s">
        <v>24</v>
      </c>
      <c r="J216" t="s">
        <v>129</v>
      </c>
      <c r="K216" t="s">
        <v>119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  <c r="V216" s="7" t="s">
        <v>24</v>
      </c>
      <c r="W216" s="7" t="s">
        <v>119</v>
      </c>
    </row>
    <row r="217" spans="1:23" x14ac:dyDescent="0.4">
      <c r="A217" t="s">
        <v>262</v>
      </c>
      <c r="B217" t="s">
        <v>566</v>
      </c>
      <c r="C217" t="s">
        <v>610</v>
      </c>
      <c r="D217" t="s">
        <v>64</v>
      </c>
      <c r="E217" t="s">
        <v>22</v>
      </c>
      <c r="F217" t="s">
        <v>23</v>
      </c>
      <c r="G217">
        <v>1</v>
      </c>
      <c r="H217">
        <v>9791166300523</v>
      </c>
      <c r="I217" t="s">
        <v>24</v>
      </c>
      <c r="J217" t="s">
        <v>150</v>
      </c>
      <c r="K217" t="s">
        <v>119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  <c r="V217" s="7" t="s">
        <v>24</v>
      </c>
      <c r="W217" s="7" t="s">
        <v>119</v>
      </c>
    </row>
    <row r="218" spans="1:23" x14ac:dyDescent="0.4">
      <c r="A218" t="s">
        <v>262</v>
      </c>
      <c r="B218" t="s">
        <v>566</v>
      </c>
      <c r="C218" t="s">
        <v>612</v>
      </c>
      <c r="D218" t="s">
        <v>64</v>
      </c>
      <c r="E218" t="s">
        <v>22</v>
      </c>
      <c r="F218" t="s">
        <v>23</v>
      </c>
      <c r="G218">
        <v>1</v>
      </c>
      <c r="H218">
        <v>9791166300103</v>
      </c>
      <c r="I218" t="s">
        <v>24</v>
      </c>
      <c r="J218" t="s">
        <v>120</v>
      </c>
      <c r="K218" t="s">
        <v>119</v>
      </c>
      <c r="L218" t="s">
        <v>27</v>
      </c>
      <c r="M218">
        <v>630</v>
      </c>
      <c r="N218" t="s">
        <v>27</v>
      </c>
      <c r="O218">
        <v>630</v>
      </c>
      <c r="P218">
        <v>630</v>
      </c>
      <c r="Q218" t="s">
        <v>30</v>
      </c>
      <c r="R218" s="2">
        <v>0.7</v>
      </c>
      <c r="S218">
        <v>441</v>
      </c>
      <c r="T218" t="s">
        <v>27</v>
      </c>
      <c r="U218">
        <v>441</v>
      </c>
      <c r="V218" s="7" t="s">
        <v>24</v>
      </c>
      <c r="W218" s="7" t="s">
        <v>119</v>
      </c>
    </row>
    <row r="219" spans="1:23" x14ac:dyDescent="0.4">
      <c r="A219" t="s">
        <v>262</v>
      </c>
      <c r="B219" t="s">
        <v>566</v>
      </c>
      <c r="C219" t="s">
        <v>613</v>
      </c>
      <c r="D219" t="s">
        <v>64</v>
      </c>
      <c r="E219" t="s">
        <v>22</v>
      </c>
      <c r="F219" t="s">
        <v>23</v>
      </c>
      <c r="G219">
        <v>1</v>
      </c>
      <c r="H219">
        <v>9791166300134</v>
      </c>
      <c r="I219" t="s">
        <v>24</v>
      </c>
      <c r="J219" t="s">
        <v>123</v>
      </c>
      <c r="K219" t="s">
        <v>119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2">
        <v>0.7</v>
      </c>
      <c r="S219">
        <v>441</v>
      </c>
      <c r="T219" t="s">
        <v>27</v>
      </c>
      <c r="U219">
        <v>441</v>
      </c>
      <c r="V219" s="7" t="s">
        <v>24</v>
      </c>
      <c r="W219" s="7" t="s">
        <v>119</v>
      </c>
    </row>
    <row r="220" spans="1:23" x14ac:dyDescent="0.4">
      <c r="A220" t="s">
        <v>262</v>
      </c>
      <c r="B220" t="s">
        <v>566</v>
      </c>
      <c r="C220" t="s">
        <v>615</v>
      </c>
      <c r="D220" t="s">
        <v>64</v>
      </c>
      <c r="E220" t="s">
        <v>22</v>
      </c>
      <c r="F220" t="s">
        <v>23</v>
      </c>
      <c r="G220">
        <v>1</v>
      </c>
      <c r="H220">
        <v>9791166300639</v>
      </c>
      <c r="I220" t="s">
        <v>24</v>
      </c>
      <c r="J220" t="s">
        <v>165</v>
      </c>
      <c r="K220" t="s">
        <v>119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  <c r="V220" s="7" t="s">
        <v>24</v>
      </c>
      <c r="W220" s="7" t="s">
        <v>119</v>
      </c>
    </row>
    <row r="221" spans="1:23" x14ac:dyDescent="0.4">
      <c r="A221" t="s">
        <v>262</v>
      </c>
      <c r="B221" t="s">
        <v>566</v>
      </c>
      <c r="C221" t="s">
        <v>616</v>
      </c>
      <c r="D221" t="s">
        <v>64</v>
      </c>
      <c r="E221" t="s">
        <v>22</v>
      </c>
      <c r="F221" t="s">
        <v>23</v>
      </c>
      <c r="G221">
        <v>1</v>
      </c>
      <c r="H221">
        <v>9791166300691</v>
      </c>
      <c r="I221" t="s">
        <v>24</v>
      </c>
      <c r="J221" t="s">
        <v>152</v>
      </c>
      <c r="K221" t="s">
        <v>119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2">
        <v>0.7</v>
      </c>
      <c r="S221">
        <v>441</v>
      </c>
      <c r="T221" t="s">
        <v>27</v>
      </c>
      <c r="U221">
        <v>441</v>
      </c>
      <c r="V221" s="7" t="s">
        <v>24</v>
      </c>
      <c r="W221" s="7" t="s">
        <v>119</v>
      </c>
    </row>
    <row r="222" spans="1:23" x14ac:dyDescent="0.4">
      <c r="A222" t="s">
        <v>262</v>
      </c>
      <c r="B222" t="s">
        <v>566</v>
      </c>
      <c r="C222" t="s">
        <v>617</v>
      </c>
      <c r="D222" t="s">
        <v>64</v>
      </c>
      <c r="E222" t="s">
        <v>22</v>
      </c>
      <c r="F222" t="s">
        <v>23</v>
      </c>
      <c r="G222">
        <v>1</v>
      </c>
      <c r="H222">
        <v>9791166300196</v>
      </c>
      <c r="I222" t="s">
        <v>24</v>
      </c>
      <c r="J222" t="s">
        <v>128</v>
      </c>
      <c r="K222" t="s">
        <v>119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  <c r="V222" s="7" t="s">
        <v>24</v>
      </c>
      <c r="W222" s="7" t="s">
        <v>119</v>
      </c>
    </row>
    <row r="223" spans="1:23" x14ac:dyDescent="0.4">
      <c r="A223" t="s">
        <v>262</v>
      </c>
      <c r="B223" t="s">
        <v>566</v>
      </c>
      <c r="C223" t="s">
        <v>618</v>
      </c>
      <c r="D223" t="s">
        <v>64</v>
      </c>
      <c r="E223" t="s">
        <v>22</v>
      </c>
      <c r="F223" t="s">
        <v>23</v>
      </c>
      <c r="G223">
        <v>1</v>
      </c>
      <c r="H223">
        <v>9791166300622</v>
      </c>
      <c r="I223" t="s">
        <v>24</v>
      </c>
      <c r="J223" t="s">
        <v>164</v>
      </c>
      <c r="K223" t="s">
        <v>119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  <c r="V223" s="7" t="s">
        <v>24</v>
      </c>
      <c r="W223" s="7" t="s">
        <v>119</v>
      </c>
    </row>
    <row r="224" spans="1:23" x14ac:dyDescent="0.4">
      <c r="A224" t="s">
        <v>262</v>
      </c>
      <c r="B224" t="s">
        <v>566</v>
      </c>
      <c r="C224" t="s">
        <v>622</v>
      </c>
      <c r="D224" t="s">
        <v>64</v>
      </c>
      <c r="E224" t="s">
        <v>22</v>
      </c>
      <c r="F224" t="s">
        <v>23</v>
      </c>
      <c r="G224">
        <v>1</v>
      </c>
      <c r="H224">
        <v>9791166300639</v>
      </c>
      <c r="I224" t="s">
        <v>24</v>
      </c>
      <c r="J224" t="s">
        <v>165</v>
      </c>
      <c r="K224" t="s">
        <v>119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  <c r="V224" s="7" t="s">
        <v>24</v>
      </c>
      <c r="W224" s="7" t="s">
        <v>119</v>
      </c>
    </row>
    <row r="225" spans="1:23" x14ac:dyDescent="0.4">
      <c r="A225" t="s">
        <v>262</v>
      </c>
      <c r="B225" t="s">
        <v>566</v>
      </c>
      <c r="C225" t="s">
        <v>623</v>
      </c>
      <c r="D225" t="s">
        <v>64</v>
      </c>
      <c r="E225" t="s">
        <v>22</v>
      </c>
      <c r="F225" t="s">
        <v>23</v>
      </c>
      <c r="G225">
        <v>1</v>
      </c>
      <c r="H225">
        <v>9791166300608</v>
      </c>
      <c r="I225" t="s">
        <v>24</v>
      </c>
      <c r="J225" t="s">
        <v>162</v>
      </c>
      <c r="K225" t="s">
        <v>119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2">
        <v>0.7</v>
      </c>
      <c r="S225">
        <v>441</v>
      </c>
      <c r="T225" t="s">
        <v>27</v>
      </c>
      <c r="U225">
        <v>441</v>
      </c>
      <c r="V225" s="7" t="s">
        <v>24</v>
      </c>
      <c r="W225" s="7" t="s">
        <v>119</v>
      </c>
    </row>
    <row r="226" spans="1:23" x14ac:dyDescent="0.4">
      <c r="A226" t="s">
        <v>262</v>
      </c>
      <c r="B226" t="s">
        <v>566</v>
      </c>
      <c r="C226" t="s">
        <v>624</v>
      </c>
      <c r="D226" t="s">
        <v>64</v>
      </c>
      <c r="E226" t="s">
        <v>22</v>
      </c>
      <c r="F226" t="s">
        <v>23</v>
      </c>
      <c r="G226">
        <v>1</v>
      </c>
      <c r="H226">
        <v>9791166300653</v>
      </c>
      <c r="I226" t="s">
        <v>24</v>
      </c>
      <c r="J226" t="s">
        <v>157</v>
      </c>
      <c r="K226" t="s">
        <v>119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  <c r="V226" s="7" t="s">
        <v>24</v>
      </c>
      <c r="W226" s="7" t="s">
        <v>119</v>
      </c>
    </row>
    <row r="227" spans="1:23" x14ac:dyDescent="0.4">
      <c r="A227" t="s">
        <v>262</v>
      </c>
      <c r="B227" t="s">
        <v>566</v>
      </c>
      <c r="C227" t="s">
        <v>625</v>
      </c>
      <c r="D227" t="s">
        <v>21</v>
      </c>
      <c r="E227" t="s">
        <v>22</v>
      </c>
      <c r="F227" t="s">
        <v>23</v>
      </c>
      <c r="G227">
        <v>1</v>
      </c>
      <c r="H227">
        <v>9791166300226</v>
      </c>
      <c r="I227" t="s">
        <v>24</v>
      </c>
      <c r="J227" t="s">
        <v>131</v>
      </c>
      <c r="K227" t="s">
        <v>119</v>
      </c>
      <c r="L227" t="s">
        <v>27</v>
      </c>
      <c r="M227" s="3">
        <v>3200</v>
      </c>
      <c r="N227" t="s">
        <v>27</v>
      </c>
      <c r="O227" s="3">
        <v>3200</v>
      </c>
      <c r="P227" s="3">
        <v>3200</v>
      </c>
      <c r="Q227" t="s">
        <v>30</v>
      </c>
      <c r="R227" s="2">
        <v>0.7</v>
      </c>
      <c r="S227" s="3">
        <v>2240</v>
      </c>
      <c r="T227" t="s">
        <v>27</v>
      </c>
      <c r="U227" s="3">
        <v>2240</v>
      </c>
      <c r="V227" s="7" t="s">
        <v>24</v>
      </c>
      <c r="W227" s="7" t="s">
        <v>119</v>
      </c>
    </row>
    <row r="228" spans="1:23" x14ac:dyDescent="0.4">
      <c r="A228" t="s">
        <v>262</v>
      </c>
      <c r="B228" t="s">
        <v>566</v>
      </c>
      <c r="C228" t="s">
        <v>627</v>
      </c>
      <c r="D228" t="s">
        <v>64</v>
      </c>
      <c r="E228" t="s">
        <v>22</v>
      </c>
      <c r="F228" t="s">
        <v>23</v>
      </c>
      <c r="G228">
        <v>1</v>
      </c>
      <c r="H228">
        <v>9791166300639</v>
      </c>
      <c r="I228" t="s">
        <v>24</v>
      </c>
      <c r="J228" t="s">
        <v>165</v>
      </c>
      <c r="K228" t="s">
        <v>119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  <c r="V228" s="7" t="s">
        <v>24</v>
      </c>
      <c r="W228" s="7" t="s">
        <v>119</v>
      </c>
    </row>
    <row r="229" spans="1:23" x14ac:dyDescent="0.4">
      <c r="A229" t="s">
        <v>262</v>
      </c>
      <c r="B229" t="s">
        <v>566</v>
      </c>
      <c r="C229" t="s">
        <v>628</v>
      </c>
      <c r="D229" t="s">
        <v>64</v>
      </c>
      <c r="E229" t="s">
        <v>22</v>
      </c>
      <c r="F229" t="s">
        <v>23</v>
      </c>
      <c r="G229">
        <v>1</v>
      </c>
      <c r="H229">
        <v>9791166300462</v>
      </c>
      <c r="I229" t="s">
        <v>24</v>
      </c>
      <c r="J229" t="s">
        <v>144</v>
      </c>
      <c r="K229" t="s">
        <v>119</v>
      </c>
      <c r="L229" t="s">
        <v>27</v>
      </c>
      <c r="M229">
        <v>630</v>
      </c>
      <c r="N229" t="s">
        <v>27</v>
      </c>
      <c r="O229">
        <v>630</v>
      </c>
      <c r="P229">
        <v>630</v>
      </c>
      <c r="Q229" t="s">
        <v>30</v>
      </c>
      <c r="R229" s="2">
        <v>0.7</v>
      </c>
      <c r="S229">
        <v>441</v>
      </c>
      <c r="T229" t="s">
        <v>27</v>
      </c>
      <c r="U229">
        <v>441</v>
      </c>
      <c r="V229" s="7" t="s">
        <v>24</v>
      </c>
      <c r="W229" s="7" t="s">
        <v>119</v>
      </c>
    </row>
    <row r="230" spans="1:23" x14ac:dyDescent="0.4">
      <c r="A230" t="s">
        <v>262</v>
      </c>
      <c r="B230" t="s">
        <v>566</v>
      </c>
      <c r="C230" t="s">
        <v>629</v>
      </c>
      <c r="D230" t="s">
        <v>64</v>
      </c>
      <c r="E230" t="s">
        <v>22</v>
      </c>
      <c r="F230" t="s">
        <v>23</v>
      </c>
      <c r="G230">
        <v>1</v>
      </c>
      <c r="H230">
        <v>9791166300127</v>
      </c>
      <c r="I230" t="s">
        <v>24</v>
      </c>
      <c r="J230" t="s">
        <v>122</v>
      </c>
      <c r="K230" t="s">
        <v>119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  <c r="V230" s="7" t="s">
        <v>24</v>
      </c>
      <c r="W230" s="7" t="s">
        <v>119</v>
      </c>
    </row>
    <row r="231" spans="1:23" x14ac:dyDescent="0.4">
      <c r="A231" t="s">
        <v>262</v>
      </c>
      <c r="B231" t="s">
        <v>566</v>
      </c>
      <c r="C231" t="s">
        <v>631</v>
      </c>
      <c r="D231" t="s">
        <v>64</v>
      </c>
      <c r="E231" t="s">
        <v>22</v>
      </c>
      <c r="F231" t="s">
        <v>23</v>
      </c>
      <c r="G231">
        <v>1</v>
      </c>
      <c r="H231">
        <v>9791166300646</v>
      </c>
      <c r="I231" t="s">
        <v>24</v>
      </c>
      <c r="J231" t="s">
        <v>155</v>
      </c>
      <c r="K231" t="s">
        <v>119</v>
      </c>
      <c r="L231" t="s">
        <v>27</v>
      </c>
      <c r="M231">
        <v>630</v>
      </c>
      <c r="N231" t="s">
        <v>27</v>
      </c>
      <c r="O231">
        <v>630</v>
      </c>
      <c r="P231">
        <v>630</v>
      </c>
      <c r="Q231" t="s">
        <v>30</v>
      </c>
      <c r="R231" s="2">
        <v>0.7</v>
      </c>
      <c r="S231">
        <v>441</v>
      </c>
      <c r="T231" t="s">
        <v>27</v>
      </c>
      <c r="U231">
        <v>441</v>
      </c>
      <c r="V231" s="7" t="s">
        <v>24</v>
      </c>
      <c r="W231" s="7" t="s">
        <v>119</v>
      </c>
    </row>
    <row r="232" spans="1:23" x14ac:dyDescent="0.4">
      <c r="A232" t="s">
        <v>262</v>
      </c>
      <c r="B232" t="s">
        <v>566</v>
      </c>
      <c r="C232" t="s">
        <v>634</v>
      </c>
      <c r="D232" t="s">
        <v>64</v>
      </c>
      <c r="E232" t="s">
        <v>22</v>
      </c>
      <c r="F232" t="s">
        <v>23</v>
      </c>
      <c r="G232">
        <v>1</v>
      </c>
      <c r="H232">
        <v>9791166300691</v>
      </c>
      <c r="I232" t="s">
        <v>24</v>
      </c>
      <c r="J232" t="s">
        <v>152</v>
      </c>
      <c r="K232" t="s">
        <v>119</v>
      </c>
      <c r="L232" t="s">
        <v>27</v>
      </c>
      <c r="M232">
        <v>630</v>
      </c>
      <c r="N232" t="s">
        <v>27</v>
      </c>
      <c r="O232">
        <v>630</v>
      </c>
      <c r="P232">
        <v>630</v>
      </c>
      <c r="Q232" t="s">
        <v>30</v>
      </c>
      <c r="R232" s="2">
        <v>0.7</v>
      </c>
      <c r="S232">
        <v>441</v>
      </c>
      <c r="T232" t="s">
        <v>27</v>
      </c>
      <c r="U232">
        <v>441</v>
      </c>
      <c r="V232" s="7" t="s">
        <v>24</v>
      </c>
      <c r="W232" s="7" t="s">
        <v>119</v>
      </c>
    </row>
    <row r="233" spans="1:23" x14ac:dyDescent="0.4">
      <c r="A233" t="s">
        <v>262</v>
      </c>
      <c r="B233" t="s">
        <v>566</v>
      </c>
      <c r="C233" t="s">
        <v>636</v>
      </c>
      <c r="D233" t="s">
        <v>64</v>
      </c>
      <c r="E233" t="s">
        <v>22</v>
      </c>
      <c r="F233" t="s">
        <v>23</v>
      </c>
      <c r="G233">
        <v>1</v>
      </c>
      <c r="H233">
        <v>9791166300660</v>
      </c>
      <c r="I233" t="s">
        <v>24</v>
      </c>
      <c r="J233" t="s">
        <v>156</v>
      </c>
      <c r="K233" t="s">
        <v>119</v>
      </c>
      <c r="L233" t="s">
        <v>27</v>
      </c>
      <c r="M233">
        <v>630</v>
      </c>
      <c r="N233" t="s">
        <v>27</v>
      </c>
      <c r="O233">
        <v>630</v>
      </c>
      <c r="P233">
        <v>630</v>
      </c>
      <c r="Q233" t="s">
        <v>30</v>
      </c>
      <c r="R233" s="2">
        <v>0.7</v>
      </c>
      <c r="S233">
        <v>441</v>
      </c>
      <c r="T233" t="s">
        <v>27</v>
      </c>
      <c r="U233">
        <v>441</v>
      </c>
      <c r="V233" s="7" t="s">
        <v>24</v>
      </c>
      <c r="W233" s="7" t="s">
        <v>119</v>
      </c>
    </row>
    <row r="234" spans="1:23" x14ac:dyDescent="0.4">
      <c r="A234" t="s">
        <v>262</v>
      </c>
      <c r="B234" t="s">
        <v>566</v>
      </c>
      <c r="C234" t="s">
        <v>638</v>
      </c>
      <c r="D234" t="s">
        <v>64</v>
      </c>
      <c r="E234" t="s">
        <v>22</v>
      </c>
      <c r="F234" t="s">
        <v>23</v>
      </c>
      <c r="G234">
        <v>1</v>
      </c>
      <c r="H234">
        <v>9791166300653</v>
      </c>
      <c r="I234" t="s">
        <v>24</v>
      </c>
      <c r="J234" t="s">
        <v>157</v>
      </c>
      <c r="K234" t="s">
        <v>119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2">
        <v>0.7</v>
      </c>
      <c r="S234">
        <v>441</v>
      </c>
      <c r="T234" t="s">
        <v>27</v>
      </c>
      <c r="U234">
        <v>441</v>
      </c>
      <c r="V234" s="7" t="s">
        <v>24</v>
      </c>
      <c r="W234" s="7" t="s">
        <v>119</v>
      </c>
    </row>
    <row r="235" spans="1:23" x14ac:dyDescent="0.4">
      <c r="A235" t="s">
        <v>262</v>
      </c>
      <c r="B235" t="s">
        <v>566</v>
      </c>
      <c r="C235" t="s">
        <v>639</v>
      </c>
      <c r="D235" t="s">
        <v>64</v>
      </c>
      <c r="E235" t="s">
        <v>22</v>
      </c>
      <c r="F235" t="s">
        <v>23</v>
      </c>
      <c r="G235">
        <v>1</v>
      </c>
      <c r="H235">
        <v>9791166300110</v>
      </c>
      <c r="I235" t="s">
        <v>24</v>
      </c>
      <c r="J235" t="s">
        <v>121</v>
      </c>
      <c r="K235" t="s">
        <v>119</v>
      </c>
      <c r="L235" t="s">
        <v>27</v>
      </c>
      <c r="M235">
        <v>630</v>
      </c>
      <c r="N235" t="s">
        <v>27</v>
      </c>
      <c r="O235">
        <v>630</v>
      </c>
      <c r="P235">
        <v>630</v>
      </c>
      <c r="Q235" t="s">
        <v>30</v>
      </c>
      <c r="R235" s="2">
        <v>0.7</v>
      </c>
      <c r="S235">
        <v>441</v>
      </c>
      <c r="T235" t="s">
        <v>27</v>
      </c>
      <c r="U235">
        <v>441</v>
      </c>
      <c r="V235" s="7" t="s">
        <v>24</v>
      </c>
      <c r="W235" s="7" t="s">
        <v>119</v>
      </c>
    </row>
    <row r="236" spans="1:23" x14ac:dyDescent="0.4">
      <c r="A236" t="s">
        <v>262</v>
      </c>
      <c r="B236" t="s">
        <v>566</v>
      </c>
      <c r="C236" t="s">
        <v>642</v>
      </c>
      <c r="D236" t="s">
        <v>64</v>
      </c>
      <c r="E236" t="s">
        <v>22</v>
      </c>
      <c r="F236" t="s">
        <v>23</v>
      </c>
      <c r="G236">
        <v>1</v>
      </c>
      <c r="H236">
        <v>9791166300202</v>
      </c>
      <c r="I236" t="s">
        <v>24</v>
      </c>
      <c r="J236" t="s">
        <v>129</v>
      </c>
      <c r="K236" t="s">
        <v>119</v>
      </c>
      <c r="L236" t="s">
        <v>27</v>
      </c>
      <c r="M236">
        <v>630</v>
      </c>
      <c r="N236" t="s">
        <v>27</v>
      </c>
      <c r="O236">
        <v>630</v>
      </c>
      <c r="P236">
        <v>630</v>
      </c>
      <c r="Q236" t="s">
        <v>30</v>
      </c>
      <c r="R236" s="2">
        <v>0.7</v>
      </c>
      <c r="S236">
        <v>441</v>
      </c>
      <c r="T236" t="s">
        <v>27</v>
      </c>
      <c r="U236">
        <v>441</v>
      </c>
      <c r="V236" s="7" t="s">
        <v>24</v>
      </c>
      <c r="W236" s="7" t="s">
        <v>119</v>
      </c>
    </row>
    <row r="237" spans="1:23" x14ac:dyDescent="0.4">
      <c r="A237" t="s">
        <v>262</v>
      </c>
      <c r="B237" t="s">
        <v>566</v>
      </c>
      <c r="C237" t="s">
        <v>643</v>
      </c>
      <c r="D237" t="s">
        <v>64</v>
      </c>
      <c r="E237" t="s">
        <v>22</v>
      </c>
      <c r="F237" t="s">
        <v>23</v>
      </c>
      <c r="G237">
        <v>1</v>
      </c>
      <c r="H237">
        <v>9791166300257</v>
      </c>
      <c r="I237" t="s">
        <v>24</v>
      </c>
      <c r="J237" t="s">
        <v>134</v>
      </c>
      <c r="K237" t="s">
        <v>119</v>
      </c>
      <c r="L237" t="s">
        <v>27</v>
      </c>
      <c r="M237">
        <v>630</v>
      </c>
      <c r="N237" t="s">
        <v>27</v>
      </c>
      <c r="O237">
        <v>630</v>
      </c>
      <c r="P237">
        <v>630</v>
      </c>
      <c r="Q237" t="s">
        <v>30</v>
      </c>
      <c r="R237" s="2">
        <v>0.7</v>
      </c>
      <c r="S237">
        <v>441</v>
      </c>
      <c r="T237" t="s">
        <v>27</v>
      </c>
      <c r="U237">
        <v>441</v>
      </c>
      <c r="V237" s="7" t="s">
        <v>24</v>
      </c>
      <c r="W237" s="7" t="s">
        <v>119</v>
      </c>
    </row>
    <row r="238" spans="1:23" x14ac:dyDescent="0.4">
      <c r="A238" t="s">
        <v>262</v>
      </c>
      <c r="B238" t="s">
        <v>566</v>
      </c>
      <c r="C238" t="s">
        <v>644</v>
      </c>
      <c r="D238" t="s">
        <v>64</v>
      </c>
      <c r="E238" t="s">
        <v>22</v>
      </c>
      <c r="F238" t="s">
        <v>23</v>
      </c>
      <c r="G238">
        <v>1</v>
      </c>
      <c r="H238">
        <v>9791166300691</v>
      </c>
      <c r="I238" t="s">
        <v>24</v>
      </c>
      <c r="J238" t="s">
        <v>152</v>
      </c>
      <c r="K238" t="s">
        <v>119</v>
      </c>
      <c r="L238" t="s">
        <v>27</v>
      </c>
      <c r="M238">
        <v>630</v>
      </c>
      <c r="N238" t="s">
        <v>27</v>
      </c>
      <c r="O238">
        <v>630</v>
      </c>
      <c r="P238">
        <v>630</v>
      </c>
      <c r="Q238" t="s">
        <v>30</v>
      </c>
      <c r="R238" s="2">
        <v>0.7</v>
      </c>
      <c r="S238">
        <v>441</v>
      </c>
      <c r="T238" t="s">
        <v>27</v>
      </c>
      <c r="U238">
        <v>441</v>
      </c>
      <c r="V238" s="7" t="s">
        <v>24</v>
      </c>
      <c r="W238" s="7" t="s">
        <v>119</v>
      </c>
    </row>
    <row r="239" spans="1:23" x14ac:dyDescent="0.4">
      <c r="A239" t="s">
        <v>262</v>
      </c>
      <c r="B239" t="s">
        <v>566</v>
      </c>
      <c r="C239" t="s">
        <v>645</v>
      </c>
      <c r="D239" t="s">
        <v>64</v>
      </c>
      <c r="E239" t="s">
        <v>22</v>
      </c>
      <c r="F239" t="s">
        <v>23</v>
      </c>
      <c r="G239">
        <v>1</v>
      </c>
      <c r="H239">
        <v>9791166300134</v>
      </c>
      <c r="I239" t="s">
        <v>24</v>
      </c>
      <c r="J239" t="s">
        <v>123</v>
      </c>
      <c r="K239" t="s">
        <v>119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  <c r="V239" s="7" t="s">
        <v>24</v>
      </c>
      <c r="W239" s="7" t="s">
        <v>119</v>
      </c>
    </row>
    <row r="240" spans="1:23" x14ac:dyDescent="0.4">
      <c r="A240" t="s">
        <v>262</v>
      </c>
      <c r="B240" t="s">
        <v>647</v>
      </c>
      <c r="C240" t="s">
        <v>648</v>
      </c>
      <c r="D240" t="s">
        <v>21</v>
      </c>
      <c r="E240" t="s">
        <v>22</v>
      </c>
      <c r="F240" t="s">
        <v>23</v>
      </c>
      <c r="G240">
        <v>1</v>
      </c>
      <c r="H240">
        <v>9791166300233</v>
      </c>
      <c r="I240" t="s">
        <v>24</v>
      </c>
      <c r="J240" t="s">
        <v>132</v>
      </c>
      <c r="K240" t="s">
        <v>119</v>
      </c>
      <c r="L240" t="s">
        <v>27</v>
      </c>
      <c r="M240" s="3">
        <v>3200</v>
      </c>
      <c r="N240" t="s">
        <v>27</v>
      </c>
      <c r="O240" s="3">
        <v>3200</v>
      </c>
      <c r="P240" s="3">
        <v>3200</v>
      </c>
      <c r="Q240" t="s">
        <v>30</v>
      </c>
      <c r="R240" s="2">
        <v>0.7</v>
      </c>
      <c r="S240" s="3">
        <v>2240</v>
      </c>
      <c r="T240" t="s">
        <v>27</v>
      </c>
      <c r="U240" s="3">
        <v>2240</v>
      </c>
      <c r="V240" s="7" t="s">
        <v>24</v>
      </c>
      <c r="W240" s="7" t="s">
        <v>119</v>
      </c>
    </row>
    <row r="241" spans="1:23" x14ac:dyDescent="0.4">
      <c r="A241" t="s">
        <v>262</v>
      </c>
      <c r="B241" t="s">
        <v>647</v>
      </c>
      <c r="C241" t="s">
        <v>650</v>
      </c>
      <c r="D241" t="s">
        <v>64</v>
      </c>
      <c r="E241" t="s">
        <v>22</v>
      </c>
      <c r="F241" t="s">
        <v>23</v>
      </c>
      <c r="G241">
        <v>1</v>
      </c>
      <c r="H241">
        <v>9791166300110</v>
      </c>
      <c r="I241" t="s">
        <v>24</v>
      </c>
      <c r="J241" t="s">
        <v>121</v>
      </c>
      <c r="K241" t="s">
        <v>119</v>
      </c>
      <c r="L241" t="s">
        <v>27</v>
      </c>
      <c r="M241">
        <v>630</v>
      </c>
      <c r="N241" t="s">
        <v>27</v>
      </c>
      <c r="O241">
        <v>630</v>
      </c>
      <c r="P241">
        <v>630</v>
      </c>
      <c r="Q241" t="s">
        <v>30</v>
      </c>
      <c r="R241" s="2">
        <v>0.7</v>
      </c>
      <c r="S241">
        <v>441</v>
      </c>
      <c r="T241" t="s">
        <v>27</v>
      </c>
      <c r="U241">
        <v>441</v>
      </c>
      <c r="V241" s="7" t="s">
        <v>24</v>
      </c>
      <c r="W241" s="7" t="s">
        <v>119</v>
      </c>
    </row>
    <row r="242" spans="1:23" x14ac:dyDescent="0.4">
      <c r="A242" t="s">
        <v>262</v>
      </c>
      <c r="B242" t="s">
        <v>647</v>
      </c>
      <c r="C242" t="s">
        <v>652</v>
      </c>
      <c r="D242" t="s">
        <v>64</v>
      </c>
      <c r="E242" t="s">
        <v>22</v>
      </c>
      <c r="F242" t="s">
        <v>23</v>
      </c>
      <c r="G242">
        <v>1</v>
      </c>
      <c r="H242">
        <v>9791166300219</v>
      </c>
      <c r="I242" t="s">
        <v>24</v>
      </c>
      <c r="J242" t="s">
        <v>130</v>
      </c>
      <c r="K242" t="s">
        <v>119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2">
        <v>0.7</v>
      </c>
      <c r="S242">
        <v>441</v>
      </c>
      <c r="T242" t="s">
        <v>27</v>
      </c>
      <c r="U242">
        <v>441</v>
      </c>
      <c r="V242" s="7" t="s">
        <v>24</v>
      </c>
      <c r="W242" s="7" t="s">
        <v>119</v>
      </c>
    </row>
    <row r="243" spans="1:23" x14ac:dyDescent="0.4">
      <c r="A243" t="s">
        <v>262</v>
      </c>
      <c r="B243" t="s">
        <v>647</v>
      </c>
      <c r="C243" t="s">
        <v>653</v>
      </c>
      <c r="D243" t="s">
        <v>64</v>
      </c>
      <c r="E243" t="s">
        <v>22</v>
      </c>
      <c r="F243" t="s">
        <v>23</v>
      </c>
      <c r="G243">
        <v>1</v>
      </c>
      <c r="H243">
        <v>9791166300271</v>
      </c>
      <c r="I243" t="s">
        <v>24</v>
      </c>
      <c r="J243" t="s">
        <v>136</v>
      </c>
      <c r="K243" t="s">
        <v>119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  <c r="V243" s="7" t="s">
        <v>24</v>
      </c>
      <c r="W243" s="7" t="s">
        <v>119</v>
      </c>
    </row>
    <row r="244" spans="1:23" x14ac:dyDescent="0.4">
      <c r="A244" t="s">
        <v>262</v>
      </c>
      <c r="B244" t="s">
        <v>647</v>
      </c>
      <c r="C244" t="s">
        <v>656</v>
      </c>
      <c r="D244" t="s">
        <v>64</v>
      </c>
      <c r="E244" t="s">
        <v>22</v>
      </c>
      <c r="F244" t="s">
        <v>23</v>
      </c>
      <c r="G244">
        <v>1</v>
      </c>
      <c r="H244">
        <v>9791166300127</v>
      </c>
      <c r="I244" t="s">
        <v>24</v>
      </c>
      <c r="J244" t="s">
        <v>122</v>
      </c>
      <c r="K244" t="s">
        <v>119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2">
        <v>0.7</v>
      </c>
      <c r="S244">
        <v>441</v>
      </c>
      <c r="T244" t="s">
        <v>27</v>
      </c>
      <c r="U244">
        <v>441</v>
      </c>
      <c r="V244" s="7" t="s">
        <v>24</v>
      </c>
      <c r="W244" s="7" t="s">
        <v>119</v>
      </c>
    </row>
    <row r="245" spans="1:23" x14ac:dyDescent="0.4">
      <c r="A245" t="s">
        <v>262</v>
      </c>
      <c r="B245" t="s">
        <v>647</v>
      </c>
      <c r="C245" t="s">
        <v>663</v>
      </c>
      <c r="D245" t="s">
        <v>64</v>
      </c>
      <c r="E245" t="s">
        <v>22</v>
      </c>
      <c r="F245" t="s">
        <v>23</v>
      </c>
      <c r="G245">
        <v>1</v>
      </c>
      <c r="H245">
        <v>9791166300486</v>
      </c>
      <c r="I245" t="s">
        <v>24</v>
      </c>
      <c r="J245" t="s">
        <v>146</v>
      </c>
      <c r="K245" t="s">
        <v>119</v>
      </c>
      <c r="L245" t="s">
        <v>27</v>
      </c>
      <c r="M245">
        <v>630</v>
      </c>
      <c r="N245" t="s">
        <v>27</v>
      </c>
      <c r="O245">
        <v>630</v>
      </c>
      <c r="P245">
        <v>630</v>
      </c>
      <c r="Q245" t="s">
        <v>30</v>
      </c>
      <c r="R245" s="2">
        <v>0.7</v>
      </c>
      <c r="S245">
        <v>441</v>
      </c>
      <c r="T245" t="s">
        <v>27</v>
      </c>
      <c r="U245">
        <v>441</v>
      </c>
      <c r="V245" s="7" t="s">
        <v>24</v>
      </c>
      <c r="W245" s="7" t="s">
        <v>119</v>
      </c>
    </row>
    <row r="246" spans="1:23" x14ac:dyDescent="0.4">
      <c r="A246" t="s">
        <v>262</v>
      </c>
      <c r="B246" t="s">
        <v>647</v>
      </c>
      <c r="C246" t="s">
        <v>665</v>
      </c>
      <c r="D246" t="s">
        <v>64</v>
      </c>
      <c r="E246" t="s">
        <v>22</v>
      </c>
      <c r="F246" t="s">
        <v>23</v>
      </c>
      <c r="G246">
        <v>1</v>
      </c>
      <c r="H246">
        <v>9791166300141</v>
      </c>
      <c r="I246" t="s">
        <v>24</v>
      </c>
      <c r="J246" t="s">
        <v>124</v>
      </c>
      <c r="K246" t="s">
        <v>119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2">
        <v>0.7</v>
      </c>
      <c r="S246">
        <v>441</v>
      </c>
      <c r="T246" t="s">
        <v>27</v>
      </c>
      <c r="U246">
        <v>441</v>
      </c>
      <c r="V246" s="7" t="s">
        <v>24</v>
      </c>
      <c r="W246" s="7" t="s">
        <v>119</v>
      </c>
    </row>
    <row r="247" spans="1:23" x14ac:dyDescent="0.4">
      <c r="A247" t="s">
        <v>262</v>
      </c>
      <c r="B247" t="s">
        <v>647</v>
      </c>
      <c r="C247" t="s">
        <v>667</v>
      </c>
      <c r="D247" t="s">
        <v>64</v>
      </c>
      <c r="E247" t="s">
        <v>22</v>
      </c>
      <c r="F247" t="s">
        <v>23</v>
      </c>
      <c r="G247">
        <v>1</v>
      </c>
      <c r="H247">
        <v>9791166300103</v>
      </c>
      <c r="I247" t="s">
        <v>24</v>
      </c>
      <c r="J247" t="s">
        <v>120</v>
      </c>
      <c r="K247" t="s">
        <v>119</v>
      </c>
      <c r="L247" t="s">
        <v>27</v>
      </c>
      <c r="M247">
        <v>630</v>
      </c>
      <c r="N247" t="s">
        <v>27</v>
      </c>
      <c r="O247">
        <v>630</v>
      </c>
      <c r="P247">
        <v>630</v>
      </c>
      <c r="Q247" t="s">
        <v>30</v>
      </c>
      <c r="R247" s="2">
        <v>0.7</v>
      </c>
      <c r="S247">
        <v>441</v>
      </c>
      <c r="T247" t="s">
        <v>27</v>
      </c>
      <c r="U247">
        <v>441</v>
      </c>
      <c r="V247" s="7" t="s">
        <v>24</v>
      </c>
      <c r="W247" s="7" t="s">
        <v>119</v>
      </c>
    </row>
    <row r="248" spans="1:23" x14ac:dyDescent="0.4">
      <c r="A248" t="s">
        <v>262</v>
      </c>
      <c r="B248" t="s">
        <v>647</v>
      </c>
      <c r="C248" t="s">
        <v>668</v>
      </c>
      <c r="D248" t="s">
        <v>64</v>
      </c>
      <c r="E248" t="s">
        <v>22</v>
      </c>
      <c r="F248" t="s">
        <v>23</v>
      </c>
      <c r="G248">
        <v>1</v>
      </c>
      <c r="H248">
        <v>9791166300486</v>
      </c>
      <c r="I248" t="s">
        <v>24</v>
      </c>
      <c r="J248" t="s">
        <v>146</v>
      </c>
      <c r="K248" t="s">
        <v>119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2">
        <v>0.7</v>
      </c>
      <c r="S248">
        <v>441</v>
      </c>
      <c r="T248" t="s">
        <v>27</v>
      </c>
      <c r="U248">
        <v>441</v>
      </c>
      <c r="V248" s="7" t="s">
        <v>24</v>
      </c>
      <c r="W248" s="7" t="s">
        <v>119</v>
      </c>
    </row>
    <row r="249" spans="1:23" x14ac:dyDescent="0.4">
      <c r="A249" t="s">
        <v>262</v>
      </c>
      <c r="B249" t="s">
        <v>647</v>
      </c>
      <c r="C249" t="s">
        <v>669</v>
      </c>
      <c r="D249" t="s">
        <v>64</v>
      </c>
      <c r="E249" t="s">
        <v>22</v>
      </c>
      <c r="F249" t="s">
        <v>23</v>
      </c>
      <c r="G249">
        <v>1</v>
      </c>
      <c r="H249">
        <v>9791166300110</v>
      </c>
      <c r="I249" t="s">
        <v>24</v>
      </c>
      <c r="J249" t="s">
        <v>121</v>
      </c>
      <c r="K249" t="s">
        <v>119</v>
      </c>
      <c r="L249" t="s">
        <v>27</v>
      </c>
      <c r="M249">
        <v>630</v>
      </c>
      <c r="N249" t="s">
        <v>27</v>
      </c>
      <c r="O249">
        <v>630</v>
      </c>
      <c r="P249">
        <v>630</v>
      </c>
      <c r="Q249" t="s">
        <v>30</v>
      </c>
      <c r="R249" s="2">
        <v>0.7</v>
      </c>
      <c r="S249">
        <v>441</v>
      </c>
      <c r="T249" t="s">
        <v>27</v>
      </c>
      <c r="U249">
        <v>441</v>
      </c>
      <c r="V249" s="7" t="s">
        <v>24</v>
      </c>
      <c r="W249" s="7" t="s">
        <v>119</v>
      </c>
    </row>
    <row r="250" spans="1:23" x14ac:dyDescent="0.4">
      <c r="A250" t="s">
        <v>262</v>
      </c>
      <c r="B250" t="s">
        <v>647</v>
      </c>
      <c r="C250" t="s">
        <v>670</v>
      </c>
      <c r="D250" t="s">
        <v>64</v>
      </c>
      <c r="E250" t="s">
        <v>22</v>
      </c>
      <c r="F250" t="s">
        <v>23</v>
      </c>
      <c r="G250">
        <v>1</v>
      </c>
      <c r="H250">
        <v>9791166300158</v>
      </c>
      <c r="I250" t="s">
        <v>24</v>
      </c>
      <c r="J250" t="s">
        <v>125</v>
      </c>
      <c r="K250" t="s">
        <v>119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  <c r="V250" s="7" t="s">
        <v>24</v>
      </c>
      <c r="W250" s="7" t="s">
        <v>119</v>
      </c>
    </row>
    <row r="251" spans="1:23" x14ac:dyDescent="0.4">
      <c r="A251" t="s">
        <v>262</v>
      </c>
      <c r="B251" t="s">
        <v>647</v>
      </c>
      <c r="C251" t="s">
        <v>675</v>
      </c>
      <c r="D251" t="s">
        <v>64</v>
      </c>
      <c r="E251" t="s">
        <v>22</v>
      </c>
      <c r="F251" t="s">
        <v>23</v>
      </c>
      <c r="G251">
        <v>1</v>
      </c>
      <c r="H251">
        <v>9791166300646</v>
      </c>
      <c r="I251" t="s">
        <v>24</v>
      </c>
      <c r="J251" t="s">
        <v>155</v>
      </c>
      <c r="K251" t="s">
        <v>119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  <c r="V251" s="7" t="s">
        <v>24</v>
      </c>
      <c r="W251" s="7" t="s">
        <v>119</v>
      </c>
    </row>
    <row r="252" spans="1:23" x14ac:dyDescent="0.4">
      <c r="A252" t="s">
        <v>262</v>
      </c>
      <c r="B252" t="s">
        <v>647</v>
      </c>
      <c r="C252" t="s">
        <v>676</v>
      </c>
      <c r="D252" t="s">
        <v>64</v>
      </c>
      <c r="E252" t="s">
        <v>22</v>
      </c>
      <c r="F252" t="s">
        <v>23</v>
      </c>
      <c r="G252">
        <v>1</v>
      </c>
      <c r="H252">
        <v>9791166300134</v>
      </c>
      <c r="I252" t="s">
        <v>24</v>
      </c>
      <c r="J252" t="s">
        <v>123</v>
      </c>
      <c r="K252" t="s">
        <v>119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  <c r="V252" s="7" t="s">
        <v>24</v>
      </c>
      <c r="W252" s="7" t="s">
        <v>119</v>
      </c>
    </row>
    <row r="253" spans="1:23" x14ac:dyDescent="0.4">
      <c r="A253" t="s">
        <v>262</v>
      </c>
      <c r="B253" t="s">
        <v>647</v>
      </c>
      <c r="C253" t="s">
        <v>677</v>
      </c>
      <c r="D253" t="s">
        <v>64</v>
      </c>
      <c r="E253" t="s">
        <v>22</v>
      </c>
      <c r="F253" t="s">
        <v>23</v>
      </c>
      <c r="G253">
        <v>1</v>
      </c>
      <c r="H253">
        <v>9791166300127</v>
      </c>
      <c r="I253" t="s">
        <v>24</v>
      </c>
      <c r="J253" t="s">
        <v>122</v>
      </c>
      <c r="K253" t="s">
        <v>119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  <c r="V253" s="7" t="s">
        <v>24</v>
      </c>
      <c r="W253" s="7" t="s">
        <v>119</v>
      </c>
    </row>
    <row r="254" spans="1:23" x14ac:dyDescent="0.4">
      <c r="A254" t="s">
        <v>262</v>
      </c>
      <c r="B254" t="s">
        <v>647</v>
      </c>
      <c r="C254" t="s">
        <v>678</v>
      </c>
      <c r="D254" t="s">
        <v>64</v>
      </c>
      <c r="E254" t="s">
        <v>22</v>
      </c>
      <c r="F254" t="s">
        <v>23</v>
      </c>
      <c r="G254">
        <v>1</v>
      </c>
      <c r="H254">
        <v>9791166300233</v>
      </c>
      <c r="I254" t="s">
        <v>24</v>
      </c>
      <c r="J254" t="s">
        <v>132</v>
      </c>
      <c r="K254" t="s">
        <v>119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2">
        <v>0.7</v>
      </c>
      <c r="S254">
        <v>441</v>
      </c>
      <c r="T254" t="s">
        <v>27</v>
      </c>
      <c r="U254">
        <v>441</v>
      </c>
      <c r="V254" s="7" t="s">
        <v>24</v>
      </c>
      <c r="W254" s="7" t="s">
        <v>119</v>
      </c>
    </row>
    <row r="255" spans="1:23" x14ac:dyDescent="0.4">
      <c r="A255" t="s">
        <v>262</v>
      </c>
      <c r="B255" t="s">
        <v>647</v>
      </c>
      <c r="C255" t="s">
        <v>682</v>
      </c>
      <c r="D255" t="s">
        <v>64</v>
      </c>
      <c r="E255" t="s">
        <v>22</v>
      </c>
      <c r="F255" t="s">
        <v>23</v>
      </c>
      <c r="G255">
        <v>1</v>
      </c>
      <c r="H255">
        <v>9791166300134</v>
      </c>
      <c r="I255" t="s">
        <v>24</v>
      </c>
      <c r="J255" t="s">
        <v>123</v>
      </c>
      <c r="K255" t="s">
        <v>119</v>
      </c>
      <c r="L255" t="s">
        <v>27</v>
      </c>
      <c r="M255">
        <v>630</v>
      </c>
      <c r="N255" t="s">
        <v>27</v>
      </c>
      <c r="O255">
        <v>630</v>
      </c>
      <c r="P255">
        <v>630</v>
      </c>
      <c r="Q255" t="s">
        <v>30</v>
      </c>
      <c r="R255" s="2">
        <v>0.7</v>
      </c>
      <c r="S255">
        <v>441</v>
      </c>
      <c r="T255" t="s">
        <v>27</v>
      </c>
      <c r="U255">
        <v>441</v>
      </c>
      <c r="V255" s="7" t="s">
        <v>24</v>
      </c>
      <c r="W255" s="7" t="s">
        <v>119</v>
      </c>
    </row>
    <row r="256" spans="1:23" x14ac:dyDescent="0.4">
      <c r="A256" t="s">
        <v>262</v>
      </c>
      <c r="B256" t="s">
        <v>647</v>
      </c>
      <c r="C256" t="s">
        <v>685</v>
      </c>
      <c r="D256" t="s">
        <v>64</v>
      </c>
      <c r="E256" t="s">
        <v>22</v>
      </c>
      <c r="F256" t="s">
        <v>23</v>
      </c>
      <c r="G256">
        <v>1</v>
      </c>
      <c r="H256">
        <v>9791166300141</v>
      </c>
      <c r="I256" t="s">
        <v>24</v>
      </c>
      <c r="J256" t="s">
        <v>124</v>
      </c>
      <c r="K256" t="s">
        <v>119</v>
      </c>
      <c r="L256" t="s">
        <v>27</v>
      </c>
      <c r="M256">
        <v>630</v>
      </c>
      <c r="N256" t="s">
        <v>27</v>
      </c>
      <c r="O256">
        <v>630</v>
      </c>
      <c r="P256">
        <v>630</v>
      </c>
      <c r="Q256" t="s">
        <v>30</v>
      </c>
      <c r="R256" s="2">
        <v>0.7</v>
      </c>
      <c r="S256">
        <v>441</v>
      </c>
      <c r="T256" t="s">
        <v>27</v>
      </c>
      <c r="U256">
        <v>441</v>
      </c>
      <c r="V256" s="7" t="s">
        <v>24</v>
      </c>
      <c r="W256" s="7" t="s">
        <v>119</v>
      </c>
    </row>
    <row r="257" spans="1:23" x14ac:dyDescent="0.4">
      <c r="A257" t="s">
        <v>262</v>
      </c>
      <c r="B257" t="s">
        <v>647</v>
      </c>
      <c r="C257" t="s">
        <v>686</v>
      </c>
      <c r="D257" t="s">
        <v>64</v>
      </c>
      <c r="E257" t="s">
        <v>22</v>
      </c>
      <c r="F257" t="s">
        <v>23</v>
      </c>
      <c r="G257">
        <v>1</v>
      </c>
      <c r="H257">
        <v>9791166300493</v>
      </c>
      <c r="I257" t="s">
        <v>24</v>
      </c>
      <c r="J257" t="s">
        <v>147</v>
      </c>
      <c r="K257" t="s">
        <v>119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  <c r="V257" s="7" t="s">
        <v>24</v>
      </c>
      <c r="W257" s="7" t="s">
        <v>119</v>
      </c>
    </row>
    <row r="258" spans="1:23" x14ac:dyDescent="0.4">
      <c r="A258" t="s">
        <v>262</v>
      </c>
      <c r="B258" t="s">
        <v>647</v>
      </c>
      <c r="C258" t="s">
        <v>688</v>
      </c>
      <c r="D258" t="s">
        <v>64</v>
      </c>
      <c r="E258" t="s">
        <v>22</v>
      </c>
      <c r="F258" t="s">
        <v>23</v>
      </c>
      <c r="G258">
        <v>1</v>
      </c>
      <c r="H258">
        <v>9791166300165</v>
      </c>
      <c r="I258" t="s">
        <v>24</v>
      </c>
      <c r="J258" t="s">
        <v>126</v>
      </c>
      <c r="K258" t="s">
        <v>119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  <c r="V258" s="7" t="s">
        <v>24</v>
      </c>
      <c r="W258" s="7" t="s">
        <v>119</v>
      </c>
    </row>
    <row r="259" spans="1:23" x14ac:dyDescent="0.4">
      <c r="A259" t="s">
        <v>262</v>
      </c>
      <c r="B259" t="s">
        <v>647</v>
      </c>
      <c r="C259" t="s">
        <v>691</v>
      </c>
      <c r="D259" t="s">
        <v>64</v>
      </c>
      <c r="E259" t="s">
        <v>22</v>
      </c>
      <c r="F259" t="s">
        <v>23</v>
      </c>
      <c r="G259">
        <v>1</v>
      </c>
      <c r="H259">
        <v>9791166300509</v>
      </c>
      <c r="I259" t="s">
        <v>24</v>
      </c>
      <c r="J259" t="s">
        <v>148</v>
      </c>
      <c r="K259" t="s">
        <v>119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2">
        <v>0.7</v>
      </c>
      <c r="S259">
        <v>441</v>
      </c>
      <c r="T259" t="s">
        <v>27</v>
      </c>
      <c r="U259">
        <v>441</v>
      </c>
      <c r="V259" s="7" t="s">
        <v>24</v>
      </c>
      <c r="W259" s="7" t="s">
        <v>119</v>
      </c>
    </row>
    <row r="260" spans="1:23" x14ac:dyDescent="0.4">
      <c r="A260" t="s">
        <v>262</v>
      </c>
      <c r="B260" t="s">
        <v>647</v>
      </c>
      <c r="C260" t="s">
        <v>694</v>
      </c>
      <c r="D260" t="s">
        <v>64</v>
      </c>
      <c r="E260" t="s">
        <v>22</v>
      </c>
      <c r="F260" t="s">
        <v>23</v>
      </c>
      <c r="G260">
        <v>1</v>
      </c>
      <c r="H260">
        <v>9791166300288</v>
      </c>
      <c r="I260" t="s">
        <v>24</v>
      </c>
      <c r="J260" t="s">
        <v>137</v>
      </c>
      <c r="K260" t="s">
        <v>119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2">
        <v>0.7</v>
      </c>
      <c r="S260">
        <v>441</v>
      </c>
      <c r="T260" t="s">
        <v>27</v>
      </c>
      <c r="U260">
        <v>441</v>
      </c>
      <c r="V260" s="7" t="s">
        <v>24</v>
      </c>
      <c r="W260" s="7" t="s">
        <v>119</v>
      </c>
    </row>
    <row r="261" spans="1:23" x14ac:dyDescent="0.4">
      <c r="A261" t="s">
        <v>262</v>
      </c>
      <c r="B261" t="s">
        <v>647</v>
      </c>
      <c r="C261" t="s">
        <v>696</v>
      </c>
      <c r="D261" t="s">
        <v>64</v>
      </c>
      <c r="E261" t="s">
        <v>22</v>
      </c>
      <c r="F261" t="s">
        <v>23</v>
      </c>
      <c r="G261">
        <v>1</v>
      </c>
      <c r="H261">
        <v>9791166300172</v>
      </c>
      <c r="I261" t="s">
        <v>24</v>
      </c>
      <c r="J261" t="s">
        <v>127</v>
      </c>
      <c r="K261" t="s">
        <v>119</v>
      </c>
      <c r="L261" t="s">
        <v>27</v>
      </c>
      <c r="M261">
        <v>630</v>
      </c>
      <c r="N261" t="s">
        <v>27</v>
      </c>
      <c r="O261">
        <v>630</v>
      </c>
      <c r="P261">
        <v>630</v>
      </c>
      <c r="Q261" t="s">
        <v>30</v>
      </c>
      <c r="R261" s="2">
        <v>0.7</v>
      </c>
      <c r="S261">
        <v>441</v>
      </c>
      <c r="T261" t="s">
        <v>27</v>
      </c>
      <c r="U261">
        <v>441</v>
      </c>
      <c r="V261" s="7" t="s">
        <v>24</v>
      </c>
      <c r="W261" s="7" t="s">
        <v>119</v>
      </c>
    </row>
    <row r="262" spans="1:23" x14ac:dyDescent="0.4">
      <c r="A262" t="s">
        <v>262</v>
      </c>
      <c r="B262" t="s">
        <v>647</v>
      </c>
      <c r="C262" t="s">
        <v>699</v>
      </c>
      <c r="D262" t="s">
        <v>64</v>
      </c>
      <c r="E262" t="s">
        <v>22</v>
      </c>
      <c r="F262" t="s">
        <v>23</v>
      </c>
      <c r="G262">
        <v>1</v>
      </c>
      <c r="H262">
        <v>9791166300226</v>
      </c>
      <c r="I262" t="s">
        <v>24</v>
      </c>
      <c r="J262" t="s">
        <v>131</v>
      </c>
      <c r="K262" t="s">
        <v>119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  <c r="V262" s="7" t="s">
        <v>24</v>
      </c>
      <c r="W262" s="7" t="s">
        <v>119</v>
      </c>
    </row>
    <row r="263" spans="1:23" x14ac:dyDescent="0.4">
      <c r="A263" t="s">
        <v>262</v>
      </c>
      <c r="B263" t="s">
        <v>647</v>
      </c>
      <c r="C263" t="s">
        <v>703</v>
      </c>
      <c r="D263" t="s">
        <v>64</v>
      </c>
      <c r="E263" t="s">
        <v>22</v>
      </c>
      <c r="F263" t="s">
        <v>23</v>
      </c>
      <c r="G263">
        <v>1</v>
      </c>
      <c r="H263">
        <v>9791166300196</v>
      </c>
      <c r="I263" t="s">
        <v>24</v>
      </c>
      <c r="J263" t="s">
        <v>128</v>
      </c>
      <c r="K263" t="s">
        <v>119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  <c r="V263" s="7" t="s">
        <v>24</v>
      </c>
      <c r="W263" s="7" t="s">
        <v>119</v>
      </c>
    </row>
    <row r="264" spans="1:23" x14ac:dyDescent="0.4">
      <c r="A264" t="s">
        <v>262</v>
      </c>
      <c r="B264" t="s">
        <v>647</v>
      </c>
      <c r="C264" t="s">
        <v>704</v>
      </c>
      <c r="D264" t="s">
        <v>64</v>
      </c>
      <c r="E264" t="s">
        <v>22</v>
      </c>
      <c r="F264" t="s">
        <v>23</v>
      </c>
      <c r="G264">
        <v>1</v>
      </c>
      <c r="H264">
        <v>9791166300646</v>
      </c>
      <c r="I264" t="s">
        <v>24</v>
      </c>
      <c r="J264" t="s">
        <v>155</v>
      </c>
      <c r="K264" t="s">
        <v>119</v>
      </c>
      <c r="L264" t="s">
        <v>27</v>
      </c>
      <c r="M264">
        <v>630</v>
      </c>
      <c r="N264" t="s">
        <v>27</v>
      </c>
      <c r="O264">
        <v>630</v>
      </c>
      <c r="P264">
        <v>630</v>
      </c>
      <c r="Q264" t="s">
        <v>30</v>
      </c>
      <c r="R264" s="2">
        <v>0.7</v>
      </c>
      <c r="S264">
        <v>441</v>
      </c>
      <c r="T264" t="s">
        <v>27</v>
      </c>
      <c r="U264">
        <v>441</v>
      </c>
      <c r="V264" s="7" t="s">
        <v>24</v>
      </c>
      <c r="W264" s="7" t="s">
        <v>119</v>
      </c>
    </row>
    <row r="265" spans="1:23" x14ac:dyDescent="0.4">
      <c r="A265" t="s">
        <v>262</v>
      </c>
      <c r="B265" t="s">
        <v>647</v>
      </c>
      <c r="C265" t="s">
        <v>706</v>
      </c>
      <c r="D265" t="s">
        <v>64</v>
      </c>
      <c r="E265" t="s">
        <v>22</v>
      </c>
      <c r="F265" t="s">
        <v>23</v>
      </c>
      <c r="G265">
        <v>1</v>
      </c>
      <c r="H265">
        <v>9791166300479</v>
      </c>
      <c r="I265" t="s">
        <v>24</v>
      </c>
      <c r="J265" t="s">
        <v>145</v>
      </c>
      <c r="K265" t="s">
        <v>119</v>
      </c>
      <c r="L265" t="s">
        <v>27</v>
      </c>
      <c r="M265">
        <v>630</v>
      </c>
      <c r="N265" t="s">
        <v>27</v>
      </c>
      <c r="O265">
        <v>630</v>
      </c>
      <c r="P265">
        <v>630</v>
      </c>
      <c r="Q265" t="s">
        <v>30</v>
      </c>
      <c r="R265" s="2">
        <v>0.7</v>
      </c>
      <c r="S265">
        <v>441</v>
      </c>
      <c r="T265" t="s">
        <v>27</v>
      </c>
      <c r="U265">
        <v>441</v>
      </c>
      <c r="V265" s="7" t="s">
        <v>24</v>
      </c>
      <c r="W265" s="7" t="s">
        <v>119</v>
      </c>
    </row>
    <row r="266" spans="1:23" x14ac:dyDescent="0.4">
      <c r="A266" t="s">
        <v>262</v>
      </c>
      <c r="B266" t="s">
        <v>647</v>
      </c>
      <c r="C266" t="s">
        <v>708</v>
      </c>
      <c r="D266" t="s">
        <v>64</v>
      </c>
      <c r="E266" t="s">
        <v>22</v>
      </c>
      <c r="F266" t="s">
        <v>23</v>
      </c>
      <c r="G266">
        <v>1</v>
      </c>
      <c r="H266">
        <v>9791166300158</v>
      </c>
      <c r="I266" t="s">
        <v>24</v>
      </c>
      <c r="J266" t="s">
        <v>125</v>
      </c>
      <c r="K266" t="s">
        <v>119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  <c r="V266" s="7" t="s">
        <v>24</v>
      </c>
      <c r="W266" s="7" t="s">
        <v>119</v>
      </c>
    </row>
    <row r="267" spans="1:23" x14ac:dyDescent="0.4">
      <c r="A267" t="s">
        <v>262</v>
      </c>
      <c r="B267" t="s">
        <v>647</v>
      </c>
      <c r="C267" t="s">
        <v>709</v>
      </c>
      <c r="D267" t="s">
        <v>21</v>
      </c>
      <c r="E267" t="s">
        <v>22</v>
      </c>
      <c r="F267" t="s">
        <v>23</v>
      </c>
      <c r="G267">
        <v>1</v>
      </c>
      <c r="H267">
        <v>9791166300240</v>
      </c>
      <c r="I267" t="s">
        <v>24</v>
      </c>
      <c r="J267" t="s">
        <v>133</v>
      </c>
      <c r="K267" t="s">
        <v>119</v>
      </c>
      <c r="L267" t="s">
        <v>27</v>
      </c>
      <c r="M267" s="3">
        <v>3200</v>
      </c>
      <c r="N267" t="s">
        <v>27</v>
      </c>
      <c r="O267" s="3">
        <v>3200</v>
      </c>
      <c r="P267" s="3">
        <v>3200</v>
      </c>
      <c r="Q267" t="s">
        <v>30</v>
      </c>
      <c r="R267" s="2">
        <v>0.7</v>
      </c>
      <c r="S267" s="3">
        <v>2240</v>
      </c>
      <c r="T267" t="s">
        <v>27</v>
      </c>
      <c r="U267" s="3">
        <v>2240</v>
      </c>
      <c r="V267" s="7" t="s">
        <v>24</v>
      </c>
      <c r="W267" s="7" t="s">
        <v>119</v>
      </c>
    </row>
    <row r="268" spans="1:23" x14ac:dyDescent="0.4">
      <c r="A268" t="s">
        <v>262</v>
      </c>
      <c r="B268" t="s">
        <v>647</v>
      </c>
      <c r="C268" t="s">
        <v>710</v>
      </c>
      <c r="D268" t="s">
        <v>64</v>
      </c>
      <c r="E268" t="s">
        <v>22</v>
      </c>
      <c r="F268" t="s">
        <v>23</v>
      </c>
      <c r="G268">
        <v>1</v>
      </c>
      <c r="H268">
        <v>9791166300493</v>
      </c>
      <c r="I268" t="s">
        <v>24</v>
      </c>
      <c r="J268" t="s">
        <v>147</v>
      </c>
      <c r="K268" t="s">
        <v>119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  <c r="V268" s="7" t="s">
        <v>24</v>
      </c>
      <c r="W268" s="7" t="s">
        <v>119</v>
      </c>
    </row>
    <row r="269" spans="1:23" x14ac:dyDescent="0.4">
      <c r="A269" t="s">
        <v>262</v>
      </c>
      <c r="B269" t="s">
        <v>647</v>
      </c>
      <c r="C269" t="s">
        <v>714</v>
      </c>
      <c r="D269" t="s">
        <v>64</v>
      </c>
      <c r="E269" t="s">
        <v>22</v>
      </c>
      <c r="F269" t="s">
        <v>23</v>
      </c>
      <c r="G269">
        <v>1</v>
      </c>
      <c r="H269">
        <v>9791166300202</v>
      </c>
      <c r="I269" t="s">
        <v>24</v>
      </c>
      <c r="J269" t="s">
        <v>129</v>
      </c>
      <c r="K269" t="s">
        <v>119</v>
      </c>
      <c r="L269" t="s">
        <v>27</v>
      </c>
      <c r="M269">
        <v>630</v>
      </c>
      <c r="N269" t="s">
        <v>27</v>
      </c>
      <c r="O269">
        <v>630</v>
      </c>
      <c r="P269">
        <v>630</v>
      </c>
      <c r="Q269" t="s">
        <v>30</v>
      </c>
      <c r="R269" s="2">
        <v>0.7</v>
      </c>
      <c r="S269">
        <v>441</v>
      </c>
      <c r="T269" t="s">
        <v>27</v>
      </c>
      <c r="U269">
        <v>441</v>
      </c>
      <c r="V269" s="7" t="s">
        <v>24</v>
      </c>
      <c r="W269" s="7" t="s">
        <v>119</v>
      </c>
    </row>
    <row r="270" spans="1:23" x14ac:dyDescent="0.4">
      <c r="A270" t="s">
        <v>262</v>
      </c>
      <c r="B270" t="s">
        <v>647</v>
      </c>
      <c r="C270" t="s">
        <v>715</v>
      </c>
      <c r="D270" t="s">
        <v>64</v>
      </c>
      <c r="E270" t="s">
        <v>22</v>
      </c>
      <c r="F270" t="s">
        <v>23</v>
      </c>
      <c r="G270">
        <v>1</v>
      </c>
      <c r="H270">
        <v>9791166300141</v>
      </c>
      <c r="I270" t="s">
        <v>24</v>
      </c>
      <c r="J270" t="s">
        <v>124</v>
      </c>
      <c r="K270" t="s">
        <v>119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  <c r="V270" s="7" t="s">
        <v>24</v>
      </c>
      <c r="W270" s="7" t="s">
        <v>119</v>
      </c>
    </row>
    <row r="271" spans="1:23" x14ac:dyDescent="0.4">
      <c r="A271" t="s">
        <v>262</v>
      </c>
      <c r="B271" t="s">
        <v>647</v>
      </c>
      <c r="C271" t="s">
        <v>716</v>
      </c>
      <c r="D271" t="s">
        <v>64</v>
      </c>
      <c r="E271" t="s">
        <v>22</v>
      </c>
      <c r="F271" t="s">
        <v>23</v>
      </c>
      <c r="G271">
        <v>1</v>
      </c>
      <c r="H271">
        <v>9791166300219</v>
      </c>
      <c r="I271" t="s">
        <v>24</v>
      </c>
      <c r="J271" t="s">
        <v>130</v>
      </c>
      <c r="K271" t="s">
        <v>119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  <c r="V271" s="7" t="s">
        <v>24</v>
      </c>
      <c r="W271" s="7" t="s">
        <v>119</v>
      </c>
    </row>
    <row r="272" spans="1:23" x14ac:dyDescent="0.4">
      <c r="A272" t="s">
        <v>262</v>
      </c>
      <c r="B272" t="s">
        <v>722</v>
      </c>
      <c r="C272" t="s">
        <v>723</v>
      </c>
      <c r="D272" t="s">
        <v>64</v>
      </c>
      <c r="E272" t="s">
        <v>22</v>
      </c>
      <c r="F272" t="s">
        <v>23</v>
      </c>
      <c r="G272">
        <v>1</v>
      </c>
      <c r="H272">
        <v>9791166300691</v>
      </c>
      <c r="I272" t="s">
        <v>24</v>
      </c>
      <c r="J272" t="s">
        <v>152</v>
      </c>
      <c r="K272" t="s">
        <v>119</v>
      </c>
      <c r="L272" t="s">
        <v>27</v>
      </c>
      <c r="M272">
        <v>630</v>
      </c>
      <c r="N272" t="s">
        <v>27</v>
      </c>
      <c r="O272">
        <v>630</v>
      </c>
      <c r="P272">
        <v>630</v>
      </c>
      <c r="Q272" t="s">
        <v>30</v>
      </c>
      <c r="R272" s="2">
        <v>0.7</v>
      </c>
      <c r="S272">
        <v>441</v>
      </c>
      <c r="T272" t="s">
        <v>27</v>
      </c>
      <c r="U272">
        <v>441</v>
      </c>
      <c r="V272" s="7" t="s">
        <v>24</v>
      </c>
      <c r="W272" s="7" t="s">
        <v>119</v>
      </c>
    </row>
    <row r="273" spans="1:23" x14ac:dyDescent="0.4">
      <c r="A273" t="s">
        <v>262</v>
      </c>
      <c r="B273" t="s">
        <v>722</v>
      </c>
      <c r="C273" t="s">
        <v>726</v>
      </c>
      <c r="D273" t="s">
        <v>64</v>
      </c>
      <c r="E273" t="s">
        <v>22</v>
      </c>
      <c r="F273" t="s">
        <v>23</v>
      </c>
      <c r="G273">
        <v>1</v>
      </c>
      <c r="H273">
        <v>9791166300103</v>
      </c>
      <c r="I273" t="s">
        <v>24</v>
      </c>
      <c r="J273" t="s">
        <v>120</v>
      </c>
      <c r="K273" t="s">
        <v>119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  <c r="V273" s="7" t="s">
        <v>24</v>
      </c>
      <c r="W273" s="7" t="s">
        <v>119</v>
      </c>
    </row>
    <row r="274" spans="1:23" x14ac:dyDescent="0.4">
      <c r="A274" t="s">
        <v>262</v>
      </c>
      <c r="B274" t="s">
        <v>722</v>
      </c>
      <c r="C274" t="s">
        <v>727</v>
      </c>
      <c r="D274" t="s">
        <v>64</v>
      </c>
      <c r="E274" t="s">
        <v>22</v>
      </c>
      <c r="F274" t="s">
        <v>23</v>
      </c>
      <c r="G274">
        <v>1</v>
      </c>
      <c r="H274">
        <v>9791166300233</v>
      </c>
      <c r="I274" t="s">
        <v>24</v>
      </c>
      <c r="J274" t="s">
        <v>132</v>
      </c>
      <c r="K274" t="s">
        <v>119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  <c r="V274" s="7" t="s">
        <v>24</v>
      </c>
      <c r="W274" s="7" t="s">
        <v>119</v>
      </c>
    </row>
    <row r="275" spans="1:23" x14ac:dyDescent="0.4">
      <c r="A275" t="s">
        <v>262</v>
      </c>
      <c r="B275" t="s">
        <v>722</v>
      </c>
      <c r="C275" t="s">
        <v>728</v>
      </c>
      <c r="D275" t="s">
        <v>64</v>
      </c>
      <c r="E275" t="s">
        <v>22</v>
      </c>
      <c r="F275" t="s">
        <v>23</v>
      </c>
      <c r="G275">
        <v>1</v>
      </c>
      <c r="H275">
        <v>9791166300110</v>
      </c>
      <c r="I275" t="s">
        <v>24</v>
      </c>
      <c r="J275" t="s">
        <v>121</v>
      </c>
      <c r="K275" t="s">
        <v>119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2">
        <v>0.7</v>
      </c>
      <c r="S275">
        <v>441</v>
      </c>
      <c r="T275" t="s">
        <v>27</v>
      </c>
      <c r="U275">
        <v>441</v>
      </c>
      <c r="V275" s="7" t="s">
        <v>24</v>
      </c>
      <c r="W275" s="7" t="s">
        <v>119</v>
      </c>
    </row>
    <row r="276" spans="1:23" x14ac:dyDescent="0.4">
      <c r="A276" t="s">
        <v>262</v>
      </c>
      <c r="B276" t="s">
        <v>722</v>
      </c>
      <c r="C276" t="s">
        <v>729</v>
      </c>
      <c r="D276" t="s">
        <v>64</v>
      </c>
      <c r="E276" t="s">
        <v>22</v>
      </c>
      <c r="F276" t="s">
        <v>23</v>
      </c>
      <c r="G276">
        <v>1</v>
      </c>
      <c r="H276">
        <v>9791166300134</v>
      </c>
      <c r="I276" t="s">
        <v>24</v>
      </c>
      <c r="J276" t="s">
        <v>123</v>
      </c>
      <c r="K276" t="s">
        <v>119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  <c r="V276" s="7" t="s">
        <v>24</v>
      </c>
      <c r="W276" s="7" t="s">
        <v>119</v>
      </c>
    </row>
    <row r="277" spans="1:23" x14ac:dyDescent="0.4">
      <c r="A277" t="s">
        <v>262</v>
      </c>
      <c r="B277" t="s">
        <v>722</v>
      </c>
      <c r="C277" t="s">
        <v>731</v>
      </c>
      <c r="D277" t="s">
        <v>64</v>
      </c>
      <c r="E277" t="s">
        <v>22</v>
      </c>
      <c r="F277" t="s">
        <v>23</v>
      </c>
      <c r="G277">
        <v>1</v>
      </c>
      <c r="H277">
        <v>9791166300226</v>
      </c>
      <c r="I277" t="s">
        <v>24</v>
      </c>
      <c r="J277" t="s">
        <v>131</v>
      </c>
      <c r="K277" t="s">
        <v>119</v>
      </c>
      <c r="L277" t="s">
        <v>27</v>
      </c>
      <c r="M277">
        <v>630</v>
      </c>
      <c r="N277" t="s">
        <v>27</v>
      </c>
      <c r="O277">
        <v>630</v>
      </c>
      <c r="P277">
        <v>630</v>
      </c>
      <c r="Q277" t="s">
        <v>30</v>
      </c>
      <c r="R277" s="2">
        <v>0.7</v>
      </c>
      <c r="S277">
        <v>441</v>
      </c>
      <c r="T277" t="s">
        <v>27</v>
      </c>
      <c r="U277">
        <v>441</v>
      </c>
      <c r="V277" s="7" t="s">
        <v>24</v>
      </c>
      <c r="W277" s="7" t="s">
        <v>119</v>
      </c>
    </row>
    <row r="278" spans="1:23" x14ac:dyDescent="0.4">
      <c r="A278" t="s">
        <v>262</v>
      </c>
      <c r="B278" t="s">
        <v>722</v>
      </c>
      <c r="C278" t="s">
        <v>734</v>
      </c>
      <c r="D278" t="s">
        <v>64</v>
      </c>
      <c r="E278" t="s">
        <v>22</v>
      </c>
      <c r="F278" t="s">
        <v>23</v>
      </c>
      <c r="G278">
        <v>1</v>
      </c>
      <c r="H278">
        <v>9791166300103</v>
      </c>
      <c r="I278" t="s">
        <v>24</v>
      </c>
      <c r="J278" t="s">
        <v>120</v>
      </c>
      <c r="K278" t="s">
        <v>119</v>
      </c>
      <c r="L278" t="s">
        <v>27</v>
      </c>
      <c r="M278">
        <v>630</v>
      </c>
      <c r="N278" t="s">
        <v>27</v>
      </c>
      <c r="O278">
        <v>630</v>
      </c>
      <c r="P278">
        <v>630</v>
      </c>
      <c r="Q278" t="s">
        <v>30</v>
      </c>
      <c r="R278" s="2">
        <v>0.7</v>
      </c>
      <c r="S278">
        <v>441</v>
      </c>
      <c r="T278" t="s">
        <v>27</v>
      </c>
      <c r="U278">
        <v>441</v>
      </c>
      <c r="V278" s="7" t="s">
        <v>24</v>
      </c>
      <c r="W278" s="7" t="s">
        <v>119</v>
      </c>
    </row>
    <row r="279" spans="1:23" x14ac:dyDescent="0.4">
      <c r="A279" t="s">
        <v>262</v>
      </c>
      <c r="B279" t="s">
        <v>722</v>
      </c>
      <c r="C279" t="s">
        <v>735</v>
      </c>
      <c r="D279" t="s">
        <v>64</v>
      </c>
      <c r="E279" t="s">
        <v>22</v>
      </c>
      <c r="F279" t="s">
        <v>23</v>
      </c>
      <c r="G279">
        <v>1</v>
      </c>
      <c r="H279">
        <v>9791166300127</v>
      </c>
      <c r="I279" t="s">
        <v>24</v>
      </c>
      <c r="J279" t="s">
        <v>122</v>
      </c>
      <c r="K279" t="s">
        <v>119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2">
        <v>0.7</v>
      </c>
      <c r="S279">
        <v>441</v>
      </c>
      <c r="T279" t="s">
        <v>27</v>
      </c>
      <c r="U279">
        <v>441</v>
      </c>
      <c r="V279" s="7" t="s">
        <v>24</v>
      </c>
      <c r="W279" s="7" t="s">
        <v>119</v>
      </c>
    </row>
    <row r="280" spans="1:23" x14ac:dyDescent="0.4">
      <c r="A280" t="s">
        <v>262</v>
      </c>
      <c r="B280" t="s">
        <v>722</v>
      </c>
      <c r="C280" t="s">
        <v>736</v>
      </c>
      <c r="D280" t="s">
        <v>64</v>
      </c>
      <c r="E280" t="s">
        <v>22</v>
      </c>
      <c r="F280" t="s">
        <v>23</v>
      </c>
      <c r="G280">
        <v>1</v>
      </c>
      <c r="H280">
        <v>9791166300127</v>
      </c>
      <c r="I280" t="s">
        <v>24</v>
      </c>
      <c r="J280" t="s">
        <v>122</v>
      </c>
      <c r="K280" t="s">
        <v>119</v>
      </c>
      <c r="L280" t="s">
        <v>27</v>
      </c>
      <c r="M280">
        <v>630</v>
      </c>
      <c r="N280" t="s">
        <v>27</v>
      </c>
      <c r="O280">
        <v>630</v>
      </c>
      <c r="P280">
        <v>630</v>
      </c>
      <c r="Q280" t="s">
        <v>30</v>
      </c>
      <c r="R280" s="2">
        <v>0.7</v>
      </c>
      <c r="S280">
        <v>441</v>
      </c>
      <c r="T280" t="s">
        <v>27</v>
      </c>
      <c r="U280">
        <v>441</v>
      </c>
      <c r="V280" s="7" t="s">
        <v>24</v>
      </c>
      <c r="W280" s="7" t="s">
        <v>119</v>
      </c>
    </row>
    <row r="281" spans="1:23" x14ac:dyDescent="0.4">
      <c r="A281" t="s">
        <v>262</v>
      </c>
      <c r="B281" t="s">
        <v>722</v>
      </c>
      <c r="C281" t="s">
        <v>737</v>
      </c>
      <c r="D281" t="s">
        <v>64</v>
      </c>
      <c r="E281" t="s">
        <v>22</v>
      </c>
      <c r="F281" t="s">
        <v>23</v>
      </c>
      <c r="G281">
        <v>1</v>
      </c>
      <c r="H281">
        <v>9791166300240</v>
      </c>
      <c r="I281" t="s">
        <v>24</v>
      </c>
      <c r="J281" t="s">
        <v>133</v>
      </c>
      <c r="K281" t="s">
        <v>119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  <c r="V281" s="7" t="s">
        <v>24</v>
      </c>
      <c r="W281" s="7" t="s">
        <v>119</v>
      </c>
    </row>
    <row r="282" spans="1:23" x14ac:dyDescent="0.4">
      <c r="A282" t="s">
        <v>262</v>
      </c>
      <c r="B282" t="s">
        <v>722</v>
      </c>
      <c r="C282" t="s">
        <v>738</v>
      </c>
      <c r="D282" t="s">
        <v>64</v>
      </c>
      <c r="E282" t="s">
        <v>22</v>
      </c>
      <c r="F282" t="s">
        <v>23</v>
      </c>
      <c r="G282">
        <v>1</v>
      </c>
      <c r="H282">
        <v>9791166300660</v>
      </c>
      <c r="I282" t="s">
        <v>24</v>
      </c>
      <c r="J282" t="s">
        <v>156</v>
      </c>
      <c r="K282" t="s">
        <v>119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2">
        <v>0.7</v>
      </c>
      <c r="S282">
        <v>441</v>
      </c>
      <c r="T282" t="s">
        <v>27</v>
      </c>
      <c r="U282">
        <v>441</v>
      </c>
      <c r="V282" s="7" t="s">
        <v>24</v>
      </c>
      <c r="W282" s="7" t="s">
        <v>119</v>
      </c>
    </row>
    <row r="283" spans="1:23" x14ac:dyDescent="0.4">
      <c r="A283" t="s">
        <v>262</v>
      </c>
      <c r="B283" t="s">
        <v>722</v>
      </c>
      <c r="C283" t="s">
        <v>739</v>
      </c>
      <c r="D283" t="s">
        <v>64</v>
      </c>
      <c r="E283" t="s">
        <v>22</v>
      </c>
      <c r="F283" t="s">
        <v>23</v>
      </c>
      <c r="G283">
        <v>1</v>
      </c>
      <c r="H283">
        <v>9791166300158</v>
      </c>
      <c r="I283" t="s">
        <v>24</v>
      </c>
      <c r="J283" t="s">
        <v>125</v>
      </c>
      <c r="K283" t="s">
        <v>119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  <c r="V283" s="7" t="s">
        <v>24</v>
      </c>
      <c r="W283" s="7" t="s">
        <v>119</v>
      </c>
    </row>
    <row r="284" spans="1:23" x14ac:dyDescent="0.4">
      <c r="A284" t="s">
        <v>262</v>
      </c>
      <c r="B284" t="s">
        <v>722</v>
      </c>
      <c r="C284" t="s">
        <v>747</v>
      </c>
      <c r="D284" t="s">
        <v>64</v>
      </c>
      <c r="E284" t="s">
        <v>22</v>
      </c>
      <c r="F284" t="s">
        <v>23</v>
      </c>
      <c r="G284">
        <v>1</v>
      </c>
      <c r="H284">
        <v>9791166300240</v>
      </c>
      <c r="I284" t="s">
        <v>24</v>
      </c>
      <c r="J284" t="s">
        <v>133</v>
      </c>
      <c r="K284" t="s">
        <v>119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2">
        <v>0.7</v>
      </c>
      <c r="S284">
        <v>441</v>
      </c>
      <c r="T284" t="s">
        <v>27</v>
      </c>
      <c r="U284">
        <v>441</v>
      </c>
      <c r="V284" s="7" t="s">
        <v>24</v>
      </c>
      <c r="W284" s="7" t="s">
        <v>119</v>
      </c>
    </row>
    <row r="285" spans="1:23" x14ac:dyDescent="0.4">
      <c r="A285" t="s">
        <v>262</v>
      </c>
      <c r="B285" t="s">
        <v>722</v>
      </c>
      <c r="C285" t="s">
        <v>749</v>
      </c>
      <c r="D285" t="s">
        <v>64</v>
      </c>
      <c r="E285" t="s">
        <v>22</v>
      </c>
      <c r="F285" t="s">
        <v>23</v>
      </c>
      <c r="G285">
        <v>1</v>
      </c>
      <c r="H285">
        <v>9791166300257</v>
      </c>
      <c r="I285" t="s">
        <v>24</v>
      </c>
      <c r="J285" t="s">
        <v>134</v>
      </c>
      <c r="K285" t="s">
        <v>119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  <c r="V285" s="7" t="s">
        <v>24</v>
      </c>
      <c r="W285" s="7" t="s">
        <v>119</v>
      </c>
    </row>
    <row r="286" spans="1:23" x14ac:dyDescent="0.4">
      <c r="A286" t="s">
        <v>262</v>
      </c>
      <c r="B286" t="s">
        <v>722</v>
      </c>
      <c r="C286" t="s">
        <v>750</v>
      </c>
      <c r="D286" t="s">
        <v>64</v>
      </c>
      <c r="E286" t="s">
        <v>22</v>
      </c>
      <c r="F286" t="s">
        <v>23</v>
      </c>
      <c r="G286">
        <v>1</v>
      </c>
      <c r="H286">
        <v>9791166300516</v>
      </c>
      <c r="I286" t="s">
        <v>24</v>
      </c>
      <c r="J286" t="s">
        <v>149</v>
      </c>
      <c r="K286" t="s">
        <v>119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2">
        <v>0.7</v>
      </c>
      <c r="S286">
        <v>441</v>
      </c>
      <c r="T286" t="s">
        <v>27</v>
      </c>
      <c r="U286">
        <v>441</v>
      </c>
      <c r="V286" s="7" t="s">
        <v>24</v>
      </c>
      <c r="W286" s="7" t="s">
        <v>119</v>
      </c>
    </row>
    <row r="287" spans="1:23" x14ac:dyDescent="0.4">
      <c r="A287" t="s">
        <v>262</v>
      </c>
      <c r="B287" t="s">
        <v>722</v>
      </c>
      <c r="C287" t="s">
        <v>754</v>
      </c>
      <c r="D287" t="s">
        <v>64</v>
      </c>
      <c r="E287" t="s">
        <v>22</v>
      </c>
      <c r="F287" t="s">
        <v>23</v>
      </c>
      <c r="G287">
        <v>1</v>
      </c>
      <c r="H287">
        <v>9791166300134</v>
      </c>
      <c r="I287" t="s">
        <v>24</v>
      </c>
      <c r="J287" t="s">
        <v>123</v>
      </c>
      <c r="K287" t="s">
        <v>119</v>
      </c>
      <c r="L287" t="s">
        <v>27</v>
      </c>
      <c r="M287">
        <v>630</v>
      </c>
      <c r="N287" t="s">
        <v>27</v>
      </c>
      <c r="O287">
        <v>630</v>
      </c>
      <c r="P287">
        <v>630</v>
      </c>
      <c r="Q287" t="s">
        <v>30</v>
      </c>
      <c r="R287" s="2">
        <v>0.7</v>
      </c>
      <c r="S287">
        <v>441</v>
      </c>
      <c r="T287" t="s">
        <v>27</v>
      </c>
      <c r="U287">
        <v>441</v>
      </c>
      <c r="V287" s="7" t="s">
        <v>24</v>
      </c>
      <c r="W287" s="7" t="s">
        <v>119</v>
      </c>
    </row>
    <row r="288" spans="1:23" x14ac:dyDescent="0.4">
      <c r="A288" t="s">
        <v>262</v>
      </c>
      <c r="B288" t="s">
        <v>722</v>
      </c>
      <c r="C288" t="s">
        <v>755</v>
      </c>
      <c r="D288" t="s">
        <v>64</v>
      </c>
      <c r="E288" t="s">
        <v>22</v>
      </c>
      <c r="F288" t="s">
        <v>23</v>
      </c>
      <c r="G288">
        <v>1</v>
      </c>
      <c r="H288">
        <v>9791166300264</v>
      </c>
      <c r="I288" t="s">
        <v>24</v>
      </c>
      <c r="J288" t="s">
        <v>135</v>
      </c>
      <c r="K288" t="s">
        <v>119</v>
      </c>
      <c r="L288" t="s">
        <v>27</v>
      </c>
      <c r="M288">
        <v>630</v>
      </c>
      <c r="N288" t="s">
        <v>27</v>
      </c>
      <c r="O288">
        <v>630</v>
      </c>
      <c r="P288">
        <v>630</v>
      </c>
      <c r="Q288" t="s">
        <v>30</v>
      </c>
      <c r="R288" s="2">
        <v>0.7</v>
      </c>
      <c r="S288">
        <v>441</v>
      </c>
      <c r="T288" t="s">
        <v>27</v>
      </c>
      <c r="U288">
        <v>441</v>
      </c>
      <c r="V288" s="7" t="s">
        <v>24</v>
      </c>
      <c r="W288" s="7" t="s">
        <v>119</v>
      </c>
    </row>
    <row r="289" spans="1:23" x14ac:dyDescent="0.4">
      <c r="A289" t="s">
        <v>262</v>
      </c>
      <c r="B289" t="s">
        <v>722</v>
      </c>
      <c r="C289" t="s">
        <v>756</v>
      </c>
      <c r="D289" t="s">
        <v>64</v>
      </c>
      <c r="E289" t="s">
        <v>22</v>
      </c>
      <c r="F289" t="s">
        <v>23</v>
      </c>
      <c r="G289">
        <v>1</v>
      </c>
      <c r="H289">
        <v>9791166300219</v>
      </c>
      <c r="I289" t="s">
        <v>24</v>
      </c>
      <c r="J289" t="s">
        <v>130</v>
      </c>
      <c r="K289" t="s">
        <v>119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  <c r="V289" s="7" t="s">
        <v>24</v>
      </c>
      <c r="W289" s="7" t="s">
        <v>119</v>
      </c>
    </row>
    <row r="290" spans="1:23" x14ac:dyDescent="0.4">
      <c r="A290" t="s">
        <v>262</v>
      </c>
      <c r="B290" t="s">
        <v>722</v>
      </c>
      <c r="C290" t="s">
        <v>757</v>
      </c>
      <c r="D290" t="s">
        <v>64</v>
      </c>
      <c r="E290" t="s">
        <v>22</v>
      </c>
      <c r="F290" t="s">
        <v>23</v>
      </c>
      <c r="G290">
        <v>1</v>
      </c>
      <c r="H290">
        <v>9791166300141</v>
      </c>
      <c r="I290" t="s">
        <v>24</v>
      </c>
      <c r="J290" t="s">
        <v>124</v>
      </c>
      <c r="K290" t="s">
        <v>119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  <c r="V290" s="7" t="s">
        <v>24</v>
      </c>
      <c r="W290" s="7" t="s">
        <v>119</v>
      </c>
    </row>
    <row r="291" spans="1:23" x14ac:dyDescent="0.4">
      <c r="A291" t="s">
        <v>262</v>
      </c>
      <c r="B291" t="s">
        <v>722</v>
      </c>
      <c r="C291" t="s">
        <v>758</v>
      </c>
      <c r="D291" t="s">
        <v>64</v>
      </c>
      <c r="E291" t="s">
        <v>22</v>
      </c>
      <c r="F291" t="s">
        <v>23</v>
      </c>
      <c r="G291">
        <v>1</v>
      </c>
      <c r="H291">
        <v>9791166300103</v>
      </c>
      <c r="I291" t="s">
        <v>24</v>
      </c>
      <c r="J291" t="s">
        <v>120</v>
      </c>
      <c r="K291" t="s">
        <v>119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  <c r="V291" s="7" t="s">
        <v>24</v>
      </c>
      <c r="W291" s="7" t="s">
        <v>119</v>
      </c>
    </row>
    <row r="292" spans="1:23" x14ac:dyDescent="0.4">
      <c r="A292" t="s">
        <v>262</v>
      </c>
      <c r="B292" t="s">
        <v>722</v>
      </c>
      <c r="C292" t="s">
        <v>760</v>
      </c>
      <c r="D292" t="s">
        <v>21</v>
      </c>
      <c r="E292" t="s">
        <v>22</v>
      </c>
      <c r="F292" t="s">
        <v>23</v>
      </c>
      <c r="G292">
        <v>1</v>
      </c>
      <c r="H292">
        <v>9791166300257</v>
      </c>
      <c r="I292" t="s">
        <v>24</v>
      </c>
      <c r="J292" t="s">
        <v>134</v>
      </c>
      <c r="K292" t="s">
        <v>119</v>
      </c>
      <c r="L292" t="s">
        <v>27</v>
      </c>
      <c r="M292" s="3">
        <v>3200</v>
      </c>
      <c r="N292" t="s">
        <v>27</v>
      </c>
      <c r="O292" s="3">
        <v>3200</v>
      </c>
      <c r="P292" s="3">
        <v>3200</v>
      </c>
      <c r="Q292" t="s">
        <v>30</v>
      </c>
      <c r="R292" s="2">
        <v>0.7</v>
      </c>
      <c r="S292" s="3">
        <v>2240</v>
      </c>
      <c r="T292" t="s">
        <v>27</v>
      </c>
      <c r="U292" s="3">
        <v>2240</v>
      </c>
      <c r="V292" s="7" t="s">
        <v>24</v>
      </c>
      <c r="W292" s="7" t="s">
        <v>119</v>
      </c>
    </row>
    <row r="293" spans="1:23" x14ac:dyDescent="0.4">
      <c r="A293" t="s">
        <v>262</v>
      </c>
      <c r="B293" t="s">
        <v>722</v>
      </c>
      <c r="C293" t="s">
        <v>762</v>
      </c>
      <c r="D293" t="s">
        <v>64</v>
      </c>
      <c r="E293" t="s">
        <v>22</v>
      </c>
      <c r="F293" t="s">
        <v>23</v>
      </c>
      <c r="G293">
        <v>1</v>
      </c>
      <c r="H293">
        <v>9791166300271</v>
      </c>
      <c r="I293" t="s">
        <v>24</v>
      </c>
      <c r="J293" t="s">
        <v>136</v>
      </c>
      <c r="K293" t="s">
        <v>119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2">
        <v>0.7</v>
      </c>
      <c r="S293">
        <v>441</v>
      </c>
      <c r="T293" t="s">
        <v>27</v>
      </c>
      <c r="U293">
        <v>441</v>
      </c>
      <c r="V293" s="7" t="s">
        <v>24</v>
      </c>
      <c r="W293" s="7" t="s">
        <v>119</v>
      </c>
    </row>
    <row r="294" spans="1:23" x14ac:dyDescent="0.4">
      <c r="A294" t="s">
        <v>262</v>
      </c>
      <c r="B294" t="s">
        <v>722</v>
      </c>
      <c r="C294" t="s">
        <v>763</v>
      </c>
      <c r="D294" t="s">
        <v>64</v>
      </c>
      <c r="E294" t="s">
        <v>22</v>
      </c>
      <c r="F294" t="s">
        <v>23</v>
      </c>
      <c r="G294">
        <v>1</v>
      </c>
      <c r="H294">
        <v>9791166300295</v>
      </c>
      <c r="I294" t="s">
        <v>24</v>
      </c>
      <c r="J294" t="s">
        <v>138</v>
      </c>
      <c r="K294" t="s">
        <v>119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  <c r="V294" s="7" t="s">
        <v>24</v>
      </c>
      <c r="W294" s="7" t="s">
        <v>119</v>
      </c>
    </row>
    <row r="295" spans="1:23" x14ac:dyDescent="0.4">
      <c r="A295" t="s">
        <v>262</v>
      </c>
      <c r="B295" t="s">
        <v>722</v>
      </c>
      <c r="C295" t="s">
        <v>764</v>
      </c>
      <c r="D295" t="s">
        <v>64</v>
      </c>
      <c r="E295" t="s">
        <v>22</v>
      </c>
      <c r="F295" t="s">
        <v>23</v>
      </c>
      <c r="G295">
        <v>1</v>
      </c>
      <c r="H295">
        <v>9791166300233</v>
      </c>
      <c r="I295" t="s">
        <v>24</v>
      </c>
      <c r="J295" t="s">
        <v>132</v>
      </c>
      <c r="K295" t="s">
        <v>119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  <c r="V295" s="7" t="s">
        <v>24</v>
      </c>
      <c r="W295" s="7" t="s">
        <v>119</v>
      </c>
    </row>
    <row r="296" spans="1:23" x14ac:dyDescent="0.4">
      <c r="A296" t="s">
        <v>262</v>
      </c>
      <c r="B296" t="s">
        <v>722</v>
      </c>
      <c r="C296" t="s">
        <v>766</v>
      </c>
      <c r="D296" t="s">
        <v>21</v>
      </c>
      <c r="E296" t="s">
        <v>22</v>
      </c>
      <c r="F296" t="s">
        <v>23</v>
      </c>
      <c r="G296">
        <v>1</v>
      </c>
      <c r="H296">
        <v>9791166300264</v>
      </c>
      <c r="I296" t="s">
        <v>24</v>
      </c>
      <c r="J296" t="s">
        <v>135</v>
      </c>
      <c r="K296" t="s">
        <v>119</v>
      </c>
      <c r="L296" t="s">
        <v>27</v>
      </c>
      <c r="M296" s="3">
        <v>3200</v>
      </c>
      <c r="N296" t="s">
        <v>27</v>
      </c>
      <c r="O296" s="3">
        <v>3200</v>
      </c>
      <c r="P296" s="3">
        <v>3200</v>
      </c>
      <c r="Q296" t="s">
        <v>30</v>
      </c>
      <c r="R296" s="2">
        <v>0.7</v>
      </c>
      <c r="S296" s="3">
        <v>2240</v>
      </c>
      <c r="T296" t="s">
        <v>27</v>
      </c>
      <c r="U296" s="3">
        <v>2240</v>
      </c>
      <c r="V296" s="7" t="s">
        <v>24</v>
      </c>
      <c r="W296" s="7" t="s">
        <v>119</v>
      </c>
    </row>
    <row r="297" spans="1:23" x14ac:dyDescent="0.4">
      <c r="A297" t="s">
        <v>262</v>
      </c>
      <c r="B297" t="s">
        <v>722</v>
      </c>
      <c r="C297" t="s">
        <v>767</v>
      </c>
      <c r="D297" t="s">
        <v>64</v>
      </c>
      <c r="E297" t="s">
        <v>22</v>
      </c>
      <c r="F297" t="s">
        <v>23</v>
      </c>
      <c r="G297">
        <v>1</v>
      </c>
      <c r="H297">
        <v>9791166300165</v>
      </c>
      <c r="I297" t="s">
        <v>24</v>
      </c>
      <c r="J297" t="s">
        <v>126</v>
      </c>
      <c r="K297" t="s">
        <v>119</v>
      </c>
      <c r="L297" t="s">
        <v>27</v>
      </c>
      <c r="M297">
        <v>630</v>
      </c>
      <c r="N297" t="s">
        <v>27</v>
      </c>
      <c r="O297">
        <v>630</v>
      </c>
      <c r="P297">
        <v>630</v>
      </c>
      <c r="Q297" t="s">
        <v>30</v>
      </c>
      <c r="R297" s="2">
        <v>0.7</v>
      </c>
      <c r="S297">
        <v>441</v>
      </c>
      <c r="T297" t="s">
        <v>27</v>
      </c>
      <c r="U297">
        <v>441</v>
      </c>
      <c r="V297" s="7" t="s">
        <v>24</v>
      </c>
      <c r="W297" s="7" t="s">
        <v>119</v>
      </c>
    </row>
    <row r="298" spans="1:23" x14ac:dyDescent="0.4">
      <c r="A298" t="s">
        <v>262</v>
      </c>
      <c r="B298" t="s">
        <v>722</v>
      </c>
      <c r="C298" t="s">
        <v>770</v>
      </c>
      <c r="D298" t="s">
        <v>64</v>
      </c>
      <c r="E298" t="s">
        <v>22</v>
      </c>
      <c r="F298" t="s">
        <v>23</v>
      </c>
      <c r="G298">
        <v>1</v>
      </c>
      <c r="H298">
        <v>9791166300165</v>
      </c>
      <c r="I298" t="s">
        <v>24</v>
      </c>
      <c r="J298" t="s">
        <v>126</v>
      </c>
      <c r="K298" t="s">
        <v>119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2">
        <v>0.7</v>
      </c>
      <c r="S298">
        <v>441</v>
      </c>
      <c r="T298" t="s">
        <v>27</v>
      </c>
      <c r="U298">
        <v>441</v>
      </c>
      <c r="V298" s="7" t="s">
        <v>24</v>
      </c>
      <c r="W298" s="7" t="s">
        <v>119</v>
      </c>
    </row>
    <row r="299" spans="1:23" x14ac:dyDescent="0.4">
      <c r="A299" t="s">
        <v>262</v>
      </c>
      <c r="B299" t="s">
        <v>722</v>
      </c>
      <c r="C299" t="s">
        <v>772</v>
      </c>
      <c r="D299" t="s">
        <v>64</v>
      </c>
      <c r="E299" t="s">
        <v>22</v>
      </c>
      <c r="F299" t="s">
        <v>23</v>
      </c>
      <c r="G299">
        <v>1</v>
      </c>
      <c r="H299">
        <v>9791166300226</v>
      </c>
      <c r="I299" t="s">
        <v>24</v>
      </c>
      <c r="J299" t="s">
        <v>131</v>
      </c>
      <c r="K299" t="s">
        <v>119</v>
      </c>
      <c r="L299" t="s">
        <v>27</v>
      </c>
      <c r="M299">
        <v>630</v>
      </c>
      <c r="N299" t="s">
        <v>27</v>
      </c>
      <c r="O299">
        <v>630</v>
      </c>
      <c r="P299">
        <v>630</v>
      </c>
      <c r="Q299" t="s">
        <v>30</v>
      </c>
      <c r="R299" s="2">
        <v>0.7</v>
      </c>
      <c r="S299">
        <v>441</v>
      </c>
      <c r="T299" t="s">
        <v>27</v>
      </c>
      <c r="U299">
        <v>441</v>
      </c>
      <c r="V299" s="7" t="s">
        <v>24</v>
      </c>
      <c r="W299" s="7" t="s">
        <v>119</v>
      </c>
    </row>
    <row r="300" spans="1:23" x14ac:dyDescent="0.4">
      <c r="A300" t="s">
        <v>262</v>
      </c>
      <c r="B300" t="s">
        <v>722</v>
      </c>
      <c r="C300" t="s">
        <v>773</v>
      </c>
      <c r="D300" t="s">
        <v>64</v>
      </c>
      <c r="E300" t="s">
        <v>22</v>
      </c>
      <c r="F300" t="s">
        <v>23</v>
      </c>
      <c r="G300">
        <v>1</v>
      </c>
      <c r="H300">
        <v>9791166300141</v>
      </c>
      <c r="I300" t="s">
        <v>24</v>
      </c>
      <c r="J300" t="s">
        <v>124</v>
      </c>
      <c r="K300" t="s">
        <v>119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2">
        <v>0.7</v>
      </c>
      <c r="S300">
        <v>441</v>
      </c>
      <c r="T300" t="s">
        <v>27</v>
      </c>
      <c r="U300">
        <v>441</v>
      </c>
      <c r="V300" s="7" t="s">
        <v>24</v>
      </c>
      <c r="W300" s="7" t="s">
        <v>119</v>
      </c>
    </row>
    <row r="301" spans="1:23" x14ac:dyDescent="0.4">
      <c r="A301" t="s">
        <v>262</v>
      </c>
      <c r="B301" t="s">
        <v>722</v>
      </c>
      <c r="C301" t="s">
        <v>777</v>
      </c>
      <c r="D301" t="s">
        <v>64</v>
      </c>
      <c r="E301" t="s">
        <v>22</v>
      </c>
      <c r="F301" t="s">
        <v>23</v>
      </c>
      <c r="G301">
        <v>1</v>
      </c>
      <c r="H301">
        <v>9791166300301</v>
      </c>
      <c r="I301" t="s">
        <v>24</v>
      </c>
      <c r="J301" t="s">
        <v>139</v>
      </c>
      <c r="K301" t="s">
        <v>119</v>
      </c>
      <c r="L301" t="s">
        <v>27</v>
      </c>
      <c r="M301">
        <v>630</v>
      </c>
      <c r="N301" t="s">
        <v>27</v>
      </c>
      <c r="O301">
        <v>630</v>
      </c>
      <c r="P301">
        <v>630</v>
      </c>
      <c r="Q301" t="s">
        <v>30</v>
      </c>
      <c r="R301" s="2">
        <v>0.7</v>
      </c>
      <c r="S301">
        <v>441</v>
      </c>
      <c r="T301" t="s">
        <v>27</v>
      </c>
      <c r="U301">
        <v>441</v>
      </c>
      <c r="V301" s="7" t="s">
        <v>24</v>
      </c>
      <c r="W301" s="7" t="s">
        <v>119</v>
      </c>
    </row>
    <row r="302" spans="1:23" x14ac:dyDescent="0.4">
      <c r="A302" t="s">
        <v>262</v>
      </c>
      <c r="B302" t="s">
        <v>722</v>
      </c>
      <c r="C302" t="s">
        <v>778</v>
      </c>
      <c r="D302" t="s">
        <v>64</v>
      </c>
      <c r="E302" t="s">
        <v>22</v>
      </c>
      <c r="F302" t="s">
        <v>23</v>
      </c>
      <c r="G302">
        <v>1</v>
      </c>
      <c r="H302">
        <v>9791166300110</v>
      </c>
      <c r="I302" t="s">
        <v>24</v>
      </c>
      <c r="J302" t="s">
        <v>121</v>
      </c>
      <c r="K302" t="s">
        <v>119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2">
        <v>0.7</v>
      </c>
      <c r="S302">
        <v>441</v>
      </c>
      <c r="T302" t="s">
        <v>27</v>
      </c>
      <c r="U302">
        <v>441</v>
      </c>
      <c r="V302" s="7" t="s">
        <v>24</v>
      </c>
      <c r="W302" s="7" t="s">
        <v>119</v>
      </c>
    </row>
    <row r="303" spans="1:23" x14ac:dyDescent="0.4">
      <c r="A303" t="s">
        <v>262</v>
      </c>
      <c r="B303" t="s">
        <v>722</v>
      </c>
      <c r="C303" t="s">
        <v>779</v>
      </c>
      <c r="D303" t="s">
        <v>64</v>
      </c>
      <c r="E303" t="s">
        <v>22</v>
      </c>
      <c r="F303" t="s">
        <v>23</v>
      </c>
      <c r="G303">
        <v>1</v>
      </c>
      <c r="H303">
        <v>9791166300271</v>
      </c>
      <c r="I303" t="s">
        <v>24</v>
      </c>
      <c r="J303" t="s">
        <v>136</v>
      </c>
      <c r="K303" t="s">
        <v>119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441</v>
      </c>
      <c r="V303" s="7" t="s">
        <v>24</v>
      </c>
      <c r="W303" s="7" t="s">
        <v>119</v>
      </c>
    </row>
    <row r="304" spans="1:23" x14ac:dyDescent="0.4">
      <c r="A304" t="s">
        <v>262</v>
      </c>
      <c r="B304" t="s">
        <v>722</v>
      </c>
      <c r="C304" t="s">
        <v>780</v>
      </c>
      <c r="D304" t="s">
        <v>64</v>
      </c>
      <c r="E304" t="s">
        <v>22</v>
      </c>
      <c r="F304" t="s">
        <v>23</v>
      </c>
      <c r="G304">
        <v>1</v>
      </c>
      <c r="H304">
        <v>9791166300509</v>
      </c>
      <c r="I304" t="s">
        <v>24</v>
      </c>
      <c r="J304" t="s">
        <v>148</v>
      </c>
      <c r="K304" t="s">
        <v>119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  <c r="V304" s="7" t="s">
        <v>24</v>
      </c>
      <c r="W304" s="7" t="s">
        <v>119</v>
      </c>
    </row>
    <row r="305" spans="1:23" x14ac:dyDescent="0.4">
      <c r="A305" t="s">
        <v>262</v>
      </c>
      <c r="B305" t="s">
        <v>722</v>
      </c>
      <c r="C305" t="s">
        <v>781</v>
      </c>
      <c r="D305" t="s">
        <v>64</v>
      </c>
      <c r="E305" t="s">
        <v>22</v>
      </c>
      <c r="F305" t="s">
        <v>23</v>
      </c>
      <c r="G305">
        <v>1</v>
      </c>
      <c r="H305">
        <v>9791166300110</v>
      </c>
      <c r="I305" t="s">
        <v>24</v>
      </c>
      <c r="J305" t="s">
        <v>121</v>
      </c>
      <c r="K305" t="s">
        <v>119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  <c r="V305" s="7" t="s">
        <v>24</v>
      </c>
      <c r="W305" s="7" t="s">
        <v>119</v>
      </c>
    </row>
    <row r="306" spans="1:23" x14ac:dyDescent="0.4">
      <c r="A306" t="s">
        <v>262</v>
      </c>
      <c r="B306" t="s">
        <v>722</v>
      </c>
      <c r="C306" t="s">
        <v>782</v>
      </c>
      <c r="D306" t="s">
        <v>64</v>
      </c>
      <c r="E306" t="s">
        <v>22</v>
      </c>
      <c r="F306" t="s">
        <v>23</v>
      </c>
      <c r="G306">
        <v>1</v>
      </c>
      <c r="H306">
        <v>9791166300226</v>
      </c>
      <c r="I306" t="s">
        <v>24</v>
      </c>
      <c r="J306" t="s">
        <v>131</v>
      </c>
      <c r="K306" t="s">
        <v>119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2">
        <v>0.7</v>
      </c>
      <c r="S306">
        <v>441</v>
      </c>
      <c r="T306" t="s">
        <v>27</v>
      </c>
      <c r="U306">
        <v>441</v>
      </c>
      <c r="V306" s="7" t="s">
        <v>24</v>
      </c>
      <c r="W306" s="7" t="s">
        <v>119</v>
      </c>
    </row>
    <row r="307" spans="1:23" x14ac:dyDescent="0.4">
      <c r="A307" t="s">
        <v>262</v>
      </c>
      <c r="B307" t="s">
        <v>722</v>
      </c>
      <c r="C307" t="s">
        <v>783</v>
      </c>
      <c r="D307" t="s">
        <v>64</v>
      </c>
      <c r="E307" t="s">
        <v>22</v>
      </c>
      <c r="F307" t="s">
        <v>23</v>
      </c>
      <c r="G307">
        <v>1</v>
      </c>
      <c r="H307">
        <v>9791166300158</v>
      </c>
      <c r="I307" t="s">
        <v>24</v>
      </c>
      <c r="J307" t="s">
        <v>125</v>
      </c>
      <c r="K307" t="s">
        <v>119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2">
        <v>0.7</v>
      </c>
      <c r="S307">
        <v>441</v>
      </c>
      <c r="T307" t="s">
        <v>27</v>
      </c>
      <c r="U307">
        <v>441</v>
      </c>
      <c r="V307" s="7" t="s">
        <v>24</v>
      </c>
      <c r="W307" s="7" t="s">
        <v>119</v>
      </c>
    </row>
    <row r="308" spans="1:23" x14ac:dyDescent="0.4">
      <c r="A308" t="s">
        <v>262</v>
      </c>
      <c r="B308" t="s">
        <v>722</v>
      </c>
      <c r="C308" t="s">
        <v>784</v>
      </c>
      <c r="D308" t="s">
        <v>64</v>
      </c>
      <c r="E308" t="s">
        <v>22</v>
      </c>
      <c r="F308" t="s">
        <v>23</v>
      </c>
      <c r="G308">
        <v>1</v>
      </c>
      <c r="H308">
        <v>9791166300233</v>
      </c>
      <c r="I308" t="s">
        <v>24</v>
      </c>
      <c r="J308" t="s">
        <v>132</v>
      </c>
      <c r="K308" t="s">
        <v>119</v>
      </c>
      <c r="L308" t="s">
        <v>27</v>
      </c>
      <c r="M308">
        <v>630</v>
      </c>
      <c r="N308" t="s">
        <v>27</v>
      </c>
      <c r="O308">
        <v>630</v>
      </c>
      <c r="P308">
        <v>630</v>
      </c>
      <c r="Q308" t="s">
        <v>30</v>
      </c>
      <c r="R308" s="2">
        <v>0.7</v>
      </c>
      <c r="S308">
        <v>441</v>
      </c>
      <c r="T308" t="s">
        <v>27</v>
      </c>
      <c r="U308">
        <v>441</v>
      </c>
      <c r="V308" s="7" t="s">
        <v>24</v>
      </c>
      <c r="W308" s="7" t="s">
        <v>119</v>
      </c>
    </row>
    <row r="309" spans="1:23" x14ac:dyDescent="0.4">
      <c r="A309" t="s">
        <v>262</v>
      </c>
      <c r="B309" t="s">
        <v>722</v>
      </c>
      <c r="C309" t="s">
        <v>788</v>
      </c>
      <c r="D309" t="s">
        <v>64</v>
      </c>
      <c r="E309" t="s">
        <v>22</v>
      </c>
      <c r="F309" t="s">
        <v>23</v>
      </c>
      <c r="G309">
        <v>1</v>
      </c>
      <c r="H309">
        <v>9791166300172</v>
      </c>
      <c r="I309" t="s">
        <v>24</v>
      </c>
      <c r="J309" t="s">
        <v>127</v>
      </c>
      <c r="K309" t="s">
        <v>119</v>
      </c>
      <c r="L309" t="s">
        <v>27</v>
      </c>
      <c r="M309">
        <v>630</v>
      </c>
      <c r="N309" t="s">
        <v>27</v>
      </c>
      <c r="O309">
        <v>630</v>
      </c>
      <c r="P309">
        <v>630</v>
      </c>
      <c r="Q309" t="s">
        <v>30</v>
      </c>
      <c r="R309" s="2">
        <v>0.7</v>
      </c>
      <c r="S309">
        <v>441</v>
      </c>
      <c r="T309" t="s">
        <v>27</v>
      </c>
      <c r="U309">
        <v>441</v>
      </c>
      <c r="V309" s="7" t="s">
        <v>24</v>
      </c>
      <c r="W309" s="7" t="s">
        <v>119</v>
      </c>
    </row>
    <row r="310" spans="1:23" x14ac:dyDescent="0.4">
      <c r="A310" t="s">
        <v>262</v>
      </c>
      <c r="B310" t="s">
        <v>722</v>
      </c>
      <c r="C310" t="s">
        <v>789</v>
      </c>
      <c r="D310" t="s">
        <v>64</v>
      </c>
      <c r="E310" t="s">
        <v>22</v>
      </c>
      <c r="F310" t="s">
        <v>23</v>
      </c>
      <c r="G310">
        <v>1</v>
      </c>
      <c r="H310">
        <v>9791166300127</v>
      </c>
      <c r="I310" t="s">
        <v>24</v>
      </c>
      <c r="J310" t="s">
        <v>122</v>
      </c>
      <c r="K310" t="s">
        <v>119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2">
        <v>0.7</v>
      </c>
      <c r="S310">
        <v>441</v>
      </c>
      <c r="T310" t="s">
        <v>27</v>
      </c>
      <c r="U310">
        <v>441</v>
      </c>
      <c r="V310" s="7" t="s">
        <v>24</v>
      </c>
      <c r="W310" s="7" t="s">
        <v>119</v>
      </c>
    </row>
    <row r="311" spans="1:23" x14ac:dyDescent="0.4">
      <c r="A311" t="s">
        <v>262</v>
      </c>
      <c r="B311" t="s">
        <v>722</v>
      </c>
      <c r="C311" t="s">
        <v>790</v>
      </c>
      <c r="D311" t="s">
        <v>21</v>
      </c>
      <c r="E311" t="s">
        <v>22</v>
      </c>
      <c r="F311" t="s">
        <v>23</v>
      </c>
      <c r="G311">
        <v>1</v>
      </c>
      <c r="H311">
        <v>9791166300271</v>
      </c>
      <c r="I311" t="s">
        <v>24</v>
      </c>
      <c r="J311" t="s">
        <v>136</v>
      </c>
      <c r="K311" t="s">
        <v>119</v>
      </c>
      <c r="L311" t="s">
        <v>27</v>
      </c>
      <c r="M311" s="3">
        <v>3200</v>
      </c>
      <c r="N311" t="s">
        <v>27</v>
      </c>
      <c r="O311" s="3">
        <v>3200</v>
      </c>
      <c r="P311" s="3">
        <v>3200</v>
      </c>
      <c r="Q311" t="s">
        <v>30</v>
      </c>
      <c r="R311" s="2">
        <v>0.7</v>
      </c>
      <c r="S311" s="3">
        <v>2240</v>
      </c>
      <c r="T311" t="s">
        <v>27</v>
      </c>
      <c r="U311" s="3">
        <v>2240</v>
      </c>
      <c r="V311" s="7" t="s">
        <v>24</v>
      </c>
      <c r="W311" s="7" t="s">
        <v>119</v>
      </c>
    </row>
    <row r="312" spans="1:23" x14ac:dyDescent="0.4">
      <c r="A312" t="s">
        <v>262</v>
      </c>
      <c r="B312" t="s">
        <v>722</v>
      </c>
      <c r="C312" t="s">
        <v>791</v>
      </c>
      <c r="D312" t="s">
        <v>64</v>
      </c>
      <c r="E312" t="s">
        <v>22</v>
      </c>
      <c r="F312" t="s">
        <v>23</v>
      </c>
      <c r="G312">
        <v>1</v>
      </c>
      <c r="H312">
        <v>9791166300288</v>
      </c>
      <c r="I312" t="s">
        <v>24</v>
      </c>
      <c r="J312" t="s">
        <v>137</v>
      </c>
      <c r="K312" t="s">
        <v>119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  <c r="V312" s="7" t="s">
        <v>24</v>
      </c>
      <c r="W312" s="7" t="s">
        <v>119</v>
      </c>
    </row>
    <row r="313" spans="1:23" x14ac:dyDescent="0.4">
      <c r="A313" t="s">
        <v>262</v>
      </c>
      <c r="B313" t="s">
        <v>722</v>
      </c>
      <c r="C313" t="s">
        <v>795</v>
      </c>
      <c r="D313" t="s">
        <v>64</v>
      </c>
      <c r="E313" t="s">
        <v>22</v>
      </c>
      <c r="F313" t="s">
        <v>23</v>
      </c>
      <c r="G313">
        <v>1</v>
      </c>
      <c r="H313">
        <v>9791166300462</v>
      </c>
      <c r="I313" t="s">
        <v>24</v>
      </c>
      <c r="J313" t="s">
        <v>144</v>
      </c>
      <c r="K313" t="s">
        <v>119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  <c r="V313" s="7" t="s">
        <v>24</v>
      </c>
      <c r="W313" s="7" t="s">
        <v>119</v>
      </c>
    </row>
    <row r="314" spans="1:23" x14ac:dyDescent="0.4">
      <c r="A314" t="s">
        <v>262</v>
      </c>
      <c r="B314" t="s">
        <v>722</v>
      </c>
      <c r="C314" t="s">
        <v>796</v>
      </c>
      <c r="D314" t="s">
        <v>64</v>
      </c>
      <c r="E314" t="s">
        <v>22</v>
      </c>
      <c r="F314" t="s">
        <v>23</v>
      </c>
      <c r="G314">
        <v>1</v>
      </c>
      <c r="H314">
        <v>9791166300240</v>
      </c>
      <c r="I314" t="s">
        <v>24</v>
      </c>
      <c r="J314" t="s">
        <v>133</v>
      </c>
      <c r="K314" t="s">
        <v>119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  <c r="V314" s="7" t="s">
        <v>24</v>
      </c>
      <c r="W314" s="7" t="s">
        <v>119</v>
      </c>
    </row>
    <row r="315" spans="1:23" x14ac:dyDescent="0.4">
      <c r="A315" t="s">
        <v>262</v>
      </c>
      <c r="B315" t="s">
        <v>722</v>
      </c>
      <c r="C315" t="s">
        <v>799</v>
      </c>
      <c r="D315" t="s">
        <v>64</v>
      </c>
      <c r="E315" t="s">
        <v>22</v>
      </c>
      <c r="F315" t="s">
        <v>23</v>
      </c>
      <c r="G315">
        <v>1</v>
      </c>
      <c r="H315">
        <v>9791166300233</v>
      </c>
      <c r="I315" t="s">
        <v>24</v>
      </c>
      <c r="J315" t="s">
        <v>132</v>
      </c>
      <c r="K315" t="s">
        <v>119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  <c r="V315" s="7" t="s">
        <v>24</v>
      </c>
      <c r="W315" s="7" t="s">
        <v>119</v>
      </c>
    </row>
    <row r="316" spans="1:23" x14ac:dyDescent="0.4">
      <c r="A316" t="s">
        <v>262</v>
      </c>
      <c r="B316" t="s">
        <v>722</v>
      </c>
      <c r="C316" t="s">
        <v>800</v>
      </c>
      <c r="D316" t="s">
        <v>64</v>
      </c>
      <c r="E316" t="s">
        <v>22</v>
      </c>
      <c r="F316" t="s">
        <v>23</v>
      </c>
      <c r="G316">
        <v>1</v>
      </c>
      <c r="H316">
        <v>9791166300240</v>
      </c>
      <c r="I316" t="s">
        <v>24</v>
      </c>
      <c r="J316" t="s">
        <v>133</v>
      </c>
      <c r="K316" t="s">
        <v>119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2">
        <v>0.7</v>
      </c>
      <c r="S316">
        <v>441</v>
      </c>
      <c r="T316" t="s">
        <v>27</v>
      </c>
      <c r="U316">
        <v>441</v>
      </c>
      <c r="V316" s="7" t="s">
        <v>24</v>
      </c>
      <c r="W316" s="7" t="s">
        <v>119</v>
      </c>
    </row>
    <row r="317" spans="1:23" x14ac:dyDescent="0.4">
      <c r="A317" t="s">
        <v>262</v>
      </c>
      <c r="B317" t="s">
        <v>722</v>
      </c>
      <c r="C317" t="s">
        <v>802</v>
      </c>
      <c r="D317" t="s">
        <v>64</v>
      </c>
      <c r="E317" t="s">
        <v>22</v>
      </c>
      <c r="F317" t="s">
        <v>23</v>
      </c>
      <c r="G317">
        <v>1</v>
      </c>
      <c r="H317">
        <v>9791166300134</v>
      </c>
      <c r="I317" t="s">
        <v>24</v>
      </c>
      <c r="J317" t="s">
        <v>123</v>
      </c>
      <c r="K317" t="s">
        <v>119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  <c r="V317" s="7" t="s">
        <v>24</v>
      </c>
      <c r="W317" s="7" t="s">
        <v>119</v>
      </c>
    </row>
    <row r="318" spans="1:23" x14ac:dyDescent="0.4">
      <c r="A318" t="s">
        <v>262</v>
      </c>
      <c r="B318" t="s">
        <v>722</v>
      </c>
      <c r="C318" t="s">
        <v>804</v>
      </c>
      <c r="D318" t="s">
        <v>64</v>
      </c>
      <c r="E318" t="s">
        <v>22</v>
      </c>
      <c r="F318" t="s">
        <v>23</v>
      </c>
      <c r="G318">
        <v>1</v>
      </c>
      <c r="H318">
        <v>9791166300110</v>
      </c>
      <c r="I318" t="s">
        <v>24</v>
      </c>
      <c r="J318" t="s">
        <v>121</v>
      </c>
      <c r="K318" t="s">
        <v>119</v>
      </c>
      <c r="L318" t="s">
        <v>27</v>
      </c>
      <c r="M318">
        <v>630</v>
      </c>
      <c r="N318" t="s">
        <v>27</v>
      </c>
      <c r="O318">
        <v>630</v>
      </c>
      <c r="P318">
        <v>630</v>
      </c>
      <c r="Q318" t="s">
        <v>30</v>
      </c>
      <c r="R318" s="2">
        <v>0.7</v>
      </c>
      <c r="S318">
        <v>441</v>
      </c>
      <c r="T318" t="s">
        <v>27</v>
      </c>
      <c r="U318">
        <v>441</v>
      </c>
      <c r="V318" s="7" t="s">
        <v>24</v>
      </c>
      <c r="W318" s="7" t="s">
        <v>119</v>
      </c>
    </row>
    <row r="319" spans="1:23" x14ac:dyDescent="0.4">
      <c r="A319" t="s">
        <v>262</v>
      </c>
      <c r="B319" t="s">
        <v>722</v>
      </c>
      <c r="C319" t="s">
        <v>805</v>
      </c>
      <c r="D319" t="s">
        <v>64</v>
      </c>
      <c r="E319" t="s">
        <v>22</v>
      </c>
      <c r="F319" t="s">
        <v>23</v>
      </c>
      <c r="G319">
        <v>1</v>
      </c>
      <c r="H319">
        <v>9791166300134</v>
      </c>
      <c r="I319" t="s">
        <v>24</v>
      </c>
      <c r="J319" t="s">
        <v>123</v>
      </c>
      <c r="K319" t="s">
        <v>119</v>
      </c>
      <c r="L319" t="s">
        <v>27</v>
      </c>
      <c r="M319">
        <v>630</v>
      </c>
      <c r="N319" t="s">
        <v>27</v>
      </c>
      <c r="O319">
        <v>630</v>
      </c>
      <c r="P319">
        <v>630</v>
      </c>
      <c r="Q319" t="s">
        <v>30</v>
      </c>
      <c r="R319" s="2">
        <v>0.7</v>
      </c>
      <c r="S319">
        <v>441</v>
      </c>
      <c r="T319" t="s">
        <v>27</v>
      </c>
      <c r="U319">
        <v>441</v>
      </c>
      <c r="V319" s="7" t="s">
        <v>24</v>
      </c>
      <c r="W319" s="7" t="s">
        <v>119</v>
      </c>
    </row>
    <row r="320" spans="1:23" x14ac:dyDescent="0.4">
      <c r="A320" t="s">
        <v>262</v>
      </c>
      <c r="B320" t="s">
        <v>722</v>
      </c>
      <c r="C320" t="s">
        <v>806</v>
      </c>
      <c r="D320" t="s">
        <v>64</v>
      </c>
      <c r="E320" t="s">
        <v>22</v>
      </c>
      <c r="F320" t="s">
        <v>23</v>
      </c>
      <c r="G320">
        <v>1</v>
      </c>
      <c r="H320">
        <v>9791166300158</v>
      </c>
      <c r="I320" t="s">
        <v>24</v>
      </c>
      <c r="J320" t="s">
        <v>125</v>
      </c>
      <c r="K320" t="s">
        <v>119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  <c r="V320" s="7" t="s">
        <v>24</v>
      </c>
      <c r="W320" s="7" t="s">
        <v>119</v>
      </c>
    </row>
    <row r="321" spans="1:23" x14ac:dyDescent="0.4">
      <c r="A321" t="s">
        <v>262</v>
      </c>
      <c r="B321" t="s">
        <v>722</v>
      </c>
      <c r="C321" t="s">
        <v>807</v>
      </c>
      <c r="D321" t="s">
        <v>64</v>
      </c>
      <c r="E321" t="s">
        <v>22</v>
      </c>
      <c r="F321" t="s">
        <v>23</v>
      </c>
      <c r="G321">
        <v>1</v>
      </c>
      <c r="H321">
        <v>9791166300172</v>
      </c>
      <c r="I321" t="s">
        <v>24</v>
      </c>
      <c r="J321" t="s">
        <v>127</v>
      </c>
      <c r="K321" t="s">
        <v>119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  <c r="V321" s="7" t="s">
        <v>24</v>
      </c>
      <c r="W321" s="7" t="s">
        <v>119</v>
      </c>
    </row>
    <row r="322" spans="1:23" x14ac:dyDescent="0.4">
      <c r="A322" t="s">
        <v>262</v>
      </c>
      <c r="B322" t="s">
        <v>722</v>
      </c>
      <c r="C322" t="s">
        <v>809</v>
      </c>
      <c r="D322" t="s">
        <v>64</v>
      </c>
      <c r="E322" t="s">
        <v>22</v>
      </c>
      <c r="F322" t="s">
        <v>23</v>
      </c>
      <c r="G322">
        <v>1</v>
      </c>
      <c r="H322">
        <v>9791166300110</v>
      </c>
      <c r="I322" t="s">
        <v>24</v>
      </c>
      <c r="J322" t="s">
        <v>121</v>
      </c>
      <c r="K322" t="s">
        <v>119</v>
      </c>
      <c r="L322" t="s">
        <v>27</v>
      </c>
      <c r="M322">
        <v>630</v>
      </c>
      <c r="N322" t="s">
        <v>27</v>
      </c>
      <c r="O322">
        <v>630</v>
      </c>
      <c r="P322">
        <v>630</v>
      </c>
      <c r="Q322" t="s">
        <v>30</v>
      </c>
      <c r="R322" s="2">
        <v>0.7</v>
      </c>
      <c r="S322">
        <v>441</v>
      </c>
      <c r="T322" t="s">
        <v>27</v>
      </c>
      <c r="U322">
        <v>441</v>
      </c>
      <c r="V322" s="7" t="s">
        <v>24</v>
      </c>
      <c r="W322" s="7" t="s">
        <v>119</v>
      </c>
    </row>
    <row r="323" spans="1:23" x14ac:dyDescent="0.4">
      <c r="A323" t="s">
        <v>262</v>
      </c>
      <c r="B323" t="s">
        <v>810</v>
      </c>
      <c r="C323" t="s">
        <v>815</v>
      </c>
      <c r="D323" t="s">
        <v>64</v>
      </c>
      <c r="E323" t="s">
        <v>22</v>
      </c>
      <c r="F323" t="s">
        <v>23</v>
      </c>
      <c r="G323">
        <v>1</v>
      </c>
      <c r="H323">
        <v>9791166300295</v>
      </c>
      <c r="I323" t="s">
        <v>24</v>
      </c>
      <c r="J323" t="s">
        <v>138</v>
      </c>
      <c r="K323" t="s">
        <v>119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  <c r="V323" s="7" t="s">
        <v>24</v>
      </c>
      <c r="W323" s="7" t="s">
        <v>119</v>
      </c>
    </row>
    <row r="324" spans="1:23" x14ac:dyDescent="0.4">
      <c r="A324" t="s">
        <v>262</v>
      </c>
      <c r="B324" t="s">
        <v>810</v>
      </c>
      <c r="C324" t="s">
        <v>816</v>
      </c>
      <c r="D324" t="s">
        <v>64</v>
      </c>
      <c r="E324" t="s">
        <v>22</v>
      </c>
      <c r="F324" t="s">
        <v>23</v>
      </c>
      <c r="G324">
        <v>1</v>
      </c>
      <c r="H324">
        <v>9791166300127</v>
      </c>
      <c r="I324" t="s">
        <v>24</v>
      </c>
      <c r="J324" t="s">
        <v>122</v>
      </c>
      <c r="K324" t="s">
        <v>119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2">
        <v>0.7</v>
      </c>
      <c r="S324">
        <v>441</v>
      </c>
      <c r="T324" t="s">
        <v>27</v>
      </c>
      <c r="U324">
        <v>441</v>
      </c>
      <c r="V324" s="7" t="s">
        <v>24</v>
      </c>
      <c r="W324" s="7" t="s">
        <v>119</v>
      </c>
    </row>
    <row r="325" spans="1:23" x14ac:dyDescent="0.4">
      <c r="A325" t="s">
        <v>262</v>
      </c>
      <c r="B325" t="s">
        <v>810</v>
      </c>
      <c r="C325" t="s">
        <v>817</v>
      </c>
      <c r="D325" t="s">
        <v>64</v>
      </c>
      <c r="E325" t="s">
        <v>22</v>
      </c>
      <c r="F325" t="s">
        <v>23</v>
      </c>
      <c r="G325">
        <v>1</v>
      </c>
      <c r="H325">
        <v>9791166300257</v>
      </c>
      <c r="I325" t="s">
        <v>24</v>
      </c>
      <c r="J325" t="s">
        <v>134</v>
      </c>
      <c r="K325" t="s">
        <v>119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2">
        <v>0.7</v>
      </c>
      <c r="S325">
        <v>441</v>
      </c>
      <c r="T325" t="s">
        <v>27</v>
      </c>
      <c r="U325">
        <v>441</v>
      </c>
      <c r="V325" s="7" t="s">
        <v>24</v>
      </c>
      <c r="W325" s="7" t="s">
        <v>119</v>
      </c>
    </row>
    <row r="326" spans="1:23" x14ac:dyDescent="0.4">
      <c r="A326" t="s">
        <v>262</v>
      </c>
      <c r="B326" t="s">
        <v>810</v>
      </c>
      <c r="C326" t="s">
        <v>818</v>
      </c>
      <c r="D326" t="s">
        <v>64</v>
      </c>
      <c r="E326" t="s">
        <v>22</v>
      </c>
      <c r="F326" t="s">
        <v>23</v>
      </c>
      <c r="G326">
        <v>1</v>
      </c>
      <c r="H326">
        <v>9791166300523</v>
      </c>
      <c r="I326" t="s">
        <v>24</v>
      </c>
      <c r="J326" t="s">
        <v>150</v>
      </c>
      <c r="K326" t="s">
        <v>119</v>
      </c>
      <c r="L326" t="s">
        <v>27</v>
      </c>
      <c r="M326">
        <v>630</v>
      </c>
      <c r="N326" t="s">
        <v>27</v>
      </c>
      <c r="O326">
        <v>630</v>
      </c>
      <c r="P326">
        <v>630</v>
      </c>
      <c r="Q326" t="s">
        <v>30</v>
      </c>
      <c r="R326" s="2">
        <v>0.7</v>
      </c>
      <c r="S326">
        <v>441</v>
      </c>
      <c r="T326" t="s">
        <v>27</v>
      </c>
      <c r="U326">
        <v>441</v>
      </c>
      <c r="V326" s="7" t="s">
        <v>24</v>
      </c>
      <c r="W326" s="7" t="s">
        <v>119</v>
      </c>
    </row>
    <row r="327" spans="1:23" x14ac:dyDescent="0.4">
      <c r="A327" t="s">
        <v>262</v>
      </c>
      <c r="B327" t="s">
        <v>810</v>
      </c>
      <c r="C327" t="s">
        <v>819</v>
      </c>
      <c r="D327" t="s">
        <v>64</v>
      </c>
      <c r="E327" t="s">
        <v>22</v>
      </c>
      <c r="F327" t="s">
        <v>23</v>
      </c>
      <c r="G327">
        <v>1</v>
      </c>
      <c r="H327">
        <v>9791166300134</v>
      </c>
      <c r="I327" t="s">
        <v>24</v>
      </c>
      <c r="J327" t="s">
        <v>123</v>
      </c>
      <c r="K327" t="s">
        <v>119</v>
      </c>
      <c r="L327" t="s">
        <v>27</v>
      </c>
      <c r="M327">
        <v>630</v>
      </c>
      <c r="N327" t="s">
        <v>27</v>
      </c>
      <c r="O327">
        <v>630</v>
      </c>
      <c r="P327">
        <v>630</v>
      </c>
      <c r="Q327" t="s">
        <v>30</v>
      </c>
      <c r="R327" s="2">
        <v>0.7</v>
      </c>
      <c r="S327">
        <v>441</v>
      </c>
      <c r="T327" t="s">
        <v>27</v>
      </c>
      <c r="U327">
        <v>441</v>
      </c>
      <c r="V327" s="7" t="s">
        <v>24</v>
      </c>
      <c r="W327" s="7" t="s">
        <v>119</v>
      </c>
    </row>
    <row r="328" spans="1:23" x14ac:dyDescent="0.4">
      <c r="A328" t="s">
        <v>262</v>
      </c>
      <c r="B328" t="s">
        <v>810</v>
      </c>
      <c r="C328" t="s">
        <v>822</v>
      </c>
      <c r="D328" t="s">
        <v>64</v>
      </c>
      <c r="E328" t="s">
        <v>22</v>
      </c>
      <c r="F328" t="s">
        <v>23</v>
      </c>
      <c r="G328">
        <v>1</v>
      </c>
      <c r="H328">
        <v>9791166300653</v>
      </c>
      <c r="I328" t="s">
        <v>24</v>
      </c>
      <c r="J328" t="s">
        <v>157</v>
      </c>
      <c r="K328" t="s">
        <v>119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2">
        <v>0.7</v>
      </c>
      <c r="S328">
        <v>441</v>
      </c>
      <c r="T328" t="s">
        <v>27</v>
      </c>
      <c r="U328">
        <v>441</v>
      </c>
      <c r="V328" s="7" t="s">
        <v>24</v>
      </c>
      <c r="W328" s="7" t="s">
        <v>119</v>
      </c>
    </row>
    <row r="329" spans="1:23" x14ac:dyDescent="0.4">
      <c r="A329" t="s">
        <v>262</v>
      </c>
      <c r="B329" t="s">
        <v>810</v>
      </c>
      <c r="C329" t="s">
        <v>823</v>
      </c>
      <c r="D329" t="s">
        <v>64</v>
      </c>
      <c r="E329" t="s">
        <v>22</v>
      </c>
      <c r="F329" t="s">
        <v>23</v>
      </c>
      <c r="G329">
        <v>1</v>
      </c>
      <c r="H329">
        <v>9791166300141</v>
      </c>
      <c r="I329" t="s">
        <v>24</v>
      </c>
      <c r="J329" t="s">
        <v>124</v>
      </c>
      <c r="K329" t="s">
        <v>119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  <c r="V329" s="7" t="s">
        <v>24</v>
      </c>
      <c r="W329" s="7" t="s">
        <v>119</v>
      </c>
    </row>
    <row r="330" spans="1:23" x14ac:dyDescent="0.4">
      <c r="A330" t="s">
        <v>262</v>
      </c>
      <c r="B330" t="s">
        <v>810</v>
      </c>
      <c r="C330" t="s">
        <v>825</v>
      </c>
      <c r="D330" t="s">
        <v>21</v>
      </c>
      <c r="E330" t="s">
        <v>22</v>
      </c>
      <c r="F330" t="s">
        <v>23</v>
      </c>
      <c r="G330">
        <v>1</v>
      </c>
      <c r="H330">
        <v>9791166300103</v>
      </c>
      <c r="I330" t="s">
        <v>24</v>
      </c>
      <c r="J330" t="s">
        <v>120</v>
      </c>
      <c r="K330" t="s">
        <v>119</v>
      </c>
      <c r="L330" t="s">
        <v>27</v>
      </c>
      <c r="M330" s="3">
        <v>3200</v>
      </c>
      <c r="N330" t="s">
        <v>27</v>
      </c>
      <c r="O330" s="3">
        <v>3200</v>
      </c>
      <c r="P330" s="3">
        <v>3200</v>
      </c>
      <c r="Q330" t="s">
        <v>30</v>
      </c>
      <c r="R330" s="2">
        <v>0.7</v>
      </c>
      <c r="S330" s="3">
        <v>2240</v>
      </c>
      <c r="T330" t="s">
        <v>27</v>
      </c>
      <c r="U330" s="3">
        <v>2240</v>
      </c>
      <c r="V330" s="7" t="s">
        <v>24</v>
      </c>
      <c r="W330" s="7" t="s">
        <v>119</v>
      </c>
    </row>
    <row r="331" spans="1:23" x14ac:dyDescent="0.4">
      <c r="A331" t="s">
        <v>262</v>
      </c>
      <c r="B331" t="s">
        <v>810</v>
      </c>
      <c r="C331" t="s">
        <v>827</v>
      </c>
      <c r="D331" t="s">
        <v>64</v>
      </c>
      <c r="E331" t="s">
        <v>22</v>
      </c>
      <c r="F331" t="s">
        <v>23</v>
      </c>
      <c r="G331">
        <v>1</v>
      </c>
      <c r="H331">
        <v>9791166300127</v>
      </c>
      <c r="I331" t="s">
        <v>24</v>
      </c>
      <c r="J331" t="s">
        <v>122</v>
      </c>
      <c r="K331" t="s">
        <v>119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  <c r="V331" s="7" t="s">
        <v>24</v>
      </c>
      <c r="W331" s="7" t="s">
        <v>119</v>
      </c>
    </row>
    <row r="332" spans="1:23" x14ac:dyDescent="0.4">
      <c r="A332" t="s">
        <v>262</v>
      </c>
      <c r="B332" t="s">
        <v>810</v>
      </c>
      <c r="C332" t="s">
        <v>828</v>
      </c>
      <c r="D332" t="s">
        <v>64</v>
      </c>
      <c r="E332" t="s">
        <v>22</v>
      </c>
      <c r="F332" t="s">
        <v>23</v>
      </c>
      <c r="G332">
        <v>1</v>
      </c>
      <c r="H332">
        <v>9791166300257</v>
      </c>
      <c r="I332" t="s">
        <v>24</v>
      </c>
      <c r="J332" t="s">
        <v>134</v>
      </c>
      <c r="K332" t="s">
        <v>119</v>
      </c>
      <c r="L332" t="s">
        <v>27</v>
      </c>
      <c r="M332">
        <v>630</v>
      </c>
      <c r="N332" t="s">
        <v>27</v>
      </c>
      <c r="O332">
        <v>630</v>
      </c>
      <c r="P332">
        <v>630</v>
      </c>
      <c r="Q332" t="s">
        <v>30</v>
      </c>
      <c r="R332" s="2">
        <v>0.7</v>
      </c>
      <c r="S332">
        <v>441</v>
      </c>
      <c r="T332" t="s">
        <v>27</v>
      </c>
      <c r="U332">
        <v>441</v>
      </c>
      <c r="V332" s="7" t="s">
        <v>24</v>
      </c>
      <c r="W332" s="7" t="s">
        <v>119</v>
      </c>
    </row>
    <row r="333" spans="1:23" x14ac:dyDescent="0.4">
      <c r="A333" t="s">
        <v>262</v>
      </c>
      <c r="B333" t="s">
        <v>810</v>
      </c>
      <c r="C333" t="s">
        <v>829</v>
      </c>
      <c r="D333" t="s">
        <v>64</v>
      </c>
      <c r="E333" t="s">
        <v>22</v>
      </c>
      <c r="F333" t="s">
        <v>23</v>
      </c>
      <c r="G333">
        <v>1</v>
      </c>
      <c r="H333">
        <v>9791166300301</v>
      </c>
      <c r="I333" t="s">
        <v>24</v>
      </c>
      <c r="J333" t="s">
        <v>139</v>
      </c>
      <c r="K333" t="s">
        <v>119</v>
      </c>
      <c r="L333" t="s">
        <v>27</v>
      </c>
      <c r="M333">
        <v>630</v>
      </c>
      <c r="N333" t="s">
        <v>27</v>
      </c>
      <c r="O333">
        <v>630</v>
      </c>
      <c r="P333">
        <v>630</v>
      </c>
      <c r="Q333" t="s">
        <v>30</v>
      </c>
      <c r="R333" s="2">
        <v>0.7</v>
      </c>
      <c r="S333">
        <v>441</v>
      </c>
      <c r="T333" t="s">
        <v>27</v>
      </c>
      <c r="U333">
        <v>441</v>
      </c>
      <c r="V333" s="7" t="s">
        <v>24</v>
      </c>
      <c r="W333" s="7" t="s">
        <v>119</v>
      </c>
    </row>
    <row r="334" spans="1:23" x14ac:dyDescent="0.4">
      <c r="A334" t="s">
        <v>262</v>
      </c>
      <c r="B334" t="s">
        <v>810</v>
      </c>
      <c r="C334" t="s">
        <v>830</v>
      </c>
      <c r="D334" t="s">
        <v>64</v>
      </c>
      <c r="E334" t="s">
        <v>22</v>
      </c>
      <c r="F334" t="s">
        <v>23</v>
      </c>
      <c r="G334">
        <v>1</v>
      </c>
      <c r="H334">
        <v>9791166300110</v>
      </c>
      <c r="I334" t="s">
        <v>24</v>
      </c>
      <c r="J334" t="s">
        <v>121</v>
      </c>
      <c r="K334" t="s">
        <v>119</v>
      </c>
      <c r="L334" t="s">
        <v>27</v>
      </c>
      <c r="M334">
        <v>630</v>
      </c>
      <c r="N334" t="s">
        <v>27</v>
      </c>
      <c r="O334">
        <v>630</v>
      </c>
      <c r="P334">
        <v>630</v>
      </c>
      <c r="Q334" t="s">
        <v>30</v>
      </c>
      <c r="R334" s="2">
        <v>0.7</v>
      </c>
      <c r="S334">
        <v>441</v>
      </c>
      <c r="T334" t="s">
        <v>27</v>
      </c>
      <c r="U334">
        <v>441</v>
      </c>
      <c r="V334" s="7" t="s">
        <v>24</v>
      </c>
      <c r="W334" s="7" t="s">
        <v>119</v>
      </c>
    </row>
    <row r="335" spans="1:23" x14ac:dyDescent="0.4">
      <c r="A335" t="s">
        <v>262</v>
      </c>
      <c r="B335" t="s">
        <v>810</v>
      </c>
      <c r="C335" t="s">
        <v>831</v>
      </c>
      <c r="D335" t="s">
        <v>64</v>
      </c>
      <c r="E335" t="s">
        <v>22</v>
      </c>
      <c r="F335" t="s">
        <v>23</v>
      </c>
      <c r="G335">
        <v>1</v>
      </c>
      <c r="H335">
        <v>9791166300165</v>
      </c>
      <c r="I335" t="s">
        <v>24</v>
      </c>
      <c r="J335" t="s">
        <v>126</v>
      </c>
      <c r="K335" t="s">
        <v>119</v>
      </c>
      <c r="L335" t="s">
        <v>27</v>
      </c>
      <c r="M335">
        <v>630</v>
      </c>
      <c r="N335" t="s">
        <v>27</v>
      </c>
      <c r="O335">
        <v>630</v>
      </c>
      <c r="P335">
        <v>630</v>
      </c>
      <c r="Q335" t="s">
        <v>30</v>
      </c>
      <c r="R335" s="2">
        <v>0.7</v>
      </c>
      <c r="S335">
        <v>441</v>
      </c>
      <c r="T335" t="s">
        <v>27</v>
      </c>
      <c r="U335">
        <v>441</v>
      </c>
      <c r="V335" s="7" t="s">
        <v>24</v>
      </c>
      <c r="W335" s="7" t="s">
        <v>119</v>
      </c>
    </row>
    <row r="336" spans="1:23" x14ac:dyDescent="0.4">
      <c r="A336" t="s">
        <v>262</v>
      </c>
      <c r="B336" t="s">
        <v>810</v>
      </c>
      <c r="C336" t="s">
        <v>832</v>
      </c>
      <c r="D336" t="s">
        <v>64</v>
      </c>
      <c r="E336" t="s">
        <v>22</v>
      </c>
      <c r="F336" t="s">
        <v>23</v>
      </c>
      <c r="G336">
        <v>1</v>
      </c>
      <c r="H336">
        <v>9791166300141</v>
      </c>
      <c r="I336" t="s">
        <v>24</v>
      </c>
      <c r="J336" t="s">
        <v>124</v>
      </c>
      <c r="K336" t="s">
        <v>119</v>
      </c>
      <c r="L336" t="s">
        <v>27</v>
      </c>
      <c r="M336">
        <v>630</v>
      </c>
      <c r="N336" t="s">
        <v>27</v>
      </c>
      <c r="O336">
        <v>630</v>
      </c>
      <c r="P336">
        <v>630</v>
      </c>
      <c r="Q336" t="s">
        <v>30</v>
      </c>
      <c r="R336" s="2">
        <v>0.7</v>
      </c>
      <c r="S336">
        <v>441</v>
      </c>
      <c r="T336" t="s">
        <v>27</v>
      </c>
      <c r="U336">
        <v>441</v>
      </c>
      <c r="V336" s="7" t="s">
        <v>24</v>
      </c>
      <c r="W336" s="7" t="s">
        <v>119</v>
      </c>
    </row>
    <row r="337" spans="1:23" x14ac:dyDescent="0.4">
      <c r="A337" t="s">
        <v>262</v>
      </c>
      <c r="B337" t="s">
        <v>810</v>
      </c>
      <c r="C337" t="s">
        <v>833</v>
      </c>
      <c r="D337" t="s">
        <v>64</v>
      </c>
      <c r="E337" t="s">
        <v>22</v>
      </c>
      <c r="F337" t="s">
        <v>23</v>
      </c>
      <c r="G337">
        <v>1</v>
      </c>
      <c r="H337">
        <v>9791166300196</v>
      </c>
      <c r="I337" t="s">
        <v>24</v>
      </c>
      <c r="J337" t="s">
        <v>128</v>
      </c>
      <c r="K337" t="s">
        <v>119</v>
      </c>
      <c r="L337" t="s">
        <v>27</v>
      </c>
      <c r="M337">
        <v>630</v>
      </c>
      <c r="N337" t="s">
        <v>27</v>
      </c>
      <c r="O337">
        <v>630</v>
      </c>
      <c r="P337">
        <v>630</v>
      </c>
      <c r="Q337" t="s">
        <v>30</v>
      </c>
      <c r="R337" s="2">
        <v>0.7</v>
      </c>
      <c r="S337">
        <v>441</v>
      </c>
      <c r="T337" t="s">
        <v>27</v>
      </c>
      <c r="U337">
        <v>441</v>
      </c>
      <c r="V337" s="7" t="s">
        <v>24</v>
      </c>
      <c r="W337" s="7" t="s">
        <v>119</v>
      </c>
    </row>
    <row r="338" spans="1:23" x14ac:dyDescent="0.4">
      <c r="A338" t="s">
        <v>262</v>
      </c>
      <c r="B338" t="s">
        <v>810</v>
      </c>
      <c r="C338" t="s">
        <v>836</v>
      </c>
      <c r="D338" t="s">
        <v>64</v>
      </c>
      <c r="E338" t="s">
        <v>22</v>
      </c>
      <c r="F338" t="s">
        <v>23</v>
      </c>
      <c r="G338">
        <v>1</v>
      </c>
      <c r="H338">
        <v>9791166300110</v>
      </c>
      <c r="I338" t="s">
        <v>24</v>
      </c>
      <c r="J338" t="s">
        <v>121</v>
      </c>
      <c r="K338" t="s">
        <v>119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  <c r="V338" s="7" t="s">
        <v>24</v>
      </c>
      <c r="W338" s="7" t="s">
        <v>119</v>
      </c>
    </row>
    <row r="339" spans="1:23" x14ac:dyDescent="0.4">
      <c r="A339" t="s">
        <v>262</v>
      </c>
      <c r="B339" t="s">
        <v>810</v>
      </c>
      <c r="C339" t="s">
        <v>838</v>
      </c>
      <c r="D339" t="s">
        <v>64</v>
      </c>
      <c r="E339" t="s">
        <v>22</v>
      </c>
      <c r="F339" t="s">
        <v>23</v>
      </c>
      <c r="G339">
        <v>1</v>
      </c>
      <c r="H339">
        <v>9791166300110</v>
      </c>
      <c r="I339" t="s">
        <v>24</v>
      </c>
      <c r="J339" t="s">
        <v>121</v>
      </c>
      <c r="K339" t="s">
        <v>119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  <c r="V339" s="7" t="s">
        <v>24</v>
      </c>
      <c r="W339" s="7" t="s">
        <v>119</v>
      </c>
    </row>
    <row r="340" spans="1:23" x14ac:dyDescent="0.4">
      <c r="A340" t="s">
        <v>262</v>
      </c>
      <c r="B340" t="s">
        <v>810</v>
      </c>
      <c r="C340" t="s">
        <v>840</v>
      </c>
      <c r="D340" t="s">
        <v>64</v>
      </c>
      <c r="E340" t="s">
        <v>22</v>
      </c>
      <c r="F340" t="s">
        <v>23</v>
      </c>
      <c r="G340">
        <v>1</v>
      </c>
      <c r="H340">
        <v>9791166300479</v>
      </c>
      <c r="I340" t="s">
        <v>24</v>
      </c>
      <c r="J340" t="s">
        <v>145</v>
      </c>
      <c r="K340" t="s">
        <v>119</v>
      </c>
      <c r="L340" t="s">
        <v>27</v>
      </c>
      <c r="M340">
        <v>630</v>
      </c>
      <c r="N340" t="s">
        <v>27</v>
      </c>
      <c r="O340">
        <v>630</v>
      </c>
      <c r="P340">
        <v>630</v>
      </c>
      <c r="Q340" t="s">
        <v>30</v>
      </c>
      <c r="R340" s="2">
        <v>0.7</v>
      </c>
      <c r="S340">
        <v>441</v>
      </c>
      <c r="T340" t="s">
        <v>27</v>
      </c>
      <c r="U340">
        <v>441</v>
      </c>
      <c r="V340" s="7" t="s">
        <v>24</v>
      </c>
      <c r="W340" s="7" t="s">
        <v>119</v>
      </c>
    </row>
    <row r="341" spans="1:23" x14ac:dyDescent="0.4">
      <c r="A341" t="s">
        <v>262</v>
      </c>
      <c r="B341" t="s">
        <v>810</v>
      </c>
      <c r="C341" t="s">
        <v>842</v>
      </c>
      <c r="D341" t="s">
        <v>64</v>
      </c>
      <c r="E341" t="s">
        <v>22</v>
      </c>
      <c r="F341" t="s">
        <v>23</v>
      </c>
      <c r="G341">
        <v>1</v>
      </c>
      <c r="H341">
        <v>9791166300134</v>
      </c>
      <c r="I341" t="s">
        <v>24</v>
      </c>
      <c r="J341" t="s">
        <v>123</v>
      </c>
      <c r="K341" t="s">
        <v>119</v>
      </c>
      <c r="L341" t="s">
        <v>27</v>
      </c>
      <c r="M341">
        <v>630</v>
      </c>
      <c r="N341" t="s">
        <v>27</v>
      </c>
      <c r="O341">
        <v>630</v>
      </c>
      <c r="P341">
        <v>630</v>
      </c>
      <c r="Q341" t="s">
        <v>30</v>
      </c>
      <c r="R341" s="2">
        <v>0.7</v>
      </c>
      <c r="S341">
        <v>441</v>
      </c>
      <c r="T341" t="s">
        <v>27</v>
      </c>
      <c r="U341">
        <v>441</v>
      </c>
      <c r="V341" s="7" t="s">
        <v>24</v>
      </c>
      <c r="W341" s="7" t="s">
        <v>119</v>
      </c>
    </row>
    <row r="342" spans="1:23" x14ac:dyDescent="0.4">
      <c r="A342" t="s">
        <v>262</v>
      </c>
      <c r="B342" t="s">
        <v>810</v>
      </c>
      <c r="C342" t="s">
        <v>843</v>
      </c>
      <c r="D342" t="s">
        <v>21</v>
      </c>
      <c r="E342" t="s">
        <v>22</v>
      </c>
      <c r="F342" t="s">
        <v>23</v>
      </c>
      <c r="G342">
        <v>1</v>
      </c>
      <c r="H342">
        <v>9791166300110</v>
      </c>
      <c r="I342" t="s">
        <v>24</v>
      </c>
      <c r="J342" t="s">
        <v>121</v>
      </c>
      <c r="K342" t="s">
        <v>119</v>
      </c>
      <c r="L342" t="s">
        <v>27</v>
      </c>
      <c r="M342" s="3">
        <v>3200</v>
      </c>
      <c r="N342" t="s">
        <v>27</v>
      </c>
      <c r="O342" s="3">
        <v>3200</v>
      </c>
      <c r="P342" s="3">
        <v>3200</v>
      </c>
      <c r="Q342" t="s">
        <v>30</v>
      </c>
      <c r="R342" s="2">
        <v>0.7</v>
      </c>
      <c r="S342" s="3">
        <v>2240</v>
      </c>
      <c r="T342" t="s">
        <v>27</v>
      </c>
      <c r="U342" s="3">
        <v>2240</v>
      </c>
      <c r="V342" s="7" t="s">
        <v>24</v>
      </c>
      <c r="W342" s="7" t="s">
        <v>119</v>
      </c>
    </row>
    <row r="343" spans="1:23" x14ac:dyDescent="0.4">
      <c r="A343" t="s">
        <v>262</v>
      </c>
      <c r="B343" t="s">
        <v>810</v>
      </c>
      <c r="C343" t="s">
        <v>846</v>
      </c>
      <c r="D343" t="s">
        <v>64</v>
      </c>
      <c r="E343" t="s">
        <v>22</v>
      </c>
      <c r="F343" t="s">
        <v>23</v>
      </c>
      <c r="G343">
        <v>1</v>
      </c>
      <c r="H343">
        <v>9791166300158</v>
      </c>
      <c r="I343" t="s">
        <v>24</v>
      </c>
      <c r="J343" t="s">
        <v>125</v>
      </c>
      <c r="K343" t="s">
        <v>119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  <c r="V343" s="7" t="s">
        <v>24</v>
      </c>
      <c r="W343" s="7" t="s">
        <v>119</v>
      </c>
    </row>
    <row r="344" spans="1:23" x14ac:dyDescent="0.4">
      <c r="A344" t="s">
        <v>262</v>
      </c>
      <c r="B344" t="s">
        <v>810</v>
      </c>
      <c r="C344" t="s">
        <v>847</v>
      </c>
      <c r="D344" t="s">
        <v>64</v>
      </c>
      <c r="E344" t="s">
        <v>22</v>
      </c>
      <c r="F344" t="s">
        <v>23</v>
      </c>
      <c r="G344">
        <v>1</v>
      </c>
      <c r="H344">
        <v>9791166300165</v>
      </c>
      <c r="I344" t="s">
        <v>24</v>
      </c>
      <c r="J344" t="s">
        <v>126</v>
      </c>
      <c r="K344" t="s">
        <v>119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2">
        <v>0.7</v>
      </c>
      <c r="S344">
        <v>441</v>
      </c>
      <c r="T344" t="s">
        <v>27</v>
      </c>
      <c r="U344">
        <v>441</v>
      </c>
      <c r="V344" s="7" t="s">
        <v>24</v>
      </c>
      <c r="W344" s="7" t="s">
        <v>119</v>
      </c>
    </row>
    <row r="345" spans="1:23" x14ac:dyDescent="0.4">
      <c r="A345" t="s">
        <v>262</v>
      </c>
      <c r="B345" t="s">
        <v>810</v>
      </c>
      <c r="C345" t="s">
        <v>848</v>
      </c>
      <c r="D345" t="s">
        <v>64</v>
      </c>
      <c r="E345" t="s">
        <v>22</v>
      </c>
      <c r="F345" t="s">
        <v>23</v>
      </c>
      <c r="G345">
        <v>1</v>
      </c>
      <c r="H345">
        <v>9791166300530</v>
      </c>
      <c r="I345" t="s">
        <v>24</v>
      </c>
      <c r="J345" t="s">
        <v>151</v>
      </c>
      <c r="K345" t="s">
        <v>119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  <c r="V345" s="7" t="s">
        <v>24</v>
      </c>
      <c r="W345" s="7" t="s">
        <v>119</v>
      </c>
    </row>
    <row r="346" spans="1:23" x14ac:dyDescent="0.4">
      <c r="A346" t="s">
        <v>262</v>
      </c>
      <c r="B346" t="s">
        <v>810</v>
      </c>
      <c r="C346" t="s">
        <v>852</v>
      </c>
      <c r="D346" t="s">
        <v>64</v>
      </c>
      <c r="E346" t="s">
        <v>22</v>
      </c>
      <c r="F346" t="s">
        <v>23</v>
      </c>
      <c r="G346">
        <v>1</v>
      </c>
      <c r="H346">
        <v>9791166300264</v>
      </c>
      <c r="I346" t="s">
        <v>24</v>
      </c>
      <c r="J346" t="s">
        <v>135</v>
      </c>
      <c r="K346" t="s">
        <v>119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  <c r="V346" s="7" t="s">
        <v>24</v>
      </c>
      <c r="W346" s="7" t="s">
        <v>119</v>
      </c>
    </row>
    <row r="347" spans="1:23" x14ac:dyDescent="0.4">
      <c r="A347" t="s">
        <v>262</v>
      </c>
      <c r="B347" t="s">
        <v>810</v>
      </c>
      <c r="C347" t="s">
        <v>853</v>
      </c>
      <c r="D347" t="s">
        <v>64</v>
      </c>
      <c r="E347" t="s">
        <v>22</v>
      </c>
      <c r="F347" t="s">
        <v>23</v>
      </c>
      <c r="G347">
        <v>1</v>
      </c>
      <c r="H347">
        <v>9791166300172</v>
      </c>
      <c r="I347" t="s">
        <v>24</v>
      </c>
      <c r="J347" t="s">
        <v>127</v>
      </c>
      <c r="K347" t="s">
        <v>119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  <c r="V347" s="7" t="s">
        <v>24</v>
      </c>
      <c r="W347" s="7" t="s">
        <v>119</v>
      </c>
    </row>
    <row r="348" spans="1:23" x14ac:dyDescent="0.4">
      <c r="A348" t="s">
        <v>262</v>
      </c>
      <c r="B348" t="s">
        <v>810</v>
      </c>
      <c r="C348" t="s">
        <v>854</v>
      </c>
      <c r="D348" t="s">
        <v>64</v>
      </c>
      <c r="E348" t="s">
        <v>22</v>
      </c>
      <c r="F348" t="s">
        <v>23</v>
      </c>
      <c r="G348">
        <v>1</v>
      </c>
      <c r="H348">
        <v>9791166300196</v>
      </c>
      <c r="I348" t="s">
        <v>24</v>
      </c>
      <c r="J348" t="s">
        <v>128</v>
      </c>
      <c r="K348" t="s">
        <v>119</v>
      </c>
      <c r="L348" t="s">
        <v>27</v>
      </c>
      <c r="M348">
        <v>630</v>
      </c>
      <c r="N348" t="s">
        <v>27</v>
      </c>
      <c r="O348">
        <v>630</v>
      </c>
      <c r="P348">
        <v>630</v>
      </c>
      <c r="Q348" t="s">
        <v>30</v>
      </c>
      <c r="R348" s="2">
        <v>0.7</v>
      </c>
      <c r="S348">
        <v>441</v>
      </c>
      <c r="T348" t="s">
        <v>27</v>
      </c>
      <c r="U348">
        <v>441</v>
      </c>
      <c r="V348" s="7" t="s">
        <v>24</v>
      </c>
      <c r="W348" s="7" t="s">
        <v>119</v>
      </c>
    </row>
    <row r="349" spans="1:23" x14ac:dyDescent="0.4">
      <c r="A349" t="s">
        <v>262</v>
      </c>
      <c r="B349" t="s">
        <v>810</v>
      </c>
      <c r="C349" t="s">
        <v>855</v>
      </c>
      <c r="D349" t="s">
        <v>64</v>
      </c>
      <c r="E349" t="s">
        <v>22</v>
      </c>
      <c r="F349" t="s">
        <v>23</v>
      </c>
      <c r="G349">
        <v>1</v>
      </c>
      <c r="H349">
        <v>9791166300271</v>
      </c>
      <c r="I349" t="s">
        <v>24</v>
      </c>
      <c r="J349" t="s">
        <v>136</v>
      </c>
      <c r="K349" t="s">
        <v>119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  <c r="V349" s="7" t="s">
        <v>24</v>
      </c>
      <c r="W349" s="7" t="s">
        <v>119</v>
      </c>
    </row>
    <row r="350" spans="1:23" x14ac:dyDescent="0.4">
      <c r="A350" t="s">
        <v>262</v>
      </c>
      <c r="B350" t="s">
        <v>810</v>
      </c>
      <c r="C350" t="s">
        <v>856</v>
      </c>
      <c r="D350" t="s">
        <v>64</v>
      </c>
      <c r="E350" t="s">
        <v>22</v>
      </c>
      <c r="F350" t="s">
        <v>23</v>
      </c>
      <c r="G350">
        <v>1</v>
      </c>
      <c r="H350">
        <v>9791166300264</v>
      </c>
      <c r="I350" t="s">
        <v>24</v>
      </c>
      <c r="J350" t="s">
        <v>135</v>
      </c>
      <c r="K350" t="s">
        <v>119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  <c r="V350" s="7" t="s">
        <v>24</v>
      </c>
      <c r="W350" s="7" t="s">
        <v>119</v>
      </c>
    </row>
    <row r="351" spans="1:23" x14ac:dyDescent="0.4">
      <c r="A351" t="s">
        <v>262</v>
      </c>
      <c r="B351" t="s">
        <v>810</v>
      </c>
      <c r="C351" t="s">
        <v>867</v>
      </c>
      <c r="D351" t="s">
        <v>64</v>
      </c>
      <c r="E351" t="s">
        <v>22</v>
      </c>
      <c r="F351" t="s">
        <v>23</v>
      </c>
      <c r="G351">
        <v>1</v>
      </c>
      <c r="H351">
        <v>9791166300202</v>
      </c>
      <c r="I351" t="s">
        <v>24</v>
      </c>
      <c r="J351" t="s">
        <v>129</v>
      </c>
      <c r="K351" t="s">
        <v>119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  <c r="V351" s="7" t="s">
        <v>24</v>
      </c>
      <c r="W351" s="7" t="s">
        <v>119</v>
      </c>
    </row>
    <row r="352" spans="1:23" x14ac:dyDescent="0.4">
      <c r="A352" t="s">
        <v>262</v>
      </c>
      <c r="B352" t="s">
        <v>810</v>
      </c>
      <c r="C352" t="s">
        <v>869</v>
      </c>
      <c r="D352" t="s">
        <v>64</v>
      </c>
      <c r="E352" t="s">
        <v>22</v>
      </c>
      <c r="F352" t="s">
        <v>23</v>
      </c>
      <c r="G352">
        <v>1</v>
      </c>
      <c r="H352">
        <v>9791166300202</v>
      </c>
      <c r="I352" t="s">
        <v>24</v>
      </c>
      <c r="J352" t="s">
        <v>129</v>
      </c>
      <c r="K352" t="s">
        <v>119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  <c r="V352" s="7" t="s">
        <v>24</v>
      </c>
      <c r="W352" s="7" t="s">
        <v>119</v>
      </c>
    </row>
    <row r="353" spans="1:23" x14ac:dyDescent="0.4">
      <c r="A353" t="s">
        <v>262</v>
      </c>
      <c r="B353" t="s">
        <v>810</v>
      </c>
      <c r="C353" t="s">
        <v>871</v>
      </c>
      <c r="D353" t="s">
        <v>64</v>
      </c>
      <c r="E353" t="s">
        <v>22</v>
      </c>
      <c r="F353" t="s">
        <v>23</v>
      </c>
      <c r="G353">
        <v>1</v>
      </c>
      <c r="H353">
        <v>9791166300219</v>
      </c>
      <c r="I353" t="s">
        <v>24</v>
      </c>
      <c r="J353" t="s">
        <v>130</v>
      </c>
      <c r="K353" t="s">
        <v>119</v>
      </c>
      <c r="L353" t="s">
        <v>27</v>
      </c>
      <c r="M353">
        <v>630</v>
      </c>
      <c r="N353" t="s">
        <v>27</v>
      </c>
      <c r="O353">
        <v>630</v>
      </c>
      <c r="P353">
        <v>630</v>
      </c>
      <c r="Q353" t="s">
        <v>30</v>
      </c>
      <c r="R353" s="2">
        <v>0.7</v>
      </c>
      <c r="S353">
        <v>441</v>
      </c>
      <c r="T353" t="s">
        <v>27</v>
      </c>
      <c r="U353">
        <v>441</v>
      </c>
      <c r="V353" s="7" t="s">
        <v>24</v>
      </c>
      <c r="W353" s="7" t="s">
        <v>119</v>
      </c>
    </row>
    <row r="354" spans="1:23" x14ac:dyDescent="0.4">
      <c r="A354" t="s">
        <v>262</v>
      </c>
      <c r="B354" t="s">
        <v>810</v>
      </c>
      <c r="C354" t="s">
        <v>872</v>
      </c>
      <c r="D354" t="s">
        <v>64</v>
      </c>
      <c r="E354" t="s">
        <v>22</v>
      </c>
      <c r="F354" t="s">
        <v>23</v>
      </c>
      <c r="G354">
        <v>1</v>
      </c>
      <c r="H354">
        <v>9791166300288</v>
      </c>
      <c r="I354" t="s">
        <v>24</v>
      </c>
      <c r="J354" t="s">
        <v>137</v>
      </c>
      <c r="K354" t="s">
        <v>119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  <c r="V354" s="7" t="s">
        <v>24</v>
      </c>
      <c r="W354" s="7" t="s">
        <v>119</v>
      </c>
    </row>
    <row r="355" spans="1:23" x14ac:dyDescent="0.4">
      <c r="A355" t="s">
        <v>262</v>
      </c>
      <c r="B355" t="s">
        <v>810</v>
      </c>
      <c r="C355" t="s">
        <v>873</v>
      </c>
      <c r="D355" t="s">
        <v>64</v>
      </c>
      <c r="E355" t="s">
        <v>22</v>
      </c>
      <c r="F355" t="s">
        <v>23</v>
      </c>
      <c r="G355">
        <v>1</v>
      </c>
      <c r="H355">
        <v>9791166300165</v>
      </c>
      <c r="I355" t="s">
        <v>24</v>
      </c>
      <c r="J355" t="s">
        <v>126</v>
      </c>
      <c r="K355" t="s">
        <v>119</v>
      </c>
      <c r="L355" t="s">
        <v>27</v>
      </c>
      <c r="M355">
        <v>630</v>
      </c>
      <c r="N355" t="s">
        <v>27</v>
      </c>
      <c r="O355">
        <v>630</v>
      </c>
      <c r="P355">
        <v>630</v>
      </c>
      <c r="Q355" t="s">
        <v>30</v>
      </c>
      <c r="R355" s="2">
        <v>0.7</v>
      </c>
      <c r="S355">
        <v>441</v>
      </c>
      <c r="T355" t="s">
        <v>27</v>
      </c>
      <c r="U355">
        <v>441</v>
      </c>
      <c r="V355" s="7" t="s">
        <v>24</v>
      </c>
      <c r="W355" s="7" t="s">
        <v>119</v>
      </c>
    </row>
    <row r="356" spans="1:23" x14ac:dyDescent="0.4">
      <c r="A356" t="s">
        <v>262</v>
      </c>
      <c r="B356" t="s">
        <v>810</v>
      </c>
      <c r="C356" t="s">
        <v>874</v>
      </c>
      <c r="D356" t="s">
        <v>64</v>
      </c>
      <c r="E356" t="s">
        <v>22</v>
      </c>
      <c r="F356" t="s">
        <v>23</v>
      </c>
      <c r="G356">
        <v>1</v>
      </c>
      <c r="H356">
        <v>9791166300288</v>
      </c>
      <c r="I356" t="s">
        <v>24</v>
      </c>
      <c r="J356" t="s">
        <v>137</v>
      </c>
      <c r="K356" t="s">
        <v>119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  <c r="V356" s="7" t="s">
        <v>24</v>
      </c>
      <c r="W356" s="7" t="s">
        <v>119</v>
      </c>
    </row>
    <row r="357" spans="1:23" x14ac:dyDescent="0.4">
      <c r="A357" t="s">
        <v>262</v>
      </c>
      <c r="B357" t="s">
        <v>810</v>
      </c>
      <c r="C357" t="s">
        <v>875</v>
      </c>
      <c r="D357" t="s">
        <v>64</v>
      </c>
      <c r="E357" t="s">
        <v>22</v>
      </c>
      <c r="F357" t="s">
        <v>23</v>
      </c>
      <c r="G357">
        <v>1</v>
      </c>
      <c r="H357">
        <v>9791166300257</v>
      </c>
      <c r="I357" t="s">
        <v>24</v>
      </c>
      <c r="J357" t="s">
        <v>134</v>
      </c>
      <c r="K357" t="s">
        <v>119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  <c r="V357" s="7" t="s">
        <v>24</v>
      </c>
      <c r="W357" s="7" t="s">
        <v>119</v>
      </c>
    </row>
    <row r="358" spans="1:23" x14ac:dyDescent="0.4">
      <c r="A358" t="s">
        <v>262</v>
      </c>
      <c r="B358" t="s">
        <v>810</v>
      </c>
      <c r="C358" t="s">
        <v>880</v>
      </c>
      <c r="D358" t="s">
        <v>64</v>
      </c>
      <c r="E358" t="s">
        <v>22</v>
      </c>
      <c r="F358" t="s">
        <v>23</v>
      </c>
      <c r="G358">
        <v>1</v>
      </c>
      <c r="H358">
        <v>9791166300127</v>
      </c>
      <c r="I358" t="s">
        <v>24</v>
      </c>
      <c r="J358" t="s">
        <v>122</v>
      </c>
      <c r="K358" t="s">
        <v>119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  <c r="V358" s="7" t="s">
        <v>24</v>
      </c>
      <c r="W358" s="7" t="s">
        <v>119</v>
      </c>
    </row>
    <row r="359" spans="1:23" x14ac:dyDescent="0.4">
      <c r="A359" t="s">
        <v>262</v>
      </c>
      <c r="B359" t="s">
        <v>810</v>
      </c>
      <c r="C359" t="s">
        <v>881</v>
      </c>
      <c r="D359" t="s">
        <v>64</v>
      </c>
      <c r="E359" t="s">
        <v>22</v>
      </c>
      <c r="F359" t="s">
        <v>23</v>
      </c>
      <c r="G359">
        <v>1</v>
      </c>
      <c r="H359">
        <v>9791166300226</v>
      </c>
      <c r="I359" t="s">
        <v>24</v>
      </c>
      <c r="J359" t="s">
        <v>131</v>
      </c>
      <c r="K359" t="s">
        <v>119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  <c r="V359" s="7" t="s">
        <v>24</v>
      </c>
      <c r="W359" s="7" t="s">
        <v>119</v>
      </c>
    </row>
    <row r="360" spans="1:23" x14ac:dyDescent="0.4">
      <c r="A360" t="s">
        <v>262</v>
      </c>
      <c r="B360" t="s">
        <v>810</v>
      </c>
      <c r="C360" t="s">
        <v>885</v>
      </c>
      <c r="D360" t="s">
        <v>64</v>
      </c>
      <c r="E360" t="s">
        <v>22</v>
      </c>
      <c r="F360" t="s">
        <v>23</v>
      </c>
      <c r="G360">
        <v>1</v>
      </c>
      <c r="H360">
        <v>9791166300271</v>
      </c>
      <c r="I360" t="s">
        <v>24</v>
      </c>
      <c r="J360" t="s">
        <v>136</v>
      </c>
      <c r="K360" t="s">
        <v>119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2">
        <v>0.7</v>
      </c>
      <c r="S360">
        <v>441</v>
      </c>
      <c r="T360" t="s">
        <v>27</v>
      </c>
      <c r="U360">
        <v>441</v>
      </c>
      <c r="V360" s="7" t="s">
        <v>24</v>
      </c>
      <c r="W360" s="7" t="s">
        <v>119</v>
      </c>
    </row>
    <row r="361" spans="1:23" x14ac:dyDescent="0.4">
      <c r="A361" t="s">
        <v>262</v>
      </c>
      <c r="B361" t="s">
        <v>810</v>
      </c>
      <c r="C361" t="s">
        <v>886</v>
      </c>
      <c r="D361" t="s">
        <v>64</v>
      </c>
      <c r="E361" t="s">
        <v>22</v>
      </c>
      <c r="F361" t="s">
        <v>23</v>
      </c>
      <c r="G361">
        <v>1</v>
      </c>
      <c r="H361">
        <v>9791166300295</v>
      </c>
      <c r="I361" t="s">
        <v>24</v>
      </c>
      <c r="J361" t="s">
        <v>138</v>
      </c>
      <c r="K361" t="s">
        <v>119</v>
      </c>
      <c r="L361" t="s">
        <v>27</v>
      </c>
      <c r="M361">
        <v>630</v>
      </c>
      <c r="N361" t="s">
        <v>27</v>
      </c>
      <c r="O361">
        <v>630</v>
      </c>
      <c r="P361">
        <v>630</v>
      </c>
      <c r="Q361" t="s">
        <v>30</v>
      </c>
      <c r="R361" s="2">
        <v>0.7</v>
      </c>
      <c r="S361">
        <v>441</v>
      </c>
      <c r="T361" t="s">
        <v>27</v>
      </c>
      <c r="U361">
        <v>441</v>
      </c>
      <c r="V361" s="7" t="s">
        <v>24</v>
      </c>
      <c r="W361" s="7" t="s">
        <v>119</v>
      </c>
    </row>
    <row r="362" spans="1:23" x14ac:dyDescent="0.4">
      <c r="A362" t="s">
        <v>262</v>
      </c>
      <c r="B362" t="s">
        <v>810</v>
      </c>
      <c r="C362" t="s">
        <v>887</v>
      </c>
      <c r="D362" t="s">
        <v>64</v>
      </c>
      <c r="E362" t="s">
        <v>22</v>
      </c>
      <c r="F362" t="s">
        <v>23</v>
      </c>
      <c r="G362">
        <v>1</v>
      </c>
      <c r="H362">
        <v>9791166300295</v>
      </c>
      <c r="I362" t="s">
        <v>24</v>
      </c>
      <c r="J362" t="s">
        <v>138</v>
      </c>
      <c r="K362" t="s">
        <v>119</v>
      </c>
      <c r="L362" t="s">
        <v>27</v>
      </c>
      <c r="M362">
        <v>630</v>
      </c>
      <c r="N362" t="s">
        <v>27</v>
      </c>
      <c r="O362">
        <v>630</v>
      </c>
      <c r="P362">
        <v>630</v>
      </c>
      <c r="Q362" t="s">
        <v>30</v>
      </c>
      <c r="R362" s="2">
        <v>0.7</v>
      </c>
      <c r="S362">
        <v>441</v>
      </c>
      <c r="T362" t="s">
        <v>27</v>
      </c>
      <c r="U362">
        <v>441</v>
      </c>
      <c r="V362" s="7" t="s">
        <v>24</v>
      </c>
      <c r="W362" s="7" t="s">
        <v>119</v>
      </c>
    </row>
    <row r="363" spans="1:23" x14ac:dyDescent="0.4">
      <c r="A363" t="s">
        <v>262</v>
      </c>
      <c r="B363" t="s">
        <v>810</v>
      </c>
      <c r="C363" t="s">
        <v>888</v>
      </c>
      <c r="D363" t="s">
        <v>64</v>
      </c>
      <c r="E363" t="s">
        <v>22</v>
      </c>
      <c r="F363" t="s">
        <v>23</v>
      </c>
      <c r="G363">
        <v>1</v>
      </c>
      <c r="H363">
        <v>9791166300233</v>
      </c>
      <c r="I363" t="s">
        <v>24</v>
      </c>
      <c r="J363" t="s">
        <v>132</v>
      </c>
      <c r="K363" t="s">
        <v>119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  <c r="V363" s="7" t="s">
        <v>24</v>
      </c>
      <c r="W363" s="7" t="s">
        <v>119</v>
      </c>
    </row>
    <row r="364" spans="1:23" x14ac:dyDescent="0.4">
      <c r="A364" t="s">
        <v>262</v>
      </c>
      <c r="B364" t="s">
        <v>810</v>
      </c>
      <c r="C364" t="s">
        <v>889</v>
      </c>
      <c r="D364" t="s">
        <v>21</v>
      </c>
      <c r="E364" t="s">
        <v>22</v>
      </c>
      <c r="F364" t="s">
        <v>23</v>
      </c>
      <c r="G364">
        <v>1</v>
      </c>
      <c r="H364">
        <v>9791166300127</v>
      </c>
      <c r="I364" t="s">
        <v>24</v>
      </c>
      <c r="J364" t="s">
        <v>122</v>
      </c>
      <c r="K364" t="s">
        <v>119</v>
      </c>
      <c r="L364" t="s">
        <v>27</v>
      </c>
      <c r="M364" s="3">
        <v>3200</v>
      </c>
      <c r="N364" t="s">
        <v>27</v>
      </c>
      <c r="O364" s="3">
        <v>3200</v>
      </c>
      <c r="P364" s="3">
        <v>3200</v>
      </c>
      <c r="Q364" t="s">
        <v>30</v>
      </c>
      <c r="R364" s="2">
        <v>0.7</v>
      </c>
      <c r="S364" s="3">
        <v>2240</v>
      </c>
      <c r="T364" t="s">
        <v>27</v>
      </c>
      <c r="U364" s="3">
        <v>2240</v>
      </c>
      <c r="V364" s="7" t="s">
        <v>24</v>
      </c>
      <c r="W364" s="7" t="s">
        <v>119</v>
      </c>
    </row>
    <row r="365" spans="1:23" x14ac:dyDescent="0.4">
      <c r="A365" t="s">
        <v>262</v>
      </c>
      <c r="B365" t="s">
        <v>810</v>
      </c>
      <c r="C365" t="s">
        <v>890</v>
      </c>
      <c r="D365" t="s">
        <v>64</v>
      </c>
      <c r="E365" t="s">
        <v>22</v>
      </c>
      <c r="F365" t="s">
        <v>23</v>
      </c>
      <c r="G365">
        <v>1</v>
      </c>
      <c r="H365">
        <v>9791166300462</v>
      </c>
      <c r="I365" t="s">
        <v>24</v>
      </c>
      <c r="J365" t="s">
        <v>144</v>
      </c>
      <c r="K365" t="s">
        <v>119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  <c r="V365" s="7" t="s">
        <v>24</v>
      </c>
      <c r="W365" s="7" t="s">
        <v>119</v>
      </c>
    </row>
    <row r="366" spans="1:23" x14ac:dyDescent="0.4">
      <c r="A366" t="s">
        <v>262</v>
      </c>
      <c r="B366" t="s">
        <v>810</v>
      </c>
      <c r="C366" t="s">
        <v>893</v>
      </c>
      <c r="D366" t="s">
        <v>64</v>
      </c>
      <c r="E366" t="s">
        <v>22</v>
      </c>
      <c r="F366" t="s">
        <v>23</v>
      </c>
      <c r="G366">
        <v>1</v>
      </c>
      <c r="H366">
        <v>9791166300301</v>
      </c>
      <c r="I366" t="s">
        <v>24</v>
      </c>
      <c r="J366" t="s">
        <v>139</v>
      </c>
      <c r="K366" t="s">
        <v>119</v>
      </c>
      <c r="L366" t="s">
        <v>27</v>
      </c>
      <c r="M366">
        <v>630</v>
      </c>
      <c r="N366" t="s">
        <v>27</v>
      </c>
      <c r="O366">
        <v>630</v>
      </c>
      <c r="P366">
        <v>630</v>
      </c>
      <c r="Q366" t="s">
        <v>30</v>
      </c>
      <c r="R366" s="2">
        <v>0.7</v>
      </c>
      <c r="S366">
        <v>441</v>
      </c>
      <c r="T366" t="s">
        <v>27</v>
      </c>
      <c r="U366">
        <v>441</v>
      </c>
      <c r="V366" s="7" t="s">
        <v>24</v>
      </c>
      <c r="W366" s="7" t="s">
        <v>119</v>
      </c>
    </row>
    <row r="367" spans="1:23" x14ac:dyDescent="0.4">
      <c r="A367" t="s">
        <v>262</v>
      </c>
      <c r="B367" t="s">
        <v>810</v>
      </c>
      <c r="C367" t="s">
        <v>894</v>
      </c>
      <c r="D367" t="s">
        <v>64</v>
      </c>
      <c r="E367" t="s">
        <v>22</v>
      </c>
      <c r="F367" t="s">
        <v>23</v>
      </c>
      <c r="G367">
        <v>1</v>
      </c>
      <c r="H367">
        <v>9791166300240</v>
      </c>
      <c r="I367" t="s">
        <v>24</v>
      </c>
      <c r="J367" t="s">
        <v>133</v>
      </c>
      <c r="K367" t="s">
        <v>119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2">
        <v>0.7</v>
      </c>
      <c r="S367">
        <v>441</v>
      </c>
      <c r="T367" t="s">
        <v>27</v>
      </c>
      <c r="U367">
        <v>441</v>
      </c>
      <c r="V367" s="7" t="s">
        <v>24</v>
      </c>
      <c r="W367" s="7" t="s">
        <v>119</v>
      </c>
    </row>
    <row r="368" spans="1:23" x14ac:dyDescent="0.4">
      <c r="A368" t="s">
        <v>262</v>
      </c>
      <c r="B368" t="s">
        <v>810</v>
      </c>
      <c r="C368" t="s">
        <v>895</v>
      </c>
      <c r="D368" t="s">
        <v>64</v>
      </c>
      <c r="E368" t="s">
        <v>22</v>
      </c>
      <c r="F368" t="s">
        <v>23</v>
      </c>
      <c r="G368">
        <v>1</v>
      </c>
      <c r="H368">
        <v>9791166300219</v>
      </c>
      <c r="I368" t="s">
        <v>24</v>
      </c>
      <c r="J368" t="s">
        <v>130</v>
      </c>
      <c r="K368" t="s">
        <v>119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  <c r="V368" s="7" t="s">
        <v>24</v>
      </c>
      <c r="W368" s="7" t="s">
        <v>119</v>
      </c>
    </row>
    <row r="369" spans="1:23" x14ac:dyDescent="0.4">
      <c r="A369" t="s">
        <v>262</v>
      </c>
      <c r="B369" t="s">
        <v>810</v>
      </c>
      <c r="C369" t="s">
        <v>896</v>
      </c>
      <c r="D369" t="s">
        <v>64</v>
      </c>
      <c r="E369" t="s">
        <v>22</v>
      </c>
      <c r="F369" t="s">
        <v>23</v>
      </c>
      <c r="G369">
        <v>1</v>
      </c>
      <c r="H369">
        <v>9791166300158</v>
      </c>
      <c r="I369" t="s">
        <v>24</v>
      </c>
      <c r="J369" t="s">
        <v>125</v>
      </c>
      <c r="K369" t="s">
        <v>119</v>
      </c>
      <c r="L369" t="s">
        <v>27</v>
      </c>
      <c r="M369">
        <v>630</v>
      </c>
      <c r="N369" t="s">
        <v>27</v>
      </c>
      <c r="O369">
        <v>630</v>
      </c>
      <c r="P369">
        <v>630</v>
      </c>
      <c r="Q369" t="s">
        <v>30</v>
      </c>
      <c r="R369" s="2">
        <v>0.7</v>
      </c>
      <c r="S369">
        <v>441</v>
      </c>
      <c r="T369" t="s">
        <v>27</v>
      </c>
      <c r="U369">
        <v>441</v>
      </c>
      <c r="V369" s="7" t="s">
        <v>24</v>
      </c>
      <c r="W369" s="7" t="s">
        <v>119</v>
      </c>
    </row>
    <row r="370" spans="1:23" x14ac:dyDescent="0.4">
      <c r="A370" t="s">
        <v>262</v>
      </c>
      <c r="B370" t="s">
        <v>810</v>
      </c>
      <c r="C370" t="s">
        <v>897</v>
      </c>
      <c r="D370" t="s">
        <v>64</v>
      </c>
      <c r="E370" t="s">
        <v>22</v>
      </c>
      <c r="F370" t="s">
        <v>23</v>
      </c>
      <c r="G370">
        <v>1</v>
      </c>
      <c r="H370">
        <v>9791166300301</v>
      </c>
      <c r="I370" t="s">
        <v>24</v>
      </c>
      <c r="J370" t="s">
        <v>139</v>
      </c>
      <c r="K370" t="s">
        <v>119</v>
      </c>
      <c r="L370" t="s">
        <v>27</v>
      </c>
      <c r="M370">
        <v>630</v>
      </c>
      <c r="N370" t="s">
        <v>27</v>
      </c>
      <c r="O370">
        <v>630</v>
      </c>
      <c r="P370">
        <v>630</v>
      </c>
      <c r="Q370" t="s">
        <v>30</v>
      </c>
      <c r="R370" s="2">
        <v>0.7</v>
      </c>
      <c r="S370">
        <v>441</v>
      </c>
      <c r="T370" t="s">
        <v>27</v>
      </c>
      <c r="U370">
        <v>441</v>
      </c>
      <c r="V370" s="7" t="s">
        <v>24</v>
      </c>
      <c r="W370" s="7" t="s">
        <v>119</v>
      </c>
    </row>
    <row r="371" spans="1:23" x14ac:dyDescent="0.4">
      <c r="A371" t="s">
        <v>262</v>
      </c>
      <c r="B371" t="s">
        <v>899</v>
      </c>
      <c r="C371" t="s">
        <v>902</v>
      </c>
      <c r="D371" t="s">
        <v>64</v>
      </c>
      <c r="E371" t="s">
        <v>22</v>
      </c>
      <c r="F371" t="s">
        <v>23</v>
      </c>
      <c r="G371">
        <v>1</v>
      </c>
      <c r="H371">
        <v>9791166300660</v>
      </c>
      <c r="I371" t="s">
        <v>24</v>
      </c>
      <c r="J371" t="s">
        <v>156</v>
      </c>
      <c r="K371" t="s">
        <v>119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  <c r="V371" s="7" t="s">
        <v>24</v>
      </c>
      <c r="W371" s="7" t="s">
        <v>119</v>
      </c>
    </row>
    <row r="372" spans="1:23" x14ac:dyDescent="0.4">
      <c r="A372" t="s">
        <v>262</v>
      </c>
      <c r="B372" t="s">
        <v>899</v>
      </c>
      <c r="C372" t="s">
        <v>903</v>
      </c>
      <c r="D372" t="s">
        <v>64</v>
      </c>
      <c r="E372" t="s">
        <v>22</v>
      </c>
      <c r="F372" t="s">
        <v>23</v>
      </c>
      <c r="G372">
        <v>1</v>
      </c>
      <c r="H372">
        <v>9791166300141</v>
      </c>
      <c r="I372" t="s">
        <v>24</v>
      </c>
      <c r="J372" t="s">
        <v>124</v>
      </c>
      <c r="K372" t="s">
        <v>119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2">
        <v>0.7</v>
      </c>
      <c r="S372">
        <v>441</v>
      </c>
      <c r="T372" t="s">
        <v>27</v>
      </c>
      <c r="U372">
        <v>441</v>
      </c>
      <c r="V372" s="7" t="s">
        <v>24</v>
      </c>
      <c r="W372" s="7" t="s">
        <v>119</v>
      </c>
    </row>
    <row r="373" spans="1:23" x14ac:dyDescent="0.4">
      <c r="A373" t="s">
        <v>262</v>
      </c>
      <c r="B373" t="s">
        <v>899</v>
      </c>
      <c r="C373" t="s">
        <v>904</v>
      </c>
      <c r="D373" t="s">
        <v>64</v>
      </c>
      <c r="E373" t="s">
        <v>22</v>
      </c>
      <c r="F373" t="s">
        <v>23</v>
      </c>
      <c r="G373">
        <v>1</v>
      </c>
      <c r="H373">
        <v>9791166300301</v>
      </c>
      <c r="I373" t="s">
        <v>24</v>
      </c>
      <c r="J373" t="s">
        <v>139</v>
      </c>
      <c r="K373" t="s">
        <v>119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  <c r="V373" s="7" t="s">
        <v>24</v>
      </c>
      <c r="W373" s="7" t="s">
        <v>119</v>
      </c>
    </row>
    <row r="374" spans="1:23" x14ac:dyDescent="0.4">
      <c r="A374" t="s">
        <v>262</v>
      </c>
      <c r="B374" t="s">
        <v>899</v>
      </c>
      <c r="C374" t="s">
        <v>908</v>
      </c>
      <c r="D374" t="s">
        <v>64</v>
      </c>
      <c r="E374" t="s">
        <v>22</v>
      </c>
      <c r="F374" t="s">
        <v>23</v>
      </c>
      <c r="G374">
        <v>1</v>
      </c>
      <c r="H374">
        <v>9791166300561</v>
      </c>
      <c r="I374" t="s">
        <v>24</v>
      </c>
      <c r="J374" t="s">
        <v>158</v>
      </c>
      <c r="K374" t="s">
        <v>119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  <c r="V374" s="7" t="s">
        <v>24</v>
      </c>
      <c r="W374" s="7" t="s">
        <v>119</v>
      </c>
    </row>
    <row r="375" spans="1:23" x14ac:dyDescent="0.4">
      <c r="A375" t="s">
        <v>262</v>
      </c>
      <c r="B375" t="s">
        <v>899</v>
      </c>
      <c r="C375" t="s">
        <v>909</v>
      </c>
      <c r="D375" t="s">
        <v>64</v>
      </c>
      <c r="E375" t="s">
        <v>22</v>
      </c>
      <c r="F375" t="s">
        <v>23</v>
      </c>
      <c r="G375">
        <v>1</v>
      </c>
      <c r="H375">
        <v>9791166300226</v>
      </c>
      <c r="I375" t="s">
        <v>24</v>
      </c>
      <c r="J375" t="s">
        <v>131</v>
      </c>
      <c r="K375" t="s">
        <v>119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  <c r="V375" s="7" t="s">
        <v>24</v>
      </c>
      <c r="W375" s="7" t="s">
        <v>119</v>
      </c>
    </row>
    <row r="376" spans="1:23" x14ac:dyDescent="0.4">
      <c r="A376" t="s">
        <v>262</v>
      </c>
      <c r="B376" t="s">
        <v>899</v>
      </c>
      <c r="C376" t="s">
        <v>911</v>
      </c>
      <c r="D376" t="s">
        <v>64</v>
      </c>
      <c r="E376" t="s">
        <v>22</v>
      </c>
      <c r="F376" t="s">
        <v>23</v>
      </c>
      <c r="G376">
        <v>1</v>
      </c>
      <c r="H376">
        <v>9791166300264</v>
      </c>
      <c r="I376" t="s">
        <v>24</v>
      </c>
      <c r="J376" t="s">
        <v>135</v>
      </c>
      <c r="K376" t="s">
        <v>119</v>
      </c>
      <c r="L376" t="s">
        <v>27</v>
      </c>
      <c r="M376">
        <v>630</v>
      </c>
      <c r="N376" t="s">
        <v>27</v>
      </c>
      <c r="O376">
        <v>630</v>
      </c>
      <c r="P376">
        <v>630</v>
      </c>
      <c r="Q376" t="s">
        <v>30</v>
      </c>
      <c r="R376" s="2">
        <v>0.7</v>
      </c>
      <c r="S376">
        <v>441</v>
      </c>
      <c r="T376" t="s">
        <v>27</v>
      </c>
      <c r="U376">
        <v>441</v>
      </c>
      <c r="V376" s="7" t="s">
        <v>24</v>
      </c>
      <c r="W376" s="7" t="s">
        <v>119</v>
      </c>
    </row>
    <row r="377" spans="1:23" x14ac:dyDescent="0.4">
      <c r="A377" t="s">
        <v>262</v>
      </c>
      <c r="B377" t="s">
        <v>899</v>
      </c>
      <c r="C377" t="s">
        <v>913</v>
      </c>
      <c r="D377" t="s">
        <v>64</v>
      </c>
      <c r="E377" t="s">
        <v>22</v>
      </c>
      <c r="F377" t="s">
        <v>23</v>
      </c>
      <c r="G377">
        <v>1</v>
      </c>
      <c r="H377">
        <v>9791166300127</v>
      </c>
      <c r="I377" t="s">
        <v>24</v>
      </c>
      <c r="J377" t="s">
        <v>122</v>
      </c>
      <c r="K377" t="s">
        <v>119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  <c r="V377" s="7" t="s">
        <v>24</v>
      </c>
      <c r="W377" s="7" t="s">
        <v>119</v>
      </c>
    </row>
    <row r="378" spans="1:23" x14ac:dyDescent="0.4">
      <c r="A378" t="s">
        <v>262</v>
      </c>
      <c r="B378" t="s">
        <v>899</v>
      </c>
      <c r="C378" t="s">
        <v>914</v>
      </c>
      <c r="D378" t="s">
        <v>64</v>
      </c>
      <c r="E378" t="s">
        <v>22</v>
      </c>
      <c r="F378" t="s">
        <v>23</v>
      </c>
      <c r="G378">
        <v>1</v>
      </c>
      <c r="H378">
        <v>9791166300691</v>
      </c>
      <c r="I378" t="s">
        <v>24</v>
      </c>
      <c r="J378" t="s">
        <v>152</v>
      </c>
      <c r="K378" t="s">
        <v>119</v>
      </c>
      <c r="L378" t="s">
        <v>27</v>
      </c>
      <c r="M378">
        <v>630</v>
      </c>
      <c r="N378" t="s">
        <v>27</v>
      </c>
      <c r="O378">
        <v>630</v>
      </c>
      <c r="P378">
        <v>630</v>
      </c>
      <c r="Q378" t="s">
        <v>30</v>
      </c>
      <c r="R378" s="2">
        <v>0.7</v>
      </c>
      <c r="S378">
        <v>441</v>
      </c>
      <c r="T378" t="s">
        <v>27</v>
      </c>
      <c r="U378">
        <v>441</v>
      </c>
      <c r="V378" s="7" t="s">
        <v>24</v>
      </c>
      <c r="W378" s="7" t="s">
        <v>119</v>
      </c>
    </row>
    <row r="379" spans="1:23" x14ac:dyDescent="0.4">
      <c r="A379" t="s">
        <v>262</v>
      </c>
      <c r="B379" t="s">
        <v>899</v>
      </c>
      <c r="C379" t="s">
        <v>917</v>
      </c>
      <c r="D379" t="s">
        <v>64</v>
      </c>
      <c r="E379" t="s">
        <v>22</v>
      </c>
      <c r="F379" t="s">
        <v>23</v>
      </c>
      <c r="G379">
        <v>1</v>
      </c>
      <c r="H379">
        <v>9791166300486</v>
      </c>
      <c r="I379" t="s">
        <v>24</v>
      </c>
      <c r="J379" t="s">
        <v>146</v>
      </c>
      <c r="K379" t="s">
        <v>119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  <c r="V379" s="7" t="s">
        <v>24</v>
      </c>
      <c r="W379" s="7" t="s">
        <v>119</v>
      </c>
    </row>
    <row r="380" spans="1:23" x14ac:dyDescent="0.4">
      <c r="A380" t="s">
        <v>262</v>
      </c>
      <c r="B380" t="s">
        <v>899</v>
      </c>
      <c r="C380" t="s">
        <v>918</v>
      </c>
      <c r="D380" t="s">
        <v>64</v>
      </c>
      <c r="E380" t="s">
        <v>22</v>
      </c>
      <c r="F380" t="s">
        <v>23</v>
      </c>
      <c r="G380">
        <v>1</v>
      </c>
      <c r="H380">
        <v>9791166300110</v>
      </c>
      <c r="I380" t="s">
        <v>24</v>
      </c>
      <c r="J380" t="s">
        <v>121</v>
      </c>
      <c r="K380" t="s">
        <v>119</v>
      </c>
      <c r="L380" t="s">
        <v>27</v>
      </c>
      <c r="M380">
        <v>630</v>
      </c>
      <c r="N380" t="s">
        <v>27</v>
      </c>
      <c r="O380">
        <v>630</v>
      </c>
      <c r="P380">
        <v>630</v>
      </c>
      <c r="Q380" t="s">
        <v>30</v>
      </c>
      <c r="R380" s="2">
        <v>0.7</v>
      </c>
      <c r="S380">
        <v>441</v>
      </c>
      <c r="T380" t="s">
        <v>27</v>
      </c>
      <c r="U380">
        <v>441</v>
      </c>
      <c r="V380" s="7" t="s">
        <v>24</v>
      </c>
      <c r="W380" s="7" t="s">
        <v>119</v>
      </c>
    </row>
    <row r="381" spans="1:23" x14ac:dyDescent="0.4">
      <c r="A381" t="s">
        <v>262</v>
      </c>
      <c r="B381" t="s">
        <v>899</v>
      </c>
      <c r="C381" t="s">
        <v>919</v>
      </c>
      <c r="D381" t="s">
        <v>64</v>
      </c>
      <c r="E381" t="s">
        <v>22</v>
      </c>
      <c r="F381" t="s">
        <v>23</v>
      </c>
      <c r="G381">
        <v>1</v>
      </c>
      <c r="H381">
        <v>9791166300158</v>
      </c>
      <c r="I381" t="s">
        <v>24</v>
      </c>
      <c r="J381" t="s">
        <v>125</v>
      </c>
      <c r="K381" t="s">
        <v>119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2">
        <v>0.7</v>
      </c>
      <c r="S381">
        <v>441</v>
      </c>
      <c r="T381" t="s">
        <v>27</v>
      </c>
      <c r="U381">
        <v>441</v>
      </c>
      <c r="V381" s="7" t="s">
        <v>24</v>
      </c>
      <c r="W381" s="7" t="s">
        <v>119</v>
      </c>
    </row>
    <row r="382" spans="1:23" x14ac:dyDescent="0.4">
      <c r="A382" t="s">
        <v>262</v>
      </c>
      <c r="B382" t="s">
        <v>899</v>
      </c>
      <c r="C382" t="s">
        <v>920</v>
      </c>
      <c r="D382" t="s">
        <v>64</v>
      </c>
      <c r="E382" t="s">
        <v>22</v>
      </c>
      <c r="F382" t="s">
        <v>23</v>
      </c>
      <c r="G382">
        <v>1</v>
      </c>
      <c r="H382">
        <v>9791166300554</v>
      </c>
      <c r="I382" t="s">
        <v>24</v>
      </c>
      <c r="J382" t="s">
        <v>154</v>
      </c>
      <c r="K382" t="s">
        <v>119</v>
      </c>
      <c r="L382" t="s">
        <v>27</v>
      </c>
      <c r="M382">
        <v>630</v>
      </c>
      <c r="N382" t="s">
        <v>27</v>
      </c>
      <c r="O382">
        <v>630</v>
      </c>
      <c r="P382">
        <v>630</v>
      </c>
      <c r="Q382" t="s">
        <v>30</v>
      </c>
      <c r="R382" s="2">
        <v>0.7</v>
      </c>
      <c r="S382">
        <v>441</v>
      </c>
      <c r="T382" t="s">
        <v>27</v>
      </c>
      <c r="U382">
        <v>441</v>
      </c>
      <c r="V382" s="7" t="s">
        <v>24</v>
      </c>
      <c r="W382" s="7" t="s">
        <v>119</v>
      </c>
    </row>
    <row r="383" spans="1:23" x14ac:dyDescent="0.4">
      <c r="A383" t="s">
        <v>262</v>
      </c>
      <c r="B383" t="s">
        <v>899</v>
      </c>
      <c r="C383" t="s">
        <v>921</v>
      </c>
      <c r="D383" t="s">
        <v>21</v>
      </c>
      <c r="E383" t="s">
        <v>22</v>
      </c>
      <c r="F383" t="s">
        <v>23</v>
      </c>
      <c r="G383">
        <v>1</v>
      </c>
      <c r="H383">
        <v>9791166300134</v>
      </c>
      <c r="I383" t="s">
        <v>24</v>
      </c>
      <c r="J383" t="s">
        <v>123</v>
      </c>
      <c r="K383" t="s">
        <v>119</v>
      </c>
      <c r="L383" t="s">
        <v>27</v>
      </c>
      <c r="M383" s="3">
        <v>3200</v>
      </c>
      <c r="N383" t="s">
        <v>27</v>
      </c>
      <c r="O383" s="3">
        <v>3200</v>
      </c>
      <c r="P383" s="3">
        <v>3200</v>
      </c>
      <c r="Q383" t="s">
        <v>30</v>
      </c>
      <c r="R383" s="2">
        <v>0.7</v>
      </c>
      <c r="S383" s="3">
        <v>2240</v>
      </c>
      <c r="T383" t="s">
        <v>27</v>
      </c>
      <c r="U383" s="3">
        <v>2240</v>
      </c>
      <c r="V383" s="7" t="s">
        <v>24</v>
      </c>
      <c r="W383" s="7" t="s">
        <v>119</v>
      </c>
    </row>
    <row r="384" spans="1:23" x14ac:dyDescent="0.4">
      <c r="A384" t="s">
        <v>262</v>
      </c>
      <c r="B384" t="s">
        <v>899</v>
      </c>
      <c r="C384" t="s">
        <v>922</v>
      </c>
      <c r="D384" t="s">
        <v>64</v>
      </c>
      <c r="E384" t="s">
        <v>22</v>
      </c>
      <c r="F384" t="s">
        <v>23</v>
      </c>
      <c r="G384">
        <v>1</v>
      </c>
      <c r="H384">
        <v>9791166300288</v>
      </c>
      <c r="I384" t="s">
        <v>24</v>
      </c>
      <c r="J384" t="s">
        <v>137</v>
      </c>
      <c r="K384" t="s">
        <v>119</v>
      </c>
      <c r="L384" t="s">
        <v>27</v>
      </c>
      <c r="M384">
        <v>630</v>
      </c>
      <c r="N384" t="s">
        <v>27</v>
      </c>
      <c r="O384">
        <v>630</v>
      </c>
      <c r="P384">
        <v>630</v>
      </c>
      <c r="Q384" t="s">
        <v>30</v>
      </c>
      <c r="R384" s="2">
        <v>0.7</v>
      </c>
      <c r="S384">
        <v>441</v>
      </c>
      <c r="T384" t="s">
        <v>27</v>
      </c>
      <c r="U384">
        <v>441</v>
      </c>
      <c r="V384" s="7" t="s">
        <v>24</v>
      </c>
      <c r="W384" s="7" t="s">
        <v>119</v>
      </c>
    </row>
    <row r="385" spans="1:23" x14ac:dyDescent="0.4">
      <c r="A385" t="s">
        <v>262</v>
      </c>
      <c r="B385" t="s">
        <v>899</v>
      </c>
      <c r="C385" t="s">
        <v>925</v>
      </c>
      <c r="D385" t="s">
        <v>64</v>
      </c>
      <c r="E385" t="s">
        <v>22</v>
      </c>
      <c r="F385" t="s">
        <v>23</v>
      </c>
      <c r="G385">
        <v>1</v>
      </c>
      <c r="H385">
        <v>9791166300547</v>
      </c>
      <c r="I385" t="s">
        <v>24</v>
      </c>
      <c r="J385" t="s">
        <v>153</v>
      </c>
      <c r="K385" t="s">
        <v>119</v>
      </c>
      <c r="L385" t="s">
        <v>27</v>
      </c>
      <c r="M385">
        <v>630</v>
      </c>
      <c r="N385" t="s">
        <v>27</v>
      </c>
      <c r="O385">
        <v>630</v>
      </c>
      <c r="P385">
        <v>630</v>
      </c>
      <c r="Q385" t="s">
        <v>30</v>
      </c>
      <c r="R385" s="2">
        <v>0.7</v>
      </c>
      <c r="S385">
        <v>441</v>
      </c>
      <c r="T385" t="s">
        <v>27</v>
      </c>
      <c r="U385">
        <v>441</v>
      </c>
      <c r="V385" s="7" t="s">
        <v>24</v>
      </c>
      <c r="W385" s="7" t="s">
        <v>119</v>
      </c>
    </row>
    <row r="386" spans="1:23" x14ac:dyDescent="0.4">
      <c r="A386" t="s">
        <v>262</v>
      </c>
      <c r="B386" t="s">
        <v>899</v>
      </c>
      <c r="C386" t="s">
        <v>926</v>
      </c>
      <c r="D386" t="s">
        <v>64</v>
      </c>
      <c r="E386" t="s">
        <v>22</v>
      </c>
      <c r="F386" t="s">
        <v>23</v>
      </c>
      <c r="G386">
        <v>1</v>
      </c>
      <c r="H386">
        <v>9791166300479</v>
      </c>
      <c r="I386" t="s">
        <v>24</v>
      </c>
      <c r="J386" t="s">
        <v>145</v>
      </c>
      <c r="K386" t="s">
        <v>119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  <c r="V386" s="7" t="s">
        <v>24</v>
      </c>
      <c r="W386" s="7" t="s">
        <v>119</v>
      </c>
    </row>
    <row r="387" spans="1:23" x14ac:dyDescent="0.4">
      <c r="A387" t="s">
        <v>262</v>
      </c>
      <c r="B387" t="s">
        <v>899</v>
      </c>
      <c r="C387" t="s">
        <v>927</v>
      </c>
      <c r="D387" t="s">
        <v>64</v>
      </c>
      <c r="E387" t="s">
        <v>22</v>
      </c>
      <c r="F387" t="s">
        <v>23</v>
      </c>
      <c r="G387">
        <v>1</v>
      </c>
      <c r="H387">
        <v>9791166300516</v>
      </c>
      <c r="I387" t="s">
        <v>24</v>
      </c>
      <c r="J387" t="s">
        <v>149</v>
      </c>
      <c r="K387" t="s">
        <v>119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2">
        <v>0.7</v>
      </c>
      <c r="S387">
        <v>441</v>
      </c>
      <c r="T387" t="s">
        <v>27</v>
      </c>
      <c r="U387">
        <v>441</v>
      </c>
      <c r="V387" s="7" t="s">
        <v>24</v>
      </c>
      <c r="W387" s="7" t="s">
        <v>119</v>
      </c>
    </row>
    <row r="388" spans="1:23" x14ac:dyDescent="0.4">
      <c r="A388" t="s">
        <v>262</v>
      </c>
      <c r="B388" t="s">
        <v>899</v>
      </c>
      <c r="C388" t="s">
        <v>928</v>
      </c>
      <c r="D388" t="s">
        <v>64</v>
      </c>
      <c r="E388" t="s">
        <v>22</v>
      </c>
      <c r="F388" t="s">
        <v>23</v>
      </c>
      <c r="G388">
        <v>1</v>
      </c>
      <c r="H388">
        <v>9791166300165</v>
      </c>
      <c r="I388" t="s">
        <v>24</v>
      </c>
      <c r="J388" t="s">
        <v>126</v>
      </c>
      <c r="K388" t="s">
        <v>119</v>
      </c>
      <c r="L388" t="s">
        <v>27</v>
      </c>
      <c r="M388">
        <v>630</v>
      </c>
      <c r="N388" t="s">
        <v>27</v>
      </c>
      <c r="O388">
        <v>630</v>
      </c>
      <c r="P388">
        <v>630</v>
      </c>
      <c r="Q388" t="s">
        <v>30</v>
      </c>
      <c r="R388" s="2">
        <v>0.7</v>
      </c>
      <c r="S388">
        <v>441</v>
      </c>
      <c r="T388" t="s">
        <v>27</v>
      </c>
      <c r="U388">
        <v>441</v>
      </c>
      <c r="V388" s="7" t="s">
        <v>24</v>
      </c>
      <c r="W388" s="7" t="s">
        <v>119</v>
      </c>
    </row>
    <row r="389" spans="1:23" x14ac:dyDescent="0.4">
      <c r="A389" t="s">
        <v>262</v>
      </c>
      <c r="B389" t="s">
        <v>899</v>
      </c>
      <c r="C389" t="s">
        <v>931</v>
      </c>
      <c r="D389" t="s">
        <v>64</v>
      </c>
      <c r="E389" t="s">
        <v>22</v>
      </c>
      <c r="F389" t="s">
        <v>23</v>
      </c>
      <c r="G389">
        <v>1</v>
      </c>
      <c r="H389">
        <v>9791166300165</v>
      </c>
      <c r="I389" t="s">
        <v>24</v>
      </c>
      <c r="J389" t="s">
        <v>126</v>
      </c>
      <c r="K389" t="s">
        <v>119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2">
        <v>0.7</v>
      </c>
      <c r="S389">
        <v>441</v>
      </c>
      <c r="T389" t="s">
        <v>27</v>
      </c>
      <c r="U389">
        <v>441</v>
      </c>
      <c r="V389" s="7" t="s">
        <v>24</v>
      </c>
      <c r="W389" s="7" t="s">
        <v>119</v>
      </c>
    </row>
    <row r="390" spans="1:23" x14ac:dyDescent="0.4">
      <c r="A390" t="s">
        <v>262</v>
      </c>
      <c r="B390" t="s">
        <v>899</v>
      </c>
      <c r="C390" t="s">
        <v>932</v>
      </c>
      <c r="D390" t="s">
        <v>64</v>
      </c>
      <c r="E390" t="s">
        <v>22</v>
      </c>
      <c r="F390" t="s">
        <v>23</v>
      </c>
      <c r="G390">
        <v>1</v>
      </c>
      <c r="H390">
        <v>9791166300462</v>
      </c>
      <c r="I390" t="s">
        <v>24</v>
      </c>
      <c r="J390" t="s">
        <v>144</v>
      </c>
      <c r="K390" t="s">
        <v>119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  <c r="V390" s="7" t="s">
        <v>24</v>
      </c>
      <c r="W390" s="7" t="s">
        <v>119</v>
      </c>
    </row>
    <row r="391" spans="1:23" x14ac:dyDescent="0.4">
      <c r="A391" t="s">
        <v>262</v>
      </c>
      <c r="B391" t="s">
        <v>899</v>
      </c>
      <c r="C391" t="s">
        <v>933</v>
      </c>
      <c r="D391" t="s">
        <v>64</v>
      </c>
      <c r="E391" t="s">
        <v>22</v>
      </c>
      <c r="F391" t="s">
        <v>23</v>
      </c>
      <c r="G391">
        <v>1</v>
      </c>
      <c r="H391">
        <v>9791166300271</v>
      </c>
      <c r="I391" t="s">
        <v>24</v>
      </c>
      <c r="J391" t="s">
        <v>136</v>
      </c>
      <c r="K391" t="s">
        <v>119</v>
      </c>
      <c r="L391" t="s">
        <v>27</v>
      </c>
      <c r="M391">
        <v>630</v>
      </c>
      <c r="N391" t="s">
        <v>27</v>
      </c>
      <c r="O391">
        <v>630</v>
      </c>
      <c r="P391">
        <v>630</v>
      </c>
      <c r="Q391" t="s">
        <v>30</v>
      </c>
      <c r="R391" s="2">
        <v>0.7</v>
      </c>
      <c r="S391">
        <v>441</v>
      </c>
      <c r="T391" t="s">
        <v>27</v>
      </c>
      <c r="U391">
        <v>441</v>
      </c>
      <c r="V391" s="7" t="s">
        <v>24</v>
      </c>
      <c r="W391" s="7" t="s">
        <v>119</v>
      </c>
    </row>
    <row r="392" spans="1:23" x14ac:dyDescent="0.4">
      <c r="A392" t="s">
        <v>262</v>
      </c>
      <c r="B392" t="s">
        <v>899</v>
      </c>
      <c r="C392" t="s">
        <v>934</v>
      </c>
      <c r="D392" t="s">
        <v>64</v>
      </c>
      <c r="E392" t="s">
        <v>22</v>
      </c>
      <c r="F392" t="s">
        <v>23</v>
      </c>
      <c r="G392">
        <v>1</v>
      </c>
      <c r="H392">
        <v>9791166300172</v>
      </c>
      <c r="I392" t="s">
        <v>24</v>
      </c>
      <c r="J392" t="s">
        <v>127</v>
      </c>
      <c r="K392" t="s">
        <v>119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2">
        <v>0.7</v>
      </c>
      <c r="S392">
        <v>441</v>
      </c>
      <c r="T392" t="s">
        <v>27</v>
      </c>
      <c r="U392">
        <v>441</v>
      </c>
      <c r="V392" s="7" t="s">
        <v>24</v>
      </c>
      <c r="W392" s="7" t="s">
        <v>119</v>
      </c>
    </row>
    <row r="393" spans="1:23" x14ac:dyDescent="0.4">
      <c r="A393" t="s">
        <v>262</v>
      </c>
      <c r="B393" t="s">
        <v>899</v>
      </c>
      <c r="C393" t="s">
        <v>939</v>
      </c>
      <c r="D393" t="s">
        <v>64</v>
      </c>
      <c r="E393" t="s">
        <v>22</v>
      </c>
      <c r="F393" t="s">
        <v>23</v>
      </c>
      <c r="G393">
        <v>1</v>
      </c>
      <c r="H393">
        <v>9791166300134</v>
      </c>
      <c r="I393" t="s">
        <v>24</v>
      </c>
      <c r="J393" t="s">
        <v>123</v>
      </c>
      <c r="K393" t="s">
        <v>119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  <c r="V393" s="7" t="s">
        <v>24</v>
      </c>
      <c r="W393" s="7" t="s">
        <v>119</v>
      </c>
    </row>
    <row r="394" spans="1:23" x14ac:dyDescent="0.4">
      <c r="A394" t="s">
        <v>262</v>
      </c>
      <c r="B394" t="s">
        <v>899</v>
      </c>
      <c r="C394" t="s">
        <v>940</v>
      </c>
      <c r="D394" t="s">
        <v>64</v>
      </c>
      <c r="E394" t="s">
        <v>22</v>
      </c>
      <c r="F394" t="s">
        <v>23</v>
      </c>
      <c r="G394">
        <v>1</v>
      </c>
      <c r="H394">
        <v>9791166300486</v>
      </c>
      <c r="I394" t="s">
        <v>24</v>
      </c>
      <c r="J394" t="s">
        <v>146</v>
      </c>
      <c r="K394" t="s">
        <v>119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  <c r="V394" s="7" t="s">
        <v>24</v>
      </c>
      <c r="W394" s="7" t="s">
        <v>119</v>
      </c>
    </row>
    <row r="395" spans="1:23" x14ac:dyDescent="0.4">
      <c r="A395" t="s">
        <v>262</v>
      </c>
      <c r="B395" t="s">
        <v>899</v>
      </c>
      <c r="C395" t="s">
        <v>941</v>
      </c>
      <c r="D395" t="s">
        <v>21</v>
      </c>
      <c r="E395" t="s">
        <v>22</v>
      </c>
      <c r="F395" t="s">
        <v>23</v>
      </c>
      <c r="G395">
        <v>1</v>
      </c>
      <c r="H395">
        <v>9791166300141</v>
      </c>
      <c r="I395" t="s">
        <v>24</v>
      </c>
      <c r="J395" t="s">
        <v>124</v>
      </c>
      <c r="K395" t="s">
        <v>119</v>
      </c>
      <c r="L395" t="s">
        <v>27</v>
      </c>
      <c r="M395" s="3">
        <v>3200</v>
      </c>
      <c r="N395" t="s">
        <v>27</v>
      </c>
      <c r="O395" s="3">
        <v>3200</v>
      </c>
      <c r="P395" s="3">
        <v>3200</v>
      </c>
      <c r="Q395" t="s">
        <v>30</v>
      </c>
      <c r="R395" s="2">
        <v>0.7</v>
      </c>
      <c r="S395" s="3">
        <v>2240</v>
      </c>
      <c r="T395" t="s">
        <v>27</v>
      </c>
      <c r="U395" s="3">
        <v>2240</v>
      </c>
      <c r="V395" s="7" t="s">
        <v>24</v>
      </c>
      <c r="W395" s="7" t="s">
        <v>119</v>
      </c>
    </row>
    <row r="396" spans="1:23" x14ac:dyDescent="0.4">
      <c r="A396" t="s">
        <v>262</v>
      </c>
      <c r="B396" t="s">
        <v>899</v>
      </c>
      <c r="C396" t="s">
        <v>942</v>
      </c>
      <c r="D396" t="s">
        <v>64</v>
      </c>
      <c r="E396" t="s">
        <v>22</v>
      </c>
      <c r="F396" t="s">
        <v>23</v>
      </c>
      <c r="G396">
        <v>1</v>
      </c>
      <c r="H396">
        <v>9791166300196</v>
      </c>
      <c r="I396" t="s">
        <v>24</v>
      </c>
      <c r="J396" t="s">
        <v>128</v>
      </c>
      <c r="K396" t="s">
        <v>119</v>
      </c>
      <c r="L396" t="s">
        <v>27</v>
      </c>
      <c r="M396">
        <v>630</v>
      </c>
      <c r="N396" t="s">
        <v>27</v>
      </c>
      <c r="O396">
        <v>630</v>
      </c>
      <c r="P396">
        <v>630</v>
      </c>
      <c r="Q396" t="s">
        <v>30</v>
      </c>
      <c r="R396" s="2">
        <v>0.7</v>
      </c>
      <c r="S396">
        <v>441</v>
      </c>
      <c r="T396" t="s">
        <v>27</v>
      </c>
      <c r="U396">
        <v>441</v>
      </c>
      <c r="V396" s="7" t="s">
        <v>24</v>
      </c>
      <c r="W396" s="7" t="s">
        <v>119</v>
      </c>
    </row>
    <row r="397" spans="1:23" x14ac:dyDescent="0.4">
      <c r="A397" t="s">
        <v>262</v>
      </c>
      <c r="B397" t="s">
        <v>899</v>
      </c>
      <c r="C397" t="s">
        <v>945</v>
      </c>
      <c r="D397" t="s">
        <v>64</v>
      </c>
      <c r="E397" t="s">
        <v>22</v>
      </c>
      <c r="F397" t="s">
        <v>23</v>
      </c>
      <c r="G397">
        <v>1</v>
      </c>
      <c r="H397">
        <v>9791166300479</v>
      </c>
      <c r="I397" t="s">
        <v>24</v>
      </c>
      <c r="J397" t="s">
        <v>145</v>
      </c>
      <c r="K397" t="s">
        <v>119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  <c r="V397" s="7" t="s">
        <v>24</v>
      </c>
      <c r="W397" s="7" t="s">
        <v>119</v>
      </c>
    </row>
    <row r="398" spans="1:23" x14ac:dyDescent="0.4">
      <c r="A398" t="s">
        <v>262</v>
      </c>
      <c r="B398" t="s">
        <v>899</v>
      </c>
      <c r="C398" t="s">
        <v>946</v>
      </c>
      <c r="D398" t="s">
        <v>64</v>
      </c>
      <c r="E398" t="s">
        <v>22</v>
      </c>
      <c r="F398" t="s">
        <v>23</v>
      </c>
      <c r="G398">
        <v>1</v>
      </c>
      <c r="H398">
        <v>9791166300141</v>
      </c>
      <c r="I398" t="s">
        <v>24</v>
      </c>
      <c r="J398" t="s">
        <v>124</v>
      </c>
      <c r="K398" t="s">
        <v>119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2">
        <v>0.7</v>
      </c>
      <c r="S398">
        <v>441</v>
      </c>
      <c r="T398" t="s">
        <v>27</v>
      </c>
      <c r="U398">
        <v>441</v>
      </c>
      <c r="V398" s="7" t="s">
        <v>24</v>
      </c>
      <c r="W398" s="7" t="s">
        <v>119</v>
      </c>
    </row>
    <row r="399" spans="1:23" x14ac:dyDescent="0.4">
      <c r="A399" t="s">
        <v>262</v>
      </c>
      <c r="B399" t="s">
        <v>899</v>
      </c>
      <c r="C399" t="s">
        <v>947</v>
      </c>
      <c r="D399" t="s">
        <v>64</v>
      </c>
      <c r="E399" t="s">
        <v>22</v>
      </c>
      <c r="F399" t="s">
        <v>23</v>
      </c>
      <c r="G399">
        <v>1</v>
      </c>
      <c r="H399">
        <v>9791166300288</v>
      </c>
      <c r="I399" t="s">
        <v>24</v>
      </c>
      <c r="J399" t="s">
        <v>137</v>
      </c>
      <c r="K399" t="s">
        <v>119</v>
      </c>
      <c r="L399" t="s">
        <v>27</v>
      </c>
      <c r="M399">
        <v>630</v>
      </c>
      <c r="N399" t="s">
        <v>27</v>
      </c>
      <c r="O399">
        <v>630</v>
      </c>
      <c r="P399">
        <v>630</v>
      </c>
      <c r="Q399" t="s">
        <v>30</v>
      </c>
      <c r="R399" s="2">
        <v>0.7</v>
      </c>
      <c r="S399">
        <v>441</v>
      </c>
      <c r="T399" t="s">
        <v>27</v>
      </c>
      <c r="U399">
        <v>441</v>
      </c>
      <c r="V399" s="7" t="s">
        <v>24</v>
      </c>
      <c r="W399" s="7" t="s">
        <v>119</v>
      </c>
    </row>
    <row r="400" spans="1:23" x14ac:dyDescent="0.4">
      <c r="A400" t="s">
        <v>262</v>
      </c>
      <c r="B400" t="s">
        <v>899</v>
      </c>
      <c r="C400" t="s">
        <v>949</v>
      </c>
      <c r="D400" t="s">
        <v>64</v>
      </c>
      <c r="E400" t="s">
        <v>22</v>
      </c>
      <c r="F400" t="s">
        <v>23</v>
      </c>
      <c r="G400">
        <v>1</v>
      </c>
      <c r="H400">
        <v>9791166300554</v>
      </c>
      <c r="I400" t="s">
        <v>24</v>
      </c>
      <c r="J400" t="s">
        <v>154</v>
      </c>
      <c r="K400" t="s">
        <v>119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  <c r="V400" s="7" t="s">
        <v>24</v>
      </c>
      <c r="W400" s="7" t="s">
        <v>119</v>
      </c>
    </row>
    <row r="401" spans="1:23" x14ac:dyDescent="0.4">
      <c r="A401" t="s">
        <v>262</v>
      </c>
      <c r="B401" t="s">
        <v>899</v>
      </c>
      <c r="C401" t="s">
        <v>953</v>
      </c>
      <c r="D401" t="s">
        <v>64</v>
      </c>
      <c r="E401" t="s">
        <v>22</v>
      </c>
      <c r="F401" t="s">
        <v>23</v>
      </c>
      <c r="G401">
        <v>1</v>
      </c>
      <c r="H401">
        <v>9791166300257</v>
      </c>
      <c r="I401" t="s">
        <v>24</v>
      </c>
      <c r="J401" t="s">
        <v>134</v>
      </c>
      <c r="K401" t="s">
        <v>119</v>
      </c>
      <c r="L401" t="s">
        <v>27</v>
      </c>
      <c r="M401">
        <v>630</v>
      </c>
      <c r="N401" t="s">
        <v>27</v>
      </c>
      <c r="O401">
        <v>630</v>
      </c>
      <c r="P401">
        <v>630</v>
      </c>
      <c r="Q401" t="s">
        <v>30</v>
      </c>
      <c r="R401" s="2">
        <v>0.7</v>
      </c>
      <c r="S401">
        <v>441</v>
      </c>
      <c r="T401" t="s">
        <v>27</v>
      </c>
      <c r="U401">
        <v>441</v>
      </c>
      <c r="V401" s="7" t="s">
        <v>24</v>
      </c>
      <c r="W401" s="7" t="s">
        <v>119</v>
      </c>
    </row>
    <row r="402" spans="1:23" x14ac:dyDescent="0.4">
      <c r="A402" t="s">
        <v>262</v>
      </c>
      <c r="B402" t="s">
        <v>899</v>
      </c>
      <c r="C402" t="s">
        <v>955</v>
      </c>
      <c r="D402" t="s">
        <v>64</v>
      </c>
      <c r="E402" t="s">
        <v>22</v>
      </c>
      <c r="F402" t="s">
        <v>23</v>
      </c>
      <c r="G402">
        <v>1</v>
      </c>
      <c r="H402">
        <v>9791166300486</v>
      </c>
      <c r="I402" t="s">
        <v>24</v>
      </c>
      <c r="J402" t="s">
        <v>146</v>
      </c>
      <c r="K402" t="s">
        <v>119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  <c r="V402" s="7" t="s">
        <v>24</v>
      </c>
      <c r="W402" s="7" t="s">
        <v>119</v>
      </c>
    </row>
    <row r="403" spans="1:23" x14ac:dyDescent="0.4">
      <c r="A403" t="s">
        <v>262</v>
      </c>
      <c r="B403" t="s">
        <v>899</v>
      </c>
      <c r="C403" t="s">
        <v>956</v>
      </c>
      <c r="D403" t="s">
        <v>64</v>
      </c>
      <c r="E403" t="s">
        <v>22</v>
      </c>
      <c r="F403" t="s">
        <v>23</v>
      </c>
      <c r="G403">
        <v>1</v>
      </c>
      <c r="H403">
        <v>9791166300233</v>
      </c>
      <c r="I403" t="s">
        <v>24</v>
      </c>
      <c r="J403" t="s">
        <v>132</v>
      </c>
      <c r="K403" t="s">
        <v>119</v>
      </c>
      <c r="L403" t="s">
        <v>27</v>
      </c>
      <c r="M403">
        <v>630</v>
      </c>
      <c r="N403" t="s">
        <v>27</v>
      </c>
      <c r="O403">
        <v>630</v>
      </c>
      <c r="P403">
        <v>630</v>
      </c>
      <c r="Q403" t="s">
        <v>30</v>
      </c>
      <c r="R403" s="2">
        <v>0.7</v>
      </c>
      <c r="S403">
        <v>441</v>
      </c>
      <c r="T403" t="s">
        <v>27</v>
      </c>
      <c r="U403">
        <v>441</v>
      </c>
      <c r="V403" s="7" t="s">
        <v>24</v>
      </c>
      <c r="W403" s="7" t="s">
        <v>119</v>
      </c>
    </row>
    <row r="404" spans="1:23" x14ac:dyDescent="0.4">
      <c r="A404" t="s">
        <v>262</v>
      </c>
      <c r="B404" t="s">
        <v>899</v>
      </c>
      <c r="C404" t="s">
        <v>957</v>
      </c>
      <c r="D404" t="s">
        <v>64</v>
      </c>
      <c r="E404" t="s">
        <v>22</v>
      </c>
      <c r="F404" t="s">
        <v>23</v>
      </c>
      <c r="G404">
        <v>1</v>
      </c>
      <c r="H404">
        <v>9791166300165</v>
      </c>
      <c r="I404" t="s">
        <v>24</v>
      </c>
      <c r="J404" t="s">
        <v>126</v>
      </c>
      <c r="K404" t="s">
        <v>119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  <c r="V404" s="7" t="s">
        <v>24</v>
      </c>
      <c r="W404" s="7" t="s">
        <v>119</v>
      </c>
    </row>
    <row r="405" spans="1:23" x14ac:dyDescent="0.4">
      <c r="A405" t="s">
        <v>262</v>
      </c>
      <c r="B405" t="s">
        <v>899</v>
      </c>
      <c r="C405" t="s">
        <v>958</v>
      </c>
      <c r="D405" t="s">
        <v>64</v>
      </c>
      <c r="E405" t="s">
        <v>22</v>
      </c>
      <c r="F405" t="s">
        <v>23</v>
      </c>
      <c r="G405">
        <v>1</v>
      </c>
      <c r="H405">
        <v>9791166300561</v>
      </c>
      <c r="I405" t="s">
        <v>24</v>
      </c>
      <c r="J405" t="s">
        <v>158</v>
      </c>
      <c r="K405" t="s">
        <v>119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2">
        <v>0.7</v>
      </c>
      <c r="S405">
        <v>441</v>
      </c>
      <c r="T405" t="s">
        <v>27</v>
      </c>
      <c r="U405">
        <v>441</v>
      </c>
      <c r="V405" s="7" t="s">
        <v>24</v>
      </c>
      <c r="W405" s="7" t="s">
        <v>119</v>
      </c>
    </row>
    <row r="406" spans="1:23" x14ac:dyDescent="0.4">
      <c r="A406" t="s">
        <v>262</v>
      </c>
      <c r="B406" t="s">
        <v>899</v>
      </c>
      <c r="C406" t="s">
        <v>959</v>
      </c>
      <c r="D406" t="s">
        <v>64</v>
      </c>
      <c r="E406" t="s">
        <v>22</v>
      </c>
      <c r="F406" t="s">
        <v>23</v>
      </c>
      <c r="G406">
        <v>1</v>
      </c>
      <c r="H406">
        <v>9791166300202</v>
      </c>
      <c r="I406" t="s">
        <v>24</v>
      </c>
      <c r="J406" t="s">
        <v>129</v>
      </c>
      <c r="K406" t="s">
        <v>119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2">
        <v>0.7</v>
      </c>
      <c r="S406">
        <v>441</v>
      </c>
      <c r="T406" t="s">
        <v>27</v>
      </c>
      <c r="U406">
        <v>441</v>
      </c>
      <c r="V406" s="7" t="s">
        <v>24</v>
      </c>
      <c r="W406" s="7" t="s">
        <v>119</v>
      </c>
    </row>
    <row r="407" spans="1:23" x14ac:dyDescent="0.4">
      <c r="A407" t="s">
        <v>262</v>
      </c>
      <c r="B407" t="s">
        <v>899</v>
      </c>
      <c r="C407" t="s">
        <v>961</v>
      </c>
      <c r="D407" t="s">
        <v>64</v>
      </c>
      <c r="E407" t="s">
        <v>22</v>
      </c>
      <c r="F407" t="s">
        <v>23</v>
      </c>
      <c r="G407">
        <v>1</v>
      </c>
      <c r="H407">
        <v>9791166300127</v>
      </c>
      <c r="I407" t="s">
        <v>24</v>
      </c>
      <c r="J407" t="s">
        <v>122</v>
      </c>
      <c r="K407" t="s">
        <v>119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  <c r="V407" s="7" t="s">
        <v>24</v>
      </c>
      <c r="W407" s="7" t="s">
        <v>119</v>
      </c>
    </row>
    <row r="408" spans="1:23" x14ac:dyDescent="0.4">
      <c r="A408" t="s">
        <v>262</v>
      </c>
      <c r="B408" t="s">
        <v>899</v>
      </c>
      <c r="C408" t="s">
        <v>965</v>
      </c>
      <c r="D408" t="s">
        <v>64</v>
      </c>
      <c r="E408" t="s">
        <v>22</v>
      </c>
      <c r="F408" t="s">
        <v>23</v>
      </c>
      <c r="G408">
        <v>1</v>
      </c>
      <c r="H408">
        <v>9791166300172</v>
      </c>
      <c r="I408" t="s">
        <v>24</v>
      </c>
      <c r="J408" t="s">
        <v>127</v>
      </c>
      <c r="K408" t="s">
        <v>119</v>
      </c>
      <c r="L408" t="s">
        <v>27</v>
      </c>
      <c r="M408">
        <v>630</v>
      </c>
      <c r="N408" t="s">
        <v>27</v>
      </c>
      <c r="O408">
        <v>630</v>
      </c>
      <c r="P408">
        <v>630</v>
      </c>
      <c r="Q408" t="s">
        <v>30</v>
      </c>
      <c r="R408" s="2">
        <v>0.7</v>
      </c>
      <c r="S408">
        <v>441</v>
      </c>
      <c r="T408" t="s">
        <v>27</v>
      </c>
      <c r="U408">
        <v>441</v>
      </c>
      <c r="V408" s="7" t="s">
        <v>24</v>
      </c>
      <c r="W408" s="7" t="s">
        <v>119</v>
      </c>
    </row>
    <row r="409" spans="1:23" x14ac:dyDescent="0.4">
      <c r="A409" t="s">
        <v>262</v>
      </c>
      <c r="B409" t="s">
        <v>899</v>
      </c>
      <c r="C409" t="s">
        <v>966</v>
      </c>
      <c r="D409" t="s">
        <v>64</v>
      </c>
      <c r="E409" t="s">
        <v>22</v>
      </c>
      <c r="F409" t="s">
        <v>23</v>
      </c>
      <c r="G409">
        <v>1</v>
      </c>
      <c r="H409">
        <v>9791166300660</v>
      </c>
      <c r="I409" t="s">
        <v>24</v>
      </c>
      <c r="J409" t="s">
        <v>156</v>
      </c>
      <c r="K409" t="s">
        <v>119</v>
      </c>
      <c r="L409" t="s">
        <v>27</v>
      </c>
      <c r="M409">
        <v>630</v>
      </c>
      <c r="N409" t="s">
        <v>27</v>
      </c>
      <c r="O409">
        <v>630</v>
      </c>
      <c r="P409">
        <v>630</v>
      </c>
      <c r="Q409" t="s">
        <v>30</v>
      </c>
      <c r="R409" s="2">
        <v>0.7</v>
      </c>
      <c r="S409">
        <v>441</v>
      </c>
      <c r="T409" t="s">
        <v>27</v>
      </c>
      <c r="U409">
        <v>441</v>
      </c>
      <c r="V409" s="7" t="s">
        <v>24</v>
      </c>
      <c r="W409" s="7" t="s">
        <v>119</v>
      </c>
    </row>
    <row r="410" spans="1:23" x14ac:dyDescent="0.4">
      <c r="A410" t="s">
        <v>262</v>
      </c>
      <c r="B410" t="s">
        <v>899</v>
      </c>
      <c r="C410" t="s">
        <v>967</v>
      </c>
      <c r="D410" t="s">
        <v>64</v>
      </c>
      <c r="E410" t="s">
        <v>22</v>
      </c>
      <c r="F410" t="s">
        <v>23</v>
      </c>
      <c r="G410">
        <v>1</v>
      </c>
      <c r="H410">
        <v>9791166300578</v>
      </c>
      <c r="I410" t="s">
        <v>24</v>
      </c>
      <c r="J410" t="s">
        <v>159</v>
      </c>
      <c r="K410" t="s">
        <v>119</v>
      </c>
      <c r="L410" t="s">
        <v>27</v>
      </c>
      <c r="M410">
        <v>630</v>
      </c>
      <c r="N410" t="s">
        <v>27</v>
      </c>
      <c r="O410">
        <v>630</v>
      </c>
      <c r="P410">
        <v>630</v>
      </c>
      <c r="Q410" t="s">
        <v>30</v>
      </c>
      <c r="R410" s="2">
        <v>0.7</v>
      </c>
      <c r="S410">
        <v>441</v>
      </c>
      <c r="T410" t="s">
        <v>27</v>
      </c>
      <c r="U410">
        <v>441</v>
      </c>
      <c r="V410" s="7" t="s">
        <v>24</v>
      </c>
      <c r="W410" s="7" t="s">
        <v>119</v>
      </c>
    </row>
    <row r="411" spans="1:23" x14ac:dyDescent="0.4">
      <c r="A411" t="s">
        <v>262</v>
      </c>
      <c r="B411" t="s">
        <v>899</v>
      </c>
      <c r="C411" t="s">
        <v>972</v>
      </c>
      <c r="D411" t="s">
        <v>64</v>
      </c>
      <c r="E411" t="s">
        <v>22</v>
      </c>
      <c r="F411" t="s">
        <v>23</v>
      </c>
      <c r="G411">
        <v>1</v>
      </c>
      <c r="H411">
        <v>9791166300240</v>
      </c>
      <c r="I411" t="s">
        <v>24</v>
      </c>
      <c r="J411" t="s">
        <v>133</v>
      </c>
      <c r="K411" t="s">
        <v>119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  <c r="V411" s="7" t="s">
        <v>24</v>
      </c>
      <c r="W411" s="7" t="s">
        <v>119</v>
      </c>
    </row>
    <row r="412" spans="1:23" x14ac:dyDescent="0.4">
      <c r="A412" t="s">
        <v>262</v>
      </c>
      <c r="B412" t="s">
        <v>899</v>
      </c>
      <c r="C412" t="s">
        <v>973</v>
      </c>
      <c r="D412" t="s">
        <v>64</v>
      </c>
      <c r="E412" t="s">
        <v>22</v>
      </c>
      <c r="F412" t="s">
        <v>23</v>
      </c>
      <c r="G412">
        <v>1</v>
      </c>
      <c r="H412">
        <v>9791166300493</v>
      </c>
      <c r="I412" t="s">
        <v>24</v>
      </c>
      <c r="J412" t="s">
        <v>147</v>
      </c>
      <c r="K412" t="s">
        <v>119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  <c r="V412" s="7" t="s">
        <v>24</v>
      </c>
      <c r="W412" s="7" t="s">
        <v>119</v>
      </c>
    </row>
    <row r="413" spans="1:23" x14ac:dyDescent="0.4">
      <c r="A413" t="s">
        <v>262</v>
      </c>
      <c r="B413" t="s">
        <v>899</v>
      </c>
      <c r="C413" t="s">
        <v>974</v>
      </c>
      <c r="D413" t="s">
        <v>64</v>
      </c>
      <c r="E413" t="s">
        <v>22</v>
      </c>
      <c r="F413" t="s">
        <v>23</v>
      </c>
      <c r="G413">
        <v>1</v>
      </c>
      <c r="H413">
        <v>9791166300585</v>
      </c>
      <c r="I413" t="s">
        <v>24</v>
      </c>
      <c r="J413" t="s">
        <v>160</v>
      </c>
      <c r="K413" t="s">
        <v>119</v>
      </c>
      <c r="L413" t="s">
        <v>27</v>
      </c>
      <c r="M413">
        <v>630</v>
      </c>
      <c r="N413" t="s">
        <v>27</v>
      </c>
      <c r="O413">
        <v>630</v>
      </c>
      <c r="P413">
        <v>630</v>
      </c>
      <c r="Q413" t="s">
        <v>30</v>
      </c>
      <c r="R413" s="2">
        <v>0.7</v>
      </c>
      <c r="S413">
        <v>441</v>
      </c>
      <c r="T413" t="s">
        <v>27</v>
      </c>
      <c r="U413">
        <v>441</v>
      </c>
      <c r="V413" s="7" t="s">
        <v>24</v>
      </c>
      <c r="W413" s="7" t="s">
        <v>119</v>
      </c>
    </row>
    <row r="414" spans="1:23" x14ac:dyDescent="0.4">
      <c r="A414" t="s">
        <v>262</v>
      </c>
      <c r="B414" t="s">
        <v>984</v>
      </c>
      <c r="C414" t="s">
        <v>985</v>
      </c>
      <c r="D414" t="s">
        <v>64</v>
      </c>
      <c r="E414" t="s">
        <v>22</v>
      </c>
      <c r="F414" t="s">
        <v>23</v>
      </c>
      <c r="G414">
        <v>1</v>
      </c>
      <c r="H414">
        <v>9791166300295</v>
      </c>
      <c r="I414" t="s">
        <v>24</v>
      </c>
      <c r="J414" t="s">
        <v>138</v>
      </c>
      <c r="K414" t="s">
        <v>119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  <c r="V414" s="7" t="s">
        <v>24</v>
      </c>
      <c r="W414" s="7" t="s">
        <v>119</v>
      </c>
    </row>
    <row r="415" spans="1:23" x14ac:dyDescent="0.4">
      <c r="A415" t="s">
        <v>262</v>
      </c>
      <c r="B415" t="s">
        <v>984</v>
      </c>
      <c r="C415" t="s">
        <v>987</v>
      </c>
      <c r="D415" t="s">
        <v>64</v>
      </c>
      <c r="E415" t="s">
        <v>22</v>
      </c>
      <c r="F415" t="s">
        <v>23</v>
      </c>
      <c r="G415">
        <v>1</v>
      </c>
      <c r="H415">
        <v>9791166300264</v>
      </c>
      <c r="I415" t="s">
        <v>24</v>
      </c>
      <c r="J415" t="s">
        <v>135</v>
      </c>
      <c r="K415" t="s">
        <v>119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  <c r="V415" s="7" t="s">
        <v>24</v>
      </c>
      <c r="W415" s="7" t="s">
        <v>119</v>
      </c>
    </row>
    <row r="416" spans="1:23" x14ac:dyDescent="0.4">
      <c r="A416" t="s">
        <v>262</v>
      </c>
      <c r="B416" t="s">
        <v>984</v>
      </c>
      <c r="C416" t="s">
        <v>988</v>
      </c>
      <c r="D416" t="s">
        <v>64</v>
      </c>
      <c r="E416" t="s">
        <v>22</v>
      </c>
      <c r="F416" t="s">
        <v>23</v>
      </c>
      <c r="G416">
        <v>1</v>
      </c>
      <c r="H416">
        <v>9791166300653</v>
      </c>
      <c r="I416" t="s">
        <v>24</v>
      </c>
      <c r="J416" t="s">
        <v>157</v>
      </c>
      <c r="K416" t="s">
        <v>119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  <c r="V416" s="7" t="s">
        <v>24</v>
      </c>
      <c r="W416" s="7" t="s">
        <v>119</v>
      </c>
    </row>
    <row r="417" spans="1:23" x14ac:dyDescent="0.4">
      <c r="A417" t="s">
        <v>262</v>
      </c>
      <c r="B417" t="s">
        <v>984</v>
      </c>
      <c r="C417" t="s">
        <v>989</v>
      </c>
      <c r="D417" t="s">
        <v>64</v>
      </c>
      <c r="E417" t="s">
        <v>22</v>
      </c>
      <c r="F417" t="s">
        <v>23</v>
      </c>
      <c r="G417">
        <v>1</v>
      </c>
      <c r="H417">
        <v>9791166300592</v>
      </c>
      <c r="I417" t="s">
        <v>24</v>
      </c>
      <c r="J417" t="s">
        <v>161</v>
      </c>
      <c r="K417" t="s">
        <v>119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  <c r="V417" s="7" t="s">
        <v>24</v>
      </c>
      <c r="W417" s="7" t="s">
        <v>119</v>
      </c>
    </row>
    <row r="418" spans="1:23" x14ac:dyDescent="0.4">
      <c r="A418" t="s">
        <v>262</v>
      </c>
      <c r="B418" t="s">
        <v>984</v>
      </c>
      <c r="C418" t="s">
        <v>990</v>
      </c>
      <c r="D418" t="s">
        <v>64</v>
      </c>
      <c r="E418" t="s">
        <v>22</v>
      </c>
      <c r="F418" t="s">
        <v>23</v>
      </c>
      <c r="G418">
        <v>1</v>
      </c>
      <c r="H418">
        <v>9791166300493</v>
      </c>
      <c r="I418" t="s">
        <v>24</v>
      </c>
      <c r="J418" t="s">
        <v>147</v>
      </c>
      <c r="K418" t="s">
        <v>119</v>
      </c>
      <c r="L418" t="s">
        <v>27</v>
      </c>
      <c r="M418">
        <v>630</v>
      </c>
      <c r="N418" t="s">
        <v>27</v>
      </c>
      <c r="O418">
        <v>630</v>
      </c>
      <c r="P418">
        <v>630</v>
      </c>
      <c r="Q418" t="s">
        <v>30</v>
      </c>
      <c r="R418" s="2">
        <v>0.7</v>
      </c>
      <c r="S418">
        <v>441</v>
      </c>
      <c r="T418" t="s">
        <v>27</v>
      </c>
      <c r="U418">
        <v>441</v>
      </c>
      <c r="V418" s="7" t="s">
        <v>24</v>
      </c>
      <c r="W418" s="7" t="s">
        <v>119</v>
      </c>
    </row>
    <row r="419" spans="1:23" x14ac:dyDescent="0.4">
      <c r="A419" t="s">
        <v>262</v>
      </c>
      <c r="B419" t="s">
        <v>984</v>
      </c>
      <c r="C419" t="s">
        <v>991</v>
      </c>
      <c r="D419" t="s">
        <v>64</v>
      </c>
      <c r="E419" t="s">
        <v>22</v>
      </c>
      <c r="F419" t="s">
        <v>23</v>
      </c>
      <c r="G419">
        <v>1</v>
      </c>
      <c r="H419">
        <v>9791166300509</v>
      </c>
      <c r="I419" t="s">
        <v>24</v>
      </c>
      <c r="J419" t="s">
        <v>148</v>
      </c>
      <c r="K419" t="s">
        <v>119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  <c r="V419" s="7" t="s">
        <v>24</v>
      </c>
      <c r="W419" s="7" t="s">
        <v>119</v>
      </c>
    </row>
    <row r="420" spans="1:23" x14ac:dyDescent="0.4">
      <c r="A420" t="s">
        <v>262</v>
      </c>
      <c r="B420" t="s">
        <v>984</v>
      </c>
      <c r="C420" t="s">
        <v>992</v>
      </c>
      <c r="D420" t="s">
        <v>64</v>
      </c>
      <c r="E420" t="s">
        <v>22</v>
      </c>
      <c r="F420" t="s">
        <v>23</v>
      </c>
      <c r="G420">
        <v>1</v>
      </c>
      <c r="H420">
        <v>9791166300493</v>
      </c>
      <c r="I420" t="s">
        <v>24</v>
      </c>
      <c r="J420" t="s">
        <v>147</v>
      </c>
      <c r="K420" t="s">
        <v>119</v>
      </c>
      <c r="L420" t="s">
        <v>27</v>
      </c>
      <c r="M420">
        <v>630</v>
      </c>
      <c r="N420" t="s">
        <v>27</v>
      </c>
      <c r="O420">
        <v>630</v>
      </c>
      <c r="P420">
        <v>630</v>
      </c>
      <c r="Q420" t="s">
        <v>30</v>
      </c>
      <c r="R420" s="2">
        <v>0.7</v>
      </c>
      <c r="S420">
        <v>441</v>
      </c>
      <c r="T420" t="s">
        <v>27</v>
      </c>
      <c r="U420">
        <v>441</v>
      </c>
      <c r="V420" s="7" t="s">
        <v>24</v>
      </c>
      <c r="W420" s="7" t="s">
        <v>119</v>
      </c>
    </row>
    <row r="421" spans="1:23" x14ac:dyDescent="0.4">
      <c r="A421" t="s">
        <v>262</v>
      </c>
      <c r="B421" t="s">
        <v>984</v>
      </c>
      <c r="C421" t="s">
        <v>994</v>
      </c>
      <c r="D421" t="s">
        <v>64</v>
      </c>
      <c r="E421" t="s">
        <v>22</v>
      </c>
      <c r="F421" t="s">
        <v>23</v>
      </c>
      <c r="G421">
        <v>1</v>
      </c>
      <c r="H421">
        <v>9791166300219</v>
      </c>
      <c r="I421" t="s">
        <v>24</v>
      </c>
      <c r="J421" t="s">
        <v>130</v>
      </c>
      <c r="K421" t="s">
        <v>119</v>
      </c>
      <c r="L421" t="s">
        <v>27</v>
      </c>
      <c r="M421">
        <v>630</v>
      </c>
      <c r="N421" t="s">
        <v>27</v>
      </c>
      <c r="O421">
        <v>630</v>
      </c>
      <c r="P421">
        <v>630</v>
      </c>
      <c r="Q421" t="s">
        <v>30</v>
      </c>
      <c r="R421" s="2">
        <v>0.7</v>
      </c>
      <c r="S421">
        <v>441</v>
      </c>
      <c r="T421" t="s">
        <v>27</v>
      </c>
      <c r="U421">
        <v>441</v>
      </c>
      <c r="V421" s="7" t="s">
        <v>24</v>
      </c>
      <c r="W421" s="7" t="s">
        <v>119</v>
      </c>
    </row>
    <row r="422" spans="1:23" x14ac:dyDescent="0.4">
      <c r="A422" t="s">
        <v>262</v>
      </c>
      <c r="B422" t="s">
        <v>984</v>
      </c>
      <c r="C422" t="s">
        <v>999</v>
      </c>
      <c r="D422" t="s">
        <v>64</v>
      </c>
      <c r="E422" t="s">
        <v>22</v>
      </c>
      <c r="F422" t="s">
        <v>23</v>
      </c>
      <c r="G422">
        <v>1</v>
      </c>
      <c r="H422">
        <v>9791166300257</v>
      </c>
      <c r="I422" t="s">
        <v>24</v>
      </c>
      <c r="J422" t="s">
        <v>134</v>
      </c>
      <c r="K422" t="s">
        <v>119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  <c r="V422" s="7" t="s">
        <v>24</v>
      </c>
      <c r="W422" s="7" t="s">
        <v>119</v>
      </c>
    </row>
    <row r="423" spans="1:23" x14ac:dyDescent="0.4">
      <c r="A423" t="s">
        <v>262</v>
      </c>
      <c r="B423" t="s">
        <v>984</v>
      </c>
      <c r="C423" t="s">
        <v>1000</v>
      </c>
      <c r="D423" t="s">
        <v>21</v>
      </c>
      <c r="E423" t="s">
        <v>22</v>
      </c>
      <c r="F423" t="s">
        <v>23</v>
      </c>
      <c r="G423">
        <v>1</v>
      </c>
      <c r="H423">
        <v>9791166300653</v>
      </c>
      <c r="I423" t="s">
        <v>24</v>
      </c>
      <c r="J423" t="s">
        <v>157</v>
      </c>
      <c r="K423" t="s">
        <v>119</v>
      </c>
      <c r="L423" t="s">
        <v>27</v>
      </c>
      <c r="M423" s="3">
        <v>3200</v>
      </c>
      <c r="N423" t="s">
        <v>27</v>
      </c>
      <c r="O423" s="3">
        <v>3200</v>
      </c>
      <c r="P423" s="3">
        <v>3200</v>
      </c>
      <c r="Q423" t="s">
        <v>30</v>
      </c>
      <c r="R423" s="2">
        <v>0.7</v>
      </c>
      <c r="S423" s="3">
        <v>2240</v>
      </c>
      <c r="T423" t="s">
        <v>27</v>
      </c>
      <c r="U423" s="3">
        <v>2240</v>
      </c>
      <c r="V423" s="7" t="s">
        <v>24</v>
      </c>
      <c r="W423" s="7" t="s">
        <v>119</v>
      </c>
    </row>
    <row r="424" spans="1:23" x14ac:dyDescent="0.4">
      <c r="A424" t="s">
        <v>262</v>
      </c>
      <c r="B424" t="s">
        <v>984</v>
      </c>
      <c r="C424" t="s">
        <v>1004</v>
      </c>
      <c r="D424" t="s">
        <v>21</v>
      </c>
      <c r="E424" t="s">
        <v>22</v>
      </c>
      <c r="F424" t="s">
        <v>23</v>
      </c>
      <c r="G424">
        <v>1</v>
      </c>
      <c r="H424">
        <v>9791166300158</v>
      </c>
      <c r="I424" t="s">
        <v>24</v>
      </c>
      <c r="J424" t="s">
        <v>125</v>
      </c>
      <c r="K424" t="s">
        <v>119</v>
      </c>
      <c r="L424" t="s">
        <v>27</v>
      </c>
      <c r="M424" s="3">
        <v>3200</v>
      </c>
      <c r="N424" t="s">
        <v>27</v>
      </c>
      <c r="O424" s="3">
        <v>3200</v>
      </c>
      <c r="P424" s="3">
        <v>3200</v>
      </c>
      <c r="Q424" t="s">
        <v>30</v>
      </c>
      <c r="R424" s="2">
        <v>0.7</v>
      </c>
      <c r="S424" s="3">
        <v>2240</v>
      </c>
      <c r="T424" t="s">
        <v>27</v>
      </c>
      <c r="U424" s="3">
        <v>2240</v>
      </c>
      <c r="V424" s="7" t="s">
        <v>24</v>
      </c>
      <c r="W424" s="7" t="s">
        <v>119</v>
      </c>
    </row>
    <row r="425" spans="1:23" x14ac:dyDescent="0.4">
      <c r="A425" t="s">
        <v>262</v>
      </c>
      <c r="B425" t="s">
        <v>984</v>
      </c>
      <c r="C425" t="s">
        <v>1005</v>
      </c>
      <c r="D425" t="s">
        <v>64</v>
      </c>
      <c r="E425" t="s">
        <v>22</v>
      </c>
      <c r="F425" t="s">
        <v>23</v>
      </c>
      <c r="G425">
        <v>1</v>
      </c>
      <c r="H425">
        <v>9791166300516</v>
      </c>
      <c r="I425" t="s">
        <v>24</v>
      </c>
      <c r="J425" t="s">
        <v>149</v>
      </c>
      <c r="K425" t="s">
        <v>119</v>
      </c>
      <c r="L425" t="s">
        <v>27</v>
      </c>
      <c r="M425">
        <v>630</v>
      </c>
      <c r="N425" t="s">
        <v>27</v>
      </c>
      <c r="O425">
        <v>630</v>
      </c>
      <c r="P425">
        <v>630</v>
      </c>
      <c r="Q425" t="s">
        <v>30</v>
      </c>
      <c r="R425" s="2">
        <v>0.7</v>
      </c>
      <c r="S425">
        <v>441</v>
      </c>
      <c r="T425" t="s">
        <v>27</v>
      </c>
      <c r="U425">
        <v>441</v>
      </c>
      <c r="V425" s="7" t="s">
        <v>24</v>
      </c>
      <c r="W425" s="7" t="s">
        <v>119</v>
      </c>
    </row>
    <row r="426" spans="1:23" x14ac:dyDescent="0.4">
      <c r="A426" t="s">
        <v>262</v>
      </c>
      <c r="B426" t="s">
        <v>984</v>
      </c>
      <c r="C426" t="s">
        <v>1007</v>
      </c>
      <c r="D426" t="s">
        <v>64</v>
      </c>
      <c r="E426" t="s">
        <v>22</v>
      </c>
      <c r="F426" t="s">
        <v>23</v>
      </c>
      <c r="G426">
        <v>1</v>
      </c>
      <c r="H426">
        <v>9791166300509</v>
      </c>
      <c r="I426" t="s">
        <v>24</v>
      </c>
      <c r="J426" t="s">
        <v>148</v>
      </c>
      <c r="K426" t="s">
        <v>119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  <c r="V426" s="7" t="s">
        <v>24</v>
      </c>
      <c r="W426" s="7" t="s">
        <v>119</v>
      </c>
    </row>
    <row r="427" spans="1:23" x14ac:dyDescent="0.4">
      <c r="A427" t="s">
        <v>262</v>
      </c>
      <c r="B427" t="s">
        <v>984</v>
      </c>
      <c r="C427" t="s">
        <v>1008</v>
      </c>
      <c r="D427" t="s">
        <v>64</v>
      </c>
      <c r="E427" t="s">
        <v>22</v>
      </c>
      <c r="F427" t="s">
        <v>23</v>
      </c>
      <c r="G427">
        <v>1</v>
      </c>
      <c r="H427">
        <v>9791166300264</v>
      </c>
      <c r="I427" t="s">
        <v>24</v>
      </c>
      <c r="J427" t="s">
        <v>135</v>
      </c>
      <c r="K427" t="s">
        <v>119</v>
      </c>
      <c r="L427" t="s">
        <v>27</v>
      </c>
      <c r="M427">
        <v>630</v>
      </c>
      <c r="N427" t="s">
        <v>27</v>
      </c>
      <c r="O427">
        <v>630</v>
      </c>
      <c r="P427">
        <v>630</v>
      </c>
      <c r="Q427" t="s">
        <v>30</v>
      </c>
      <c r="R427" s="2">
        <v>0.7</v>
      </c>
      <c r="S427">
        <v>441</v>
      </c>
      <c r="T427" t="s">
        <v>27</v>
      </c>
      <c r="U427">
        <v>441</v>
      </c>
      <c r="V427" s="7" t="s">
        <v>24</v>
      </c>
      <c r="W427" s="7" t="s">
        <v>119</v>
      </c>
    </row>
    <row r="428" spans="1:23" x14ac:dyDescent="0.4">
      <c r="A428" t="s">
        <v>262</v>
      </c>
      <c r="B428" t="s">
        <v>984</v>
      </c>
      <c r="C428" t="s">
        <v>1009</v>
      </c>
      <c r="D428" t="s">
        <v>64</v>
      </c>
      <c r="E428" t="s">
        <v>22</v>
      </c>
      <c r="F428" t="s">
        <v>23</v>
      </c>
      <c r="G428">
        <v>1</v>
      </c>
      <c r="H428">
        <v>9791166300509</v>
      </c>
      <c r="I428" t="s">
        <v>24</v>
      </c>
      <c r="J428" t="s">
        <v>148</v>
      </c>
      <c r="K428" t="s">
        <v>119</v>
      </c>
      <c r="L428" t="s">
        <v>27</v>
      </c>
      <c r="M428">
        <v>630</v>
      </c>
      <c r="N428" t="s">
        <v>27</v>
      </c>
      <c r="O428">
        <v>630</v>
      </c>
      <c r="P428">
        <v>630</v>
      </c>
      <c r="Q428" t="s">
        <v>30</v>
      </c>
      <c r="R428" s="2">
        <v>0.7</v>
      </c>
      <c r="S428">
        <v>441</v>
      </c>
      <c r="T428" t="s">
        <v>27</v>
      </c>
      <c r="U428">
        <v>441</v>
      </c>
      <c r="V428" s="7" t="s">
        <v>24</v>
      </c>
      <c r="W428" s="7" t="s">
        <v>119</v>
      </c>
    </row>
    <row r="429" spans="1:23" x14ac:dyDescent="0.4">
      <c r="A429" t="s">
        <v>262</v>
      </c>
      <c r="B429" t="s">
        <v>984</v>
      </c>
      <c r="C429" t="s">
        <v>1010</v>
      </c>
      <c r="D429" t="s">
        <v>64</v>
      </c>
      <c r="E429" t="s">
        <v>22</v>
      </c>
      <c r="F429" t="s">
        <v>23</v>
      </c>
      <c r="G429">
        <v>1</v>
      </c>
      <c r="H429">
        <v>9791166300196</v>
      </c>
      <c r="I429" t="s">
        <v>24</v>
      </c>
      <c r="J429" t="s">
        <v>128</v>
      </c>
      <c r="K429" t="s">
        <v>119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2">
        <v>0.7</v>
      </c>
      <c r="S429">
        <v>441</v>
      </c>
      <c r="T429" t="s">
        <v>27</v>
      </c>
      <c r="U429">
        <v>441</v>
      </c>
      <c r="V429" s="7" t="s">
        <v>24</v>
      </c>
      <c r="W429" s="7" t="s">
        <v>119</v>
      </c>
    </row>
    <row r="430" spans="1:23" x14ac:dyDescent="0.4">
      <c r="A430" t="s">
        <v>262</v>
      </c>
      <c r="B430" t="s">
        <v>984</v>
      </c>
      <c r="C430" t="s">
        <v>1012</v>
      </c>
      <c r="D430" t="s">
        <v>64</v>
      </c>
      <c r="E430" t="s">
        <v>22</v>
      </c>
      <c r="F430" t="s">
        <v>23</v>
      </c>
      <c r="G430">
        <v>1</v>
      </c>
      <c r="H430">
        <v>9791166300516</v>
      </c>
      <c r="I430" t="s">
        <v>24</v>
      </c>
      <c r="J430" t="s">
        <v>149</v>
      </c>
      <c r="K430" t="s">
        <v>119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  <c r="V430" s="7" t="s">
        <v>24</v>
      </c>
      <c r="W430" s="7" t="s">
        <v>119</v>
      </c>
    </row>
    <row r="431" spans="1:23" x14ac:dyDescent="0.4">
      <c r="A431" t="s">
        <v>262</v>
      </c>
      <c r="B431" t="s">
        <v>984</v>
      </c>
      <c r="C431" t="s">
        <v>1013</v>
      </c>
      <c r="D431" t="s">
        <v>64</v>
      </c>
      <c r="E431" t="s">
        <v>22</v>
      </c>
      <c r="F431" t="s">
        <v>23</v>
      </c>
      <c r="G431">
        <v>1</v>
      </c>
      <c r="H431">
        <v>9791166300141</v>
      </c>
      <c r="I431" t="s">
        <v>24</v>
      </c>
      <c r="J431" t="s">
        <v>124</v>
      </c>
      <c r="K431" t="s">
        <v>119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  <c r="V431" s="7" t="s">
        <v>24</v>
      </c>
      <c r="W431" s="7" t="s">
        <v>119</v>
      </c>
    </row>
    <row r="432" spans="1:23" x14ac:dyDescent="0.4">
      <c r="A432" t="s">
        <v>262</v>
      </c>
      <c r="B432" t="s">
        <v>984</v>
      </c>
      <c r="C432" t="s">
        <v>1014</v>
      </c>
      <c r="D432" t="s">
        <v>21</v>
      </c>
      <c r="E432" t="s">
        <v>22</v>
      </c>
      <c r="F432" t="s">
        <v>23</v>
      </c>
      <c r="G432">
        <v>1</v>
      </c>
      <c r="H432">
        <v>9791166300301</v>
      </c>
      <c r="I432" t="s">
        <v>24</v>
      </c>
      <c r="J432" t="s">
        <v>139</v>
      </c>
      <c r="K432" t="s">
        <v>119</v>
      </c>
      <c r="L432" t="s">
        <v>27</v>
      </c>
      <c r="M432" s="3">
        <v>3200</v>
      </c>
      <c r="N432" t="s">
        <v>27</v>
      </c>
      <c r="O432" s="3">
        <v>3200</v>
      </c>
      <c r="P432" s="3">
        <v>3200</v>
      </c>
      <c r="Q432" t="s">
        <v>30</v>
      </c>
      <c r="R432" s="2">
        <v>0.7</v>
      </c>
      <c r="S432" s="3">
        <v>2240</v>
      </c>
      <c r="T432" t="s">
        <v>27</v>
      </c>
      <c r="U432" s="3">
        <v>2240</v>
      </c>
      <c r="V432" s="7" t="s">
        <v>24</v>
      </c>
      <c r="W432" s="7" t="s">
        <v>119</v>
      </c>
    </row>
    <row r="433" spans="1:23" x14ac:dyDescent="0.4">
      <c r="A433" t="s">
        <v>262</v>
      </c>
      <c r="B433" t="s">
        <v>984</v>
      </c>
      <c r="C433" t="s">
        <v>1015</v>
      </c>
      <c r="D433" t="s">
        <v>64</v>
      </c>
      <c r="E433" t="s">
        <v>22</v>
      </c>
      <c r="F433" t="s">
        <v>23</v>
      </c>
      <c r="G433">
        <v>1</v>
      </c>
      <c r="H433">
        <v>9791166300301</v>
      </c>
      <c r="I433" t="s">
        <v>24</v>
      </c>
      <c r="J433" t="s">
        <v>139</v>
      </c>
      <c r="K433" t="s">
        <v>119</v>
      </c>
      <c r="L433" t="s">
        <v>27</v>
      </c>
      <c r="M433">
        <v>630</v>
      </c>
      <c r="N433" t="s">
        <v>27</v>
      </c>
      <c r="O433">
        <v>630</v>
      </c>
      <c r="P433">
        <v>630</v>
      </c>
      <c r="Q433" t="s">
        <v>30</v>
      </c>
      <c r="R433" s="2">
        <v>0.7</v>
      </c>
      <c r="S433">
        <v>441</v>
      </c>
      <c r="T433" t="s">
        <v>27</v>
      </c>
      <c r="U433">
        <v>441</v>
      </c>
      <c r="V433" s="7" t="s">
        <v>24</v>
      </c>
      <c r="W433" s="7" t="s">
        <v>119</v>
      </c>
    </row>
    <row r="434" spans="1:23" x14ac:dyDescent="0.4">
      <c r="A434" t="s">
        <v>262</v>
      </c>
      <c r="B434" t="s">
        <v>984</v>
      </c>
      <c r="C434" t="s">
        <v>1016</v>
      </c>
      <c r="D434" t="s">
        <v>64</v>
      </c>
      <c r="E434" t="s">
        <v>22</v>
      </c>
      <c r="F434" t="s">
        <v>23</v>
      </c>
      <c r="G434">
        <v>1</v>
      </c>
      <c r="H434">
        <v>9791166300530</v>
      </c>
      <c r="I434" t="s">
        <v>24</v>
      </c>
      <c r="J434" t="s">
        <v>151</v>
      </c>
      <c r="K434" t="s">
        <v>119</v>
      </c>
      <c r="L434" t="s">
        <v>27</v>
      </c>
      <c r="M434">
        <v>630</v>
      </c>
      <c r="N434" t="s">
        <v>27</v>
      </c>
      <c r="O434">
        <v>630</v>
      </c>
      <c r="P434">
        <v>630</v>
      </c>
      <c r="Q434" t="s">
        <v>30</v>
      </c>
      <c r="R434" s="2">
        <v>0.7</v>
      </c>
      <c r="S434">
        <v>441</v>
      </c>
      <c r="T434" t="s">
        <v>27</v>
      </c>
      <c r="U434">
        <v>441</v>
      </c>
      <c r="V434" s="7" t="s">
        <v>24</v>
      </c>
      <c r="W434" s="7" t="s">
        <v>119</v>
      </c>
    </row>
    <row r="435" spans="1:23" x14ac:dyDescent="0.4">
      <c r="A435" t="s">
        <v>262</v>
      </c>
      <c r="B435" t="s">
        <v>984</v>
      </c>
      <c r="C435" t="s">
        <v>1018</v>
      </c>
      <c r="D435" t="s">
        <v>64</v>
      </c>
      <c r="E435" t="s">
        <v>22</v>
      </c>
      <c r="F435" t="s">
        <v>23</v>
      </c>
      <c r="G435">
        <v>1</v>
      </c>
      <c r="H435">
        <v>9791166300271</v>
      </c>
      <c r="I435" t="s">
        <v>24</v>
      </c>
      <c r="J435" t="s">
        <v>136</v>
      </c>
      <c r="K435" t="s">
        <v>119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  <c r="V435" s="7" t="s">
        <v>24</v>
      </c>
      <c r="W435" s="7" t="s">
        <v>119</v>
      </c>
    </row>
    <row r="436" spans="1:23" x14ac:dyDescent="0.4">
      <c r="A436" t="s">
        <v>262</v>
      </c>
      <c r="B436" t="s">
        <v>984</v>
      </c>
      <c r="C436" t="s">
        <v>1019</v>
      </c>
      <c r="D436" t="s">
        <v>64</v>
      </c>
      <c r="E436" t="s">
        <v>22</v>
      </c>
      <c r="F436" t="s">
        <v>23</v>
      </c>
      <c r="G436">
        <v>1</v>
      </c>
      <c r="H436">
        <v>9791166300295</v>
      </c>
      <c r="I436" t="s">
        <v>24</v>
      </c>
      <c r="J436" t="s">
        <v>138</v>
      </c>
      <c r="K436" t="s">
        <v>119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  <c r="V436" s="7" t="s">
        <v>24</v>
      </c>
      <c r="W436" s="7" t="s">
        <v>119</v>
      </c>
    </row>
    <row r="437" spans="1:23" x14ac:dyDescent="0.4">
      <c r="A437" t="s">
        <v>262</v>
      </c>
      <c r="B437" t="s">
        <v>984</v>
      </c>
      <c r="C437" t="s">
        <v>1021</v>
      </c>
      <c r="D437" t="s">
        <v>64</v>
      </c>
      <c r="E437" t="s">
        <v>22</v>
      </c>
      <c r="F437" t="s">
        <v>23</v>
      </c>
      <c r="G437">
        <v>1</v>
      </c>
      <c r="H437">
        <v>9791166300288</v>
      </c>
      <c r="I437" t="s">
        <v>24</v>
      </c>
      <c r="J437" t="s">
        <v>137</v>
      </c>
      <c r="K437" t="s">
        <v>119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  <c r="V437" s="7" t="s">
        <v>24</v>
      </c>
      <c r="W437" s="7" t="s">
        <v>119</v>
      </c>
    </row>
    <row r="438" spans="1:23" x14ac:dyDescent="0.4">
      <c r="A438" t="s">
        <v>262</v>
      </c>
      <c r="B438" t="s">
        <v>984</v>
      </c>
      <c r="C438" t="s">
        <v>1026</v>
      </c>
      <c r="D438" t="s">
        <v>21</v>
      </c>
      <c r="E438" t="s">
        <v>22</v>
      </c>
      <c r="F438" t="s">
        <v>23</v>
      </c>
      <c r="G438">
        <v>1</v>
      </c>
      <c r="H438">
        <v>9791166300165</v>
      </c>
      <c r="I438" t="s">
        <v>24</v>
      </c>
      <c r="J438" t="s">
        <v>126</v>
      </c>
      <c r="K438" t="s">
        <v>119</v>
      </c>
      <c r="L438" t="s">
        <v>27</v>
      </c>
      <c r="M438" s="3">
        <v>3200</v>
      </c>
      <c r="N438" t="s">
        <v>27</v>
      </c>
      <c r="O438" s="3">
        <v>3200</v>
      </c>
      <c r="P438" s="3">
        <v>3200</v>
      </c>
      <c r="Q438" t="s">
        <v>30</v>
      </c>
      <c r="R438" s="2">
        <v>0.7</v>
      </c>
      <c r="S438" s="3">
        <v>2240</v>
      </c>
      <c r="T438" t="s">
        <v>27</v>
      </c>
      <c r="U438" s="3">
        <v>2240</v>
      </c>
      <c r="V438" s="7" t="s">
        <v>24</v>
      </c>
      <c r="W438" s="7" t="s">
        <v>119</v>
      </c>
    </row>
    <row r="439" spans="1:23" x14ac:dyDescent="0.4">
      <c r="A439" t="s">
        <v>262</v>
      </c>
      <c r="B439" t="s">
        <v>984</v>
      </c>
      <c r="C439" t="s">
        <v>1028</v>
      </c>
      <c r="D439" t="s">
        <v>64</v>
      </c>
      <c r="E439" t="s">
        <v>22</v>
      </c>
      <c r="F439" t="s">
        <v>23</v>
      </c>
      <c r="G439">
        <v>1</v>
      </c>
      <c r="H439">
        <v>9791166300523</v>
      </c>
      <c r="I439" t="s">
        <v>24</v>
      </c>
      <c r="J439" t="s">
        <v>150</v>
      </c>
      <c r="K439" t="s">
        <v>119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2">
        <v>0.7</v>
      </c>
      <c r="S439">
        <v>441</v>
      </c>
      <c r="T439" t="s">
        <v>27</v>
      </c>
      <c r="U439">
        <v>441</v>
      </c>
      <c r="V439" s="7" t="s">
        <v>24</v>
      </c>
      <c r="W439" s="7" t="s">
        <v>119</v>
      </c>
    </row>
    <row r="440" spans="1:23" x14ac:dyDescent="0.4">
      <c r="A440" t="s">
        <v>262</v>
      </c>
      <c r="B440" t="s">
        <v>984</v>
      </c>
      <c r="C440" t="s">
        <v>1031</v>
      </c>
      <c r="D440" t="s">
        <v>64</v>
      </c>
      <c r="E440" t="s">
        <v>22</v>
      </c>
      <c r="F440" t="s">
        <v>23</v>
      </c>
      <c r="G440">
        <v>1</v>
      </c>
      <c r="H440">
        <v>9791166300608</v>
      </c>
      <c r="I440" t="s">
        <v>24</v>
      </c>
      <c r="J440" t="s">
        <v>162</v>
      </c>
      <c r="K440" t="s">
        <v>119</v>
      </c>
      <c r="L440" t="s">
        <v>27</v>
      </c>
      <c r="M440">
        <v>630</v>
      </c>
      <c r="N440" t="s">
        <v>27</v>
      </c>
      <c r="O440">
        <v>630</v>
      </c>
      <c r="P440">
        <v>630</v>
      </c>
      <c r="Q440" t="s">
        <v>30</v>
      </c>
      <c r="R440" s="2">
        <v>0.7</v>
      </c>
      <c r="S440">
        <v>441</v>
      </c>
      <c r="T440" t="s">
        <v>27</v>
      </c>
      <c r="U440">
        <v>441</v>
      </c>
      <c r="V440" s="7" t="s">
        <v>24</v>
      </c>
      <c r="W440" s="7" t="s">
        <v>119</v>
      </c>
    </row>
    <row r="441" spans="1:23" x14ac:dyDescent="0.4">
      <c r="A441" t="s">
        <v>262</v>
      </c>
      <c r="B441" t="s">
        <v>984</v>
      </c>
      <c r="C441" t="s">
        <v>1032</v>
      </c>
      <c r="D441" t="s">
        <v>64</v>
      </c>
      <c r="E441" t="s">
        <v>22</v>
      </c>
      <c r="F441" t="s">
        <v>23</v>
      </c>
      <c r="G441">
        <v>1</v>
      </c>
      <c r="H441">
        <v>9791166300103</v>
      </c>
      <c r="I441" t="s">
        <v>24</v>
      </c>
      <c r="J441" t="s">
        <v>120</v>
      </c>
      <c r="K441" t="s">
        <v>119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2">
        <v>0.7</v>
      </c>
      <c r="S441">
        <v>441</v>
      </c>
      <c r="T441" t="s">
        <v>27</v>
      </c>
      <c r="U441">
        <v>441</v>
      </c>
      <c r="V441" s="7" t="s">
        <v>24</v>
      </c>
      <c r="W441" s="7" t="s">
        <v>119</v>
      </c>
    </row>
    <row r="442" spans="1:23" x14ac:dyDescent="0.4">
      <c r="A442" t="s">
        <v>262</v>
      </c>
      <c r="B442" t="s">
        <v>984</v>
      </c>
      <c r="C442" t="s">
        <v>1040</v>
      </c>
      <c r="D442" t="s">
        <v>64</v>
      </c>
      <c r="E442" t="s">
        <v>22</v>
      </c>
      <c r="F442" t="s">
        <v>23</v>
      </c>
      <c r="G442">
        <v>1</v>
      </c>
      <c r="H442">
        <v>9791166300271</v>
      </c>
      <c r="I442" t="s">
        <v>24</v>
      </c>
      <c r="J442" t="s">
        <v>136</v>
      </c>
      <c r="K442" t="s">
        <v>119</v>
      </c>
      <c r="L442" t="s">
        <v>27</v>
      </c>
      <c r="M442">
        <v>630</v>
      </c>
      <c r="N442" t="s">
        <v>27</v>
      </c>
      <c r="O442">
        <v>630</v>
      </c>
      <c r="P442">
        <v>630</v>
      </c>
      <c r="Q442" t="s">
        <v>30</v>
      </c>
      <c r="R442" s="2">
        <v>0.7</v>
      </c>
      <c r="S442">
        <v>441</v>
      </c>
      <c r="T442" t="s">
        <v>27</v>
      </c>
      <c r="U442">
        <v>441</v>
      </c>
      <c r="V442" s="7" t="s">
        <v>24</v>
      </c>
      <c r="W442" s="7" t="s">
        <v>119</v>
      </c>
    </row>
    <row r="443" spans="1:23" x14ac:dyDescent="0.4">
      <c r="A443" t="s">
        <v>262</v>
      </c>
      <c r="B443" t="s">
        <v>984</v>
      </c>
      <c r="C443" t="s">
        <v>1041</v>
      </c>
      <c r="D443" t="s">
        <v>64</v>
      </c>
      <c r="E443" t="s">
        <v>22</v>
      </c>
      <c r="F443" t="s">
        <v>23</v>
      </c>
      <c r="G443">
        <v>1</v>
      </c>
      <c r="H443">
        <v>9791166300530</v>
      </c>
      <c r="I443" t="s">
        <v>24</v>
      </c>
      <c r="J443" t="s">
        <v>151</v>
      </c>
      <c r="K443" t="s">
        <v>119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2">
        <v>0.7</v>
      </c>
      <c r="S443">
        <v>441</v>
      </c>
      <c r="T443" t="s">
        <v>27</v>
      </c>
      <c r="U443">
        <v>441</v>
      </c>
      <c r="V443" s="7" t="s">
        <v>24</v>
      </c>
      <c r="W443" s="7" t="s">
        <v>119</v>
      </c>
    </row>
    <row r="444" spans="1:23" x14ac:dyDescent="0.4">
      <c r="A444" t="s">
        <v>262</v>
      </c>
      <c r="B444" t="s">
        <v>984</v>
      </c>
      <c r="C444" t="s">
        <v>1042</v>
      </c>
      <c r="D444" t="s">
        <v>64</v>
      </c>
      <c r="E444" t="s">
        <v>22</v>
      </c>
      <c r="F444" t="s">
        <v>23</v>
      </c>
      <c r="G444">
        <v>1</v>
      </c>
      <c r="H444">
        <v>9791166300226</v>
      </c>
      <c r="I444" t="s">
        <v>24</v>
      </c>
      <c r="J444" t="s">
        <v>131</v>
      </c>
      <c r="K444" t="s">
        <v>119</v>
      </c>
      <c r="L444" t="s">
        <v>27</v>
      </c>
      <c r="M444">
        <v>630</v>
      </c>
      <c r="N444" t="s">
        <v>27</v>
      </c>
      <c r="O444">
        <v>630</v>
      </c>
      <c r="P444">
        <v>630</v>
      </c>
      <c r="Q444" t="s">
        <v>30</v>
      </c>
      <c r="R444" s="2">
        <v>0.7</v>
      </c>
      <c r="S444">
        <v>441</v>
      </c>
      <c r="T444" t="s">
        <v>27</v>
      </c>
      <c r="U444">
        <v>441</v>
      </c>
      <c r="V444" s="7" t="s">
        <v>24</v>
      </c>
      <c r="W444" s="7" t="s">
        <v>119</v>
      </c>
    </row>
    <row r="445" spans="1:23" x14ac:dyDescent="0.4">
      <c r="A445" t="s">
        <v>262</v>
      </c>
      <c r="B445" t="s">
        <v>984</v>
      </c>
      <c r="C445" t="s">
        <v>1043</v>
      </c>
      <c r="D445" t="s">
        <v>64</v>
      </c>
      <c r="E445" t="s">
        <v>22</v>
      </c>
      <c r="F445" t="s">
        <v>23</v>
      </c>
      <c r="G445">
        <v>1</v>
      </c>
      <c r="H445">
        <v>9791166300547</v>
      </c>
      <c r="I445" t="s">
        <v>24</v>
      </c>
      <c r="J445" t="s">
        <v>153</v>
      </c>
      <c r="K445" t="s">
        <v>119</v>
      </c>
      <c r="L445" t="s">
        <v>27</v>
      </c>
      <c r="M445">
        <v>630</v>
      </c>
      <c r="N445" t="s">
        <v>27</v>
      </c>
      <c r="O445">
        <v>630</v>
      </c>
      <c r="P445">
        <v>630</v>
      </c>
      <c r="Q445" t="s">
        <v>30</v>
      </c>
      <c r="R445" s="2">
        <v>0.7</v>
      </c>
      <c r="S445">
        <v>441</v>
      </c>
      <c r="T445" t="s">
        <v>27</v>
      </c>
      <c r="U445">
        <v>441</v>
      </c>
      <c r="V445" s="7" t="s">
        <v>24</v>
      </c>
      <c r="W445" s="7" t="s">
        <v>119</v>
      </c>
    </row>
    <row r="446" spans="1:23" x14ac:dyDescent="0.4">
      <c r="A446" t="s">
        <v>262</v>
      </c>
      <c r="B446" t="s">
        <v>984</v>
      </c>
      <c r="C446" t="s">
        <v>1045</v>
      </c>
      <c r="D446" t="s">
        <v>64</v>
      </c>
      <c r="E446" t="s">
        <v>22</v>
      </c>
      <c r="F446" t="s">
        <v>23</v>
      </c>
      <c r="G446">
        <v>1</v>
      </c>
      <c r="H446">
        <v>9791166300547</v>
      </c>
      <c r="I446" t="s">
        <v>24</v>
      </c>
      <c r="J446" t="s">
        <v>153</v>
      </c>
      <c r="K446" t="s">
        <v>119</v>
      </c>
      <c r="L446" t="s">
        <v>27</v>
      </c>
      <c r="M446">
        <v>630</v>
      </c>
      <c r="N446" t="s">
        <v>27</v>
      </c>
      <c r="O446">
        <v>630</v>
      </c>
      <c r="P446">
        <v>630</v>
      </c>
      <c r="Q446" t="s">
        <v>30</v>
      </c>
      <c r="R446" s="2">
        <v>0.7</v>
      </c>
      <c r="S446">
        <v>441</v>
      </c>
      <c r="T446" t="s">
        <v>27</v>
      </c>
      <c r="U446">
        <v>441</v>
      </c>
      <c r="V446" s="7" t="s">
        <v>24</v>
      </c>
      <c r="W446" s="7" t="s">
        <v>119</v>
      </c>
    </row>
    <row r="447" spans="1:23" x14ac:dyDescent="0.4">
      <c r="A447" t="s">
        <v>262</v>
      </c>
      <c r="B447" t="s">
        <v>984</v>
      </c>
      <c r="C447" t="s">
        <v>1046</v>
      </c>
      <c r="D447" t="s">
        <v>64</v>
      </c>
      <c r="E447" t="s">
        <v>22</v>
      </c>
      <c r="F447" t="s">
        <v>23</v>
      </c>
      <c r="G447">
        <v>1</v>
      </c>
      <c r="H447">
        <v>9791166300103</v>
      </c>
      <c r="I447" t="s">
        <v>24</v>
      </c>
      <c r="J447" t="s">
        <v>120</v>
      </c>
      <c r="K447" t="s">
        <v>119</v>
      </c>
      <c r="L447" t="s">
        <v>27</v>
      </c>
      <c r="M447">
        <v>630</v>
      </c>
      <c r="N447" t="s">
        <v>27</v>
      </c>
      <c r="O447">
        <v>630</v>
      </c>
      <c r="P447">
        <v>630</v>
      </c>
      <c r="Q447" t="s">
        <v>30</v>
      </c>
      <c r="R447" s="2">
        <v>0.7</v>
      </c>
      <c r="S447">
        <v>441</v>
      </c>
      <c r="T447" t="s">
        <v>27</v>
      </c>
      <c r="U447">
        <v>441</v>
      </c>
      <c r="V447" s="7" t="s">
        <v>24</v>
      </c>
      <c r="W447" s="7" t="s">
        <v>119</v>
      </c>
    </row>
    <row r="448" spans="1:23" x14ac:dyDescent="0.4">
      <c r="A448" t="s">
        <v>262</v>
      </c>
      <c r="B448" t="s">
        <v>984</v>
      </c>
      <c r="C448" t="s">
        <v>1047</v>
      </c>
      <c r="D448" t="s">
        <v>64</v>
      </c>
      <c r="E448" t="s">
        <v>22</v>
      </c>
      <c r="F448" t="s">
        <v>23</v>
      </c>
      <c r="G448">
        <v>1</v>
      </c>
      <c r="H448">
        <v>9791166300653</v>
      </c>
      <c r="I448" t="s">
        <v>24</v>
      </c>
      <c r="J448" t="s">
        <v>157</v>
      </c>
      <c r="K448" t="s">
        <v>119</v>
      </c>
      <c r="L448" t="s">
        <v>27</v>
      </c>
      <c r="M448">
        <v>630</v>
      </c>
      <c r="N448" t="s">
        <v>27</v>
      </c>
      <c r="O448">
        <v>630</v>
      </c>
      <c r="P448">
        <v>630</v>
      </c>
      <c r="Q448" t="s">
        <v>30</v>
      </c>
      <c r="R448" s="2">
        <v>0.7</v>
      </c>
      <c r="S448">
        <v>441</v>
      </c>
      <c r="T448" t="s">
        <v>27</v>
      </c>
      <c r="U448">
        <v>441</v>
      </c>
      <c r="V448" s="7" t="s">
        <v>24</v>
      </c>
      <c r="W448" s="7" t="s">
        <v>119</v>
      </c>
    </row>
    <row r="449" spans="1:23" x14ac:dyDescent="0.4">
      <c r="A449" t="s">
        <v>262</v>
      </c>
      <c r="B449" t="s">
        <v>984</v>
      </c>
      <c r="C449" t="s">
        <v>1049</v>
      </c>
      <c r="D449" t="s">
        <v>64</v>
      </c>
      <c r="E449" t="s">
        <v>22</v>
      </c>
      <c r="F449" t="s">
        <v>23</v>
      </c>
      <c r="G449">
        <v>1</v>
      </c>
      <c r="H449">
        <v>9791166300615</v>
      </c>
      <c r="I449" t="s">
        <v>24</v>
      </c>
      <c r="J449" t="s">
        <v>163</v>
      </c>
      <c r="K449" t="s">
        <v>119</v>
      </c>
      <c r="L449" t="s">
        <v>27</v>
      </c>
      <c r="M449">
        <v>630</v>
      </c>
      <c r="N449" t="s">
        <v>27</v>
      </c>
      <c r="O449">
        <v>630</v>
      </c>
      <c r="P449">
        <v>630</v>
      </c>
      <c r="Q449" t="s">
        <v>30</v>
      </c>
      <c r="R449" s="2">
        <v>0.7</v>
      </c>
      <c r="S449">
        <v>441</v>
      </c>
      <c r="T449" t="s">
        <v>27</v>
      </c>
      <c r="U449">
        <v>441</v>
      </c>
      <c r="V449" s="7" t="s">
        <v>24</v>
      </c>
      <c r="W449" s="7" t="s">
        <v>119</v>
      </c>
    </row>
    <row r="450" spans="1:23" x14ac:dyDescent="0.4">
      <c r="A450" t="s">
        <v>262</v>
      </c>
      <c r="B450" t="s">
        <v>984</v>
      </c>
      <c r="C450" t="s">
        <v>1050</v>
      </c>
      <c r="D450" t="s">
        <v>64</v>
      </c>
      <c r="E450" t="s">
        <v>22</v>
      </c>
      <c r="F450" t="s">
        <v>23</v>
      </c>
      <c r="G450">
        <v>1</v>
      </c>
      <c r="H450">
        <v>9791166300691</v>
      </c>
      <c r="I450" t="s">
        <v>24</v>
      </c>
      <c r="J450" t="s">
        <v>152</v>
      </c>
      <c r="K450" t="s">
        <v>119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  <c r="V450" s="7" t="s">
        <v>24</v>
      </c>
      <c r="W450" s="7" t="s">
        <v>119</v>
      </c>
    </row>
    <row r="451" spans="1:23" x14ac:dyDescent="0.4">
      <c r="A451" t="s">
        <v>262</v>
      </c>
      <c r="B451" t="s">
        <v>984</v>
      </c>
      <c r="C451" t="s">
        <v>1051</v>
      </c>
      <c r="D451" t="s">
        <v>64</v>
      </c>
      <c r="E451" t="s">
        <v>22</v>
      </c>
      <c r="F451" t="s">
        <v>23</v>
      </c>
      <c r="G451">
        <v>1</v>
      </c>
      <c r="H451">
        <v>9791166300295</v>
      </c>
      <c r="I451" t="s">
        <v>24</v>
      </c>
      <c r="J451" t="s">
        <v>138</v>
      </c>
      <c r="K451" t="s">
        <v>119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  <c r="V451" s="7" t="s">
        <v>24</v>
      </c>
      <c r="W451" s="7" t="s">
        <v>119</v>
      </c>
    </row>
    <row r="452" spans="1:23" x14ac:dyDescent="0.4">
      <c r="A452" t="s">
        <v>262</v>
      </c>
      <c r="B452" t="s">
        <v>984</v>
      </c>
      <c r="C452" t="s">
        <v>1055</v>
      </c>
      <c r="D452" t="s">
        <v>64</v>
      </c>
      <c r="E452" t="s">
        <v>22</v>
      </c>
      <c r="F452" t="s">
        <v>23</v>
      </c>
      <c r="G452">
        <v>1</v>
      </c>
      <c r="H452">
        <v>9791166300288</v>
      </c>
      <c r="I452" t="s">
        <v>24</v>
      </c>
      <c r="J452" t="s">
        <v>137</v>
      </c>
      <c r="K452" t="s">
        <v>119</v>
      </c>
      <c r="L452" t="s">
        <v>27</v>
      </c>
      <c r="M452">
        <v>630</v>
      </c>
      <c r="N452" t="s">
        <v>27</v>
      </c>
      <c r="O452">
        <v>630</v>
      </c>
      <c r="P452">
        <v>630</v>
      </c>
      <c r="Q452" t="s">
        <v>30</v>
      </c>
      <c r="R452" s="2">
        <v>0.7</v>
      </c>
      <c r="S452">
        <v>441</v>
      </c>
      <c r="T452" t="s">
        <v>27</v>
      </c>
      <c r="U452">
        <v>441</v>
      </c>
      <c r="V452" s="7" t="s">
        <v>24</v>
      </c>
      <c r="W452" s="7" t="s">
        <v>119</v>
      </c>
    </row>
    <row r="453" spans="1:23" x14ac:dyDescent="0.4">
      <c r="A453" t="s">
        <v>262</v>
      </c>
      <c r="B453" t="s">
        <v>984</v>
      </c>
      <c r="C453" t="s">
        <v>1056</v>
      </c>
      <c r="D453" t="s">
        <v>64</v>
      </c>
      <c r="E453" t="s">
        <v>22</v>
      </c>
      <c r="F453" t="s">
        <v>23</v>
      </c>
      <c r="G453">
        <v>1</v>
      </c>
      <c r="H453">
        <v>9791166300554</v>
      </c>
      <c r="I453" t="s">
        <v>24</v>
      </c>
      <c r="J453" t="s">
        <v>154</v>
      </c>
      <c r="K453" t="s">
        <v>119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  <c r="V453" s="7" t="s">
        <v>24</v>
      </c>
      <c r="W453" s="7" t="s">
        <v>119</v>
      </c>
    </row>
    <row r="454" spans="1:23" x14ac:dyDescent="0.4">
      <c r="A454" t="s">
        <v>262</v>
      </c>
      <c r="B454" t="s">
        <v>984</v>
      </c>
      <c r="C454" t="s">
        <v>1057</v>
      </c>
      <c r="D454" t="s">
        <v>64</v>
      </c>
      <c r="E454" t="s">
        <v>22</v>
      </c>
      <c r="F454" t="s">
        <v>23</v>
      </c>
      <c r="G454">
        <v>1</v>
      </c>
      <c r="H454">
        <v>9791166300103</v>
      </c>
      <c r="I454" t="s">
        <v>24</v>
      </c>
      <c r="J454" t="s">
        <v>120</v>
      </c>
      <c r="K454" t="s">
        <v>119</v>
      </c>
      <c r="L454" t="s">
        <v>27</v>
      </c>
      <c r="M454">
        <v>630</v>
      </c>
      <c r="N454" t="s">
        <v>27</v>
      </c>
      <c r="O454">
        <v>630</v>
      </c>
      <c r="P454">
        <v>630</v>
      </c>
      <c r="Q454" t="s">
        <v>30</v>
      </c>
      <c r="R454" s="2">
        <v>0.7</v>
      </c>
      <c r="S454">
        <v>441</v>
      </c>
      <c r="T454" t="s">
        <v>27</v>
      </c>
      <c r="U454">
        <v>441</v>
      </c>
      <c r="V454" s="7" t="s">
        <v>24</v>
      </c>
      <c r="W454" s="7" t="s">
        <v>119</v>
      </c>
    </row>
    <row r="455" spans="1:23" x14ac:dyDescent="0.4">
      <c r="A455" t="s">
        <v>262</v>
      </c>
      <c r="B455" t="s">
        <v>1058</v>
      </c>
      <c r="C455" t="s">
        <v>1060</v>
      </c>
      <c r="D455" t="s">
        <v>64</v>
      </c>
      <c r="E455" t="s">
        <v>22</v>
      </c>
      <c r="F455" t="s">
        <v>23</v>
      </c>
      <c r="G455">
        <v>1</v>
      </c>
      <c r="H455">
        <v>9791166300301</v>
      </c>
      <c r="I455" t="s">
        <v>24</v>
      </c>
      <c r="J455" t="s">
        <v>139</v>
      </c>
      <c r="K455" t="s">
        <v>119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  <c r="V455" s="7" t="s">
        <v>24</v>
      </c>
      <c r="W455" s="7" t="s">
        <v>119</v>
      </c>
    </row>
    <row r="456" spans="1:23" x14ac:dyDescent="0.4">
      <c r="A456" t="s">
        <v>262</v>
      </c>
      <c r="B456" t="s">
        <v>1058</v>
      </c>
      <c r="C456" t="s">
        <v>1062</v>
      </c>
      <c r="D456" t="s">
        <v>64</v>
      </c>
      <c r="E456" t="s">
        <v>22</v>
      </c>
      <c r="F456" t="s">
        <v>23</v>
      </c>
      <c r="G456">
        <v>1</v>
      </c>
      <c r="H456">
        <v>9791166300134</v>
      </c>
      <c r="I456" t="s">
        <v>24</v>
      </c>
      <c r="J456" t="s">
        <v>123</v>
      </c>
      <c r="K456" t="s">
        <v>119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2">
        <v>0.7</v>
      </c>
      <c r="S456">
        <v>441</v>
      </c>
      <c r="T456" t="s">
        <v>27</v>
      </c>
      <c r="U456">
        <v>441</v>
      </c>
      <c r="V456" s="7" t="s">
        <v>24</v>
      </c>
      <c r="W456" s="7" t="s">
        <v>119</v>
      </c>
    </row>
    <row r="457" spans="1:23" x14ac:dyDescent="0.4">
      <c r="A457" t="s">
        <v>262</v>
      </c>
      <c r="B457" t="s">
        <v>1058</v>
      </c>
      <c r="C457" t="s">
        <v>1063</v>
      </c>
      <c r="D457" t="s">
        <v>64</v>
      </c>
      <c r="E457" t="s">
        <v>22</v>
      </c>
      <c r="F457" t="s">
        <v>23</v>
      </c>
      <c r="G457">
        <v>1</v>
      </c>
      <c r="H457">
        <v>9791166300561</v>
      </c>
      <c r="I457" t="s">
        <v>24</v>
      </c>
      <c r="J457" t="s">
        <v>158</v>
      </c>
      <c r="K457" t="s">
        <v>119</v>
      </c>
      <c r="L457" t="s">
        <v>27</v>
      </c>
      <c r="M457">
        <v>630</v>
      </c>
      <c r="N457" t="s">
        <v>27</v>
      </c>
      <c r="O457">
        <v>630</v>
      </c>
      <c r="P457">
        <v>630</v>
      </c>
      <c r="Q457" t="s">
        <v>30</v>
      </c>
      <c r="R457" s="2">
        <v>0.7</v>
      </c>
      <c r="S457">
        <v>441</v>
      </c>
      <c r="T457" t="s">
        <v>27</v>
      </c>
      <c r="U457">
        <v>441</v>
      </c>
      <c r="V457" s="7" t="s">
        <v>24</v>
      </c>
      <c r="W457" s="7" t="s">
        <v>119</v>
      </c>
    </row>
    <row r="458" spans="1:23" x14ac:dyDescent="0.4">
      <c r="A458" t="s">
        <v>262</v>
      </c>
      <c r="B458" t="s">
        <v>1058</v>
      </c>
      <c r="C458" t="s">
        <v>1067</v>
      </c>
      <c r="D458" t="s">
        <v>64</v>
      </c>
      <c r="E458" t="s">
        <v>22</v>
      </c>
      <c r="F458" t="s">
        <v>23</v>
      </c>
      <c r="G458">
        <v>1</v>
      </c>
      <c r="H458">
        <v>9791166300523</v>
      </c>
      <c r="I458" t="s">
        <v>24</v>
      </c>
      <c r="J458" t="s">
        <v>150</v>
      </c>
      <c r="K458" t="s">
        <v>119</v>
      </c>
      <c r="L458" t="s">
        <v>27</v>
      </c>
      <c r="M458">
        <v>630</v>
      </c>
      <c r="N458" t="s">
        <v>27</v>
      </c>
      <c r="O458">
        <v>630</v>
      </c>
      <c r="P458">
        <v>630</v>
      </c>
      <c r="Q458" t="s">
        <v>30</v>
      </c>
      <c r="R458" s="2">
        <v>0.7</v>
      </c>
      <c r="S458">
        <v>441</v>
      </c>
      <c r="T458" t="s">
        <v>27</v>
      </c>
      <c r="U458">
        <v>441</v>
      </c>
      <c r="V458" s="7" t="s">
        <v>24</v>
      </c>
      <c r="W458" s="7" t="s">
        <v>119</v>
      </c>
    </row>
    <row r="459" spans="1:23" x14ac:dyDescent="0.4">
      <c r="A459" t="s">
        <v>262</v>
      </c>
      <c r="B459" t="s">
        <v>1058</v>
      </c>
      <c r="C459" t="s">
        <v>1069</v>
      </c>
      <c r="D459" t="s">
        <v>64</v>
      </c>
      <c r="E459" t="s">
        <v>22</v>
      </c>
      <c r="F459" t="s">
        <v>23</v>
      </c>
      <c r="G459">
        <v>1</v>
      </c>
      <c r="H459">
        <v>9791166300110</v>
      </c>
      <c r="I459" t="s">
        <v>24</v>
      </c>
      <c r="J459" t="s">
        <v>121</v>
      </c>
      <c r="K459" t="s">
        <v>119</v>
      </c>
      <c r="L459" t="s">
        <v>27</v>
      </c>
      <c r="M459">
        <v>630</v>
      </c>
      <c r="N459" t="s">
        <v>27</v>
      </c>
      <c r="O459">
        <v>630</v>
      </c>
      <c r="P459">
        <v>630</v>
      </c>
      <c r="Q459" t="s">
        <v>30</v>
      </c>
      <c r="R459" s="2">
        <v>0.7</v>
      </c>
      <c r="S459">
        <v>441</v>
      </c>
      <c r="T459" t="s">
        <v>27</v>
      </c>
      <c r="U459">
        <v>441</v>
      </c>
      <c r="V459" s="7" t="s">
        <v>24</v>
      </c>
      <c r="W459" s="7" t="s">
        <v>119</v>
      </c>
    </row>
    <row r="460" spans="1:23" x14ac:dyDescent="0.4">
      <c r="A460" t="s">
        <v>262</v>
      </c>
      <c r="B460" t="s">
        <v>1058</v>
      </c>
      <c r="C460" t="s">
        <v>1070</v>
      </c>
      <c r="D460" t="s">
        <v>64</v>
      </c>
      <c r="E460" t="s">
        <v>22</v>
      </c>
      <c r="F460" t="s">
        <v>23</v>
      </c>
      <c r="G460">
        <v>1</v>
      </c>
      <c r="H460">
        <v>9791166300516</v>
      </c>
      <c r="I460" t="s">
        <v>24</v>
      </c>
      <c r="J460" t="s">
        <v>149</v>
      </c>
      <c r="K460" t="s">
        <v>119</v>
      </c>
      <c r="L460" t="s">
        <v>27</v>
      </c>
      <c r="M460">
        <v>630</v>
      </c>
      <c r="N460" t="s">
        <v>27</v>
      </c>
      <c r="O460">
        <v>630</v>
      </c>
      <c r="P460">
        <v>630</v>
      </c>
      <c r="Q460" t="s">
        <v>30</v>
      </c>
      <c r="R460" s="2">
        <v>0.7</v>
      </c>
      <c r="S460">
        <v>441</v>
      </c>
      <c r="T460" t="s">
        <v>27</v>
      </c>
      <c r="U460">
        <v>441</v>
      </c>
      <c r="V460" s="7" t="s">
        <v>24</v>
      </c>
      <c r="W460" s="7" t="s">
        <v>119</v>
      </c>
    </row>
    <row r="461" spans="1:23" x14ac:dyDescent="0.4">
      <c r="A461" t="s">
        <v>262</v>
      </c>
      <c r="B461" t="s">
        <v>1058</v>
      </c>
      <c r="C461" t="s">
        <v>1071</v>
      </c>
      <c r="D461" t="s">
        <v>64</v>
      </c>
      <c r="E461" t="s">
        <v>22</v>
      </c>
      <c r="F461" t="s">
        <v>23</v>
      </c>
      <c r="G461">
        <v>1</v>
      </c>
      <c r="H461">
        <v>9791166300158</v>
      </c>
      <c r="I461" t="s">
        <v>24</v>
      </c>
      <c r="J461" t="s">
        <v>125</v>
      </c>
      <c r="K461" t="s">
        <v>119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  <c r="V461" s="7" t="s">
        <v>24</v>
      </c>
      <c r="W461" s="7" t="s">
        <v>119</v>
      </c>
    </row>
    <row r="462" spans="1:23" x14ac:dyDescent="0.4">
      <c r="A462" t="s">
        <v>262</v>
      </c>
      <c r="B462" t="s">
        <v>1058</v>
      </c>
      <c r="C462" t="s">
        <v>1073</v>
      </c>
      <c r="D462" t="s">
        <v>64</v>
      </c>
      <c r="E462" t="s">
        <v>22</v>
      </c>
      <c r="F462" t="s">
        <v>23</v>
      </c>
      <c r="G462">
        <v>1</v>
      </c>
      <c r="H462">
        <v>9791166300202</v>
      </c>
      <c r="I462" t="s">
        <v>24</v>
      </c>
      <c r="J462" t="s">
        <v>129</v>
      </c>
      <c r="K462" t="s">
        <v>119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2">
        <v>0.7</v>
      </c>
      <c r="S462">
        <v>441</v>
      </c>
      <c r="T462" t="s">
        <v>27</v>
      </c>
      <c r="U462">
        <v>441</v>
      </c>
      <c r="V462" s="7" t="s">
        <v>24</v>
      </c>
      <c r="W462" s="7" t="s">
        <v>119</v>
      </c>
    </row>
    <row r="463" spans="1:23" x14ac:dyDescent="0.4">
      <c r="A463" t="s">
        <v>262</v>
      </c>
      <c r="B463" t="s">
        <v>1058</v>
      </c>
      <c r="C463" t="s">
        <v>1074</v>
      </c>
      <c r="D463" t="s">
        <v>64</v>
      </c>
      <c r="E463" t="s">
        <v>22</v>
      </c>
      <c r="F463" t="s">
        <v>23</v>
      </c>
      <c r="G463">
        <v>1</v>
      </c>
      <c r="H463">
        <v>9791166300578</v>
      </c>
      <c r="I463" t="s">
        <v>24</v>
      </c>
      <c r="J463" t="s">
        <v>159</v>
      </c>
      <c r="K463" t="s">
        <v>119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  <c r="V463" s="7" t="s">
        <v>24</v>
      </c>
      <c r="W463" s="7" t="s">
        <v>119</v>
      </c>
    </row>
    <row r="464" spans="1:23" x14ac:dyDescent="0.4">
      <c r="A464" t="s">
        <v>262</v>
      </c>
      <c r="B464" t="s">
        <v>1058</v>
      </c>
      <c r="C464" t="s">
        <v>1083</v>
      </c>
      <c r="D464" t="s">
        <v>64</v>
      </c>
      <c r="E464" t="s">
        <v>22</v>
      </c>
      <c r="F464" t="s">
        <v>23</v>
      </c>
      <c r="G464">
        <v>1</v>
      </c>
      <c r="H464">
        <v>9791166300301</v>
      </c>
      <c r="I464" t="s">
        <v>24</v>
      </c>
      <c r="J464" t="s">
        <v>139</v>
      </c>
      <c r="K464" t="s">
        <v>119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  <c r="V464" s="7" t="s">
        <v>24</v>
      </c>
      <c r="W464" s="7" t="s">
        <v>119</v>
      </c>
    </row>
    <row r="465" spans="1:23" x14ac:dyDescent="0.4">
      <c r="A465" t="s">
        <v>262</v>
      </c>
      <c r="B465" t="s">
        <v>1058</v>
      </c>
      <c r="C465" t="s">
        <v>1085</v>
      </c>
      <c r="D465" t="s">
        <v>64</v>
      </c>
      <c r="E465" t="s">
        <v>22</v>
      </c>
      <c r="F465" t="s">
        <v>23</v>
      </c>
      <c r="G465">
        <v>1</v>
      </c>
      <c r="H465">
        <v>9791166300585</v>
      </c>
      <c r="I465" t="s">
        <v>24</v>
      </c>
      <c r="J465" t="s">
        <v>160</v>
      </c>
      <c r="K465" t="s">
        <v>119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  <c r="V465" s="7" t="s">
        <v>24</v>
      </c>
      <c r="W465" s="7" t="s">
        <v>119</v>
      </c>
    </row>
    <row r="466" spans="1:23" x14ac:dyDescent="0.4">
      <c r="A466" t="s">
        <v>262</v>
      </c>
      <c r="B466" t="s">
        <v>1058</v>
      </c>
      <c r="C466" t="s">
        <v>1086</v>
      </c>
      <c r="D466" t="s">
        <v>64</v>
      </c>
      <c r="E466" t="s">
        <v>22</v>
      </c>
      <c r="F466" t="s">
        <v>23</v>
      </c>
      <c r="G466">
        <v>1</v>
      </c>
      <c r="H466">
        <v>9791166300523</v>
      </c>
      <c r="I466" t="s">
        <v>24</v>
      </c>
      <c r="J466" t="s">
        <v>150</v>
      </c>
      <c r="K466" t="s">
        <v>119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  <c r="V466" s="7" t="s">
        <v>24</v>
      </c>
      <c r="W466" s="7" t="s">
        <v>119</v>
      </c>
    </row>
    <row r="467" spans="1:23" x14ac:dyDescent="0.4">
      <c r="A467" t="s">
        <v>262</v>
      </c>
      <c r="B467" t="s">
        <v>1058</v>
      </c>
      <c r="C467" t="s">
        <v>1089</v>
      </c>
      <c r="D467" t="s">
        <v>64</v>
      </c>
      <c r="E467" t="s">
        <v>22</v>
      </c>
      <c r="F467" t="s">
        <v>23</v>
      </c>
      <c r="G467">
        <v>1</v>
      </c>
      <c r="H467">
        <v>9791166300127</v>
      </c>
      <c r="I467" t="s">
        <v>24</v>
      </c>
      <c r="J467" t="s">
        <v>122</v>
      </c>
      <c r="K467" t="s">
        <v>119</v>
      </c>
      <c r="L467" t="s">
        <v>27</v>
      </c>
      <c r="M467">
        <v>630</v>
      </c>
      <c r="N467" t="s">
        <v>27</v>
      </c>
      <c r="O467">
        <v>630</v>
      </c>
      <c r="P467">
        <v>630</v>
      </c>
      <c r="Q467" t="s">
        <v>30</v>
      </c>
      <c r="R467" s="2">
        <v>0.7</v>
      </c>
      <c r="S467">
        <v>441</v>
      </c>
      <c r="T467" t="s">
        <v>27</v>
      </c>
      <c r="U467">
        <v>441</v>
      </c>
      <c r="V467" s="7" t="s">
        <v>24</v>
      </c>
      <c r="W467" s="7" t="s">
        <v>119</v>
      </c>
    </row>
    <row r="468" spans="1:23" x14ac:dyDescent="0.4">
      <c r="A468" t="s">
        <v>262</v>
      </c>
      <c r="B468" t="s">
        <v>1058</v>
      </c>
      <c r="C468" t="s">
        <v>1090</v>
      </c>
      <c r="D468" t="s">
        <v>64</v>
      </c>
      <c r="E468" t="s">
        <v>22</v>
      </c>
      <c r="F468" t="s">
        <v>23</v>
      </c>
      <c r="G468">
        <v>1</v>
      </c>
      <c r="H468">
        <v>9791166300233</v>
      </c>
      <c r="I468" t="s">
        <v>24</v>
      </c>
      <c r="J468" t="s">
        <v>132</v>
      </c>
      <c r="K468" t="s">
        <v>119</v>
      </c>
      <c r="L468" t="s">
        <v>27</v>
      </c>
      <c r="M468">
        <v>630</v>
      </c>
      <c r="N468" t="s">
        <v>27</v>
      </c>
      <c r="O468">
        <v>630</v>
      </c>
      <c r="P468">
        <v>630</v>
      </c>
      <c r="Q468" t="s">
        <v>30</v>
      </c>
      <c r="R468" s="2">
        <v>0.7</v>
      </c>
      <c r="S468">
        <v>441</v>
      </c>
      <c r="T468" t="s">
        <v>27</v>
      </c>
      <c r="U468">
        <v>441</v>
      </c>
      <c r="V468" s="7" t="s">
        <v>24</v>
      </c>
      <c r="W468" s="7" t="s">
        <v>119</v>
      </c>
    </row>
    <row r="469" spans="1:23" x14ac:dyDescent="0.4">
      <c r="A469" t="s">
        <v>262</v>
      </c>
      <c r="B469" t="s">
        <v>1058</v>
      </c>
      <c r="C469" t="s">
        <v>1091</v>
      </c>
      <c r="D469" t="s">
        <v>64</v>
      </c>
      <c r="E469" t="s">
        <v>22</v>
      </c>
      <c r="F469" t="s">
        <v>23</v>
      </c>
      <c r="G469">
        <v>1</v>
      </c>
      <c r="H469">
        <v>9791166300110</v>
      </c>
      <c r="I469" t="s">
        <v>24</v>
      </c>
      <c r="J469" t="s">
        <v>121</v>
      </c>
      <c r="K469" t="s">
        <v>119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2">
        <v>0.7</v>
      </c>
      <c r="S469">
        <v>441</v>
      </c>
      <c r="T469" t="s">
        <v>27</v>
      </c>
      <c r="U469">
        <v>441</v>
      </c>
      <c r="V469" s="7" t="s">
        <v>24</v>
      </c>
      <c r="W469" s="7" t="s">
        <v>119</v>
      </c>
    </row>
    <row r="470" spans="1:23" x14ac:dyDescent="0.4">
      <c r="A470" t="s">
        <v>262</v>
      </c>
      <c r="B470" t="s">
        <v>1058</v>
      </c>
      <c r="C470" t="s">
        <v>1092</v>
      </c>
      <c r="D470" t="s">
        <v>64</v>
      </c>
      <c r="E470" t="s">
        <v>22</v>
      </c>
      <c r="F470" t="s">
        <v>23</v>
      </c>
      <c r="G470">
        <v>1</v>
      </c>
      <c r="H470">
        <v>9791166300134</v>
      </c>
      <c r="I470" t="s">
        <v>24</v>
      </c>
      <c r="J470" t="s">
        <v>123</v>
      </c>
      <c r="K470" t="s">
        <v>119</v>
      </c>
      <c r="L470" t="s">
        <v>27</v>
      </c>
      <c r="M470">
        <v>630</v>
      </c>
      <c r="N470" t="s">
        <v>27</v>
      </c>
      <c r="O470">
        <v>630</v>
      </c>
      <c r="P470">
        <v>630</v>
      </c>
      <c r="Q470" t="s">
        <v>30</v>
      </c>
      <c r="R470" s="2">
        <v>0.7</v>
      </c>
      <c r="S470">
        <v>441</v>
      </c>
      <c r="T470" t="s">
        <v>27</v>
      </c>
      <c r="U470">
        <v>441</v>
      </c>
      <c r="V470" s="7" t="s">
        <v>24</v>
      </c>
      <c r="W470" s="7" t="s">
        <v>119</v>
      </c>
    </row>
    <row r="471" spans="1:23" x14ac:dyDescent="0.4">
      <c r="A471" t="s">
        <v>262</v>
      </c>
      <c r="B471" t="s">
        <v>1058</v>
      </c>
      <c r="C471" t="s">
        <v>1094</v>
      </c>
      <c r="D471" t="s">
        <v>64</v>
      </c>
      <c r="E471" t="s">
        <v>22</v>
      </c>
      <c r="F471" t="s">
        <v>23</v>
      </c>
      <c r="G471">
        <v>1</v>
      </c>
      <c r="H471">
        <v>9791166300592</v>
      </c>
      <c r="I471" t="s">
        <v>24</v>
      </c>
      <c r="J471" t="s">
        <v>161</v>
      </c>
      <c r="K471" t="s">
        <v>119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  <c r="V471" s="7" t="s">
        <v>24</v>
      </c>
      <c r="W471" s="7" t="s">
        <v>119</v>
      </c>
    </row>
    <row r="472" spans="1:23" x14ac:dyDescent="0.4">
      <c r="A472" t="s">
        <v>262</v>
      </c>
      <c r="B472" t="s">
        <v>1058</v>
      </c>
      <c r="C472" t="s">
        <v>1095</v>
      </c>
      <c r="D472" t="s">
        <v>64</v>
      </c>
      <c r="E472" t="s">
        <v>22</v>
      </c>
      <c r="F472" t="s">
        <v>23</v>
      </c>
      <c r="G472">
        <v>1</v>
      </c>
      <c r="H472">
        <v>9791166300462</v>
      </c>
      <c r="I472" t="s">
        <v>24</v>
      </c>
      <c r="J472" t="s">
        <v>144</v>
      </c>
      <c r="K472" t="s">
        <v>119</v>
      </c>
      <c r="L472" t="s">
        <v>27</v>
      </c>
      <c r="M472">
        <v>630</v>
      </c>
      <c r="N472" t="s">
        <v>27</v>
      </c>
      <c r="O472">
        <v>630</v>
      </c>
      <c r="P472">
        <v>630</v>
      </c>
      <c r="Q472" t="s">
        <v>30</v>
      </c>
      <c r="R472" s="2">
        <v>0.7</v>
      </c>
      <c r="S472">
        <v>441</v>
      </c>
      <c r="T472" t="s">
        <v>27</v>
      </c>
      <c r="U472">
        <v>441</v>
      </c>
      <c r="V472" s="7" t="s">
        <v>24</v>
      </c>
      <c r="W472" s="7" t="s">
        <v>119</v>
      </c>
    </row>
    <row r="473" spans="1:23" x14ac:dyDescent="0.4">
      <c r="A473" t="s">
        <v>262</v>
      </c>
      <c r="B473" t="s">
        <v>1058</v>
      </c>
      <c r="C473" t="s">
        <v>1100</v>
      </c>
      <c r="D473" t="s">
        <v>64</v>
      </c>
      <c r="E473" t="s">
        <v>22</v>
      </c>
      <c r="F473" t="s">
        <v>23</v>
      </c>
      <c r="G473">
        <v>1</v>
      </c>
      <c r="H473">
        <v>9791166300240</v>
      </c>
      <c r="I473" t="s">
        <v>24</v>
      </c>
      <c r="J473" t="s">
        <v>133</v>
      </c>
      <c r="K473" t="s">
        <v>119</v>
      </c>
      <c r="L473" t="s">
        <v>27</v>
      </c>
      <c r="M473">
        <v>630</v>
      </c>
      <c r="N473" t="s">
        <v>27</v>
      </c>
      <c r="O473">
        <v>630</v>
      </c>
      <c r="P473">
        <v>630</v>
      </c>
      <c r="Q473" t="s">
        <v>30</v>
      </c>
      <c r="R473" s="2">
        <v>0.7</v>
      </c>
      <c r="S473">
        <v>441</v>
      </c>
      <c r="T473" t="s">
        <v>27</v>
      </c>
      <c r="U473">
        <v>441</v>
      </c>
      <c r="V473" s="7" t="s">
        <v>24</v>
      </c>
      <c r="W473" s="7" t="s">
        <v>119</v>
      </c>
    </row>
    <row r="474" spans="1:23" x14ac:dyDescent="0.4">
      <c r="A474" t="s">
        <v>262</v>
      </c>
      <c r="B474" t="s">
        <v>1058</v>
      </c>
      <c r="C474" t="s">
        <v>1101</v>
      </c>
      <c r="D474" t="s">
        <v>64</v>
      </c>
      <c r="E474" t="s">
        <v>22</v>
      </c>
      <c r="F474" t="s">
        <v>23</v>
      </c>
      <c r="G474">
        <v>1</v>
      </c>
      <c r="H474">
        <v>9791166300622</v>
      </c>
      <c r="I474" t="s">
        <v>24</v>
      </c>
      <c r="J474" t="s">
        <v>164</v>
      </c>
      <c r="K474" t="s">
        <v>119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  <c r="V474" s="7" t="s">
        <v>24</v>
      </c>
      <c r="W474" s="7" t="s">
        <v>119</v>
      </c>
    </row>
    <row r="475" spans="1:23" x14ac:dyDescent="0.4">
      <c r="A475" t="s">
        <v>262</v>
      </c>
      <c r="B475" t="s">
        <v>1058</v>
      </c>
      <c r="C475" t="s">
        <v>1104</v>
      </c>
      <c r="D475" t="s">
        <v>64</v>
      </c>
      <c r="E475" t="s">
        <v>22</v>
      </c>
      <c r="F475" t="s">
        <v>23</v>
      </c>
      <c r="G475">
        <v>1</v>
      </c>
      <c r="H475">
        <v>9791166300691</v>
      </c>
      <c r="I475" t="s">
        <v>24</v>
      </c>
      <c r="J475" t="s">
        <v>152</v>
      </c>
      <c r="K475" t="s">
        <v>119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  <c r="V475" s="7" t="s">
        <v>24</v>
      </c>
      <c r="W475" s="7" t="s">
        <v>119</v>
      </c>
    </row>
    <row r="476" spans="1:23" x14ac:dyDescent="0.4">
      <c r="A476" t="s">
        <v>262</v>
      </c>
      <c r="B476" t="s">
        <v>1058</v>
      </c>
      <c r="C476" t="s">
        <v>1106</v>
      </c>
      <c r="D476" t="s">
        <v>64</v>
      </c>
      <c r="E476" t="s">
        <v>22</v>
      </c>
      <c r="F476" t="s">
        <v>23</v>
      </c>
      <c r="G476">
        <v>1</v>
      </c>
      <c r="H476">
        <v>9791166300462</v>
      </c>
      <c r="I476" t="s">
        <v>24</v>
      </c>
      <c r="J476" t="s">
        <v>144</v>
      </c>
      <c r="K476" t="s">
        <v>119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  <c r="V476" s="7" t="s">
        <v>24</v>
      </c>
      <c r="W476" s="7" t="s">
        <v>119</v>
      </c>
    </row>
    <row r="477" spans="1:23" x14ac:dyDescent="0.4">
      <c r="A477" t="s">
        <v>262</v>
      </c>
      <c r="B477" t="s">
        <v>1058</v>
      </c>
      <c r="C477" t="s">
        <v>1107</v>
      </c>
      <c r="D477" t="s">
        <v>64</v>
      </c>
      <c r="E477" t="s">
        <v>22</v>
      </c>
      <c r="F477" t="s">
        <v>23</v>
      </c>
      <c r="G477">
        <v>1</v>
      </c>
      <c r="H477">
        <v>9791166300295</v>
      </c>
      <c r="I477" t="s">
        <v>24</v>
      </c>
      <c r="J477" t="s">
        <v>138</v>
      </c>
      <c r="K477" t="s">
        <v>119</v>
      </c>
      <c r="L477" t="s">
        <v>27</v>
      </c>
      <c r="M477">
        <v>630</v>
      </c>
      <c r="N477" t="s">
        <v>27</v>
      </c>
      <c r="O477">
        <v>630</v>
      </c>
      <c r="P477">
        <v>630</v>
      </c>
      <c r="Q477" t="s">
        <v>30</v>
      </c>
      <c r="R477" s="2">
        <v>0.7</v>
      </c>
      <c r="S477">
        <v>441</v>
      </c>
      <c r="T477" t="s">
        <v>27</v>
      </c>
      <c r="U477">
        <v>441</v>
      </c>
      <c r="V477" s="7" t="s">
        <v>24</v>
      </c>
      <c r="W477" s="7" t="s">
        <v>119</v>
      </c>
    </row>
    <row r="478" spans="1:23" x14ac:dyDescent="0.4">
      <c r="A478" t="s">
        <v>262</v>
      </c>
      <c r="B478" t="s">
        <v>1058</v>
      </c>
      <c r="C478" t="s">
        <v>1108</v>
      </c>
      <c r="D478" t="s">
        <v>64</v>
      </c>
      <c r="E478" t="s">
        <v>22</v>
      </c>
      <c r="F478" t="s">
        <v>23</v>
      </c>
      <c r="G478">
        <v>1</v>
      </c>
      <c r="H478">
        <v>9791166300158</v>
      </c>
      <c r="I478" t="s">
        <v>24</v>
      </c>
      <c r="J478" t="s">
        <v>125</v>
      </c>
      <c r="K478" t="s">
        <v>119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2">
        <v>0.7</v>
      </c>
      <c r="S478">
        <v>441</v>
      </c>
      <c r="T478" t="s">
        <v>27</v>
      </c>
      <c r="U478">
        <v>441</v>
      </c>
      <c r="V478" s="7" t="s">
        <v>24</v>
      </c>
      <c r="W478" s="7" t="s">
        <v>119</v>
      </c>
    </row>
    <row r="479" spans="1:23" x14ac:dyDescent="0.4">
      <c r="A479" t="s">
        <v>262</v>
      </c>
      <c r="B479" t="s">
        <v>1058</v>
      </c>
      <c r="C479" t="s">
        <v>1109</v>
      </c>
      <c r="D479" t="s">
        <v>64</v>
      </c>
      <c r="E479" t="s">
        <v>22</v>
      </c>
      <c r="F479" t="s">
        <v>23</v>
      </c>
      <c r="G479">
        <v>1</v>
      </c>
      <c r="H479">
        <v>9791166300639</v>
      </c>
      <c r="I479" t="s">
        <v>24</v>
      </c>
      <c r="J479" t="s">
        <v>165</v>
      </c>
      <c r="K479" t="s">
        <v>119</v>
      </c>
      <c r="L479" t="s">
        <v>27</v>
      </c>
      <c r="M479">
        <v>630</v>
      </c>
      <c r="N479" t="s">
        <v>27</v>
      </c>
      <c r="O479">
        <v>630</v>
      </c>
      <c r="P479">
        <v>630</v>
      </c>
      <c r="Q479" t="s">
        <v>30</v>
      </c>
      <c r="R479" s="2">
        <v>0.7</v>
      </c>
      <c r="S479">
        <v>441</v>
      </c>
      <c r="T479" t="s">
        <v>27</v>
      </c>
      <c r="U479">
        <v>441</v>
      </c>
      <c r="V479" s="7" t="s">
        <v>24</v>
      </c>
      <c r="W479" s="7" t="s">
        <v>119</v>
      </c>
    </row>
    <row r="480" spans="1:23" x14ac:dyDescent="0.4">
      <c r="A480" t="s">
        <v>262</v>
      </c>
      <c r="B480" t="s">
        <v>1058</v>
      </c>
      <c r="C480" t="s">
        <v>1110</v>
      </c>
      <c r="D480" t="s">
        <v>64</v>
      </c>
      <c r="E480" t="s">
        <v>22</v>
      </c>
      <c r="F480" t="s">
        <v>23</v>
      </c>
      <c r="G480">
        <v>1</v>
      </c>
      <c r="H480">
        <v>9791166300479</v>
      </c>
      <c r="I480" t="s">
        <v>24</v>
      </c>
      <c r="J480" t="s">
        <v>145</v>
      </c>
      <c r="K480" t="s">
        <v>119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  <c r="V480" s="7" t="s">
        <v>24</v>
      </c>
      <c r="W480" s="7" t="s">
        <v>119</v>
      </c>
    </row>
    <row r="481" spans="1:23" x14ac:dyDescent="0.4">
      <c r="A481" t="s">
        <v>262</v>
      </c>
      <c r="B481" t="s">
        <v>1058</v>
      </c>
      <c r="C481" t="s">
        <v>1111</v>
      </c>
      <c r="D481" t="s">
        <v>64</v>
      </c>
      <c r="E481" t="s">
        <v>22</v>
      </c>
      <c r="F481" t="s">
        <v>23</v>
      </c>
      <c r="G481">
        <v>1</v>
      </c>
      <c r="H481">
        <v>9791166300608</v>
      </c>
      <c r="I481" t="s">
        <v>24</v>
      </c>
      <c r="J481" t="s">
        <v>162</v>
      </c>
      <c r="K481" t="s">
        <v>119</v>
      </c>
      <c r="L481" t="s">
        <v>27</v>
      </c>
      <c r="M481">
        <v>630</v>
      </c>
      <c r="N481" t="s">
        <v>27</v>
      </c>
      <c r="O481">
        <v>630</v>
      </c>
      <c r="P481">
        <v>630</v>
      </c>
      <c r="Q481" t="s">
        <v>30</v>
      </c>
      <c r="R481" s="2">
        <v>0.7</v>
      </c>
      <c r="S481">
        <v>441</v>
      </c>
      <c r="T481" t="s">
        <v>27</v>
      </c>
      <c r="U481">
        <v>441</v>
      </c>
      <c r="V481" s="7" t="s">
        <v>24</v>
      </c>
      <c r="W481" s="7" t="s">
        <v>119</v>
      </c>
    </row>
    <row r="482" spans="1:23" x14ac:dyDescent="0.4">
      <c r="A482" t="s">
        <v>262</v>
      </c>
      <c r="B482" t="s">
        <v>1058</v>
      </c>
      <c r="C482" t="s">
        <v>1114</v>
      </c>
      <c r="D482" t="s">
        <v>64</v>
      </c>
      <c r="E482" t="s">
        <v>22</v>
      </c>
      <c r="F482" t="s">
        <v>23</v>
      </c>
      <c r="G482">
        <v>1</v>
      </c>
      <c r="H482">
        <v>9791166300103</v>
      </c>
      <c r="I482" t="s">
        <v>24</v>
      </c>
      <c r="J482" t="s">
        <v>120</v>
      </c>
      <c r="K482" t="s">
        <v>119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2">
        <v>0.7</v>
      </c>
      <c r="S482">
        <v>441</v>
      </c>
      <c r="T482" t="s">
        <v>27</v>
      </c>
      <c r="U482">
        <v>441</v>
      </c>
      <c r="V482" s="7" t="s">
        <v>24</v>
      </c>
      <c r="W482" s="7" t="s">
        <v>119</v>
      </c>
    </row>
    <row r="483" spans="1:23" x14ac:dyDescent="0.4">
      <c r="A483" t="s">
        <v>262</v>
      </c>
      <c r="B483" t="s">
        <v>1058</v>
      </c>
      <c r="C483" t="s">
        <v>1119</v>
      </c>
      <c r="D483" t="s">
        <v>64</v>
      </c>
      <c r="E483" t="s">
        <v>22</v>
      </c>
      <c r="F483" t="s">
        <v>23</v>
      </c>
      <c r="G483">
        <v>1</v>
      </c>
      <c r="H483">
        <v>9791166300257</v>
      </c>
      <c r="I483" t="s">
        <v>24</v>
      </c>
      <c r="J483" t="s">
        <v>134</v>
      </c>
      <c r="K483" t="s">
        <v>119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2">
        <v>0.7</v>
      </c>
      <c r="S483">
        <v>441</v>
      </c>
      <c r="T483" t="s">
        <v>27</v>
      </c>
      <c r="U483">
        <v>441</v>
      </c>
      <c r="V483" s="7" t="s">
        <v>24</v>
      </c>
      <c r="W483" s="7" t="s">
        <v>119</v>
      </c>
    </row>
    <row r="484" spans="1:23" x14ac:dyDescent="0.4">
      <c r="A484" t="s">
        <v>262</v>
      </c>
      <c r="B484" t="s">
        <v>1058</v>
      </c>
      <c r="C484" t="s">
        <v>1120</v>
      </c>
      <c r="D484" t="s">
        <v>64</v>
      </c>
      <c r="E484" t="s">
        <v>22</v>
      </c>
      <c r="F484" t="s">
        <v>23</v>
      </c>
      <c r="G484">
        <v>1</v>
      </c>
      <c r="H484">
        <v>9791166300530</v>
      </c>
      <c r="I484" t="s">
        <v>24</v>
      </c>
      <c r="J484" t="s">
        <v>151</v>
      </c>
      <c r="K484" t="s">
        <v>119</v>
      </c>
      <c r="L484" t="s">
        <v>27</v>
      </c>
      <c r="M484">
        <v>630</v>
      </c>
      <c r="N484" t="s">
        <v>27</v>
      </c>
      <c r="O484">
        <v>630</v>
      </c>
      <c r="P484">
        <v>630</v>
      </c>
      <c r="Q484" t="s">
        <v>30</v>
      </c>
      <c r="R484" s="2">
        <v>0.7</v>
      </c>
      <c r="S484">
        <v>441</v>
      </c>
      <c r="T484" t="s">
        <v>27</v>
      </c>
      <c r="U484">
        <v>441</v>
      </c>
      <c r="V484" s="7" t="s">
        <v>24</v>
      </c>
      <c r="W484" s="7" t="s">
        <v>119</v>
      </c>
    </row>
    <row r="485" spans="1:23" x14ac:dyDescent="0.4">
      <c r="A485" t="s">
        <v>262</v>
      </c>
      <c r="B485" t="s">
        <v>1121</v>
      </c>
      <c r="C485" t="s">
        <v>1122</v>
      </c>
      <c r="D485" t="s">
        <v>64</v>
      </c>
      <c r="E485" t="s">
        <v>22</v>
      </c>
      <c r="F485" t="s">
        <v>23</v>
      </c>
      <c r="G485">
        <v>1</v>
      </c>
      <c r="H485">
        <v>9791166300110</v>
      </c>
      <c r="I485" t="s">
        <v>24</v>
      </c>
      <c r="J485" t="s">
        <v>121</v>
      </c>
      <c r="K485" t="s">
        <v>119</v>
      </c>
      <c r="L485" t="s">
        <v>27</v>
      </c>
      <c r="M485">
        <v>630</v>
      </c>
      <c r="N485" t="s">
        <v>27</v>
      </c>
      <c r="O485">
        <v>630</v>
      </c>
      <c r="P485">
        <v>630</v>
      </c>
      <c r="Q485" t="s">
        <v>30</v>
      </c>
      <c r="R485" s="2">
        <v>0.7</v>
      </c>
      <c r="S485">
        <v>441</v>
      </c>
      <c r="T485" t="s">
        <v>27</v>
      </c>
      <c r="U485">
        <v>441</v>
      </c>
      <c r="V485" s="7" t="s">
        <v>24</v>
      </c>
      <c r="W485" s="7" t="s">
        <v>119</v>
      </c>
    </row>
    <row r="486" spans="1:23" x14ac:dyDescent="0.4">
      <c r="A486" t="s">
        <v>262</v>
      </c>
      <c r="B486" t="s">
        <v>1121</v>
      </c>
      <c r="C486" t="s">
        <v>1123</v>
      </c>
      <c r="D486" t="s">
        <v>64</v>
      </c>
      <c r="E486" t="s">
        <v>22</v>
      </c>
      <c r="F486" t="s">
        <v>23</v>
      </c>
      <c r="G486">
        <v>1</v>
      </c>
      <c r="H486">
        <v>9791166300165</v>
      </c>
      <c r="I486" t="s">
        <v>24</v>
      </c>
      <c r="J486" t="s">
        <v>126</v>
      </c>
      <c r="K486" t="s">
        <v>119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  <c r="V486" s="7" t="s">
        <v>24</v>
      </c>
      <c r="W486" s="7" t="s">
        <v>119</v>
      </c>
    </row>
    <row r="487" spans="1:23" x14ac:dyDescent="0.4">
      <c r="A487" t="s">
        <v>262</v>
      </c>
      <c r="B487" t="s">
        <v>1121</v>
      </c>
      <c r="C487" t="s">
        <v>1124</v>
      </c>
      <c r="D487" t="s">
        <v>64</v>
      </c>
      <c r="E487" t="s">
        <v>22</v>
      </c>
      <c r="F487" t="s">
        <v>23</v>
      </c>
      <c r="G487">
        <v>1</v>
      </c>
      <c r="H487">
        <v>9791166300691</v>
      </c>
      <c r="I487" t="s">
        <v>24</v>
      </c>
      <c r="J487" t="s">
        <v>152</v>
      </c>
      <c r="K487" t="s">
        <v>119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  <c r="V487" s="7" t="s">
        <v>24</v>
      </c>
      <c r="W487" s="7" t="s">
        <v>119</v>
      </c>
    </row>
    <row r="488" spans="1:23" x14ac:dyDescent="0.4">
      <c r="A488" t="s">
        <v>262</v>
      </c>
      <c r="B488" t="s">
        <v>1121</v>
      </c>
      <c r="C488" t="s">
        <v>1125</v>
      </c>
      <c r="D488" t="s">
        <v>64</v>
      </c>
      <c r="E488" t="s">
        <v>22</v>
      </c>
      <c r="F488" t="s">
        <v>23</v>
      </c>
      <c r="G488">
        <v>1</v>
      </c>
      <c r="H488">
        <v>9791166300141</v>
      </c>
      <c r="I488" t="s">
        <v>24</v>
      </c>
      <c r="J488" t="s">
        <v>124</v>
      </c>
      <c r="K488" t="s">
        <v>119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  <c r="V488" s="7" t="s">
        <v>24</v>
      </c>
      <c r="W488" s="7" t="s">
        <v>119</v>
      </c>
    </row>
    <row r="489" spans="1:23" x14ac:dyDescent="0.4">
      <c r="A489" t="s">
        <v>262</v>
      </c>
      <c r="B489" t="s">
        <v>1121</v>
      </c>
      <c r="C489" t="s">
        <v>1127</v>
      </c>
      <c r="D489" t="s">
        <v>64</v>
      </c>
      <c r="E489" t="s">
        <v>22</v>
      </c>
      <c r="F489" t="s">
        <v>23</v>
      </c>
      <c r="G489">
        <v>1</v>
      </c>
      <c r="H489">
        <v>9791166300479</v>
      </c>
      <c r="I489" t="s">
        <v>24</v>
      </c>
      <c r="J489" t="s">
        <v>145</v>
      </c>
      <c r="K489" t="s">
        <v>119</v>
      </c>
      <c r="L489" t="s">
        <v>27</v>
      </c>
      <c r="M489">
        <v>630</v>
      </c>
      <c r="N489" t="s">
        <v>27</v>
      </c>
      <c r="O489">
        <v>630</v>
      </c>
      <c r="P489">
        <v>630</v>
      </c>
      <c r="Q489" t="s">
        <v>30</v>
      </c>
      <c r="R489" s="2">
        <v>0.7</v>
      </c>
      <c r="S489">
        <v>441</v>
      </c>
      <c r="T489" t="s">
        <v>27</v>
      </c>
      <c r="U489">
        <v>441</v>
      </c>
      <c r="V489" s="7" t="s">
        <v>24</v>
      </c>
      <c r="W489" s="7" t="s">
        <v>119</v>
      </c>
    </row>
    <row r="490" spans="1:23" x14ac:dyDescent="0.4">
      <c r="A490" t="s">
        <v>262</v>
      </c>
      <c r="B490" t="s">
        <v>1121</v>
      </c>
      <c r="C490" t="s">
        <v>1129</v>
      </c>
      <c r="D490" t="s">
        <v>64</v>
      </c>
      <c r="E490" t="s">
        <v>22</v>
      </c>
      <c r="F490" t="s">
        <v>23</v>
      </c>
      <c r="G490">
        <v>1</v>
      </c>
      <c r="H490">
        <v>9791166300141</v>
      </c>
      <c r="I490" t="s">
        <v>24</v>
      </c>
      <c r="J490" t="s">
        <v>124</v>
      </c>
      <c r="K490" t="s">
        <v>119</v>
      </c>
      <c r="L490" t="s">
        <v>27</v>
      </c>
      <c r="M490">
        <v>630</v>
      </c>
      <c r="N490" t="s">
        <v>27</v>
      </c>
      <c r="O490">
        <v>630</v>
      </c>
      <c r="P490">
        <v>630</v>
      </c>
      <c r="Q490" t="s">
        <v>30</v>
      </c>
      <c r="R490" s="2">
        <v>0.7</v>
      </c>
      <c r="S490">
        <v>441</v>
      </c>
      <c r="T490" t="s">
        <v>27</v>
      </c>
      <c r="U490">
        <v>441</v>
      </c>
      <c r="V490" s="7" t="s">
        <v>24</v>
      </c>
      <c r="W490" s="7" t="s">
        <v>119</v>
      </c>
    </row>
    <row r="491" spans="1:23" x14ac:dyDescent="0.4">
      <c r="A491" t="s">
        <v>262</v>
      </c>
      <c r="B491" t="s">
        <v>1121</v>
      </c>
      <c r="C491" t="s">
        <v>1130</v>
      </c>
      <c r="D491" t="s">
        <v>21</v>
      </c>
      <c r="E491" t="s">
        <v>22</v>
      </c>
      <c r="F491" t="s">
        <v>23</v>
      </c>
      <c r="G491">
        <v>1</v>
      </c>
      <c r="H491">
        <v>9791166300172</v>
      </c>
      <c r="I491" t="s">
        <v>24</v>
      </c>
      <c r="J491" t="s">
        <v>127</v>
      </c>
      <c r="K491" t="s">
        <v>119</v>
      </c>
      <c r="L491" t="s">
        <v>27</v>
      </c>
      <c r="M491" s="3">
        <v>3200</v>
      </c>
      <c r="N491" t="s">
        <v>27</v>
      </c>
      <c r="O491" s="3">
        <v>3200</v>
      </c>
      <c r="P491" s="3">
        <v>3200</v>
      </c>
      <c r="Q491" t="s">
        <v>30</v>
      </c>
      <c r="R491" s="2">
        <v>0.7</v>
      </c>
      <c r="S491" s="3">
        <v>2240</v>
      </c>
      <c r="T491" t="s">
        <v>27</v>
      </c>
      <c r="U491" s="3">
        <v>2240</v>
      </c>
      <c r="V491" s="7" t="s">
        <v>24</v>
      </c>
      <c r="W491" s="7" t="s">
        <v>119</v>
      </c>
    </row>
    <row r="492" spans="1:23" x14ac:dyDescent="0.4">
      <c r="A492" t="s">
        <v>262</v>
      </c>
      <c r="B492" t="s">
        <v>1121</v>
      </c>
      <c r="C492" t="s">
        <v>1139</v>
      </c>
      <c r="D492" t="s">
        <v>64</v>
      </c>
      <c r="E492" t="s">
        <v>22</v>
      </c>
      <c r="F492" t="s">
        <v>23</v>
      </c>
      <c r="G492">
        <v>1</v>
      </c>
      <c r="H492">
        <v>9791166300615</v>
      </c>
      <c r="I492" t="s">
        <v>24</v>
      </c>
      <c r="J492" t="s">
        <v>163</v>
      </c>
      <c r="K492" t="s">
        <v>119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  <c r="V492" s="7" t="s">
        <v>24</v>
      </c>
      <c r="W492" s="7" t="s">
        <v>119</v>
      </c>
    </row>
    <row r="493" spans="1:23" x14ac:dyDescent="0.4">
      <c r="A493" t="s">
        <v>262</v>
      </c>
      <c r="B493" t="s">
        <v>1121</v>
      </c>
      <c r="C493" t="s">
        <v>1140</v>
      </c>
      <c r="D493" t="s">
        <v>64</v>
      </c>
      <c r="E493" t="s">
        <v>22</v>
      </c>
      <c r="F493" t="s">
        <v>23</v>
      </c>
      <c r="G493">
        <v>1</v>
      </c>
      <c r="H493">
        <v>9791166300530</v>
      </c>
      <c r="I493" t="s">
        <v>24</v>
      </c>
      <c r="J493" t="s">
        <v>151</v>
      </c>
      <c r="K493" t="s">
        <v>119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  <c r="V493" s="7" t="s">
        <v>24</v>
      </c>
      <c r="W493" s="7" t="s">
        <v>119</v>
      </c>
    </row>
    <row r="494" spans="1:23" x14ac:dyDescent="0.4">
      <c r="A494" t="s">
        <v>262</v>
      </c>
      <c r="B494" t="s">
        <v>1121</v>
      </c>
      <c r="C494" t="s">
        <v>1142</v>
      </c>
      <c r="D494" t="s">
        <v>64</v>
      </c>
      <c r="E494" t="s">
        <v>22</v>
      </c>
      <c r="F494" t="s">
        <v>23</v>
      </c>
      <c r="G494">
        <v>1</v>
      </c>
      <c r="H494">
        <v>9791166300103</v>
      </c>
      <c r="I494" t="s">
        <v>24</v>
      </c>
      <c r="J494" t="s">
        <v>120</v>
      </c>
      <c r="K494" t="s">
        <v>119</v>
      </c>
      <c r="L494" t="s">
        <v>27</v>
      </c>
      <c r="M494">
        <v>630</v>
      </c>
      <c r="N494" t="s">
        <v>27</v>
      </c>
      <c r="O494">
        <v>630</v>
      </c>
      <c r="P494">
        <v>630</v>
      </c>
      <c r="Q494" t="s">
        <v>30</v>
      </c>
      <c r="R494" s="2">
        <v>0.7</v>
      </c>
      <c r="S494">
        <v>441</v>
      </c>
      <c r="T494" t="s">
        <v>27</v>
      </c>
      <c r="U494">
        <v>441</v>
      </c>
      <c r="V494" s="7" t="s">
        <v>24</v>
      </c>
      <c r="W494" s="7" t="s">
        <v>119</v>
      </c>
    </row>
    <row r="495" spans="1:23" x14ac:dyDescent="0.4">
      <c r="A495" t="s">
        <v>262</v>
      </c>
      <c r="B495" t="s">
        <v>1121</v>
      </c>
      <c r="C495" t="s">
        <v>1149</v>
      </c>
      <c r="D495" t="s">
        <v>64</v>
      </c>
      <c r="E495" t="s">
        <v>22</v>
      </c>
      <c r="F495" t="s">
        <v>23</v>
      </c>
      <c r="G495">
        <v>1</v>
      </c>
      <c r="H495">
        <v>9791166300622</v>
      </c>
      <c r="I495" t="s">
        <v>24</v>
      </c>
      <c r="J495" t="s">
        <v>164</v>
      </c>
      <c r="K495" t="s">
        <v>119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2">
        <v>0.7</v>
      </c>
      <c r="S495">
        <v>441</v>
      </c>
      <c r="T495" t="s">
        <v>27</v>
      </c>
      <c r="U495">
        <v>441</v>
      </c>
      <c r="V495" s="7" t="s">
        <v>24</v>
      </c>
      <c r="W495" s="7" t="s">
        <v>119</v>
      </c>
    </row>
    <row r="496" spans="1:23" x14ac:dyDescent="0.4">
      <c r="A496" t="s">
        <v>262</v>
      </c>
      <c r="B496" t="s">
        <v>1121</v>
      </c>
      <c r="C496" t="s">
        <v>1151</v>
      </c>
      <c r="D496" t="s">
        <v>64</v>
      </c>
      <c r="E496" t="s">
        <v>22</v>
      </c>
      <c r="F496" t="s">
        <v>23</v>
      </c>
      <c r="G496">
        <v>1</v>
      </c>
      <c r="H496">
        <v>9791166300202</v>
      </c>
      <c r="I496" t="s">
        <v>24</v>
      </c>
      <c r="J496" t="s">
        <v>129</v>
      </c>
      <c r="K496" t="s">
        <v>119</v>
      </c>
      <c r="L496" t="s">
        <v>27</v>
      </c>
      <c r="M496">
        <v>630</v>
      </c>
      <c r="N496" t="s">
        <v>27</v>
      </c>
      <c r="O496">
        <v>630</v>
      </c>
      <c r="P496">
        <v>630</v>
      </c>
      <c r="Q496" t="s">
        <v>30</v>
      </c>
      <c r="R496" s="2">
        <v>0.7</v>
      </c>
      <c r="S496">
        <v>441</v>
      </c>
      <c r="T496" t="s">
        <v>27</v>
      </c>
      <c r="U496">
        <v>441</v>
      </c>
      <c r="V496" s="7" t="s">
        <v>24</v>
      </c>
      <c r="W496" s="7" t="s">
        <v>119</v>
      </c>
    </row>
    <row r="497" spans="1:23" x14ac:dyDescent="0.4">
      <c r="A497" t="s">
        <v>262</v>
      </c>
      <c r="B497" t="s">
        <v>1121</v>
      </c>
      <c r="C497" t="s">
        <v>1156</v>
      </c>
      <c r="D497" t="s">
        <v>64</v>
      </c>
      <c r="E497" t="s">
        <v>22</v>
      </c>
      <c r="F497" t="s">
        <v>23</v>
      </c>
      <c r="G497">
        <v>1</v>
      </c>
      <c r="H497">
        <v>9791166300486</v>
      </c>
      <c r="I497" t="s">
        <v>24</v>
      </c>
      <c r="J497" t="s">
        <v>146</v>
      </c>
      <c r="K497" t="s">
        <v>119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  <c r="V497" s="7" t="s">
        <v>24</v>
      </c>
      <c r="W497" s="7" t="s">
        <v>119</v>
      </c>
    </row>
    <row r="498" spans="1:23" x14ac:dyDescent="0.4">
      <c r="A498" t="s">
        <v>262</v>
      </c>
      <c r="B498" t="s">
        <v>1121</v>
      </c>
      <c r="C498" t="s">
        <v>1157</v>
      </c>
      <c r="D498" t="s">
        <v>64</v>
      </c>
      <c r="E498" t="s">
        <v>22</v>
      </c>
      <c r="F498" t="s">
        <v>23</v>
      </c>
      <c r="G498">
        <v>1</v>
      </c>
      <c r="H498">
        <v>9791166300103</v>
      </c>
      <c r="I498" t="s">
        <v>24</v>
      </c>
      <c r="J498" t="s">
        <v>120</v>
      </c>
      <c r="K498" t="s">
        <v>119</v>
      </c>
      <c r="L498" t="s">
        <v>27</v>
      </c>
      <c r="M498">
        <v>630</v>
      </c>
      <c r="N498" t="s">
        <v>27</v>
      </c>
      <c r="O498">
        <v>630</v>
      </c>
      <c r="P498">
        <v>630</v>
      </c>
      <c r="Q498" t="s">
        <v>30</v>
      </c>
      <c r="R498" s="2">
        <v>0.7</v>
      </c>
      <c r="S498">
        <v>441</v>
      </c>
      <c r="T498" t="s">
        <v>27</v>
      </c>
      <c r="U498">
        <v>441</v>
      </c>
      <c r="V498" s="7" t="s">
        <v>24</v>
      </c>
      <c r="W498" s="7" t="s">
        <v>119</v>
      </c>
    </row>
    <row r="499" spans="1:23" x14ac:dyDescent="0.4">
      <c r="A499" t="s">
        <v>262</v>
      </c>
      <c r="B499" t="s">
        <v>1121</v>
      </c>
      <c r="C499" t="s">
        <v>1158</v>
      </c>
      <c r="D499" t="s">
        <v>64</v>
      </c>
      <c r="E499" t="s">
        <v>22</v>
      </c>
      <c r="F499" t="s">
        <v>23</v>
      </c>
      <c r="G499">
        <v>1</v>
      </c>
      <c r="H499">
        <v>9791166300110</v>
      </c>
      <c r="I499" t="s">
        <v>24</v>
      </c>
      <c r="J499" t="s">
        <v>121</v>
      </c>
      <c r="K499" t="s">
        <v>119</v>
      </c>
      <c r="L499" t="s">
        <v>27</v>
      </c>
      <c r="M499">
        <v>630</v>
      </c>
      <c r="N499" t="s">
        <v>27</v>
      </c>
      <c r="O499">
        <v>630</v>
      </c>
      <c r="P499">
        <v>630</v>
      </c>
      <c r="Q499" t="s">
        <v>30</v>
      </c>
      <c r="R499" s="2">
        <v>0.7</v>
      </c>
      <c r="S499">
        <v>441</v>
      </c>
      <c r="T499" t="s">
        <v>27</v>
      </c>
      <c r="U499">
        <v>441</v>
      </c>
      <c r="V499" s="7" t="s">
        <v>24</v>
      </c>
      <c r="W499" s="7" t="s">
        <v>119</v>
      </c>
    </row>
    <row r="500" spans="1:23" x14ac:dyDescent="0.4">
      <c r="A500" t="s">
        <v>262</v>
      </c>
      <c r="B500" t="s">
        <v>1121</v>
      </c>
      <c r="C500" t="s">
        <v>1159</v>
      </c>
      <c r="D500" t="s">
        <v>64</v>
      </c>
      <c r="E500" t="s">
        <v>22</v>
      </c>
      <c r="F500" t="s">
        <v>23</v>
      </c>
      <c r="G500">
        <v>1</v>
      </c>
      <c r="H500">
        <v>9791166300639</v>
      </c>
      <c r="I500" t="s">
        <v>24</v>
      </c>
      <c r="J500" t="s">
        <v>165</v>
      </c>
      <c r="K500" t="s">
        <v>119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2">
        <v>0.7</v>
      </c>
      <c r="S500">
        <v>441</v>
      </c>
      <c r="T500" t="s">
        <v>27</v>
      </c>
      <c r="U500">
        <v>441</v>
      </c>
      <c r="V500" s="7" t="s">
        <v>24</v>
      </c>
      <c r="W500" s="7" t="s">
        <v>119</v>
      </c>
    </row>
    <row r="501" spans="1:23" x14ac:dyDescent="0.4">
      <c r="A501" t="s">
        <v>262</v>
      </c>
      <c r="B501" t="s">
        <v>1121</v>
      </c>
      <c r="C501" t="s">
        <v>1160</v>
      </c>
      <c r="D501" t="s">
        <v>64</v>
      </c>
      <c r="E501" t="s">
        <v>22</v>
      </c>
      <c r="F501" t="s">
        <v>23</v>
      </c>
      <c r="G501">
        <v>1</v>
      </c>
      <c r="H501">
        <v>9791166300219</v>
      </c>
      <c r="I501" t="s">
        <v>24</v>
      </c>
      <c r="J501" t="s">
        <v>130</v>
      </c>
      <c r="K501" t="s">
        <v>119</v>
      </c>
      <c r="L501" t="s">
        <v>27</v>
      </c>
      <c r="M501">
        <v>630</v>
      </c>
      <c r="N501" t="s">
        <v>27</v>
      </c>
      <c r="O501">
        <v>630</v>
      </c>
      <c r="P501">
        <v>630</v>
      </c>
      <c r="Q501" t="s">
        <v>30</v>
      </c>
      <c r="R501" s="2">
        <v>0.7</v>
      </c>
      <c r="S501">
        <v>441</v>
      </c>
      <c r="T501" t="s">
        <v>27</v>
      </c>
      <c r="U501">
        <v>441</v>
      </c>
      <c r="V501" s="7" t="s">
        <v>24</v>
      </c>
      <c r="W501" s="7" t="s">
        <v>119</v>
      </c>
    </row>
    <row r="502" spans="1:23" x14ac:dyDescent="0.4">
      <c r="A502" t="s">
        <v>262</v>
      </c>
      <c r="B502" t="s">
        <v>1121</v>
      </c>
      <c r="C502" t="s">
        <v>1163</v>
      </c>
      <c r="D502" t="s">
        <v>64</v>
      </c>
      <c r="E502" t="s">
        <v>22</v>
      </c>
      <c r="F502" t="s">
        <v>23</v>
      </c>
      <c r="G502">
        <v>1</v>
      </c>
      <c r="H502">
        <v>9791166300264</v>
      </c>
      <c r="I502" t="s">
        <v>24</v>
      </c>
      <c r="J502" t="s">
        <v>135</v>
      </c>
      <c r="K502" t="s">
        <v>119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2">
        <v>0.7</v>
      </c>
      <c r="S502">
        <v>441</v>
      </c>
      <c r="T502" t="s">
        <v>27</v>
      </c>
      <c r="U502">
        <v>441</v>
      </c>
      <c r="V502" s="7" t="s">
        <v>24</v>
      </c>
      <c r="W502" s="7" t="s">
        <v>119</v>
      </c>
    </row>
    <row r="503" spans="1:23" x14ac:dyDescent="0.4">
      <c r="A503" t="s">
        <v>262</v>
      </c>
      <c r="B503" t="s">
        <v>1121</v>
      </c>
      <c r="C503" t="s">
        <v>1164</v>
      </c>
      <c r="D503" t="s">
        <v>21</v>
      </c>
      <c r="E503" t="s">
        <v>22</v>
      </c>
      <c r="F503" t="s">
        <v>23</v>
      </c>
      <c r="G503">
        <v>1</v>
      </c>
      <c r="H503">
        <v>9791166300196</v>
      </c>
      <c r="I503" t="s">
        <v>24</v>
      </c>
      <c r="J503" t="s">
        <v>128</v>
      </c>
      <c r="K503" t="s">
        <v>119</v>
      </c>
      <c r="L503" t="s">
        <v>27</v>
      </c>
      <c r="M503" s="3">
        <v>3200</v>
      </c>
      <c r="N503" t="s">
        <v>27</v>
      </c>
      <c r="O503" s="3">
        <v>3200</v>
      </c>
      <c r="P503" s="3">
        <v>3200</v>
      </c>
      <c r="Q503" t="s">
        <v>30</v>
      </c>
      <c r="R503" s="2">
        <v>0.7</v>
      </c>
      <c r="S503" s="3">
        <v>2240</v>
      </c>
      <c r="T503" t="s">
        <v>27</v>
      </c>
      <c r="U503" s="3">
        <v>2240</v>
      </c>
      <c r="V503" s="7" t="s">
        <v>24</v>
      </c>
      <c r="W503" s="7" t="s">
        <v>119</v>
      </c>
    </row>
    <row r="504" spans="1:23" x14ac:dyDescent="0.4">
      <c r="A504" t="s">
        <v>262</v>
      </c>
      <c r="B504" t="s">
        <v>1121</v>
      </c>
      <c r="C504" t="s">
        <v>1165</v>
      </c>
      <c r="D504" t="s">
        <v>64</v>
      </c>
      <c r="E504" t="s">
        <v>22</v>
      </c>
      <c r="F504" t="s">
        <v>23</v>
      </c>
      <c r="G504">
        <v>1</v>
      </c>
      <c r="H504">
        <v>9791166300127</v>
      </c>
      <c r="I504" t="s">
        <v>24</v>
      </c>
      <c r="J504" t="s">
        <v>122</v>
      </c>
      <c r="K504" t="s">
        <v>119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  <c r="V504" s="7" t="s">
        <v>24</v>
      </c>
      <c r="W504" s="7" t="s">
        <v>119</v>
      </c>
    </row>
    <row r="505" spans="1:23" x14ac:dyDescent="0.4">
      <c r="A505" t="s">
        <v>262</v>
      </c>
      <c r="B505" t="s">
        <v>1121</v>
      </c>
      <c r="C505" t="s">
        <v>1166</v>
      </c>
      <c r="D505" t="s">
        <v>64</v>
      </c>
      <c r="E505" t="s">
        <v>22</v>
      </c>
      <c r="F505" t="s">
        <v>23</v>
      </c>
      <c r="G505">
        <v>1</v>
      </c>
      <c r="H505">
        <v>9791166300127</v>
      </c>
      <c r="I505" t="s">
        <v>24</v>
      </c>
      <c r="J505" t="s">
        <v>122</v>
      </c>
      <c r="K505" t="s">
        <v>119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  <c r="V505" s="7" t="s">
        <v>24</v>
      </c>
      <c r="W505" s="7" t="s">
        <v>119</v>
      </c>
    </row>
    <row r="506" spans="1:23" x14ac:dyDescent="0.4">
      <c r="A506" t="s">
        <v>262</v>
      </c>
      <c r="B506" t="s">
        <v>1121</v>
      </c>
      <c r="C506" t="s">
        <v>1167</v>
      </c>
      <c r="D506" t="s">
        <v>64</v>
      </c>
      <c r="E506" t="s">
        <v>22</v>
      </c>
      <c r="F506" t="s">
        <v>23</v>
      </c>
      <c r="G506">
        <v>1</v>
      </c>
      <c r="H506">
        <v>9791166300554</v>
      </c>
      <c r="I506" t="s">
        <v>24</v>
      </c>
      <c r="J506" t="s">
        <v>154</v>
      </c>
      <c r="K506" t="s">
        <v>119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  <c r="V506" s="7" t="s">
        <v>24</v>
      </c>
      <c r="W506" s="7" t="s">
        <v>119</v>
      </c>
    </row>
    <row r="507" spans="1:23" x14ac:dyDescent="0.4">
      <c r="A507" t="s">
        <v>262</v>
      </c>
      <c r="B507" t="s">
        <v>1121</v>
      </c>
      <c r="C507" t="s">
        <v>1171</v>
      </c>
      <c r="D507" t="s">
        <v>64</v>
      </c>
      <c r="E507" t="s">
        <v>22</v>
      </c>
      <c r="F507" t="s">
        <v>23</v>
      </c>
      <c r="G507">
        <v>1</v>
      </c>
      <c r="H507">
        <v>9791166300165</v>
      </c>
      <c r="I507" t="s">
        <v>24</v>
      </c>
      <c r="J507" t="s">
        <v>126</v>
      </c>
      <c r="K507" t="s">
        <v>119</v>
      </c>
      <c r="L507" t="s">
        <v>27</v>
      </c>
      <c r="M507">
        <v>630</v>
      </c>
      <c r="N507" t="s">
        <v>27</v>
      </c>
      <c r="O507">
        <v>630</v>
      </c>
      <c r="P507">
        <v>630</v>
      </c>
      <c r="Q507" t="s">
        <v>30</v>
      </c>
      <c r="R507" s="2">
        <v>0.7</v>
      </c>
      <c r="S507">
        <v>441</v>
      </c>
      <c r="T507" t="s">
        <v>27</v>
      </c>
      <c r="U507">
        <v>441</v>
      </c>
      <c r="V507" s="7" t="s">
        <v>24</v>
      </c>
      <c r="W507" s="7" t="s">
        <v>119</v>
      </c>
    </row>
    <row r="508" spans="1:23" x14ac:dyDescent="0.4">
      <c r="A508" t="s">
        <v>262</v>
      </c>
      <c r="B508" t="s">
        <v>1121</v>
      </c>
      <c r="C508" t="s">
        <v>1175</v>
      </c>
      <c r="D508" t="s">
        <v>64</v>
      </c>
      <c r="E508" t="s">
        <v>22</v>
      </c>
      <c r="F508" t="s">
        <v>23</v>
      </c>
      <c r="G508">
        <v>1</v>
      </c>
      <c r="H508">
        <v>9791166300158</v>
      </c>
      <c r="I508" t="s">
        <v>24</v>
      </c>
      <c r="J508" t="s">
        <v>125</v>
      </c>
      <c r="K508" t="s">
        <v>119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  <c r="V508" s="7" t="s">
        <v>24</v>
      </c>
      <c r="W508" s="7" t="s">
        <v>119</v>
      </c>
    </row>
    <row r="509" spans="1:23" x14ac:dyDescent="0.4">
      <c r="A509" t="s">
        <v>262</v>
      </c>
      <c r="B509" t="s">
        <v>1121</v>
      </c>
      <c r="C509" t="s">
        <v>1178</v>
      </c>
      <c r="D509" t="s">
        <v>64</v>
      </c>
      <c r="E509" t="s">
        <v>22</v>
      </c>
      <c r="F509" t="s">
        <v>23</v>
      </c>
      <c r="G509">
        <v>1</v>
      </c>
      <c r="H509">
        <v>9791166300462</v>
      </c>
      <c r="I509" t="s">
        <v>24</v>
      </c>
      <c r="J509" t="s">
        <v>144</v>
      </c>
      <c r="K509" t="s">
        <v>119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  <c r="V509" s="7" t="s">
        <v>24</v>
      </c>
      <c r="W509" s="7" t="s">
        <v>119</v>
      </c>
    </row>
    <row r="510" spans="1:23" x14ac:dyDescent="0.4">
      <c r="A510" t="s">
        <v>262</v>
      </c>
      <c r="B510" t="s">
        <v>1121</v>
      </c>
      <c r="C510" t="s">
        <v>1181</v>
      </c>
      <c r="D510" t="s">
        <v>64</v>
      </c>
      <c r="E510" t="s">
        <v>22</v>
      </c>
      <c r="F510" t="s">
        <v>23</v>
      </c>
      <c r="G510">
        <v>1</v>
      </c>
      <c r="H510">
        <v>9791166300271</v>
      </c>
      <c r="I510" t="s">
        <v>24</v>
      </c>
      <c r="J510" t="s">
        <v>136</v>
      </c>
      <c r="K510" t="s">
        <v>119</v>
      </c>
      <c r="L510" t="s">
        <v>27</v>
      </c>
      <c r="M510">
        <v>630</v>
      </c>
      <c r="N510" t="s">
        <v>27</v>
      </c>
      <c r="O510">
        <v>630</v>
      </c>
      <c r="P510">
        <v>630</v>
      </c>
      <c r="Q510" t="s">
        <v>30</v>
      </c>
      <c r="R510" s="2">
        <v>0.7</v>
      </c>
      <c r="S510">
        <v>441</v>
      </c>
      <c r="T510" t="s">
        <v>27</v>
      </c>
      <c r="U510">
        <v>441</v>
      </c>
      <c r="V510" s="7" t="s">
        <v>24</v>
      </c>
      <c r="W510" s="7" t="s">
        <v>119</v>
      </c>
    </row>
    <row r="511" spans="1:23" x14ac:dyDescent="0.4">
      <c r="A511" t="s">
        <v>262</v>
      </c>
      <c r="B511" t="s">
        <v>1121</v>
      </c>
      <c r="C511" t="s">
        <v>1184</v>
      </c>
      <c r="D511" t="s">
        <v>64</v>
      </c>
      <c r="E511" t="s">
        <v>22</v>
      </c>
      <c r="F511" t="s">
        <v>23</v>
      </c>
      <c r="G511">
        <v>1</v>
      </c>
      <c r="H511">
        <v>9791166300646</v>
      </c>
      <c r="I511" t="s">
        <v>24</v>
      </c>
      <c r="J511" t="s">
        <v>155</v>
      </c>
      <c r="K511" t="s">
        <v>119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  <c r="V511" s="7" t="s">
        <v>24</v>
      </c>
      <c r="W511" s="7" t="s">
        <v>119</v>
      </c>
    </row>
    <row r="512" spans="1:23" x14ac:dyDescent="0.4">
      <c r="A512" t="s">
        <v>262</v>
      </c>
      <c r="B512" t="s">
        <v>1121</v>
      </c>
      <c r="C512" t="s">
        <v>1185</v>
      </c>
      <c r="D512" t="s">
        <v>64</v>
      </c>
      <c r="E512" t="s">
        <v>22</v>
      </c>
      <c r="F512" t="s">
        <v>23</v>
      </c>
      <c r="G512">
        <v>1</v>
      </c>
      <c r="H512">
        <v>9791166300301</v>
      </c>
      <c r="I512" t="s">
        <v>24</v>
      </c>
      <c r="J512" t="s">
        <v>139</v>
      </c>
      <c r="K512" t="s">
        <v>119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  <c r="V512" s="7" t="s">
        <v>24</v>
      </c>
      <c r="W512" s="7" t="s">
        <v>119</v>
      </c>
    </row>
    <row r="513" spans="1:23" x14ac:dyDescent="0.4">
      <c r="A513" t="s">
        <v>262</v>
      </c>
      <c r="B513" t="s">
        <v>1121</v>
      </c>
      <c r="C513" t="s">
        <v>1186</v>
      </c>
      <c r="D513" t="s">
        <v>64</v>
      </c>
      <c r="E513" t="s">
        <v>22</v>
      </c>
      <c r="F513" t="s">
        <v>23</v>
      </c>
      <c r="G513">
        <v>1</v>
      </c>
      <c r="H513">
        <v>9791166300493</v>
      </c>
      <c r="I513" t="s">
        <v>24</v>
      </c>
      <c r="J513" t="s">
        <v>147</v>
      </c>
      <c r="K513" t="s">
        <v>119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2">
        <v>0.7</v>
      </c>
      <c r="S513">
        <v>441</v>
      </c>
      <c r="T513" t="s">
        <v>27</v>
      </c>
      <c r="U513">
        <v>441</v>
      </c>
      <c r="V513" s="7" t="s">
        <v>24</v>
      </c>
      <c r="W513" s="7" t="s">
        <v>119</v>
      </c>
    </row>
    <row r="514" spans="1:23" x14ac:dyDescent="0.4">
      <c r="A514" t="s">
        <v>262</v>
      </c>
      <c r="B514" t="s">
        <v>1121</v>
      </c>
      <c r="C514" t="s">
        <v>1189</v>
      </c>
      <c r="D514" t="s">
        <v>64</v>
      </c>
      <c r="E514" t="s">
        <v>22</v>
      </c>
      <c r="F514" t="s">
        <v>23</v>
      </c>
      <c r="G514">
        <v>1</v>
      </c>
      <c r="H514">
        <v>9791166300110</v>
      </c>
      <c r="I514" t="s">
        <v>24</v>
      </c>
      <c r="J514" t="s">
        <v>121</v>
      </c>
      <c r="K514" t="s">
        <v>119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  <c r="V514" s="7" t="s">
        <v>24</v>
      </c>
      <c r="W514" s="7" t="s">
        <v>119</v>
      </c>
    </row>
    <row r="515" spans="1:23" x14ac:dyDescent="0.4">
      <c r="A515" t="s">
        <v>262</v>
      </c>
      <c r="B515" t="s">
        <v>1121</v>
      </c>
      <c r="C515" t="s">
        <v>1191</v>
      </c>
      <c r="D515" t="s">
        <v>64</v>
      </c>
      <c r="E515" t="s">
        <v>22</v>
      </c>
      <c r="F515" t="s">
        <v>23</v>
      </c>
      <c r="G515">
        <v>1</v>
      </c>
      <c r="H515">
        <v>9791166300547</v>
      </c>
      <c r="I515" t="s">
        <v>24</v>
      </c>
      <c r="J515" t="s">
        <v>153</v>
      </c>
      <c r="K515" t="s">
        <v>119</v>
      </c>
      <c r="L515" t="s">
        <v>27</v>
      </c>
      <c r="M515">
        <v>630</v>
      </c>
      <c r="N515" t="s">
        <v>27</v>
      </c>
      <c r="O515">
        <v>630</v>
      </c>
      <c r="P515">
        <v>630</v>
      </c>
      <c r="Q515" t="s">
        <v>30</v>
      </c>
      <c r="R515" s="2">
        <v>0.7</v>
      </c>
      <c r="S515">
        <v>441</v>
      </c>
      <c r="T515" t="s">
        <v>27</v>
      </c>
      <c r="U515">
        <v>441</v>
      </c>
      <c r="V515" s="7" t="s">
        <v>24</v>
      </c>
      <c r="W515" s="7" t="s">
        <v>119</v>
      </c>
    </row>
    <row r="516" spans="1:23" x14ac:dyDescent="0.4">
      <c r="A516" t="s">
        <v>262</v>
      </c>
      <c r="B516" t="s">
        <v>1121</v>
      </c>
      <c r="C516" t="s">
        <v>1192</v>
      </c>
      <c r="D516" t="s">
        <v>64</v>
      </c>
      <c r="E516" t="s">
        <v>22</v>
      </c>
      <c r="F516" t="s">
        <v>23</v>
      </c>
      <c r="G516">
        <v>1</v>
      </c>
      <c r="H516">
        <v>9791166300509</v>
      </c>
      <c r="I516" t="s">
        <v>24</v>
      </c>
      <c r="J516" t="s">
        <v>148</v>
      </c>
      <c r="K516" t="s">
        <v>119</v>
      </c>
      <c r="L516" t="s">
        <v>27</v>
      </c>
      <c r="M516">
        <v>630</v>
      </c>
      <c r="N516" t="s">
        <v>27</v>
      </c>
      <c r="O516">
        <v>630</v>
      </c>
      <c r="P516">
        <v>630</v>
      </c>
      <c r="Q516" t="s">
        <v>30</v>
      </c>
      <c r="R516" s="2">
        <v>0.7</v>
      </c>
      <c r="S516">
        <v>441</v>
      </c>
      <c r="T516" t="s">
        <v>27</v>
      </c>
      <c r="U516">
        <v>441</v>
      </c>
      <c r="V516" s="7" t="s">
        <v>24</v>
      </c>
      <c r="W516" s="7" t="s">
        <v>119</v>
      </c>
    </row>
    <row r="517" spans="1:23" x14ac:dyDescent="0.4">
      <c r="A517" t="s">
        <v>262</v>
      </c>
      <c r="B517" t="s">
        <v>1121</v>
      </c>
      <c r="C517" t="s">
        <v>1193</v>
      </c>
      <c r="D517" t="s">
        <v>64</v>
      </c>
      <c r="E517" t="s">
        <v>22</v>
      </c>
      <c r="F517" t="s">
        <v>23</v>
      </c>
      <c r="G517">
        <v>1</v>
      </c>
      <c r="H517">
        <v>9791166300127</v>
      </c>
      <c r="I517" t="s">
        <v>24</v>
      </c>
      <c r="J517" t="s">
        <v>122</v>
      </c>
      <c r="K517" t="s">
        <v>119</v>
      </c>
      <c r="L517" t="s">
        <v>27</v>
      </c>
      <c r="M517">
        <v>630</v>
      </c>
      <c r="N517" t="s">
        <v>27</v>
      </c>
      <c r="O517">
        <v>630</v>
      </c>
      <c r="P517">
        <v>630</v>
      </c>
      <c r="Q517" t="s">
        <v>30</v>
      </c>
      <c r="R517" s="2">
        <v>0.7</v>
      </c>
      <c r="S517">
        <v>441</v>
      </c>
      <c r="T517" t="s">
        <v>27</v>
      </c>
      <c r="U517">
        <v>441</v>
      </c>
      <c r="V517" s="7" t="s">
        <v>24</v>
      </c>
      <c r="W517" s="7" t="s">
        <v>119</v>
      </c>
    </row>
    <row r="518" spans="1:23" x14ac:dyDescent="0.4">
      <c r="A518" t="s">
        <v>262</v>
      </c>
      <c r="B518" t="s">
        <v>1121</v>
      </c>
      <c r="C518" t="s">
        <v>1197</v>
      </c>
      <c r="D518" t="s">
        <v>64</v>
      </c>
      <c r="E518" t="s">
        <v>22</v>
      </c>
      <c r="F518" t="s">
        <v>23</v>
      </c>
      <c r="G518">
        <v>1</v>
      </c>
      <c r="H518">
        <v>9791166300554</v>
      </c>
      <c r="I518" t="s">
        <v>24</v>
      </c>
      <c r="J518" t="s">
        <v>154</v>
      </c>
      <c r="K518" t="s">
        <v>119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2">
        <v>0.7</v>
      </c>
      <c r="S518">
        <v>441</v>
      </c>
      <c r="T518" t="s">
        <v>27</v>
      </c>
      <c r="U518">
        <v>441</v>
      </c>
      <c r="V518" s="7" t="s">
        <v>24</v>
      </c>
      <c r="W518" s="7" t="s">
        <v>119</v>
      </c>
    </row>
    <row r="519" spans="1:23" x14ac:dyDescent="0.4">
      <c r="A519" t="s">
        <v>262</v>
      </c>
      <c r="B519" t="s">
        <v>1198</v>
      </c>
      <c r="C519" t="s">
        <v>1199</v>
      </c>
      <c r="D519" t="s">
        <v>64</v>
      </c>
      <c r="E519" t="s">
        <v>22</v>
      </c>
      <c r="F519" t="s">
        <v>23</v>
      </c>
      <c r="G519">
        <v>1</v>
      </c>
      <c r="H519">
        <v>9791166300134</v>
      </c>
      <c r="I519" t="s">
        <v>24</v>
      </c>
      <c r="J519" t="s">
        <v>123</v>
      </c>
      <c r="K519" t="s">
        <v>119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  <c r="V519" s="7" t="s">
        <v>24</v>
      </c>
      <c r="W519" s="7" t="s">
        <v>119</v>
      </c>
    </row>
    <row r="520" spans="1:23" x14ac:dyDescent="0.4">
      <c r="A520" t="s">
        <v>262</v>
      </c>
      <c r="B520" t="s">
        <v>1198</v>
      </c>
      <c r="C520" t="s">
        <v>1201</v>
      </c>
      <c r="D520" t="s">
        <v>64</v>
      </c>
      <c r="E520" t="s">
        <v>22</v>
      </c>
      <c r="F520" t="s">
        <v>23</v>
      </c>
      <c r="G520">
        <v>1</v>
      </c>
      <c r="H520">
        <v>9791166300134</v>
      </c>
      <c r="I520" t="s">
        <v>24</v>
      </c>
      <c r="J520" t="s">
        <v>123</v>
      </c>
      <c r="K520" t="s">
        <v>119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  <c r="V520" s="7" t="s">
        <v>24</v>
      </c>
      <c r="W520" s="7" t="s">
        <v>119</v>
      </c>
    </row>
    <row r="521" spans="1:23" x14ac:dyDescent="0.4">
      <c r="A521" t="s">
        <v>262</v>
      </c>
      <c r="B521" t="s">
        <v>1198</v>
      </c>
      <c r="C521" t="s">
        <v>1203</v>
      </c>
      <c r="D521" t="s">
        <v>64</v>
      </c>
      <c r="E521" t="s">
        <v>22</v>
      </c>
      <c r="F521" t="s">
        <v>23</v>
      </c>
      <c r="G521">
        <v>1</v>
      </c>
      <c r="H521">
        <v>9791166300516</v>
      </c>
      <c r="I521" t="s">
        <v>24</v>
      </c>
      <c r="J521" t="s">
        <v>149</v>
      </c>
      <c r="K521" t="s">
        <v>119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  <c r="V521" s="7" t="s">
        <v>24</v>
      </c>
      <c r="W521" s="7" t="s">
        <v>119</v>
      </c>
    </row>
    <row r="522" spans="1:23" x14ac:dyDescent="0.4">
      <c r="A522" t="s">
        <v>262</v>
      </c>
      <c r="B522" t="s">
        <v>1198</v>
      </c>
      <c r="C522" t="s">
        <v>1206</v>
      </c>
      <c r="D522" t="s">
        <v>64</v>
      </c>
      <c r="E522" t="s">
        <v>22</v>
      </c>
      <c r="F522" t="s">
        <v>23</v>
      </c>
      <c r="G522">
        <v>1</v>
      </c>
      <c r="H522">
        <v>9791166300158</v>
      </c>
      <c r="I522" t="s">
        <v>24</v>
      </c>
      <c r="J522" t="s">
        <v>125</v>
      </c>
      <c r="K522" t="s">
        <v>119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  <c r="V522" s="7" t="s">
        <v>24</v>
      </c>
      <c r="W522" s="7" t="s">
        <v>119</v>
      </c>
    </row>
    <row r="523" spans="1:23" x14ac:dyDescent="0.4">
      <c r="A523" t="s">
        <v>262</v>
      </c>
      <c r="B523" t="s">
        <v>1198</v>
      </c>
      <c r="C523" t="s">
        <v>1209</v>
      </c>
      <c r="D523" t="s">
        <v>64</v>
      </c>
      <c r="E523" t="s">
        <v>22</v>
      </c>
      <c r="F523" t="s">
        <v>23</v>
      </c>
      <c r="G523">
        <v>1</v>
      </c>
      <c r="H523">
        <v>9791166300127</v>
      </c>
      <c r="I523" t="s">
        <v>24</v>
      </c>
      <c r="J523" t="s">
        <v>122</v>
      </c>
      <c r="K523" t="s">
        <v>119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2">
        <v>0.7</v>
      </c>
      <c r="S523">
        <v>441</v>
      </c>
      <c r="T523" t="s">
        <v>27</v>
      </c>
      <c r="U523">
        <v>441</v>
      </c>
      <c r="V523" s="7" t="s">
        <v>24</v>
      </c>
      <c r="W523" s="7" t="s">
        <v>119</v>
      </c>
    </row>
    <row r="524" spans="1:23" x14ac:dyDescent="0.4">
      <c r="A524" t="s">
        <v>262</v>
      </c>
      <c r="B524" t="s">
        <v>1198</v>
      </c>
      <c r="C524" t="s">
        <v>1211</v>
      </c>
      <c r="D524" t="s">
        <v>64</v>
      </c>
      <c r="E524" t="s">
        <v>22</v>
      </c>
      <c r="F524" t="s">
        <v>23</v>
      </c>
      <c r="G524">
        <v>1</v>
      </c>
      <c r="H524">
        <v>9791166300547</v>
      </c>
      <c r="I524" t="s">
        <v>24</v>
      </c>
      <c r="J524" t="s">
        <v>153</v>
      </c>
      <c r="K524" t="s">
        <v>119</v>
      </c>
      <c r="L524" t="s">
        <v>27</v>
      </c>
      <c r="M524">
        <v>630</v>
      </c>
      <c r="N524" t="s">
        <v>27</v>
      </c>
      <c r="O524">
        <v>630</v>
      </c>
      <c r="P524">
        <v>630</v>
      </c>
      <c r="Q524" t="s">
        <v>30</v>
      </c>
      <c r="R524" s="2">
        <v>0.7</v>
      </c>
      <c r="S524">
        <v>441</v>
      </c>
      <c r="T524" t="s">
        <v>27</v>
      </c>
      <c r="U524">
        <v>441</v>
      </c>
      <c r="V524" s="7" t="s">
        <v>24</v>
      </c>
      <c r="W524" s="7" t="s">
        <v>119</v>
      </c>
    </row>
    <row r="525" spans="1:23" x14ac:dyDescent="0.4">
      <c r="A525" t="s">
        <v>262</v>
      </c>
      <c r="B525" t="s">
        <v>1198</v>
      </c>
      <c r="C525" t="s">
        <v>1214</v>
      </c>
      <c r="D525" t="s">
        <v>64</v>
      </c>
      <c r="E525" t="s">
        <v>22</v>
      </c>
      <c r="F525" t="s">
        <v>23</v>
      </c>
      <c r="G525">
        <v>1</v>
      </c>
      <c r="H525">
        <v>9791166300226</v>
      </c>
      <c r="I525" t="s">
        <v>24</v>
      </c>
      <c r="J525" t="s">
        <v>131</v>
      </c>
      <c r="K525" t="s">
        <v>119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  <c r="V525" s="7" t="s">
        <v>24</v>
      </c>
      <c r="W525" s="7" t="s">
        <v>119</v>
      </c>
    </row>
    <row r="526" spans="1:23" x14ac:dyDescent="0.4">
      <c r="A526" t="s">
        <v>262</v>
      </c>
      <c r="B526" t="s">
        <v>1198</v>
      </c>
      <c r="C526" t="s">
        <v>1215</v>
      </c>
      <c r="D526" t="s">
        <v>64</v>
      </c>
      <c r="E526" t="s">
        <v>22</v>
      </c>
      <c r="F526" t="s">
        <v>23</v>
      </c>
      <c r="G526">
        <v>1</v>
      </c>
      <c r="H526">
        <v>9791166300165</v>
      </c>
      <c r="I526" t="s">
        <v>24</v>
      </c>
      <c r="J526" t="s">
        <v>126</v>
      </c>
      <c r="K526" t="s">
        <v>119</v>
      </c>
      <c r="L526" t="s">
        <v>27</v>
      </c>
      <c r="M526">
        <v>630</v>
      </c>
      <c r="N526" t="s">
        <v>27</v>
      </c>
      <c r="O526">
        <v>630</v>
      </c>
      <c r="P526">
        <v>630</v>
      </c>
      <c r="Q526" t="s">
        <v>30</v>
      </c>
      <c r="R526" s="2">
        <v>0.7</v>
      </c>
      <c r="S526">
        <v>441</v>
      </c>
      <c r="T526" t="s">
        <v>27</v>
      </c>
      <c r="U526">
        <v>441</v>
      </c>
      <c r="V526" s="7" t="s">
        <v>24</v>
      </c>
      <c r="W526" s="7" t="s">
        <v>119</v>
      </c>
    </row>
    <row r="527" spans="1:23" x14ac:dyDescent="0.4">
      <c r="A527" t="s">
        <v>262</v>
      </c>
      <c r="B527" t="s">
        <v>1198</v>
      </c>
      <c r="C527" t="s">
        <v>1222</v>
      </c>
      <c r="D527" t="s">
        <v>64</v>
      </c>
      <c r="E527" t="s">
        <v>22</v>
      </c>
      <c r="F527" t="s">
        <v>23</v>
      </c>
      <c r="G527">
        <v>1</v>
      </c>
      <c r="H527">
        <v>9791166300523</v>
      </c>
      <c r="I527" t="s">
        <v>24</v>
      </c>
      <c r="J527" t="s">
        <v>150</v>
      </c>
      <c r="K527" t="s">
        <v>119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  <c r="V527" s="7" t="s">
        <v>24</v>
      </c>
      <c r="W527" s="7" t="s">
        <v>119</v>
      </c>
    </row>
    <row r="528" spans="1:23" x14ac:dyDescent="0.4">
      <c r="A528" t="s">
        <v>262</v>
      </c>
      <c r="B528" t="s">
        <v>1198</v>
      </c>
      <c r="C528" t="s">
        <v>1223</v>
      </c>
      <c r="D528" t="s">
        <v>64</v>
      </c>
      <c r="E528" t="s">
        <v>22</v>
      </c>
      <c r="F528" t="s">
        <v>23</v>
      </c>
      <c r="G528">
        <v>1</v>
      </c>
      <c r="H528">
        <v>9791166300561</v>
      </c>
      <c r="I528" t="s">
        <v>24</v>
      </c>
      <c r="J528" t="s">
        <v>158</v>
      </c>
      <c r="K528" t="s">
        <v>119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  <c r="V528" s="7" t="s">
        <v>24</v>
      </c>
      <c r="W528" s="7" t="s">
        <v>119</v>
      </c>
    </row>
    <row r="529" spans="1:23" x14ac:dyDescent="0.4">
      <c r="A529" t="s">
        <v>262</v>
      </c>
      <c r="B529" t="s">
        <v>1198</v>
      </c>
      <c r="C529" t="s">
        <v>1225</v>
      </c>
      <c r="D529" t="s">
        <v>64</v>
      </c>
      <c r="E529" t="s">
        <v>22</v>
      </c>
      <c r="F529" t="s">
        <v>23</v>
      </c>
      <c r="G529">
        <v>1</v>
      </c>
      <c r="H529">
        <v>9791166300462</v>
      </c>
      <c r="I529" t="s">
        <v>24</v>
      </c>
      <c r="J529" t="s">
        <v>144</v>
      </c>
      <c r="K529" t="s">
        <v>119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  <c r="V529" s="7" t="s">
        <v>24</v>
      </c>
      <c r="W529" s="7" t="s">
        <v>119</v>
      </c>
    </row>
    <row r="530" spans="1:23" x14ac:dyDescent="0.4">
      <c r="A530" t="s">
        <v>262</v>
      </c>
      <c r="B530" t="s">
        <v>1198</v>
      </c>
      <c r="C530" t="s">
        <v>1227</v>
      </c>
      <c r="D530" t="s">
        <v>64</v>
      </c>
      <c r="E530" t="s">
        <v>22</v>
      </c>
      <c r="F530" t="s">
        <v>23</v>
      </c>
      <c r="G530">
        <v>1</v>
      </c>
      <c r="H530">
        <v>9791166300141</v>
      </c>
      <c r="I530" t="s">
        <v>24</v>
      </c>
      <c r="J530" t="s">
        <v>124</v>
      </c>
      <c r="K530" t="s">
        <v>119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  <c r="V530" s="7" t="s">
        <v>24</v>
      </c>
      <c r="W530" s="7" t="s">
        <v>119</v>
      </c>
    </row>
    <row r="531" spans="1:23" x14ac:dyDescent="0.4">
      <c r="A531" t="s">
        <v>262</v>
      </c>
      <c r="B531" t="s">
        <v>1198</v>
      </c>
      <c r="C531" t="s">
        <v>1230</v>
      </c>
      <c r="D531" t="s">
        <v>64</v>
      </c>
      <c r="E531" t="s">
        <v>22</v>
      </c>
      <c r="F531" t="s">
        <v>23</v>
      </c>
      <c r="G531">
        <v>1</v>
      </c>
      <c r="H531">
        <v>9791166300288</v>
      </c>
      <c r="I531" t="s">
        <v>24</v>
      </c>
      <c r="J531" t="s">
        <v>137</v>
      </c>
      <c r="K531" t="s">
        <v>119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  <c r="V531" s="7" t="s">
        <v>24</v>
      </c>
      <c r="W531" s="7" t="s">
        <v>119</v>
      </c>
    </row>
    <row r="532" spans="1:23" x14ac:dyDescent="0.4">
      <c r="A532" t="s">
        <v>262</v>
      </c>
      <c r="B532" t="s">
        <v>1198</v>
      </c>
      <c r="C532" t="s">
        <v>1231</v>
      </c>
      <c r="D532" t="s">
        <v>64</v>
      </c>
      <c r="E532" t="s">
        <v>22</v>
      </c>
      <c r="F532" t="s">
        <v>23</v>
      </c>
      <c r="G532">
        <v>1</v>
      </c>
      <c r="H532">
        <v>9791166300578</v>
      </c>
      <c r="I532" t="s">
        <v>24</v>
      </c>
      <c r="J532" t="s">
        <v>159</v>
      </c>
      <c r="K532" t="s">
        <v>119</v>
      </c>
      <c r="L532" t="s">
        <v>27</v>
      </c>
      <c r="M532">
        <v>630</v>
      </c>
      <c r="N532" t="s">
        <v>27</v>
      </c>
      <c r="O532">
        <v>630</v>
      </c>
      <c r="P532">
        <v>630</v>
      </c>
      <c r="Q532" t="s">
        <v>30</v>
      </c>
      <c r="R532" s="2">
        <v>0.7</v>
      </c>
      <c r="S532">
        <v>441</v>
      </c>
      <c r="T532" t="s">
        <v>27</v>
      </c>
      <c r="U532">
        <v>441</v>
      </c>
      <c r="V532" s="7" t="s">
        <v>24</v>
      </c>
      <c r="W532" s="7" t="s">
        <v>119</v>
      </c>
    </row>
    <row r="533" spans="1:23" x14ac:dyDescent="0.4">
      <c r="A533" t="s">
        <v>262</v>
      </c>
      <c r="B533" t="s">
        <v>1198</v>
      </c>
      <c r="C533" t="s">
        <v>1233</v>
      </c>
      <c r="D533" t="s">
        <v>64</v>
      </c>
      <c r="E533" t="s">
        <v>22</v>
      </c>
      <c r="F533" t="s">
        <v>23</v>
      </c>
      <c r="G533">
        <v>1</v>
      </c>
      <c r="H533">
        <v>9791166300561</v>
      </c>
      <c r="I533" t="s">
        <v>24</v>
      </c>
      <c r="J533" t="s">
        <v>158</v>
      </c>
      <c r="K533" t="s">
        <v>119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  <c r="V533" s="7" t="s">
        <v>24</v>
      </c>
      <c r="W533" s="7" t="s">
        <v>119</v>
      </c>
    </row>
    <row r="534" spans="1:23" x14ac:dyDescent="0.4">
      <c r="A534" t="s">
        <v>262</v>
      </c>
      <c r="B534" t="s">
        <v>1198</v>
      </c>
      <c r="C534" t="s">
        <v>1236</v>
      </c>
      <c r="D534" t="s">
        <v>64</v>
      </c>
      <c r="E534" t="s">
        <v>22</v>
      </c>
      <c r="F534" t="s">
        <v>23</v>
      </c>
      <c r="G534">
        <v>1</v>
      </c>
      <c r="H534">
        <v>9791166300479</v>
      </c>
      <c r="I534" t="s">
        <v>24</v>
      </c>
      <c r="J534" t="s">
        <v>145</v>
      </c>
      <c r="K534" t="s">
        <v>119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  <c r="V534" s="7" t="s">
        <v>24</v>
      </c>
      <c r="W534" s="7" t="s">
        <v>119</v>
      </c>
    </row>
    <row r="535" spans="1:23" x14ac:dyDescent="0.4">
      <c r="A535" t="s">
        <v>262</v>
      </c>
      <c r="B535" t="s">
        <v>1198</v>
      </c>
      <c r="C535" t="s">
        <v>1237</v>
      </c>
      <c r="D535" t="s">
        <v>64</v>
      </c>
      <c r="E535" t="s">
        <v>22</v>
      </c>
      <c r="F535" t="s">
        <v>23</v>
      </c>
      <c r="G535">
        <v>1</v>
      </c>
      <c r="H535">
        <v>9791166300172</v>
      </c>
      <c r="I535" t="s">
        <v>24</v>
      </c>
      <c r="J535" t="s">
        <v>127</v>
      </c>
      <c r="K535" t="s">
        <v>119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2">
        <v>0.7</v>
      </c>
      <c r="S535">
        <v>441</v>
      </c>
      <c r="T535" t="s">
        <v>27</v>
      </c>
      <c r="U535">
        <v>441</v>
      </c>
      <c r="V535" s="7" t="s">
        <v>24</v>
      </c>
      <c r="W535" s="7" t="s">
        <v>119</v>
      </c>
    </row>
    <row r="536" spans="1:23" x14ac:dyDescent="0.4">
      <c r="A536" t="s">
        <v>262</v>
      </c>
      <c r="B536" t="s">
        <v>1198</v>
      </c>
      <c r="C536" t="s">
        <v>1238</v>
      </c>
      <c r="D536" t="s">
        <v>64</v>
      </c>
      <c r="E536" t="s">
        <v>22</v>
      </c>
      <c r="F536" t="s">
        <v>23</v>
      </c>
      <c r="G536">
        <v>1</v>
      </c>
      <c r="H536">
        <v>9791166300196</v>
      </c>
      <c r="I536" t="s">
        <v>24</v>
      </c>
      <c r="J536" t="s">
        <v>128</v>
      </c>
      <c r="K536" t="s">
        <v>119</v>
      </c>
      <c r="L536" t="s">
        <v>27</v>
      </c>
      <c r="M536">
        <v>630</v>
      </c>
      <c r="N536" t="s">
        <v>27</v>
      </c>
      <c r="O536">
        <v>630</v>
      </c>
      <c r="P536">
        <v>630</v>
      </c>
      <c r="Q536" t="s">
        <v>30</v>
      </c>
      <c r="R536" s="2">
        <v>0.7</v>
      </c>
      <c r="S536">
        <v>441</v>
      </c>
      <c r="T536" t="s">
        <v>27</v>
      </c>
      <c r="U536">
        <v>441</v>
      </c>
      <c r="V536" s="7" t="s">
        <v>24</v>
      </c>
      <c r="W536" s="7" t="s">
        <v>119</v>
      </c>
    </row>
    <row r="537" spans="1:23" x14ac:dyDescent="0.4">
      <c r="A537" t="s">
        <v>262</v>
      </c>
      <c r="B537" t="s">
        <v>1198</v>
      </c>
      <c r="C537" t="s">
        <v>1247</v>
      </c>
      <c r="D537" t="s">
        <v>64</v>
      </c>
      <c r="E537" t="s">
        <v>22</v>
      </c>
      <c r="F537" t="s">
        <v>23</v>
      </c>
      <c r="G537">
        <v>1</v>
      </c>
      <c r="H537">
        <v>9791166300295</v>
      </c>
      <c r="I537" t="s">
        <v>24</v>
      </c>
      <c r="J537" t="s">
        <v>138</v>
      </c>
      <c r="K537" t="s">
        <v>119</v>
      </c>
      <c r="L537" t="s">
        <v>27</v>
      </c>
      <c r="M537">
        <v>630</v>
      </c>
      <c r="N537" t="s">
        <v>27</v>
      </c>
      <c r="O537">
        <v>630</v>
      </c>
      <c r="P537">
        <v>630</v>
      </c>
      <c r="Q537" t="s">
        <v>30</v>
      </c>
      <c r="R537" s="2">
        <v>0.7</v>
      </c>
      <c r="S537">
        <v>441</v>
      </c>
      <c r="T537" t="s">
        <v>27</v>
      </c>
      <c r="U537">
        <v>441</v>
      </c>
      <c r="V537" s="7" t="s">
        <v>24</v>
      </c>
      <c r="W537" s="7" t="s">
        <v>119</v>
      </c>
    </row>
    <row r="538" spans="1:23" x14ac:dyDescent="0.4">
      <c r="A538" t="s">
        <v>262</v>
      </c>
      <c r="B538" t="s">
        <v>1198</v>
      </c>
      <c r="C538" t="s">
        <v>1249</v>
      </c>
      <c r="D538" t="s">
        <v>64</v>
      </c>
      <c r="E538" t="s">
        <v>22</v>
      </c>
      <c r="F538" t="s">
        <v>23</v>
      </c>
      <c r="G538">
        <v>1</v>
      </c>
      <c r="H538">
        <v>9791166300141</v>
      </c>
      <c r="I538" t="s">
        <v>24</v>
      </c>
      <c r="J538" t="s">
        <v>124</v>
      </c>
      <c r="K538" t="s">
        <v>119</v>
      </c>
      <c r="L538" t="s">
        <v>27</v>
      </c>
      <c r="M538">
        <v>630</v>
      </c>
      <c r="N538" t="s">
        <v>27</v>
      </c>
      <c r="O538">
        <v>630</v>
      </c>
      <c r="P538">
        <v>630</v>
      </c>
      <c r="Q538" t="s">
        <v>30</v>
      </c>
      <c r="R538" s="2">
        <v>0.7</v>
      </c>
      <c r="S538">
        <v>441</v>
      </c>
      <c r="T538" t="s">
        <v>27</v>
      </c>
      <c r="U538">
        <v>441</v>
      </c>
      <c r="V538" s="7" t="s">
        <v>24</v>
      </c>
      <c r="W538" s="7" t="s">
        <v>119</v>
      </c>
    </row>
    <row r="539" spans="1:23" x14ac:dyDescent="0.4">
      <c r="A539" t="s">
        <v>262</v>
      </c>
      <c r="B539" t="s">
        <v>1198</v>
      </c>
      <c r="C539" t="s">
        <v>1251</v>
      </c>
      <c r="D539" t="s">
        <v>64</v>
      </c>
      <c r="E539" t="s">
        <v>22</v>
      </c>
      <c r="F539" t="s">
        <v>23</v>
      </c>
      <c r="G539">
        <v>1</v>
      </c>
      <c r="H539">
        <v>9791166300530</v>
      </c>
      <c r="I539" t="s">
        <v>24</v>
      </c>
      <c r="J539" t="s">
        <v>151</v>
      </c>
      <c r="K539" t="s">
        <v>119</v>
      </c>
      <c r="L539" t="s">
        <v>27</v>
      </c>
      <c r="M539">
        <v>630</v>
      </c>
      <c r="N539" t="s">
        <v>27</v>
      </c>
      <c r="O539">
        <v>630</v>
      </c>
      <c r="P539">
        <v>630</v>
      </c>
      <c r="Q539" t="s">
        <v>30</v>
      </c>
      <c r="R539" s="2">
        <v>0.7</v>
      </c>
      <c r="S539">
        <v>441</v>
      </c>
      <c r="T539" t="s">
        <v>27</v>
      </c>
      <c r="U539">
        <v>441</v>
      </c>
      <c r="V539" s="7" t="s">
        <v>24</v>
      </c>
      <c r="W539" s="7" t="s">
        <v>119</v>
      </c>
    </row>
    <row r="540" spans="1:23" x14ac:dyDescent="0.4">
      <c r="A540" t="s">
        <v>262</v>
      </c>
      <c r="B540" t="s">
        <v>1198</v>
      </c>
      <c r="C540" t="s">
        <v>1254</v>
      </c>
      <c r="D540" t="s">
        <v>64</v>
      </c>
      <c r="E540" t="s">
        <v>22</v>
      </c>
      <c r="F540" t="s">
        <v>23</v>
      </c>
      <c r="G540">
        <v>1</v>
      </c>
      <c r="H540">
        <v>9791166300103</v>
      </c>
      <c r="I540" t="s">
        <v>24</v>
      </c>
      <c r="J540" t="s">
        <v>120</v>
      </c>
      <c r="K540" t="s">
        <v>119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2">
        <v>0.7</v>
      </c>
      <c r="S540">
        <v>441</v>
      </c>
      <c r="T540" t="s">
        <v>27</v>
      </c>
      <c r="U540">
        <v>441</v>
      </c>
      <c r="V540" s="7" t="s">
        <v>24</v>
      </c>
      <c r="W540" s="7" t="s">
        <v>119</v>
      </c>
    </row>
    <row r="541" spans="1:23" x14ac:dyDescent="0.4">
      <c r="A541" t="s">
        <v>262</v>
      </c>
      <c r="B541" t="s">
        <v>1198</v>
      </c>
      <c r="C541" t="s">
        <v>1258</v>
      </c>
      <c r="D541" t="s">
        <v>21</v>
      </c>
      <c r="E541" t="s">
        <v>22</v>
      </c>
      <c r="F541" t="s">
        <v>23</v>
      </c>
      <c r="G541">
        <v>1</v>
      </c>
      <c r="H541">
        <v>9791166300202</v>
      </c>
      <c r="I541" t="s">
        <v>24</v>
      </c>
      <c r="J541" t="s">
        <v>129</v>
      </c>
      <c r="K541" t="s">
        <v>119</v>
      </c>
      <c r="L541" t="s">
        <v>27</v>
      </c>
      <c r="M541" s="3">
        <v>3200</v>
      </c>
      <c r="N541" t="s">
        <v>27</v>
      </c>
      <c r="O541" s="3">
        <v>3200</v>
      </c>
      <c r="P541" s="3">
        <v>3200</v>
      </c>
      <c r="Q541" t="s">
        <v>30</v>
      </c>
      <c r="R541" s="2">
        <v>0.7</v>
      </c>
      <c r="S541" s="3">
        <v>2240</v>
      </c>
      <c r="T541" t="s">
        <v>27</v>
      </c>
      <c r="U541" s="3">
        <v>2240</v>
      </c>
      <c r="V541" s="7" t="s">
        <v>24</v>
      </c>
      <c r="W541" s="7" t="s">
        <v>119</v>
      </c>
    </row>
    <row r="542" spans="1:23" x14ac:dyDescent="0.4">
      <c r="A542" t="s">
        <v>262</v>
      </c>
      <c r="B542" t="s">
        <v>1198</v>
      </c>
      <c r="C542" t="s">
        <v>1262</v>
      </c>
      <c r="D542" t="s">
        <v>64</v>
      </c>
      <c r="E542" t="s">
        <v>22</v>
      </c>
      <c r="F542" t="s">
        <v>23</v>
      </c>
      <c r="G542">
        <v>1</v>
      </c>
      <c r="H542">
        <v>9791166300578</v>
      </c>
      <c r="I542" t="s">
        <v>24</v>
      </c>
      <c r="J542" t="s">
        <v>159</v>
      </c>
      <c r="K542" t="s">
        <v>119</v>
      </c>
      <c r="L542" t="s">
        <v>27</v>
      </c>
      <c r="M542">
        <v>630</v>
      </c>
      <c r="N542" t="s">
        <v>27</v>
      </c>
      <c r="O542">
        <v>630</v>
      </c>
      <c r="P542">
        <v>630</v>
      </c>
      <c r="Q542" t="s">
        <v>30</v>
      </c>
      <c r="R542" s="2">
        <v>0.7</v>
      </c>
      <c r="S542">
        <v>441</v>
      </c>
      <c r="T542" t="s">
        <v>27</v>
      </c>
      <c r="U542">
        <v>441</v>
      </c>
      <c r="V542" s="7" t="s">
        <v>24</v>
      </c>
      <c r="W542" s="7" t="s">
        <v>119</v>
      </c>
    </row>
    <row r="543" spans="1:23" x14ac:dyDescent="0.4">
      <c r="A543" t="s">
        <v>262</v>
      </c>
      <c r="B543" t="s">
        <v>1198</v>
      </c>
      <c r="C543" t="s">
        <v>1264</v>
      </c>
      <c r="D543" t="s">
        <v>64</v>
      </c>
      <c r="E543" t="s">
        <v>22</v>
      </c>
      <c r="F543" t="s">
        <v>23</v>
      </c>
      <c r="G543">
        <v>1</v>
      </c>
      <c r="H543">
        <v>9791166300202</v>
      </c>
      <c r="I543" t="s">
        <v>24</v>
      </c>
      <c r="J543" t="s">
        <v>129</v>
      </c>
      <c r="K543" t="s">
        <v>119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2">
        <v>0.7</v>
      </c>
      <c r="S543">
        <v>441</v>
      </c>
      <c r="T543" t="s">
        <v>27</v>
      </c>
      <c r="U543">
        <v>441</v>
      </c>
      <c r="V543" s="7" t="s">
        <v>24</v>
      </c>
      <c r="W543" s="7" t="s">
        <v>119</v>
      </c>
    </row>
    <row r="544" spans="1:23" x14ac:dyDescent="0.4">
      <c r="A544" t="s">
        <v>262</v>
      </c>
      <c r="B544" t="s">
        <v>1198</v>
      </c>
      <c r="C544" t="s">
        <v>1266</v>
      </c>
      <c r="D544" t="s">
        <v>64</v>
      </c>
      <c r="E544" t="s">
        <v>22</v>
      </c>
      <c r="F544" t="s">
        <v>23</v>
      </c>
      <c r="G544">
        <v>1</v>
      </c>
      <c r="H544">
        <v>9791166300158</v>
      </c>
      <c r="I544" t="s">
        <v>24</v>
      </c>
      <c r="J544" t="s">
        <v>125</v>
      </c>
      <c r="K544" t="s">
        <v>119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  <c r="V544" s="7" t="s">
        <v>24</v>
      </c>
      <c r="W544" s="7" t="s">
        <v>119</v>
      </c>
    </row>
    <row r="545" spans="1:23" x14ac:dyDescent="0.4">
      <c r="A545" t="s">
        <v>262</v>
      </c>
      <c r="B545" t="s">
        <v>1198</v>
      </c>
      <c r="C545" t="s">
        <v>1269</v>
      </c>
      <c r="D545" t="s">
        <v>64</v>
      </c>
      <c r="E545" t="s">
        <v>22</v>
      </c>
      <c r="F545" t="s">
        <v>23</v>
      </c>
      <c r="G545">
        <v>1</v>
      </c>
      <c r="H545">
        <v>9791166300165</v>
      </c>
      <c r="I545" t="s">
        <v>24</v>
      </c>
      <c r="J545" t="s">
        <v>126</v>
      </c>
      <c r="K545" t="s">
        <v>119</v>
      </c>
      <c r="L545" t="s">
        <v>27</v>
      </c>
      <c r="M545">
        <v>630</v>
      </c>
      <c r="N545" t="s">
        <v>27</v>
      </c>
      <c r="O545">
        <v>630</v>
      </c>
      <c r="P545">
        <v>630</v>
      </c>
      <c r="Q545" t="s">
        <v>30</v>
      </c>
      <c r="R545" s="2">
        <v>0.7</v>
      </c>
      <c r="S545">
        <v>441</v>
      </c>
      <c r="T545" t="s">
        <v>27</v>
      </c>
      <c r="U545">
        <v>441</v>
      </c>
      <c r="V545" s="7" t="s">
        <v>24</v>
      </c>
      <c r="W545" s="7" t="s">
        <v>119</v>
      </c>
    </row>
    <row r="546" spans="1:23" x14ac:dyDescent="0.4">
      <c r="A546" t="s">
        <v>262</v>
      </c>
      <c r="B546" t="s">
        <v>1270</v>
      </c>
      <c r="C546" t="s">
        <v>1271</v>
      </c>
      <c r="D546" t="s">
        <v>64</v>
      </c>
      <c r="E546" t="s">
        <v>22</v>
      </c>
      <c r="F546" t="s">
        <v>23</v>
      </c>
      <c r="G546">
        <v>1</v>
      </c>
      <c r="H546">
        <v>9791166300554</v>
      </c>
      <c r="I546" t="s">
        <v>24</v>
      </c>
      <c r="J546" t="s">
        <v>154</v>
      </c>
      <c r="K546" t="s">
        <v>119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  <c r="V546" s="7" t="s">
        <v>24</v>
      </c>
      <c r="W546" s="7" t="s">
        <v>119</v>
      </c>
    </row>
    <row r="547" spans="1:23" x14ac:dyDescent="0.4">
      <c r="A547" t="s">
        <v>262</v>
      </c>
      <c r="B547" t="s">
        <v>1270</v>
      </c>
      <c r="C547" t="s">
        <v>1272</v>
      </c>
      <c r="D547" t="s">
        <v>64</v>
      </c>
      <c r="E547" t="s">
        <v>22</v>
      </c>
      <c r="F547" t="s">
        <v>23</v>
      </c>
      <c r="G547">
        <v>1</v>
      </c>
      <c r="H547">
        <v>9791166300479</v>
      </c>
      <c r="I547" t="s">
        <v>24</v>
      </c>
      <c r="J547" t="s">
        <v>145</v>
      </c>
      <c r="K547" t="s">
        <v>119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  <c r="V547" s="7" t="s">
        <v>24</v>
      </c>
      <c r="W547" s="7" t="s">
        <v>119</v>
      </c>
    </row>
    <row r="548" spans="1:23" x14ac:dyDescent="0.4">
      <c r="A548" t="s">
        <v>262</v>
      </c>
      <c r="B548" t="s">
        <v>1270</v>
      </c>
      <c r="C548" t="s">
        <v>1274</v>
      </c>
      <c r="D548" t="s">
        <v>64</v>
      </c>
      <c r="E548" t="s">
        <v>22</v>
      </c>
      <c r="F548" t="s">
        <v>23</v>
      </c>
      <c r="G548">
        <v>1</v>
      </c>
      <c r="H548">
        <v>9791166300301</v>
      </c>
      <c r="I548" t="s">
        <v>24</v>
      </c>
      <c r="J548" t="s">
        <v>139</v>
      </c>
      <c r="K548" t="s">
        <v>119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  <c r="V548" s="7" t="s">
        <v>24</v>
      </c>
      <c r="W548" s="7" t="s">
        <v>119</v>
      </c>
    </row>
    <row r="549" spans="1:23" x14ac:dyDescent="0.4">
      <c r="A549" t="s">
        <v>262</v>
      </c>
      <c r="B549" t="s">
        <v>1270</v>
      </c>
      <c r="C549" t="s">
        <v>1277</v>
      </c>
      <c r="D549" t="s">
        <v>64</v>
      </c>
      <c r="E549" t="s">
        <v>22</v>
      </c>
      <c r="F549" t="s">
        <v>23</v>
      </c>
      <c r="G549">
        <v>1</v>
      </c>
      <c r="H549">
        <v>9791166300110</v>
      </c>
      <c r="I549" t="s">
        <v>24</v>
      </c>
      <c r="J549" t="s">
        <v>121</v>
      </c>
      <c r="K549" t="s">
        <v>119</v>
      </c>
      <c r="L549" t="s">
        <v>27</v>
      </c>
      <c r="M549">
        <v>630</v>
      </c>
      <c r="N549" t="s">
        <v>27</v>
      </c>
      <c r="O549">
        <v>630</v>
      </c>
      <c r="P549">
        <v>630</v>
      </c>
      <c r="Q549" t="s">
        <v>30</v>
      </c>
      <c r="R549" s="2">
        <v>0.7</v>
      </c>
      <c r="S549">
        <v>441</v>
      </c>
      <c r="T549" t="s">
        <v>27</v>
      </c>
      <c r="U549">
        <v>441</v>
      </c>
      <c r="V549" s="7" t="s">
        <v>24</v>
      </c>
      <c r="W549" s="7" t="s">
        <v>119</v>
      </c>
    </row>
    <row r="550" spans="1:23" x14ac:dyDescent="0.4">
      <c r="A550" t="s">
        <v>262</v>
      </c>
      <c r="B550" t="s">
        <v>1270</v>
      </c>
      <c r="C550" t="s">
        <v>1278</v>
      </c>
      <c r="D550" t="s">
        <v>64</v>
      </c>
      <c r="E550" t="s">
        <v>22</v>
      </c>
      <c r="F550" t="s">
        <v>23</v>
      </c>
      <c r="G550">
        <v>1</v>
      </c>
      <c r="H550">
        <v>9791166300585</v>
      </c>
      <c r="I550" t="s">
        <v>24</v>
      </c>
      <c r="J550" t="s">
        <v>160</v>
      </c>
      <c r="K550" t="s">
        <v>119</v>
      </c>
      <c r="L550" t="s">
        <v>27</v>
      </c>
      <c r="M550">
        <v>630</v>
      </c>
      <c r="N550" t="s">
        <v>27</v>
      </c>
      <c r="O550">
        <v>630</v>
      </c>
      <c r="P550">
        <v>630</v>
      </c>
      <c r="Q550" t="s">
        <v>30</v>
      </c>
      <c r="R550" s="2">
        <v>0.7</v>
      </c>
      <c r="S550">
        <v>441</v>
      </c>
      <c r="T550" t="s">
        <v>27</v>
      </c>
      <c r="U550">
        <v>441</v>
      </c>
      <c r="V550" s="7" t="s">
        <v>24</v>
      </c>
      <c r="W550" s="7" t="s">
        <v>119</v>
      </c>
    </row>
    <row r="551" spans="1:23" x14ac:dyDescent="0.4">
      <c r="A551" t="s">
        <v>262</v>
      </c>
      <c r="B551" t="s">
        <v>1270</v>
      </c>
      <c r="C551" t="s">
        <v>1290</v>
      </c>
      <c r="D551" t="s">
        <v>64</v>
      </c>
      <c r="E551" t="s">
        <v>22</v>
      </c>
      <c r="F551" t="s">
        <v>23</v>
      </c>
      <c r="G551">
        <v>1</v>
      </c>
      <c r="H551">
        <v>9791166300462</v>
      </c>
      <c r="I551" t="s">
        <v>24</v>
      </c>
      <c r="J551" t="s">
        <v>144</v>
      </c>
      <c r="K551" t="s">
        <v>119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  <c r="V551" s="7" t="s">
        <v>24</v>
      </c>
      <c r="W551" s="7" t="s">
        <v>119</v>
      </c>
    </row>
    <row r="552" spans="1:23" x14ac:dyDescent="0.4">
      <c r="A552" t="s">
        <v>262</v>
      </c>
      <c r="B552" t="s">
        <v>1270</v>
      </c>
      <c r="C552" t="s">
        <v>1291</v>
      </c>
      <c r="D552" t="s">
        <v>64</v>
      </c>
      <c r="E552" t="s">
        <v>22</v>
      </c>
      <c r="F552" t="s">
        <v>23</v>
      </c>
      <c r="G552">
        <v>1</v>
      </c>
      <c r="H552">
        <v>9791166300219</v>
      </c>
      <c r="I552" t="s">
        <v>24</v>
      </c>
      <c r="J552" t="s">
        <v>130</v>
      </c>
      <c r="K552" t="s">
        <v>119</v>
      </c>
      <c r="L552" t="s">
        <v>27</v>
      </c>
      <c r="M552">
        <v>630</v>
      </c>
      <c r="N552" t="s">
        <v>27</v>
      </c>
      <c r="O552">
        <v>630</v>
      </c>
      <c r="P552">
        <v>630</v>
      </c>
      <c r="Q552" t="s">
        <v>30</v>
      </c>
      <c r="R552" s="2">
        <v>0.7</v>
      </c>
      <c r="S552">
        <v>441</v>
      </c>
      <c r="T552" t="s">
        <v>27</v>
      </c>
      <c r="U552">
        <v>441</v>
      </c>
      <c r="V552" s="7" t="s">
        <v>24</v>
      </c>
      <c r="W552" s="7" t="s">
        <v>119</v>
      </c>
    </row>
    <row r="553" spans="1:23" x14ac:dyDescent="0.4">
      <c r="A553" t="s">
        <v>262</v>
      </c>
      <c r="B553" t="s">
        <v>1270</v>
      </c>
      <c r="C553" t="s">
        <v>1294</v>
      </c>
      <c r="D553" t="s">
        <v>64</v>
      </c>
      <c r="E553" t="s">
        <v>22</v>
      </c>
      <c r="F553" t="s">
        <v>23</v>
      </c>
      <c r="G553">
        <v>1</v>
      </c>
      <c r="H553">
        <v>9791166300158</v>
      </c>
      <c r="I553" t="s">
        <v>24</v>
      </c>
      <c r="J553" t="s">
        <v>125</v>
      </c>
      <c r="K553" t="s">
        <v>119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  <c r="V553" s="7" t="s">
        <v>24</v>
      </c>
      <c r="W553" s="7" t="s">
        <v>119</v>
      </c>
    </row>
    <row r="554" spans="1:23" x14ac:dyDescent="0.4">
      <c r="A554" t="s">
        <v>262</v>
      </c>
      <c r="B554" t="s">
        <v>1270</v>
      </c>
      <c r="C554" t="s">
        <v>1295</v>
      </c>
      <c r="D554" t="s">
        <v>21</v>
      </c>
      <c r="E554" t="s">
        <v>22</v>
      </c>
      <c r="F554" t="s">
        <v>23</v>
      </c>
      <c r="G554">
        <v>1</v>
      </c>
      <c r="H554">
        <v>9791166300486</v>
      </c>
      <c r="I554" t="s">
        <v>24</v>
      </c>
      <c r="J554" t="s">
        <v>146</v>
      </c>
      <c r="K554" t="s">
        <v>119</v>
      </c>
      <c r="L554" t="s">
        <v>27</v>
      </c>
      <c r="M554" s="3">
        <v>3200</v>
      </c>
      <c r="N554" t="s">
        <v>27</v>
      </c>
      <c r="O554" s="3">
        <v>3200</v>
      </c>
      <c r="P554" s="3">
        <v>3200</v>
      </c>
      <c r="Q554" t="s">
        <v>30</v>
      </c>
      <c r="R554" s="2">
        <v>0.7</v>
      </c>
      <c r="S554" s="3">
        <v>2240</v>
      </c>
      <c r="T554" t="s">
        <v>27</v>
      </c>
      <c r="U554" s="3">
        <v>2240</v>
      </c>
      <c r="V554" s="7" t="s">
        <v>24</v>
      </c>
      <c r="W554" s="7" t="s">
        <v>119</v>
      </c>
    </row>
    <row r="555" spans="1:23" x14ac:dyDescent="0.4">
      <c r="A555" t="s">
        <v>262</v>
      </c>
      <c r="B555" t="s">
        <v>1270</v>
      </c>
      <c r="C555" t="s">
        <v>1296</v>
      </c>
      <c r="D555" t="s">
        <v>21</v>
      </c>
      <c r="E555" t="s">
        <v>22</v>
      </c>
      <c r="F555" t="s">
        <v>23</v>
      </c>
      <c r="G555">
        <v>1</v>
      </c>
      <c r="H555">
        <v>9791166300103</v>
      </c>
      <c r="I555" t="s">
        <v>24</v>
      </c>
      <c r="J555" t="s">
        <v>120</v>
      </c>
      <c r="K555" t="s">
        <v>119</v>
      </c>
      <c r="L555" t="s">
        <v>27</v>
      </c>
      <c r="M555" s="3">
        <v>3200</v>
      </c>
      <c r="N555" t="s">
        <v>27</v>
      </c>
      <c r="O555" s="3">
        <v>3200</v>
      </c>
      <c r="P555" s="3">
        <v>3200</v>
      </c>
      <c r="Q555" t="s">
        <v>30</v>
      </c>
      <c r="R555" s="2">
        <v>0.7</v>
      </c>
      <c r="S555" s="3">
        <v>2240</v>
      </c>
      <c r="T555" t="s">
        <v>27</v>
      </c>
      <c r="U555" s="3">
        <v>2240</v>
      </c>
      <c r="V555" s="7" t="s">
        <v>24</v>
      </c>
      <c r="W555" s="7" t="s">
        <v>119</v>
      </c>
    </row>
    <row r="556" spans="1:23" x14ac:dyDescent="0.4">
      <c r="A556" t="s">
        <v>262</v>
      </c>
      <c r="B556" t="s">
        <v>1270</v>
      </c>
      <c r="C556" t="s">
        <v>1298</v>
      </c>
      <c r="D556" t="s">
        <v>64</v>
      </c>
      <c r="E556" t="s">
        <v>22</v>
      </c>
      <c r="F556" t="s">
        <v>23</v>
      </c>
      <c r="G556">
        <v>1</v>
      </c>
      <c r="H556">
        <v>9791166300561</v>
      </c>
      <c r="I556" t="s">
        <v>24</v>
      </c>
      <c r="J556" t="s">
        <v>158</v>
      </c>
      <c r="K556" t="s">
        <v>119</v>
      </c>
      <c r="L556" t="s">
        <v>27</v>
      </c>
      <c r="M556">
        <v>630</v>
      </c>
      <c r="N556" t="s">
        <v>27</v>
      </c>
      <c r="O556">
        <v>630</v>
      </c>
      <c r="P556">
        <v>630</v>
      </c>
      <c r="Q556" t="s">
        <v>30</v>
      </c>
      <c r="R556" s="2">
        <v>0.7</v>
      </c>
      <c r="S556">
        <v>441</v>
      </c>
      <c r="T556" t="s">
        <v>27</v>
      </c>
      <c r="U556">
        <v>441</v>
      </c>
      <c r="V556" s="7" t="s">
        <v>24</v>
      </c>
      <c r="W556" s="7" t="s">
        <v>119</v>
      </c>
    </row>
    <row r="557" spans="1:23" x14ac:dyDescent="0.4">
      <c r="A557" t="s">
        <v>262</v>
      </c>
      <c r="B557" t="s">
        <v>1270</v>
      </c>
      <c r="C557" t="s">
        <v>1299</v>
      </c>
      <c r="D557" t="s">
        <v>64</v>
      </c>
      <c r="E557" t="s">
        <v>22</v>
      </c>
      <c r="F557" t="s">
        <v>23</v>
      </c>
      <c r="G557">
        <v>1</v>
      </c>
      <c r="H557">
        <v>9791166300547</v>
      </c>
      <c r="I557" t="s">
        <v>24</v>
      </c>
      <c r="J557" t="s">
        <v>153</v>
      </c>
      <c r="K557" t="s">
        <v>119</v>
      </c>
      <c r="L557" t="s">
        <v>27</v>
      </c>
      <c r="M557">
        <v>630</v>
      </c>
      <c r="N557" t="s">
        <v>27</v>
      </c>
      <c r="O557">
        <v>630</v>
      </c>
      <c r="P557">
        <v>630</v>
      </c>
      <c r="Q557" t="s">
        <v>30</v>
      </c>
      <c r="R557" s="2">
        <v>0.7</v>
      </c>
      <c r="S557">
        <v>441</v>
      </c>
      <c r="T557" t="s">
        <v>27</v>
      </c>
      <c r="U557">
        <v>441</v>
      </c>
      <c r="V557" s="7" t="s">
        <v>24</v>
      </c>
      <c r="W557" s="7" t="s">
        <v>119</v>
      </c>
    </row>
    <row r="558" spans="1:23" x14ac:dyDescent="0.4">
      <c r="A558" t="s">
        <v>262</v>
      </c>
      <c r="B558" t="s">
        <v>1270</v>
      </c>
      <c r="C558" t="s">
        <v>1300</v>
      </c>
      <c r="D558" t="s">
        <v>64</v>
      </c>
      <c r="E558" t="s">
        <v>22</v>
      </c>
      <c r="F558" t="s">
        <v>23</v>
      </c>
      <c r="G558">
        <v>1</v>
      </c>
      <c r="H558">
        <v>9791166300592</v>
      </c>
      <c r="I558" t="s">
        <v>24</v>
      </c>
      <c r="J558" t="s">
        <v>161</v>
      </c>
      <c r="K558" t="s">
        <v>119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  <c r="V558" s="7" t="s">
        <v>24</v>
      </c>
      <c r="W558" s="7" t="s">
        <v>119</v>
      </c>
    </row>
    <row r="559" spans="1:23" x14ac:dyDescent="0.4">
      <c r="A559" t="s">
        <v>262</v>
      </c>
      <c r="B559" t="s">
        <v>1270</v>
      </c>
      <c r="C559" t="s">
        <v>1301</v>
      </c>
      <c r="D559" t="s">
        <v>21</v>
      </c>
      <c r="E559" t="s">
        <v>22</v>
      </c>
      <c r="F559" t="s">
        <v>23</v>
      </c>
      <c r="G559">
        <v>1</v>
      </c>
      <c r="H559">
        <v>9791166300219</v>
      </c>
      <c r="I559" t="s">
        <v>24</v>
      </c>
      <c r="J559" t="s">
        <v>130</v>
      </c>
      <c r="K559" t="s">
        <v>119</v>
      </c>
      <c r="L559" t="s">
        <v>27</v>
      </c>
      <c r="M559" s="3">
        <v>3200</v>
      </c>
      <c r="N559" t="s">
        <v>27</v>
      </c>
      <c r="O559" s="3">
        <v>3200</v>
      </c>
      <c r="P559" s="3">
        <v>3200</v>
      </c>
      <c r="Q559" t="s">
        <v>30</v>
      </c>
      <c r="R559" s="2">
        <v>0.7</v>
      </c>
      <c r="S559" s="3">
        <v>2240</v>
      </c>
      <c r="T559" t="s">
        <v>27</v>
      </c>
      <c r="U559" s="3">
        <v>2240</v>
      </c>
      <c r="V559" s="7" t="s">
        <v>24</v>
      </c>
      <c r="W559" s="7" t="s">
        <v>119</v>
      </c>
    </row>
    <row r="560" spans="1:23" x14ac:dyDescent="0.4">
      <c r="A560" t="s">
        <v>262</v>
      </c>
      <c r="B560" t="s">
        <v>1270</v>
      </c>
      <c r="C560" t="s">
        <v>1302</v>
      </c>
      <c r="D560" t="s">
        <v>64</v>
      </c>
      <c r="E560" t="s">
        <v>22</v>
      </c>
      <c r="F560" t="s">
        <v>23</v>
      </c>
      <c r="G560">
        <v>1</v>
      </c>
      <c r="H560">
        <v>9791166300608</v>
      </c>
      <c r="I560" t="s">
        <v>24</v>
      </c>
      <c r="J560" t="s">
        <v>162</v>
      </c>
      <c r="K560" t="s">
        <v>119</v>
      </c>
      <c r="L560" t="s">
        <v>27</v>
      </c>
      <c r="M560">
        <v>630</v>
      </c>
      <c r="N560" t="s">
        <v>27</v>
      </c>
      <c r="O560">
        <v>630</v>
      </c>
      <c r="P560">
        <v>630</v>
      </c>
      <c r="Q560" t="s">
        <v>30</v>
      </c>
      <c r="R560" s="2">
        <v>0.7</v>
      </c>
      <c r="S560">
        <v>441</v>
      </c>
      <c r="T560" t="s">
        <v>27</v>
      </c>
      <c r="U560">
        <v>441</v>
      </c>
      <c r="V560" s="7" t="s">
        <v>24</v>
      </c>
      <c r="W560" s="7" t="s">
        <v>119</v>
      </c>
    </row>
    <row r="561" spans="1:23" x14ac:dyDescent="0.4">
      <c r="A561" t="s">
        <v>262</v>
      </c>
      <c r="B561" t="s">
        <v>1270</v>
      </c>
      <c r="C561" t="s">
        <v>1304</v>
      </c>
      <c r="D561" t="s">
        <v>64</v>
      </c>
      <c r="E561" t="s">
        <v>22</v>
      </c>
      <c r="F561" t="s">
        <v>23</v>
      </c>
      <c r="G561">
        <v>1</v>
      </c>
      <c r="H561">
        <v>9791166300547</v>
      </c>
      <c r="I561" t="s">
        <v>24</v>
      </c>
      <c r="J561" t="s">
        <v>153</v>
      </c>
      <c r="K561" t="s">
        <v>119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  <c r="V561" s="7" t="s">
        <v>24</v>
      </c>
      <c r="W561" s="7" t="s">
        <v>119</v>
      </c>
    </row>
    <row r="562" spans="1:23" x14ac:dyDescent="0.4">
      <c r="A562" t="s">
        <v>262</v>
      </c>
      <c r="B562" t="s">
        <v>1270</v>
      </c>
      <c r="C562" t="s">
        <v>1305</v>
      </c>
      <c r="D562" t="s">
        <v>64</v>
      </c>
      <c r="E562" t="s">
        <v>22</v>
      </c>
      <c r="F562" t="s">
        <v>23</v>
      </c>
      <c r="G562">
        <v>1</v>
      </c>
      <c r="H562">
        <v>9791166300486</v>
      </c>
      <c r="I562" t="s">
        <v>24</v>
      </c>
      <c r="J562" t="s">
        <v>146</v>
      </c>
      <c r="K562" t="s">
        <v>119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2">
        <v>0.7</v>
      </c>
      <c r="S562">
        <v>441</v>
      </c>
      <c r="T562" t="s">
        <v>27</v>
      </c>
      <c r="U562">
        <v>441</v>
      </c>
      <c r="V562" s="7" t="s">
        <v>24</v>
      </c>
      <c r="W562" s="7" t="s">
        <v>119</v>
      </c>
    </row>
    <row r="563" spans="1:23" x14ac:dyDescent="0.4">
      <c r="A563" t="s">
        <v>262</v>
      </c>
      <c r="B563" t="s">
        <v>1270</v>
      </c>
      <c r="C563" t="s">
        <v>1306</v>
      </c>
      <c r="D563" t="s">
        <v>64</v>
      </c>
      <c r="E563" t="s">
        <v>22</v>
      </c>
      <c r="F563" t="s">
        <v>23</v>
      </c>
      <c r="G563">
        <v>1</v>
      </c>
      <c r="H563">
        <v>9791166300493</v>
      </c>
      <c r="I563" t="s">
        <v>24</v>
      </c>
      <c r="J563" t="s">
        <v>147</v>
      </c>
      <c r="K563" t="s">
        <v>119</v>
      </c>
      <c r="L563" t="s">
        <v>27</v>
      </c>
      <c r="M563">
        <v>630</v>
      </c>
      <c r="N563" t="s">
        <v>27</v>
      </c>
      <c r="O563">
        <v>630</v>
      </c>
      <c r="P563">
        <v>630</v>
      </c>
      <c r="Q563" t="s">
        <v>30</v>
      </c>
      <c r="R563" s="2">
        <v>0.7</v>
      </c>
      <c r="S563">
        <v>441</v>
      </c>
      <c r="T563" t="s">
        <v>27</v>
      </c>
      <c r="U563">
        <v>441</v>
      </c>
      <c r="V563" s="7" t="s">
        <v>24</v>
      </c>
      <c r="W563" s="7" t="s">
        <v>119</v>
      </c>
    </row>
    <row r="564" spans="1:23" x14ac:dyDescent="0.4">
      <c r="A564" t="s">
        <v>262</v>
      </c>
      <c r="B564" t="s">
        <v>1270</v>
      </c>
      <c r="C564" t="s">
        <v>1308</v>
      </c>
      <c r="D564" t="s">
        <v>64</v>
      </c>
      <c r="E564" t="s">
        <v>22</v>
      </c>
      <c r="F564" t="s">
        <v>23</v>
      </c>
      <c r="G564">
        <v>1</v>
      </c>
      <c r="H564">
        <v>9791166300585</v>
      </c>
      <c r="I564" t="s">
        <v>24</v>
      </c>
      <c r="J564" t="s">
        <v>160</v>
      </c>
      <c r="K564" t="s">
        <v>119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2">
        <v>0.7</v>
      </c>
      <c r="S564">
        <v>441</v>
      </c>
      <c r="T564" t="s">
        <v>27</v>
      </c>
      <c r="U564">
        <v>441</v>
      </c>
      <c r="V564" s="7" t="s">
        <v>24</v>
      </c>
      <c r="W564" s="7" t="s">
        <v>119</v>
      </c>
    </row>
    <row r="565" spans="1:23" x14ac:dyDescent="0.4">
      <c r="A565" t="s">
        <v>262</v>
      </c>
      <c r="B565" t="s">
        <v>1270</v>
      </c>
      <c r="C565" t="s">
        <v>1309</v>
      </c>
      <c r="D565" t="s">
        <v>64</v>
      </c>
      <c r="E565" t="s">
        <v>22</v>
      </c>
      <c r="F565" t="s">
        <v>23</v>
      </c>
      <c r="G565">
        <v>1</v>
      </c>
      <c r="H565">
        <v>9791166300479</v>
      </c>
      <c r="I565" t="s">
        <v>24</v>
      </c>
      <c r="J565" t="s">
        <v>145</v>
      </c>
      <c r="K565" t="s">
        <v>119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2">
        <v>0.7</v>
      </c>
      <c r="S565">
        <v>441</v>
      </c>
      <c r="T565" t="s">
        <v>27</v>
      </c>
      <c r="U565">
        <v>441</v>
      </c>
      <c r="V565" s="7" t="s">
        <v>24</v>
      </c>
      <c r="W565" s="7" t="s">
        <v>119</v>
      </c>
    </row>
    <row r="566" spans="1:23" x14ac:dyDescent="0.4">
      <c r="A566" t="s">
        <v>262</v>
      </c>
      <c r="B566" t="s">
        <v>1270</v>
      </c>
      <c r="C566" t="s">
        <v>1310</v>
      </c>
      <c r="D566" t="s">
        <v>64</v>
      </c>
      <c r="E566" t="s">
        <v>22</v>
      </c>
      <c r="F566" t="s">
        <v>23</v>
      </c>
      <c r="G566">
        <v>1</v>
      </c>
      <c r="H566">
        <v>9791166300172</v>
      </c>
      <c r="I566" t="s">
        <v>24</v>
      </c>
      <c r="J566" t="s">
        <v>127</v>
      </c>
      <c r="K566" t="s">
        <v>119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  <c r="V566" s="7" t="s">
        <v>24</v>
      </c>
      <c r="W566" s="7" t="s">
        <v>119</v>
      </c>
    </row>
    <row r="567" spans="1:23" x14ac:dyDescent="0.4">
      <c r="A567" t="s">
        <v>262</v>
      </c>
      <c r="B567" t="s">
        <v>1270</v>
      </c>
      <c r="C567" t="s">
        <v>1317</v>
      </c>
      <c r="D567" t="s">
        <v>21</v>
      </c>
      <c r="E567" t="s">
        <v>22</v>
      </c>
      <c r="F567" t="s">
        <v>23</v>
      </c>
      <c r="G567">
        <v>1</v>
      </c>
      <c r="H567">
        <v>9791166300110</v>
      </c>
      <c r="I567" t="s">
        <v>24</v>
      </c>
      <c r="J567" t="s">
        <v>121</v>
      </c>
      <c r="K567" t="s">
        <v>119</v>
      </c>
      <c r="L567" t="s">
        <v>27</v>
      </c>
      <c r="M567" s="3">
        <v>3200</v>
      </c>
      <c r="N567" t="s">
        <v>27</v>
      </c>
      <c r="O567" s="3">
        <v>3200</v>
      </c>
      <c r="P567" s="3">
        <v>3200</v>
      </c>
      <c r="Q567" t="s">
        <v>30</v>
      </c>
      <c r="R567" s="2">
        <v>0.7</v>
      </c>
      <c r="S567" s="3">
        <v>2240</v>
      </c>
      <c r="T567" t="s">
        <v>27</v>
      </c>
      <c r="U567" s="3">
        <v>2240</v>
      </c>
      <c r="V567" s="7" t="s">
        <v>24</v>
      </c>
      <c r="W567" s="7" t="s">
        <v>119</v>
      </c>
    </row>
    <row r="568" spans="1:23" x14ac:dyDescent="0.4">
      <c r="A568" t="s">
        <v>262</v>
      </c>
      <c r="B568" t="s">
        <v>1270</v>
      </c>
      <c r="C568" t="s">
        <v>1319</v>
      </c>
      <c r="D568" t="s">
        <v>64</v>
      </c>
      <c r="E568" t="s">
        <v>22</v>
      </c>
      <c r="F568" t="s">
        <v>23</v>
      </c>
      <c r="G568">
        <v>1</v>
      </c>
      <c r="H568">
        <v>9791166300615</v>
      </c>
      <c r="I568" t="s">
        <v>24</v>
      </c>
      <c r="J568" t="s">
        <v>163</v>
      </c>
      <c r="K568" t="s">
        <v>119</v>
      </c>
      <c r="L568" t="s">
        <v>27</v>
      </c>
      <c r="M568">
        <v>630</v>
      </c>
      <c r="N568" t="s">
        <v>27</v>
      </c>
      <c r="O568">
        <v>630</v>
      </c>
      <c r="P568">
        <v>630</v>
      </c>
      <c r="Q568" t="s">
        <v>30</v>
      </c>
      <c r="R568" s="2">
        <v>0.7</v>
      </c>
      <c r="S568">
        <v>441</v>
      </c>
      <c r="T568" t="s">
        <v>27</v>
      </c>
      <c r="U568">
        <v>441</v>
      </c>
      <c r="V568" s="7" t="s">
        <v>24</v>
      </c>
      <c r="W568" s="7" t="s">
        <v>119</v>
      </c>
    </row>
    <row r="569" spans="1:23" x14ac:dyDescent="0.4">
      <c r="A569" t="s">
        <v>262</v>
      </c>
      <c r="B569" t="s">
        <v>1270</v>
      </c>
      <c r="C569" t="s">
        <v>1321</v>
      </c>
      <c r="D569" t="s">
        <v>64</v>
      </c>
      <c r="E569" t="s">
        <v>22</v>
      </c>
      <c r="F569" t="s">
        <v>23</v>
      </c>
      <c r="G569">
        <v>1</v>
      </c>
      <c r="H569">
        <v>9791166300578</v>
      </c>
      <c r="I569" t="s">
        <v>24</v>
      </c>
      <c r="J569" t="s">
        <v>159</v>
      </c>
      <c r="K569" t="s">
        <v>119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  <c r="V569" s="7" t="s">
        <v>24</v>
      </c>
      <c r="W569" s="7" t="s">
        <v>119</v>
      </c>
    </row>
    <row r="570" spans="1:23" x14ac:dyDescent="0.4">
      <c r="A570" t="s">
        <v>262</v>
      </c>
      <c r="B570" t="s">
        <v>1270</v>
      </c>
      <c r="C570" t="s">
        <v>1322</v>
      </c>
      <c r="D570" t="s">
        <v>64</v>
      </c>
      <c r="E570" t="s">
        <v>22</v>
      </c>
      <c r="F570" t="s">
        <v>23</v>
      </c>
      <c r="G570">
        <v>1</v>
      </c>
      <c r="H570">
        <v>9791166300103</v>
      </c>
      <c r="I570" t="s">
        <v>24</v>
      </c>
      <c r="J570" t="s">
        <v>120</v>
      </c>
      <c r="K570" t="s">
        <v>119</v>
      </c>
      <c r="L570" t="s">
        <v>27</v>
      </c>
      <c r="M570">
        <v>630</v>
      </c>
      <c r="N570" t="s">
        <v>27</v>
      </c>
      <c r="O570">
        <v>630</v>
      </c>
      <c r="P570">
        <v>630</v>
      </c>
      <c r="Q570" t="s">
        <v>30</v>
      </c>
      <c r="R570" s="2">
        <v>0.7</v>
      </c>
      <c r="S570">
        <v>441</v>
      </c>
      <c r="T570" t="s">
        <v>27</v>
      </c>
      <c r="U570">
        <v>441</v>
      </c>
      <c r="V570" s="7" t="s">
        <v>24</v>
      </c>
      <c r="W570" s="7" t="s">
        <v>119</v>
      </c>
    </row>
    <row r="571" spans="1:23" x14ac:dyDescent="0.4">
      <c r="A571" t="s">
        <v>262</v>
      </c>
      <c r="B571" t="s">
        <v>1270</v>
      </c>
      <c r="C571" t="s">
        <v>1325</v>
      </c>
      <c r="D571" t="s">
        <v>21</v>
      </c>
      <c r="E571" t="s">
        <v>22</v>
      </c>
      <c r="F571" t="s">
        <v>23</v>
      </c>
      <c r="G571">
        <v>1</v>
      </c>
      <c r="H571">
        <v>9791166300226</v>
      </c>
      <c r="I571" t="s">
        <v>24</v>
      </c>
      <c r="J571" t="s">
        <v>131</v>
      </c>
      <c r="K571" t="s">
        <v>119</v>
      </c>
      <c r="L571" t="s">
        <v>27</v>
      </c>
      <c r="M571" s="3">
        <v>3200</v>
      </c>
      <c r="N571" t="s">
        <v>27</v>
      </c>
      <c r="O571" s="3">
        <v>3200</v>
      </c>
      <c r="P571" s="3">
        <v>3200</v>
      </c>
      <c r="Q571" t="s">
        <v>30</v>
      </c>
      <c r="R571" s="2">
        <v>0.7</v>
      </c>
      <c r="S571" s="3">
        <v>2240</v>
      </c>
      <c r="T571" t="s">
        <v>27</v>
      </c>
      <c r="U571" s="3">
        <v>2240</v>
      </c>
      <c r="V571" s="7" t="s">
        <v>24</v>
      </c>
      <c r="W571" s="7" t="s">
        <v>119</v>
      </c>
    </row>
    <row r="572" spans="1:23" x14ac:dyDescent="0.4">
      <c r="A572" t="s">
        <v>262</v>
      </c>
      <c r="B572" t="s">
        <v>1270</v>
      </c>
      <c r="C572" t="s">
        <v>1327</v>
      </c>
      <c r="D572" t="s">
        <v>64</v>
      </c>
      <c r="E572" t="s">
        <v>22</v>
      </c>
      <c r="F572" t="s">
        <v>23</v>
      </c>
      <c r="G572">
        <v>1</v>
      </c>
      <c r="H572">
        <v>9791166300554</v>
      </c>
      <c r="I572" t="s">
        <v>24</v>
      </c>
      <c r="J572" t="s">
        <v>154</v>
      </c>
      <c r="K572" t="s">
        <v>119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  <c r="V572" s="7" t="s">
        <v>24</v>
      </c>
      <c r="W572" s="7" t="s">
        <v>119</v>
      </c>
    </row>
    <row r="573" spans="1:23" x14ac:dyDescent="0.4">
      <c r="A573" t="s">
        <v>262</v>
      </c>
      <c r="B573" t="s">
        <v>1270</v>
      </c>
      <c r="C573" t="s">
        <v>1328</v>
      </c>
      <c r="D573" t="s">
        <v>64</v>
      </c>
      <c r="E573" t="s">
        <v>22</v>
      </c>
      <c r="F573" t="s">
        <v>23</v>
      </c>
      <c r="G573">
        <v>1</v>
      </c>
      <c r="H573">
        <v>9791166300509</v>
      </c>
      <c r="I573" t="s">
        <v>24</v>
      </c>
      <c r="J573" t="s">
        <v>148</v>
      </c>
      <c r="K573" t="s">
        <v>119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  <c r="V573" s="7" t="s">
        <v>24</v>
      </c>
      <c r="W573" s="7" t="s">
        <v>119</v>
      </c>
    </row>
    <row r="574" spans="1:23" x14ac:dyDescent="0.4">
      <c r="A574" t="s">
        <v>262</v>
      </c>
      <c r="B574" t="s">
        <v>1270</v>
      </c>
      <c r="C574" t="s">
        <v>1329</v>
      </c>
      <c r="D574" t="s">
        <v>64</v>
      </c>
      <c r="E574" t="s">
        <v>22</v>
      </c>
      <c r="F574" t="s">
        <v>23</v>
      </c>
      <c r="G574">
        <v>1</v>
      </c>
      <c r="H574">
        <v>9791166300226</v>
      </c>
      <c r="I574" t="s">
        <v>24</v>
      </c>
      <c r="J574" t="s">
        <v>131</v>
      </c>
      <c r="K574" t="s">
        <v>119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2">
        <v>0.7</v>
      </c>
      <c r="S574">
        <v>441</v>
      </c>
      <c r="T574" t="s">
        <v>27</v>
      </c>
      <c r="U574">
        <v>441</v>
      </c>
      <c r="V574" s="7" t="s">
        <v>24</v>
      </c>
      <c r="W574" s="7" t="s">
        <v>119</v>
      </c>
    </row>
    <row r="575" spans="1:23" x14ac:dyDescent="0.4">
      <c r="A575" t="s">
        <v>262</v>
      </c>
      <c r="B575" t="s">
        <v>1270</v>
      </c>
      <c r="C575" t="s">
        <v>1330</v>
      </c>
      <c r="D575" t="s">
        <v>64</v>
      </c>
      <c r="E575" t="s">
        <v>22</v>
      </c>
      <c r="F575" t="s">
        <v>23</v>
      </c>
      <c r="G575">
        <v>1</v>
      </c>
      <c r="H575">
        <v>9791166300622</v>
      </c>
      <c r="I575" t="s">
        <v>24</v>
      </c>
      <c r="J575" t="s">
        <v>164</v>
      </c>
      <c r="K575" t="s">
        <v>119</v>
      </c>
      <c r="L575" t="s">
        <v>27</v>
      </c>
      <c r="M575">
        <v>630</v>
      </c>
      <c r="N575" t="s">
        <v>27</v>
      </c>
      <c r="O575">
        <v>630</v>
      </c>
      <c r="P575">
        <v>630</v>
      </c>
      <c r="Q575" t="s">
        <v>30</v>
      </c>
      <c r="R575" s="2">
        <v>0.7</v>
      </c>
      <c r="S575">
        <v>441</v>
      </c>
      <c r="T575" t="s">
        <v>27</v>
      </c>
      <c r="U575">
        <v>441</v>
      </c>
      <c r="V575" s="7" t="s">
        <v>24</v>
      </c>
      <c r="W575" s="7" t="s">
        <v>119</v>
      </c>
    </row>
    <row r="576" spans="1:23" x14ac:dyDescent="0.4">
      <c r="A576" t="s">
        <v>262</v>
      </c>
      <c r="B576" t="s">
        <v>1270</v>
      </c>
      <c r="C576" t="s">
        <v>1332</v>
      </c>
      <c r="D576" t="s">
        <v>64</v>
      </c>
      <c r="E576" t="s">
        <v>22</v>
      </c>
      <c r="F576" t="s">
        <v>23</v>
      </c>
      <c r="G576">
        <v>1</v>
      </c>
      <c r="H576">
        <v>9791166300127</v>
      </c>
      <c r="I576" t="s">
        <v>24</v>
      </c>
      <c r="J576" t="s">
        <v>122</v>
      </c>
      <c r="K576" t="s">
        <v>119</v>
      </c>
      <c r="L576" t="s">
        <v>27</v>
      </c>
      <c r="M576">
        <v>630</v>
      </c>
      <c r="N576" t="s">
        <v>27</v>
      </c>
      <c r="O576">
        <v>630</v>
      </c>
      <c r="P576">
        <v>630</v>
      </c>
      <c r="Q576" t="s">
        <v>30</v>
      </c>
      <c r="R576" s="2">
        <v>0.7</v>
      </c>
      <c r="S576">
        <v>441</v>
      </c>
      <c r="T576" t="s">
        <v>27</v>
      </c>
      <c r="U576">
        <v>441</v>
      </c>
      <c r="V576" s="7" t="s">
        <v>24</v>
      </c>
      <c r="W576" s="7" t="s">
        <v>119</v>
      </c>
    </row>
    <row r="577" spans="1:23" x14ac:dyDescent="0.4">
      <c r="A577" t="s">
        <v>262</v>
      </c>
      <c r="B577" t="s">
        <v>1270</v>
      </c>
      <c r="C577" t="s">
        <v>1333</v>
      </c>
      <c r="D577" t="s">
        <v>64</v>
      </c>
      <c r="E577" t="s">
        <v>22</v>
      </c>
      <c r="F577" t="s">
        <v>23</v>
      </c>
      <c r="G577">
        <v>1</v>
      </c>
      <c r="H577">
        <v>9791166300486</v>
      </c>
      <c r="I577" t="s">
        <v>24</v>
      </c>
      <c r="J577" t="s">
        <v>146</v>
      </c>
      <c r="K577" t="s">
        <v>119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2">
        <v>0.7</v>
      </c>
      <c r="S577">
        <v>441</v>
      </c>
      <c r="T577" t="s">
        <v>27</v>
      </c>
      <c r="U577">
        <v>441</v>
      </c>
      <c r="V577" s="7" t="s">
        <v>24</v>
      </c>
      <c r="W577" s="7" t="s">
        <v>119</v>
      </c>
    </row>
    <row r="578" spans="1:23" x14ac:dyDescent="0.4">
      <c r="A578" t="s">
        <v>262</v>
      </c>
      <c r="B578" t="s">
        <v>1270</v>
      </c>
      <c r="C578" t="s">
        <v>1334</v>
      </c>
      <c r="D578" t="s">
        <v>21</v>
      </c>
      <c r="E578" t="s">
        <v>22</v>
      </c>
      <c r="F578" t="s">
        <v>23</v>
      </c>
      <c r="G578">
        <v>1</v>
      </c>
      <c r="H578">
        <v>9791166300493</v>
      </c>
      <c r="I578" t="s">
        <v>24</v>
      </c>
      <c r="J578" t="s">
        <v>147</v>
      </c>
      <c r="K578" t="s">
        <v>119</v>
      </c>
      <c r="L578" t="s">
        <v>27</v>
      </c>
      <c r="M578" s="3">
        <v>3200</v>
      </c>
      <c r="N578" t="s">
        <v>27</v>
      </c>
      <c r="O578" s="3">
        <v>3200</v>
      </c>
      <c r="P578" s="3">
        <v>3200</v>
      </c>
      <c r="Q578" t="s">
        <v>30</v>
      </c>
      <c r="R578" s="2">
        <v>0.7</v>
      </c>
      <c r="S578" s="3">
        <v>2240</v>
      </c>
      <c r="T578" t="s">
        <v>27</v>
      </c>
      <c r="U578" s="3">
        <v>2240</v>
      </c>
      <c r="V578" s="7" t="s">
        <v>24</v>
      </c>
      <c r="W578" s="7" t="s">
        <v>119</v>
      </c>
    </row>
    <row r="579" spans="1:23" x14ac:dyDescent="0.4">
      <c r="A579" t="s">
        <v>262</v>
      </c>
      <c r="B579" t="s">
        <v>1270</v>
      </c>
      <c r="C579" t="s">
        <v>1335</v>
      </c>
      <c r="D579" t="s">
        <v>64</v>
      </c>
      <c r="E579" t="s">
        <v>22</v>
      </c>
      <c r="F579" t="s">
        <v>23</v>
      </c>
      <c r="G579">
        <v>1</v>
      </c>
      <c r="H579">
        <v>9791166300172</v>
      </c>
      <c r="I579" t="s">
        <v>24</v>
      </c>
      <c r="J579" t="s">
        <v>127</v>
      </c>
      <c r="K579" t="s">
        <v>119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2">
        <v>0.7</v>
      </c>
      <c r="S579">
        <v>441</v>
      </c>
      <c r="T579" t="s">
        <v>27</v>
      </c>
      <c r="U579">
        <v>441</v>
      </c>
      <c r="V579" s="7" t="s">
        <v>24</v>
      </c>
      <c r="W579" s="7" t="s">
        <v>119</v>
      </c>
    </row>
    <row r="580" spans="1:23" x14ac:dyDescent="0.4">
      <c r="A580" t="s">
        <v>262</v>
      </c>
      <c r="B580" t="s">
        <v>1270</v>
      </c>
      <c r="C580" t="s">
        <v>1337</v>
      </c>
      <c r="D580" t="s">
        <v>64</v>
      </c>
      <c r="E580" t="s">
        <v>22</v>
      </c>
      <c r="F580" t="s">
        <v>23</v>
      </c>
      <c r="G580">
        <v>1</v>
      </c>
      <c r="H580">
        <v>9791166300172</v>
      </c>
      <c r="I580" t="s">
        <v>24</v>
      </c>
      <c r="J580" t="s">
        <v>127</v>
      </c>
      <c r="K580" t="s">
        <v>119</v>
      </c>
      <c r="L580" t="s">
        <v>27</v>
      </c>
      <c r="M580">
        <v>630</v>
      </c>
      <c r="N580" t="s">
        <v>27</v>
      </c>
      <c r="O580">
        <v>630</v>
      </c>
      <c r="P580">
        <v>630</v>
      </c>
      <c r="Q580" t="s">
        <v>30</v>
      </c>
      <c r="R580" s="2">
        <v>0.7</v>
      </c>
      <c r="S580">
        <v>441</v>
      </c>
      <c r="T580" t="s">
        <v>27</v>
      </c>
      <c r="U580">
        <v>441</v>
      </c>
      <c r="V580" s="7" t="s">
        <v>24</v>
      </c>
      <c r="W580" s="7" t="s">
        <v>119</v>
      </c>
    </row>
    <row r="581" spans="1:23" x14ac:dyDescent="0.4">
      <c r="A581" t="s">
        <v>262</v>
      </c>
      <c r="B581" t="s">
        <v>1270</v>
      </c>
      <c r="C581" t="s">
        <v>1339</v>
      </c>
      <c r="D581" t="s">
        <v>64</v>
      </c>
      <c r="E581" t="s">
        <v>22</v>
      </c>
      <c r="F581" t="s">
        <v>23</v>
      </c>
      <c r="G581">
        <v>1</v>
      </c>
      <c r="H581">
        <v>9791166300516</v>
      </c>
      <c r="I581" t="s">
        <v>24</v>
      </c>
      <c r="J581" t="s">
        <v>149</v>
      </c>
      <c r="K581" t="s">
        <v>119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  <c r="V581" s="7" t="s">
        <v>24</v>
      </c>
      <c r="W581" s="7" t="s">
        <v>119</v>
      </c>
    </row>
    <row r="582" spans="1:23" x14ac:dyDescent="0.4">
      <c r="A582" t="s">
        <v>262</v>
      </c>
      <c r="B582" t="s">
        <v>1340</v>
      </c>
      <c r="C582" t="s">
        <v>1341</v>
      </c>
      <c r="D582" t="s">
        <v>64</v>
      </c>
      <c r="E582" t="s">
        <v>22</v>
      </c>
      <c r="F582" t="s">
        <v>23</v>
      </c>
      <c r="G582">
        <v>1</v>
      </c>
      <c r="H582">
        <v>9791166300639</v>
      </c>
      <c r="I582" t="s">
        <v>24</v>
      </c>
      <c r="J582" t="s">
        <v>165</v>
      </c>
      <c r="K582" t="s">
        <v>119</v>
      </c>
      <c r="L582" t="s">
        <v>27</v>
      </c>
      <c r="M582">
        <v>630</v>
      </c>
      <c r="N582" t="s">
        <v>27</v>
      </c>
      <c r="O582">
        <v>630</v>
      </c>
      <c r="P582">
        <v>630</v>
      </c>
      <c r="Q582" t="s">
        <v>30</v>
      </c>
      <c r="R582" s="2">
        <v>0.7</v>
      </c>
      <c r="S582">
        <v>441</v>
      </c>
      <c r="T582" t="s">
        <v>27</v>
      </c>
      <c r="U582">
        <v>441</v>
      </c>
      <c r="V582" s="7" t="s">
        <v>24</v>
      </c>
      <c r="W582" s="7" t="s">
        <v>119</v>
      </c>
    </row>
    <row r="583" spans="1:23" x14ac:dyDescent="0.4">
      <c r="A583" t="s">
        <v>262</v>
      </c>
      <c r="B583" t="s">
        <v>1340</v>
      </c>
      <c r="C583" t="s">
        <v>1342</v>
      </c>
      <c r="D583" t="s">
        <v>64</v>
      </c>
      <c r="E583" t="s">
        <v>22</v>
      </c>
      <c r="F583" t="s">
        <v>23</v>
      </c>
      <c r="G583">
        <v>1</v>
      </c>
      <c r="H583">
        <v>9791166300196</v>
      </c>
      <c r="I583" t="s">
        <v>24</v>
      </c>
      <c r="J583" t="s">
        <v>128</v>
      </c>
      <c r="K583" t="s">
        <v>119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2">
        <v>0.7</v>
      </c>
      <c r="S583">
        <v>441</v>
      </c>
      <c r="T583" t="s">
        <v>27</v>
      </c>
      <c r="U583">
        <v>441</v>
      </c>
      <c r="V583" s="7" t="s">
        <v>24</v>
      </c>
      <c r="W583" s="7" t="s">
        <v>119</v>
      </c>
    </row>
    <row r="584" spans="1:23" x14ac:dyDescent="0.4">
      <c r="A584" t="s">
        <v>262</v>
      </c>
      <c r="B584" t="s">
        <v>1340</v>
      </c>
      <c r="C584" t="s">
        <v>1343</v>
      </c>
      <c r="D584" t="s">
        <v>64</v>
      </c>
      <c r="E584" t="s">
        <v>22</v>
      </c>
      <c r="F584" t="s">
        <v>23</v>
      </c>
      <c r="G584">
        <v>1</v>
      </c>
      <c r="H584">
        <v>9791166300561</v>
      </c>
      <c r="I584" t="s">
        <v>24</v>
      </c>
      <c r="J584" t="s">
        <v>158</v>
      </c>
      <c r="K584" t="s">
        <v>119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  <c r="V584" s="7" t="s">
        <v>24</v>
      </c>
      <c r="W584" s="7" t="s">
        <v>119</v>
      </c>
    </row>
    <row r="585" spans="1:23" x14ac:dyDescent="0.4">
      <c r="A585" t="s">
        <v>262</v>
      </c>
      <c r="B585" t="s">
        <v>1340</v>
      </c>
      <c r="C585" t="s">
        <v>1344</v>
      </c>
      <c r="D585" t="s">
        <v>64</v>
      </c>
      <c r="E585" t="s">
        <v>22</v>
      </c>
      <c r="F585" t="s">
        <v>23</v>
      </c>
      <c r="G585">
        <v>1</v>
      </c>
      <c r="H585">
        <v>9791166300103</v>
      </c>
      <c r="I585" t="s">
        <v>24</v>
      </c>
      <c r="J585" t="s">
        <v>120</v>
      </c>
      <c r="K585" t="s">
        <v>119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2">
        <v>0.7</v>
      </c>
      <c r="S585">
        <v>441</v>
      </c>
      <c r="T585" t="s">
        <v>27</v>
      </c>
      <c r="U585">
        <v>441</v>
      </c>
      <c r="V585" s="7" t="s">
        <v>24</v>
      </c>
      <c r="W585" s="7" t="s">
        <v>119</v>
      </c>
    </row>
    <row r="586" spans="1:23" x14ac:dyDescent="0.4">
      <c r="A586" t="s">
        <v>262</v>
      </c>
      <c r="B586" t="s">
        <v>1340</v>
      </c>
      <c r="C586" t="s">
        <v>1346</v>
      </c>
      <c r="D586" t="s">
        <v>64</v>
      </c>
      <c r="E586" t="s">
        <v>22</v>
      </c>
      <c r="F586" t="s">
        <v>23</v>
      </c>
      <c r="G586">
        <v>1</v>
      </c>
      <c r="H586">
        <v>9791166300523</v>
      </c>
      <c r="I586" t="s">
        <v>24</v>
      </c>
      <c r="J586" t="s">
        <v>150</v>
      </c>
      <c r="K586" t="s">
        <v>119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  <c r="V586" s="7" t="s">
        <v>24</v>
      </c>
      <c r="W586" s="7" t="s">
        <v>119</v>
      </c>
    </row>
    <row r="587" spans="1:23" x14ac:dyDescent="0.4">
      <c r="A587" t="s">
        <v>262</v>
      </c>
      <c r="B587" t="s">
        <v>1340</v>
      </c>
      <c r="C587" t="s">
        <v>1348</v>
      </c>
      <c r="D587" t="s">
        <v>64</v>
      </c>
      <c r="E587" t="s">
        <v>22</v>
      </c>
      <c r="F587" t="s">
        <v>23</v>
      </c>
      <c r="G587">
        <v>1</v>
      </c>
      <c r="H587">
        <v>9791166300110</v>
      </c>
      <c r="I587" t="s">
        <v>24</v>
      </c>
      <c r="J587" t="s">
        <v>121</v>
      </c>
      <c r="K587" t="s">
        <v>119</v>
      </c>
      <c r="L587" t="s">
        <v>27</v>
      </c>
      <c r="M587">
        <v>630</v>
      </c>
      <c r="N587" t="s">
        <v>27</v>
      </c>
      <c r="O587">
        <v>630</v>
      </c>
      <c r="P587">
        <v>630</v>
      </c>
      <c r="Q587" t="s">
        <v>30</v>
      </c>
      <c r="R587" s="2">
        <v>0.7</v>
      </c>
      <c r="S587">
        <v>441</v>
      </c>
      <c r="T587" t="s">
        <v>27</v>
      </c>
      <c r="U587">
        <v>441</v>
      </c>
      <c r="V587" s="7" t="s">
        <v>24</v>
      </c>
      <c r="W587" s="7" t="s">
        <v>119</v>
      </c>
    </row>
    <row r="588" spans="1:23" x14ac:dyDescent="0.4">
      <c r="A588" t="s">
        <v>262</v>
      </c>
      <c r="B588" t="s">
        <v>1340</v>
      </c>
      <c r="C588" t="s">
        <v>1349</v>
      </c>
      <c r="D588" t="s">
        <v>21</v>
      </c>
      <c r="E588" t="s">
        <v>22</v>
      </c>
      <c r="F588" t="s">
        <v>23</v>
      </c>
      <c r="G588">
        <v>1</v>
      </c>
      <c r="H588">
        <v>9791166300233</v>
      </c>
      <c r="I588" t="s">
        <v>24</v>
      </c>
      <c r="J588" t="s">
        <v>132</v>
      </c>
      <c r="K588" t="s">
        <v>119</v>
      </c>
      <c r="L588" t="s">
        <v>27</v>
      </c>
      <c r="M588" s="3">
        <v>3200</v>
      </c>
      <c r="N588" t="s">
        <v>27</v>
      </c>
      <c r="O588" s="3">
        <v>3200</v>
      </c>
      <c r="P588" s="3">
        <v>3200</v>
      </c>
      <c r="Q588" t="s">
        <v>30</v>
      </c>
      <c r="R588" s="2">
        <v>0.7</v>
      </c>
      <c r="S588" s="3">
        <v>2240</v>
      </c>
      <c r="T588" t="s">
        <v>27</v>
      </c>
      <c r="U588" s="3">
        <v>2240</v>
      </c>
      <c r="V588" s="7" t="s">
        <v>24</v>
      </c>
      <c r="W588" s="7" t="s">
        <v>119</v>
      </c>
    </row>
    <row r="589" spans="1:23" x14ac:dyDescent="0.4">
      <c r="A589" t="s">
        <v>262</v>
      </c>
      <c r="B589" t="s">
        <v>1340</v>
      </c>
      <c r="C589" t="s">
        <v>1351</v>
      </c>
      <c r="D589" t="s">
        <v>64</v>
      </c>
      <c r="E589" t="s">
        <v>22</v>
      </c>
      <c r="F589" t="s">
        <v>23</v>
      </c>
      <c r="G589">
        <v>1</v>
      </c>
      <c r="H589">
        <v>9791166300233</v>
      </c>
      <c r="I589" t="s">
        <v>24</v>
      </c>
      <c r="J589" t="s">
        <v>132</v>
      </c>
      <c r="K589" t="s">
        <v>119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2">
        <v>0.7</v>
      </c>
      <c r="S589">
        <v>441</v>
      </c>
      <c r="T589" t="s">
        <v>27</v>
      </c>
      <c r="U589">
        <v>441</v>
      </c>
      <c r="V589" s="7" t="s">
        <v>24</v>
      </c>
      <c r="W589" s="7" t="s">
        <v>119</v>
      </c>
    </row>
    <row r="590" spans="1:23" x14ac:dyDescent="0.4">
      <c r="A590" t="s">
        <v>262</v>
      </c>
      <c r="B590" t="s">
        <v>1340</v>
      </c>
      <c r="C590" t="s">
        <v>1352</v>
      </c>
      <c r="D590" t="s">
        <v>64</v>
      </c>
      <c r="E590" t="s">
        <v>22</v>
      </c>
      <c r="F590" t="s">
        <v>23</v>
      </c>
      <c r="G590">
        <v>1</v>
      </c>
      <c r="H590">
        <v>9791166300165</v>
      </c>
      <c r="I590" t="s">
        <v>24</v>
      </c>
      <c r="J590" t="s">
        <v>126</v>
      </c>
      <c r="K590" t="s">
        <v>119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  <c r="V590" s="7" t="s">
        <v>24</v>
      </c>
      <c r="W590" s="7" t="s">
        <v>119</v>
      </c>
    </row>
    <row r="591" spans="1:23" x14ac:dyDescent="0.4">
      <c r="A591" t="s">
        <v>262</v>
      </c>
      <c r="B591" t="s">
        <v>1340</v>
      </c>
      <c r="C591" t="s">
        <v>1353</v>
      </c>
      <c r="D591" t="s">
        <v>64</v>
      </c>
      <c r="E591" t="s">
        <v>22</v>
      </c>
      <c r="F591" t="s">
        <v>23</v>
      </c>
      <c r="G591">
        <v>1</v>
      </c>
      <c r="H591">
        <v>9791166300196</v>
      </c>
      <c r="I591" t="s">
        <v>24</v>
      </c>
      <c r="J591" t="s">
        <v>128</v>
      </c>
      <c r="K591" t="s">
        <v>119</v>
      </c>
      <c r="L591" t="s">
        <v>27</v>
      </c>
      <c r="M591">
        <v>630</v>
      </c>
      <c r="N591" t="s">
        <v>27</v>
      </c>
      <c r="O591">
        <v>630</v>
      </c>
      <c r="P591">
        <v>630</v>
      </c>
      <c r="Q591" t="s">
        <v>30</v>
      </c>
      <c r="R591" s="2">
        <v>0.7</v>
      </c>
      <c r="S591">
        <v>441</v>
      </c>
      <c r="T591" t="s">
        <v>27</v>
      </c>
      <c r="U591">
        <v>441</v>
      </c>
      <c r="V591" s="7" t="s">
        <v>24</v>
      </c>
      <c r="W591" s="7" t="s">
        <v>119</v>
      </c>
    </row>
    <row r="592" spans="1:23" x14ac:dyDescent="0.4">
      <c r="A592" t="s">
        <v>262</v>
      </c>
      <c r="B592" t="s">
        <v>1340</v>
      </c>
      <c r="C592" t="s">
        <v>1354</v>
      </c>
      <c r="D592" t="s">
        <v>64</v>
      </c>
      <c r="E592" t="s">
        <v>22</v>
      </c>
      <c r="F592" t="s">
        <v>23</v>
      </c>
      <c r="G592">
        <v>1</v>
      </c>
      <c r="H592">
        <v>9791166300493</v>
      </c>
      <c r="I592" t="s">
        <v>24</v>
      </c>
      <c r="J592" t="s">
        <v>147</v>
      </c>
      <c r="K592" t="s">
        <v>119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2">
        <v>0.7</v>
      </c>
      <c r="S592">
        <v>441</v>
      </c>
      <c r="T592" t="s">
        <v>27</v>
      </c>
      <c r="U592">
        <v>441</v>
      </c>
      <c r="V592" s="7" t="s">
        <v>24</v>
      </c>
      <c r="W592" s="7" t="s">
        <v>119</v>
      </c>
    </row>
    <row r="593" spans="1:23" x14ac:dyDescent="0.4">
      <c r="A593" t="s">
        <v>262</v>
      </c>
      <c r="B593" t="s">
        <v>1340</v>
      </c>
      <c r="C593" t="s">
        <v>1355</v>
      </c>
      <c r="D593" t="s">
        <v>64</v>
      </c>
      <c r="E593" t="s">
        <v>22</v>
      </c>
      <c r="F593" t="s">
        <v>23</v>
      </c>
      <c r="G593">
        <v>1</v>
      </c>
      <c r="H593">
        <v>9791166300578</v>
      </c>
      <c r="I593" t="s">
        <v>24</v>
      </c>
      <c r="J593" t="s">
        <v>159</v>
      </c>
      <c r="K593" t="s">
        <v>119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  <c r="V593" s="7" t="s">
        <v>24</v>
      </c>
      <c r="W593" s="7" t="s">
        <v>119</v>
      </c>
    </row>
    <row r="594" spans="1:23" x14ac:dyDescent="0.4">
      <c r="A594" t="s">
        <v>262</v>
      </c>
      <c r="B594" t="s">
        <v>1340</v>
      </c>
      <c r="C594" t="s">
        <v>1356</v>
      </c>
      <c r="D594" t="s">
        <v>64</v>
      </c>
      <c r="E594" t="s">
        <v>22</v>
      </c>
      <c r="F594" t="s">
        <v>23</v>
      </c>
      <c r="G594">
        <v>1</v>
      </c>
      <c r="H594">
        <v>9791166300585</v>
      </c>
      <c r="I594" t="s">
        <v>24</v>
      </c>
      <c r="J594" t="s">
        <v>160</v>
      </c>
      <c r="K594" t="s">
        <v>119</v>
      </c>
      <c r="L594" t="s">
        <v>27</v>
      </c>
      <c r="M594">
        <v>630</v>
      </c>
      <c r="N594" t="s">
        <v>27</v>
      </c>
      <c r="O594">
        <v>630</v>
      </c>
      <c r="P594">
        <v>630</v>
      </c>
      <c r="Q594" t="s">
        <v>30</v>
      </c>
      <c r="R594" s="2">
        <v>0.7</v>
      </c>
      <c r="S594">
        <v>441</v>
      </c>
      <c r="T594" t="s">
        <v>27</v>
      </c>
      <c r="U594">
        <v>441</v>
      </c>
      <c r="V594" s="7" t="s">
        <v>24</v>
      </c>
      <c r="W594" s="7" t="s">
        <v>119</v>
      </c>
    </row>
    <row r="595" spans="1:23" x14ac:dyDescent="0.4">
      <c r="A595" t="s">
        <v>262</v>
      </c>
      <c r="B595" t="s">
        <v>1340</v>
      </c>
      <c r="C595" t="s">
        <v>1357</v>
      </c>
      <c r="D595" t="s">
        <v>64</v>
      </c>
      <c r="E595" t="s">
        <v>22</v>
      </c>
      <c r="F595" t="s">
        <v>23</v>
      </c>
      <c r="G595">
        <v>1</v>
      </c>
      <c r="H595">
        <v>9791166300578</v>
      </c>
      <c r="I595" t="s">
        <v>24</v>
      </c>
      <c r="J595" t="s">
        <v>159</v>
      </c>
      <c r="K595" t="s">
        <v>119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  <c r="V595" s="7" t="s">
        <v>24</v>
      </c>
      <c r="W595" s="7" t="s">
        <v>119</v>
      </c>
    </row>
    <row r="596" spans="1:23" x14ac:dyDescent="0.4">
      <c r="A596" t="s">
        <v>262</v>
      </c>
      <c r="B596" t="s">
        <v>1340</v>
      </c>
      <c r="C596" t="s">
        <v>1360</v>
      </c>
      <c r="D596" t="s">
        <v>21</v>
      </c>
      <c r="E596" t="s">
        <v>22</v>
      </c>
      <c r="F596" t="s">
        <v>23</v>
      </c>
      <c r="G596">
        <v>1</v>
      </c>
      <c r="H596">
        <v>9791166300127</v>
      </c>
      <c r="I596" t="s">
        <v>24</v>
      </c>
      <c r="J596" t="s">
        <v>122</v>
      </c>
      <c r="K596" t="s">
        <v>119</v>
      </c>
      <c r="L596" t="s">
        <v>27</v>
      </c>
      <c r="M596" s="3">
        <v>3200</v>
      </c>
      <c r="N596" t="s">
        <v>27</v>
      </c>
      <c r="O596" s="3">
        <v>3200</v>
      </c>
      <c r="P596" s="3">
        <v>3200</v>
      </c>
      <c r="Q596" t="s">
        <v>30</v>
      </c>
      <c r="R596" s="2">
        <v>0.7</v>
      </c>
      <c r="S596" s="3">
        <v>2240</v>
      </c>
      <c r="T596" t="s">
        <v>27</v>
      </c>
      <c r="U596" s="3">
        <v>2240</v>
      </c>
      <c r="V596" s="7" t="s">
        <v>24</v>
      </c>
      <c r="W596" s="7" t="s">
        <v>119</v>
      </c>
    </row>
    <row r="597" spans="1:23" x14ac:dyDescent="0.4">
      <c r="A597" t="s">
        <v>262</v>
      </c>
      <c r="B597" t="s">
        <v>1340</v>
      </c>
      <c r="C597" t="s">
        <v>1361</v>
      </c>
      <c r="D597" t="s">
        <v>64</v>
      </c>
      <c r="E597" t="s">
        <v>22</v>
      </c>
      <c r="F597" t="s">
        <v>23</v>
      </c>
      <c r="G597">
        <v>1</v>
      </c>
      <c r="H597">
        <v>9791166300134</v>
      </c>
      <c r="I597" t="s">
        <v>24</v>
      </c>
      <c r="J597" t="s">
        <v>123</v>
      </c>
      <c r="K597" t="s">
        <v>119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  <c r="V597" s="7" t="s">
        <v>24</v>
      </c>
      <c r="W597" s="7" t="s">
        <v>119</v>
      </c>
    </row>
    <row r="598" spans="1:23" x14ac:dyDescent="0.4">
      <c r="A598" t="s">
        <v>262</v>
      </c>
      <c r="B598" t="s">
        <v>1340</v>
      </c>
      <c r="C598" t="s">
        <v>1363</v>
      </c>
      <c r="D598" t="s">
        <v>64</v>
      </c>
      <c r="E598" t="s">
        <v>22</v>
      </c>
      <c r="F598" t="s">
        <v>23</v>
      </c>
      <c r="G598">
        <v>1</v>
      </c>
      <c r="H598">
        <v>9791166300646</v>
      </c>
      <c r="I598" t="s">
        <v>24</v>
      </c>
      <c r="J598" t="s">
        <v>155</v>
      </c>
      <c r="K598" t="s">
        <v>119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  <c r="V598" s="7" t="s">
        <v>24</v>
      </c>
      <c r="W598" s="7" t="s">
        <v>119</v>
      </c>
    </row>
    <row r="599" spans="1:23" x14ac:dyDescent="0.4">
      <c r="A599" t="s">
        <v>262</v>
      </c>
      <c r="B599" t="s">
        <v>1340</v>
      </c>
      <c r="C599" t="s">
        <v>1364</v>
      </c>
      <c r="D599" t="s">
        <v>64</v>
      </c>
      <c r="E599" t="s">
        <v>22</v>
      </c>
      <c r="F599" t="s">
        <v>23</v>
      </c>
      <c r="G599">
        <v>1</v>
      </c>
      <c r="H599">
        <v>9791166300509</v>
      </c>
      <c r="I599" t="s">
        <v>24</v>
      </c>
      <c r="J599" t="s">
        <v>148</v>
      </c>
      <c r="K599" t="s">
        <v>119</v>
      </c>
      <c r="L599" t="s">
        <v>27</v>
      </c>
      <c r="M599">
        <v>630</v>
      </c>
      <c r="N599" t="s">
        <v>27</v>
      </c>
      <c r="O599">
        <v>630</v>
      </c>
      <c r="P599">
        <v>630</v>
      </c>
      <c r="Q599" t="s">
        <v>30</v>
      </c>
      <c r="R599" s="2">
        <v>0.7</v>
      </c>
      <c r="S599">
        <v>441</v>
      </c>
      <c r="T599" t="s">
        <v>27</v>
      </c>
      <c r="U599">
        <v>441</v>
      </c>
      <c r="V599" s="7" t="s">
        <v>24</v>
      </c>
      <c r="W599" s="7" t="s">
        <v>119</v>
      </c>
    </row>
    <row r="600" spans="1:23" x14ac:dyDescent="0.4">
      <c r="A600" t="s">
        <v>262</v>
      </c>
      <c r="B600" t="s">
        <v>1340</v>
      </c>
      <c r="C600" t="s">
        <v>1369</v>
      </c>
      <c r="D600" t="s">
        <v>21</v>
      </c>
      <c r="E600" t="s">
        <v>22</v>
      </c>
      <c r="F600" t="s">
        <v>23</v>
      </c>
      <c r="G600">
        <v>1</v>
      </c>
      <c r="H600">
        <v>9791166300240</v>
      </c>
      <c r="I600" t="s">
        <v>24</v>
      </c>
      <c r="J600" t="s">
        <v>133</v>
      </c>
      <c r="K600" t="s">
        <v>119</v>
      </c>
      <c r="L600" t="s">
        <v>27</v>
      </c>
      <c r="M600" s="3">
        <v>3200</v>
      </c>
      <c r="N600" t="s">
        <v>27</v>
      </c>
      <c r="O600" s="3">
        <v>3200</v>
      </c>
      <c r="P600" s="3">
        <v>3200</v>
      </c>
      <c r="Q600" t="s">
        <v>30</v>
      </c>
      <c r="R600" s="2">
        <v>0.7</v>
      </c>
      <c r="S600" s="3">
        <v>2240</v>
      </c>
      <c r="T600" t="s">
        <v>27</v>
      </c>
      <c r="U600" s="3">
        <v>2240</v>
      </c>
      <c r="V600" s="7" t="s">
        <v>24</v>
      </c>
      <c r="W600" s="7" t="s">
        <v>119</v>
      </c>
    </row>
    <row r="601" spans="1:23" x14ac:dyDescent="0.4">
      <c r="A601" t="s">
        <v>262</v>
      </c>
      <c r="B601" t="s">
        <v>1340</v>
      </c>
      <c r="C601" t="s">
        <v>1370</v>
      </c>
      <c r="D601" t="s">
        <v>64</v>
      </c>
      <c r="E601" t="s">
        <v>22</v>
      </c>
      <c r="F601" t="s">
        <v>23</v>
      </c>
      <c r="G601">
        <v>1</v>
      </c>
      <c r="H601">
        <v>9791166300660</v>
      </c>
      <c r="I601" t="s">
        <v>24</v>
      </c>
      <c r="J601" t="s">
        <v>156</v>
      </c>
      <c r="K601" t="s">
        <v>119</v>
      </c>
      <c r="L601" t="s">
        <v>27</v>
      </c>
      <c r="M601">
        <v>630</v>
      </c>
      <c r="N601" t="s">
        <v>27</v>
      </c>
      <c r="O601">
        <v>630</v>
      </c>
      <c r="P601">
        <v>630</v>
      </c>
      <c r="Q601" t="s">
        <v>30</v>
      </c>
      <c r="R601" s="2">
        <v>0.7</v>
      </c>
      <c r="S601">
        <v>441</v>
      </c>
      <c r="T601" t="s">
        <v>27</v>
      </c>
      <c r="U601">
        <v>441</v>
      </c>
      <c r="V601" s="7" t="s">
        <v>24</v>
      </c>
      <c r="W601" s="7" t="s">
        <v>119</v>
      </c>
    </row>
    <row r="602" spans="1:23" x14ac:dyDescent="0.4">
      <c r="A602" t="s">
        <v>262</v>
      </c>
      <c r="B602" t="s">
        <v>1340</v>
      </c>
      <c r="C602" t="s">
        <v>1371</v>
      </c>
      <c r="D602" t="s">
        <v>64</v>
      </c>
      <c r="E602" t="s">
        <v>22</v>
      </c>
      <c r="F602" t="s">
        <v>23</v>
      </c>
      <c r="G602">
        <v>1</v>
      </c>
      <c r="H602">
        <v>9791166300592</v>
      </c>
      <c r="I602" t="s">
        <v>24</v>
      </c>
      <c r="J602" t="s">
        <v>161</v>
      </c>
      <c r="K602" t="s">
        <v>119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  <c r="V602" s="7" t="s">
        <v>24</v>
      </c>
      <c r="W602" s="7" t="s">
        <v>119</v>
      </c>
    </row>
    <row r="603" spans="1:23" x14ac:dyDescent="0.4">
      <c r="A603" t="s">
        <v>262</v>
      </c>
      <c r="B603" t="s">
        <v>1340</v>
      </c>
      <c r="C603" t="s">
        <v>1372</v>
      </c>
      <c r="D603" t="s">
        <v>64</v>
      </c>
      <c r="E603" t="s">
        <v>22</v>
      </c>
      <c r="F603" t="s">
        <v>23</v>
      </c>
      <c r="G603">
        <v>1</v>
      </c>
      <c r="H603">
        <v>9791166300493</v>
      </c>
      <c r="I603" t="s">
        <v>24</v>
      </c>
      <c r="J603" t="s">
        <v>147</v>
      </c>
      <c r="K603" t="s">
        <v>119</v>
      </c>
      <c r="L603" t="s">
        <v>27</v>
      </c>
      <c r="M603">
        <v>630</v>
      </c>
      <c r="N603" t="s">
        <v>27</v>
      </c>
      <c r="O603">
        <v>630</v>
      </c>
      <c r="P603">
        <v>630</v>
      </c>
      <c r="Q603" t="s">
        <v>30</v>
      </c>
      <c r="R603" s="2">
        <v>0.7</v>
      </c>
      <c r="S603">
        <v>441</v>
      </c>
      <c r="T603" t="s">
        <v>27</v>
      </c>
      <c r="U603">
        <v>441</v>
      </c>
      <c r="V603" s="7" t="s">
        <v>24</v>
      </c>
      <c r="W603" s="7" t="s">
        <v>119</v>
      </c>
    </row>
    <row r="604" spans="1:23" x14ac:dyDescent="0.4">
      <c r="A604" t="s">
        <v>262</v>
      </c>
      <c r="B604" t="s">
        <v>1340</v>
      </c>
      <c r="C604" t="s">
        <v>1373</v>
      </c>
      <c r="D604" t="s">
        <v>64</v>
      </c>
      <c r="E604" t="s">
        <v>22</v>
      </c>
      <c r="F604" t="s">
        <v>23</v>
      </c>
      <c r="G604">
        <v>1</v>
      </c>
      <c r="H604">
        <v>9791166300554</v>
      </c>
      <c r="I604" t="s">
        <v>24</v>
      </c>
      <c r="J604" t="s">
        <v>154</v>
      </c>
      <c r="K604" t="s">
        <v>119</v>
      </c>
      <c r="L604" t="s">
        <v>27</v>
      </c>
      <c r="M604">
        <v>630</v>
      </c>
      <c r="N604" t="s">
        <v>27</v>
      </c>
      <c r="O604">
        <v>630</v>
      </c>
      <c r="P604">
        <v>630</v>
      </c>
      <c r="Q604" t="s">
        <v>30</v>
      </c>
      <c r="R604" s="2">
        <v>0.7</v>
      </c>
      <c r="S604">
        <v>441</v>
      </c>
      <c r="T604" t="s">
        <v>27</v>
      </c>
      <c r="U604">
        <v>441</v>
      </c>
      <c r="V604" s="7" t="s">
        <v>24</v>
      </c>
      <c r="W604" s="7" t="s">
        <v>119</v>
      </c>
    </row>
    <row r="605" spans="1:23" x14ac:dyDescent="0.4">
      <c r="A605" t="s">
        <v>262</v>
      </c>
      <c r="B605" t="s">
        <v>1340</v>
      </c>
      <c r="C605" t="s">
        <v>1374</v>
      </c>
      <c r="D605" t="s">
        <v>64</v>
      </c>
      <c r="E605" t="s">
        <v>22</v>
      </c>
      <c r="F605" t="s">
        <v>23</v>
      </c>
      <c r="G605">
        <v>1</v>
      </c>
      <c r="H605">
        <v>9791166300530</v>
      </c>
      <c r="I605" t="s">
        <v>24</v>
      </c>
      <c r="J605" t="s">
        <v>151</v>
      </c>
      <c r="K605" t="s">
        <v>119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  <c r="V605" s="7" t="s">
        <v>24</v>
      </c>
      <c r="W605" s="7" t="s">
        <v>119</v>
      </c>
    </row>
    <row r="606" spans="1:23" x14ac:dyDescent="0.4">
      <c r="A606" t="s">
        <v>262</v>
      </c>
      <c r="B606" t="s">
        <v>1340</v>
      </c>
      <c r="C606" t="s">
        <v>1379</v>
      </c>
      <c r="D606" t="s">
        <v>64</v>
      </c>
      <c r="E606" t="s">
        <v>22</v>
      </c>
      <c r="F606" t="s">
        <v>23</v>
      </c>
      <c r="G606">
        <v>1</v>
      </c>
      <c r="H606">
        <v>9791166300509</v>
      </c>
      <c r="I606" t="s">
        <v>24</v>
      </c>
      <c r="J606" t="s">
        <v>148</v>
      </c>
      <c r="K606" t="s">
        <v>119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2">
        <v>0.7</v>
      </c>
      <c r="S606">
        <v>441</v>
      </c>
      <c r="T606" t="s">
        <v>27</v>
      </c>
      <c r="U606">
        <v>441</v>
      </c>
      <c r="V606" s="7" t="s">
        <v>24</v>
      </c>
      <c r="W606" s="7" t="s">
        <v>119</v>
      </c>
    </row>
    <row r="607" spans="1:23" x14ac:dyDescent="0.4">
      <c r="A607" t="s">
        <v>262</v>
      </c>
      <c r="B607" t="s">
        <v>1340</v>
      </c>
      <c r="C607" t="s">
        <v>1381</v>
      </c>
      <c r="D607" t="s">
        <v>64</v>
      </c>
      <c r="E607" t="s">
        <v>22</v>
      </c>
      <c r="F607" t="s">
        <v>23</v>
      </c>
      <c r="G607">
        <v>1</v>
      </c>
      <c r="H607">
        <v>9791166300516</v>
      </c>
      <c r="I607" t="s">
        <v>24</v>
      </c>
      <c r="J607" t="s">
        <v>149</v>
      </c>
      <c r="K607" t="s">
        <v>119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2">
        <v>0.7</v>
      </c>
      <c r="S607">
        <v>441</v>
      </c>
      <c r="T607" t="s">
        <v>27</v>
      </c>
      <c r="U607">
        <v>441</v>
      </c>
      <c r="V607" s="7" t="s">
        <v>24</v>
      </c>
      <c r="W607" s="7" t="s">
        <v>119</v>
      </c>
    </row>
    <row r="608" spans="1:23" x14ac:dyDescent="0.4">
      <c r="A608" t="s">
        <v>262</v>
      </c>
      <c r="B608" t="s">
        <v>1340</v>
      </c>
      <c r="C608" t="s">
        <v>1382</v>
      </c>
      <c r="D608" t="s">
        <v>64</v>
      </c>
      <c r="E608" t="s">
        <v>22</v>
      </c>
      <c r="F608" t="s">
        <v>23</v>
      </c>
      <c r="G608">
        <v>1</v>
      </c>
      <c r="H608">
        <v>9791166300646</v>
      </c>
      <c r="I608" t="s">
        <v>24</v>
      </c>
      <c r="J608" t="s">
        <v>155</v>
      </c>
      <c r="K608" t="s">
        <v>119</v>
      </c>
      <c r="L608" t="s">
        <v>27</v>
      </c>
      <c r="M608">
        <v>630</v>
      </c>
      <c r="N608" t="s">
        <v>27</v>
      </c>
      <c r="O608">
        <v>630</v>
      </c>
      <c r="P608">
        <v>630</v>
      </c>
      <c r="Q608" t="s">
        <v>30</v>
      </c>
      <c r="R608" s="2">
        <v>0.7</v>
      </c>
      <c r="S608">
        <v>441</v>
      </c>
      <c r="T608" t="s">
        <v>27</v>
      </c>
      <c r="U608">
        <v>441</v>
      </c>
      <c r="V608" s="7" t="s">
        <v>24</v>
      </c>
      <c r="W608" s="7" t="s">
        <v>119</v>
      </c>
    </row>
    <row r="609" spans="1:23" x14ac:dyDescent="0.4">
      <c r="A609" t="s">
        <v>262</v>
      </c>
      <c r="B609" t="s">
        <v>1340</v>
      </c>
      <c r="C609" t="s">
        <v>1383</v>
      </c>
      <c r="D609" t="s">
        <v>64</v>
      </c>
      <c r="E609" t="s">
        <v>22</v>
      </c>
      <c r="F609" t="s">
        <v>23</v>
      </c>
      <c r="G609">
        <v>1</v>
      </c>
      <c r="H609">
        <v>9791166300585</v>
      </c>
      <c r="I609" t="s">
        <v>24</v>
      </c>
      <c r="J609" t="s">
        <v>160</v>
      </c>
      <c r="K609" t="s">
        <v>119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  <c r="V609" s="7" t="s">
        <v>24</v>
      </c>
      <c r="W609" s="7" t="s">
        <v>119</v>
      </c>
    </row>
    <row r="610" spans="1:23" x14ac:dyDescent="0.4">
      <c r="A610" t="s">
        <v>262</v>
      </c>
      <c r="B610" t="s">
        <v>1340</v>
      </c>
      <c r="C610" t="s">
        <v>1385</v>
      </c>
      <c r="D610" t="s">
        <v>64</v>
      </c>
      <c r="E610" t="s">
        <v>22</v>
      </c>
      <c r="F610" t="s">
        <v>23</v>
      </c>
      <c r="G610">
        <v>1</v>
      </c>
      <c r="H610">
        <v>9791166300547</v>
      </c>
      <c r="I610" t="s">
        <v>24</v>
      </c>
      <c r="J610" t="s">
        <v>153</v>
      </c>
      <c r="K610" t="s">
        <v>119</v>
      </c>
      <c r="L610" t="s">
        <v>27</v>
      </c>
      <c r="M610">
        <v>630</v>
      </c>
      <c r="N610" t="s">
        <v>27</v>
      </c>
      <c r="O610">
        <v>630</v>
      </c>
      <c r="P610">
        <v>630</v>
      </c>
      <c r="Q610" t="s">
        <v>30</v>
      </c>
      <c r="R610" s="2">
        <v>0.7</v>
      </c>
      <c r="S610">
        <v>441</v>
      </c>
      <c r="T610" t="s">
        <v>27</v>
      </c>
      <c r="U610">
        <v>441</v>
      </c>
      <c r="V610" s="7" t="s">
        <v>24</v>
      </c>
      <c r="W610" s="7" t="s">
        <v>119</v>
      </c>
    </row>
    <row r="611" spans="1:23" x14ac:dyDescent="0.4">
      <c r="A611" t="s">
        <v>262</v>
      </c>
      <c r="B611" t="s">
        <v>1340</v>
      </c>
      <c r="C611" t="s">
        <v>1386</v>
      </c>
      <c r="D611" t="s">
        <v>64</v>
      </c>
      <c r="E611" t="s">
        <v>22</v>
      </c>
      <c r="F611" t="s">
        <v>23</v>
      </c>
      <c r="G611">
        <v>1</v>
      </c>
      <c r="H611">
        <v>9791166300127</v>
      </c>
      <c r="I611" t="s">
        <v>24</v>
      </c>
      <c r="J611" t="s">
        <v>122</v>
      </c>
      <c r="K611" t="s">
        <v>119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2">
        <v>0.7</v>
      </c>
      <c r="S611">
        <v>441</v>
      </c>
      <c r="T611" t="s">
        <v>27</v>
      </c>
      <c r="U611">
        <v>441</v>
      </c>
      <c r="V611" s="7" t="s">
        <v>24</v>
      </c>
      <c r="W611" s="7" t="s">
        <v>119</v>
      </c>
    </row>
    <row r="612" spans="1:23" x14ac:dyDescent="0.4">
      <c r="A612" t="s">
        <v>262</v>
      </c>
      <c r="B612" t="s">
        <v>1340</v>
      </c>
      <c r="C612" t="s">
        <v>1387</v>
      </c>
      <c r="D612" t="s">
        <v>21</v>
      </c>
      <c r="E612" t="s">
        <v>22</v>
      </c>
      <c r="F612" t="s">
        <v>23</v>
      </c>
      <c r="G612">
        <v>1</v>
      </c>
      <c r="H612">
        <v>9791166300509</v>
      </c>
      <c r="I612" t="s">
        <v>24</v>
      </c>
      <c r="J612" t="s">
        <v>148</v>
      </c>
      <c r="K612" t="s">
        <v>119</v>
      </c>
      <c r="L612" t="s">
        <v>27</v>
      </c>
      <c r="M612" s="3">
        <v>3200</v>
      </c>
      <c r="N612" t="s">
        <v>27</v>
      </c>
      <c r="O612" s="3">
        <v>3200</v>
      </c>
      <c r="P612" s="3">
        <v>3200</v>
      </c>
      <c r="Q612" t="s">
        <v>30</v>
      </c>
      <c r="R612" s="2">
        <v>0.7</v>
      </c>
      <c r="S612" s="3">
        <v>2240</v>
      </c>
      <c r="T612" t="s">
        <v>27</v>
      </c>
      <c r="U612" s="3">
        <v>2240</v>
      </c>
      <c r="V612" s="7" t="s">
        <v>24</v>
      </c>
      <c r="W612" s="7" t="s">
        <v>119</v>
      </c>
    </row>
    <row r="613" spans="1:23" x14ac:dyDescent="0.4">
      <c r="A613" t="s">
        <v>262</v>
      </c>
      <c r="B613" t="s">
        <v>1340</v>
      </c>
      <c r="C613" t="s">
        <v>1388</v>
      </c>
      <c r="D613" t="s">
        <v>64</v>
      </c>
      <c r="E613" t="s">
        <v>22</v>
      </c>
      <c r="F613" t="s">
        <v>23</v>
      </c>
      <c r="G613">
        <v>1</v>
      </c>
      <c r="H613">
        <v>9791166300172</v>
      </c>
      <c r="I613" t="s">
        <v>24</v>
      </c>
      <c r="J613" t="s">
        <v>127</v>
      </c>
      <c r="K613" t="s">
        <v>119</v>
      </c>
      <c r="L613" t="s">
        <v>27</v>
      </c>
      <c r="M613">
        <v>630</v>
      </c>
      <c r="N613" t="s">
        <v>27</v>
      </c>
      <c r="O613">
        <v>630</v>
      </c>
      <c r="P613">
        <v>630</v>
      </c>
      <c r="Q613" t="s">
        <v>30</v>
      </c>
      <c r="R613" s="2">
        <v>0.7</v>
      </c>
      <c r="S613">
        <v>441</v>
      </c>
      <c r="T613" t="s">
        <v>27</v>
      </c>
      <c r="U613">
        <v>441</v>
      </c>
      <c r="V613" s="7" t="s">
        <v>24</v>
      </c>
      <c r="W613" s="7" t="s">
        <v>119</v>
      </c>
    </row>
    <row r="614" spans="1:23" x14ac:dyDescent="0.4">
      <c r="A614" t="s">
        <v>262</v>
      </c>
      <c r="B614" t="s">
        <v>1340</v>
      </c>
      <c r="C614" t="s">
        <v>1389</v>
      </c>
      <c r="D614" t="s">
        <v>64</v>
      </c>
      <c r="E614" t="s">
        <v>22</v>
      </c>
      <c r="F614" t="s">
        <v>23</v>
      </c>
      <c r="G614">
        <v>1</v>
      </c>
      <c r="H614">
        <v>9791166300141</v>
      </c>
      <c r="I614" t="s">
        <v>24</v>
      </c>
      <c r="J614" t="s">
        <v>124</v>
      </c>
      <c r="K614" t="s">
        <v>119</v>
      </c>
      <c r="L614" t="s">
        <v>27</v>
      </c>
      <c r="M614">
        <v>630</v>
      </c>
      <c r="N614" t="s">
        <v>27</v>
      </c>
      <c r="O614">
        <v>630</v>
      </c>
      <c r="P614">
        <v>630</v>
      </c>
      <c r="Q614" t="s">
        <v>30</v>
      </c>
      <c r="R614" s="2">
        <v>0.7</v>
      </c>
      <c r="S614">
        <v>441</v>
      </c>
      <c r="T614" t="s">
        <v>27</v>
      </c>
      <c r="U614">
        <v>441</v>
      </c>
      <c r="V614" s="7" t="s">
        <v>24</v>
      </c>
      <c r="W614" s="7" t="s">
        <v>119</v>
      </c>
    </row>
    <row r="615" spans="1:23" x14ac:dyDescent="0.4">
      <c r="A615" t="s">
        <v>262</v>
      </c>
      <c r="B615" t="s">
        <v>1340</v>
      </c>
      <c r="C615" t="s">
        <v>1392</v>
      </c>
      <c r="D615" t="s">
        <v>64</v>
      </c>
      <c r="E615" t="s">
        <v>22</v>
      </c>
      <c r="F615" t="s">
        <v>23</v>
      </c>
      <c r="G615">
        <v>1</v>
      </c>
      <c r="H615">
        <v>9791166300233</v>
      </c>
      <c r="I615" t="s">
        <v>24</v>
      </c>
      <c r="J615" t="s">
        <v>132</v>
      </c>
      <c r="K615" t="s">
        <v>119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  <c r="V615" s="7" t="s">
        <v>24</v>
      </c>
      <c r="W615" s="7" t="s">
        <v>119</v>
      </c>
    </row>
    <row r="616" spans="1:23" x14ac:dyDescent="0.4">
      <c r="A616" t="s">
        <v>262</v>
      </c>
      <c r="B616" t="s">
        <v>1340</v>
      </c>
      <c r="C616" t="s">
        <v>1393</v>
      </c>
      <c r="D616" t="s">
        <v>64</v>
      </c>
      <c r="E616" t="s">
        <v>22</v>
      </c>
      <c r="F616" t="s">
        <v>23</v>
      </c>
      <c r="G616">
        <v>1</v>
      </c>
      <c r="H616">
        <v>9791166300110</v>
      </c>
      <c r="I616" t="s">
        <v>24</v>
      </c>
      <c r="J616" t="s">
        <v>121</v>
      </c>
      <c r="K616" t="s">
        <v>119</v>
      </c>
      <c r="L616" t="s">
        <v>27</v>
      </c>
      <c r="M616">
        <v>630</v>
      </c>
      <c r="N616" t="s">
        <v>27</v>
      </c>
      <c r="O616">
        <v>630</v>
      </c>
      <c r="P616">
        <v>630</v>
      </c>
      <c r="Q616" t="s">
        <v>30</v>
      </c>
      <c r="R616" s="2">
        <v>0.7</v>
      </c>
      <c r="S616">
        <v>441</v>
      </c>
      <c r="T616" t="s">
        <v>27</v>
      </c>
      <c r="U616">
        <v>441</v>
      </c>
      <c r="V616" s="7" t="s">
        <v>24</v>
      </c>
      <c r="W616" s="7" t="s">
        <v>119</v>
      </c>
    </row>
    <row r="617" spans="1:23" x14ac:dyDescent="0.4">
      <c r="A617" t="s">
        <v>262</v>
      </c>
      <c r="B617" t="s">
        <v>1340</v>
      </c>
      <c r="C617" t="s">
        <v>1397</v>
      </c>
      <c r="D617" t="s">
        <v>64</v>
      </c>
      <c r="E617" t="s">
        <v>22</v>
      </c>
      <c r="F617" t="s">
        <v>23</v>
      </c>
      <c r="G617">
        <v>1</v>
      </c>
      <c r="H617">
        <v>9791166300660</v>
      </c>
      <c r="I617" t="s">
        <v>24</v>
      </c>
      <c r="J617" t="s">
        <v>156</v>
      </c>
      <c r="K617" t="s">
        <v>119</v>
      </c>
      <c r="L617" t="s">
        <v>27</v>
      </c>
      <c r="M617">
        <v>630</v>
      </c>
      <c r="N617" t="s">
        <v>27</v>
      </c>
      <c r="O617">
        <v>630</v>
      </c>
      <c r="P617">
        <v>630</v>
      </c>
      <c r="Q617" t="s">
        <v>30</v>
      </c>
      <c r="R617" s="2">
        <v>0.7</v>
      </c>
      <c r="S617">
        <v>441</v>
      </c>
      <c r="T617" t="s">
        <v>27</v>
      </c>
      <c r="U617">
        <v>441</v>
      </c>
      <c r="V617" s="7" t="s">
        <v>24</v>
      </c>
      <c r="W617" s="7" t="s">
        <v>119</v>
      </c>
    </row>
    <row r="618" spans="1:23" x14ac:dyDescent="0.4">
      <c r="A618" t="s">
        <v>262</v>
      </c>
      <c r="B618" t="s">
        <v>1340</v>
      </c>
      <c r="C618" t="s">
        <v>1398</v>
      </c>
      <c r="D618" t="s">
        <v>21</v>
      </c>
      <c r="E618" t="s">
        <v>22</v>
      </c>
      <c r="F618" t="s">
        <v>23</v>
      </c>
      <c r="G618">
        <v>1</v>
      </c>
      <c r="H618">
        <v>9791166300240</v>
      </c>
      <c r="I618" t="s">
        <v>24</v>
      </c>
      <c r="J618" t="s">
        <v>133</v>
      </c>
      <c r="K618" t="s">
        <v>119</v>
      </c>
      <c r="L618" t="s">
        <v>27</v>
      </c>
      <c r="M618" s="3">
        <v>3200</v>
      </c>
      <c r="N618" t="s">
        <v>27</v>
      </c>
      <c r="O618" s="3">
        <v>3200</v>
      </c>
      <c r="P618" s="3">
        <v>3200</v>
      </c>
      <c r="Q618" t="s">
        <v>30</v>
      </c>
      <c r="R618" s="2">
        <v>0.7</v>
      </c>
      <c r="S618" s="3">
        <v>2240</v>
      </c>
      <c r="T618" t="s">
        <v>27</v>
      </c>
      <c r="U618" s="3">
        <v>2240</v>
      </c>
      <c r="V618" s="7" t="s">
        <v>24</v>
      </c>
      <c r="W618" s="7" t="s">
        <v>119</v>
      </c>
    </row>
    <row r="619" spans="1:23" x14ac:dyDescent="0.4">
      <c r="A619" t="s">
        <v>262</v>
      </c>
      <c r="B619" t="s">
        <v>1340</v>
      </c>
      <c r="C619" t="s">
        <v>1399</v>
      </c>
      <c r="D619" t="s">
        <v>64</v>
      </c>
      <c r="E619" t="s">
        <v>22</v>
      </c>
      <c r="F619" t="s">
        <v>23</v>
      </c>
      <c r="G619">
        <v>1</v>
      </c>
      <c r="H619">
        <v>9791166300592</v>
      </c>
      <c r="I619" t="s">
        <v>24</v>
      </c>
      <c r="J619" t="s">
        <v>161</v>
      </c>
      <c r="K619" t="s">
        <v>119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2">
        <v>0.7</v>
      </c>
      <c r="S619">
        <v>441</v>
      </c>
      <c r="T619" t="s">
        <v>27</v>
      </c>
      <c r="U619">
        <v>441</v>
      </c>
      <c r="V619" s="7" t="s">
        <v>24</v>
      </c>
      <c r="W619" s="7" t="s">
        <v>119</v>
      </c>
    </row>
    <row r="620" spans="1:23" x14ac:dyDescent="0.4">
      <c r="A620" t="s">
        <v>262</v>
      </c>
      <c r="B620" t="s">
        <v>1340</v>
      </c>
      <c r="C620" t="s">
        <v>1401</v>
      </c>
      <c r="D620" t="s">
        <v>64</v>
      </c>
      <c r="E620" t="s">
        <v>22</v>
      </c>
      <c r="F620" t="s">
        <v>23</v>
      </c>
      <c r="G620">
        <v>1</v>
      </c>
      <c r="H620">
        <v>9791166300127</v>
      </c>
      <c r="I620" t="s">
        <v>24</v>
      </c>
      <c r="J620" t="s">
        <v>122</v>
      </c>
      <c r="K620" t="s">
        <v>119</v>
      </c>
      <c r="L620" t="s">
        <v>27</v>
      </c>
      <c r="M620">
        <v>630</v>
      </c>
      <c r="N620" t="s">
        <v>27</v>
      </c>
      <c r="O620">
        <v>630</v>
      </c>
      <c r="P620">
        <v>630</v>
      </c>
      <c r="Q620" t="s">
        <v>30</v>
      </c>
      <c r="R620" s="2">
        <v>0.7</v>
      </c>
      <c r="S620">
        <v>441</v>
      </c>
      <c r="T620" t="s">
        <v>27</v>
      </c>
      <c r="U620">
        <v>441</v>
      </c>
      <c r="V620" s="7" t="s">
        <v>24</v>
      </c>
      <c r="W620" s="7" t="s">
        <v>119</v>
      </c>
    </row>
    <row r="621" spans="1:23" x14ac:dyDescent="0.4">
      <c r="A621" t="s">
        <v>262</v>
      </c>
      <c r="B621" t="s">
        <v>1340</v>
      </c>
      <c r="C621" t="s">
        <v>1402</v>
      </c>
      <c r="D621" t="s">
        <v>64</v>
      </c>
      <c r="E621" t="s">
        <v>22</v>
      </c>
      <c r="F621" t="s">
        <v>23</v>
      </c>
      <c r="G621">
        <v>1</v>
      </c>
      <c r="H621">
        <v>9791166300240</v>
      </c>
      <c r="I621" t="s">
        <v>24</v>
      </c>
      <c r="J621" t="s">
        <v>133</v>
      </c>
      <c r="K621" t="s">
        <v>119</v>
      </c>
      <c r="L621" t="s">
        <v>27</v>
      </c>
      <c r="M621">
        <v>630</v>
      </c>
      <c r="N621" t="s">
        <v>27</v>
      </c>
      <c r="O621">
        <v>630</v>
      </c>
      <c r="P621">
        <v>630</v>
      </c>
      <c r="Q621" t="s">
        <v>30</v>
      </c>
      <c r="R621" s="2">
        <v>0.7</v>
      </c>
      <c r="S621">
        <v>441</v>
      </c>
      <c r="T621" t="s">
        <v>27</v>
      </c>
      <c r="U621">
        <v>441</v>
      </c>
      <c r="V621" s="7" t="s">
        <v>24</v>
      </c>
      <c r="W621" s="7" t="s">
        <v>119</v>
      </c>
    </row>
    <row r="622" spans="1:23" x14ac:dyDescent="0.4">
      <c r="A622" t="s">
        <v>262</v>
      </c>
      <c r="B622" t="s">
        <v>1340</v>
      </c>
      <c r="C622" t="s">
        <v>1404</v>
      </c>
      <c r="D622" t="s">
        <v>64</v>
      </c>
      <c r="E622" t="s">
        <v>22</v>
      </c>
      <c r="F622" t="s">
        <v>23</v>
      </c>
      <c r="G622">
        <v>1</v>
      </c>
      <c r="H622">
        <v>9791166300585</v>
      </c>
      <c r="I622" t="s">
        <v>24</v>
      </c>
      <c r="J622" t="s">
        <v>160</v>
      </c>
      <c r="K622" t="s">
        <v>119</v>
      </c>
      <c r="L622" t="s">
        <v>27</v>
      </c>
      <c r="M622">
        <v>630</v>
      </c>
      <c r="N622" t="s">
        <v>27</v>
      </c>
      <c r="O622">
        <v>630</v>
      </c>
      <c r="P622">
        <v>630</v>
      </c>
      <c r="Q622" t="s">
        <v>30</v>
      </c>
      <c r="R622" s="2">
        <v>0.7</v>
      </c>
      <c r="S622">
        <v>441</v>
      </c>
      <c r="T622" t="s">
        <v>27</v>
      </c>
      <c r="U622">
        <v>441</v>
      </c>
      <c r="V622" s="7" t="s">
        <v>24</v>
      </c>
      <c r="W622" s="7" t="s">
        <v>119</v>
      </c>
    </row>
    <row r="623" spans="1:23" x14ac:dyDescent="0.4">
      <c r="A623" t="s">
        <v>262</v>
      </c>
      <c r="B623" t="s">
        <v>1340</v>
      </c>
      <c r="C623" t="s">
        <v>1406</v>
      </c>
      <c r="D623" t="s">
        <v>64</v>
      </c>
      <c r="E623" t="s">
        <v>22</v>
      </c>
      <c r="F623" t="s">
        <v>23</v>
      </c>
      <c r="G623">
        <v>1</v>
      </c>
      <c r="H623">
        <v>9791166300158</v>
      </c>
      <c r="I623" t="s">
        <v>24</v>
      </c>
      <c r="J623" t="s">
        <v>125</v>
      </c>
      <c r="K623" t="s">
        <v>119</v>
      </c>
      <c r="L623" t="s">
        <v>27</v>
      </c>
      <c r="M623">
        <v>630</v>
      </c>
      <c r="N623" t="s">
        <v>27</v>
      </c>
      <c r="O623">
        <v>630</v>
      </c>
      <c r="P623">
        <v>630</v>
      </c>
      <c r="Q623" t="s">
        <v>30</v>
      </c>
      <c r="R623" s="2">
        <v>0.7</v>
      </c>
      <c r="S623">
        <v>441</v>
      </c>
      <c r="T623" t="s">
        <v>27</v>
      </c>
      <c r="U623">
        <v>441</v>
      </c>
      <c r="V623" s="7" t="s">
        <v>24</v>
      </c>
      <c r="W623" s="7" t="s">
        <v>119</v>
      </c>
    </row>
    <row r="624" spans="1:23" x14ac:dyDescent="0.4">
      <c r="A624" t="s">
        <v>262</v>
      </c>
      <c r="B624" t="s">
        <v>1340</v>
      </c>
      <c r="C624" t="s">
        <v>1409</v>
      </c>
      <c r="D624" t="s">
        <v>64</v>
      </c>
      <c r="E624" t="s">
        <v>22</v>
      </c>
      <c r="F624" t="s">
        <v>23</v>
      </c>
      <c r="G624">
        <v>1</v>
      </c>
      <c r="H624">
        <v>9791166300653</v>
      </c>
      <c r="I624" t="s">
        <v>24</v>
      </c>
      <c r="J624" t="s">
        <v>157</v>
      </c>
      <c r="K624" t="s">
        <v>119</v>
      </c>
      <c r="L624" t="s">
        <v>27</v>
      </c>
      <c r="M624">
        <v>630</v>
      </c>
      <c r="N624" t="s">
        <v>27</v>
      </c>
      <c r="O624">
        <v>630</v>
      </c>
      <c r="P624">
        <v>630</v>
      </c>
      <c r="Q624" t="s">
        <v>30</v>
      </c>
      <c r="R624" s="2">
        <v>0.7</v>
      </c>
      <c r="S624">
        <v>441</v>
      </c>
      <c r="T624" t="s">
        <v>27</v>
      </c>
      <c r="U624">
        <v>441</v>
      </c>
      <c r="V624" s="7" t="s">
        <v>24</v>
      </c>
      <c r="W624" s="7" t="s">
        <v>119</v>
      </c>
    </row>
    <row r="625" spans="1:23" x14ac:dyDescent="0.4">
      <c r="A625" t="s">
        <v>262</v>
      </c>
      <c r="B625" t="s">
        <v>1411</v>
      </c>
      <c r="C625" t="s">
        <v>1412</v>
      </c>
      <c r="D625" t="s">
        <v>64</v>
      </c>
      <c r="E625" t="s">
        <v>22</v>
      </c>
      <c r="F625" t="s">
        <v>23</v>
      </c>
      <c r="G625">
        <v>1</v>
      </c>
      <c r="H625">
        <v>9791166300196</v>
      </c>
      <c r="I625" t="s">
        <v>24</v>
      </c>
      <c r="J625" t="s">
        <v>128</v>
      </c>
      <c r="K625" t="s">
        <v>119</v>
      </c>
      <c r="L625" t="s">
        <v>27</v>
      </c>
      <c r="M625">
        <v>630</v>
      </c>
      <c r="N625" t="s">
        <v>27</v>
      </c>
      <c r="O625">
        <v>630</v>
      </c>
      <c r="P625">
        <v>630</v>
      </c>
      <c r="Q625" t="s">
        <v>30</v>
      </c>
      <c r="R625" s="2">
        <v>0.7</v>
      </c>
      <c r="S625">
        <v>441</v>
      </c>
      <c r="T625" t="s">
        <v>27</v>
      </c>
      <c r="U625">
        <v>441</v>
      </c>
      <c r="V625" s="7" t="s">
        <v>24</v>
      </c>
      <c r="W625" s="7" t="s">
        <v>119</v>
      </c>
    </row>
    <row r="626" spans="1:23" x14ac:dyDescent="0.4">
      <c r="A626" t="s">
        <v>262</v>
      </c>
      <c r="B626" t="s">
        <v>1411</v>
      </c>
      <c r="C626" t="s">
        <v>1413</v>
      </c>
      <c r="D626" t="s">
        <v>64</v>
      </c>
      <c r="E626" t="s">
        <v>22</v>
      </c>
      <c r="F626" t="s">
        <v>23</v>
      </c>
      <c r="G626">
        <v>1</v>
      </c>
      <c r="H626">
        <v>9791166300554</v>
      </c>
      <c r="I626" t="s">
        <v>24</v>
      </c>
      <c r="J626" t="s">
        <v>154</v>
      </c>
      <c r="K626" t="s">
        <v>119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  <c r="V626" s="7" t="s">
        <v>24</v>
      </c>
      <c r="W626" s="7" t="s">
        <v>119</v>
      </c>
    </row>
    <row r="627" spans="1:23" x14ac:dyDescent="0.4">
      <c r="A627" t="s">
        <v>262</v>
      </c>
      <c r="B627" t="s">
        <v>1411</v>
      </c>
      <c r="C627" t="s">
        <v>1414</v>
      </c>
      <c r="D627" t="s">
        <v>64</v>
      </c>
      <c r="E627" t="s">
        <v>22</v>
      </c>
      <c r="F627" t="s">
        <v>23</v>
      </c>
      <c r="G627">
        <v>1</v>
      </c>
      <c r="H627">
        <v>9791166300608</v>
      </c>
      <c r="I627" t="s">
        <v>24</v>
      </c>
      <c r="J627" t="s">
        <v>162</v>
      </c>
      <c r="K627" t="s">
        <v>119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2">
        <v>0.7</v>
      </c>
      <c r="S627">
        <v>441</v>
      </c>
      <c r="T627" t="s">
        <v>27</v>
      </c>
      <c r="U627">
        <v>441</v>
      </c>
      <c r="V627" s="7" t="s">
        <v>24</v>
      </c>
      <c r="W627" s="7" t="s">
        <v>119</v>
      </c>
    </row>
    <row r="628" spans="1:23" x14ac:dyDescent="0.4">
      <c r="A628" t="s">
        <v>262</v>
      </c>
      <c r="B628" t="s">
        <v>1411</v>
      </c>
      <c r="C628" t="s">
        <v>1417</v>
      </c>
      <c r="D628" t="s">
        <v>64</v>
      </c>
      <c r="E628" t="s">
        <v>22</v>
      </c>
      <c r="F628" t="s">
        <v>23</v>
      </c>
      <c r="G628">
        <v>1</v>
      </c>
      <c r="H628">
        <v>9791166300592</v>
      </c>
      <c r="I628" t="s">
        <v>24</v>
      </c>
      <c r="J628" t="s">
        <v>161</v>
      </c>
      <c r="K628" t="s">
        <v>119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  <c r="V628" s="7" t="s">
        <v>24</v>
      </c>
      <c r="W628" s="7" t="s">
        <v>119</v>
      </c>
    </row>
    <row r="629" spans="1:23" x14ac:dyDescent="0.4">
      <c r="A629" t="s">
        <v>262</v>
      </c>
      <c r="B629" t="s">
        <v>1411</v>
      </c>
      <c r="C629" t="s">
        <v>1418</v>
      </c>
      <c r="D629" t="s">
        <v>64</v>
      </c>
      <c r="E629" t="s">
        <v>22</v>
      </c>
      <c r="F629" t="s">
        <v>23</v>
      </c>
      <c r="G629">
        <v>1</v>
      </c>
      <c r="H629">
        <v>9791166300103</v>
      </c>
      <c r="I629" t="s">
        <v>24</v>
      </c>
      <c r="J629" t="s">
        <v>120</v>
      </c>
      <c r="K629" t="s">
        <v>119</v>
      </c>
      <c r="L629" t="s">
        <v>27</v>
      </c>
      <c r="M629">
        <v>630</v>
      </c>
      <c r="N629" t="s">
        <v>27</v>
      </c>
      <c r="O629">
        <v>630</v>
      </c>
      <c r="P629">
        <v>630</v>
      </c>
      <c r="Q629" t="s">
        <v>30</v>
      </c>
      <c r="R629" s="2">
        <v>0.7</v>
      </c>
      <c r="S629">
        <v>441</v>
      </c>
      <c r="T629" t="s">
        <v>27</v>
      </c>
      <c r="U629">
        <v>441</v>
      </c>
      <c r="V629" s="7" t="s">
        <v>24</v>
      </c>
      <c r="W629" s="7" t="s">
        <v>119</v>
      </c>
    </row>
    <row r="630" spans="1:23" x14ac:dyDescent="0.4">
      <c r="A630" t="s">
        <v>262</v>
      </c>
      <c r="B630" t="s">
        <v>1411</v>
      </c>
      <c r="C630" t="s">
        <v>1419</v>
      </c>
      <c r="D630" t="s">
        <v>64</v>
      </c>
      <c r="E630" t="s">
        <v>22</v>
      </c>
      <c r="F630" t="s">
        <v>23</v>
      </c>
      <c r="G630">
        <v>1</v>
      </c>
      <c r="H630">
        <v>9791166300608</v>
      </c>
      <c r="I630" t="s">
        <v>24</v>
      </c>
      <c r="J630" t="s">
        <v>162</v>
      </c>
      <c r="K630" t="s">
        <v>119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  <c r="V630" s="7" t="s">
        <v>24</v>
      </c>
      <c r="W630" s="7" t="s">
        <v>119</v>
      </c>
    </row>
    <row r="631" spans="1:23" x14ac:dyDescent="0.4">
      <c r="A631" t="s">
        <v>262</v>
      </c>
      <c r="B631" t="s">
        <v>1411</v>
      </c>
      <c r="C631" t="s">
        <v>1420</v>
      </c>
      <c r="D631" t="s">
        <v>21</v>
      </c>
      <c r="E631" t="s">
        <v>22</v>
      </c>
      <c r="F631" t="s">
        <v>23</v>
      </c>
      <c r="G631">
        <v>1</v>
      </c>
      <c r="H631">
        <v>9791166300257</v>
      </c>
      <c r="I631" t="s">
        <v>24</v>
      </c>
      <c r="J631" t="s">
        <v>134</v>
      </c>
      <c r="K631" t="s">
        <v>119</v>
      </c>
      <c r="L631" t="s">
        <v>27</v>
      </c>
      <c r="M631" s="3">
        <v>3200</v>
      </c>
      <c r="N631" t="s">
        <v>27</v>
      </c>
      <c r="O631" s="3">
        <v>3200</v>
      </c>
      <c r="P631" s="3">
        <v>3200</v>
      </c>
      <c r="Q631" t="s">
        <v>30</v>
      </c>
      <c r="R631" s="2">
        <v>0.7</v>
      </c>
      <c r="S631" s="3">
        <v>2240</v>
      </c>
      <c r="T631" t="s">
        <v>27</v>
      </c>
      <c r="U631" s="3">
        <v>2240</v>
      </c>
      <c r="V631" s="7" t="s">
        <v>24</v>
      </c>
      <c r="W631" s="7" t="s">
        <v>119</v>
      </c>
    </row>
    <row r="632" spans="1:23" x14ac:dyDescent="0.4">
      <c r="A632" t="s">
        <v>262</v>
      </c>
      <c r="B632" t="s">
        <v>1411</v>
      </c>
      <c r="C632" t="s">
        <v>1424</v>
      </c>
      <c r="D632" t="s">
        <v>64</v>
      </c>
      <c r="E632" t="s">
        <v>22</v>
      </c>
      <c r="F632" t="s">
        <v>23</v>
      </c>
      <c r="G632">
        <v>1</v>
      </c>
      <c r="H632">
        <v>9791166300202</v>
      </c>
      <c r="I632" t="s">
        <v>24</v>
      </c>
      <c r="J632" t="s">
        <v>129</v>
      </c>
      <c r="K632" t="s">
        <v>119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  <c r="V632" s="7" t="s">
        <v>24</v>
      </c>
      <c r="W632" s="7" t="s">
        <v>119</v>
      </c>
    </row>
    <row r="633" spans="1:23" x14ac:dyDescent="0.4">
      <c r="A633" t="s">
        <v>262</v>
      </c>
      <c r="B633" t="s">
        <v>1411</v>
      </c>
      <c r="C633" t="s">
        <v>1428</v>
      </c>
      <c r="D633" t="s">
        <v>64</v>
      </c>
      <c r="E633" t="s">
        <v>22</v>
      </c>
      <c r="F633" t="s">
        <v>23</v>
      </c>
      <c r="G633">
        <v>1</v>
      </c>
      <c r="H633">
        <v>9791166300653</v>
      </c>
      <c r="I633" t="s">
        <v>24</v>
      </c>
      <c r="J633" t="s">
        <v>157</v>
      </c>
      <c r="K633" t="s">
        <v>119</v>
      </c>
      <c r="L633" t="s">
        <v>27</v>
      </c>
      <c r="M633">
        <v>630</v>
      </c>
      <c r="N633" t="s">
        <v>27</v>
      </c>
      <c r="O633">
        <v>630</v>
      </c>
      <c r="P633">
        <v>630</v>
      </c>
      <c r="Q633" t="s">
        <v>30</v>
      </c>
      <c r="R633" s="2">
        <v>0.7</v>
      </c>
      <c r="S633">
        <v>441</v>
      </c>
      <c r="T633" t="s">
        <v>27</v>
      </c>
      <c r="U633">
        <v>441</v>
      </c>
      <c r="V633" s="7" t="s">
        <v>24</v>
      </c>
      <c r="W633" s="7" t="s">
        <v>119</v>
      </c>
    </row>
    <row r="634" spans="1:23" x14ac:dyDescent="0.4">
      <c r="A634" t="s">
        <v>262</v>
      </c>
      <c r="B634" t="s">
        <v>1411</v>
      </c>
      <c r="C634" t="s">
        <v>1430</v>
      </c>
      <c r="D634" t="s">
        <v>21</v>
      </c>
      <c r="E634" t="s">
        <v>22</v>
      </c>
      <c r="F634" t="s">
        <v>23</v>
      </c>
      <c r="G634">
        <v>1</v>
      </c>
      <c r="H634">
        <v>9791166300134</v>
      </c>
      <c r="I634" t="s">
        <v>24</v>
      </c>
      <c r="J634" t="s">
        <v>123</v>
      </c>
      <c r="K634" t="s">
        <v>119</v>
      </c>
      <c r="L634" t="s">
        <v>27</v>
      </c>
      <c r="M634" s="3">
        <v>3200</v>
      </c>
      <c r="N634" t="s">
        <v>27</v>
      </c>
      <c r="O634" s="3">
        <v>3200</v>
      </c>
      <c r="P634" s="3">
        <v>3200</v>
      </c>
      <c r="Q634" t="s">
        <v>30</v>
      </c>
      <c r="R634" s="2">
        <v>0.7</v>
      </c>
      <c r="S634" s="3">
        <v>2240</v>
      </c>
      <c r="T634" t="s">
        <v>27</v>
      </c>
      <c r="U634" s="3">
        <v>2240</v>
      </c>
      <c r="V634" s="7" t="s">
        <v>24</v>
      </c>
      <c r="W634" s="7" t="s">
        <v>119</v>
      </c>
    </row>
    <row r="635" spans="1:23" x14ac:dyDescent="0.4">
      <c r="A635" t="s">
        <v>262</v>
      </c>
      <c r="B635" t="s">
        <v>1411</v>
      </c>
      <c r="C635" t="s">
        <v>1431</v>
      </c>
      <c r="D635" t="s">
        <v>64</v>
      </c>
      <c r="E635" t="s">
        <v>22</v>
      </c>
      <c r="F635" t="s">
        <v>23</v>
      </c>
      <c r="G635">
        <v>1</v>
      </c>
      <c r="H635">
        <v>9791166300691</v>
      </c>
      <c r="I635" t="s">
        <v>24</v>
      </c>
      <c r="J635" t="s">
        <v>152</v>
      </c>
      <c r="K635" t="s">
        <v>119</v>
      </c>
      <c r="L635" t="s">
        <v>27</v>
      </c>
      <c r="M635">
        <v>630</v>
      </c>
      <c r="N635" t="s">
        <v>27</v>
      </c>
      <c r="O635">
        <v>630</v>
      </c>
      <c r="P635">
        <v>630</v>
      </c>
      <c r="Q635" t="s">
        <v>30</v>
      </c>
      <c r="R635" s="2">
        <v>0.7</v>
      </c>
      <c r="S635">
        <v>441</v>
      </c>
      <c r="T635" t="s">
        <v>27</v>
      </c>
      <c r="U635">
        <v>441</v>
      </c>
      <c r="V635" s="7" t="s">
        <v>24</v>
      </c>
      <c r="W635" s="7" t="s">
        <v>119</v>
      </c>
    </row>
    <row r="636" spans="1:23" x14ac:dyDescent="0.4">
      <c r="A636" t="s">
        <v>262</v>
      </c>
      <c r="B636" t="s">
        <v>1411</v>
      </c>
      <c r="C636" t="s">
        <v>1432</v>
      </c>
      <c r="D636" t="s">
        <v>64</v>
      </c>
      <c r="E636" t="s">
        <v>22</v>
      </c>
      <c r="F636" t="s">
        <v>23</v>
      </c>
      <c r="G636">
        <v>1</v>
      </c>
      <c r="H636">
        <v>9791166300561</v>
      </c>
      <c r="I636" t="s">
        <v>24</v>
      </c>
      <c r="J636" t="s">
        <v>158</v>
      </c>
      <c r="K636" t="s">
        <v>119</v>
      </c>
      <c r="L636" t="s">
        <v>27</v>
      </c>
      <c r="M636">
        <v>630</v>
      </c>
      <c r="N636" t="s">
        <v>27</v>
      </c>
      <c r="O636">
        <v>630</v>
      </c>
      <c r="P636">
        <v>630</v>
      </c>
      <c r="Q636" t="s">
        <v>30</v>
      </c>
      <c r="R636" s="2">
        <v>0.7</v>
      </c>
      <c r="S636">
        <v>441</v>
      </c>
      <c r="T636" t="s">
        <v>27</v>
      </c>
      <c r="U636">
        <v>441</v>
      </c>
      <c r="V636" s="7" t="s">
        <v>24</v>
      </c>
      <c r="W636" s="7" t="s">
        <v>119</v>
      </c>
    </row>
    <row r="637" spans="1:23" x14ac:dyDescent="0.4">
      <c r="A637" t="s">
        <v>262</v>
      </c>
      <c r="B637" t="s">
        <v>1411</v>
      </c>
      <c r="C637" t="s">
        <v>1433</v>
      </c>
      <c r="D637" t="s">
        <v>64</v>
      </c>
      <c r="E637" t="s">
        <v>22</v>
      </c>
      <c r="F637" t="s">
        <v>23</v>
      </c>
      <c r="G637">
        <v>1</v>
      </c>
      <c r="H637">
        <v>9791166300615</v>
      </c>
      <c r="I637" t="s">
        <v>24</v>
      </c>
      <c r="J637" t="s">
        <v>163</v>
      </c>
      <c r="K637" t="s">
        <v>119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  <c r="V637" s="7" t="s">
        <v>24</v>
      </c>
      <c r="W637" s="7" t="s">
        <v>119</v>
      </c>
    </row>
    <row r="638" spans="1:23" x14ac:dyDescent="0.4">
      <c r="A638" t="s">
        <v>262</v>
      </c>
      <c r="B638" t="s">
        <v>1411</v>
      </c>
      <c r="C638" t="s">
        <v>1435</v>
      </c>
      <c r="D638" t="s">
        <v>64</v>
      </c>
      <c r="E638" t="s">
        <v>22</v>
      </c>
      <c r="F638" t="s">
        <v>23</v>
      </c>
      <c r="G638">
        <v>1</v>
      </c>
      <c r="H638">
        <v>9791166300202</v>
      </c>
      <c r="I638" t="s">
        <v>24</v>
      </c>
      <c r="J638" t="s">
        <v>129</v>
      </c>
      <c r="K638" t="s">
        <v>119</v>
      </c>
      <c r="L638" t="s">
        <v>27</v>
      </c>
      <c r="M638">
        <v>630</v>
      </c>
      <c r="N638" t="s">
        <v>27</v>
      </c>
      <c r="O638">
        <v>630</v>
      </c>
      <c r="P638">
        <v>630</v>
      </c>
      <c r="Q638" t="s">
        <v>30</v>
      </c>
      <c r="R638" s="2">
        <v>0.7</v>
      </c>
      <c r="S638">
        <v>441</v>
      </c>
      <c r="T638" t="s">
        <v>27</v>
      </c>
      <c r="U638">
        <v>441</v>
      </c>
      <c r="V638" s="7" t="s">
        <v>24</v>
      </c>
      <c r="W638" s="7" t="s">
        <v>119</v>
      </c>
    </row>
    <row r="639" spans="1:23" x14ac:dyDescent="0.4">
      <c r="A639" t="s">
        <v>262</v>
      </c>
      <c r="B639" t="s">
        <v>1411</v>
      </c>
      <c r="C639" t="s">
        <v>1438</v>
      </c>
      <c r="D639" t="s">
        <v>64</v>
      </c>
      <c r="E639" t="s">
        <v>22</v>
      </c>
      <c r="F639" t="s">
        <v>23</v>
      </c>
      <c r="G639">
        <v>1</v>
      </c>
      <c r="H639">
        <v>9791166300134</v>
      </c>
      <c r="I639" t="s">
        <v>24</v>
      </c>
      <c r="J639" t="s">
        <v>123</v>
      </c>
      <c r="K639" t="s">
        <v>119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2">
        <v>0.7</v>
      </c>
      <c r="S639">
        <v>441</v>
      </c>
      <c r="T639" t="s">
        <v>27</v>
      </c>
      <c r="U639">
        <v>441</v>
      </c>
      <c r="V639" s="7" t="s">
        <v>24</v>
      </c>
      <c r="W639" s="7" t="s">
        <v>119</v>
      </c>
    </row>
    <row r="640" spans="1:23" x14ac:dyDescent="0.4">
      <c r="A640" t="s">
        <v>262</v>
      </c>
      <c r="B640" t="s">
        <v>1411</v>
      </c>
      <c r="C640" t="s">
        <v>1439</v>
      </c>
      <c r="D640" t="s">
        <v>64</v>
      </c>
      <c r="E640" t="s">
        <v>22</v>
      </c>
      <c r="F640" t="s">
        <v>23</v>
      </c>
      <c r="G640">
        <v>1</v>
      </c>
      <c r="H640">
        <v>9791166300134</v>
      </c>
      <c r="I640" t="s">
        <v>24</v>
      </c>
      <c r="J640" t="s">
        <v>123</v>
      </c>
      <c r="K640" t="s">
        <v>119</v>
      </c>
      <c r="L640" t="s">
        <v>27</v>
      </c>
      <c r="M640">
        <v>630</v>
      </c>
      <c r="N640" t="s">
        <v>27</v>
      </c>
      <c r="O640">
        <v>630</v>
      </c>
      <c r="P640">
        <v>630</v>
      </c>
      <c r="Q640" t="s">
        <v>30</v>
      </c>
      <c r="R640" s="2">
        <v>0.7</v>
      </c>
      <c r="S640">
        <v>441</v>
      </c>
      <c r="T640" t="s">
        <v>27</v>
      </c>
      <c r="U640">
        <v>441</v>
      </c>
      <c r="V640" s="7" t="s">
        <v>24</v>
      </c>
      <c r="W640" s="7" t="s">
        <v>119</v>
      </c>
    </row>
    <row r="641" spans="1:23" x14ac:dyDescent="0.4">
      <c r="A641" t="s">
        <v>262</v>
      </c>
      <c r="B641" t="s">
        <v>1411</v>
      </c>
      <c r="C641" t="s">
        <v>1444</v>
      </c>
      <c r="D641" t="s">
        <v>64</v>
      </c>
      <c r="E641" t="s">
        <v>22</v>
      </c>
      <c r="F641" t="s">
        <v>23</v>
      </c>
      <c r="G641">
        <v>1</v>
      </c>
      <c r="H641">
        <v>9791166300165</v>
      </c>
      <c r="I641" t="s">
        <v>24</v>
      </c>
      <c r="J641" t="s">
        <v>126</v>
      </c>
      <c r="K641" t="s">
        <v>119</v>
      </c>
      <c r="L641" t="s">
        <v>27</v>
      </c>
      <c r="M641">
        <v>630</v>
      </c>
      <c r="N641" t="s">
        <v>27</v>
      </c>
      <c r="O641">
        <v>630</v>
      </c>
      <c r="P641">
        <v>630</v>
      </c>
      <c r="Q641" t="s">
        <v>30</v>
      </c>
      <c r="R641" s="2">
        <v>0.7</v>
      </c>
      <c r="S641">
        <v>441</v>
      </c>
      <c r="T641" t="s">
        <v>27</v>
      </c>
      <c r="U641">
        <v>441</v>
      </c>
      <c r="V641" s="7" t="s">
        <v>24</v>
      </c>
      <c r="W641" s="7" t="s">
        <v>119</v>
      </c>
    </row>
    <row r="642" spans="1:23" x14ac:dyDescent="0.4">
      <c r="A642" t="s">
        <v>262</v>
      </c>
      <c r="B642" t="s">
        <v>1411</v>
      </c>
      <c r="C642" t="s">
        <v>1447</v>
      </c>
      <c r="D642" t="s">
        <v>64</v>
      </c>
      <c r="E642" t="s">
        <v>22</v>
      </c>
      <c r="F642" t="s">
        <v>23</v>
      </c>
      <c r="G642">
        <v>1</v>
      </c>
      <c r="H642">
        <v>9791166300578</v>
      </c>
      <c r="I642" t="s">
        <v>24</v>
      </c>
      <c r="J642" t="s">
        <v>159</v>
      </c>
      <c r="K642" t="s">
        <v>119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  <c r="V642" s="7" t="s">
        <v>24</v>
      </c>
      <c r="W642" s="7" t="s">
        <v>119</v>
      </c>
    </row>
    <row r="643" spans="1:23" x14ac:dyDescent="0.4">
      <c r="A643" t="s">
        <v>262</v>
      </c>
      <c r="B643" t="s">
        <v>1411</v>
      </c>
      <c r="C643" t="s">
        <v>1448</v>
      </c>
      <c r="D643" t="s">
        <v>64</v>
      </c>
      <c r="E643" t="s">
        <v>22</v>
      </c>
      <c r="F643" t="s">
        <v>23</v>
      </c>
      <c r="G643">
        <v>1</v>
      </c>
      <c r="H643">
        <v>9791166300134</v>
      </c>
      <c r="I643" t="s">
        <v>24</v>
      </c>
      <c r="J643" t="s">
        <v>123</v>
      </c>
      <c r="K643" t="s">
        <v>119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  <c r="V643" s="7" t="s">
        <v>24</v>
      </c>
      <c r="W643" s="7" t="s">
        <v>119</v>
      </c>
    </row>
    <row r="644" spans="1:23" x14ac:dyDescent="0.4">
      <c r="A644" t="s">
        <v>262</v>
      </c>
      <c r="B644" t="s">
        <v>1411</v>
      </c>
      <c r="C644" t="s">
        <v>1449</v>
      </c>
      <c r="D644" t="s">
        <v>64</v>
      </c>
      <c r="E644" t="s">
        <v>22</v>
      </c>
      <c r="F644" t="s">
        <v>23</v>
      </c>
      <c r="G644">
        <v>1</v>
      </c>
      <c r="H644">
        <v>9791166300103</v>
      </c>
      <c r="I644" t="s">
        <v>24</v>
      </c>
      <c r="J644" t="s">
        <v>120</v>
      </c>
      <c r="K644" t="s">
        <v>119</v>
      </c>
      <c r="L644" t="s">
        <v>27</v>
      </c>
      <c r="M644">
        <v>630</v>
      </c>
      <c r="N644" t="s">
        <v>27</v>
      </c>
      <c r="O644">
        <v>630</v>
      </c>
      <c r="P644">
        <v>630</v>
      </c>
      <c r="Q644" t="s">
        <v>30</v>
      </c>
      <c r="R644" s="2">
        <v>0.7</v>
      </c>
      <c r="S644">
        <v>441</v>
      </c>
      <c r="T644" t="s">
        <v>27</v>
      </c>
      <c r="U644">
        <v>441</v>
      </c>
      <c r="V644" s="7" t="s">
        <v>24</v>
      </c>
      <c r="W644" s="7" t="s">
        <v>119</v>
      </c>
    </row>
    <row r="645" spans="1:23" x14ac:dyDescent="0.4">
      <c r="A645" t="s">
        <v>262</v>
      </c>
      <c r="B645" t="s">
        <v>1411</v>
      </c>
      <c r="C645" t="s">
        <v>1451</v>
      </c>
      <c r="D645" t="s">
        <v>64</v>
      </c>
      <c r="E645" t="s">
        <v>22</v>
      </c>
      <c r="F645" t="s">
        <v>23</v>
      </c>
      <c r="G645">
        <v>1</v>
      </c>
      <c r="H645">
        <v>9791166300516</v>
      </c>
      <c r="I645" t="s">
        <v>24</v>
      </c>
      <c r="J645" t="s">
        <v>149</v>
      </c>
      <c r="K645" t="s">
        <v>119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  <c r="V645" s="7" t="s">
        <v>24</v>
      </c>
      <c r="W645" s="7" t="s">
        <v>119</v>
      </c>
    </row>
    <row r="646" spans="1:23" x14ac:dyDescent="0.4">
      <c r="A646" t="s">
        <v>262</v>
      </c>
      <c r="B646" t="s">
        <v>1411</v>
      </c>
      <c r="C646" t="s">
        <v>1452</v>
      </c>
      <c r="D646" t="s">
        <v>64</v>
      </c>
      <c r="E646" t="s">
        <v>22</v>
      </c>
      <c r="F646" t="s">
        <v>23</v>
      </c>
      <c r="G646">
        <v>1</v>
      </c>
      <c r="H646">
        <v>9791166300608</v>
      </c>
      <c r="I646" t="s">
        <v>24</v>
      </c>
      <c r="J646" t="s">
        <v>162</v>
      </c>
      <c r="K646" t="s">
        <v>119</v>
      </c>
      <c r="L646" t="s">
        <v>27</v>
      </c>
      <c r="M646">
        <v>630</v>
      </c>
      <c r="N646" t="s">
        <v>27</v>
      </c>
      <c r="O646">
        <v>630</v>
      </c>
      <c r="P646">
        <v>630</v>
      </c>
      <c r="Q646" t="s">
        <v>30</v>
      </c>
      <c r="R646" s="2">
        <v>0.7</v>
      </c>
      <c r="S646">
        <v>441</v>
      </c>
      <c r="T646" t="s">
        <v>27</v>
      </c>
      <c r="U646">
        <v>441</v>
      </c>
      <c r="V646" s="7" t="s">
        <v>24</v>
      </c>
      <c r="W646" s="7" t="s">
        <v>119</v>
      </c>
    </row>
    <row r="647" spans="1:23" x14ac:dyDescent="0.4">
      <c r="A647" t="s">
        <v>262</v>
      </c>
      <c r="B647" t="s">
        <v>1411</v>
      </c>
      <c r="C647" t="s">
        <v>1453</v>
      </c>
      <c r="D647" t="s">
        <v>21</v>
      </c>
      <c r="E647" t="s">
        <v>22</v>
      </c>
      <c r="F647" t="s">
        <v>23</v>
      </c>
      <c r="G647">
        <v>1</v>
      </c>
      <c r="H647">
        <v>9791166300257</v>
      </c>
      <c r="I647" t="s">
        <v>24</v>
      </c>
      <c r="J647" t="s">
        <v>134</v>
      </c>
      <c r="K647" t="s">
        <v>119</v>
      </c>
      <c r="L647" t="s">
        <v>27</v>
      </c>
      <c r="M647" s="3">
        <v>3200</v>
      </c>
      <c r="N647" t="s">
        <v>27</v>
      </c>
      <c r="O647" s="3">
        <v>3200</v>
      </c>
      <c r="P647" s="3">
        <v>3200</v>
      </c>
      <c r="Q647" t="s">
        <v>30</v>
      </c>
      <c r="R647" s="2">
        <v>0.7</v>
      </c>
      <c r="S647" s="3">
        <v>2240</v>
      </c>
      <c r="T647" t="s">
        <v>27</v>
      </c>
      <c r="U647" s="3">
        <v>2240</v>
      </c>
      <c r="V647" s="7" t="s">
        <v>24</v>
      </c>
      <c r="W647" s="7" t="s">
        <v>119</v>
      </c>
    </row>
    <row r="648" spans="1:23" x14ac:dyDescent="0.4">
      <c r="A648" t="s">
        <v>262</v>
      </c>
      <c r="B648" t="s">
        <v>1411</v>
      </c>
      <c r="C648" t="s">
        <v>1455</v>
      </c>
      <c r="D648" t="s">
        <v>64</v>
      </c>
      <c r="E648" t="s">
        <v>22</v>
      </c>
      <c r="F648" t="s">
        <v>23</v>
      </c>
      <c r="G648">
        <v>1</v>
      </c>
      <c r="H648">
        <v>9791166300110</v>
      </c>
      <c r="I648" t="s">
        <v>24</v>
      </c>
      <c r="J648" t="s">
        <v>121</v>
      </c>
      <c r="K648" t="s">
        <v>119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  <c r="V648" s="7" t="s">
        <v>24</v>
      </c>
      <c r="W648" s="7" t="s">
        <v>119</v>
      </c>
    </row>
    <row r="649" spans="1:23" x14ac:dyDescent="0.4">
      <c r="A649" t="s">
        <v>262</v>
      </c>
      <c r="B649" t="s">
        <v>1411</v>
      </c>
      <c r="C649" t="s">
        <v>1459</v>
      </c>
      <c r="D649" t="s">
        <v>64</v>
      </c>
      <c r="E649" t="s">
        <v>22</v>
      </c>
      <c r="F649" t="s">
        <v>23</v>
      </c>
      <c r="G649">
        <v>1</v>
      </c>
      <c r="H649">
        <v>9791166300257</v>
      </c>
      <c r="I649" t="s">
        <v>24</v>
      </c>
      <c r="J649" t="s">
        <v>134</v>
      </c>
      <c r="K649" t="s">
        <v>119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  <c r="V649" s="7" t="s">
        <v>24</v>
      </c>
      <c r="W649" s="7" t="s">
        <v>119</v>
      </c>
    </row>
    <row r="650" spans="1:23" x14ac:dyDescent="0.4">
      <c r="A650" t="s">
        <v>262</v>
      </c>
      <c r="B650" t="s">
        <v>1411</v>
      </c>
      <c r="C650" t="s">
        <v>1464</v>
      </c>
      <c r="D650" t="s">
        <v>21</v>
      </c>
      <c r="E650" t="s">
        <v>22</v>
      </c>
      <c r="F650" t="s">
        <v>23</v>
      </c>
      <c r="G650">
        <v>1</v>
      </c>
      <c r="H650">
        <v>9791166300264</v>
      </c>
      <c r="I650" t="s">
        <v>24</v>
      </c>
      <c r="J650" t="s">
        <v>135</v>
      </c>
      <c r="K650" t="s">
        <v>119</v>
      </c>
      <c r="L650" t="s">
        <v>27</v>
      </c>
      <c r="M650" s="3">
        <v>3200</v>
      </c>
      <c r="N650" t="s">
        <v>27</v>
      </c>
      <c r="O650" s="3">
        <v>3200</v>
      </c>
      <c r="P650" s="3">
        <v>3200</v>
      </c>
      <c r="Q650" t="s">
        <v>30</v>
      </c>
      <c r="R650" s="2">
        <v>0.7</v>
      </c>
      <c r="S650" s="3">
        <v>2240</v>
      </c>
      <c r="T650" t="s">
        <v>27</v>
      </c>
      <c r="U650" s="3">
        <v>2240</v>
      </c>
      <c r="V650" s="7" t="s">
        <v>24</v>
      </c>
      <c r="W650" s="7" t="s">
        <v>119</v>
      </c>
    </row>
    <row r="651" spans="1:23" x14ac:dyDescent="0.4">
      <c r="A651" t="s">
        <v>262</v>
      </c>
      <c r="B651" t="s">
        <v>1411</v>
      </c>
      <c r="C651" t="s">
        <v>1467</v>
      </c>
      <c r="D651" t="s">
        <v>64</v>
      </c>
      <c r="E651" t="s">
        <v>22</v>
      </c>
      <c r="F651" t="s">
        <v>23</v>
      </c>
      <c r="G651">
        <v>1</v>
      </c>
      <c r="H651">
        <v>9791166300103</v>
      </c>
      <c r="I651" t="s">
        <v>24</v>
      </c>
      <c r="J651" t="s">
        <v>120</v>
      </c>
      <c r="K651" t="s">
        <v>119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2">
        <v>0.7</v>
      </c>
      <c r="S651">
        <v>441</v>
      </c>
      <c r="T651" t="s">
        <v>27</v>
      </c>
      <c r="U651">
        <v>441</v>
      </c>
      <c r="V651" s="7" t="s">
        <v>24</v>
      </c>
      <c r="W651" s="7" t="s">
        <v>119</v>
      </c>
    </row>
    <row r="652" spans="1:23" x14ac:dyDescent="0.4">
      <c r="A652" t="s">
        <v>262</v>
      </c>
      <c r="B652" t="s">
        <v>1411</v>
      </c>
      <c r="C652" t="s">
        <v>1468</v>
      </c>
      <c r="D652" t="s">
        <v>64</v>
      </c>
      <c r="E652" t="s">
        <v>22</v>
      </c>
      <c r="F652" t="s">
        <v>23</v>
      </c>
      <c r="G652">
        <v>1</v>
      </c>
      <c r="H652">
        <v>9791166300615</v>
      </c>
      <c r="I652" t="s">
        <v>24</v>
      </c>
      <c r="J652" t="s">
        <v>163</v>
      </c>
      <c r="K652" t="s">
        <v>119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2">
        <v>0.7</v>
      </c>
      <c r="S652">
        <v>441</v>
      </c>
      <c r="T652" t="s">
        <v>27</v>
      </c>
      <c r="U652">
        <v>441</v>
      </c>
      <c r="V652" s="7" t="s">
        <v>24</v>
      </c>
      <c r="W652" s="7" t="s">
        <v>119</v>
      </c>
    </row>
    <row r="653" spans="1:23" x14ac:dyDescent="0.4">
      <c r="A653" t="s">
        <v>262</v>
      </c>
      <c r="B653" t="s">
        <v>1411</v>
      </c>
      <c r="C653" t="s">
        <v>1469</v>
      </c>
      <c r="D653" t="s">
        <v>64</v>
      </c>
      <c r="E653" t="s">
        <v>22</v>
      </c>
      <c r="F653" t="s">
        <v>23</v>
      </c>
      <c r="G653">
        <v>1</v>
      </c>
      <c r="H653">
        <v>9791166300622</v>
      </c>
      <c r="I653" t="s">
        <v>24</v>
      </c>
      <c r="J653" t="s">
        <v>164</v>
      </c>
      <c r="K653" t="s">
        <v>119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2">
        <v>0.7</v>
      </c>
      <c r="S653">
        <v>441</v>
      </c>
      <c r="T653" t="s">
        <v>27</v>
      </c>
      <c r="U653">
        <v>441</v>
      </c>
      <c r="V653" s="7" t="s">
        <v>24</v>
      </c>
      <c r="W653" s="7" t="s">
        <v>119</v>
      </c>
    </row>
    <row r="654" spans="1:23" x14ac:dyDescent="0.4">
      <c r="A654" t="s">
        <v>262</v>
      </c>
      <c r="B654" t="s">
        <v>1411</v>
      </c>
      <c r="C654" t="s">
        <v>1470</v>
      </c>
      <c r="D654" t="s">
        <v>64</v>
      </c>
      <c r="E654" t="s">
        <v>22</v>
      </c>
      <c r="F654" t="s">
        <v>23</v>
      </c>
      <c r="G654">
        <v>1</v>
      </c>
      <c r="H654">
        <v>9791166300202</v>
      </c>
      <c r="I654" t="s">
        <v>24</v>
      </c>
      <c r="J654" t="s">
        <v>129</v>
      </c>
      <c r="K654" t="s">
        <v>119</v>
      </c>
      <c r="L654" t="s">
        <v>27</v>
      </c>
      <c r="M654">
        <v>630</v>
      </c>
      <c r="N654" t="s">
        <v>27</v>
      </c>
      <c r="O654">
        <v>630</v>
      </c>
      <c r="P654">
        <v>630</v>
      </c>
      <c r="Q654" t="s">
        <v>30</v>
      </c>
      <c r="R654" s="2">
        <v>0.7</v>
      </c>
      <c r="S654">
        <v>441</v>
      </c>
      <c r="T654" t="s">
        <v>27</v>
      </c>
      <c r="U654">
        <v>441</v>
      </c>
      <c r="V654" s="7" t="s">
        <v>24</v>
      </c>
      <c r="W654" s="7" t="s">
        <v>119</v>
      </c>
    </row>
    <row r="655" spans="1:23" x14ac:dyDescent="0.4">
      <c r="A655" t="s">
        <v>262</v>
      </c>
      <c r="B655" t="s">
        <v>1411</v>
      </c>
      <c r="C655" t="s">
        <v>1488</v>
      </c>
      <c r="D655" t="s">
        <v>64</v>
      </c>
      <c r="E655" t="s">
        <v>22</v>
      </c>
      <c r="F655" t="s">
        <v>23</v>
      </c>
      <c r="G655">
        <v>1</v>
      </c>
      <c r="H655">
        <v>9791166300530</v>
      </c>
      <c r="I655" t="s">
        <v>24</v>
      </c>
      <c r="J655" t="s">
        <v>151</v>
      </c>
      <c r="K655" t="s">
        <v>119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  <c r="V655" s="7" t="s">
        <v>24</v>
      </c>
      <c r="W655" s="7" t="s">
        <v>119</v>
      </c>
    </row>
    <row r="656" spans="1:23" x14ac:dyDescent="0.4">
      <c r="A656" t="s">
        <v>262</v>
      </c>
      <c r="B656" t="s">
        <v>1411</v>
      </c>
      <c r="C656" t="s">
        <v>1489</v>
      </c>
      <c r="D656" t="s">
        <v>64</v>
      </c>
      <c r="E656" t="s">
        <v>22</v>
      </c>
      <c r="F656" t="s">
        <v>23</v>
      </c>
      <c r="G656">
        <v>1</v>
      </c>
      <c r="H656">
        <v>9791166300127</v>
      </c>
      <c r="I656" t="s">
        <v>24</v>
      </c>
      <c r="J656" t="s">
        <v>122</v>
      </c>
      <c r="K656" t="s">
        <v>119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2">
        <v>0.7</v>
      </c>
      <c r="S656">
        <v>441</v>
      </c>
      <c r="T656" t="s">
        <v>27</v>
      </c>
      <c r="U656">
        <v>441</v>
      </c>
      <c r="V656" s="7" t="s">
        <v>24</v>
      </c>
      <c r="W656" s="7" t="s">
        <v>119</v>
      </c>
    </row>
    <row r="657" spans="1:23" x14ac:dyDescent="0.4">
      <c r="A657" t="s">
        <v>262</v>
      </c>
      <c r="B657" t="s">
        <v>1411</v>
      </c>
      <c r="C657" t="s">
        <v>1497</v>
      </c>
      <c r="D657" t="s">
        <v>64</v>
      </c>
      <c r="E657" t="s">
        <v>22</v>
      </c>
      <c r="F657" t="s">
        <v>23</v>
      </c>
      <c r="G657">
        <v>1</v>
      </c>
      <c r="H657">
        <v>9791166300639</v>
      </c>
      <c r="I657" t="s">
        <v>24</v>
      </c>
      <c r="J657" t="s">
        <v>165</v>
      </c>
      <c r="K657" t="s">
        <v>119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2">
        <v>0.7</v>
      </c>
      <c r="S657">
        <v>441</v>
      </c>
      <c r="T657" t="s">
        <v>27</v>
      </c>
      <c r="U657">
        <v>441</v>
      </c>
      <c r="V657" s="7" t="s">
        <v>24</v>
      </c>
      <c r="W657" s="7" t="s">
        <v>119</v>
      </c>
    </row>
    <row r="658" spans="1:23" x14ac:dyDescent="0.4">
      <c r="A658" t="s">
        <v>262</v>
      </c>
      <c r="B658" t="s">
        <v>1411</v>
      </c>
      <c r="C658" t="s">
        <v>1498</v>
      </c>
      <c r="D658" t="s">
        <v>64</v>
      </c>
      <c r="E658" t="s">
        <v>22</v>
      </c>
      <c r="F658" t="s">
        <v>23</v>
      </c>
      <c r="G658">
        <v>1</v>
      </c>
      <c r="H658">
        <v>9791166300264</v>
      </c>
      <c r="I658" t="s">
        <v>24</v>
      </c>
      <c r="J658" t="s">
        <v>135</v>
      </c>
      <c r="K658" t="s">
        <v>119</v>
      </c>
      <c r="L658" t="s">
        <v>27</v>
      </c>
      <c r="M658">
        <v>630</v>
      </c>
      <c r="N658" t="s">
        <v>27</v>
      </c>
      <c r="O658">
        <v>630</v>
      </c>
      <c r="P658">
        <v>630</v>
      </c>
      <c r="Q658" t="s">
        <v>30</v>
      </c>
      <c r="R658" s="2">
        <v>0.7</v>
      </c>
      <c r="S658">
        <v>441</v>
      </c>
      <c r="T658" t="s">
        <v>27</v>
      </c>
      <c r="U658">
        <v>441</v>
      </c>
      <c r="V658" s="7" t="s">
        <v>24</v>
      </c>
      <c r="W658" s="7" t="s">
        <v>119</v>
      </c>
    </row>
    <row r="659" spans="1:23" x14ac:dyDescent="0.4">
      <c r="A659" t="s">
        <v>262</v>
      </c>
      <c r="B659" t="s">
        <v>1411</v>
      </c>
      <c r="C659" t="s">
        <v>1511</v>
      </c>
      <c r="D659" t="s">
        <v>21</v>
      </c>
      <c r="E659" t="s">
        <v>22</v>
      </c>
      <c r="F659" t="s">
        <v>23</v>
      </c>
      <c r="G659">
        <v>1</v>
      </c>
      <c r="H659">
        <v>9791166300141</v>
      </c>
      <c r="I659" t="s">
        <v>24</v>
      </c>
      <c r="J659" t="s">
        <v>124</v>
      </c>
      <c r="K659" t="s">
        <v>119</v>
      </c>
      <c r="L659" t="s">
        <v>27</v>
      </c>
      <c r="M659" s="3">
        <v>3200</v>
      </c>
      <c r="N659" t="s">
        <v>27</v>
      </c>
      <c r="O659" s="3">
        <v>3200</v>
      </c>
      <c r="P659" s="3">
        <v>3200</v>
      </c>
      <c r="Q659" t="s">
        <v>30</v>
      </c>
      <c r="R659" s="2">
        <v>0.7</v>
      </c>
      <c r="S659" s="3">
        <v>2240</v>
      </c>
      <c r="T659" t="s">
        <v>27</v>
      </c>
      <c r="U659" s="3">
        <v>2240</v>
      </c>
      <c r="V659" s="7" t="s">
        <v>24</v>
      </c>
      <c r="W659" s="7" t="s">
        <v>119</v>
      </c>
    </row>
    <row r="660" spans="1:23" x14ac:dyDescent="0.4">
      <c r="A660" t="s">
        <v>262</v>
      </c>
      <c r="B660" t="s">
        <v>1514</v>
      </c>
      <c r="C660" t="s">
        <v>1515</v>
      </c>
      <c r="D660" t="s">
        <v>64</v>
      </c>
      <c r="E660" t="s">
        <v>22</v>
      </c>
      <c r="F660" t="s">
        <v>23</v>
      </c>
      <c r="G660">
        <v>1</v>
      </c>
      <c r="H660">
        <v>9791166300646</v>
      </c>
      <c r="I660" t="s">
        <v>24</v>
      </c>
      <c r="J660" t="s">
        <v>155</v>
      </c>
      <c r="K660" t="s">
        <v>119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  <c r="V660" s="7" t="s">
        <v>24</v>
      </c>
      <c r="W660" s="7" t="s">
        <v>119</v>
      </c>
    </row>
    <row r="661" spans="1:23" x14ac:dyDescent="0.4">
      <c r="A661" t="s">
        <v>262</v>
      </c>
      <c r="B661" t="s">
        <v>1514</v>
      </c>
      <c r="C661" t="s">
        <v>1519</v>
      </c>
      <c r="D661" t="s">
        <v>64</v>
      </c>
      <c r="E661" t="s">
        <v>22</v>
      </c>
      <c r="F661" t="s">
        <v>23</v>
      </c>
      <c r="G661">
        <v>1</v>
      </c>
      <c r="H661">
        <v>9791166300240</v>
      </c>
      <c r="I661" t="s">
        <v>24</v>
      </c>
      <c r="J661" t="s">
        <v>133</v>
      </c>
      <c r="K661" t="s">
        <v>119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2">
        <v>0.7</v>
      </c>
      <c r="S661">
        <v>441</v>
      </c>
      <c r="T661" t="s">
        <v>27</v>
      </c>
      <c r="U661">
        <v>441</v>
      </c>
      <c r="V661" s="7" t="s">
        <v>24</v>
      </c>
      <c r="W661" s="7" t="s">
        <v>119</v>
      </c>
    </row>
    <row r="662" spans="1:23" x14ac:dyDescent="0.4">
      <c r="A662" t="s">
        <v>262</v>
      </c>
      <c r="B662" t="s">
        <v>1514</v>
      </c>
      <c r="C662" t="s">
        <v>1520</v>
      </c>
      <c r="D662" t="s">
        <v>21</v>
      </c>
      <c r="E662" t="s">
        <v>22</v>
      </c>
      <c r="F662" t="s">
        <v>23</v>
      </c>
      <c r="G662">
        <v>1</v>
      </c>
      <c r="H662">
        <v>9791166300264</v>
      </c>
      <c r="I662" t="s">
        <v>24</v>
      </c>
      <c r="J662" t="s">
        <v>135</v>
      </c>
      <c r="K662" t="s">
        <v>119</v>
      </c>
      <c r="L662" t="s">
        <v>27</v>
      </c>
      <c r="M662" s="3">
        <v>3200</v>
      </c>
      <c r="N662" t="s">
        <v>27</v>
      </c>
      <c r="O662" s="3">
        <v>3200</v>
      </c>
      <c r="P662" s="3">
        <v>3200</v>
      </c>
      <c r="Q662" t="s">
        <v>30</v>
      </c>
      <c r="R662" s="2">
        <v>0.7</v>
      </c>
      <c r="S662" s="3">
        <v>2240</v>
      </c>
      <c r="T662" t="s">
        <v>27</v>
      </c>
      <c r="U662" s="3">
        <v>2240</v>
      </c>
      <c r="V662" s="7" t="s">
        <v>24</v>
      </c>
      <c r="W662" s="7" t="s">
        <v>119</v>
      </c>
    </row>
    <row r="663" spans="1:23" x14ac:dyDescent="0.4">
      <c r="A663" t="s">
        <v>262</v>
      </c>
      <c r="B663" t="s">
        <v>1514</v>
      </c>
      <c r="C663" t="s">
        <v>1521</v>
      </c>
      <c r="D663" t="s">
        <v>64</v>
      </c>
      <c r="E663" t="s">
        <v>22</v>
      </c>
      <c r="F663" t="s">
        <v>23</v>
      </c>
      <c r="G663">
        <v>1</v>
      </c>
      <c r="H663">
        <v>9791166300134</v>
      </c>
      <c r="I663" t="s">
        <v>24</v>
      </c>
      <c r="J663" t="s">
        <v>123</v>
      </c>
      <c r="K663" t="s">
        <v>119</v>
      </c>
      <c r="L663" t="s">
        <v>27</v>
      </c>
      <c r="M663">
        <v>630</v>
      </c>
      <c r="N663" t="s">
        <v>27</v>
      </c>
      <c r="O663">
        <v>630</v>
      </c>
      <c r="P663">
        <v>630</v>
      </c>
      <c r="Q663" t="s">
        <v>30</v>
      </c>
      <c r="R663" s="2">
        <v>0.7</v>
      </c>
      <c r="S663">
        <v>441</v>
      </c>
      <c r="T663" t="s">
        <v>27</v>
      </c>
      <c r="U663">
        <v>441</v>
      </c>
      <c r="V663" s="7" t="s">
        <v>24</v>
      </c>
      <c r="W663" s="7" t="s">
        <v>119</v>
      </c>
    </row>
    <row r="664" spans="1:23" x14ac:dyDescent="0.4">
      <c r="A664" t="s">
        <v>262</v>
      </c>
      <c r="B664" t="s">
        <v>1514</v>
      </c>
      <c r="C664" t="s">
        <v>1522</v>
      </c>
      <c r="D664" t="s">
        <v>64</v>
      </c>
      <c r="E664" t="s">
        <v>22</v>
      </c>
      <c r="F664" t="s">
        <v>23</v>
      </c>
      <c r="G664">
        <v>1</v>
      </c>
      <c r="H664">
        <v>9791166300592</v>
      </c>
      <c r="I664" t="s">
        <v>24</v>
      </c>
      <c r="J664" t="s">
        <v>161</v>
      </c>
      <c r="K664" t="s">
        <v>119</v>
      </c>
      <c r="L664" t="s">
        <v>27</v>
      </c>
      <c r="M664">
        <v>630</v>
      </c>
      <c r="N664" t="s">
        <v>27</v>
      </c>
      <c r="O664">
        <v>630</v>
      </c>
      <c r="P664">
        <v>630</v>
      </c>
      <c r="Q664" t="s">
        <v>30</v>
      </c>
      <c r="R664" s="2">
        <v>0.7</v>
      </c>
      <c r="S664">
        <v>441</v>
      </c>
      <c r="T664" t="s">
        <v>27</v>
      </c>
      <c r="U664">
        <v>441</v>
      </c>
      <c r="V664" s="7" t="s">
        <v>24</v>
      </c>
      <c r="W664" s="7" t="s">
        <v>119</v>
      </c>
    </row>
    <row r="665" spans="1:23" x14ac:dyDescent="0.4">
      <c r="A665" t="s">
        <v>262</v>
      </c>
      <c r="B665" t="s">
        <v>1514</v>
      </c>
      <c r="C665" t="s">
        <v>1523</v>
      </c>
      <c r="D665" t="s">
        <v>64</v>
      </c>
      <c r="E665" t="s">
        <v>22</v>
      </c>
      <c r="F665" t="s">
        <v>23</v>
      </c>
      <c r="G665">
        <v>1</v>
      </c>
      <c r="H665">
        <v>9791166300103</v>
      </c>
      <c r="I665" t="s">
        <v>24</v>
      </c>
      <c r="J665" t="s">
        <v>120</v>
      </c>
      <c r="K665" t="s">
        <v>119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  <c r="V665" s="7" t="s">
        <v>24</v>
      </c>
      <c r="W665" s="7" t="s">
        <v>119</v>
      </c>
    </row>
    <row r="666" spans="1:23" x14ac:dyDescent="0.4">
      <c r="A666" t="s">
        <v>262</v>
      </c>
      <c r="B666" t="s">
        <v>1514</v>
      </c>
      <c r="C666" t="s">
        <v>1524</v>
      </c>
      <c r="D666" t="s">
        <v>64</v>
      </c>
      <c r="E666" t="s">
        <v>22</v>
      </c>
      <c r="F666" t="s">
        <v>23</v>
      </c>
      <c r="G666">
        <v>1</v>
      </c>
      <c r="H666">
        <v>9791166300110</v>
      </c>
      <c r="I666" t="s">
        <v>24</v>
      </c>
      <c r="J666" t="s">
        <v>121</v>
      </c>
      <c r="K666" t="s">
        <v>119</v>
      </c>
      <c r="L666" t="s">
        <v>27</v>
      </c>
      <c r="M666">
        <v>630</v>
      </c>
      <c r="N666" t="s">
        <v>27</v>
      </c>
      <c r="O666">
        <v>630</v>
      </c>
      <c r="P666">
        <v>630</v>
      </c>
      <c r="Q666" t="s">
        <v>30</v>
      </c>
      <c r="R666" s="2">
        <v>0.7</v>
      </c>
      <c r="S666">
        <v>441</v>
      </c>
      <c r="T666" t="s">
        <v>27</v>
      </c>
      <c r="U666">
        <v>441</v>
      </c>
      <c r="V666" s="7" t="s">
        <v>24</v>
      </c>
      <c r="W666" s="7" t="s">
        <v>119</v>
      </c>
    </row>
    <row r="667" spans="1:23" x14ac:dyDescent="0.4">
      <c r="A667" t="s">
        <v>262</v>
      </c>
      <c r="B667" t="s">
        <v>1514</v>
      </c>
      <c r="C667" t="s">
        <v>1526</v>
      </c>
      <c r="D667" t="s">
        <v>64</v>
      </c>
      <c r="E667" t="s">
        <v>22</v>
      </c>
      <c r="F667" t="s">
        <v>23</v>
      </c>
      <c r="G667">
        <v>1</v>
      </c>
      <c r="H667">
        <v>9791166300219</v>
      </c>
      <c r="I667" t="s">
        <v>24</v>
      </c>
      <c r="J667" t="s">
        <v>130</v>
      </c>
      <c r="K667" t="s">
        <v>119</v>
      </c>
      <c r="L667" t="s">
        <v>27</v>
      </c>
      <c r="M667">
        <v>630</v>
      </c>
      <c r="N667" t="s">
        <v>27</v>
      </c>
      <c r="O667">
        <v>630</v>
      </c>
      <c r="P667">
        <v>630</v>
      </c>
      <c r="Q667" t="s">
        <v>30</v>
      </c>
      <c r="R667" s="2">
        <v>0.7</v>
      </c>
      <c r="S667">
        <v>441</v>
      </c>
      <c r="T667" t="s">
        <v>27</v>
      </c>
      <c r="U667">
        <v>441</v>
      </c>
      <c r="V667" s="7" t="s">
        <v>24</v>
      </c>
      <c r="W667" s="7" t="s">
        <v>119</v>
      </c>
    </row>
    <row r="668" spans="1:23" x14ac:dyDescent="0.4">
      <c r="A668" t="s">
        <v>262</v>
      </c>
      <c r="B668" t="s">
        <v>1514</v>
      </c>
      <c r="C668" t="s">
        <v>1527</v>
      </c>
      <c r="D668" t="s">
        <v>64</v>
      </c>
      <c r="E668" t="s">
        <v>22</v>
      </c>
      <c r="F668" t="s">
        <v>23</v>
      </c>
      <c r="G668">
        <v>1</v>
      </c>
      <c r="H668">
        <v>9791166300141</v>
      </c>
      <c r="I668" t="s">
        <v>24</v>
      </c>
      <c r="J668" t="s">
        <v>124</v>
      </c>
      <c r="K668" t="s">
        <v>119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  <c r="V668" s="7" t="s">
        <v>24</v>
      </c>
      <c r="W668" s="7" t="s">
        <v>119</v>
      </c>
    </row>
    <row r="669" spans="1:23" x14ac:dyDescent="0.4">
      <c r="A669" t="s">
        <v>262</v>
      </c>
      <c r="B669" t="s">
        <v>1514</v>
      </c>
      <c r="C669" t="s">
        <v>1528</v>
      </c>
      <c r="D669" t="s">
        <v>21</v>
      </c>
      <c r="E669" t="s">
        <v>22</v>
      </c>
      <c r="F669" t="s">
        <v>23</v>
      </c>
      <c r="G669">
        <v>1</v>
      </c>
      <c r="H669">
        <v>9791166300271</v>
      </c>
      <c r="I669" t="s">
        <v>24</v>
      </c>
      <c r="J669" t="s">
        <v>136</v>
      </c>
      <c r="K669" t="s">
        <v>119</v>
      </c>
      <c r="L669" t="s">
        <v>27</v>
      </c>
      <c r="M669" s="3">
        <v>3200</v>
      </c>
      <c r="N669" t="s">
        <v>27</v>
      </c>
      <c r="O669" s="3">
        <v>3200</v>
      </c>
      <c r="P669" s="3">
        <v>3200</v>
      </c>
      <c r="Q669" t="s">
        <v>30</v>
      </c>
      <c r="R669" s="2">
        <v>0.7</v>
      </c>
      <c r="S669" s="3">
        <v>2240</v>
      </c>
      <c r="T669" t="s">
        <v>27</v>
      </c>
      <c r="U669" s="3">
        <v>2240</v>
      </c>
      <c r="V669" s="7" t="s">
        <v>24</v>
      </c>
      <c r="W669" s="7" t="s">
        <v>119</v>
      </c>
    </row>
    <row r="670" spans="1:23" x14ac:dyDescent="0.4">
      <c r="A670" t="s">
        <v>262</v>
      </c>
      <c r="B670" t="s">
        <v>1514</v>
      </c>
      <c r="C670" t="s">
        <v>1529</v>
      </c>
      <c r="D670" t="s">
        <v>64</v>
      </c>
      <c r="E670" t="s">
        <v>22</v>
      </c>
      <c r="F670" t="s">
        <v>23</v>
      </c>
      <c r="G670">
        <v>1</v>
      </c>
      <c r="H670">
        <v>9791166300660</v>
      </c>
      <c r="I670" t="s">
        <v>24</v>
      </c>
      <c r="J670" t="s">
        <v>156</v>
      </c>
      <c r="K670" t="s">
        <v>119</v>
      </c>
      <c r="L670" t="s">
        <v>27</v>
      </c>
      <c r="M670">
        <v>630</v>
      </c>
      <c r="N670" t="s">
        <v>27</v>
      </c>
      <c r="O670">
        <v>630</v>
      </c>
      <c r="P670">
        <v>630</v>
      </c>
      <c r="Q670" t="s">
        <v>30</v>
      </c>
      <c r="R670" s="2">
        <v>0.7</v>
      </c>
      <c r="S670">
        <v>441</v>
      </c>
      <c r="T670" t="s">
        <v>27</v>
      </c>
      <c r="U670">
        <v>441</v>
      </c>
      <c r="V670" s="7" t="s">
        <v>24</v>
      </c>
      <c r="W670" s="7" t="s">
        <v>119</v>
      </c>
    </row>
    <row r="671" spans="1:23" x14ac:dyDescent="0.4">
      <c r="A671" t="s">
        <v>262</v>
      </c>
      <c r="B671" t="s">
        <v>1514</v>
      </c>
      <c r="C671" t="s">
        <v>1531</v>
      </c>
      <c r="D671" t="s">
        <v>64</v>
      </c>
      <c r="E671" t="s">
        <v>22</v>
      </c>
      <c r="F671" t="s">
        <v>23</v>
      </c>
      <c r="G671">
        <v>1</v>
      </c>
      <c r="H671">
        <v>9791166300561</v>
      </c>
      <c r="I671" t="s">
        <v>24</v>
      </c>
      <c r="J671" t="s">
        <v>158</v>
      </c>
      <c r="K671" t="s">
        <v>119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  <c r="V671" s="7" t="s">
        <v>24</v>
      </c>
      <c r="W671" s="7" t="s">
        <v>119</v>
      </c>
    </row>
    <row r="672" spans="1:23" x14ac:dyDescent="0.4">
      <c r="A672" t="s">
        <v>262</v>
      </c>
      <c r="B672" t="s">
        <v>1514</v>
      </c>
      <c r="C672" t="s">
        <v>1534</v>
      </c>
      <c r="D672" t="s">
        <v>64</v>
      </c>
      <c r="E672" t="s">
        <v>22</v>
      </c>
      <c r="F672" t="s">
        <v>23</v>
      </c>
      <c r="G672">
        <v>1</v>
      </c>
      <c r="H672">
        <v>9791166300547</v>
      </c>
      <c r="I672" t="s">
        <v>24</v>
      </c>
      <c r="J672" t="s">
        <v>153</v>
      </c>
      <c r="K672" t="s">
        <v>119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2">
        <v>0.7</v>
      </c>
      <c r="S672">
        <v>441</v>
      </c>
      <c r="T672" t="s">
        <v>27</v>
      </c>
      <c r="U672">
        <v>441</v>
      </c>
      <c r="V672" s="7" t="s">
        <v>24</v>
      </c>
      <c r="W672" s="7" t="s">
        <v>119</v>
      </c>
    </row>
    <row r="673" spans="1:23" x14ac:dyDescent="0.4">
      <c r="A673" t="s">
        <v>262</v>
      </c>
      <c r="B673" t="s">
        <v>1514</v>
      </c>
      <c r="C673" t="s">
        <v>1536</v>
      </c>
      <c r="D673" t="s">
        <v>64</v>
      </c>
      <c r="E673" t="s">
        <v>22</v>
      </c>
      <c r="F673" t="s">
        <v>23</v>
      </c>
      <c r="G673">
        <v>1</v>
      </c>
      <c r="H673">
        <v>9791166300219</v>
      </c>
      <c r="I673" t="s">
        <v>24</v>
      </c>
      <c r="J673" t="s">
        <v>130</v>
      </c>
      <c r="K673" t="s">
        <v>119</v>
      </c>
      <c r="L673" t="s">
        <v>27</v>
      </c>
      <c r="M673">
        <v>630</v>
      </c>
      <c r="N673" t="s">
        <v>27</v>
      </c>
      <c r="O673">
        <v>630</v>
      </c>
      <c r="P673">
        <v>630</v>
      </c>
      <c r="Q673" t="s">
        <v>30</v>
      </c>
      <c r="R673" s="2">
        <v>0.7</v>
      </c>
      <c r="S673">
        <v>441</v>
      </c>
      <c r="T673" t="s">
        <v>27</v>
      </c>
      <c r="U673">
        <v>441</v>
      </c>
      <c r="V673" s="7" t="s">
        <v>24</v>
      </c>
      <c r="W673" s="7" t="s">
        <v>119</v>
      </c>
    </row>
    <row r="674" spans="1:23" x14ac:dyDescent="0.4">
      <c r="A674" t="s">
        <v>262</v>
      </c>
      <c r="B674" t="s">
        <v>1514</v>
      </c>
      <c r="C674" t="s">
        <v>1537</v>
      </c>
      <c r="D674" t="s">
        <v>64</v>
      </c>
      <c r="E674" t="s">
        <v>22</v>
      </c>
      <c r="F674" t="s">
        <v>23</v>
      </c>
      <c r="G674">
        <v>1</v>
      </c>
      <c r="H674">
        <v>9791166300653</v>
      </c>
      <c r="I674" t="s">
        <v>24</v>
      </c>
      <c r="J674" t="s">
        <v>157</v>
      </c>
      <c r="K674" t="s">
        <v>119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  <c r="V674" s="7" t="s">
        <v>24</v>
      </c>
      <c r="W674" s="7" t="s">
        <v>119</v>
      </c>
    </row>
    <row r="675" spans="1:23" x14ac:dyDescent="0.4">
      <c r="A675" t="s">
        <v>262</v>
      </c>
      <c r="B675" t="s">
        <v>1514</v>
      </c>
      <c r="C675" t="s">
        <v>1538</v>
      </c>
      <c r="D675" t="s">
        <v>64</v>
      </c>
      <c r="E675" t="s">
        <v>22</v>
      </c>
      <c r="F675" t="s">
        <v>23</v>
      </c>
      <c r="G675">
        <v>1</v>
      </c>
      <c r="H675">
        <v>9791166300141</v>
      </c>
      <c r="I675" t="s">
        <v>24</v>
      </c>
      <c r="J675" t="s">
        <v>124</v>
      </c>
      <c r="K675" t="s">
        <v>119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  <c r="V675" s="7" t="s">
        <v>24</v>
      </c>
      <c r="W675" s="7" t="s">
        <v>119</v>
      </c>
    </row>
    <row r="676" spans="1:23" x14ac:dyDescent="0.4">
      <c r="A676" t="s">
        <v>262</v>
      </c>
      <c r="B676" t="s">
        <v>1514</v>
      </c>
      <c r="C676" t="s">
        <v>1541</v>
      </c>
      <c r="D676" t="s">
        <v>21</v>
      </c>
      <c r="E676" t="s">
        <v>22</v>
      </c>
      <c r="F676" t="s">
        <v>23</v>
      </c>
      <c r="G676">
        <v>1</v>
      </c>
      <c r="H676">
        <v>9791166300158</v>
      </c>
      <c r="I676" t="s">
        <v>24</v>
      </c>
      <c r="J676" t="s">
        <v>125</v>
      </c>
      <c r="K676" t="s">
        <v>119</v>
      </c>
      <c r="L676" t="s">
        <v>27</v>
      </c>
      <c r="M676" s="3">
        <v>3200</v>
      </c>
      <c r="N676" t="s">
        <v>27</v>
      </c>
      <c r="O676" s="3">
        <v>3200</v>
      </c>
      <c r="P676" s="3">
        <v>3200</v>
      </c>
      <c r="Q676" t="s">
        <v>30</v>
      </c>
      <c r="R676" s="2">
        <v>0.7</v>
      </c>
      <c r="S676" s="3">
        <v>2240</v>
      </c>
      <c r="T676" t="s">
        <v>27</v>
      </c>
      <c r="U676" s="3">
        <v>2240</v>
      </c>
      <c r="V676" s="7" t="s">
        <v>24</v>
      </c>
      <c r="W676" s="7" t="s">
        <v>119</v>
      </c>
    </row>
    <row r="677" spans="1:23" x14ac:dyDescent="0.4">
      <c r="A677" t="s">
        <v>262</v>
      </c>
      <c r="B677" t="s">
        <v>1514</v>
      </c>
      <c r="C677" t="s">
        <v>1542</v>
      </c>
      <c r="D677" t="s">
        <v>64</v>
      </c>
      <c r="E677" t="s">
        <v>22</v>
      </c>
      <c r="F677" t="s">
        <v>23</v>
      </c>
      <c r="G677">
        <v>1</v>
      </c>
      <c r="H677">
        <v>9791166300585</v>
      </c>
      <c r="I677" t="s">
        <v>24</v>
      </c>
      <c r="J677" t="s">
        <v>160</v>
      </c>
      <c r="K677" t="s">
        <v>119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  <c r="V677" s="7" t="s">
        <v>24</v>
      </c>
      <c r="W677" s="7" t="s">
        <v>119</v>
      </c>
    </row>
    <row r="678" spans="1:23" x14ac:dyDescent="0.4">
      <c r="A678" t="s">
        <v>262</v>
      </c>
      <c r="B678" t="s">
        <v>1514</v>
      </c>
      <c r="C678" t="s">
        <v>1543</v>
      </c>
      <c r="D678" t="s">
        <v>64</v>
      </c>
      <c r="E678" t="s">
        <v>22</v>
      </c>
      <c r="F678" t="s">
        <v>23</v>
      </c>
      <c r="G678">
        <v>1</v>
      </c>
      <c r="H678">
        <v>9791166300271</v>
      </c>
      <c r="I678" t="s">
        <v>24</v>
      </c>
      <c r="J678" t="s">
        <v>136</v>
      </c>
      <c r="K678" t="s">
        <v>119</v>
      </c>
      <c r="L678" t="s">
        <v>27</v>
      </c>
      <c r="M678">
        <v>630</v>
      </c>
      <c r="N678" t="s">
        <v>27</v>
      </c>
      <c r="O678">
        <v>630</v>
      </c>
      <c r="P678">
        <v>630</v>
      </c>
      <c r="Q678" t="s">
        <v>30</v>
      </c>
      <c r="R678" s="2">
        <v>0.7</v>
      </c>
      <c r="S678">
        <v>441</v>
      </c>
      <c r="T678" t="s">
        <v>27</v>
      </c>
      <c r="U678">
        <v>441</v>
      </c>
      <c r="V678" s="7" t="s">
        <v>24</v>
      </c>
      <c r="W678" s="7" t="s">
        <v>119</v>
      </c>
    </row>
    <row r="679" spans="1:23" x14ac:dyDescent="0.4">
      <c r="A679" t="s">
        <v>262</v>
      </c>
      <c r="B679" t="s">
        <v>1514</v>
      </c>
      <c r="C679" t="s">
        <v>1548</v>
      </c>
      <c r="D679" t="s">
        <v>64</v>
      </c>
      <c r="E679" t="s">
        <v>22</v>
      </c>
      <c r="F679" t="s">
        <v>23</v>
      </c>
      <c r="G679">
        <v>1</v>
      </c>
      <c r="H679">
        <v>9791166300134</v>
      </c>
      <c r="I679" t="s">
        <v>24</v>
      </c>
      <c r="J679" t="s">
        <v>123</v>
      </c>
      <c r="K679" t="s">
        <v>119</v>
      </c>
      <c r="L679" t="s">
        <v>27</v>
      </c>
      <c r="M679">
        <v>630</v>
      </c>
      <c r="N679" t="s">
        <v>27</v>
      </c>
      <c r="O679">
        <v>630</v>
      </c>
      <c r="P679">
        <v>630</v>
      </c>
      <c r="Q679" t="s">
        <v>30</v>
      </c>
      <c r="R679" s="2">
        <v>0.7</v>
      </c>
      <c r="S679">
        <v>441</v>
      </c>
      <c r="T679" t="s">
        <v>27</v>
      </c>
      <c r="U679">
        <v>441</v>
      </c>
      <c r="V679" s="7" t="s">
        <v>24</v>
      </c>
      <c r="W679" s="7" t="s">
        <v>119</v>
      </c>
    </row>
    <row r="680" spans="1:23" x14ac:dyDescent="0.4">
      <c r="A680" t="s">
        <v>262</v>
      </c>
      <c r="B680" t="s">
        <v>1514</v>
      </c>
      <c r="C680" t="s">
        <v>1549</v>
      </c>
      <c r="D680" t="s">
        <v>21</v>
      </c>
      <c r="E680" t="s">
        <v>22</v>
      </c>
      <c r="F680" t="s">
        <v>23</v>
      </c>
      <c r="G680">
        <v>1</v>
      </c>
      <c r="H680">
        <v>9791166300288</v>
      </c>
      <c r="I680" t="s">
        <v>24</v>
      </c>
      <c r="J680" t="s">
        <v>137</v>
      </c>
      <c r="K680" t="s">
        <v>119</v>
      </c>
      <c r="L680" t="s">
        <v>27</v>
      </c>
      <c r="M680" s="3">
        <v>3200</v>
      </c>
      <c r="N680" t="s">
        <v>27</v>
      </c>
      <c r="O680" s="3">
        <v>3200</v>
      </c>
      <c r="P680" s="3">
        <v>3200</v>
      </c>
      <c r="Q680" t="s">
        <v>30</v>
      </c>
      <c r="R680" s="2">
        <v>0.7</v>
      </c>
      <c r="S680" s="3">
        <v>2240</v>
      </c>
      <c r="T680" t="s">
        <v>27</v>
      </c>
      <c r="U680" s="3">
        <v>2240</v>
      </c>
      <c r="V680" s="7" t="s">
        <v>24</v>
      </c>
      <c r="W680" s="7" t="s">
        <v>119</v>
      </c>
    </row>
    <row r="681" spans="1:23" x14ac:dyDescent="0.4">
      <c r="A681" t="s">
        <v>262</v>
      </c>
      <c r="B681" t="s">
        <v>1514</v>
      </c>
      <c r="C681" t="s">
        <v>1550</v>
      </c>
      <c r="D681" t="s">
        <v>64</v>
      </c>
      <c r="E681" t="s">
        <v>22</v>
      </c>
      <c r="F681" t="s">
        <v>23</v>
      </c>
      <c r="G681">
        <v>1</v>
      </c>
      <c r="H681">
        <v>9791166300622</v>
      </c>
      <c r="I681" t="s">
        <v>24</v>
      </c>
      <c r="J681" t="s">
        <v>164</v>
      </c>
      <c r="K681" t="s">
        <v>119</v>
      </c>
      <c r="L681" t="s">
        <v>27</v>
      </c>
      <c r="M681">
        <v>630</v>
      </c>
      <c r="N681" t="s">
        <v>27</v>
      </c>
      <c r="O681">
        <v>630</v>
      </c>
      <c r="P681">
        <v>630</v>
      </c>
      <c r="Q681" t="s">
        <v>30</v>
      </c>
      <c r="R681" s="2">
        <v>0.7</v>
      </c>
      <c r="S681">
        <v>441</v>
      </c>
      <c r="T681" t="s">
        <v>27</v>
      </c>
      <c r="U681">
        <v>441</v>
      </c>
      <c r="V681" s="7" t="s">
        <v>24</v>
      </c>
      <c r="W681" s="7" t="s">
        <v>119</v>
      </c>
    </row>
    <row r="682" spans="1:23" x14ac:dyDescent="0.4">
      <c r="A682" t="s">
        <v>262</v>
      </c>
      <c r="B682" t="s">
        <v>1514</v>
      </c>
      <c r="C682" t="s">
        <v>1551</v>
      </c>
      <c r="D682" t="s">
        <v>64</v>
      </c>
      <c r="E682" t="s">
        <v>22</v>
      </c>
      <c r="F682" t="s">
        <v>23</v>
      </c>
      <c r="G682">
        <v>1</v>
      </c>
      <c r="H682">
        <v>9791166300288</v>
      </c>
      <c r="I682" t="s">
        <v>24</v>
      </c>
      <c r="J682" t="s">
        <v>137</v>
      </c>
      <c r="K682" t="s">
        <v>119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2">
        <v>0.7</v>
      </c>
      <c r="S682">
        <v>441</v>
      </c>
      <c r="T682" t="s">
        <v>27</v>
      </c>
      <c r="U682">
        <v>441</v>
      </c>
      <c r="V682" s="7" t="s">
        <v>24</v>
      </c>
      <c r="W682" s="7" t="s">
        <v>119</v>
      </c>
    </row>
    <row r="683" spans="1:23" x14ac:dyDescent="0.4">
      <c r="A683" t="s">
        <v>262</v>
      </c>
      <c r="B683" t="s">
        <v>1514</v>
      </c>
      <c r="C683" t="s">
        <v>1552</v>
      </c>
      <c r="D683" t="s">
        <v>64</v>
      </c>
      <c r="E683" t="s">
        <v>22</v>
      </c>
      <c r="F683" t="s">
        <v>23</v>
      </c>
      <c r="G683">
        <v>1</v>
      </c>
      <c r="H683">
        <v>9791166300523</v>
      </c>
      <c r="I683" t="s">
        <v>24</v>
      </c>
      <c r="J683" t="s">
        <v>150</v>
      </c>
      <c r="K683" t="s">
        <v>119</v>
      </c>
      <c r="L683" t="s">
        <v>27</v>
      </c>
      <c r="M683">
        <v>630</v>
      </c>
      <c r="N683" t="s">
        <v>27</v>
      </c>
      <c r="O683">
        <v>630</v>
      </c>
      <c r="P683">
        <v>630</v>
      </c>
      <c r="Q683" t="s">
        <v>30</v>
      </c>
      <c r="R683" s="2">
        <v>0.7</v>
      </c>
      <c r="S683">
        <v>441</v>
      </c>
      <c r="T683" t="s">
        <v>27</v>
      </c>
      <c r="U683">
        <v>441</v>
      </c>
      <c r="V683" s="7" t="s">
        <v>24</v>
      </c>
      <c r="W683" s="7" t="s">
        <v>119</v>
      </c>
    </row>
    <row r="684" spans="1:23" x14ac:dyDescent="0.4">
      <c r="A684" t="s">
        <v>262</v>
      </c>
      <c r="B684" t="s">
        <v>1514</v>
      </c>
      <c r="C684" t="s">
        <v>1553</v>
      </c>
      <c r="D684" t="s">
        <v>64</v>
      </c>
      <c r="E684" t="s">
        <v>22</v>
      </c>
      <c r="F684" t="s">
        <v>23</v>
      </c>
      <c r="G684">
        <v>1</v>
      </c>
      <c r="H684">
        <v>9791166300639</v>
      </c>
      <c r="I684" t="s">
        <v>24</v>
      </c>
      <c r="J684" t="s">
        <v>165</v>
      </c>
      <c r="K684" t="s">
        <v>119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2">
        <v>0.7</v>
      </c>
      <c r="S684">
        <v>441</v>
      </c>
      <c r="T684" t="s">
        <v>27</v>
      </c>
      <c r="U684">
        <v>441</v>
      </c>
      <c r="V684" s="7" t="s">
        <v>24</v>
      </c>
      <c r="W684" s="7" t="s">
        <v>119</v>
      </c>
    </row>
    <row r="685" spans="1:23" x14ac:dyDescent="0.4">
      <c r="A685" t="s">
        <v>262</v>
      </c>
      <c r="B685" t="s">
        <v>1514</v>
      </c>
      <c r="C685" t="s">
        <v>1554</v>
      </c>
      <c r="D685" t="s">
        <v>64</v>
      </c>
      <c r="E685" t="s">
        <v>22</v>
      </c>
      <c r="F685" t="s">
        <v>23</v>
      </c>
      <c r="G685">
        <v>1</v>
      </c>
      <c r="H685">
        <v>9791166300615</v>
      </c>
      <c r="I685" t="s">
        <v>24</v>
      </c>
      <c r="J685" t="s">
        <v>163</v>
      </c>
      <c r="K685" t="s">
        <v>119</v>
      </c>
      <c r="L685" t="s">
        <v>27</v>
      </c>
      <c r="M685">
        <v>630</v>
      </c>
      <c r="N685" t="s">
        <v>27</v>
      </c>
      <c r="O685">
        <v>630</v>
      </c>
      <c r="P685">
        <v>630</v>
      </c>
      <c r="Q685" t="s">
        <v>30</v>
      </c>
      <c r="R685" s="2">
        <v>0.7</v>
      </c>
      <c r="S685">
        <v>441</v>
      </c>
      <c r="T685" t="s">
        <v>27</v>
      </c>
      <c r="U685">
        <v>441</v>
      </c>
      <c r="V685" s="7" t="s">
        <v>24</v>
      </c>
      <c r="W685" s="7" t="s">
        <v>119</v>
      </c>
    </row>
    <row r="686" spans="1:23" x14ac:dyDescent="0.4">
      <c r="A686" t="s">
        <v>262</v>
      </c>
      <c r="B686" t="s">
        <v>1514</v>
      </c>
      <c r="C686" t="s">
        <v>1555</v>
      </c>
      <c r="D686" t="s">
        <v>21</v>
      </c>
      <c r="E686" t="s">
        <v>22</v>
      </c>
      <c r="F686" t="s">
        <v>23</v>
      </c>
      <c r="G686">
        <v>1</v>
      </c>
      <c r="H686">
        <v>9791166300271</v>
      </c>
      <c r="I686" t="s">
        <v>24</v>
      </c>
      <c r="J686" t="s">
        <v>136</v>
      </c>
      <c r="K686" t="s">
        <v>119</v>
      </c>
      <c r="L686" t="s">
        <v>27</v>
      </c>
      <c r="M686" s="3">
        <v>3200</v>
      </c>
      <c r="N686" t="s">
        <v>27</v>
      </c>
      <c r="O686" s="3">
        <v>3200</v>
      </c>
      <c r="P686" s="3">
        <v>3200</v>
      </c>
      <c r="Q686" t="s">
        <v>30</v>
      </c>
      <c r="R686" s="2">
        <v>0.7</v>
      </c>
      <c r="S686" s="3">
        <v>2240</v>
      </c>
      <c r="T686" t="s">
        <v>27</v>
      </c>
      <c r="U686" s="3">
        <v>2240</v>
      </c>
      <c r="V686" s="7" t="s">
        <v>24</v>
      </c>
      <c r="W686" s="7" t="s">
        <v>119</v>
      </c>
    </row>
    <row r="687" spans="1:23" x14ac:dyDescent="0.4">
      <c r="A687" t="s">
        <v>262</v>
      </c>
      <c r="B687" t="s">
        <v>1514</v>
      </c>
      <c r="C687" t="s">
        <v>1556</v>
      </c>
      <c r="D687" t="s">
        <v>64</v>
      </c>
      <c r="E687" t="s">
        <v>22</v>
      </c>
      <c r="F687" t="s">
        <v>23</v>
      </c>
      <c r="G687">
        <v>1</v>
      </c>
      <c r="H687">
        <v>9791166300110</v>
      </c>
      <c r="I687" t="s">
        <v>24</v>
      </c>
      <c r="J687" t="s">
        <v>121</v>
      </c>
      <c r="K687" t="s">
        <v>119</v>
      </c>
      <c r="L687" t="s">
        <v>27</v>
      </c>
      <c r="M687">
        <v>630</v>
      </c>
      <c r="N687" t="s">
        <v>27</v>
      </c>
      <c r="O687">
        <v>630</v>
      </c>
      <c r="P687">
        <v>630</v>
      </c>
      <c r="Q687" t="s">
        <v>30</v>
      </c>
      <c r="R687" s="2">
        <v>0.7</v>
      </c>
      <c r="S687">
        <v>441</v>
      </c>
      <c r="T687" t="s">
        <v>27</v>
      </c>
      <c r="U687">
        <v>441</v>
      </c>
      <c r="V687" s="7" t="s">
        <v>24</v>
      </c>
      <c r="W687" s="7" t="s">
        <v>119</v>
      </c>
    </row>
    <row r="688" spans="1:23" x14ac:dyDescent="0.4">
      <c r="A688" t="s">
        <v>262</v>
      </c>
      <c r="B688" t="s">
        <v>1514</v>
      </c>
      <c r="C688" t="s">
        <v>1558</v>
      </c>
      <c r="D688" t="s">
        <v>64</v>
      </c>
      <c r="E688" t="s">
        <v>22</v>
      </c>
      <c r="F688" t="s">
        <v>23</v>
      </c>
      <c r="G688">
        <v>1</v>
      </c>
      <c r="H688">
        <v>9791166300554</v>
      </c>
      <c r="I688" t="s">
        <v>24</v>
      </c>
      <c r="J688" t="s">
        <v>154</v>
      </c>
      <c r="K688" t="s">
        <v>119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  <c r="V688" s="7" t="s">
        <v>24</v>
      </c>
      <c r="W688" s="7" t="s">
        <v>119</v>
      </c>
    </row>
    <row r="689" spans="1:23" x14ac:dyDescent="0.4">
      <c r="A689" t="s">
        <v>262</v>
      </c>
      <c r="B689" t="s">
        <v>1514</v>
      </c>
      <c r="C689" t="s">
        <v>1564</v>
      </c>
      <c r="D689" t="s">
        <v>64</v>
      </c>
      <c r="E689" t="s">
        <v>22</v>
      </c>
      <c r="F689" t="s">
        <v>23</v>
      </c>
      <c r="G689">
        <v>1</v>
      </c>
      <c r="H689">
        <v>9791166300196</v>
      </c>
      <c r="I689" t="s">
        <v>24</v>
      </c>
      <c r="J689" t="s">
        <v>128</v>
      </c>
      <c r="K689" t="s">
        <v>119</v>
      </c>
      <c r="L689" t="s">
        <v>27</v>
      </c>
      <c r="M689">
        <v>630</v>
      </c>
      <c r="N689" t="s">
        <v>27</v>
      </c>
      <c r="O689">
        <v>630</v>
      </c>
      <c r="P689">
        <v>630</v>
      </c>
      <c r="Q689" t="s">
        <v>30</v>
      </c>
      <c r="R689" s="2">
        <v>0.7</v>
      </c>
      <c r="S689">
        <v>441</v>
      </c>
      <c r="T689" t="s">
        <v>27</v>
      </c>
      <c r="U689">
        <v>441</v>
      </c>
      <c r="V689" s="7" t="s">
        <v>24</v>
      </c>
      <c r="W689" s="7" t="s">
        <v>119</v>
      </c>
    </row>
    <row r="690" spans="1:23" x14ac:dyDescent="0.4">
      <c r="A690" t="s">
        <v>262</v>
      </c>
      <c r="B690" t="s">
        <v>1514</v>
      </c>
      <c r="C690" t="s">
        <v>1567</v>
      </c>
      <c r="D690" t="s">
        <v>64</v>
      </c>
      <c r="E690" t="s">
        <v>22</v>
      </c>
      <c r="F690" t="s">
        <v>23</v>
      </c>
      <c r="G690">
        <v>1</v>
      </c>
      <c r="H690">
        <v>9791166300110</v>
      </c>
      <c r="I690" t="s">
        <v>24</v>
      </c>
      <c r="J690" t="s">
        <v>121</v>
      </c>
      <c r="K690" t="s">
        <v>119</v>
      </c>
      <c r="L690" t="s">
        <v>27</v>
      </c>
      <c r="M690">
        <v>630</v>
      </c>
      <c r="N690" t="s">
        <v>27</v>
      </c>
      <c r="O690">
        <v>630</v>
      </c>
      <c r="P690">
        <v>630</v>
      </c>
      <c r="Q690" t="s">
        <v>30</v>
      </c>
      <c r="R690" s="2">
        <v>0.7</v>
      </c>
      <c r="S690">
        <v>441</v>
      </c>
      <c r="T690" t="s">
        <v>27</v>
      </c>
      <c r="U690">
        <v>441</v>
      </c>
      <c r="V690" s="7" t="s">
        <v>24</v>
      </c>
      <c r="W690" s="7" t="s">
        <v>119</v>
      </c>
    </row>
    <row r="691" spans="1:23" x14ac:dyDescent="0.4">
      <c r="A691" t="s">
        <v>262</v>
      </c>
      <c r="B691" t="s">
        <v>1514</v>
      </c>
      <c r="C691" t="s">
        <v>1569</v>
      </c>
      <c r="D691" t="s">
        <v>21</v>
      </c>
      <c r="E691" t="s">
        <v>22</v>
      </c>
      <c r="F691" t="s">
        <v>23</v>
      </c>
      <c r="G691">
        <v>1</v>
      </c>
      <c r="H691">
        <v>9791166300295</v>
      </c>
      <c r="I691" t="s">
        <v>24</v>
      </c>
      <c r="J691" t="s">
        <v>138</v>
      </c>
      <c r="K691" t="s">
        <v>119</v>
      </c>
      <c r="L691" t="s">
        <v>27</v>
      </c>
      <c r="M691" s="3">
        <v>3200</v>
      </c>
      <c r="N691" t="s">
        <v>27</v>
      </c>
      <c r="O691" s="3">
        <v>3200</v>
      </c>
      <c r="P691" s="3">
        <v>3200</v>
      </c>
      <c r="Q691" t="s">
        <v>30</v>
      </c>
      <c r="R691" s="2">
        <v>0.7</v>
      </c>
      <c r="S691" s="3">
        <v>2240</v>
      </c>
      <c r="T691" t="s">
        <v>27</v>
      </c>
      <c r="U691" s="3">
        <v>2240</v>
      </c>
      <c r="V691" s="7" t="s">
        <v>24</v>
      </c>
      <c r="W691" s="7" t="s">
        <v>119</v>
      </c>
    </row>
    <row r="692" spans="1:23" x14ac:dyDescent="0.4">
      <c r="A692" t="s">
        <v>262</v>
      </c>
      <c r="B692" t="s">
        <v>1514</v>
      </c>
      <c r="C692" t="s">
        <v>1570</v>
      </c>
      <c r="D692" t="s">
        <v>64</v>
      </c>
      <c r="E692" t="s">
        <v>22</v>
      </c>
      <c r="F692" t="s">
        <v>23</v>
      </c>
      <c r="G692">
        <v>1</v>
      </c>
      <c r="H692">
        <v>9791166300226</v>
      </c>
      <c r="I692" t="s">
        <v>24</v>
      </c>
      <c r="J692" t="s">
        <v>131</v>
      </c>
      <c r="K692" t="s">
        <v>119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  <c r="V692" s="7" t="s">
        <v>24</v>
      </c>
      <c r="W692" s="7" t="s">
        <v>119</v>
      </c>
    </row>
    <row r="693" spans="1:23" x14ac:dyDescent="0.4">
      <c r="A693" t="s">
        <v>262</v>
      </c>
      <c r="B693" t="s">
        <v>1514</v>
      </c>
      <c r="C693" t="s">
        <v>1572</v>
      </c>
      <c r="D693" t="s">
        <v>64</v>
      </c>
      <c r="E693" t="s">
        <v>22</v>
      </c>
      <c r="F693" t="s">
        <v>23</v>
      </c>
      <c r="G693">
        <v>1</v>
      </c>
      <c r="H693">
        <v>9791166300691</v>
      </c>
      <c r="I693" t="s">
        <v>24</v>
      </c>
      <c r="J693" t="s">
        <v>152</v>
      </c>
      <c r="K693" t="s">
        <v>119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  <c r="V693" s="7" t="s">
        <v>24</v>
      </c>
      <c r="W693" s="7" t="s">
        <v>119</v>
      </c>
    </row>
    <row r="694" spans="1:23" x14ac:dyDescent="0.4">
      <c r="A694" t="s">
        <v>262</v>
      </c>
      <c r="B694" t="s">
        <v>1514</v>
      </c>
      <c r="C694" t="s">
        <v>1573</v>
      </c>
      <c r="D694" t="s">
        <v>64</v>
      </c>
      <c r="E694" t="s">
        <v>22</v>
      </c>
      <c r="F694" t="s">
        <v>23</v>
      </c>
      <c r="G694">
        <v>1</v>
      </c>
      <c r="H694">
        <v>9791166300295</v>
      </c>
      <c r="I694" t="s">
        <v>24</v>
      </c>
      <c r="J694" t="s">
        <v>138</v>
      </c>
      <c r="K694" t="s">
        <v>119</v>
      </c>
      <c r="L694" t="s">
        <v>27</v>
      </c>
      <c r="M694">
        <v>630</v>
      </c>
      <c r="N694" t="s">
        <v>27</v>
      </c>
      <c r="O694">
        <v>630</v>
      </c>
      <c r="P694">
        <v>630</v>
      </c>
      <c r="Q694" t="s">
        <v>30</v>
      </c>
      <c r="R694" s="2">
        <v>0.7</v>
      </c>
      <c r="S694">
        <v>441</v>
      </c>
      <c r="T694" t="s">
        <v>27</v>
      </c>
      <c r="U694">
        <v>441</v>
      </c>
      <c r="V694" s="7" t="s">
        <v>24</v>
      </c>
      <c r="W694" s="7" t="s">
        <v>119</v>
      </c>
    </row>
    <row r="695" spans="1:23" x14ac:dyDescent="0.4">
      <c r="A695" t="s">
        <v>262</v>
      </c>
      <c r="B695" t="s">
        <v>1514</v>
      </c>
      <c r="C695" t="s">
        <v>1575</v>
      </c>
      <c r="D695" t="s">
        <v>64</v>
      </c>
      <c r="E695" t="s">
        <v>22</v>
      </c>
      <c r="F695" t="s">
        <v>23</v>
      </c>
      <c r="G695">
        <v>1</v>
      </c>
      <c r="H695">
        <v>9791166300141</v>
      </c>
      <c r="I695" t="s">
        <v>24</v>
      </c>
      <c r="J695" t="s">
        <v>124</v>
      </c>
      <c r="K695" t="s">
        <v>119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  <c r="V695" s="7" t="s">
        <v>24</v>
      </c>
      <c r="W695" s="7" t="s">
        <v>119</v>
      </c>
    </row>
    <row r="696" spans="1:23" x14ac:dyDescent="0.4">
      <c r="A696" t="s">
        <v>262</v>
      </c>
      <c r="B696" t="s">
        <v>1514</v>
      </c>
      <c r="C696" t="s">
        <v>1576</v>
      </c>
      <c r="D696" t="s">
        <v>64</v>
      </c>
      <c r="E696" t="s">
        <v>22</v>
      </c>
      <c r="F696" t="s">
        <v>23</v>
      </c>
      <c r="G696">
        <v>1</v>
      </c>
      <c r="H696">
        <v>9791166300103</v>
      </c>
      <c r="I696" t="s">
        <v>24</v>
      </c>
      <c r="J696" t="s">
        <v>120</v>
      </c>
      <c r="K696" t="s">
        <v>119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  <c r="V696" s="7" t="s">
        <v>24</v>
      </c>
      <c r="W696" s="7" t="s">
        <v>119</v>
      </c>
    </row>
    <row r="697" spans="1:23" x14ac:dyDescent="0.4">
      <c r="A697" t="s">
        <v>262</v>
      </c>
      <c r="B697" t="s">
        <v>1579</v>
      </c>
      <c r="C697" t="s">
        <v>1582</v>
      </c>
      <c r="D697" t="s">
        <v>64</v>
      </c>
      <c r="E697" t="s">
        <v>22</v>
      </c>
      <c r="F697" t="s">
        <v>23</v>
      </c>
      <c r="G697">
        <v>1</v>
      </c>
      <c r="H697">
        <v>9791166300127</v>
      </c>
      <c r="I697" t="s">
        <v>24</v>
      </c>
      <c r="J697" t="s">
        <v>122</v>
      </c>
      <c r="K697" t="s">
        <v>119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  <c r="V697" s="7" t="s">
        <v>24</v>
      </c>
      <c r="W697" s="7" t="s">
        <v>119</v>
      </c>
    </row>
    <row r="698" spans="1:23" x14ac:dyDescent="0.4">
      <c r="A698" t="s">
        <v>262</v>
      </c>
      <c r="B698" t="s">
        <v>1579</v>
      </c>
      <c r="C698" t="s">
        <v>1583</v>
      </c>
      <c r="D698" t="s">
        <v>64</v>
      </c>
      <c r="E698" t="s">
        <v>22</v>
      </c>
      <c r="F698" t="s">
        <v>23</v>
      </c>
      <c r="G698">
        <v>1</v>
      </c>
      <c r="H698">
        <v>9791166300158</v>
      </c>
      <c r="I698" t="s">
        <v>24</v>
      </c>
      <c r="J698" t="s">
        <v>125</v>
      </c>
      <c r="K698" t="s">
        <v>119</v>
      </c>
      <c r="L698" t="s">
        <v>27</v>
      </c>
      <c r="M698">
        <v>630</v>
      </c>
      <c r="N698" t="s">
        <v>27</v>
      </c>
      <c r="O698">
        <v>630</v>
      </c>
      <c r="P698">
        <v>630</v>
      </c>
      <c r="Q698" t="s">
        <v>30</v>
      </c>
      <c r="R698" s="2">
        <v>0.7</v>
      </c>
      <c r="S698">
        <v>441</v>
      </c>
      <c r="T698" t="s">
        <v>27</v>
      </c>
      <c r="U698">
        <v>441</v>
      </c>
      <c r="V698" s="7" t="s">
        <v>24</v>
      </c>
      <c r="W698" s="7" t="s">
        <v>119</v>
      </c>
    </row>
    <row r="699" spans="1:23" x14ac:dyDescent="0.4">
      <c r="A699" t="s">
        <v>262</v>
      </c>
      <c r="B699" t="s">
        <v>1579</v>
      </c>
      <c r="C699" t="s">
        <v>1584</v>
      </c>
      <c r="D699" t="s">
        <v>64</v>
      </c>
      <c r="E699" t="s">
        <v>22</v>
      </c>
      <c r="F699" t="s">
        <v>23</v>
      </c>
      <c r="G699">
        <v>1</v>
      </c>
      <c r="H699">
        <v>9791166300219</v>
      </c>
      <c r="I699" t="s">
        <v>24</v>
      </c>
      <c r="J699" t="s">
        <v>130</v>
      </c>
      <c r="K699" t="s">
        <v>119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  <c r="V699" s="7" t="s">
        <v>24</v>
      </c>
      <c r="W699" s="7" t="s">
        <v>119</v>
      </c>
    </row>
    <row r="700" spans="1:23" x14ac:dyDescent="0.4">
      <c r="A700" t="s">
        <v>262</v>
      </c>
      <c r="B700" t="s">
        <v>1579</v>
      </c>
      <c r="C700" t="s">
        <v>1586</v>
      </c>
      <c r="D700" t="s">
        <v>21</v>
      </c>
      <c r="E700" t="s">
        <v>22</v>
      </c>
      <c r="F700" t="s">
        <v>23</v>
      </c>
      <c r="G700">
        <v>1</v>
      </c>
      <c r="H700">
        <v>9791166300301</v>
      </c>
      <c r="I700" t="s">
        <v>24</v>
      </c>
      <c r="J700" t="s">
        <v>139</v>
      </c>
      <c r="K700" t="s">
        <v>119</v>
      </c>
      <c r="L700" t="s">
        <v>27</v>
      </c>
      <c r="M700" s="3">
        <v>3200</v>
      </c>
      <c r="N700" t="s">
        <v>27</v>
      </c>
      <c r="O700" s="3">
        <v>3200</v>
      </c>
      <c r="P700" s="3">
        <v>3200</v>
      </c>
      <c r="Q700" t="s">
        <v>30</v>
      </c>
      <c r="R700" s="2">
        <v>0.7</v>
      </c>
      <c r="S700" s="3">
        <v>2240</v>
      </c>
      <c r="T700" t="s">
        <v>27</v>
      </c>
      <c r="U700" s="3">
        <v>2240</v>
      </c>
      <c r="V700" s="7" t="s">
        <v>24</v>
      </c>
      <c r="W700" s="7" t="s">
        <v>119</v>
      </c>
    </row>
    <row r="701" spans="1:23" x14ac:dyDescent="0.4">
      <c r="A701" t="s">
        <v>262</v>
      </c>
      <c r="B701" t="s">
        <v>1579</v>
      </c>
      <c r="C701" t="s">
        <v>1587</v>
      </c>
      <c r="D701" t="s">
        <v>64</v>
      </c>
      <c r="E701" t="s">
        <v>22</v>
      </c>
      <c r="F701" t="s">
        <v>23</v>
      </c>
      <c r="G701">
        <v>1</v>
      </c>
      <c r="H701">
        <v>9791166300103</v>
      </c>
      <c r="I701" t="s">
        <v>24</v>
      </c>
      <c r="J701" t="s">
        <v>120</v>
      </c>
      <c r="K701" t="s">
        <v>119</v>
      </c>
      <c r="L701" t="s">
        <v>27</v>
      </c>
      <c r="M701">
        <v>630</v>
      </c>
      <c r="N701" t="s">
        <v>27</v>
      </c>
      <c r="O701">
        <v>630</v>
      </c>
      <c r="P701">
        <v>630</v>
      </c>
      <c r="Q701" t="s">
        <v>30</v>
      </c>
      <c r="R701" s="2">
        <v>0.7</v>
      </c>
      <c r="S701">
        <v>441</v>
      </c>
      <c r="T701" t="s">
        <v>27</v>
      </c>
      <c r="U701">
        <v>441</v>
      </c>
      <c r="V701" s="7" t="s">
        <v>24</v>
      </c>
      <c r="W701" s="7" t="s">
        <v>119</v>
      </c>
    </row>
    <row r="702" spans="1:23" x14ac:dyDescent="0.4">
      <c r="A702" t="s">
        <v>262</v>
      </c>
      <c r="B702" t="s">
        <v>1579</v>
      </c>
      <c r="C702" t="s">
        <v>1590</v>
      </c>
      <c r="D702" t="s">
        <v>64</v>
      </c>
      <c r="E702" t="s">
        <v>22</v>
      </c>
      <c r="F702" t="s">
        <v>23</v>
      </c>
      <c r="G702">
        <v>1</v>
      </c>
      <c r="H702">
        <v>9791166300127</v>
      </c>
      <c r="I702" t="s">
        <v>24</v>
      </c>
      <c r="J702" t="s">
        <v>122</v>
      </c>
      <c r="K702" t="s">
        <v>119</v>
      </c>
      <c r="L702" t="s">
        <v>27</v>
      </c>
      <c r="M702">
        <v>630</v>
      </c>
      <c r="N702" t="s">
        <v>27</v>
      </c>
      <c r="O702">
        <v>630</v>
      </c>
      <c r="P702">
        <v>630</v>
      </c>
      <c r="Q702" t="s">
        <v>30</v>
      </c>
      <c r="R702" s="2">
        <v>0.7</v>
      </c>
      <c r="S702">
        <v>441</v>
      </c>
      <c r="T702" t="s">
        <v>27</v>
      </c>
      <c r="U702">
        <v>441</v>
      </c>
      <c r="V702" s="7" t="s">
        <v>24</v>
      </c>
      <c r="W702" s="7" t="s">
        <v>119</v>
      </c>
    </row>
    <row r="703" spans="1:23" x14ac:dyDescent="0.4">
      <c r="A703" t="s">
        <v>262</v>
      </c>
      <c r="B703" t="s">
        <v>1579</v>
      </c>
      <c r="C703" t="s">
        <v>1591</v>
      </c>
      <c r="D703" t="s">
        <v>64</v>
      </c>
      <c r="E703" t="s">
        <v>22</v>
      </c>
      <c r="F703" t="s">
        <v>23</v>
      </c>
      <c r="G703">
        <v>1</v>
      </c>
      <c r="H703">
        <v>9791166300578</v>
      </c>
      <c r="I703" t="s">
        <v>24</v>
      </c>
      <c r="J703" t="s">
        <v>159</v>
      </c>
      <c r="K703" t="s">
        <v>119</v>
      </c>
      <c r="L703" t="s">
        <v>27</v>
      </c>
      <c r="M703">
        <v>630</v>
      </c>
      <c r="N703" t="s">
        <v>27</v>
      </c>
      <c r="O703">
        <v>630</v>
      </c>
      <c r="P703">
        <v>630</v>
      </c>
      <c r="Q703" t="s">
        <v>30</v>
      </c>
      <c r="R703" s="2">
        <v>0.7</v>
      </c>
      <c r="S703">
        <v>441</v>
      </c>
      <c r="T703" t="s">
        <v>27</v>
      </c>
      <c r="U703">
        <v>441</v>
      </c>
      <c r="V703" s="7" t="s">
        <v>24</v>
      </c>
      <c r="W703" s="7" t="s">
        <v>119</v>
      </c>
    </row>
    <row r="704" spans="1:23" x14ac:dyDescent="0.4">
      <c r="A704" t="s">
        <v>262</v>
      </c>
      <c r="B704" t="s">
        <v>1579</v>
      </c>
      <c r="C704" t="s">
        <v>1592</v>
      </c>
      <c r="D704" t="s">
        <v>64</v>
      </c>
      <c r="E704" t="s">
        <v>22</v>
      </c>
      <c r="F704" t="s">
        <v>23</v>
      </c>
      <c r="G704">
        <v>1</v>
      </c>
      <c r="H704">
        <v>9791166300134</v>
      </c>
      <c r="I704" t="s">
        <v>24</v>
      </c>
      <c r="J704" t="s">
        <v>123</v>
      </c>
      <c r="K704" t="s">
        <v>119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2">
        <v>0.7</v>
      </c>
      <c r="S704">
        <v>441</v>
      </c>
      <c r="T704" t="s">
        <v>27</v>
      </c>
      <c r="U704">
        <v>441</v>
      </c>
      <c r="V704" s="7" t="s">
        <v>24</v>
      </c>
      <c r="W704" s="7" t="s">
        <v>119</v>
      </c>
    </row>
    <row r="705" spans="1:23" x14ac:dyDescent="0.4">
      <c r="A705" t="s">
        <v>262</v>
      </c>
      <c r="B705" t="s">
        <v>1579</v>
      </c>
      <c r="C705" t="s">
        <v>1594</v>
      </c>
      <c r="D705" t="s">
        <v>64</v>
      </c>
      <c r="E705" t="s">
        <v>22</v>
      </c>
      <c r="F705" t="s">
        <v>23</v>
      </c>
      <c r="G705">
        <v>1</v>
      </c>
      <c r="H705">
        <v>9791166300141</v>
      </c>
      <c r="I705" t="s">
        <v>24</v>
      </c>
      <c r="J705" t="s">
        <v>124</v>
      </c>
      <c r="K705" t="s">
        <v>119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2">
        <v>0.7</v>
      </c>
      <c r="S705">
        <v>441</v>
      </c>
      <c r="T705" t="s">
        <v>27</v>
      </c>
      <c r="U705">
        <v>441</v>
      </c>
      <c r="V705" s="7" t="s">
        <v>24</v>
      </c>
      <c r="W705" s="7" t="s">
        <v>119</v>
      </c>
    </row>
    <row r="706" spans="1:23" x14ac:dyDescent="0.4">
      <c r="A706" t="s">
        <v>262</v>
      </c>
      <c r="B706" t="s">
        <v>1579</v>
      </c>
      <c r="C706" t="s">
        <v>1595</v>
      </c>
      <c r="D706" t="s">
        <v>64</v>
      </c>
      <c r="E706" t="s">
        <v>22</v>
      </c>
      <c r="F706" t="s">
        <v>23</v>
      </c>
      <c r="G706">
        <v>1</v>
      </c>
      <c r="H706">
        <v>9791166300561</v>
      </c>
      <c r="I706" t="s">
        <v>24</v>
      </c>
      <c r="J706" t="s">
        <v>158</v>
      </c>
      <c r="K706" t="s">
        <v>119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  <c r="V706" s="7" t="s">
        <v>24</v>
      </c>
      <c r="W706" s="7" t="s">
        <v>119</v>
      </c>
    </row>
    <row r="707" spans="1:23" x14ac:dyDescent="0.4">
      <c r="A707" t="s">
        <v>262</v>
      </c>
      <c r="B707" t="s">
        <v>1579</v>
      </c>
      <c r="C707" t="s">
        <v>1597</v>
      </c>
      <c r="D707" t="s">
        <v>64</v>
      </c>
      <c r="E707" t="s">
        <v>22</v>
      </c>
      <c r="F707" t="s">
        <v>23</v>
      </c>
      <c r="G707">
        <v>1</v>
      </c>
      <c r="H707">
        <v>9791166300219</v>
      </c>
      <c r="I707" t="s">
        <v>24</v>
      </c>
      <c r="J707" t="s">
        <v>130</v>
      </c>
      <c r="K707" t="s">
        <v>119</v>
      </c>
      <c r="L707" t="s">
        <v>27</v>
      </c>
      <c r="M707">
        <v>630</v>
      </c>
      <c r="N707" t="s">
        <v>27</v>
      </c>
      <c r="O707">
        <v>630</v>
      </c>
      <c r="P707">
        <v>630</v>
      </c>
      <c r="Q707" t="s">
        <v>30</v>
      </c>
      <c r="R707" s="2">
        <v>0.7</v>
      </c>
      <c r="S707">
        <v>441</v>
      </c>
      <c r="T707" t="s">
        <v>27</v>
      </c>
      <c r="U707">
        <v>441</v>
      </c>
      <c r="V707" s="7" t="s">
        <v>24</v>
      </c>
      <c r="W707" s="7" t="s">
        <v>119</v>
      </c>
    </row>
    <row r="708" spans="1:23" x14ac:dyDescent="0.4">
      <c r="A708" t="s">
        <v>262</v>
      </c>
      <c r="B708" t="s">
        <v>1579</v>
      </c>
      <c r="C708" t="s">
        <v>1598</v>
      </c>
      <c r="D708" t="s">
        <v>64</v>
      </c>
      <c r="E708" t="s">
        <v>22</v>
      </c>
      <c r="F708" t="s">
        <v>23</v>
      </c>
      <c r="G708">
        <v>1</v>
      </c>
      <c r="H708">
        <v>9791166300530</v>
      </c>
      <c r="I708" t="s">
        <v>24</v>
      </c>
      <c r="J708" t="s">
        <v>151</v>
      </c>
      <c r="K708" t="s">
        <v>119</v>
      </c>
      <c r="L708" t="s">
        <v>27</v>
      </c>
      <c r="M708">
        <v>630</v>
      </c>
      <c r="N708" t="s">
        <v>27</v>
      </c>
      <c r="O708">
        <v>630</v>
      </c>
      <c r="P708">
        <v>630</v>
      </c>
      <c r="Q708" t="s">
        <v>30</v>
      </c>
      <c r="R708" s="2">
        <v>0.7</v>
      </c>
      <c r="S708">
        <v>441</v>
      </c>
      <c r="T708" t="s">
        <v>27</v>
      </c>
      <c r="U708">
        <v>441</v>
      </c>
      <c r="V708" s="7" t="s">
        <v>24</v>
      </c>
      <c r="W708" s="7" t="s">
        <v>119</v>
      </c>
    </row>
    <row r="709" spans="1:23" x14ac:dyDescent="0.4">
      <c r="A709" t="s">
        <v>262</v>
      </c>
      <c r="B709" t="s">
        <v>1579</v>
      </c>
      <c r="C709" t="s">
        <v>1599</v>
      </c>
      <c r="D709" t="s">
        <v>64</v>
      </c>
      <c r="E709" t="s">
        <v>22</v>
      </c>
      <c r="F709" t="s">
        <v>23</v>
      </c>
      <c r="G709">
        <v>1</v>
      </c>
      <c r="H709">
        <v>9791166300158</v>
      </c>
      <c r="I709" t="s">
        <v>24</v>
      </c>
      <c r="J709" t="s">
        <v>125</v>
      </c>
      <c r="K709" t="s">
        <v>119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  <c r="V709" s="7" t="s">
        <v>24</v>
      </c>
      <c r="W709" s="7" t="s">
        <v>119</v>
      </c>
    </row>
    <row r="710" spans="1:23" x14ac:dyDescent="0.4">
      <c r="A710" t="s">
        <v>262</v>
      </c>
      <c r="B710" t="s">
        <v>1579</v>
      </c>
      <c r="C710" t="s">
        <v>1603</v>
      </c>
      <c r="D710" t="s">
        <v>64</v>
      </c>
      <c r="E710" t="s">
        <v>22</v>
      </c>
      <c r="F710" t="s">
        <v>23</v>
      </c>
      <c r="G710">
        <v>1</v>
      </c>
      <c r="H710">
        <v>9791166300103</v>
      </c>
      <c r="I710" t="s">
        <v>24</v>
      </c>
      <c r="J710" t="s">
        <v>120</v>
      </c>
      <c r="K710" t="s">
        <v>119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2">
        <v>0.7</v>
      </c>
      <c r="S710">
        <v>441</v>
      </c>
      <c r="T710" t="s">
        <v>27</v>
      </c>
      <c r="U710">
        <v>441</v>
      </c>
      <c r="V710" s="7" t="s">
        <v>24</v>
      </c>
      <c r="W710" s="7" t="s">
        <v>119</v>
      </c>
    </row>
    <row r="711" spans="1:23" x14ac:dyDescent="0.4">
      <c r="A711" t="s">
        <v>262</v>
      </c>
      <c r="B711" t="s">
        <v>1579</v>
      </c>
      <c r="C711" t="s">
        <v>1604</v>
      </c>
      <c r="D711" t="s">
        <v>64</v>
      </c>
      <c r="E711" t="s">
        <v>22</v>
      </c>
      <c r="F711" t="s">
        <v>23</v>
      </c>
      <c r="G711">
        <v>1</v>
      </c>
      <c r="H711">
        <v>9791166300165</v>
      </c>
      <c r="I711" t="s">
        <v>24</v>
      </c>
      <c r="J711" t="s">
        <v>126</v>
      </c>
      <c r="K711" t="s">
        <v>119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  <c r="V711" s="7" t="s">
        <v>24</v>
      </c>
      <c r="W711" s="7" t="s">
        <v>119</v>
      </c>
    </row>
    <row r="712" spans="1:23" x14ac:dyDescent="0.4">
      <c r="A712" t="s">
        <v>262</v>
      </c>
      <c r="B712" t="s">
        <v>1579</v>
      </c>
      <c r="C712" t="s">
        <v>1608</v>
      </c>
      <c r="D712" t="s">
        <v>64</v>
      </c>
      <c r="E712" t="s">
        <v>22</v>
      </c>
      <c r="F712" t="s">
        <v>23</v>
      </c>
      <c r="G712">
        <v>1</v>
      </c>
      <c r="H712">
        <v>9791166300301</v>
      </c>
      <c r="I712" t="s">
        <v>24</v>
      </c>
      <c r="J712" t="s">
        <v>139</v>
      </c>
      <c r="K712" t="s">
        <v>119</v>
      </c>
      <c r="L712" t="s">
        <v>27</v>
      </c>
      <c r="M712">
        <v>630</v>
      </c>
      <c r="N712" t="s">
        <v>27</v>
      </c>
      <c r="O712">
        <v>630</v>
      </c>
      <c r="P712">
        <v>630</v>
      </c>
      <c r="Q712" t="s">
        <v>30</v>
      </c>
      <c r="R712" s="2">
        <v>0.7</v>
      </c>
      <c r="S712">
        <v>441</v>
      </c>
      <c r="T712" t="s">
        <v>27</v>
      </c>
      <c r="U712">
        <v>441</v>
      </c>
      <c r="V712" s="7" t="s">
        <v>24</v>
      </c>
      <c r="W712" s="7" t="s">
        <v>119</v>
      </c>
    </row>
    <row r="713" spans="1:23" x14ac:dyDescent="0.4">
      <c r="A713" t="s">
        <v>262</v>
      </c>
      <c r="B713" t="s">
        <v>1579</v>
      </c>
      <c r="C713" t="s">
        <v>1610</v>
      </c>
      <c r="D713" t="s">
        <v>64</v>
      </c>
      <c r="E713" t="s">
        <v>22</v>
      </c>
      <c r="F713" t="s">
        <v>23</v>
      </c>
      <c r="G713">
        <v>1</v>
      </c>
      <c r="H713">
        <v>9791166300172</v>
      </c>
      <c r="I713" t="s">
        <v>24</v>
      </c>
      <c r="J713" t="s">
        <v>127</v>
      </c>
      <c r="K713" t="s">
        <v>119</v>
      </c>
      <c r="L713" t="s">
        <v>27</v>
      </c>
      <c r="M713">
        <v>630</v>
      </c>
      <c r="N713" t="s">
        <v>27</v>
      </c>
      <c r="O713">
        <v>630</v>
      </c>
      <c r="P713">
        <v>630</v>
      </c>
      <c r="Q713" t="s">
        <v>30</v>
      </c>
      <c r="R713" s="2">
        <v>0.7</v>
      </c>
      <c r="S713">
        <v>441</v>
      </c>
      <c r="T713" t="s">
        <v>27</v>
      </c>
      <c r="U713">
        <v>441</v>
      </c>
      <c r="V713" s="7" t="s">
        <v>24</v>
      </c>
      <c r="W713" s="7" t="s">
        <v>119</v>
      </c>
    </row>
    <row r="714" spans="1:23" x14ac:dyDescent="0.4">
      <c r="A714" t="s">
        <v>262</v>
      </c>
      <c r="B714" t="s">
        <v>1579</v>
      </c>
      <c r="C714" t="s">
        <v>1611</v>
      </c>
      <c r="D714" t="s">
        <v>64</v>
      </c>
      <c r="E714" t="s">
        <v>22</v>
      </c>
      <c r="F714" t="s">
        <v>23</v>
      </c>
      <c r="G714">
        <v>1</v>
      </c>
      <c r="H714">
        <v>9791166300141</v>
      </c>
      <c r="I714" t="s">
        <v>24</v>
      </c>
      <c r="J714" t="s">
        <v>124</v>
      </c>
      <c r="K714" t="s">
        <v>119</v>
      </c>
      <c r="L714" t="s">
        <v>27</v>
      </c>
      <c r="M714">
        <v>630</v>
      </c>
      <c r="N714" t="s">
        <v>27</v>
      </c>
      <c r="O714">
        <v>630</v>
      </c>
      <c r="P714">
        <v>630</v>
      </c>
      <c r="Q714" t="s">
        <v>30</v>
      </c>
      <c r="R714" s="2">
        <v>0.7</v>
      </c>
      <c r="S714">
        <v>441</v>
      </c>
      <c r="T714" t="s">
        <v>27</v>
      </c>
      <c r="U714">
        <v>441</v>
      </c>
      <c r="V714" s="7" t="s">
        <v>24</v>
      </c>
      <c r="W714" s="7" t="s">
        <v>119</v>
      </c>
    </row>
    <row r="715" spans="1:23" x14ac:dyDescent="0.4">
      <c r="A715" t="s">
        <v>262</v>
      </c>
      <c r="B715" t="s">
        <v>1579</v>
      </c>
      <c r="C715" t="s">
        <v>1612</v>
      </c>
      <c r="D715" t="s">
        <v>64</v>
      </c>
      <c r="E715" t="s">
        <v>22</v>
      </c>
      <c r="F715" t="s">
        <v>23</v>
      </c>
      <c r="G715">
        <v>1</v>
      </c>
      <c r="H715">
        <v>9791166300196</v>
      </c>
      <c r="I715" t="s">
        <v>24</v>
      </c>
      <c r="J715" t="s">
        <v>128</v>
      </c>
      <c r="K715" t="s">
        <v>119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2">
        <v>0.7</v>
      </c>
      <c r="S715">
        <v>441</v>
      </c>
      <c r="T715" t="s">
        <v>27</v>
      </c>
      <c r="U715">
        <v>441</v>
      </c>
      <c r="V715" s="7" t="s">
        <v>24</v>
      </c>
      <c r="W715" s="7" t="s">
        <v>119</v>
      </c>
    </row>
    <row r="716" spans="1:23" x14ac:dyDescent="0.4">
      <c r="A716" t="s">
        <v>262</v>
      </c>
      <c r="B716" t="s">
        <v>1579</v>
      </c>
      <c r="C716" t="s">
        <v>1613</v>
      </c>
      <c r="D716" t="s">
        <v>64</v>
      </c>
      <c r="E716" t="s">
        <v>22</v>
      </c>
      <c r="F716" t="s">
        <v>23</v>
      </c>
      <c r="G716">
        <v>1</v>
      </c>
      <c r="H716">
        <v>9791166300462</v>
      </c>
      <c r="I716" t="s">
        <v>24</v>
      </c>
      <c r="J716" t="s">
        <v>144</v>
      </c>
      <c r="K716" t="s">
        <v>119</v>
      </c>
      <c r="L716" t="s">
        <v>27</v>
      </c>
      <c r="M716">
        <v>630</v>
      </c>
      <c r="N716" t="s">
        <v>27</v>
      </c>
      <c r="O716">
        <v>630</v>
      </c>
      <c r="P716">
        <v>630</v>
      </c>
      <c r="Q716" t="s">
        <v>30</v>
      </c>
      <c r="R716" s="2">
        <v>0.7</v>
      </c>
      <c r="S716">
        <v>441</v>
      </c>
      <c r="T716" t="s">
        <v>27</v>
      </c>
      <c r="U716">
        <v>441</v>
      </c>
      <c r="V716" s="7" t="s">
        <v>24</v>
      </c>
      <c r="W716" s="7" t="s">
        <v>119</v>
      </c>
    </row>
    <row r="717" spans="1:23" x14ac:dyDescent="0.4">
      <c r="A717" t="s">
        <v>262</v>
      </c>
      <c r="B717" t="s">
        <v>1579</v>
      </c>
      <c r="C717" t="s">
        <v>1614</v>
      </c>
      <c r="D717" t="s">
        <v>64</v>
      </c>
      <c r="E717" t="s">
        <v>22</v>
      </c>
      <c r="F717" t="s">
        <v>23</v>
      </c>
      <c r="G717">
        <v>1</v>
      </c>
      <c r="H717">
        <v>9791166300578</v>
      </c>
      <c r="I717" t="s">
        <v>24</v>
      </c>
      <c r="J717" t="s">
        <v>159</v>
      </c>
      <c r="K717" t="s">
        <v>119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  <c r="V717" s="7" t="s">
        <v>24</v>
      </c>
      <c r="W717" s="7" t="s">
        <v>119</v>
      </c>
    </row>
    <row r="718" spans="1:23" x14ac:dyDescent="0.4">
      <c r="A718" t="s">
        <v>262</v>
      </c>
      <c r="B718" t="s">
        <v>1579</v>
      </c>
      <c r="C718" t="s">
        <v>1615</v>
      </c>
      <c r="D718" t="s">
        <v>21</v>
      </c>
      <c r="E718" t="s">
        <v>22</v>
      </c>
      <c r="F718" t="s">
        <v>23</v>
      </c>
      <c r="G718">
        <v>1</v>
      </c>
      <c r="H718">
        <v>9791166300288</v>
      </c>
      <c r="I718" t="s">
        <v>24</v>
      </c>
      <c r="J718" t="s">
        <v>137</v>
      </c>
      <c r="K718" t="s">
        <v>119</v>
      </c>
      <c r="L718" t="s">
        <v>27</v>
      </c>
      <c r="M718" s="3">
        <v>3200</v>
      </c>
      <c r="N718" t="s">
        <v>27</v>
      </c>
      <c r="O718" s="3">
        <v>3200</v>
      </c>
      <c r="P718" s="3">
        <v>3200</v>
      </c>
      <c r="Q718" t="s">
        <v>30</v>
      </c>
      <c r="R718" s="2">
        <v>0.7</v>
      </c>
      <c r="S718" s="3">
        <v>2240</v>
      </c>
      <c r="T718" t="s">
        <v>27</v>
      </c>
      <c r="U718" s="3">
        <v>2240</v>
      </c>
      <c r="V718" s="7" t="s">
        <v>24</v>
      </c>
      <c r="W718" s="7" t="s">
        <v>119</v>
      </c>
    </row>
    <row r="719" spans="1:23" x14ac:dyDescent="0.4">
      <c r="A719" t="s">
        <v>262</v>
      </c>
      <c r="B719" t="s">
        <v>1579</v>
      </c>
      <c r="C719" t="s">
        <v>1616</v>
      </c>
      <c r="D719" t="s">
        <v>64</v>
      </c>
      <c r="E719" t="s">
        <v>22</v>
      </c>
      <c r="F719" t="s">
        <v>23</v>
      </c>
      <c r="G719">
        <v>1</v>
      </c>
      <c r="H719">
        <v>9791166300134</v>
      </c>
      <c r="I719" t="s">
        <v>24</v>
      </c>
      <c r="J719" t="s">
        <v>123</v>
      </c>
      <c r="K719" t="s">
        <v>119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  <c r="V719" s="7" t="s">
        <v>24</v>
      </c>
      <c r="W719" s="7" t="s">
        <v>119</v>
      </c>
    </row>
    <row r="720" spans="1:23" x14ac:dyDescent="0.4">
      <c r="A720" t="s">
        <v>262</v>
      </c>
      <c r="B720" t="s">
        <v>1579</v>
      </c>
      <c r="C720" t="s">
        <v>1617</v>
      </c>
      <c r="D720" t="s">
        <v>64</v>
      </c>
      <c r="E720" t="s">
        <v>22</v>
      </c>
      <c r="F720" t="s">
        <v>23</v>
      </c>
      <c r="G720">
        <v>1</v>
      </c>
      <c r="H720">
        <v>9791166300110</v>
      </c>
      <c r="I720" t="s">
        <v>24</v>
      </c>
      <c r="J720" t="s">
        <v>121</v>
      </c>
      <c r="K720" t="s">
        <v>119</v>
      </c>
      <c r="L720" t="s">
        <v>27</v>
      </c>
      <c r="M720">
        <v>630</v>
      </c>
      <c r="N720" t="s">
        <v>27</v>
      </c>
      <c r="O720">
        <v>630</v>
      </c>
      <c r="P720">
        <v>630</v>
      </c>
      <c r="Q720" t="s">
        <v>30</v>
      </c>
      <c r="R720" s="2">
        <v>0.7</v>
      </c>
      <c r="S720">
        <v>441</v>
      </c>
      <c r="T720" t="s">
        <v>27</v>
      </c>
      <c r="U720">
        <v>441</v>
      </c>
      <c r="V720" s="7" t="s">
        <v>24</v>
      </c>
      <c r="W720" s="7" t="s">
        <v>119</v>
      </c>
    </row>
    <row r="721" spans="1:23" x14ac:dyDescent="0.4">
      <c r="A721" t="s">
        <v>262</v>
      </c>
      <c r="B721" t="s">
        <v>1579</v>
      </c>
      <c r="C721" t="s">
        <v>1620</v>
      </c>
      <c r="D721" t="s">
        <v>64</v>
      </c>
      <c r="E721" t="s">
        <v>22</v>
      </c>
      <c r="F721" t="s">
        <v>23</v>
      </c>
      <c r="G721">
        <v>1</v>
      </c>
      <c r="H721">
        <v>9791166300141</v>
      </c>
      <c r="I721" t="s">
        <v>24</v>
      </c>
      <c r="J721" t="s">
        <v>124</v>
      </c>
      <c r="K721" t="s">
        <v>119</v>
      </c>
      <c r="L721" t="s">
        <v>27</v>
      </c>
      <c r="M721">
        <v>630</v>
      </c>
      <c r="N721" t="s">
        <v>27</v>
      </c>
      <c r="O721">
        <v>630</v>
      </c>
      <c r="P721">
        <v>630</v>
      </c>
      <c r="Q721" t="s">
        <v>30</v>
      </c>
      <c r="R721" s="2">
        <v>0.7</v>
      </c>
      <c r="S721">
        <v>441</v>
      </c>
      <c r="T721" t="s">
        <v>27</v>
      </c>
      <c r="U721">
        <v>441</v>
      </c>
      <c r="V721" s="7" t="s">
        <v>24</v>
      </c>
      <c r="W721" s="7" t="s">
        <v>119</v>
      </c>
    </row>
    <row r="722" spans="1:23" x14ac:dyDescent="0.4">
      <c r="A722" t="s">
        <v>262</v>
      </c>
      <c r="B722" t="s">
        <v>1579</v>
      </c>
      <c r="C722" t="s">
        <v>1621</v>
      </c>
      <c r="D722" t="s">
        <v>64</v>
      </c>
      <c r="E722" t="s">
        <v>22</v>
      </c>
      <c r="F722" t="s">
        <v>23</v>
      </c>
      <c r="G722">
        <v>1</v>
      </c>
      <c r="H722">
        <v>9791166300158</v>
      </c>
      <c r="I722" t="s">
        <v>24</v>
      </c>
      <c r="J722" t="s">
        <v>125</v>
      </c>
      <c r="K722" t="s">
        <v>119</v>
      </c>
      <c r="L722" t="s">
        <v>27</v>
      </c>
      <c r="M722">
        <v>630</v>
      </c>
      <c r="N722" t="s">
        <v>27</v>
      </c>
      <c r="O722">
        <v>630</v>
      </c>
      <c r="P722">
        <v>630</v>
      </c>
      <c r="Q722" t="s">
        <v>30</v>
      </c>
      <c r="R722" s="2">
        <v>0.7</v>
      </c>
      <c r="S722">
        <v>441</v>
      </c>
      <c r="T722" t="s">
        <v>27</v>
      </c>
      <c r="U722">
        <v>441</v>
      </c>
      <c r="V722" s="7" t="s">
        <v>24</v>
      </c>
      <c r="W722" s="7" t="s">
        <v>119</v>
      </c>
    </row>
    <row r="723" spans="1:23" x14ac:dyDescent="0.4">
      <c r="A723" t="s">
        <v>262</v>
      </c>
      <c r="B723" t="s">
        <v>1579</v>
      </c>
      <c r="C723" t="s">
        <v>1624</v>
      </c>
      <c r="D723" t="s">
        <v>64</v>
      </c>
      <c r="E723" t="s">
        <v>22</v>
      </c>
      <c r="F723" t="s">
        <v>23</v>
      </c>
      <c r="G723">
        <v>1</v>
      </c>
      <c r="H723">
        <v>9791166300585</v>
      </c>
      <c r="I723" t="s">
        <v>24</v>
      </c>
      <c r="J723" t="s">
        <v>160</v>
      </c>
      <c r="K723" t="s">
        <v>119</v>
      </c>
      <c r="L723" t="s">
        <v>27</v>
      </c>
      <c r="M723">
        <v>630</v>
      </c>
      <c r="N723" t="s">
        <v>27</v>
      </c>
      <c r="O723">
        <v>630</v>
      </c>
      <c r="P723">
        <v>630</v>
      </c>
      <c r="Q723" t="s">
        <v>30</v>
      </c>
      <c r="R723" s="2">
        <v>0.7</v>
      </c>
      <c r="S723">
        <v>441</v>
      </c>
      <c r="T723" t="s">
        <v>27</v>
      </c>
      <c r="U723">
        <v>441</v>
      </c>
      <c r="V723" s="7" t="s">
        <v>24</v>
      </c>
      <c r="W723" s="7" t="s">
        <v>119</v>
      </c>
    </row>
    <row r="724" spans="1:23" x14ac:dyDescent="0.4">
      <c r="A724" t="s">
        <v>262</v>
      </c>
      <c r="B724" t="s">
        <v>1579</v>
      </c>
      <c r="C724" t="s">
        <v>1627</v>
      </c>
      <c r="D724" t="s">
        <v>64</v>
      </c>
      <c r="E724" t="s">
        <v>22</v>
      </c>
      <c r="F724" t="s">
        <v>23</v>
      </c>
      <c r="G724">
        <v>1</v>
      </c>
      <c r="H724">
        <v>9791166300592</v>
      </c>
      <c r="I724" t="s">
        <v>24</v>
      </c>
      <c r="J724" t="s">
        <v>161</v>
      </c>
      <c r="K724" t="s">
        <v>119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  <c r="V724" s="7" t="s">
        <v>24</v>
      </c>
      <c r="W724" s="7" t="s">
        <v>119</v>
      </c>
    </row>
    <row r="725" spans="1:23" x14ac:dyDescent="0.4">
      <c r="A725" t="s">
        <v>262</v>
      </c>
      <c r="B725" t="s">
        <v>1579</v>
      </c>
      <c r="C725" t="s">
        <v>1629</v>
      </c>
      <c r="D725" t="s">
        <v>64</v>
      </c>
      <c r="E725" t="s">
        <v>22</v>
      </c>
      <c r="F725" t="s">
        <v>23</v>
      </c>
      <c r="G725">
        <v>1</v>
      </c>
      <c r="H725">
        <v>9791166300233</v>
      </c>
      <c r="I725" t="s">
        <v>24</v>
      </c>
      <c r="J725" t="s">
        <v>132</v>
      </c>
      <c r="K725" t="s">
        <v>119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  <c r="V725" s="7" t="s">
        <v>24</v>
      </c>
      <c r="W725" s="7" t="s">
        <v>119</v>
      </c>
    </row>
    <row r="726" spans="1:23" x14ac:dyDescent="0.4">
      <c r="A726" t="s">
        <v>262</v>
      </c>
      <c r="B726" t="s">
        <v>1579</v>
      </c>
      <c r="C726" t="s">
        <v>1632</v>
      </c>
      <c r="D726" t="s">
        <v>64</v>
      </c>
      <c r="E726" t="s">
        <v>22</v>
      </c>
      <c r="F726" t="s">
        <v>23</v>
      </c>
      <c r="G726">
        <v>1</v>
      </c>
      <c r="H726">
        <v>9791166300226</v>
      </c>
      <c r="I726" t="s">
        <v>24</v>
      </c>
      <c r="J726" t="s">
        <v>131</v>
      </c>
      <c r="K726" t="s">
        <v>119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  <c r="V726" s="7" t="s">
        <v>24</v>
      </c>
      <c r="W726" s="7" t="s">
        <v>119</v>
      </c>
    </row>
    <row r="727" spans="1:23" x14ac:dyDescent="0.4">
      <c r="A727" t="s">
        <v>262</v>
      </c>
      <c r="B727" t="s">
        <v>1579</v>
      </c>
      <c r="C727" t="s">
        <v>1636</v>
      </c>
      <c r="D727" t="s">
        <v>64</v>
      </c>
      <c r="E727" t="s">
        <v>22</v>
      </c>
      <c r="F727" t="s">
        <v>23</v>
      </c>
      <c r="G727">
        <v>1</v>
      </c>
      <c r="H727">
        <v>9791166300110</v>
      </c>
      <c r="I727" t="s">
        <v>24</v>
      </c>
      <c r="J727" t="s">
        <v>121</v>
      </c>
      <c r="K727" t="s">
        <v>119</v>
      </c>
      <c r="L727" t="s">
        <v>27</v>
      </c>
      <c r="M727">
        <v>630</v>
      </c>
      <c r="N727" t="s">
        <v>27</v>
      </c>
      <c r="O727">
        <v>630</v>
      </c>
      <c r="P727">
        <v>630</v>
      </c>
      <c r="Q727" t="s">
        <v>30</v>
      </c>
      <c r="R727" s="2">
        <v>0.7</v>
      </c>
      <c r="S727">
        <v>441</v>
      </c>
      <c r="T727" t="s">
        <v>27</v>
      </c>
      <c r="U727">
        <v>441</v>
      </c>
      <c r="V727" s="7" t="s">
        <v>24</v>
      </c>
      <c r="W727" s="7" t="s">
        <v>119</v>
      </c>
    </row>
    <row r="728" spans="1:23" x14ac:dyDescent="0.4">
      <c r="A728" t="s">
        <v>262</v>
      </c>
      <c r="B728" t="s">
        <v>1639</v>
      </c>
      <c r="C728" t="s">
        <v>1640</v>
      </c>
      <c r="D728" t="s">
        <v>21</v>
      </c>
      <c r="E728" t="s">
        <v>22</v>
      </c>
      <c r="F728" t="s">
        <v>23</v>
      </c>
      <c r="G728">
        <v>1</v>
      </c>
      <c r="H728">
        <v>9791166300462</v>
      </c>
      <c r="I728" t="s">
        <v>24</v>
      </c>
      <c r="J728" t="s">
        <v>144</v>
      </c>
      <c r="K728" t="s">
        <v>119</v>
      </c>
      <c r="L728" t="s">
        <v>27</v>
      </c>
      <c r="M728" s="3">
        <v>3200</v>
      </c>
      <c r="N728" t="s">
        <v>27</v>
      </c>
      <c r="O728" s="3">
        <v>3200</v>
      </c>
      <c r="P728" s="3">
        <v>3200</v>
      </c>
      <c r="Q728" t="s">
        <v>30</v>
      </c>
      <c r="R728" s="2">
        <v>0.7</v>
      </c>
      <c r="S728" s="3">
        <v>2240</v>
      </c>
      <c r="T728" t="s">
        <v>27</v>
      </c>
      <c r="U728" s="3">
        <v>2240</v>
      </c>
      <c r="V728" s="7" t="s">
        <v>24</v>
      </c>
      <c r="W728" s="7" t="s">
        <v>119</v>
      </c>
    </row>
    <row r="729" spans="1:23" x14ac:dyDescent="0.4">
      <c r="A729" t="s">
        <v>262</v>
      </c>
      <c r="B729" t="s">
        <v>1639</v>
      </c>
      <c r="C729" t="s">
        <v>1641</v>
      </c>
      <c r="D729" t="s">
        <v>64</v>
      </c>
      <c r="E729" t="s">
        <v>22</v>
      </c>
      <c r="F729" t="s">
        <v>23</v>
      </c>
      <c r="G729">
        <v>1</v>
      </c>
      <c r="H729">
        <v>9791166300608</v>
      </c>
      <c r="I729" t="s">
        <v>24</v>
      </c>
      <c r="J729" t="s">
        <v>162</v>
      </c>
      <c r="K729" t="s">
        <v>119</v>
      </c>
      <c r="L729" t="s">
        <v>27</v>
      </c>
      <c r="M729">
        <v>630</v>
      </c>
      <c r="N729" t="s">
        <v>27</v>
      </c>
      <c r="O729">
        <v>630</v>
      </c>
      <c r="P729">
        <v>630</v>
      </c>
      <c r="Q729" t="s">
        <v>30</v>
      </c>
      <c r="R729" s="2">
        <v>0.7</v>
      </c>
      <c r="S729">
        <v>441</v>
      </c>
      <c r="T729" t="s">
        <v>27</v>
      </c>
      <c r="U729">
        <v>441</v>
      </c>
      <c r="V729" s="7" t="s">
        <v>24</v>
      </c>
      <c r="W729" s="7" t="s">
        <v>119</v>
      </c>
    </row>
    <row r="730" spans="1:23" x14ac:dyDescent="0.4">
      <c r="A730" t="s">
        <v>262</v>
      </c>
      <c r="B730" t="s">
        <v>1639</v>
      </c>
      <c r="C730" t="s">
        <v>1643</v>
      </c>
      <c r="D730" t="s">
        <v>21</v>
      </c>
      <c r="E730" t="s">
        <v>22</v>
      </c>
      <c r="F730" t="s">
        <v>23</v>
      </c>
      <c r="G730">
        <v>1</v>
      </c>
      <c r="H730">
        <v>9791166300295</v>
      </c>
      <c r="I730" t="s">
        <v>24</v>
      </c>
      <c r="J730" t="s">
        <v>138</v>
      </c>
      <c r="K730" t="s">
        <v>119</v>
      </c>
      <c r="L730" t="s">
        <v>27</v>
      </c>
      <c r="M730" s="3">
        <v>3200</v>
      </c>
      <c r="N730" t="s">
        <v>27</v>
      </c>
      <c r="O730" s="3">
        <v>3200</v>
      </c>
      <c r="P730" s="3">
        <v>3200</v>
      </c>
      <c r="Q730" t="s">
        <v>30</v>
      </c>
      <c r="R730" s="2">
        <v>0.7</v>
      </c>
      <c r="S730" s="3">
        <v>2240</v>
      </c>
      <c r="T730" t="s">
        <v>27</v>
      </c>
      <c r="U730" s="3">
        <v>2240</v>
      </c>
      <c r="V730" s="7" t="s">
        <v>24</v>
      </c>
      <c r="W730" s="7" t="s">
        <v>119</v>
      </c>
    </row>
    <row r="731" spans="1:23" x14ac:dyDescent="0.4">
      <c r="A731" t="s">
        <v>262</v>
      </c>
      <c r="B731" t="s">
        <v>1639</v>
      </c>
      <c r="C731" t="s">
        <v>1644</v>
      </c>
      <c r="D731" t="s">
        <v>64</v>
      </c>
      <c r="E731" t="s">
        <v>22</v>
      </c>
      <c r="F731" t="s">
        <v>23</v>
      </c>
      <c r="G731">
        <v>1</v>
      </c>
      <c r="H731">
        <v>9791166300547</v>
      </c>
      <c r="I731" t="s">
        <v>24</v>
      </c>
      <c r="J731" t="s">
        <v>153</v>
      </c>
      <c r="K731" t="s">
        <v>119</v>
      </c>
      <c r="L731" t="s">
        <v>27</v>
      </c>
      <c r="M731">
        <v>630</v>
      </c>
      <c r="N731" t="s">
        <v>27</v>
      </c>
      <c r="O731">
        <v>630</v>
      </c>
      <c r="P731">
        <v>630</v>
      </c>
      <c r="Q731" t="s">
        <v>30</v>
      </c>
      <c r="R731" s="2">
        <v>0.7</v>
      </c>
      <c r="S731">
        <v>441</v>
      </c>
      <c r="T731" t="s">
        <v>27</v>
      </c>
      <c r="U731">
        <v>441</v>
      </c>
      <c r="V731" s="7" t="s">
        <v>24</v>
      </c>
      <c r="W731" s="7" t="s">
        <v>119</v>
      </c>
    </row>
    <row r="732" spans="1:23" x14ac:dyDescent="0.4">
      <c r="A732" t="s">
        <v>262</v>
      </c>
      <c r="B732" t="s">
        <v>1639</v>
      </c>
      <c r="C732" t="s">
        <v>1649</v>
      </c>
      <c r="D732" t="s">
        <v>64</v>
      </c>
      <c r="E732" t="s">
        <v>22</v>
      </c>
      <c r="F732" t="s">
        <v>23</v>
      </c>
      <c r="G732">
        <v>1</v>
      </c>
      <c r="H732">
        <v>9791166300479</v>
      </c>
      <c r="I732" t="s">
        <v>24</v>
      </c>
      <c r="J732" t="s">
        <v>145</v>
      </c>
      <c r="K732" t="s">
        <v>119</v>
      </c>
      <c r="L732" t="s">
        <v>27</v>
      </c>
      <c r="M732">
        <v>630</v>
      </c>
      <c r="N732" t="s">
        <v>27</v>
      </c>
      <c r="O732">
        <v>630</v>
      </c>
      <c r="P732">
        <v>630</v>
      </c>
      <c r="Q732" t="s">
        <v>30</v>
      </c>
      <c r="R732" s="2">
        <v>0.7</v>
      </c>
      <c r="S732">
        <v>441</v>
      </c>
      <c r="T732" t="s">
        <v>27</v>
      </c>
      <c r="U732">
        <v>441</v>
      </c>
      <c r="V732" s="7" t="s">
        <v>24</v>
      </c>
      <c r="W732" s="7" t="s">
        <v>119</v>
      </c>
    </row>
    <row r="733" spans="1:23" x14ac:dyDescent="0.4">
      <c r="A733" t="s">
        <v>262</v>
      </c>
      <c r="B733" t="s">
        <v>1639</v>
      </c>
      <c r="C733" t="s">
        <v>1651</v>
      </c>
      <c r="D733" t="s">
        <v>64</v>
      </c>
      <c r="E733" t="s">
        <v>22</v>
      </c>
      <c r="F733" t="s">
        <v>23</v>
      </c>
      <c r="G733">
        <v>1</v>
      </c>
      <c r="H733">
        <v>9791166300585</v>
      </c>
      <c r="I733" t="s">
        <v>24</v>
      </c>
      <c r="J733" t="s">
        <v>160</v>
      </c>
      <c r="K733" t="s">
        <v>119</v>
      </c>
      <c r="L733" t="s">
        <v>27</v>
      </c>
      <c r="M733">
        <v>630</v>
      </c>
      <c r="N733" t="s">
        <v>27</v>
      </c>
      <c r="O733">
        <v>630</v>
      </c>
      <c r="P733">
        <v>630</v>
      </c>
      <c r="Q733" t="s">
        <v>30</v>
      </c>
      <c r="R733" s="2">
        <v>0.7</v>
      </c>
      <c r="S733">
        <v>441</v>
      </c>
      <c r="T733" t="s">
        <v>27</v>
      </c>
      <c r="U733">
        <v>441</v>
      </c>
      <c r="V733" s="7" t="s">
        <v>24</v>
      </c>
      <c r="W733" s="7" t="s">
        <v>119</v>
      </c>
    </row>
    <row r="734" spans="1:23" x14ac:dyDescent="0.4">
      <c r="A734" t="s">
        <v>262</v>
      </c>
      <c r="B734" t="s">
        <v>1639</v>
      </c>
      <c r="C734" t="s">
        <v>1653</v>
      </c>
      <c r="D734" t="s">
        <v>64</v>
      </c>
      <c r="E734" t="s">
        <v>22</v>
      </c>
      <c r="F734" t="s">
        <v>23</v>
      </c>
      <c r="G734">
        <v>1</v>
      </c>
      <c r="H734">
        <v>9791166300127</v>
      </c>
      <c r="I734" t="s">
        <v>24</v>
      </c>
      <c r="J734" t="s">
        <v>122</v>
      </c>
      <c r="K734" t="s">
        <v>119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  <c r="V734" s="7" t="s">
        <v>24</v>
      </c>
      <c r="W734" s="7" t="s">
        <v>119</v>
      </c>
    </row>
    <row r="735" spans="1:23" x14ac:dyDescent="0.4">
      <c r="A735" t="s">
        <v>262</v>
      </c>
      <c r="B735" t="s">
        <v>1639</v>
      </c>
      <c r="C735" t="s">
        <v>1654</v>
      </c>
      <c r="D735" t="s">
        <v>21</v>
      </c>
      <c r="E735" t="s">
        <v>22</v>
      </c>
      <c r="F735" t="s">
        <v>23</v>
      </c>
      <c r="G735">
        <v>1</v>
      </c>
      <c r="H735">
        <v>9791166300295</v>
      </c>
      <c r="I735" t="s">
        <v>24</v>
      </c>
      <c r="J735" t="s">
        <v>138</v>
      </c>
      <c r="K735" t="s">
        <v>119</v>
      </c>
      <c r="L735" t="s">
        <v>27</v>
      </c>
      <c r="M735" s="3">
        <v>3200</v>
      </c>
      <c r="N735" t="s">
        <v>27</v>
      </c>
      <c r="O735" s="3">
        <v>3200</v>
      </c>
      <c r="P735" s="3">
        <v>3200</v>
      </c>
      <c r="Q735" t="s">
        <v>30</v>
      </c>
      <c r="R735" s="2">
        <v>0.7</v>
      </c>
      <c r="S735" s="3">
        <v>2240</v>
      </c>
      <c r="T735" t="s">
        <v>27</v>
      </c>
      <c r="U735" s="3">
        <v>2240</v>
      </c>
      <c r="V735" s="7" t="s">
        <v>24</v>
      </c>
      <c r="W735" s="7" t="s">
        <v>119</v>
      </c>
    </row>
    <row r="736" spans="1:23" x14ac:dyDescent="0.4">
      <c r="A736" t="s">
        <v>262</v>
      </c>
      <c r="B736" t="s">
        <v>1639</v>
      </c>
      <c r="C736" t="s">
        <v>1655</v>
      </c>
      <c r="D736" t="s">
        <v>21</v>
      </c>
      <c r="E736" t="s">
        <v>22</v>
      </c>
      <c r="F736" t="s">
        <v>23</v>
      </c>
      <c r="G736">
        <v>1</v>
      </c>
      <c r="H736">
        <v>9791166300165</v>
      </c>
      <c r="I736" t="s">
        <v>24</v>
      </c>
      <c r="J736" t="s">
        <v>126</v>
      </c>
      <c r="K736" t="s">
        <v>119</v>
      </c>
      <c r="L736" t="s">
        <v>27</v>
      </c>
      <c r="M736" s="3">
        <v>3200</v>
      </c>
      <c r="N736" t="s">
        <v>27</v>
      </c>
      <c r="O736" s="3">
        <v>3200</v>
      </c>
      <c r="P736" s="3">
        <v>3200</v>
      </c>
      <c r="Q736" t="s">
        <v>30</v>
      </c>
      <c r="R736" s="2">
        <v>0.7</v>
      </c>
      <c r="S736" s="3">
        <v>2240</v>
      </c>
      <c r="T736" t="s">
        <v>27</v>
      </c>
      <c r="U736" s="3">
        <v>2240</v>
      </c>
      <c r="V736" s="7" t="s">
        <v>24</v>
      </c>
      <c r="W736" s="7" t="s">
        <v>119</v>
      </c>
    </row>
    <row r="737" spans="1:23" x14ac:dyDescent="0.4">
      <c r="A737" t="s">
        <v>262</v>
      </c>
      <c r="B737" t="s">
        <v>1639</v>
      </c>
      <c r="C737" t="s">
        <v>1656</v>
      </c>
      <c r="D737" t="s">
        <v>64</v>
      </c>
      <c r="E737" t="s">
        <v>22</v>
      </c>
      <c r="F737" t="s">
        <v>23</v>
      </c>
      <c r="G737">
        <v>1</v>
      </c>
      <c r="H737">
        <v>9791166300592</v>
      </c>
      <c r="I737" t="s">
        <v>24</v>
      </c>
      <c r="J737" t="s">
        <v>161</v>
      </c>
      <c r="K737" t="s">
        <v>119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  <c r="V737" s="7" t="s">
        <v>24</v>
      </c>
      <c r="W737" s="7" t="s">
        <v>119</v>
      </c>
    </row>
    <row r="738" spans="1:23" x14ac:dyDescent="0.4">
      <c r="A738" t="s">
        <v>262</v>
      </c>
      <c r="B738" t="s">
        <v>1639</v>
      </c>
      <c r="C738" t="s">
        <v>1657</v>
      </c>
      <c r="D738" t="s">
        <v>21</v>
      </c>
      <c r="E738" t="s">
        <v>22</v>
      </c>
      <c r="F738" t="s">
        <v>23</v>
      </c>
      <c r="G738">
        <v>1</v>
      </c>
      <c r="H738">
        <v>9791166300301</v>
      </c>
      <c r="I738" t="s">
        <v>24</v>
      </c>
      <c r="J738" t="s">
        <v>139</v>
      </c>
      <c r="K738" t="s">
        <v>119</v>
      </c>
      <c r="L738" t="s">
        <v>27</v>
      </c>
      <c r="M738" s="3">
        <v>3200</v>
      </c>
      <c r="N738" t="s">
        <v>27</v>
      </c>
      <c r="O738" s="3">
        <v>3200</v>
      </c>
      <c r="P738" s="3">
        <v>3200</v>
      </c>
      <c r="Q738" t="s">
        <v>30</v>
      </c>
      <c r="R738" s="2">
        <v>0.7</v>
      </c>
      <c r="S738" s="3">
        <v>2240</v>
      </c>
      <c r="T738" t="s">
        <v>27</v>
      </c>
      <c r="U738" s="3">
        <v>2240</v>
      </c>
      <c r="V738" s="7" t="s">
        <v>24</v>
      </c>
      <c r="W738" s="7" t="s">
        <v>119</v>
      </c>
    </row>
    <row r="739" spans="1:23" x14ac:dyDescent="0.4">
      <c r="A739" t="s">
        <v>262</v>
      </c>
      <c r="B739" t="s">
        <v>1639</v>
      </c>
      <c r="C739" t="s">
        <v>1666</v>
      </c>
      <c r="D739" t="s">
        <v>64</v>
      </c>
      <c r="E739" t="s">
        <v>22</v>
      </c>
      <c r="F739" t="s">
        <v>23</v>
      </c>
      <c r="G739">
        <v>1</v>
      </c>
      <c r="H739">
        <v>9791166300165</v>
      </c>
      <c r="I739" t="s">
        <v>24</v>
      </c>
      <c r="J739" t="s">
        <v>126</v>
      </c>
      <c r="K739" t="s">
        <v>119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  <c r="V739" s="7" t="s">
        <v>24</v>
      </c>
      <c r="W739" s="7" t="s">
        <v>119</v>
      </c>
    </row>
    <row r="740" spans="1:23" x14ac:dyDescent="0.4">
      <c r="A740" t="s">
        <v>262</v>
      </c>
      <c r="B740" t="s">
        <v>1639</v>
      </c>
      <c r="C740" t="s">
        <v>1669</v>
      </c>
      <c r="D740" t="s">
        <v>64</v>
      </c>
      <c r="E740" t="s">
        <v>22</v>
      </c>
      <c r="F740" t="s">
        <v>23</v>
      </c>
      <c r="G740">
        <v>1</v>
      </c>
      <c r="H740">
        <v>9791166300158</v>
      </c>
      <c r="I740" t="s">
        <v>24</v>
      </c>
      <c r="J740" t="s">
        <v>125</v>
      </c>
      <c r="K740" t="s">
        <v>119</v>
      </c>
      <c r="L740" t="s">
        <v>27</v>
      </c>
      <c r="M740">
        <v>630</v>
      </c>
      <c r="N740" t="s">
        <v>27</v>
      </c>
      <c r="O740">
        <v>630</v>
      </c>
      <c r="P740">
        <v>630</v>
      </c>
      <c r="Q740" t="s">
        <v>30</v>
      </c>
      <c r="R740" s="2">
        <v>0.7</v>
      </c>
      <c r="S740">
        <v>441</v>
      </c>
      <c r="T740" t="s">
        <v>27</v>
      </c>
      <c r="U740">
        <v>441</v>
      </c>
      <c r="V740" s="7" t="s">
        <v>24</v>
      </c>
      <c r="W740" s="7" t="s">
        <v>119</v>
      </c>
    </row>
    <row r="741" spans="1:23" x14ac:dyDescent="0.4">
      <c r="A741" t="s">
        <v>262</v>
      </c>
      <c r="B741" t="s">
        <v>1639</v>
      </c>
      <c r="C741" t="s">
        <v>1671</v>
      </c>
      <c r="D741" t="s">
        <v>64</v>
      </c>
      <c r="E741" t="s">
        <v>22</v>
      </c>
      <c r="F741" t="s">
        <v>23</v>
      </c>
      <c r="G741">
        <v>1</v>
      </c>
      <c r="H741">
        <v>9791166300486</v>
      </c>
      <c r="I741" t="s">
        <v>24</v>
      </c>
      <c r="J741" t="s">
        <v>146</v>
      </c>
      <c r="K741" t="s">
        <v>119</v>
      </c>
      <c r="L741" t="s">
        <v>27</v>
      </c>
      <c r="M741">
        <v>630</v>
      </c>
      <c r="N741" t="s">
        <v>27</v>
      </c>
      <c r="O741">
        <v>630</v>
      </c>
      <c r="P741">
        <v>630</v>
      </c>
      <c r="Q741" t="s">
        <v>30</v>
      </c>
      <c r="R741" s="2">
        <v>0.7</v>
      </c>
      <c r="S741">
        <v>441</v>
      </c>
      <c r="T741" t="s">
        <v>27</v>
      </c>
      <c r="U741">
        <v>441</v>
      </c>
      <c r="V741" s="7" t="s">
        <v>24</v>
      </c>
      <c r="W741" s="7" t="s">
        <v>119</v>
      </c>
    </row>
    <row r="742" spans="1:23" x14ac:dyDescent="0.4">
      <c r="A742" t="s">
        <v>262</v>
      </c>
      <c r="B742" t="s">
        <v>1639</v>
      </c>
      <c r="C742" t="s">
        <v>1673</v>
      </c>
      <c r="D742" t="s">
        <v>21</v>
      </c>
      <c r="E742" t="s">
        <v>22</v>
      </c>
      <c r="F742" t="s">
        <v>23</v>
      </c>
      <c r="G742">
        <v>1</v>
      </c>
      <c r="H742">
        <v>9791166300301</v>
      </c>
      <c r="I742" t="s">
        <v>24</v>
      </c>
      <c r="J742" t="s">
        <v>139</v>
      </c>
      <c r="K742" t="s">
        <v>119</v>
      </c>
      <c r="L742" t="s">
        <v>27</v>
      </c>
      <c r="M742" s="3">
        <v>3200</v>
      </c>
      <c r="N742" t="s">
        <v>27</v>
      </c>
      <c r="O742" s="3">
        <v>3200</v>
      </c>
      <c r="P742" s="3">
        <v>3200</v>
      </c>
      <c r="Q742" t="s">
        <v>30</v>
      </c>
      <c r="R742" s="2">
        <v>0.7</v>
      </c>
      <c r="S742" s="3">
        <v>2240</v>
      </c>
      <c r="T742" t="s">
        <v>27</v>
      </c>
      <c r="U742" s="3">
        <v>2240</v>
      </c>
      <c r="V742" s="7" t="s">
        <v>24</v>
      </c>
      <c r="W742" s="7" t="s">
        <v>119</v>
      </c>
    </row>
    <row r="743" spans="1:23" x14ac:dyDescent="0.4">
      <c r="A743" t="s">
        <v>262</v>
      </c>
      <c r="B743" t="s">
        <v>1639</v>
      </c>
      <c r="C743" t="s">
        <v>1674</v>
      </c>
      <c r="D743" t="s">
        <v>64</v>
      </c>
      <c r="E743" t="s">
        <v>22</v>
      </c>
      <c r="F743" t="s">
        <v>23</v>
      </c>
      <c r="G743">
        <v>1</v>
      </c>
      <c r="H743">
        <v>9791166300608</v>
      </c>
      <c r="I743" t="s">
        <v>24</v>
      </c>
      <c r="J743" t="s">
        <v>162</v>
      </c>
      <c r="K743" t="s">
        <v>119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  <c r="V743" s="7" t="s">
        <v>24</v>
      </c>
      <c r="W743" s="7" t="s">
        <v>119</v>
      </c>
    </row>
    <row r="744" spans="1:23" x14ac:dyDescent="0.4">
      <c r="A744" t="s">
        <v>262</v>
      </c>
      <c r="B744" t="s">
        <v>1639</v>
      </c>
      <c r="C744" t="s">
        <v>1675</v>
      </c>
      <c r="D744" t="s">
        <v>64</v>
      </c>
      <c r="E744" t="s">
        <v>22</v>
      </c>
      <c r="F744" t="s">
        <v>23</v>
      </c>
      <c r="G744">
        <v>1</v>
      </c>
      <c r="H744">
        <v>9791166300127</v>
      </c>
      <c r="I744" t="s">
        <v>24</v>
      </c>
      <c r="J744" t="s">
        <v>122</v>
      </c>
      <c r="K744" t="s">
        <v>119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  <c r="V744" s="7" t="s">
        <v>24</v>
      </c>
      <c r="W744" s="7" t="s">
        <v>119</v>
      </c>
    </row>
    <row r="745" spans="1:23" x14ac:dyDescent="0.4">
      <c r="A745" t="s">
        <v>262</v>
      </c>
      <c r="B745" t="s">
        <v>1639</v>
      </c>
      <c r="C745" t="s">
        <v>1676</v>
      </c>
      <c r="D745" t="s">
        <v>21</v>
      </c>
      <c r="E745" t="s">
        <v>22</v>
      </c>
      <c r="F745" t="s">
        <v>23</v>
      </c>
      <c r="G745">
        <v>1</v>
      </c>
      <c r="H745">
        <v>9791166300462</v>
      </c>
      <c r="I745" t="s">
        <v>24</v>
      </c>
      <c r="J745" t="s">
        <v>144</v>
      </c>
      <c r="K745" t="s">
        <v>119</v>
      </c>
      <c r="L745" t="s">
        <v>27</v>
      </c>
      <c r="M745" s="3">
        <v>3200</v>
      </c>
      <c r="N745" t="s">
        <v>27</v>
      </c>
      <c r="O745" s="3">
        <v>3200</v>
      </c>
      <c r="P745" s="3">
        <v>3200</v>
      </c>
      <c r="Q745" t="s">
        <v>30</v>
      </c>
      <c r="R745" s="2">
        <v>0.7</v>
      </c>
      <c r="S745" s="3">
        <v>2240</v>
      </c>
      <c r="T745" t="s">
        <v>27</v>
      </c>
      <c r="U745" s="3">
        <v>2240</v>
      </c>
      <c r="V745" s="7" t="s">
        <v>24</v>
      </c>
      <c r="W745" s="7" t="s">
        <v>119</v>
      </c>
    </row>
    <row r="746" spans="1:23" x14ac:dyDescent="0.4">
      <c r="A746" t="s">
        <v>262</v>
      </c>
      <c r="B746" t="s">
        <v>1639</v>
      </c>
      <c r="C746" t="s">
        <v>1680</v>
      </c>
      <c r="D746" t="s">
        <v>64</v>
      </c>
      <c r="E746" t="s">
        <v>22</v>
      </c>
      <c r="F746" t="s">
        <v>23</v>
      </c>
      <c r="G746">
        <v>1</v>
      </c>
      <c r="H746">
        <v>9791166300219</v>
      </c>
      <c r="I746" t="s">
        <v>24</v>
      </c>
      <c r="J746" t="s">
        <v>130</v>
      </c>
      <c r="K746" t="s">
        <v>119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2">
        <v>0.7</v>
      </c>
      <c r="S746">
        <v>441</v>
      </c>
      <c r="T746" t="s">
        <v>27</v>
      </c>
      <c r="U746">
        <v>441</v>
      </c>
      <c r="V746" s="7" t="s">
        <v>24</v>
      </c>
      <c r="W746" s="7" t="s">
        <v>119</v>
      </c>
    </row>
    <row r="747" spans="1:23" x14ac:dyDescent="0.4">
      <c r="A747" t="s">
        <v>262</v>
      </c>
      <c r="B747" t="s">
        <v>1639</v>
      </c>
      <c r="C747" t="s">
        <v>1692</v>
      </c>
      <c r="D747" t="s">
        <v>21</v>
      </c>
      <c r="E747" t="s">
        <v>22</v>
      </c>
      <c r="F747" t="s">
        <v>23</v>
      </c>
      <c r="G747">
        <v>1</v>
      </c>
      <c r="H747">
        <v>9791166300301</v>
      </c>
      <c r="I747" t="s">
        <v>24</v>
      </c>
      <c r="J747" t="s">
        <v>139</v>
      </c>
      <c r="K747" t="s">
        <v>119</v>
      </c>
      <c r="L747" t="s">
        <v>27</v>
      </c>
      <c r="M747" s="3">
        <v>3200</v>
      </c>
      <c r="N747" t="s">
        <v>28</v>
      </c>
      <c r="O747">
        <v>2.64</v>
      </c>
      <c r="P747">
        <v>2.64</v>
      </c>
      <c r="Q747" t="s">
        <v>29</v>
      </c>
      <c r="R747" s="2">
        <v>0.7</v>
      </c>
      <c r="S747">
        <v>1.85</v>
      </c>
      <c r="T747" t="s">
        <v>27</v>
      </c>
      <c r="U747" s="3">
        <v>2345</v>
      </c>
      <c r="V747" s="7" t="s">
        <v>24</v>
      </c>
      <c r="W747" s="7" t="s">
        <v>119</v>
      </c>
    </row>
    <row r="748" spans="1:23" x14ac:dyDescent="0.4">
      <c r="A748" t="s">
        <v>262</v>
      </c>
      <c r="B748" t="s">
        <v>1639</v>
      </c>
      <c r="C748" t="s">
        <v>1692</v>
      </c>
      <c r="D748" t="s">
        <v>21</v>
      </c>
      <c r="E748" t="s">
        <v>22</v>
      </c>
      <c r="F748" t="s">
        <v>23</v>
      </c>
      <c r="G748">
        <v>1</v>
      </c>
      <c r="H748">
        <v>9791166300462</v>
      </c>
      <c r="I748" t="s">
        <v>24</v>
      </c>
      <c r="J748" t="s">
        <v>144</v>
      </c>
      <c r="K748" t="s">
        <v>119</v>
      </c>
      <c r="L748" t="s">
        <v>27</v>
      </c>
      <c r="M748" s="3">
        <v>3200</v>
      </c>
      <c r="N748" t="s">
        <v>28</v>
      </c>
      <c r="O748">
        <v>2.64</v>
      </c>
      <c r="P748">
        <v>2.64</v>
      </c>
      <c r="Q748" t="s">
        <v>29</v>
      </c>
      <c r="R748" s="2">
        <v>0.7</v>
      </c>
      <c r="S748">
        <v>1.85</v>
      </c>
      <c r="T748" t="s">
        <v>27</v>
      </c>
      <c r="U748" s="3">
        <v>2345</v>
      </c>
      <c r="V748" s="7" t="s">
        <v>24</v>
      </c>
      <c r="W748" s="7" t="s">
        <v>119</v>
      </c>
    </row>
    <row r="749" spans="1:23" x14ac:dyDescent="0.4">
      <c r="A749" t="s">
        <v>262</v>
      </c>
      <c r="B749" t="s">
        <v>1639</v>
      </c>
      <c r="C749" t="s">
        <v>1692</v>
      </c>
      <c r="D749" t="s">
        <v>21</v>
      </c>
      <c r="E749" t="s">
        <v>22</v>
      </c>
      <c r="F749" t="s">
        <v>23</v>
      </c>
      <c r="G749">
        <v>1</v>
      </c>
      <c r="H749">
        <v>9791166300479</v>
      </c>
      <c r="I749" t="s">
        <v>24</v>
      </c>
      <c r="J749" t="s">
        <v>145</v>
      </c>
      <c r="K749" t="s">
        <v>119</v>
      </c>
      <c r="L749" t="s">
        <v>27</v>
      </c>
      <c r="M749" s="3">
        <v>3200</v>
      </c>
      <c r="N749" t="s">
        <v>28</v>
      </c>
      <c r="O749">
        <v>2.64</v>
      </c>
      <c r="P749">
        <v>2.64</v>
      </c>
      <c r="Q749" t="s">
        <v>29</v>
      </c>
      <c r="R749" s="2">
        <v>0.7</v>
      </c>
      <c r="S749">
        <v>1.85</v>
      </c>
      <c r="T749" t="s">
        <v>27</v>
      </c>
      <c r="U749" s="3">
        <v>2345</v>
      </c>
      <c r="V749" s="7" t="s">
        <v>24</v>
      </c>
      <c r="W749" s="7" t="s">
        <v>119</v>
      </c>
    </row>
    <row r="750" spans="1:23" x14ac:dyDescent="0.4">
      <c r="A750" t="s">
        <v>262</v>
      </c>
      <c r="B750" t="s">
        <v>1639</v>
      </c>
      <c r="C750" t="s">
        <v>1693</v>
      </c>
      <c r="D750" t="s">
        <v>64</v>
      </c>
      <c r="E750" t="s">
        <v>22</v>
      </c>
      <c r="F750" t="s">
        <v>23</v>
      </c>
      <c r="G750">
        <v>1</v>
      </c>
      <c r="H750">
        <v>9791166300134</v>
      </c>
      <c r="I750" t="s">
        <v>24</v>
      </c>
      <c r="J750" t="s">
        <v>123</v>
      </c>
      <c r="K750" t="s">
        <v>119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2">
        <v>0.7</v>
      </c>
      <c r="S750">
        <v>441</v>
      </c>
      <c r="T750" t="s">
        <v>27</v>
      </c>
      <c r="U750">
        <v>441</v>
      </c>
      <c r="V750" s="7" t="s">
        <v>24</v>
      </c>
      <c r="W750" s="7" t="s">
        <v>119</v>
      </c>
    </row>
    <row r="751" spans="1:23" x14ac:dyDescent="0.4">
      <c r="A751" t="s">
        <v>262</v>
      </c>
      <c r="B751" t="s">
        <v>1639</v>
      </c>
      <c r="C751" t="s">
        <v>1695</v>
      </c>
      <c r="D751" t="s">
        <v>64</v>
      </c>
      <c r="E751" t="s">
        <v>22</v>
      </c>
      <c r="F751" t="s">
        <v>23</v>
      </c>
      <c r="G751">
        <v>1</v>
      </c>
      <c r="H751">
        <v>9791166300240</v>
      </c>
      <c r="I751" t="s">
        <v>24</v>
      </c>
      <c r="J751" t="s">
        <v>133</v>
      </c>
      <c r="K751" t="s">
        <v>119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  <c r="V751" s="7" t="s">
        <v>24</v>
      </c>
      <c r="W751" s="7" t="s">
        <v>119</v>
      </c>
    </row>
    <row r="752" spans="1:23" x14ac:dyDescent="0.4">
      <c r="A752" t="s">
        <v>262</v>
      </c>
      <c r="B752" t="s">
        <v>1639</v>
      </c>
      <c r="C752" t="s">
        <v>1698</v>
      </c>
      <c r="D752" t="s">
        <v>64</v>
      </c>
      <c r="E752" t="s">
        <v>22</v>
      </c>
      <c r="F752" t="s">
        <v>23</v>
      </c>
      <c r="G752">
        <v>1</v>
      </c>
      <c r="H752">
        <v>9791166300226</v>
      </c>
      <c r="I752" t="s">
        <v>24</v>
      </c>
      <c r="J752" t="s">
        <v>131</v>
      </c>
      <c r="K752" t="s">
        <v>119</v>
      </c>
      <c r="L752" t="s">
        <v>27</v>
      </c>
      <c r="M752">
        <v>630</v>
      </c>
      <c r="N752" t="s">
        <v>27</v>
      </c>
      <c r="O752">
        <v>630</v>
      </c>
      <c r="P752">
        <v>630</v>
      </c>
      <c r="Q752" t="s">
        <v>30</v>
      </c>
      <c r="R752" s="2">
        <v>0.7</v>
      </c>
      <c r="S752">
        <v>441</v>
      </c>
      <c r="T752" t="s">
        <v>27</v>
      </c>
      <c r="U752">
        <v>441</v>
      </c>
      <c r="V752" s="7" t="s">
        <v>24</v>
      </c>
      <c r="W752" s="7" t="s">
        <v>119</v>
      </c>
    </row>
    <row r="753" spans="1:23" x14ac:dyDescent="0.4">
      <c r="A753" t="s">
        <v>262</v>
      </c>
      <c r="B753" t="s">
        <v>1639</v>
      </c>
      <c r="C753" t="s">
        <v>1699</v>
      </c>
      <c r="D753" t="s">
        <v>21</v>
      </c>
      <c r="E753" t="s">
        <v>22</v>
      </c>
      <c r="F753" t="s">
        <v>23</v>
      </c>
      <c r="G753">
        <v>1</v>
      </c>
      <c r="H753">
        <v>9791166300479</v>
      </c>
      <c r="I753" t="s">
        <v>24</v>
      </c>
      <c r="J753" t="s">
        <v>145</v>
      </c>
      <c r="K753" t="s">
        <v>119</v>
      </c>
      <c r="L753" t="s">
        <v>27</v>
      </c>
      <c r="M753" s="3">
        <v>3200</v>
      </c>
      <c r="N753" t="s">
        <v>27</v>
      </c>
      <c r="O753" s="3">
        <v>3200</v>
      </c>
      <c r="P753" s="3">
        <v>3200</v>
      </c>
      <c r="Q753" t="s">
        <v>30</v>
      </c>
      <c r="R753" s="2">
        <v>0.7</v>
      </c>
      <c r="S753" s="3">
        <v>2240</v>
      </c>
      <c r="T753" t="s">
        <v>27</v>
      </c>
      <c r="U753" s="3">
        <v>2240</v>
      </c>
      <c r="V753" s="7" t="s">
        <v>24</v>
      </c>
      <c r="W753" s="7" t="s">
        <v>119</v>
      </c>
    </row>
    <row r="754" spans="1:23" x14ac:dyDescent="0.4">
      <c r="A754" t="s">
        <v>262</v>
      </c>
      <c r="B754" t="s">
        <v>1639</v>
      </c>
      <c r="C754" t="s">
        <v>1700</v>
      </c>
      <c r="D754" t="s">
        <v>64</v>
      </c>
      <c r="E754" t="s">
        <v>22</v>
      </c>
      <c r="F754" t="s">
        <v>23</v>
      </c>
      <c r="G754">
        <v>1</v>
      </c>
      <c r="H754">
        <v>9791166300134</v>
      </c>
      <c r="I754" t="s">
        <v>24</v>
      </c>
      <c r="J754" t="s">
        <v>123</v>
      </c>
      <c r="K754" t="s">
        <v>119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  <c r="V754" s="7" t="s">
        <v>24</v>
      </c>
      <c r="W754" s="7" t="s">
        <v>119</v>
      </c>
    </row>
    <row r="755" spans="1:23" x14ac:dyDescent="0.4">
      <c r="A755" t="s">
        <v>262</v>
      </c>
      <c r="B755" t="s">
        <v>1704</v>
      </c>
      <c r="C755" t="s">
        <v>1709</v>
      </c>
      <c r="D755" t="s">
        <v>64</v>
      </c>
      <c r="E755" t="s">
        <v>22</v>
      </c>
      <c r="F755" t="s">
        <v>23</v>
      </c>
      <c r="G755">
        <v>1</v>
      </c>
      <c r="H755">
        <v>9791166300554</v>
      </c>
      <c r="I755" t="s">
        <v>24</v>
      </c>
      <c r="J755" t="s">
        <v>154</v>
      </c>
      <c r="K755" t="s">
        <v>119</v>
      </c>
      <c r="L755" t="s">
        <v>27</v>
      </c>
      <c r="M755">
        <v>630</v>
      </c>
      <c r="N755" t="s">
        <v>27</v>
      </c>
      <c r="O755">
        <v>630</v>
      </c>
      <c r="P755">
        <v>630</v>
      </c>
      <c r="Q755" t="s">
        <v>30</v>
      </c>
      <c r="R755" s="2">
        <v>0.7</v>
      </c>
      <c r="S755">
        <v>441</v>
      </c>
      <c r="T755" t="s">
        <v>27</v>
      </c>
      <c r="U755">
        <v>441</v>
      </c>
      <c r="V755" s="7" t="s">
        <v>24</v>
      </c>
      <c r="W755" s="7" t="s">
        <v>119</v>
      </c>
    </row>
    <row r="756" spans="1:23" x14ac:dyDescent="0.4">
      <c r="A756" t="s">
        <v>262</v>
      </c>
      <c r="B756" t="s">
        <v>1704</v>
      </c>
      <c r="C756" t="s">
        <v>1710</v>
      </c>
      <c r="D756" t="s">
        <v>64</v>
      </c>
      <c r="E756" t="s">
        <v>22</v>
      </c>
      <c r="F756" t="s">
        <v>23</v>
      </c>
      <c r="G756">
        <v>1</v>
      </c>
      <c r="H756">
        <v>9791166300578</v>
      </c>
      <c r="I756" t="s">
        <v>24</v>
      </c>
      <c r="J756" t="s">
        <v>159</v>
      </c>
      <c r="K756" t="s">
        <v>119</v>
      </c>
      <c r="L756" t="s">
        <v>27</v>
      </c>
      <c r="M756">
        <v>630</v>
      </c>
      <c r="N756" t="s">
        <v>27</v>
      </c>
      <c r="O756">
        <v>630</v>
      </c>
      <c r="P756">
        <v>630</v>
      </c>
      <c r="Q756" t="s">
        <v>30</v>
      </c>
      <c r="R756" s="2">
        <v>0.7</v>
      </c>
      <c r="S756">
        <v>441</v>
      </c>
      <c r="T756" t="s">
        <v>27</v>
      </c>
      <c r="U756">
        <v>441</v>
      </c>
      <c r="V756" s="7" t="s">
        <v>24</v>
      </c>
      <c r="W756" s="7" t="s">
        <v>119</v>
      </c>
    </row>
    <row r="757" spans="1:23" x14ac:dyDescent="0.4">
      <c r="A757" t="s">
        <v>262</v>
      </c>
      <c r="B757" t="s">
        <v>1704</v>
      </c>
      <c r="C757" t="s">
        <v>1712</v>
      </c>
      <c r="D757" t="s">
        <v>21</v>
      </c>
      <c r="E757" t="s">
        <v>22</v>
      </c>
      <c r="F757" t="s">
        <v>23</v>
      </c>
      <c r="G757">
        <v>1</v>
      </c>
      <c r="H757">
        <v>9791166300486</v>
      </c>
      <c r="I757" t="s">
        <v>24</v>
      </c>
      <c r="J757" t="s">
        <v>146</v>
      </c>
      <c r="K757" t="s">
        <v>119</v>
      </c>
      <c r="L757" t="s">
        <v>27</v>
      </c>
      <c r="M757" s="3">
        <v>3200</v>
      </c>
      <c r="N757" t="s">
        <v>27</v>
      </c>
      <c r="O757" s="3">
        <v>3200</v>
      </c>
      <c r="P757" s="3">
        <v>3200</v>
      </c>
      <c r="Q757" t="s">
        <v>30</v>
      </c>
      <c r="R757" s="2">
        <v>0.7</v>
      </c>
      <c r="S757" s="3">
        <v>2240</v>
      </c>
      <c r="T757" t="s">
        <v>27</v>
      </c>
      <c r="U757" s="3">
        <v>2240</v>
      </c>
      <c r="V757" s="7" t="s">
        <v>24</v>
      </c>
      <c r="W757" s="7" t="s">
        <v>119</v>
      </c>
    </row>
    <row r="758" spans="1:23" x14ac:dyDescent="0.4">
      <c r="A758" t="s">
        <v>262</v>
      </c>
      <c r="B758" t="s">
        <v>1704</v>
      </c>
      <c r="C758" t="s">
        <v>1714</v>
      </c>
      <c r="D758" t="s">
        <v>21</v>
      </c>
      <c r="E758" t="s">
        <v>22</v>
      </c>
      <c r="F758" t="s">
        <v>23</v>
      </c>
      <c r="G758">
        <v>1</v>
      </c>
      <c r="H758">
        <v>9791166300462</v>
      </c>
      <c r="I758" t="s">
        <v>24</v>
      </c>
      <c r="J758" t="s">
        <v>144</v>
      </c>
      <c r="K758" t="s">
        <v>119</v>
      </c>
      <c r="L758" t="s">
        <v>27</v>
      </c>
      <c r="M758" s="3">
        <v>3200</v>
      </c>
      <c r="N758" t="s">
        <v>27</v>
      </c>
      <c r="O758" s="3">
        <v>3200</v>
      </c>
      <c r="P758" s="3">
        <v>3200</v>
      </c>
      <c r="Q758" t="s">
        <v>30</v>
      </c>
      <c r="R758" s="2">
        <v>0.7</v>
      </c>
      <c r="S758" s="3">
        <v>2240</v>
      </c>
      <c r="T758" t="s">
        <v>27</v>
      </c>
      <c r="U758" s="3">
        <v>2240</v>
      </c>
      <c r="V758" s="7" t="s">
        <v>24</v>
      </c>
      <c r="W758" s="7" t="s">
        <v>119</v>
      </c>
    </row>
    <row r="759" spans="1:23" x14ac:dyDescent="0.4">
      <c r="A759" t="s">
        <v>262</v>
      </c>
      <c r="B759" t="s">
        <v>1704</v>
      </c>
      <c r="C759" t="s">
        <v>1715</v>
      </c>
      <c r="D759" t="s">
        <v>64</v>
      </c>
      <c r="E759" t="s">
        <v>22</v>
      </c>
      <c r="F759" t="s">
        <v>23</v>
      </c>
      <c r="G759">
        <v>1</v>
      </c>
      <c r="H759">
        <v>9791166300271</v>
      </c>
      <c r="I759" t="s">
        <v>24</v>
      </c>
      <c r="J759" t="s">
        <v>136</v>
      </c>
      <c r="K759" t="s">
        <v>119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  <c r="V759" s="7" t="s">
        <v>24</v>
      </c>
      <c r="W759" s="7" t="s">
        <v>119</v>
      </c>
    </row>
    <row r="760" spans="1:23" x14ac:dyDescent="0.4">
      <c r="A760" t="s">
        <v>262</v>
      </c>
      <c r="B760" t="s">
        <v>1704</v>
      </c>
      <c r="C760" t="s">
        <v>1716</v>
      </c>
      <c r="D760" t="s">
        <v>64</v>
      </c>
      <c r="E760" t="s">
        <v>22</v>
      </c>
      <c r="F760" t="s">
        <v>23</v>
      </c>
      <c r="G760">
        <v>1</v>
      </c>
      <c r="H760">
        <v>9791166300158</v>
      </c>
      <c r="I760" t="s">
        <v>24</v>
      </c>
      <c r="J760" t="s">
        <v>125</v>
      </c>
      <c r="K760" t="s">
        <v>119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  <c r="V760" s="7" t="s">
        <v>24</v>
      </c>
      <c r="W760" s="7" t="s">
        <v>119</v>
      </c>
    </row>
    <row r="761" spans="1:23" x14ac:dyDescent="0.4">
      <c r="A761" t="s">
        <v>262</v>
      </c>
      <c r="B761" t="s">
        <v>1704</v>
      </c>
      <c r="C761" t="s">
        <v>1718</v>
      </c>
      <c r="D761" t="s">
        <v>21</v>
      </c>
      <c r="E761" t="s">
        <v>22</v>
      </c>
      <c r="F761" t="s">
        <v>23</v>
      </c>
      <c r="G761">
        <v>1</v>
      </c>
      <c r="H761">
        <v>9791166300479</v>
      </c>
      <c r="I761" t="s">
        <v>24</v>
      </c>
      <c r="J761" t="s">
        <v>145</v>
      </c>
      <c r="K761" t="s">
        <v>119</v>
      </c>
      <c r="L761" t="s">
        <v>27</v>
      </c>
      <c r="M761" s="3">
        <v>3200</v>
      </c>
      <c r="N761" t="s">
        <v>27</v>
      </c>
      <c r="O761" s="3">
        <v>3200</v>
      </c>
      <c r="P761" s="3">
        <v>3200</v>
      </c>
      <c r="Q761" t="s">
        <v>30</v>
      </c>
      <c r="R761" s="2">
        <v>0.7</v>
      </c>
      <c r="S761" s="3">
        <v>2240</v>
      </c>
      <c r="T761" t="s">
        <v>27</v>
      </c>
      <c r="U761" s="3">
        <v>2240</v>
      </c>
      <c r="V761" s="7" t="s">
        <v>24</v>
      </c>
      <c r="W761" s="7" t="s">
        <v>119</v>
      </c>
    </row>
    <row r="762" spans="1:23" x14ac:dyDescent="0.4">
      <c r="A762" t="s">
        <v>262</v>
      </c>
      <c r="B762" t="s">
        <v>1704</v>
      </c>
      <c r="C762" t="s">
        <v>1720</v>
      </c>
      <c r="D762" t="s">
        <v>21</v>
      </c>
      <c r="E762" t="s">
        <v>22</v>
      </c>
      <c r="F762" t="s">
        <v>23</v>
      </c>
      <c r="G762">
        <v>1</v>
      </c>
      <c r="H762">
        <v>9791166300172</v>
      </c>
      <c r="I762" t="s">
        <v>24</v>
      </c>
      <c r="J762" t="s">
        <v>127</v>
      </c>
      <c r="K762" t="s">
        <v>119</v>
      </c>
      <c r="L762" t="s">
        <v>27</v>
      </c>
      <c r="M762" s="3">
        <v>3200</v>
      </c>
      <c r="N762" t="s">
        <v>27</v>
      </c>
      <c r="O762" s="3">
        <v>3200</v>
      </c>
      <c r="P762" s="3">
        <v>3200</v>
      </c>
      <c r="Q762" t="s">
        <v>30</v>
      </c>
      <c r="R762" s="2">
        <v>0.7</v>
      </c>
      <c r="S762" s="3">
        <v>2240</v>
      </c>
      <c r="T762" t="s">
        <v>27</v>
      </c>
      <c r="U762" s="3">
        <v>2240</v>
      </c>
      <c r="V762" s="7" t="s">
        <v>24</v>
      </c>
      <c r="W762" s="7" t="s">
        <v>119</v>
      </c>
    </row>
    <row r="763" spans="1:23" x14ac:dyDescent="0.4">
      <c r="A763" t="s">
        <v>262</v>
      </c>
      <c r="B763" t="s">
        <v>1704</v>
      </c>
      <c r="C763" t="s">
        <v>1726</v>
      </c>
      <c r="D763" t="s">
        <v>64</v>
      </c>
      <c r="E763" t="s">
        <v>22</v>
      </c>
      <c r="F763" t="s">
        <v>23</v>
      </c>
      <c r="G763">
        <v>1</v>
      </c>
      <c r="H763">
        <v>9791166300615</v>
      </c>
      <c r="I763" t="s">
        <v>24</v>
      </c>
      <c r="J763" t="s">
        <v>163</v>
      </c>
      <c r="K763" t="s">
        <v>119</v>
      </c>
      <c r="L763" t="s">
        <v>27</v>
      </c>
      <c r="M763">
        <v>630</v>
      </c>
      <c r="N763" t="s">
        <v>27</v>
      </c>
      <c r="O763">
        <v>630</v>
      </c>
      <c r="P763">
        <v>630</v>
      </c>
      <c r="Q763" t="s">
        <v>30</v>
      </c>
      <c r="R763" s="2">
        <v>0.7</v>
      </c>
      <c r="S763">
        <v>441</v>
      </c>
      <c r="T763" t="s">
        <v>27</v>
      </c>
      <c r="U763">
        <v>441</v>
      </c>
      <c r="V763" s="7" t="s">
        <v>24</v>
      </c>
      <c r="W763" s="7" t="s">
        <v>119</v>
      </c>
    </row>
    <row r="764" spans="1:23" x14ac:dyDescent="0.4">
      <c r="A764" t="s">
        <v>262</v>
      </c>
      <c r="B764" t="s">
        <v>1704</v>
      </c>
      <c r="C764" t="s">
        <v>1728</v>
      </c>
      <c r="D764" t="s">
        <v>64</v>
      </c>
      <c r="E764" t="s">
        <v>22</v>
      </c>
      <c r="F764" t="s">
        <v>23</v>
      </c>
      <c r="G764">
        <v>1</v>
      </c>
      <c r="H764">
        <v>9791166300561</v>
      </c>
      <c r="I764" t="s">
        <v>24</v>
      </c>
      <c r="J764" t="s">
        <v>158</v>
      </c>
      <c r="K764" t="s">
        <v>119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  <c r="V764" s="7" t="s">
        <v>24</v>
      </c>
      <c r="W764" s="7" t="s">
        <v>119</v>
      </c>
    </row>
    <row r="765" spans="1:23" x14ac:dyDescent="0.4">
      <c r="A765" t="s">
        <v>262</v>
      </c>
      <c r="B765" t="s">
        <v>1704</v>
      </c>
      <c r="C765" t="s">
        <v>1729</v>
      </c>
      <c r="D765" t="s">
        <v>64</v>
      </c>
      <c r="E765" t="s">
        <v>22</v>
      </c>
      <c r="F765" t="s">
        <v>23</v>
      </c>
      <c r="G765">
        <v>1</v>
      </c>
      <c r="H765">
        <v>9791166300165</v>
      </c>
      <c r="I765" t="s">
        <v>24</v>
      </c>
      <c r="J765" t="s">
        <v>126</v>
      </c>
      <c r="K765" t="s">
        <v>119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2">
        <v>0.7</v>
      </c>
      <c r="S765">
        <v>441</v>
      </c>
      <c r="T765" t="s">
        <v>27</v>
      </c>
      <c r="U765">
        <v>441</v>
      </c>
      <c r="V765" s="7" t="s">
        <v>24</v>
      </c>
      <c r="W765" s="7" t="s">
        <v>119</v>
      </c>
    </row>
    <row r="766" spans="1:23" x14ac:dyDescent="0.4">
      <c r="A766" t="s">
        <v>262</v>
      </c>
      <c r="B766" t="s">
        <v>1704</v>
      </c>
      <c r="C766" t="s">
        <v>1731</v>
      </c>
      <c r="D766" t="s">
        <v>64</v>
      </c>
      <c r="E766" t="s">
        <v>22</v>
      </c>
      <c r="F766" t="s">
        <v>23</v>
      </c>
      <c r="G766">
        <v>1</v>
      </c>
      <c r="H766">
        <v>9791166300592</v>
      </c>
      <c r="I766" t="s">
        <v>24</v>
      </c>
      <c r="J766" t="s">
        <v>161</v>
      </c>
      <c r="K766" t="s">
        <v>119</v>
      </c>
      <c r="L766" t="s">
        <v>27</v>
      </c>
      <c r="M766">
        <v>630</v>
      </c>
      <c r="N766" t="s">
        <v>27</v>
      </c>
      <c r="O766">
        <v>630</v>
      </c>
      <c r="P766">
        <v>630</v>
      </c>
      <c r="Q766" t="s">
        <v>30</v>
      </c>
      <c r="R766" s="2">
        <v>0.7</v>
      </c>
      <c r="S766">
        <v>441</v>
      </c>
      <c r="T766" t="s">
        <v>27</v>
      </c>
      <c r="U766">
        <v>441</v>
      </c>
      <c r="V766" s="7" t="s">
        <v>24</v>
      </c>
      <c r="W766" s="7" t="s">
        <v>119</v>
      </c>
    </row>
    <row r="767" spans="1:23" x14ac:dyDescent="0.4">
      <c r="A767" t="s">
        <v>262</v>
      </c>
      <c r="B767" t="s">
        <v>1704</v>
      </c>
      <c r="C767" t="s">
        <v>1732</v>
      </c>
      <c r="D767" t="s">
        <v>21</v>
      </c>
      <c r="E767" t="s">
        <v>22</v>
      </c>
      <c r="F767" t="s">
        <v>23</v>
      </c>
      <c r="G767">
        <v>1</v>
      </c>
      <c r="H767">
        <v>9791166300141</v>
      </c>
      <c r="I767" t="s">
        <v>24</v>
      </c>
      <c r="J767" t="s">
        <v>124</v>
      </c>
      <c r="K767" t="s">
        <v>119</v>
      </c>
      <c r="L767" t="s">
        <v>27</v>
      </c>
      <c r="M767" s="3">
        <v>3200</v>
      </c>
      <c r="N767" t="s">
        <v>27</v>
      </c>
      <c r="O767" s="3">
        <v>3200</v>
      </c>
      <c r="P767" s="3">
        <v>3200</v>
      </c>
      <c r="Q767" t="s">
        <v>30</v>
      </c>
      <c r="R767" s="2">
        <v>0.7</v>
      </c>
      <c r="S767" s="3">
        <v>2240</v>
      </c>
      <c r="T767" t="s">
        <v>27</v>
      </c>
      <c r="U767" s="3">
        <v>2240</v>
      </c>
      <c r="V767" s="7" t="s">
        <v>24</v>
      </c>
      <c r="W767" s="7" t="s">
        <v>119</v>
      </c>
    </row>
    <row r="768" spans="1:23" x14ac:dyDescent="0.4">
      <c r="A768" t="s">
        <v>262</v>
      </c>
      <c r="B768" t="s">
        <v>1704</v>
      </c>
      <c r="C768" t="s">
        <v>1733</v>
      </c>
      <c r="D768" t="s">
        <v>64</v>
      </c>
      <c r="E768" t="s">
        <v>22</v>
      </c>
      <c r="F768" t="s">
        <v>23</v>
      </c>
      <c r="G768">
        <v>1</v>
      </c>
      <c r="H768">
        <v>9791166300226</v>
      </c>
      <c r="I768" t="s">
        <v>24</v>
      </c>
      <c r="J768" t="s">
        <v>131</v>
      </c>
      <c r="K768" t="s">
        <v>119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2">
        <v>0.7</v>
      </c>
      <c r="S768">
        <v>441</v>
      </c>
      <c r="T768" t="s">
        <v>27</v>
      </c>
      <c r="U768">
        <v>441</v>
      </c>
      <c r="V768" s="7" t="s">
        <v>24</v>
      </c>
      <c r="W768" s="7" t="s">
        <v>119</v>
      </c>
    </row>
    <row r="769" spans="1:23" x14ac:dyDescent="0.4">
      <c r="A769" t="s">
        <v>262</v>
      </c>
      <c r="B769" t="s">
        <v>1704</v>
      </c>
      <c r="C769" t="s">
        <v>1734</v>
      </c>
      <c r="D769" t="s">
        <v>21</v>
      </c>
      <c r="E769" t="s">
        <v>22</v>
      </c>
      <c r="F769" t="s">
        <v>23</v>
      </c>
      <c r="G769">
        <v>1</v>
      </c>
      <c r="H769">
        <v>9791166300196</v>
      </c>
      <c r="I769" t="s">
        <v>24</v>
      </c>
      <c r="J769" t="s">
        <v>128</v>
      </c>
      <c r="K769" t="s">
        <v>119</v>
      </c>
      <c r="L769" t="s">
        <v>27</v>
      </c>
      <c r="M769" s="3">
        <v>3200</v>
      </c>
      <c r="N769" t="s">
        <v>27</v>
      </c>
      <c r="O769" s="3">
        <v>3200</v>
      </c>
      <c r="P769" s="3">
        <v>3200</v>
      </c>
      <c r="Q769" t="s">
        <v>30</v>
      </c>
      <c r="R769" s="2">
        <v>0.7</v>
      </c>
      <c r="S769" s="3">
        <v>2240</v>
      </c>
      <c r="T769" t="s">
        <v>27</v>
      </c>
      <c r="U769" s="3">
        <v>2240</v>
      </c>
      <c r="V769" s="7" t="s">
        <v>24</v>
      </c>
      <c r="W769" s="7" t="s">
        <v>119</v>
      </c>
    </row>
    <row r="770" spans="1:23" x14ac:dyDescent="0.4">
      <c r="A770" t="s">
        <v>262</v>
      </c>
      <c r="B770" t="s">
        <v>1704</v>
      </c>
      <c r="C770" t="s">
        <v>1735</v>
      </c>
      <c r="D770" t="s">
        <v>64</v>
      </c>
      <c r="E770" t="s">
        <v>22</v>
      </c>
      <c r="F770" t="s">
        <v>23</v>
      </c>
      <c r="G770">
        <v>1</v>
      </c>
      <c r="H770">
        <v>9791166300233</v>
      </c>
      <c r="I770" t="s">
        <v>24</v>
      </c>
      <c r="J770" t="s">
        <v>132</v>
      </c>
      <c r="K770" t="s">
        <v>119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2">
        <v>0.7</v>
      </c>
      <c r="S770">
        <v>441</v>
      </c>
      <c r="T770" t="s">
        <v>27</v>
      </c>
      <c r="U770">
        <v>441</v>
      </c>
      <c r="V770" s="7" t="s">
        <v>24</v>
      </c>
      <c r="W770" s="7" t="s">
        <v>119</v>
      </c>
    </row>
    <row r="771" spans="1:23" x14ac:dyDescent="0.4">
      <c r="A771" t="s">
        <v>262</v>
      </c>
      <c r="B771" t="s">
        <v>1704</v>
      </c>
      <c r="C771" t="s">
        <v>1739</v>
      </c>
      <c r="D771" t="s">
        <v>64</v>
      </c>
      <c r="E771" t="s">
        <v>22</v>
      </c>
      <c r="F771" t="s">
        <v>23</v>
      </c>
      <c r="G771">
        <v>1</v>
      </c>
      <c r="H771">
        <v>9791166300141</v>
      </c>
      <c r="I771" t="s">
        <v>24</v>
      </c>
      <c r="J771" t="s">
        <v>124</v>
      </c>
      <c r="K771" t="s">
        <v>119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  <c r="V771" s="7" t="s">
        <v>24</v>
      </c>
      <c r="W771" s="7" t="s">
        <v>119</v>
      </c>
    </row>
    <row r="772" spans="1:23" x14ac:dyDescent="0.4">
      <c r="A772" t="s">
        <v>262</v>
      </c>
      <c r="B772" t="s">
        <v>1704</v>
      </c>
      <c r="C772" t="s">
        <v>1740</v>
      </c>
      <c r="D772" t="s">
        <v>21</v>
      </c>
      <c r="E772" t="s">
        <v>22</v>
      </c>
      <c r="F772" t="s">
        <v>23</v>
      </c>
      <c r="G772">
        <v>1</v>
      </c>
      <c r="H772">
        <v>9791166300479</v>
      </c>
      <c r="I772" t="s">
        <v>24</v>
      </c>
      <c r="J772" t="s">
        <v>145</v>
      </c>
      <c r="K772" t="s">
        <v>119</v>
      </c>
      <c r="L772" t="s">
        <v>27</v>
      </c>
      <c r="M772" s="3">
        <v>3200</v>
      </c>
      <c r="N772" t="s">
        <v>27</v>
      </c>
      <c r="O772" s="3">
        <v>3200</v>
      </c>
      <c r="P772" s="3">
        <v>3200</v>
      </c>
      <c r="Q772" t="s">
        <v>30</v>
      </c>
      <c r="R772" s="2">
        <v>0.7</v>
      </c>
      <c r="S772" s="3">
        <v>2240</v>
      </c>
      <c r="T772" t="s">
        <v>27</v>
      </c>
      <c r="U772" s="3">
        <v>2240</v>
      </c>
      <c r="V772" s="7" t="s">
        <v>24</v>
      </c>
      <c r="W772" s="7" t="s">
        <v>119</v>
      </c>
    </row>
    <row r="773" spans="1:23" x14ac:dyDescent="0.4">
      <c r="A773" t="s">
        <v>262</v>
      </c>
      <c r="B773" t="s">
        <v>1704</v>
      </c>
      <c r="C773" t="s">
        <v>1743</v>
      </c>
      <c r="D773" t="s">
        <v>64</v>
      </c>
      <c r="E773" t="s">
        <v>22</v>
      </c>
      <c r="F773" t="s">
        <v>23</v>
      </c>
      <c r="G773">
        <v>1</v>
      </c>
      <c r="H773">
        <v>9791166300615</v>
      </c>
      <c r="I773" t="s">
        <v>24</v>
      </c>
      <c r="J773" t="s">
        <v>163</v>
      </c>
      <c r="K773" t="s">
        <v>119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  <c r="V773" s="7" t="s">
        <v>24</v>
      </c>
      <c r="W773" s="7" t="s">
        <v>119</v>
      </c>
    </row>
    <row r="774" spans="1:23" x14ac:dyDescent="0.4">
      <c r="A774" t="s">
        <v>262</v>
      </c>
      <c r="B774" t="s">
        <v>1704</v>
      </c>
      <c r="C774" t="s">
        <v>1750</v>
      </c>
      <c r="D774" t="s">
        <v>64</v>
      </c>
      <c r="E774" t="s">
        <v>22</v>
      </c>
      <c r="F774" t="s">
        <v>23</v>
      </c>
      <c r="G774">
        <v>1</v>
      </c>
      <c r="H774">
        <v>9791166300479</v>
      </c>
      <c r="I774" t="s">
        <v>24</v>
      </c>
      <c r="J774" t="s">
        <v>145</v>
      </c>
      <c r="K774" t="s">
        <v>119</v>
      </c>
      <c r="L774" t="s">
        <v>27</v>
      </c>
      <c r="M774">
        <v>630</v>
      </c>
      <c r="N774" t="s">
        <v>27</v>
      </c>
      <c r="O774">
        <v>630</v>
      </c>
      <c r="P774">
        <v>630</v>
      </c>
      <c r="Q774" t="s">
        <v>30</v>
      </c>
      <c r="R774" s="2">
        <v>0.7</v>
      </c>
      <c r="S774">
        <v>441</v>
      </c>
      <c r="T774" t="s">
        <v>27</v>
      </c>
      <c r="U774">
        <v>441</v>
      </c>
      <c r="V774" s="7" t="s">
        <v>24</v>
      </c>
      <c r="W774" s="7" t="s">
        <v>119</v>
      </c>
    </row>
    <row r="775" spans="1:23" x14ac:dyDescent="0.4">
      <c r="A775" t="s">
        <v>262</v>
      </c>
      <c r="B775" t="s">
        <v>1704</v>
      </c>
      <c r="C775" t="s">
        <v>1754</v>
      </c>
      <c r="D775" t="s">
        <v>21</v>
      </c>
      <c r="E775" t="s">
        <v>22</v>
      </c>
      <c r="F775" t="s">
        <v>23</v>
      </c>
      <c r="G775">
        <v>1</v>
      </c>
      <c r="H775">
        <v>9791166300493</v>
      </c>
      <c r="I775" t="s">
        <v>24</v>
      </c>
      <c r="J775" t="s">
        <v>147</v>
      </c>
      <c r="K775" t="s">
        <v>119</v>
      </c>
      <c r="L775" t="s">
        <v>27</v>
      </c>
      <c r="M775" s="3">
        <v>3200</v>
      </c>
      <c r="N775" t="s">
        <v>27</v>
      </c>
      <c r="O775" s="3">
        <v>3200</v>
      </c>
      <c r="P775" s="3">
        <v>3200</v>
      </c>
      <c r="Q775" t="s">
        <v>30</v>
      </c>
      <c r="R775" s="2">
        <v>0.7</v>
      </c>
      <c r="S775" s="3">
        <v>2240</v>
      </c>
      <c r="T775" t="s">
        <v>27</v>
      </c>
      <c r="U775" s="3">
        <v>2240</v>
      </c>
      <c r="V775" s="7" t="s">
        <v>24</v>
      </c>
      <c r="W775" s="7" t="s">
        <v>119</v>
      </c>
    </row>
    <row r="776" spans="1:23" x14ac:dyDescent="0.4">
      <c r="A776" t="s">
        <v>262</v>
      </c>
      <c r="B776" t="s">
        <v>1704</v>
      </c>
      <c r="C776" t="s">
        <v>1756</v>
      </c>
      <c r="D776" t="s">
        <v>21</v>
      </c>
      <c r="E776" t="s">
        <v>22</v>
      </c>
      <c r="F776" t="s">
        <v>23</v>
      </c>
      <c r="G776">
        <v>1</v>
      </c>
      <c r="H776">
        <v>9791166300509</v>
      </c>
      <c r="I776" t="s">
        <v>24</v>
      </c>
      <c r="J776" t="s">
        <v>148</v>
      </c>
      <c r="K776" t="s">
        <v>119</v>
      </c>
      <c r="L776" t="s">
        <v>27</v>
      </c>
      <c r="M776" s="3">
        <v>3200</v>
      </c>
      <c r="N776" t="s">
        <v>27</v>
      </c>
      <c r="O776" s="3">
        <v>3200</v>
      </c>
      <c r="P776" s="3">
        <v>3200</v>
      </c>
      <c r="Q776" t="s">
        <v>30</v>
      </c>
      <c r="R776" s="2">
        <v>0.7</v>
      </c>
      <c r="S776" s="3">
        <v>2240</v>
      </c>
      <c r="T776" t="s">
        <v>27</v>
      </c>
      <c r="U776" s="3">
        <v>2240</v>
      </c>
      <c r="V776" s="7" t="s">
        <v>24</v>
      </c>
      <c r="W776" s="7" t="s">
        <v>119</v>
      </c>
    </row>
    <row r="777" spans="1:23" x14ac:dyDescent="0.4">
      <c r="A777" t="s">
        <v>262</v>
      </c>
      <c r="B777" t="s">
        <v>1704</v>
      </c>
      <c r="C777" t="s">
        <v>1757</v>
      </c>
      <c r="D777" t="s">
        <v>21</v>
      </c>
      <c r="E777" t="s">
        <v>22</v>
      </c>
      <c r="F777" t="s">
        <v>23</v>
      </c>
      <c r="G777">
        <v>1</v>
      </c>
      <c r="H777">
        <v>9791166300486</v>
      </c>
      <c r="I777" t="s">
        <v>24</v>
      </c>
      <c r="J777" t="s">
        <v>146</v>
      </c>
      <c r="K777" t="s">
        <v>119</v>
      </c>
      <c r="L777" t="s">
        <v>27</v>
      </c>
      <c r="M777" s="3">
        <v>3200</v>
      </c>
      <c r="N777" t="s">
        <v>27</v>
      </c>
      <c r="O777" s="3">
        <v>3200</v>
      </c>
      <c r="P777" s="3">
        <v>3200</v>
      </c>
      <c r="Q777" t="s">
        <v>30</v>
      </c>
      <c r="R777" s="2">
        <v>0.7</v>
      </c>
      <c r="S777" s="3">
        <v>2240</v>
      </c>
      <c r="T777" t="s">
        <v>27</v>
      </c>
      <c r="U777" s="3">
        <v>2240</v>
      </c>
      <c r="V777" s="7" t="s">
        <v>24</v>
      </c>
      <c r="W777" s="7" t="s">
        <v>119</v>
      </c>
    </row>
    <row r="778" spans="1:23" x14ac:dyDescent="0.4">
      <c r="A778" t="s">
        <v>262</v>
      </c>
      <c r="B778" t="s">
        <v>1704</v>
      </c>
      <c r="C778" t="s">
        <v>1760</v>
      </c>
      <c r="D778" t="s">
        <v>64</v>
      </c>
      <c r="E778" t="s">
        <v>22</v>
      </c>
      <c r="F778" t="s">
        <v>23</v>
      </c>
      <c r="G778">
        <v>1</v>
      </c>
      <c r="H778">
        <v>9791166300516</v>
      </c>
      <c r="I778" t="s">
        <v>24</v>
      </c>
      <c r="J778" t="s">
        <v>149</v>
      </c>
      <c r="K778" t="s">
        <v>119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  <c r="V778" s="7" t="s">
        <v>24</v>
      </c>
      <c r="W778" s="7" t="s">
        <v>119</v>
      </c>
    </row>
    <row r="779" spans="1:23" x14ac:dyDescent="0.4">
      <c r="A779" t="s">
        <v>262</v>
      </c>
      <c r="B779" t="s">
        <v>1704</v>
      </c>
      <c r="C779" t="s">
        <v>1764</v>
      </c>
      <c r="D779" t="s">
        <v>64</v>
      </c>
      <c r="E779" t="s">
        <v>22</v>
      </c>
      <c r="F779" t="s">
        <v>23</v>
      </c>
      <c r="G779">
        <v>1</v>
      </c>
      <c r="H779">
        <v>9791166300158</v>
      </c>
      <c r="I779" t="s">
        <v>24</v>
      </c>
      <c r="J779" t="s">
        <v>125</v>
      </c>
      <c r="K779" t="s">
        <v>119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  <c r="V779" s="7" t="s">
        <v>24</v>
      </c>
      <c r="W779" s="7" t="s">
        <v>119</v>
      </c>
    </row>
    <row r="780" spans="1:23" x14ac:dyDescent="0.4">
      <c r="A780" t="s">
        <v>262</v>
      </c>
      <c r="B780" t="s">
        <v>1704</v>
      </c>
      <c r="C780" t="s">
        <v>1765</v>
      </c>
      <c r="D780" t="s">
        <v>64</v>
      </c>
      <c r="E780" t="s">
        <v>22</v>
      </c>
      <c r="F780" t="s">
        <v>23</v>
      </c>
      <c r="G780">
        <v>1</v>
      </c>
      <c r="H780">
        <v>9791166300103</v>
      </c>
      <c r="I780" t="s">
        <v>24</v>
      </c>
      <c r="J780" t="s">
        <v>120</v>
      </c>
      <c r="K780" t="s">
        <v>119</v>
      </c>
      <c r="L780" t="s">
        <v>27</v>
      </c>
      <c r="M780">
        <v>630</v>
      </c>
      <c r="N780" t="s">
        <v>27</v>
      </c>
      <c r="O780">
        <v>630</v>
      </c>
      <c r="P780">
        <v>630</v>
      </c>
      <c r="Q780" t="s">
        <v>30</v>
      </c>
      <c r="R780" s="2">
        <v>0.7</v>
      </c>
      <c r="S780">
        <v>441</v>
      </c>
      <c r="T780" t="s">
        <v>27</v>
      </c>
      <c r="U780">
        <v>441</v>
      </c>
      <c r="V780" s="7" t="s">
        <v>24</v>
      </c>
      <c r="W780" s="7" t="s">
        <v>119</v>
      </c>
    </row>
    <row r="781" spans="1:23" x14ac:dyDescent="0.4">
      <c r="A781" t="s">
        <v>262</v>
      </c>
      <c r="B781" t="s">
        <v>1766</v>
      </c>
      <c r="C781" t="s">
        <v>1774</v>
      </c>
      <c r="D781" t="s">
        <v>64</v>
      </c>
      <c r="E781" t="s">
        <v>22</v>
      </c>
      <c r="F781" t="s">
        <v>23</v>
      </c>
      <c r="G781">
        <v>1</v>
      </c>
      <c r="H781">
        <v>9791166300554</v>
      </c>
      <c r="I781" t="s">
        <v>24</v>
      </c>
      <c r="J781" t="s">
        <v>154</v>
      </c>
      <c r="K781" t="s">
        <v>119</v>
      </c>
      <c r="L781" t="s">
        <v>27</v>
      </c>
      <c r="M781">
        <v>630</v>
      </c>
      <c r="N781" t="s">
        <v>27</v>
      </c>
      <c r="O781">
        <v>630</v>
      </c>
      <c r="P781">
        <v>630</v>
      </c>
      <c r="Q781" t="s">
        <v>30</v>
      </c>
      <c r="R781" s="2">
        <v>0.7</v>
      </c>
      <c r="S781">
        <v>441</v>
      </c>
      <c r="T781" t="s">
        <v>27</v>
      </c>
      <c r="U781">
        <v>441</v>
      </c>
      <c r="V781" s="7" t="s">
        <v>24</v>
      </c>
      <c r="W781" s="7" t="s">
        <v>119</v>
      </c>
    </row>
    <row r="782" spans="1:23" x14ac:dyDescent="0.4">
      <c r="A782" t="s">
        <v>262</v>
      </c>
      <c r="B782" t="s">
        <v>1766</v>
      </c>
      <c r="C782" t="s">
        <v>1775</v>
      </c>
      <c r="D782" t="s">
        <v>64</v>
      </c>
      <c r="E782" t="s">
        <v>22</v>
      </c>
      <c r="F782" t="s">
        <v>23</v>
      </c>
      <c r="G782">
        <v>1</v>
      </c>
      <c r="H782">
        <v>9791166300233</v>
      </c>
      <c r="I782" t="s">
        <v>24</v>
      </c>
      <c r="J782" t="s">
        <v>132</v>
      </c>
      <c r="K782" t="s">
        <v>119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2">
        <v>0.7</v>
      </c>
      <c r="S782">
        <v>441</v>
      </c>
      <c r="T782" t="s">
        <v>27</v>
      </c>
      <c r="U782">
        <v>441</v>
      </c>
      <c r="V782" s="7" t="s">
        <v>24</v>
      </c>
      <c r="W782" s="7" t="s">
        <v>119</v>
      </c>
    </row>
    <row r="783" spans="1:23" x14ac:dyDescent="0.4">
      <c r="A783" t="s">
        <v>262</v>
      </c>
      <c r="B783" t="s">
        <v>1766</v>
      </c>
      <c r="C783" t="s">
        <v>1778</v>
      </c>
      <c r="D783" t="s">
        <v>64</v>
      </c>
      <c r="E783" t="s">
        <v>22</v>
      </c>
      <c r="F783" t="s">
        <v>23</v>
      </c>
      <c r="G783">
        <v>1</v>
      </c>
      <c r="H783">
        <v>9791166300110</v>
      </c>
      <c r="I783" t="s">
        <v>24</v>
      </c>
      <c r="J783" t="s">
        <v>121</v>
      </c>
      <c r="K783" t="s">
        <v>119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  <c r="V783" s="7" t="s">
        <v>24</v>
      </c>
      <c r="W783" s="7" t="s">
        <v>119</v>
      </c>
    </row>
    <row r="784" spans="1:23" x14ac:dyDescent="0.4">
      <c r="A784" t="s">
        <v>262</v>
      </c>
      <c r="B784" t="s">
        <v>1766</v>
      </c>
      <c r="C784" t="s">
        <v>1779</v>
      </c>
      <c r="D784" t="s">
        <v>64</v>
      </c>
      <c r="E784" t="s">
        <v>22</v>
      </c>
      <c r="F784" t="s">
        <v>23</v>
      </c>
      <c r="G784">
        <v>1</v>
      </c>
      <c r="H784">
        <v>9791166300240</v>
      </c>
      <c r="I784" t="s">
        <v>24</v>
      </c>
      <c r="J784" t="s">
        <v>133</v>
      </c>
      <c r="K784" t="s">
        <v>119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  <c r="V784" s="7" t="s">
        <v>24</v>
      </c>
      <c r="W784" s="7" t="s">
        <v>119</v>
      </c>
    </row>
    <row r="785" spans="1:23" x14ac:dyDescent="0.4">
      <c r="A785" t="s">
        <v>262</v>
      </c>
      <c r="B785" t="s">
        <v>1766</v>
      </c>
      <c r="C785" t="s">
        <v>1780</v>
      </c>
      <c r="D785" t="s">
        <v>64</v>
      </c>
      <c r="E785" t="s">
        <v>22</v>
      </c>
      <c r="F785" t="s">
        <v>23</v>
      </c>
      <c r="G785">
        <v>1</v>
      </c>
      <c r="H785">
        <v>9791166300127</v>
      </c>
      <c r="I785" t="s">
        <v>24</v>
      </c>
      <c r="J785" t="s">
        <v>122</v>
      </c>
      <c r="K785" t="s">
        <v>119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  <c r="V785" s="7" t="s">
        <v>24</v>
      </c>
      <c r="W785" s="7" t="s">
        <v>119</v>
      </c>
    </row>
    <row r="786" spans="1:23" x14ac:dyDescent="0.4">
      <c r="A786" t="s">
        <v>262</v>
      </c>
      <c r="B786" t="s">
        <v>1766</v>
      </c>
      <c r="C786" t="s">
        <v>1781</v>
      </c>
      <c r="D786" t="s">
        <v>64</v>
      </c>
      <c r="E786" t="s">
        <v>22</v>
      </c>
      <c r="F786" t="s">
        <v>23</v>
      </c>
      <c r="G786">
        <v>1</v>
      </c>
      <c r="H786">
        <v>9791166300578</v>
      </c>
      <c r="I786" t="s">
        <v>24</v>
      </c>
      <c r="J786" t="s">
        <v>159</v>
      </c>
      <c r="K786" t="s">
        <v>119</v>
      </c>
      <c r="L786" t="s">
        <v>27</v>
      </c>
      <c r="M786">
        <v>630</v>
      </c>
      <c r="N786" t="s">
        <v>27</v>
      </c>
      <c r="O786">
        <v>630</v>
      </c>
      <c r="P786">
        <v>630</v>
      </c>
      <c r="Q786" t="s">
        <v>30</v>
      </c>
      <c r="R786" s="2">
        <v>0.7</v>
      </c>
      <c r="S786">
        <v>441</v>
      </c>
      <c r="T786" t="s">
        <v>27</v>
      </c>
      <c r="U786">
        <v>441</v>
      </c>
      <c r="V786" s="7" t="s">
        <v>24</v>
      </c>
      <c r="W786" s="7" t="s">
        <v>119</v>
      </c>
    </row>
    <row r="787" spans="1:23" x14ac:dyDescent="0.4">
      <c r="A787" t="s">
        <v>262</v>
      </c>
      <c r="B787" t="s">
        <v>1766</v>
      </c>
      <c r="C787" t="s">
        <v>1782</v>
      </c>
      <c r="D787" t="s">
        <v>21</v>
      </c>
      <c r="E787" t="s">
        <v>22</v>
      </c>
      <c r="F787" t="s">
        <v>23</v>
      </c>
      <c r="G787">
        <v>1</v>
      </c>
      <c r="H787">
        <v>9791166300493</v>
      </c>
      <c r="I787" t="s">
        <v>24</v>
      </c>
      <c r="J787" t="s">
        <v>147</v>
      </c>
      <c r="K787" t="s">
        <v>119</v>
      </c>
      <c r="L787" t="s">
        <v>27</v>
      </c>
      <c r="M787" s="3">
        <v>3200</v>
      </c>
      <c r="N787" t="s">
        <v>27</v>
      </c>
      <c r="O787" s="3">
        <v>3200</v>
      </c>
      <c r="P787" s="3">
        <v>3200</v>
      </c>
      <c r="Q787" t="s">
        <v>30</v>
      </c>
      <c r="R787" s="2">
        <v>0.7</v>
      </c>
      <c r="S787" s="3">
        <v>2240</v>
      </c>
      <c r="T787" t="s">
        <v>27</v>
      </c>
      <c r="U787" s="3">
        <v>2240</v>
      </c>
      <c r="V787" s="7" t="s">
        <v>24</v>
      </c>
      <c r="W787" s="7" t="s">
        <v>119</v>
      </c>
    </row>
    <row r="788" spans="1:23" x14ac:dyDescent="0.4">
      <c r="A788" t="s">
        <v>262</v>
      </c>
      <c r="B788" t="s">
        <v>1766</v>
      </c>
      <c r="C788" t="s">
        <v>1784</v>
      </c>
      <c r="D788" t="s">
        <v>21</v>
      </c>
      <c r="E788" t="s">
        <v>22</v>
      </c>
      <c r="F788" t="s">
        <v>23</v>
      </c>
      <c r="G788">
        <v>1</v>
      </c>
      <c r="H788">
        <v>9791166300486</v>
      </c>
      <c r="I788" t="s">
        <v>24</v>
      </c>
      <c r="J788" t="s">
        <v>146</v>
      </c>
      <c r="K788" t="s">
        <v>119</v>
      </c>
      <c r="L788" t="s">
        <v>27</v>
      </c>
      <c r="M788" s="3">
        <v>3200</v>
      </c>
      <c r="N788" t="s">
        <v>27</v>
      </c>
      <c r="O788" s="3">
        <v>3200</v>
      </c>
      <c r="P788" s="3">
        <v>3200</v>
      </c>
      <c r="Q788" t="s">
        <v>30</v>
      </c>
      <c r="R788" s="2">
        <v>0.7</v>
      </c>
      <c r="S788" s="3">
        <v>2240</v>
      </c>
      <c r="T788" t="s">
        <v>27</v>
      </c>
      <c r="U788" s="3">
        <v>2240</v>
      </c>
      <c r="V788" s="7" t="s">
        <v>24</v>
      </c>
      <c r="W788" s="7" t="s">
        <v>119</v>
      </c>
    </row>
    <row r="789" spans="1:23" x14ac:dyDescent="0.4">
      <c r="A789" t="s">
        <v>262</v>
      </c>
      <c r="B789" t="s">
        <v>1766</v>
      </c>
      <c r="C789" t="s">
        <v>1786</v>
      </c>
      <c r="D789" t="s">
        <v>21</v>
      </c>
      <c r="E789" t="s">
        <v>22</v>
      </c>
      <c r="F789" t="s">
        <v>23</v>
      </c>
      <c r="G789">
        <v>1</v>
      </c>
      <c r="H789">
        <v>9791166300202</v>
      </c>
      <c r="I789" t="s">
        <v>24</v>
      </c>
      <c r="J789" t="s">
        <v>129</v>
      </c>
      <c r="K789" t="s">
        <v>119</v>
      </c>
      <c r="L789" t="s">
        <v>27</v>
      </c>
      <c r="M789" s="3">
        <v>3200</v>
      </c>
      <c r="N789" t="s">
        <v>27</v>
      </c>
      <c r="O789" s="3">
        <v>3200</v>
      </c>
      <c r="P789" s="3">
        <v>3200</v>
      </c>
      <c r="Q789" t="s">
        <v>30</v>
      </c>
      <c r="R789" s="2">
        <v>0.7</v>
      </c>
      <c r="S789" s="3">
        <v>2240</v>
      </c>
      <c r="T789" t="s">
        <v>27</v>
      </c>
      <c r="U789" s="3">
        <v>2240</v>
      </c>
      <c r="V789" s="7" t="s">
        <v>24</v>
      </c>
      <c r="W789" s="7" t="s">
        <v>119</v>
      </c>
    </row>
    <row r="790" spans="1:23" x14ac:dyDescent="0.4">
      <c r="A790" t="s">
        <v>262</v>
      </c>
      <c r="B790" t="s">
        <v>1766</v>
      </c>
      <c r="C790" t="s">
        <v>1788</v>
      </c>
      <c r="D790" t="s">
        <v>21</v>
      </c>
      <c r="E790" t="s">
        <v>22</v>
      </c>
      <c r="F790" t="s">
        <v>23</v>
      </c>
      <c r="G790">
        <v>1</v>
      </c>
      <c r="H790">
        <v>9791166300516</v>
      </c>
      <c r="I790" t="s">
        <v>24</v>
      </c>
      <c r="J790" t="s">
        <v>149</v>
      </c>
      <c r="K790" t="s">
        <v>119</v>
      </c>
      <c r="L790" t="s">
        <v>27</v>
      </c>
      <c r="M790" s="3">
        <v>3200</v>
      </c>
      <c r="N790" t="s">
        <v>27</v>
      </c>
      <c r="O790" s="3">
        <v>3200</v>
      </c>
      <c r="P790" s="3">
        <v>3200</v>
      </c>
      <c r="Q790" t="s">
        <v>30</v>
      </c>
      <c r="R790" s="2">
        <v>0.7</v>
      </c>
      <c r="S790" s="3">
        <v>2240</v>
      </c>
      <c r="T790" t="s">
        <v>27</v>
      </c>
      <c r="U790" s="3">
        <v>2240</v>
      </c>
      <c r="V790" s="7" t="s">
        <v>24</v>
      </c>
      <c r="W790" s="7" t="s">
        <v>119</v>
      </c>
    </row>
    <row r="791" spans="1:23" x14ac:dyDescent="0.4">
      <c r="A791" t="s">
        <v>262</v>
      </c>
      <c r="B791" t="s">
        <v>1766</v>
      </c>
      <c r="C791" t="s">
        <v>1788</v>
      </c>
      <c r="D791" t="s">
        <v>21</v>
      </c>
      <c r="E791" t="s">
        <v>22</v>
      </c>
      <c r="F791" t="s">
        <v>23</v>
      </c>
      <c r="G791">
        <v>1</v>
      </c>
      <c r="H791">
        <v>9791166300523</v>
      </c>
      <c r="I791" t="s">
        <v>24</v>
      </c>
      <c r="J791" t="s">
        <v>150</v>
      </c>
      <c r="K791" t="s">
        <v>119</v>
      </c>
      <c r="L791" t="s">
        <v>27</v>
      </c>
      <c r="M791" s="3">
        <v>3200</v>
      </c>
      <c r="N791" t="s">
        <v>27</v>
      </c>
      <c r="O791" s="3">
        <v>3200</v>
      </c>
      <c r="P791" s="3">
        <v>3200</v>
      </c>
      <c r="Q791" t="s">
        <v>30</v>
      </c>
      <c r="R791" s="2">
        <v>0.7</v>
      </c>
      <c r="S791" s="3">
        <v>2240</v>
      </c>
      <c r="T791" t="s">
        <v>27</v>
      </c>
      <c r="U791" s="3">
        <v>2240</v>
      </c>
      <c r="V791" s="7" t="s">
        <v>24</v>
      </c>
      <c r="W791" s="7" t="s">
        <v>119</v>
      </c>
    </row>
    <row r="792" spans="1:23" x14ac:dyDescent="0.4">
      <c r="A792" t="s">
        <v>262</v>
      </c>
      <c r="B792" t="s">
        <v>1766</v>
      </c>
      <c r="C792" t="s">
        <v>1788</v>
      </c>
      <c r="D792" t="s">
        <v>21</v>
      </c>
      <c r="E792" t="s">
        <v>22</v>
      </c>
      <c r="F792" t="s">
        <v>23</v>
      </c>
      <c r="G792">
        <v>1</v>
      </c>
      <c r="H792">
        <v>9791166300615</v>
      </c>
      <c r="I792" t="s">
        <v>24</v>
      </c>
      <c r="J792" t="s">
        <v>163</v>
      </c>
      <c r="K792" t="s">
        <v>119</v>
      </c>
      <c r="L792" t="s">
        <v>27</v>
      </c>
      <c r="M792" s="3">
        <v>3200</v>
      </c>
      <c r="N792" t="s">
        <v>27</v>
      </c>
      <c r="O792" s="3">
        <v>3200</v>
      </c>
      <c r="P792" s="3">
        <v>3200</v>
      </c>
      <c r="Q792" t="s">
        <v>30</v>
      </c>
      <c r="R792" s="2">
        <v>0.7</v>
      </c>
      <c r="S792" s="3">
        <v>2240</v>
      </c>
      <c r="T792" t="s">
        <v>27</v>
      </c>
      <c r="U792" s="3">
        <v>2240</v>
      </c>
      <c r="V792" s="7" t="s">
        <v>24</v>
      </c>
      <c r="W792" s="7" t="s">
        <v>119</v>
      </c>
    </row>
    <row r="793" spans="1:23" x14ac:dyDescent="0.4">
      <c r="A793" t="s">
        <v>262</v>
      </c>
      <c r="B793" t="s">
        <v>1766</v>
      </c>
      <c r="C793" t="s">
        <v>1788</v>
      </c>
      <c r="D793" t="s">
        <v>21</v>
      </c>
      <c r="E793" t="s">
        <v>22</v>
      </c>
      <c r="F793" t="s">
        <v>23</v>
      </c>
      <c r="G793">
        <v>1</v>
      </c>
      <c r="H793">
        <v>9791166300622</v>
      </c>
      <c r="I793" t="s">
        <v>24</v>
      </c>
      <c r="J793" t="s">
        <v>164</v>
      </c>
      <c r="K793" t="s">
        <v>119</v>
      </c>
      <c r="L793" t="s">
        <v>27</v>
      </c>
      <c r="M793" s="3">
        <v>3200</v>
      </c>
      <c r="N793" t="s">
        <v>27</v>
      </c>
      <c r="O793" s="3">
        <v>3200</v>
      </c>
      <c r="P793" s="3">
        <v>3200</v>
      </c>
      <c r="Q793" t="s">
        <v>30</v>
      </c>
      <c r="R793" s="2">
        <v>0.7</v>
      </c>
      <c r="S793" s="3">
        <v>2240</v>
      </c>
      <c r="T793" t="s">
        <v>27</v>
      </c>
      <c r="U793" s="3">
        <v>2240</v>
      </c>
      <c r="V793" s="7" t="s">
        <v>24</v>
      </c>
      <c r="W793" s="7" t="s">
        <v>119</v>
      </c>
    </row>
    <row r="794" spans="1:23" x14ac:dyDescent="0.4">
      <c r="A794" t="s">
        <v>262</v>
      </c>
      <c r="B794" t="s">
        <v>1766</v>
      </c>
      <c r="C794" t="s">
        <v>1788</v>
      </c>
      <c r="D794" t="s">
        <v>21</v>
      </c>
      <c r="E794" t="s">
        <v>22</v>
      </c>
      <c r="F794" t="s">
        <v>23</v>
      </c>
      <c r="G794">
        <v>1</v>
      </c>
      <c r="H794">
        <v>9791166300639</v>
      </c>
      <c r="I794" t="s">
        <v>24</v>
      </c>
      <c r="J794" t="s">
        <v>165</v>
      </c>
      <c r="K794" t="s">
        <v>119</v>
      </c>
      <c r="L794" t="s">
        <v>27</v>
      </c>
      <c r="M794" s="3">
        <v>3200</v>
      </c>
      <c r="N794" t="s">
        <v>27</v>
      </c>
      <c r="O794" s="3">
        <v>3200</v>
      </c>
      <c r="P794" s="3">
        <v>3200</v>
      </c>
      <c r="Q794" t="s">
        <v>30</v>
      </c>
      <c r="R794" s="2">
        <v>0.7</v>
      </c>
      <c r="S794" s="3">
        <v>2240</v>
      </c>
      <c r="T794" t="s">
        <v>27</v>
      </c>
      <c r="U794" s="3">
        <v>2240</v>
      </c>
      <c r="V794" s="7" t="s">
        <v>24</v>
      </c>
      <c r="W794" s="7" t="s">
        <v>119</v>
      </c>
    </row>
    <row r="795" spans="1:23" x14ac:dyDescent="0.4">
      <c r="A795" t="s">
        <v>262</v>
      </c>
      <c r="B795" t="s">
        <v>1766</v>
      </c>
      <c r="C795" t="s">
        <v>1788</v>
      </c>
      <c r="D795" t="s">
        <v>21</v>
      </c>
      <c r="E795" t="s">
        <v>22</v>
      </c>
      <c r="F795" t="s">
        <v>23</v>
      </c>
      <c r="G795">
        <v>1</v>
      </c>
      <c r="H795">
        <v>9791166300646</v>
      </c>
      <c r="I795" t="s">
        <v>24</v>
      </c>
      <c r="J795" t="s">
        <v>155</v>
      </c>
      <c r="K795" t="s">
        <v>119</v>
      </c>
      <c r="L795" t="s">
        <v>27</v>
      </c>
      <c r="M795" s="3">
        <v>3200</v>
      </c>
      <c r="N795" t="s">
        <v>27</v>
      </c>
      <c r="O795" s="3">
        <v>3200</v>
      </c>
      <c r="P795" s="3">
        <v>3200</v>
      </c>
      <c r="Q795" t="s">
        <v>30</v>
      </c>
      <c r="R795" s="2">
        <v>0.7</v>
      </c>
      <c r="S795" s="3">
        <v>2240</v>
      </c>
      <c r="T795" t="s">
        <v>27</v>
      </c>
      <c r="U795" s="3">
        <v>2240</v>
      </c>
      <c r="V795" s="7" t="s">
        <v>24</v>
      </c>
      <c r="W795" s="7" t="s">
        <v>119</v>
      </c>
    </row>
    <row r="796" spans="1:23" x14ac:dyDescent="0.4">
      <c r="A796" t="s">
        <v>262</v>
      </c>
      <c r="B796" t="s">
        <v>1766</v>
      </c>
      <c r="C796" t="s">
        <v>1788</v>
      </c>
      <c r="D796" t="s">
        <v>21</v>
      </c>
      <c r="E796" t="s">
        <v>22</v>
      </c>
      <c r="F796" t="s">
        <v>23</v>
      </c>
      <c r="G796">
        <v>1</v>
      </c>
      <c r="H796">
        <v>9791166300660</v>
      </c>
      <c r="I796" t="s">
        <v>24</v>
      </c>
      <c r="J796" t="s">
        <v>156</v>
      </c>
      <c r="K796" t="s">
        <v>119</v>
      </c>
      <c r="L796" t="s">
        <v>27</v>
      </c>
      <c r="M796" s="3">
        <v>3200</v>
      </c>
      <c r="N796" t="s">
        <v>27</v>
      </c>
      <c r="O796" s="3">
        <v>3200</v>
      </c>
      <c r="P796" s="3">
        <v>3200</v>
      </c>
      <c r="Q796" t="s">
        <v>30</v>
      </c>
      <c r="R796" s="2">
        <v>0.7</v>
      </c>
      <c r="S796" s="3">
        <v>2240</v>
      </c>
      <c r="T796" t="s">
        <v>27</v>
      </c>
      <c r="U796" s="3">
        <v>2240</v>
      </c>
      <c r="V796" s="7" t="s">
        <v>24</v>
      </c>
      <c r="W796" s="7" t="s">
        <v>119</v>
      </c>
    </row>
    <row r="797" spans="1:23" x14ac:dyDescent="0.4">
      <c r="A797" t="s">
        <v>262</v>
      </c>
      <c r="B797" t="s">
        <v>1766</v>
      </c>
      <c r="C797" t="s">
        <v>1788</v>
      </c>
      <c r="D797" t="s">
        <v>21</v>
      </c>
      <c r="E797" t="s">
        <v>22</v>
      </c>
      <c r="F797" t="s">
        <v>23</v>
      </c>
      <c r="G797">
        <v>1</v>
      </c>
      <c r="H797">
        <v>9791166300653</v>
      </c>
      <c r="I797" t="s">
        <v>24</v>
      </c>
      <c r="J797" t="s">
        <v>157</v>
      </c>
      <c r="K797" t="s">
        <v>119</v>
      </c>
      <c r="L797" t="s">
        <v>27</v>
      </c>
      <c r="M797" s="3">
        <v>3200</v>
      </c>
      <c r="N797" t="s">
        <v>27</v>
      </c>
      <c r="O797" s="3">
        <v>3200</v>
      </c>
      <c r="P797" s="3">
        <v>3200</v>
      </c>
      <c r="Q797" t="s">
        <v>30</v>
      </c>
      <c r="R797" s="2">
        <v>0.7</v>
      </c>
      <c r="S797" s="3">
        <v>2240</v>
      </c>
      <c r="T797" t="s">
        <v>27</v>
      </c>
      <c r="U797" s="3">
        <v>2240</v>
      </c>
      <c r="V797" s="7" t="s">
        <v>24</v>
      </c>
      <c r="W797" s="7" t="s">
        <v>119</v>
      </c>
    </row>
    <row r="798" spans="1:23" x14ac:dyDescent="0.4">
      <c r="A798" t="s">
        <v>262</v>
      </c>
      <c r="B798" t="s">
        <v>1766</v>
      </c>
      <c r="C798" t="s">
        <v>1788</v>
      </c>
      <c r="D798" t="s">
        <v>21</v>
      </c>
      <c r="E798" t="s">
        <v>22</v>
      </c>
      <c r="F798" t="s">
        <v>23</v>
      </c>
      <c r="G798">
        <v>1</v>
      </c>
      <c r="H798">
        <v>9791166300691</v>
      </c>
      <c r="I798" t="s">
        <v>24</v>
      </c>
      <c r="J798" t="s">
        <v>152</v>
      </c>
      <c r="K798" t="s">
        <v>119</v>
      </c>
      <c r="L798" t="s">
        <v>27</v>
      </c>
      <c r="M798" s="3">
        <v>3200</v>
      </c>
      <c r="N798" t="s">
        <v>27</v>
      </c>
      <c r="O798" s="3">
        <v>3200</v>
      </c>
      <c r="P798" s="3">
        <v>3200</v>
      </c>
      <c r="Q798" t="s">
        <v>30</v>
      </c>
      <c r="R798" s="2">
        <v>0.7</v>
      </c>
      <c r="S798" s="3">
        <v>2240</v>
      </c>
      <c r="T798" t="s">
        <v>27</v>
      </c>
      <c r="U798" s="3">
        <v>2240</v>
      </c>
      <c r="V798" s="7" t="s">
        <v>24</v>
      </c>
      <c r="W798" s="7" t="s">
        <v>119</v>
      </c>
    </row>
    <row r="799" spans="1:23" x14ac:dyDescent="0.4">
      <c r="A799" t="s">
        <v>262</v>
      </c>
      <c r="B799" t="s">
        <v>1766</v>
      </c>
      <c r="C799" t="s">
        <v>1788</v>
      </c>
      <c r="D799" t="s">
        <v>21</v>
      </c>
      <c r="E799" t="s">
        <v>22</v>
      </c>
      <c r="F799" t="s">
        <v>23</v>
      </c>
      <c r="G799">
        <v>1</v>
      </c>
      <c r="H799">
        <v>9791166300530</v>
      </c>
      <c r="I799" t="s">
        <v>24</v>
      </c>
      <c r="J799" t="s">
        <v>151</v>
      </c>
      <c r="K799" t="s">
        <v>119</v>
      </c>
      <c r="L799" t="s">
        <v>27</v>
      </c>
      <c r="M799" s="3">
        <v>3200</v>
      </c>
      <c r="N799" t="s">
        <v>27</v>
      </c>
      <c r="O799" s="3">
        <v>3200</v>
      </c>
      <c r="P799" s="3">
        <v>3200</v>
      </c>
      <c r="Q799" t="s">
        <v>30</v>
      </c>
      <c r="R799" s="2">
        <v>0.7</v>
      </c>
      <c r="S799" s="3">
        <v>2240</v>
      </c>
      <c r="T799" t="s">
        <v>27</v>
      </c>
      <c r="U799" s="3">
        <v>2240</v>
      </c>
      <c r="V799" s="7" t="s">
        <v>24</v>
      </c>
      <c r="W799" s="7" t="s">
        <v>119</v>
      </c>
    </row>
    <row r="800" spans="1:23" x14ac:dyDescent="0.4">
      <c r="A800" t="s">
        <v>262</v>
      </c>
      <c r="B800" t="s">
        <v>1766</v>
      </c>
      <c r="C800" t="s">
        <v>1788</v>
      </c>
      <c r="D800" t="s">
        <v>21</v>
      </c>
      <c r="E800" t="s">
        <v>22</v>
      </c>
      <c r="F800" t="s">
        <v>23</v>
      </c>
      <c r="G800">
        <v>1</v>
      </c>
      <c r="H800">
        <v>9791166300547</v>
      </c>
      <c r="I800" t="s">
        <v>24</v>
      </c>
      <c r="J800" t="s">
        <v>153</v>
      </c>
      <c r="K800" t="s">
        <v>119</v>
      </c>
      <c r="L800" t="s">
        <v>27</v>
      </c>
      <c r="M800" s="3">
        <v>3200</v>
      </c>
      <c r="N800" t="s">
        <v>27</v>
      </c>
      <c r="O800" s="3">
        <v>3200</v>
      </c>
      <c r="P800" s="3">
        <v>3200</v>
      </c>
      <c r="Q800" t="s">
        <v>30</v>
      </c>
      <c r="R800" s="2">
        <v>0.7</v>
      </c>
      <c r="S800" s="3">
        <v>2240</v>
      </c>
      <c r="T800" t="s">
        <v>27</v>
      </c>
      <c r="U800" s="3">
        <v>2240</v>
      </c>
      <c r="V800" s="7" t="s">
        <v>24</v>
      </c>
      <c r="W800" s="7" t="s">
        <v>119</v>
      </c>
    </row>
    <row r="801" spans="1:23" x14ac:dyDescent="0.4">
      <c r="A801" t="s">
        <v>262</v>
      </c>
      <c r="B801" t="s">
        <v>1766</v>
      </c>
      <c r="C801" t="s">
        <v>1788</v>
      </c>
      <c r="D801" t="s">
        <v>21</v>
      </c>
      <c r="E801" t="s">
        <v>22</v>
      </c>
      <c r="F801" t="s">
        <v>23</v>
      </c>
      <c r="G801">
        <v>1</v>
      </c>
      <c r="H801">
        <v>9791166300554</v>
      </c>
      <c r="I801" t="s">
        <v>24</v>
      </c>
      <c r="J801" t="s">
        <v>154</v>
      </c>
      <c r="K801" t="s">
        <v>119</v>
      </c>
      <c r="L801" t="s">
        <v>27</v>
      </c>
      <c r="M801" s="3">
        <v>3200</v>
      </c>
      <c r="N801" t="s">
        <v>27</v>
      </c>
      <c r="O801" s="3">
        <v>3200</v>
      </c>
      <c r="P801" s="3">
        <v>3200</v>
      </c>
      <c r="Q801" t="s">
        <v>30</v>
      </c>
      <c r="R801" s="2">
        <v>0.7</v>
      </c>
      <c r="S801" s="3">
        <v>2240</v>
      </c>
      <c r="T801" t="s">
        <v>27</v>
      </c>
      <c r="U801" s="3">
        <v>2240</v>
      </c>
      <c r="V801" s="7" t="s">
        <v>24</v>
      </c>
      <c r="W801" s="7" t="s">
        <v>119</v>
      </c>
    </row>
    <row r="802" spans="1:23" x14ac:dyDescent="0.4">
      <c r="A802" t="s">
        <v>262</v>
      </c>
      <c r="B802" t="s">
        <v>1766</v>
      </c>
      <c r="C802" t="s">
        <v>1788</v>
      </c>
      <c r="D802" t="s">
        <v>21</v>
      </c>
      <c r="E802" t="s">
        <v>22</v>
      </c>
      <c r="F802" t="s">
        <v>23</v>
      </c>
      <c r="G802">
        <v>1</v>
      </c>
      <c r="H802">
        <v>9791166300561</v>
      </c>
      <c r="I802" t="s">
        <v>24</v>
      </c>
      <c r="J802" t="s">
        <v>158</v>
      </c>
      <c r="K802" t="s">
        <v>119</v>
      </c>
      <c r="L802" t="s">
        <v>27</v>
      </c>
      <c r="M802" s="3">
        <v>3200</v>
      </c>
      <c r="N802" t="s">
        <v>27</v>
      </c>
      <c r="O802" s="3">
        <v>3200</v>
      </c>
      <c r="P802" s="3">
        <v>3200</v>
      </c>
      <c r="Q802" t="s">
        <v>30</v>
      </c>
      <c r="R802" s="2">
        <v>0.7</v>
      </c>
      <c r="S802" s="3">
        <v>2240</v>
      </c>
      <c r="T802" t="s">
        <v>27</v>
      </c>
      <c r="U802" s="3">
        <v>2240</v>
      </c>
      <c r="V802" s="7" t="s">
        <v>24</v>
      </c>
      <c r="W802" s="7" t="s">
        <v>119</v>
      </c>
    </row>
    <row r="803" spans="1:23" x14ac:dyDescent="0.4">
      <c r="A803" t="s">
        <v>262</v>
      </c>
      <c r="B803" t="s">
        <v>1766</v>
      </c>
      <c r="C803" t="s">
        <v>1788</v>
      </c>
      <c r="D803" t="s">
        <v>21</v>
      </c>
      <c r="E803" t="s">
        <v>22</v>
      </c>
      <c r="F803" t="s">
        <v>23</v>
      </c>
      <c r="G803">
        <v>1</v>
      </c>
      <c r="H803">
        <v>9791166300578</v>
      </c>
      <c r="I803" t="s">
        <v>24</v>
      </c>
      <c r="J803" t="s">
        <v>159</v>
      </c>
      <c r="K803" t="s">
        <v>119</v>
      </c>
      <c r="L803" t="s">
        <v>27</v>
      </c>
      <c r="M803" s="3">
        <v>3200</v>
      </c>
      <c r="N803" t="s">
        <v>27</v>
      </c>
      <c r="O803" s="3">
        <v>3200</v>
      </c>
      <c r="P803" s="3">
        <v>3200</v>
      </c>
      <c r="Q803" t="s">
        <v>30</v>
      </c>
      <c r="R803" s="2">
        <v>0.7</v>
      </c>
      <c r="S803" s="3">
        <v>2240</v>
      </c>
      <c r="T803" t="s">
        <v>27</v>
      </c>
      <c r="U803" s="3">
        <v>2240</v>
      </c>
      <c r="V803" s="7" t="s">
        <v>24</v>
      </c>
      <c r="W803" s="7" t="s">
        <v>119</v>
      </c>
    </row>
    <row r="804" spans="1:23" x14ac:dyDescent="0.4">
      <c r="A804" t="s">
        <v>262</v>
      </c>
      <c r="B804" t="s">
        <v>1766</v>
      </c>
      <c r="C804" t="s">
        <v>1788</v>
      </c>
      <c r="D804" t="s">
        <v>21</v>
      </c>
      <c r="E804" t="s">
        <v>22</v>
      </c>
      <c r="F804" t="s">
        <v>23</v>
      </c>
      <c r="G804">
        <v>1</v>
      </c>
      <c r="H804">
        <v>9791166300585</v>
      </c>
      <c r="I804" t="s">
        <v>24</v>
      </c>
      <c r="J804" t="s">
        <v>160</v>
      </c>
      <c r="K804" t="s">
        <v>119</v>
      </c>
      <c r="L804" t="s">
        <v>27</v>
      </c>
      <c r="M804" s="3">
        <v>3200</v>
      </c>
      <c r="N804" t="s">
        <v>27</v>
      </c>
      <c r="O804" s="3">
        <v>3200</v>
      </c>
      <c r="P804" s="3">
        <v>3200</v>
      </c>
      <c r="Q804" t="s">
        <v>30</v>
      </c>
      <c r="R804" s="2">
        <v>0.7</v>
      </c>
      <c r="S804" s="3">
        <v>2240</v>
      </c>
      <c r="T804" t="s">
        <v>27</v>
      </c>
      <c r="U804" s="3">
        <v>2240</v>
      </c>
      <c r="V804" s="7" t="s">
        <v>24</v>
      </c>
      <c r="W804" s="7" t="s">
        <v>119</v>
      </c>
    </row>
    <row r="805" spans="1:23" x14ac:dyDescent="0.4">
      <c r="A805" t="s">
        <v>262</v>
      </c>
      <c r="B805" t="s">
        <v>1766</v>
      </c>
      <c r="C805" t="s">
        <v>1788</v>
      </c>
      <c r="D805" t="s">
        <v>21</v>
      </c>
      <c r="E805" t="s">
        <v>22</v>
      </c>
      <c r="F805" t="s">
        <v>23</v>
      </c>
      <c r="G805">
        <v>1</v>
      </c>
      <c r="H805">
        <v>9791166300592</v>
      </c>
      <c r="I805" t="s">
        <v>24</v>
      </c>
      <c r="J805" t="s">
        <v>161</v>
      </c>
      <c r="K805" t="s">
        <v>119</v>
      </c>
      <c r="L805" t="s">
        <v>27</v>
      </c>
      <c r="M805" s="3">
        <v>3200</v>
      </c>
      <c r="N805" t="s">
        <v>27</v>
      </c>
      <c r="O805" s="3">
        <v>3200</v>
      </c>
      <c r="P805" s="3">
        <v>3200</v>
      </c>
      <c r="Q805" t="s">
        <v>30</v>
      </c>
      <c r="R805" s="2">
        <v>0.7</v>
      </c>
      <c r="S805" s="3">
        <v>2240</v>
      </c>
      <c r="T805" t="s">
        <v>27</v>
      </c>
      <c r="U805" s="3">
        <v>2240</v>
      </c>
      <c r="V805" s="7" t="s">
        <v>24</v>
      </c>
      <c r="W805" s="7" t="s">
        <v>119</v>
      </c>
    </row>
    <row r="806" spans="1:23" x14ac:dyDescent="0.4">
      <c r="A806" t="s">
        <v>262</v>
      </c>
      <c r="B806" t="s">
        <v>1766</v>
      </c>
      <c r="C806" t="s">
        <v>1788</v>
      </c>
      <c r="D806" t="s">
        <v>21</v>
      </c>
      <c r="E806" t="s">
        <v>22</v>
      </c>
      <c r="F806" t="s">
        <v>23</v>
      </c>
      <c r="G806">
        <v>1</v>
      </c>
      <c r="H806">
        <v>9791166300608</v>
      </c>
      <c r="I806" t="s">
        <v>24</v>
      </c>
      <c r="J806" t="s">
        <v>162</v>
      </c>
      <c r="K806" t="s">
        <v>119</v>
      </c>
      <c r="L806" t="s">
        <v>27</v>
      </c>
      <c r="M806" s="3">
        <v>3200</v>
      </c>
      <c r="N806" t="s">
        <v>27</v>
      </c>
      <c r="O806" s="3">
        <v>3200</v>
      </c>
      <c r="P806" s="3">
        <v>3200</v>
      </c>
      <c r="Q806" t="s">
        <v>30</v>
      </c>
      <c r="R806" s="2">
        <v>0.7</v>
      </c>
      <c r="S806" s="3">
        <v>2240</v>
      </c>
      <c r="T806" t="s">
        <v>27</v>
      </c>
      <c r="U806" s="3">
        <v>2240</v>
      </c>
      <c r="V806" s="7" t="s">
        <v>24</v>
      </c>
      <c r="W806" s="7" t="s">
        <v>119</v>
      </c>
    </row>
    <row r="807" spans="1:23" x14ac:dyDescent="0.4">
      <c r="A807" t="s">
        <v>262</v>
      </c>
      <c r="B807" t="s">
        <v>1766</v>
      </c>
      <c r="C807" t="s">
        <v>1793</v>
      </c>
      <c r="D807" t="s">
        <v>21</v>
      </c>
      <c r="E807" t="s">
        <v>22</v>
      </c>
      <c r="F807" t="s">
        <v>23</v>
      </c>
      <c r="G807">
        <v>1</v>
      </c>
      <c r="H807">
        <v>9791166300509</v>
      </c>
      <c r="I807" t="s">
        <v>24</v>
      </c>
      <c r="J807" t="s">
        <v>148</v>
      </c>
      <c r="K807" t="s">
        <v>119</v>
      </c>
      <c r="L807" t="s">
        <v>27</v>
      </c>
      <c r="M807" s="3">
        <v>3200</v>
      </c>
      <c r="N807" t="s">
        <v>27</v>
      </c>
      <c r="O807" s="3">
        <v>3200</v>
      </c>
      <c r="P807" s="3">
        <v>3200</v>
      </c>
      <c r="Q807" t="s">
        <v>30</v>
      </c>
      <c r="R807" s="2">
        <v>0.7</v>
      </c>
      <c r="S807" s="3">
        <v>2240</v>
      </c>
      <c r="T807" t="s">
        <v>27</v>
      </c>
      <c r="U807" s="3">
        <v>2240</v>
      </c>
      <c r="V807" s="7" t="s">
        <v>24</v>
      </c>
      <c r="W807" s="7" t="s">
        <v>119</v>
      </c>
    </row>
    <row r="808" spans="1:23" x14ac:dyDescent="0.4">
      <c r="A808" t="s">
        <v>262</v>
      </c>
      <c r="B808" t="s">
        <v>1766</v>
      </c>
      <c r="C808" t="s">
        <v>1794</v>
      </c>
      <c r="D808" t="s">
        <v>64</v>
      </c>
      <c r="E808" t="s">
        <v>22</v>
      </c>
      <c r="F808" t="s">
        <v>23</v>
      </c>
      <c r="G808">
        <v>1</v>
      </c>
      <c r="H808">
        <v>9791166300110</v>
      </c>
      <c r="I808" t="s">
        <v>24</v>
      </c>
      <c r="J808" t="s">
        <v>121</v>
      </c>
      <c r="K808" t="s">
        <v>119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  <c r="V808" s="7" t="s">
        <v>24</v>
      </c>
      <c r="W808" s="7" t="s">
        <v>119</v>
      </c>
    </row>
    <row r="809" spans="1:23" x14ac:dyDescent="0.4">
      <c r="A809" t="s">
        <v>262</v>
      </c>
      <c r="B809" t="s">
        <v>1766</v>
      </c>
      <c r="C809" t="s">
        <v>1798</v>
      </c>
      <c r="D809" t="s">
        <v>64</v>
      </c>
      <c r="E809" t="s">
        <v>22</v>
      </c>
      <c r="F809" t="s">
        <v>23</v>
      </c>
      <c r="G809">
        <v>1</v>
      </c>
      <c r="H809">
        <v>9791166300622</v>
      </c>
      <c r="I809" t="s">
        <v>24</v>
      </c>
      <c r="J809" t="s">
        <v>164</v>
      </c>
      <c r="K809" t="s">
        <v>119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2">
        <v>0.7</v>
      </c>
      <c r="S809">
        <v>441</v>
      </c>
      <c r="T809" t="s">
        <v>27</v>
      </c>
      <c r="U809">
        <v>441</v>
      </c>
      <c r="V809" s="7" t="s">
        <v>24</v>
      </c>
      <c r="W809" s="7" t="s">
        <v>119</v>
      </c>
    </row>
    <row r="810" spans="1:23" x14ac:dyDescent="0.4">
      <c r="A810" t="s">
        <v>262</v>
      </c>
      <c r="B810" t="s">
        <v>1766</v>
      </c>
      <c r="C810" t="s">
        <v>1801</v>
      </c>
      <c r="D810" t="s">
        <v>64</v>
      </c>
      <c r="E810" t="s">
        <v>22</v>
      </c>
      <c r="F810" t="s">
        <v>23</v>
      </c>
      <c r="G810">
        <v>1</v>
      </c>
      <c r="H810">
        <v>9791166300639</v>
      </c>
      <c r="I810" t="s">
        <v>24</v>
      </c>
      <c r="J810" t="s">
        <v>165</v>
      </c>
      <c r="K810" t="s">
        <v>119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2">
        <v>0.7</v>
      </c>
      <c r="S810">
        <v>441</v>
      </c>
      <c r="T810" t="s">
        <v>27</v>
      </c>
      <c r="U810">
        <v>441</v>
      </c>
      <c r="V810" s="7" t="s">
        <v>24</v>
      </c>
      <c r="W810" s="7" t="s">
        <v>119</v>
      </c>
    </row>
    <row r="811" spans="1:23" x14ac:dyDescent="0.4">
      <c r="A811" t="s">
        <v>262</v>
      </c>
      <c r="B811" t="s">
        <v>1766</v>
      </c>
      <c r="C811" t="s">
        <v>1805</v>
      </c>
      <c r="D811" t="s">
        <v>64</v>
      </c>
      <c r="E811" t="s">
        <v>22</v>
      </c>
      <c r="F811" t="s">
        <v>23</v>
      </c>
      <c r="G811">
        <v>1</v>
      </c>
      <c r="H811">
        <v>9791166300172</v>
      </c>
      <c r="I811" t="s">
        <v>24</v>
      </c>
      <c r="J811" t="s">
        <v>127</v>
      </c>
      <c r="K811" t="s">
        <v>119</v>
      </c>
      <c r="L811" t="s">
        <v>27</v>
      </c>
      <c r="M811">
        <v>630</v>
      </c>
      <c r="N811" t="s">
        <v>27</v>
      </c>
      <c r="O811">
        <v>630</v>
      </c>
      <c r="P811">
        <v>630</v>
      </c>
      <c r="Q811" t="s">
        <v>30</v>
      </c>
      <c r="R811" s="2">
        <v>0.7</v>
      </c>
      <c r="S811">
        <v>441</v>
      </c>
      <c r="T811" t="s">
        <v>27</v>
      </c>
      <c r="U811">
        <v>441</v>
      </c>
      <c r="V811" s="7" t="s">
        <v>24</v>
      </c>
      <c r="W811" s="7" t="s">
        <v>119</v>
      </c>
    </row>
    <row r="812" spans="1:23" x14ac:dyDescent="0.4">
      <c r="A812" t="s">
        <v>262</v>
      </c>
      <c r="B812" t="s">
        <v>1766</v>
      </c>
      <c r="C812" t="s">
        <v>1808</v>
      </c>
      <c r="D812" t="s">
        <v>64</v>
      </c>
      <c r="E812" t="s">
        <v>22</v>
      </c>
      <c r="F812" t="s">
        <v>23</v>
      </c>
      <c r="G812">
        <v>1</v>
      </c>
      <c r="H812">
        <v>9791166300233</v>
      </c>
      <c r="I812" t="s">
        <v>24</v>
      </c>
      <c r="J812" t="s">
        <v>132</v>
      </c>
      <c r="K812" t="s">
        <v>119</v>
      </c>
      <c r="L812" t="s">
        <v>27</v>
      </c>
      <c r="M812">
        <v>630</v>
      </c>
      <c r="N812" t="s">
        <v>27</v>
      </c>
      <c r="O812">
        <v>630</v>
      </c>
      <c r="P812">
        <v>630</v>
      </c>
      <c r="Q812" t="s">
        <v>30</v>
      </c>
      <c r="R812" s="2">
        <v>0.7</v>
      </c>
      <c r="S812">
        <v>441</v>
      </c>
      <c r="T812" t="s">
        <v>27</v>
      </c>
      <c r="U812">
        <v>441</v>
      </c>
      <c r="V812" s="7" t="s">
        <v>24</v>
      </c>
      <c r="W812" s="7" t="s">
        <v>119</v>
      </c>
    </row>
    <row r="813" spans="1:23" x14ac:dyDescent="0.4">
      <c r="A813" t="s">
        <v>262</v>
      </c>
      <c r="B813" t="s">
        <v>1766</v>
      </c>
      <c r="C813" t="s">
        <v>1809</v>
      </c>
      <c r="D813" t="s">
        <v>64</v>
      </c>
      <c r="E813" t="s">
        <v>22</v>
      </c>
      <c r="F813" t="s">
        <v>23</v>
      </c>
      <c r="G813">
        <v>1</v>
      </c>
      <c r="H813">
        <v>9791166300646</v>
      </c>
      <c r="I813" t="s">
        <v>24</v>
      </c>
      <c r="J813" t="s">
        <v>155</v>
      </c>
      <c r="K813" t="s">
        <v>119</v>
      </c>
      <c r="L813" t="s">
        <v>27</v>
      </c>
      <c r="M813">
        <v>630</v>
      </c>
      <c r="N813" t="s">
        <v>27</v>
      </c>
      <c r="O813">
        <v>630</v>
      </c>
      <c r="P813">
        <v>630</v>
      </c>
      <c r="Q813" t="s">
        <v>30</v>
      </c>
      <c r="R813" s="2">
        <v>0.7</v>
      </c>
      <c r="S813">
        <v>441</v>
      </c>
      <c r="T813" t="s">
        <v>27</v>
      </c>
      <c r="U813">
        <v>441</v>
      </c>
      <c r="V813" s="7" t="s">
        <v>24</v>
      </c>
      <c r="W813" s="7" t="s">
        <v>119</v>
      </c>
    </row>
    <row r="814" spans="1:23" x14ac:dyDescent="0.4">
      <c r="A814" t="s">
        <v>262</v>
      </c>
      <c r="B814" t="s">
        <v>1766</v>
      </c>
      <c r="C814" t="s">
        <v>1814</v>
      </c>
      <c r="D814" t="s">
        <v>64</v>
      </c>
      <c r="E814" t="s">
        <v>22</v>
      </c>
      <c r="F814" t="s">
        <v>23</v>
      </c>
      <c r="G814">
        <v>1</v>
      </c>
      <c r="H814">
        <v>9791166300134</v>
      </c>
      <c r="I814" t="s">
        <v>24</v>
      </c>
      <c r="J814" t="s">
        <v>123</v>
      </c>
      <c r="K814" t="s">
        <v>119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  <c r="V814" s="7" t="s">
        <v>24</v>
      </c>
      <c r="W814" s="7" t="s">
        <v>119</v>
      </c>
    </row>
    <row r="815" spans="1:23" x14ac:dyDescent="0.4">
      <c r="A815" t="s">
        <v>262</v>
      </c>
      <c r="B815" t="s">
        <v>1766</v>
      </c>
      <c r="C815" t="s">
        <v>1816</v>
      </c>
      <c r="D815" t="s">
        <v>64</v>
      </c>
      <c r="E815" t="s">
        <v>22</v>
      </c>
      <c r="F815" t="s">
        <v>23</v>
      </c>
      <c r="G815">
        <v>1</v>
      </c>
      <c r="H815">
        <v>9791166300165</v>
      </c>
      <c r="I815" t="s">
        <v>24</v>
      </c>
      <c r="J815" t="s">
        <v>126</v>
      </c>
      <c r="K815" t="s">
        <v>119</v>
      </c>
      <c r="L815" t="s">
        <v>27</v>
      </c>
      <c r="M815">
        <v>630</v>
      </c>
      <c r="N815" t="s">
        <v>27</v>
      </c>
      <c r="O815">
        <v>630</v>
      </c>
      <c r="P815">
        <v>630</v>
      </c>
      <c r="Q815" t="s">
        <v>30</v>
      </c>
      <c r="R815" s="2">
        <v>0.7</v>
      </c>
      <c r="S815">
        <v>441</v>
      </c>
      <c r="T815" t="s">
        <v>27</v>
      </c>
      <c r="U815">
        <v>441</v>
      </c>
      <c r="V815" s="7" t="s">
        <v>24</v>
      </c>
      <c r="W815" s="7" t="s">
        <v>119</v>
      </c>
    </row>
    <row r="816" spans="1:23" x14ac:dyDescent="0.4">
      <c r="A816" t="s">
        <v>262</v>
      </c>
      <c r="B816" t="s">
        <v>1766</v>
      </c>
      <c r="C816" t="s">
        <v>1819</v>
      </c>
      <c r="D816" t="s">
        <v>21</v>
      </c>
      <c r="E816" t="s">
        <v>22</v>
      </c>
      <c r="F816" t="s">
        <v>23</v>
      </c>
      <c r="G816">
        <v>1</v>
      </c>
      <c r="H816">
        <v>9791166300516</v>
      </c>
      <c r="I816" t="s">
        <v>24</v>
      </c>
      <c r="J816" t="s">
        <v>149</v>
      </c>
      <c r="K816" t="s">
        <v>119</v>
      </c>
      <c r="L816" t="s">
        <v>27</v>
      </c>
      <c r="M816" s="3">
        <v>3200</v>
      </c>
      <c r="N816" t="s">
        <v>27</v>
      </c>
      <c r="O816" s="3">
        <v>3200</v>
      </c>
      <c r="P816" s="3">
        <v>3200</v>
      </c>
      <c r="Q816" t="s">
        <v>30</v>
      </c>
      <c r="R816" s="2">
        <v>0.7</v>
      </c>
      <c r="S816" s="3">
        <v>2240</v>
      </c>
      <c r="T816" t="s">
        <v>27</v>
      </c>
      <c r="U816" s="3">
        <v>2240</v>
      </c>
      <c r="V816" s="7" t="s">
        <v>24</v>
      </c>
      <c r="W816" s="7" t="s">
        <v>119</v>
      </c>
    </row>
    <row r="817" spans="1:23" x14ac:dyDescent="0.4">
      <c r="A817" t="s">
        <v>262</v>
      </c>
      <c r="B817" t="s">
        <v>1766</v>
      </c>
      <c r="C817" t="s">
        <v>1820</v>
      </c>
      <c r="D817" t="s">
        <v>64</v>
      </c>
      <c r="E817" t="s">
        <v>22</v>
      </c>
      <c r="F817" t="s">
        <v>23</v>
      </c>
      <c r="G817">
        <v>1</v>
      </c>
      <c r="H817">
        <v>9791166300158</v>
      </c>
      <c r="I817" t="s">
        <v>24</v>
      </c>
      <c r="J817" t="s">
        <v>125</v>
      </c>
      <c r="K817" t="s">
        <v>119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  <c r="V817" s="7" t="s">
        <v>24</v>
      </c>
      <c r="W817" s="7" t="s">
        <v>119</v>
      </c>
    </row>
    <row r="818" spans="1:23" x14ac:dyDescent="0.4">
      <c r="A818" t="s">
        <v>262</v>
      </c>
      <c r="B818" t="s">
        <v>1766</v>
      </c>
      <c r="C818" t="s">
        <v>1827</v>
      </c>
      <c r="D818" t="s">
        <v>64</v>
      </c>
      <c r="E818" t="s">
        <v>22</v>
      </c>
      <c r="F818" t="s">
        <v>23</v>
      </c>
      <c r="G818">
        <v>1</v>
      </c>
      <c r="H818">
        <v>9791166300578</v>
      </c>
      <c r="I818" t="s">
        <v>24</v>
      </c>
      <c r="J818" t="s">
        <v>159</v>
      </c>
      <c r="K818" t="s">
        <v>119</v>
      </c>
      <c r="L818" t="s">
        <v>27</v>
      </c>
      <c r="M818">
        <v>630</v>
      </c>
      <c r="N818" t="s">
        <v>27</v>
      </c>
      <c r="O818">
        <v>630</v>
      </c>
      <c r="P818">
        <v>630</v>
      </c>
      <c r="Q818" t="s">
        <v>30</v>
      </c>
      <c r="R818" s="2">
        <v>0.7</v>
      </c>
      <c r="S818">
        <v>441</v>
      </c>
      <c r="T818" t="s">
        <v>27</v>
      </c>
      <c r="U818">
        <v>441</v>
      </c>
      <c r="V818" s="7" t="s">
        <v>24</v>
      </c>
      <c r="W818" s="7" t="s">
        <v>119</v>
      </c>
    </row>
    <row r="819" spans="1:23" x14ac:dyDescent="0.4">
      <c r="A819" t="s">
        <v>262</v>
      </c>
      <c r="B819" t="s">
        <v>1766</v>
      </c>
      <c r="C819" t="s">
        <v>1829</v>
      </c>
      <c r="D819" t="s">
        <v>64</v>
      </c>
      <c r="E819" t="s">
        <v>22</v>
      </c>
      <c r="F819" t="s">
        <v>23</v>
      </c>
      <c r="G819">
        <v>1</v>
      </c>
      <c r="H819">
        <v>9791166300660</v>
      </c>
      <c r="I819" t="s">
        <v>24</v>
      </c>
      <c r="J819" t="s">
        <v>156</v>
      </c>
      <c r="K819" t="s">
        <v>119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2">
        <v>0.7</v>
      </c>
      <c r="S819">
        <v>441</v>
      </c>
      <c r="T819" t="s">
        <v>27</v>
      </c>
      <c r="U819">
        <v>441</v>
      </c>
      <c r="V819" s="7" t="s">
        <v>24</v>
      </c>
      <c r="W819" s="7" t="s">
        <v>119</v>
      </c>
    </row>
    <row r="820" spans="1:23" x14ac:dyDescent="0.4">
      <c r="A820" t="s">
        <v>262</v>
      </c>
      <c r="B820" t="s">
        <v>1766</v>
      </c>
      <c r="C820" t="s">
        <v>1832</v>
      </c>
      <c r="D820" t="s">
        <v>21</v>
      </c>
      <c r="E820" t="s">
        <v>22</v>
      </c>
      <c r="F820" t="s">
        <v>23</v>
      </c>
      <c r="G820">
        <v>1</v>
      </c>
      <c r="H820">
        <v>9791166300493</v>
      </c>
      <c r="I820" t="s">
        <v>24</v>
      </c>
      <c r="J820" t="s">
        <v>147</v>
      </c>
      <c r="K820" t="s">
        <v>119</v>
      </c>
      <c r="L820" t="s">
        <v>27</v>
      </c>
      <c r="M820" s="3">
        <v>3200</v>
      </c>
      <c r="N820" t="s">
        <v>27</v>
      </c>
      <c r="O820" s="3">
        <v>3200</v>
      </c>
      <c r="P820" s="3">
        <v>3200</v>
      </c>
      <c r="Q820" t="s">
        <v>30</v>
      </c>
      <c r="R820" s="2">
        <v>0.7</v>
      </c>
      <c r="S820" s="3">
        <v>2240</v>
      </c>
      <c r="T820" t="s">
        <v>27</v>
      </c>
      <c r="U820" s="3">
        <v>2240</v>
      </c>
      <c r="V820" s="7" t="s">
        <v>24</v>
      </c>
      <c r="W820" s="7" t="s">
        <v>119</v>
      </c>
    </row>
    <row r="821" spans="1:23" x14ac:dyDescent="0.4">
      <c r="A821" t="s">
        <v>262</v>
      </c>
      <c r="B821" t="s">
        <v>1766</v>
      </c>
      <c r="C821" t="s">
        <v>1839</v>
      </c>
      <c r="D821" t="s">
        <v>64</v>
      </c>
      <c r="E821" t="s">
        <v>22</v>
      </c>
      <c r="F821" t="s">
        <v>23</v>
      </c>
      <c r="G821">
        <v>1</v>
      </c>
      <c r="H821">
        <v>9791166300127</v>
      </c>
      <c r="I821" t="s">
        <v>24</v>
      </c>
      <c r="J821" t="s">
        <v>122</v>
      </c>
      <c r="K821" t="s">
        <v>119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2">
        <v>0.7</v>
      </c>
      <c r="S821">
        <v>441</v>
      </c>
      <c r="T821" t="s">
        <v>27</v>
      </c>
      <c r="U821">
        <v>441</v>
      </c>
      <c r="V821" s="7" t="s">
        <v>24</v>
      </c>
      <c r="W821" s="7" t="s">
        <v>119</v>
      </c>
    </row>
    <row r="822" spans="1:23" x14ac:dyDescent="0.4">
      <c r="A822" t="s">
        <v>262</v>
      </c>
      <c r="B822" t="s">
        <v>1840</v>
      </c>
      <c r="C822" t="s">
        <v>1841</v>
      </c>
      <c r="D822" t="s">
        <v>64</v>
      </c>
      <c r="E822" t="s">
        <v>22</v>
      </c>
      <c r="F822" t="s">
        <v>23</v>
      </c>
      <c r="G822">
        <v>1</v>
      </c>
      <c r="H822">
        <v>9791166300240</v>
      </c>
      <c r="I822" t="s">
        <v>24</v>
      </c>
      <c r="J822" t="s">
        <v>133</v>
      </c>
      <c r="K822" t="s">
        <v>119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2">
        <v>0.7</v>
      </c>
      <c r="S822">
        <v>441</v>
      </c>
      <c r="T822" t="s">
        <v>27</v>
      </c>
      <c r="U822">
        <v>441</v>
      </c>
      <c r="V822" s="7" t="s">
        <v>24</v>
      </c>
      <c r="W822" s="7" t="s">
        <v>119</v>
      </c>
    </row>
    <row r="823" spans="1:23" x14ac:dyDescent="0.4">
      <c r="A823" t="s">
        <v>262</v>
      </c>
      <c r="B823" t="s">
        <v>1840</v>
      </c>
      <c r="C823" t="s">
        <v>1845</v>
      </c>
      <c r="D823" t="s">
        <v>64</v>
      </c>
      <c r="E823" t="s">
        <v>22</v>
      </c>
      <c r="F823" t="s">
        <v>23</v>
      </c>
      <c r="G823">
        <v>1</v>
      </c>
      <c r="H823">
        <v>9791166300646</v>
      </c>
      <c r="I823" t="s">
        <v>24</v>
      </c>
      <c r="J823" t="s">
        <v>155</v>
      </c>
      <c r="K823" t="s">
        <v>119</v>
      </c>
      <c r="L823" t="s">
        <v>27</v>
      </c>
      <c r="M823">
        <v>630</v>
      </c>
      <c r="N823" t="s">
        <v>27</v>
      </c>
      <c r="O823">
        <v>630</v>
      </c>
      <c r="P823">
        <v>630</v>
      </c>
      <c r="Q823" t="s">
        <v>30</v>
      </c>
      <c r="R823" s="2">
        <v>0.7</v>
      </c>
      <c r="S823">
        <v>441</v>
      </c>
      <c r="T823" t="s">
        <v>27</v>
      </c>
      <c r="U823">
        <v>441</v>
      </c>
      <c r="V823" s="7" t="s">
        <v>24</v>
      </c>
      <c r="W823" s="7" t="s">
        <v>119</v>
      </c>
    </row>
    <row r="824" spans="1:23" x14ac:dyDescent="0.4">
      <c r="A824" t="s">
        <v>262</v>
      </c>
      <c r="B824" t="s">
        <v>1840</v>
      </c>
      <c r="C824" t="s">
        <v>1847</v>
      </c>
      <c r="D824" t="s">
        <v>64</v>
      </c>
      <c r="E824" t="s">
        <v>22</v>
      </c>
      <c r="F824" t="s">
        <v>23</v>
      </c>
      <c r="G824">
        <v>1</v>
      </c>
      <c r="H824">
        <v>9791166300257</v>
      </c>
      <c r="I824" t="s">
        <v>24</v>
      </c>
      <c r="J824" t="s">
        <v>134</v>
      </c>
      <c r="K824" t="s">
        <v>119</v>
      </c>
      <c r="L824" t="s">
        <v>27</v>
      </c>
      <c r="M824">
        <v>630</v>
      </c>
      <c r="N824" t="s">
        <v>27</v>
      </c>
      <c r="O824">
        <v>630</v>
      </c>
      <c r="P824">
        <v>630</v>
      </c>
      <c r="Q824" t="s">
        <v>30</v>
      </c>
      <c r="R824" s="2">
        <v>0.7</v>
      </c>
      <c r="S824">
        <v>441</v>
      </c>
      <c r="T824" t="s">
        <v>27</v>
      </c>
      <c r="U824">
        <v>441</v>
      </c>
      <c r="V824" s="7" t="s">
        <v>24</v>
      </c>
      <c r="W824" s="7" t="s">
        <v>119</v>
      </c>
    </row>
    <row r="825" spans="1:23" x14ac:dyDescent="0.4">
      <c r="A825" t="s">
        <v>262</v>
      </c>
      <c r="B825" t="s">
        <v>1840</v>
      </c>
      <c r="C825" t="s">
        <v>1850</v>
      </c>
      <c r="D825" t="s">
        <v>21</v>
      </c>
      <c r="E825" t="s">
        <v>22</v>
      </c>
      <c r="F825" t="s">
        <v>23</v>
      </c>
      <c r="G825">
        <v>1</v>
      </c>
      <c r="H825">
        <v>9791166300509</v>
      </c>
      <c r="I825" t="s">
        <v>24</v>
      </c>
      <c r="J825" t="s">
        <v>148</v>
      </c>
      <c r="K825" t="s">
        <v>119</v>
      </c>
      <c r="L825" t="s">
        <v>27</v>
      </c>
      <c r="M825" s="3">
        <v>3200</v>
      </c>
      <c r="N825" t="s">
        <v>27</v>
      </c>
      <c r="O825" s="3">
        <v>3200</v>
      </c>
      <c r="P825" s="3">
        <v>3200</v>
      </c>
      <c r="Q825" t="s">
        <v>30</v>
      </c>
      <c r="R825" s="2">
        <v>0.7</v>
      </c>
      <c r="S825" s="3">
        <v>2240</v>
      </c>
      <c r="T825" t="s">
        <v>27</v>
      </c>
      <c r="U825" s="3">
        <v>2240</v>
      </c>
      <c r="V825" s="7" t="s">
        <v>24</v>
      </c>
      <c r="W825" s="7" t="s">
        <v>119</v>
      </c>
    </row>
    <row r="826" spans="1:23" x14ac:dyDescent="0.4">
      <c r="A826" t="s">
        <v>262</v>
      </c>
      <c r="B826" t="s">
        <v>1840</v>
      </c>
      <c r="C826" t="s">
        <v>1852</v>
      </c>
      <c r="D826" t="s">
        <v>64</v>
      </c>
      <c r="E826" t="s">
        <v>22</v>
      </c>
      <c r="F826" t="s">
        <v>23</v>
      </c>
      <c r="G826">
        <v>1</v>
      </c>
      <c r="H826">
        <v>9791166300653</v>
      </c>
      <c r="I826" t="s">
        <v>24</v>
      </c>
      <c r="J826" t="s">
        <v>157</v>
      </c>
      <c r="K826" t="s">
        <v>119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2">
        <v>0.7</v>
      </c>
      <c r="S826">
        <v>441</v>
      </c>
      <c r="T826" t="s">
        <v>27</v>
      </c>
      <c r="U826">
        <v>441</v>
      </c>
      <c r="V826" s="7" t="s">
        <v>24</v>
      </c>
      <c r="W826" s="7" t="s">
        <v>119</v>
      </c>
    </row>
    <row r="827" spans="1:23" x14ac:dyDescent="0.4">
      <c r="A827" t="s">
        <v>262</v>
      </c>
      <c r="B827" t="s">
        <v>1840</v>
      </c>
      <c r="C827" t="s">
        <v>1855</v>
      </c>
      <c r="D827" t="s">
        <v>64</v>
      </c>
      <c r="E827" t="s">
        <v>22</v>
      </c>
      <c r="F827" t="s">
        <v>23</v>
      </c>
      <c r="G827">
        <v>1</v>
      </c>
      <c r="H827">
        <v>9791166300240</v>
      </c>
      <c r="I827" t="s">
        <v>24</v>
      </c>
      <c r="J827" t="s">
        <v>133</v>
      </c>
      <c r="K827" t="s">
        <v>119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  <c r="V827" s="7" t="s">
        <v>24</v>
      </c>
      <c r="W827" s="7" t="s">
        <v>119</v>
      </c>
    </row>
    <row r="828" spans="1:23" x14ac:dyDescent="0.4">
      <c r="A828" t="s">
        <v>262</v>
      </c>
      <c r="B828" t="s">
        <v>1840</v>
      </c>
      <c r="C828" t="s">
        <v>1856</v>
      </c>
      <c r="D828" t="s">
        <v>64</v>
      </c>
      <c r="E828" t="s">
        <v>22</v>
      </c>
      <c r="F828" t="s">
        <v>23</v>
      </c>
      <c r="G828">
        <v>1</v>
      </c>
      <c r="H828">
        <v>9791166300691</v>
      </c>
      <c r="I828" t="s">
        <v>24</v>
      </c>
      <c r="J828" t="s">
        <v>152</v>
      </c>
      <c r="K828" t="s">
        <v>119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  <c r="V828" s="7" t="s">
        <v>24</v>
      </c>
      <c r="W828" s="7" t="s">
        <v>119</v>
      </c>
    </row>
    <row r="829" spans="1:23" x14ac:dyDescent="0.4">
      <c r="A829" t="s">
        <v>262</v>
      </c>
      <c r="B829" t="s">
        <v>1840</v>
      </c>
      <c r="C829" t="s">
        <v>1859</v>
      </c>
      <c r="D829" t="s">
        <v>64</v>
      </c>
      <c r="E829" t="s">
        <v>22</v>
      </c>
      <c r="F829" t="s">
        <v>23</v>
      </c>
      <c r="G829">
        <v>1</v>
      </c>
      <c r="H829">
        <v>9791166300172</v>
      </c>
      <c r="I829" t="s">
        <v>24</v>
      </c>
      <c r="J829" t="s">
        <v>127</v>
      </c>
      <c r="K829" t="s">
        <v>119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  <c r="V829" s="7" t="s">
        <v>24</v>
      </c>
      <c r="W829" s="7" t="s">
        <v>119</v>
      </c>
    </row>
    <row r="830" spans="1:23" x14ac:dyDescent="0.4">
      <c r="A830" t="s">
        <v>262</v>
      </c>
      <c r="B830" t="s">
        <v>1840</v>
      </c>
      <c r="C830" t="s">
        <v>1860</v>
      </c>
      <c r="D830" t="s">
        <v>64</v>
      </c>
      <c r="E830" t="s">
        <v>22</v>
      </c>
      <c r="F830" t="s">
        <v>23</v>
      </c>
      <c r="G830">
        <v>1</v>
      </c>
      <c r="H830">
        <v>9791166300196</v>
      </c>
      <c r="I830" t="s">
        <v>24</v>
      </c>
      <c r="J830" t="s">
        <v>128</v>
      </c>
      <c r="K830" t="s">
        <v>119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  <c r="V830" s="7" t="s">
        <v>24</v>
      </c>
      <c r="W830" s="7" t="s">
        <v>119</v>
      </c>
    </row>
    <row r="831" spans="1:23" x14ac:dyDescent="0.4">
      <c r="A831" t="s">
        <v>262</v>
      </c>
      <c r="B831" t="s">
        <v>1840</v>
      </c>
      <c r="C831" t="s">
        <v>1861</v>
      </c>
      <c r="D831" t="s">
        <v>64</v>
      </c>
      <c r="E831" t="s">
        <v>22</v>
      </c>
      <c r="F831" t="s">
        <v>23</v>
      </c>
      <c r="G831">
        <v>1</v>
      </c>
      <c r="H831">
        <v>9791166300134</v>
      </c>
      <c r="I831" t="s">
        <v>24</v>
      </c>
      <c r="J831" t="s">
        <v>123</v>
      </c>
      <c r="K831" t="s">
        <v>119</v>
      </c>
      <c r="L831" t="s">
        <v>27</v>
      </c>
      <c r="M831">
        <v>630</v>
      </c>
      <c r="N831" t="s">
        <v>27</v>
      </c>
      <c r="O831">
        <v>630</v>
      </c>
      <c r="P831">
        <v>630</v>
      </c>
      <c r="Q831" t="s">
        <v>30</v>
      </c>
      <c r="R831" s="2">
        <v>0.7</v>
      </c>
      <c r="S831">
        <v>441</v>
      </c>
      <c r="T831" t="s">
        <v>27</v>
      </c>
      <c r="U831">
        <v>441</v>
      </c>
      <c r="V831" s="7" t="s">
        <v>24</v>
      </c>
      <c r="W831" s="7" t="s">
        <v>119</v>
      </c>
    </row>
    <row r="832" spans="1:23" x14ac:dyDescent="0.4">
      <c r="A832" t="s">
        <v>262</v>
      </c>
      <c r="B832" t="s">
        <v>1840</v>
      </c>
      <c r="C832" t="s">
        <v>1864</v>
      </c>
      <c r="D832" t="s">
        <v>64</v>
      </c>
      <c r="E832" t="s">
        <v>22</v>
      </c>
      <c r="F832" t="s">
        <v>23</v>
      </c>
      <c r="G832">
        <v>1</v>
      </c>
      <c r="H832">
        <v>9791166300103</v>
      </c>
      <c r="I832" t="s">
        <v>24</v>
      </c>
      <c r="J832" t="s">
        <v>120</v>
      </c>
      <c r="K832" t="s">
        <v>119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  <c r="V832" s="7" t="s">
        <v>24</v>
      </c>
      <c r="W832" s="7" t="s">
        <v>119</v>
      </c>
    </row>
    <row r="833" spans="1:23" x14ac:dyDescent="0.4">
      <c r="A833" t="s">
        <v>262</v>
      </c>
      <c r="B833" t="s">
        <v>1840</v>
      </c>
      <c r="C833" t="s">
        <v>1865</v>
      </c>
      <c r="D833" t="s">
        <v>64</v>
      </c>
      <c r="E833" t="s">
        <v>22</v>
      </c>
      <c r="F833" t="s">
        <v>23</v>
      </c>
      <c r="G833">
        <v>1</v>
      </c>
      <c r="H833">
        <v>9791166300585</v>
      </c>
      <c r="I833" t="s">
        <v>24</v>
      </c>
      <c r="J833" t="s">
        <v>160</v>
      </c>
      <c r="K833" t="s">
        <v>119</v>
      </c>
      <c r="L833" t="s">
        <v>27</v>
      </c>
      <c r="M833">
        <v>630</v>
      </c>
      <c r="N833" t="s">
        <v>27</v>
      </c>
      <c r="O833">
        <v>630</v>
      </c>
      <c r="P833">
        <v>630</v>
      </c>
      <c r="Q833" t="s">
        <v>30</v>
      </c>
      <c r="R833" s="2">
        <v>0.7</v>
      </c>
      <c r="S833">
        <v>441</v>
      </c>
      <c r="T833" t="s">
        <v>27</v>
      </c>
      <c r="U833">
        <v>441</v>
      </c>
      <c r="V833" s="7" t="s">
        <v>24</v>
      </c>
      <c r="W833" s="7" t="s">
        <v>119</v>
      </c>
    </row>
    <row r="834" spans="1:23" x14ac:dyDescent="0.4">
      <c r="A834" t="s">
        <v>262</v>
      </c>
      <c r="B834" t="s">
        <v>1840</v>
      </c>
      <c r="C834" t="s">
        <v>1872</v>
      </c>
      <c r="D834" t="s">
        <v>64</v>
      </c>
      <c r="E834" t="s">
        <v>22</v>
      </c>
      <c r="F834" t="s">
        <v>23</v>
      </c>
      <c r="G834">
        <v>1</v>
      </c>
      <c r="H834">
        <v>9791166300127</v>
      </c>
      <c r="I834" t="s">
        <v>24</v>
      </c>
      <c r="J834" t="s">
        <v>122</v>
      </c>
      <c r="K834" t="s">
        <v>119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  <c r="V834" s="7" t="s">
        <v>24</v>
      </c>
      <c r="W834" s="7" t="s">
        <v>119</v>
      </c>
    </row>
    <row r="835" spans="1:23" x14ac:dyDescent="0.4">
      <c r="A835" t="s">
        <v>262</v>
      </c>
      <c r="B835" t="s">
        <v>1840</v>
      </c>
      <c r="C835" t="s">
        <v>1875</v>
      </c>
      <c r="D835" t="s">
        <v>64</v>
      </c>
      <c r="E835" t="s">
        <v>22</v>
      </c>
      <c r="F835" t="s">
        <v>23</v>
      </c>
      <c r="G835">
        <v>1</v>
      </c>
      <c r="H835">
        <v>9791166300257</v>
      </c>
      <c r="I835" t="s">
        <v>24</v>
      </c>
      <c r="J835" t="s">
        <v>134</v>
      </c>
      <c r="K835" t="s">
        <v>119</v>
      </c>
      <c r="L835" t="s">
        <v>27</v>
      </c>
      <c r="M835">
        <v>630</v>
      </c>
      <c r="N835" t="s">
        <v>27</v>
      </c>
      <c r="O835">
        <v>630</v>
      </c>
      <c r="P835">
        <v>630</v>
      </c>
      <c r="Q835" t="s">
        <v>30</v>
      </c>
      <c r="R835" s="2">
        <v>0.7</v>
      </c>
      <c r="S835">
        <v>441</v>
      </c>
      <c r="T835" t="s">
        <v>27</v>
      </c>
      <c r="U835">
        <v>441</v>
      </c>
      <c r="V835" s="7" t="s">
        <v>24</v>
      </c>
      <c r="W835" s="7" t="s">
        <v>119</v>
      </c>
    </row>
    <row r="836" spans="1:23" x14ac:dyDescent="0.4">
      <c r="A836" t="s">
        <v>262</v>
      </c>
      <c r="B836" t="s">
        <v>1840</v>
      </c>
      <c r="C836" t="s">
        <v>1876</v>
      </c>
      <c r="D836" t="s">
        <v>21</v>
      </c>
      <c r="E836" t="s">
        <v>22</v>
      </c>
      <c r="F836" t="s">
        <v>23</v>
      </c>
      <c r="G836">
        <v>1</v>
      </c>
      <c r="H836">
        <v>9791166300219</v>
      </c>
      <c r="I836" t="s">
        <v>24</v>
      </c>
      <c r="J836" t="s">
        <v>130</v>
      </c>
      <c r="K836" t="s">
        <v>119</v>
      </c>
      <c r="L836" t="s">
        <v>27</v>
      </c>
      <c r="M836" s="3">
        <v>3200</v>
      </c>
      <c r="N836" t="s">
        <v>27</v>
      </c>
      <c r="O836" s="3">
        <v>3200</v>
      </c>
      <c r="P836" s="3">
        <v>3200</v>
      </c>
      <c r="Q836" t="s">
        <v>30</v>
      </c>
      <c r="R836" s="2">
        <v>0.7</v>
      </c>
      <c r="S836" s="3">
        <v>2240</v>
      </c>
      <c r="T836" t="s">
        <v>27</v>
      </c>
      <c r="U836" s="3">
        <v>2240</v>
      </c>
      <c r="V836" s="7" t="s">
        <v>24</v>
      </c>
      <c r="W836" s="7" t="s">
        <v>119</v>
      </c>
    </row>
    <row r="837" spans="1:23" x14ac:dyDescent="0.4">
      <c r="A837" t="s">
        <v>262</v>
      </c>
      <c r="B837" t="s">
        <v>1840</v>
      </c>
      <c r="C837" t="s">
        <v>1879</v>
      </c>
      <c r="D837" t="s">
        <v>21</v>
      </c>
      <c r="E837" t="s">
        <v>22</v>
      </c>
      <c r="F837" t="s">
        <v>23</v>
      </c>
      <c r="G837">
        <v>1</v>
      </c>
      <c r="H837">
        <v>9791166300523</v>
      </c>
      <c r="I837" t="s">
        <v>24</v>
      </c>
      <c r="J837" t="s">
        <v>150</v>
      </c>
      <c r="K837" t="s">
        <v>119</v>
      </c>
      <c r="L837" t="s">
        <v>27</v>
      </c>
      <c r="M837" s="3">
        <v>3200</v>
      </c>
      <c r="N837" t="s">
        <v>27</v>
      </c>
      <c r="O837" s="3">
        <v>3200</v>
      </c>
      <c r="P837" s="3">
        <v>3200</v>
      </c>
      <c r="Q837" t="s">
        <v>30</v>
      </c>
      <c r="R837" s="2">
        <v>0.7</v>
      </c>
      <c r="S837" s="3">
        <v>2240</v>
      </c>
      <c r="T837" t="s">
        <v>27</v>
      </c>
      <c r="U837" s="3">
        <v>2240</v>
      </c>
      <c r="V837" s="7" t="s">
        <v>24</v>
      </c>
      <c r="W837" s="7" t="s">
        <v>119</v>
      </c>
    </row>
    <row r="838" spans="1:23" x14ac:dyDescent="0.4">
      <c r="A838" t="s">
        <v>262</v>
      </c>
      <c r="B838" t="s">
        <v>1840</v>
      </c>
      <c r="C838" t="s">
        <v>1882</v>
      </c>
      <c r="D838" t="s">
        <v>64</v>
      </c>
      <c r="E838" t="s">
        <v>22</v>
      </c>
      <c r="F838" t="s">
        <v>23</v>
      </c>
      <c r="G838">
        <v>1</v>
      </c>
      <c r="H838">
        <v>9791166300585</v>
      </c>
      <c r="I838" t="s">
        <v>24</v>
      </c>
      <c r="J838" t="s">
        <v>160</v>
      </c>
      <c r="K838" t="s">
        <v>119</v>
      </c>
      <c r="L838" t="s">
        <v>27</v>
      </c>
      <c r="M838">
        <v>630</v>
      </c>
      <c r="N838" t="s">
        <v>27</v>
      </c>
      <c r="O838">
        <v>630</v>
      </c>
      <c r="P838">
        <v>630</v>
      </c>
      <c r="Q838" t="s">
        <v>30</v>
      </c>
      <c r="R838" s="2">
        <v>0.7</v>
      </c>
      <c r="S838">
        <v>441</v>
      </c>
      <c r="T838" t="s">
        <v>27</v>
      </c>
      <c r="U838">
        <v>441</v>
      </c>
      <c r="V838" s="7" t="s">
        <v>24</v>
      </c>
      <c r="W838" s="7" t="s">
        <v>119</v>
      </c>
    </row>
    <row r="839" spans="1:23" x14ac:dyDescent="0.4">
      <c r="A839" t="s">
        <v>262</v>
      </c>
      <c r="B839" t="s">
        <v>1840</v>
      </c>
      <c r="C839" t="s">
        <v>1885</v>
      </c>
      <c r="D839" t="s">
        <v>21</v>
      </c>
      <c r="E839" t="s">
        <v>22</v>
      </c>
      <c r="F839" t="s">
        <v>23</v>
      </c>
      <c r="G839">
        <v>1</v>
      </c>
      <c r="H839">
        <v>9791166300516</v>
      </c>
      <c r="I839" t="s">
        <v>24</v>
      </c>
      <c r="J839" t="s">
        <v>149</v>
      </c>
      <c r="K839" t="s">
        <v>119</v>
      </c>
      <c r="L839" t="s">
        <v>27</v>
      </c>
      <c r="M839" s="3">
        <v>3200</v>
      </c>
      <c r="N839" t="s">
        <v>27</v>
      </c>
      <c r="O839" s="3">
        <v>3200</v>
      </c>
      <c r="P839" s="3">
        <v>3200</v>
      </c>
      <c r="Q839" t="s">
        <v>30</v>
      </c>
      <c r="R839" s="2">
        <v>0.7</v>
      </c>
      <c r="S839" s="3">
        <v>2240</v>
      </c>
      <c r="T839" t="s">
        <v>27</v>
      </c>
      <c r="U839" s="3">
        <v>2240</v>
      </c>
      <c r="V839" s="7" t="s">
        <v>24</v>
      </c>
      <c r="W839" s="7" t="s">
        <v>119</v>
      </c>
    </row>
    <row r="840" spans="1:23" x14ac:dyDescent="0.4">
      <c r="A840" t="s">
        <v>262</v>
      </c>
      <c r="B840" t="s">
        <v>1840</v>
      </c>
      <c r="C840" t="s">
        <v>1886</v>
      </c>
      <c r="D840" t="s">
        <v>64</v>
      </c>
      <c r="E840" t="s">
        <v>22</v>
      </c>
      <c r="F840" t="s">
        <v>23</v>
      </c>
      <c r="G840">
        <v>1</v>
      </c>
      <c r="H840">
        <v>9791166300592</v>
      </c>
      <c r="I840" t="s">
        <v>24</v>
      </c>
      <c r="J840" t="s">
        <v>161</v>
      </c>
      <c r="K840" t="s">
        <v>119</v>
      </c>
      <c r="L840" t="s">
        <v>27</v>
      </c>
      <c r="M840">
        <v>630</v>
      </c>
      <c r="N840" t="s">
        <v>27</v>
      </c>
      <c r="O840">
        <v>630</v>
      </c>
      <c r="P840">
        <v>630</v>
      </c>
      <c r="Q840" t="s">
        <v>30</v>
      </c>
      <c r="R840" s="2">
        <v>0.7</v>
      </c>
      <c r="S840">
        <v>441</v>
      </c>
      <c r="T840" t="s">
        <v>27</v>
      </c>
      <c r="U840">
        <v>441</v>
      </c>
      <c r="V840" s="7" t="s">
        <v>24</v>
      </c>
      <c r="W840" s="7" t="s">
        <v>119</v>
      </c>
    </row>
    <row r="841" spans="1:23" x14ac:dyDescent="0.4">
      <c r="A841" t="s">
        <v>262</v>
      </c>
      <c r="B841" t="s">
        <v>1840</v>
      </c>
      <c r="C841" t="s">
        <v>1891</v>
      </c>
      <c r="D841" t="s">
        <v>64</v>
      </c>
      <c r="E841" t="s">
        <v>22</v>
      </c>
      <c r="F841" t="s">
        <v>23</v>
      </c>
      <c r="G841">
        <v>1</v>
      </c>
      <c r="H841">
        <v>9791166300165</v>
      </c>
      <c r="I841" t="s">
        <v>24</v>
      </c>
      <c r="J841" t="s">
        <v>126</v>
      </c>
      <c r="K841" t="s">
        <v>119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2">
        <v>0.7</v>
      </c>
      <c r="S841">
        <v>441</v>
      </c>
      <c r="T841" t="s">
        <v>27</v>
      </c>
      <c r="U841">
        <v>441</v>
      </c>
      <c r="V841" s="7" t="s">
        <v>24</v>
      </c>
      <c r="W841" s="7" t="s">
        <v>119</v>
      </c>
    </row>
    <row r="842" spans="1:23" x14ac:dyDescent="0.4">
      <c r="A842" t="s">
        <v>262</v>
      </c>
      <c r="B842" t="s">
        <v>1840</v>
      </c>
      <c r="C842" t="s">
        <v>1893</v>
      </c>
      <c r="D842" t="s">
        <v>64</v>
      </c>
      <c r="E842" t="s">
        <v>22</v>
      </c>
      <c r="F842" t="s">
        <v>23</v>
      </c>
      <c r="G842">
        <v>1</v>
      </c>
      <c r="H842">
        <v>9791166300592</v>
      </c>
      <c r="I842" t="s">
        <v>24</v>
      </c>
      <c r="J842" t="s">
        <v>161</v>
      </c>
      <c r="K842" t="s">
        <v>119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  <c r="V842" s="7" t="s">
        <v>24</v>
      </c>
      <c r="W842" s="7" t="s">
        <v>119</v>
      </c>
    </row>
    <row r="843" spans="1:23" x14ac:dyDescent="0.4">
      <c r="A843" t="s">
        <v>262</v>
      </c>
      <c r="B843" t="s">
        <v>1840</v>
      </c>
      <c r="C843" t="s">
        <v>1894</v>
      </c>
      <c r="D843" t="s">
        <v>64</v>
      </c>
      <c r="E843" t="s">
        <v>22</v>
      </c>
      <c r="F843" t="s">
        <v>23</v>
      </c>
      <c r="G843">
        <v>1</v>
      </c>
      <c r="H843">
        <v>9791166300264</v>
      </c>
      <c r="I843" t="s">
        <v>24</v>
      </c>
      <c r="J843" t="s">
        <v>135</v>
      </c>
      <c r="K843" t="s">
        <v>119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  <c r="V843" s="7" t="s">
        <v>24</v>
      </c>
      <c r="W843" s="7" t="s">
        <v>119</v>
      </c>
    </row>
    <row r="844" spans="1:23" x14ac:dyDescent="0.4">
      <c r="A844" t="s">
        <v>262</v>
      </c>
      <c r="B844" t="s">
        <v>1898</v>
      </c>
      <c r="C844" t="s">
        <v>1902</v>
      </c>
      <c r="D844" t="s">
        <v>21</v>
      </c>
      <c r="E844" t="s">
        <v>22</v>
      </c>
      <c r="F844" t="s">
        <v>23</v>
      </c>
      <c r="G844">
        <v>1</v>
      </c>
      <c r="H844">
        <v>9791166300516</v>
      </c>
      <c r="I844" t="s">
        <v>24</v>
      </c>
      <c r="J844" t="s">
        <v>149</v>
      </c>
      <c r="K844" t="s">
        <v>119</v>
      </c>
      <c r="L844" t="s">
        <v>27</v>
      </c>
      <c r="M844" s="3">
        <v>3200</v>
      </c>
      <c r="N844" t="s">
        <v>27</v>
      </c>
      <c r="O844" s="3">
        <v>3200</v>
      </c>
      <c r="P844" s="3">
        <v>3200</v>
      </c>
      <c r="Q844" t="s">
        <v>30</v>
      </c>
      <c r="R844" s="2">
        <v>0.7</v>
      </c>
      <c r="S844" s="3">
        <v>2240</v>
      </c>
      <c r="T844" t="s">
        <v>27</v>
      </c>
      <c r="U844" s="3">
        <v>2240</v>
      </c>
      <c r="V844" s="7" t="s">
        <v>24</v>
      </c>
      <c r="W844" s="7" t="s">
        <v>119</v>
      </c>
    </row>
    <row r="845" spans="1:23" x14ac:dyDescent="0.4">
      <c r="A845" t="s">
        <v>262</v>
      </c>
      <c r="B845" t="s">
        <v>1898</v>
      </c>
      <c r="C845" t="s">
        <v>1904</v>
      </c>
      <c r="D845" t="s">
        <v>64</v>
      </c>
      <c r="E845" t="s">
        <v>22</v>
      </c>
      <c r="F845" t="s">
        <v>23</v>
      </c>
      <c r="G845">
        <v>1</v>
      </c>
      <c r="H845">
        <v>9791166300660</v>
      </c>
      <c r="I845" t="s">
        <v>24</v>
      </c>
      <c r="J845" t="s">
        <v>156</v>
      </c>
      <c r="K845" t="s">
        <v>119</v>
      </c>
      <c r="L845" t="s">
        <v>27</v>
      </c>
      <c r="M845">
        <v>630</v>
      </c>
      <c r="N845" t="s">
        <v>27</v>
      </c>
      <c r="O845">
        <v>630</v>
      </c>
      <c r="P845">
        <v>630</v>
      </c>
      <c r="Q845" t="s">
        <v>30</v>
      </c>
      <c r="R845" s="2">
        <v>0.7</v>
      </c>
      <c r="S845">
        <v>441</v>
      </c>
      <c r="T845" t="s">
        <v>27</v>
      </c>
      <c r="U845">
        <v>441</v>
      </c>
      <c r="V845" s="7" t="s">
        <v>24</v>
      </c>
      <c r="W845" s="7" t="s">
        <v>119</v>
      </c>
    </row>
    <row r="846" spans="1:23" x14ac:dyDescent="0.4">
      <c r="A846" t="s">
        <v>262</v>
      </c>
      <c r="B846" t="s">
        <v>1898</v>
      </c>
      <c r="C846" t="s">
        <v>1906</v>
      </c>
      <c r="D846" t="s">
        <v>21</v>
      </c>
      <c r="E846" t="s">
        <v>22</v>
      </c>
      <c r="F846" t="s">
        <v>23</v>
      </c>
      <c r="G846">
        <v>1</v>
      </c>
      <c r="H846">
        <v>9791166300530</v>
      </c>
      <c r="I846" t="s">
        <v>24</v>
      </c>
      <c r="J846" t="s">
        <v>151</v>
      </c>
      <c r="K846" t="s">
        <v>119</v>
      </c>
      <c r="L846" t="s">
        <v>27</v>
      </c>
      <c r="M846" s="3">
        <v>3200</v>
      </c>
      <c r="N846" t="s">
        <v>27</v>
      </c>
      <c r="O846" s="3">
        <v>3200</v>
      </c>
      <c r="P846" s="3">
        <v>3200</v>
      </c>
      <c r="Q846" t="s">
        <v>30</v>
      </c>
      <c r="R846" s="2">
        <v>0.7</v>
      </c>
      <c r="S846" s="3">
        <v>2240</v>
      </c>
      <c r="T846" t="s">
        <v>27</v>
      </c>
      <c r="U846" s="3">
        <v>2240</v>
      </c>
      <c r="V846" s="7" t="s">
        <v>24</v>
      </c>
      <c r="W846" s="7" t="s">
        <v>119</v>
      </c>
    </row>
    <row r="847" spans="1:23" x14ac:dyDescent="0.4">
      <c r="A847" t="s">
        <v>262</v>
      </c>
      <c r="B847" t="s">
        <v>1898</v>
      </c>
      <c r="C847" t="s">
        <v>1910</v>
      </c>
      <c r="D847" t="s">
        <v>64</v>
      </c>
      <c r="E847" t="s">
        <v>22</v>
      </c>
      <c r="F847" t="s">
        <v>23</v>
      </c>
      <c r="G847">
        <v>1</v>
      </c>
      <c r="H847">
        <v>9791166300257</v>
      </c>
      <c r="I847" t="s">
        <v>24</v>
      </c>
      <c r="J847" t="s">
        <v>134</v>
      </c>
      <c r="K847" t="s">
        <v>119</v>
      </c>
      <c r="L847" t="s">
        <v>27</v>
      </c>
      <c r="M847">
        <v>630</v>
      </c>
      <c r="N847" t="s">
        <v>27</v>
      </c>
      <c r="O847">
        <v>630</v>
      </c>
      <c r="P847">
        <v>630</v>
      </c>
      <c r="Q847" t="s">
        <v>30</v>
      </c>
      <c r="R847" s="2">
        <v>0.7</v>
      </c>
      <c r="S847">
        <v>441</v>
      </c>
      <c r="T847" t="s">
        <v>27</v>
      </c>
      <c r="U847">
        <v>441</v>
      </c>
      <c r="V847" s="7" t="s">
        <v>24</v>
      </c>
      <c r="W847" s="7" t="s">
        <v>119</v>
      </c>
    </row>
    <row r="848" spans="1:23" x14ac:dyDescent="0.4">
      <c r="A848" t="s">
        <v>262</v>
      </c>
      <c r="B848" t="s">
        <v>1898</v>
      </c>
      <c r="C848" t="s">
        <v>1911</v>
      </c>
      <c r="D848" t="s">
        <v>64</v>
      </c>
      <c r="E848" t="s">
        <v>22</v>
      </c>
      <c r="F848" t="s">
        <v>23</v>
      </c>
      <c r="G848">
        <v>1</v>
      </c>
      <c r="H848">
        <v>9791166300608</v>
      </c>
      <c r="I848" t="s">
        <v>24</v>
      </c>
      <c r="J848" t="s">
        <v>162</v>
      </c>
      <c r="K848" t="s">
        <v>119</v>
      </c>
      <c r="L848" t="s">
        <v>27</v>
      </c>
      <c r="M848">
        <v>630</v>
      </c>
      <c r="N848" t="s">
        <v>27</v>
      </c>
      <c r="O848">
        <v>630</v>
      </c>
      <c r="P848">
        <v>630</v>
      </c>
      <c r="Q848" t="s">
        <v>30</v>
      </c>
      <c r="R848" s="2">
        <v>0.7</v>
      </c>
      <c r="S848">
        <v>441</v>
      </c>
      <c r="T848" t="s">
        <v>27</v>
      </c>
      <c r="U848">
        <v>441</v>
      </c>
      <c r="V848" s="7" t="s">
        <v>24</v>
      </c>
      <c r="W848" s="7" t="s">
        <v>119</v>
      </c>
    </row>
    <row r="849" spans="1:23" x14ac:dyDescent="0.4">
      <c r="A849" t="s">
        <v>262</v>
      </c>
      <c r="B849" t="s">
        <v>1898</v>
      </c>
      <c r="C849" t="s">
        <v>1913</v>
      </c>
      <c r="D849" t="s">
        <v>64</v>
      </c>
      <c r="E849" t="s">
        <v>22</v>
      </c>
      <c r="F849" t="s">
        <v>23</v>
      </c>
      <c r="G849">
        <v>1</v>
      </c>
      <c r="H849">
        <v>9791166300141</v>
      </c>
      <c r="I849" t="s">
        <v>24</v>
      </c>
      <c r="J849" t="s">
        <v>124</v>
      </c>
      <c r="K849" t="s">
        <v>119</v>
      </c>
      <c r="L849" t="s">
        <v>27</v>
      </c>
      <c r="M849">
        <v>630</v>
      </c>
      <c r="N849" t="s">
        <v>27</v>
      </c>
      <c r="O849">
        <v>630</v>
      </c>
      <c r="P849">
        <v>630</v>
      </c>
      <c r="Q849" t="s">
        <v>30</v>
      </c>
      <c r="R849" s="2">
        <v>0.7</v>
      </c>
      <c r="S849">
        <v>441</v>
      </c>
      <c r="T849" t="s">
        <v>27</v>
      </c>
      <c r="U849">
        <v>441</v>
      </c>
      <c r="V849" s="7" t="s">
        <v>24</v>
      </c>
      <c r="W849" s="7" t="s">
        <v>119</v>
      </c>
    </row>
    <row r="850" spans="1:23" x14ac:dyDescent="0.4">
      <c r="A850" t="s">
        <v>262</v>
      </c>
      <c r="B850" t="s">
        <v>1898</v>
      </c>
      <c r="C850" t="s">
        <v>1916</v>
      </c>
      <c r="D850" t="s">
        <v>64</v>
      </c>
      <c r="E850" t="s">
        <v>22</v>
      </c>
      <c r="F850" t="s">
        <v>23</v>
      </c>
      <c r="G850">
        <v>1</v>
      </c>
      <c r="H850">
        <v>9791166300608</v>
      </c>
      <c r="I850" t="s">
        <v>24</v>
      </c>
      <c r="J850" t="s">
        <v>162</v>
      </c>
      <c r="K850" t="s">
        <v>119</v>
      </c>
      <c r="L850" t="s">
        <v>27</v>
      </c>
      <c r="M850">
        <v>630</v>
      </c>
      <c r="N850" t="s">
        <v>27</v>
      </c>
      <c r="O850">
        <v>630</v>
      </c>
      <c r="P850">
        <v>630</v>
      </c>
      <c r="Q850" t="s">
        <v>30</v>
      </c>
      <c r="R850" s="2">
        <v>0.7</v>
      </c>
      <c r="S850">
        <v>441</v>
      </c>
      <c r="T850" t="s">
        <v>27</v>
      </c>
      <c r="U850">
        <v>441</v>
      </c>
      <c r="V850" s="7" t="s">
        <v>24</v>
      </c>
      <c r="W850" s="7" t="s">
        <v>119</v>
      </c>
    </row>
    <row r="851" spans="1:23" x14ac:dyDescent="0.4">
      <c r="A851" t="s">
        <v>262</v>
      </c>
      <c r="B851" t="s">
        <v>1898</v>
      </c>
      <c r="C851" t="s">
        <v>1917</v>
      </c>
      <c r="D851" t="s">
        <v>64</v>
      </c>
      <c r="E851" t="s">
        <v>22</v>
      </c>
      <c r="F851" t="s">
        <v>23</v>
      </c>
      <c r="G851">
        <v>1</v>
      </c>
      <c r="H851">
        <v>9791166300134</v>
      </c>
      <c r="I851" t="s">
        <v>24</v>
      </c>
      <c r="J851" t="s">
        <v>123</v>
      </c>
      <c r="K851" t="s">
        <v>119</v>
      </c>
      <c r="L851" t="s">
        <v>27</v>
      </c>
      <c r="M851">
        <v>630</v>
      </c>
      <c r="N851" t="s">
        <v>27</v>
      </c>
      <c r="O851">
        <v>630</v>
      </c>
      <c r="P851">
        <v>630</v>
      </c>
      <c r="Q851" t="s">
        <v>30</v>
      </c>
      <c r="R851" s="2">
        <v>0.7</v>
      </c>
      <c r="S851">
        <v>441</v>
      </c>
      <c r="T851" t="s">
        <v>27</v>
      </c>
      <c r="U851">
        <v>441</v>
      </c>
      <c r="V851" s="7" t="s">
        <v>24</v>
      </c>
      <c r="W851" s="7" t="s">
        <v>119</v>
      </c>
    </row>
    <row r="852" spans="1:23" x14ac:dyDescent="0.4">
      <c r="A852" t="s">
        <v>262</v>
      </c>
      <c r="B852" t="s">
        <v>1898</v>
      </c>
      <c r="C852" t="s">
        <v>1918</v>
      </c>
      <c r="D852" t="s">
        <v>64</v>
      </c>
      <c r="E852" t="s">
        <v>22</v>
      </c>
      <c r="F852" t="s">
        <v>23</v>
      </c>
      <c r="G852">
        <v>1</v>
      </c>
      <c r="H852">
        <v>9791166300653</v>
      </c>
      <c r="I852" t="s">
        <v>24</v>
      </c>
      <c r="J852" t="s">
        <v>157</v>
      </c>
      <c r="K852" t="s">
        <v>119</v>
      </c>
      <c r="L852" t="s">
        <v>27</v>
      </c>
      <c r="M852">
        <v>630</v>
      </c>
      <c r="N852" t="s">
        <v>27</v>
      </c>
      <c r="O852">
        <v>630</v>
      </c>
      <c r="P852">
        <v>630</v>
      </c>
      <c r="Q852" t="s">
        <v>30</v>
      </c>
      <c r="R852" s="2">
        <v>0.7</v>
      </c>
      <c r="S852">
        <v>441</v>
      </c>
      <c r="T852" t="s">
        <v>27</v>
      </c>
      <c r="U852">
        <v>441</v>
      </c>
      <c r="V852" s="7" t="s">
        <v>24</v>
      </c>
      <c r="W852" s="7" t="s">
        <v>119</v>
      </c>
    </row>
    <row r="853" spans="1:23" x14ac:dyDescent="0.4">
      <c r="A853" t="s">
        <v>262</v>
      </c>
      <c r="B853" t="s">
        <v>1898</v>
      </c>
      <c r="C853" t="s">
        <v>1919</v>
      </c>
      <c r="D853" t="s">
        <v>64</v>
      </c>
      <c r="E853" t="s">
        <v>22</v>
      </c>
      <c r="F853" t="s">
        <v>23</v>
      </c>
      <c r="G853">
        <v>1</v>
      </c>
      <c r="H853">
        <v>9791166300110</v>
      </c>
      <c r="I853" t="s">
        <v>24</v>
      </c>
      <c r="J853" t="s">
        <v>121</v>
      </c>
      <c r="K853" t="s">
        <v>119</v>
      </c>
      <c r="L853" t="s">
        <v>27</v>
      </c>
      <c r="M853">
        <v>630</v>
      </c>
      <c r="N853" t="s">
        <v>27</v>
      </c>
      <c r="O853">
        <v>630</v>
      </c>
      <c r="P853">
        <v>630</v>
      </c>
      <c r="Q853" t="s">
        <v>30</v>
      </c>
      <c r="R853" s="2">
        <v>0.7</v>
      </c>
      <c r="S853">
        <v>441</v>
      </c>
      <c r="T853" t="s">
        <v>27</v>
      </c>
      <c r="U853">
        <v>441</v>
      </c>
      <c r="V853" s="7" t="s">
        <v>24</v>
      </c>
      <c r="W853" s="7" t="s">
        <v>119</v>
      </c>
    </row>
    <row r="854" spans="1:23" x14ac:dyDescent="0.4">
      <c r="A854" t="s">
        <v>262</v>
      </c>
      <c r="B854" t="s">
        <v>1898</v>
      </c>
      <c r="C854" t="s">
        <v>1927</v>
      </c>
      <c r="D854" t="s">
        <v>64</v>
      </c>
      <c r="E854" t="s">
        <v>22</v>
      </c>
      <c r="F854" t="s">
        <v>23</v>
      </c>
      <c r="G854">
        <v>1</v>
      </c>
      <c r="H854">
        <v>9791166300172</v>
      </c>
      <c r="I854" t="s">
        <v>24</v>
      </c>
      <c r="J854" t="s">
        <v>127</v>
      </c>
      <c r="K854" t="s">
        <v>119</v>
      </c>
      <c r="L854" t="s">
        <v>27</v>
      </c>
      <c r="M854">
        <v>630</v>
      </c>
      <c r="N854" t="s">
        <v>27</v>
      </c>
      <c r="O854">
        <v>630</v>
      </c>
      <c r="P854">
        <v>630</v>
      </c>
      <c r="Q854" t="s">
        <v>30</v>
      </c>
      <c r="R854" s="2">
        <v>0.7</v>
      </c>
      <c r="S854">
        <v>441</v>
      </c>
      <c r="T854" t="s">
        <v>27</v>
      </c>
      <c r="U854">
        <v>441</v>
      </c>
      <c r="V854" s="7" t="s">
        <v>24</v>
      </c>
      <c r="W854" s="7" t="s">
        <v>119</v>
      </c>
    </row>
    <row r="855" spans="1:23" x14ac:dyDescent="0.4">
      <c r="A855" t="s">
        <v>262</v>
      </c>
      <c r="B855" t="s">
        <v>1898</v>
      </c>
      <c r="C855" t="s">
        <v>1928</v>
      </c>
      <c r="D855" t="s">
        <v>21</v>
      </c>
      <c r="E855" t="s">
        <v>22</v>
      </c>
      <c r="F855" t="s">
        <v>23</v>
      </c>
      <c r="G855">
        <v>1</v>
      </c>
      <c r="H855">
        <v>9791166300523</v>
      </c>
      <c r="I855" t="s">
        <v>24</v>
      </c>
      <c r="J855" t="s">
        <v>150</v>
      </c>
      <c r="K855" t="s">
        <v>119</v>
      </c>
      <c r="L855" t="s">
        <v>27</v>
      </c>
      <c r="M855" s="3">
        <v>3200</v>
      </c>
      <c r="N855" t="s">
        <v>27</v>
      </c>
      <c r="O855" s="3">
        <v>3200</v>
      </c>
      <c r="P855" s="3">
        <v>3200</v>
      </c>
      <c r="Q855" t="s">
        <v>30</v>
      </c>
      <c r="R855" s="2">
        <v>0.7</v>
      </c>
      <c r="S855" s="3">
        <v>2240</v>
      </c>
      <c r="T855" t="s">
        <v>27</v>
      </c>
      <c r="U855" s="3">
        <v>2240</v>
      </c>
      <c r="V855" s="7" t="s">
        <v>24</v>
      </c>
      <c r="W855" s="7" t="s">
        <v>119</v>
      </c>
    </row>
    <row r="856" spans="1:23" x14ac:dyDescent="0.4">
      <c r="A856" t="s">
        <v>262</v>
      </c>
      <c r="B856" t="s">
        <v>1898</v>
      </c>
      <c r="C856" t="s">
        <v>1929</v>
      </c>
      <c r="D856" t="s">
        <v>21</v>
      </c>
      <c r="E856" t="s">
        <v>22</v>
      </c>
      <c r="F856" t="s">
        <v>23</v>
      </c>
      <c r="G856">
        <v>1</v>
      </c>
      <c r="H856">
        <v>9791166300547</v>
      </c>
      <c r="I856" t="s">
        <v>24</v>
      </c>
      <c r="J856" t="s">
        <v>153</v>
      </c>
      <c r="K856" t="s">
        <v>119</v>
      </c>
      <c r="L856" t="s">
        <v>27</v>
      </c>
      <c r="M856" s="3">
        <v>3200</v>
      </c>
      <c r="N856" t="s">
        <v>27</v>
      </c>
      <c r="O856" s="3">
        <v>3200</v>
      </c>
      <c r="P856" s="3">
        <v>3200</v>
      </c>
      <c r="Q856" t="s">
        <v>30</v>
      </c>
      <c r="R856" s="2">
        <v>0.7</v>
      </c>
      <c r="S856" s="3">
        <v>2240</v>
      </c>
      <c r="T856" t="s">
        <v>27</v>
      </c>
      <c r="U856" s="3">
        <v>2240</v>
      </c>
      <c r="V856" s="7" t="s">
        <v>24</v>
      </c>
      <c r="W856" s="7" t="s">
        <v>119</v>
      </c>
    </row>
    <row r="857" spans="1:23" x14ac:dyDescent="0.4">
      <c r="A857" t="s">
        <v>262</v>
      </c>
      <c r="B857" t="s">
        <v>1898</v>
      </c>
      <c r="C857" t="s">
        <v>1932</v>
      </c>
      <c r="D857" t="s">
        <v>64</v>
      </c>
      <c r="E857" t="s">
        <v>22</v>
      </c>
      <c r="F857" t="s">
        <v>23</v>
      </c>
      <c r="G857">
        <v>1</v>
      </c>
      <c r="H857">
        <v>9791166300264</v>
      </c>
      <c r="I857" t="s">
        <v>24</v>
      </c>
      <c r="J857" t="s">
        <v>135</v>
      </c>
      <c r="K857" t="s">
        <v>119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2">
        <v>0.7</v>
      </c>
      <c r="S857">
        <v>441</v>
      </c>
      <c r="T857" t="s">
        <v>27</v>
      </c>
      <c r="U857">
        <v>441</v>
      </c>
      <c r="V857" s="7" t="s">
        <v>24</v>
      </c>
      <c r="W857" s="7" t="s">
        <v>119</v>
      </c>
    </row>
    <row r="858" spans="1:23" x14ac:dyDescent="0.4">
      <c r="A858" t="s">
        <v>262</v>
      </c>
      <c r="B858" t="s">
        <v>1898</v>
      </c>
      <c r="C858" t="s">
        <v>1943</v>
      </c>
      <c r="D858" t="s">
        <v>64</v>
      </c>
      <c r="E858" t="s">
        <v>22</v>
      </c>
      <c r="F858" t="s">
        <v>23</v>
      </c>
      <c r="G858">
        <v>1</v>
      </c>
      <c r="H858">
        <v>9791166300141</v>
      </c>
      <c r="I858" t="s">
        <v>24</v>
      </c>
      <c r="J858" t="s">
        <v>124</v>
      </c>
      <c r="K858" t="s">
        <v>119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2">
        <v>0.7</v>
      </c>
      <c r="S858">
        <v>441</v>
      </c>
      <c r="T858" t="s">
        <v>27</v>
      </c>
      <c r="U858">
        <v>441</v>
      </c>
      <c r="V858" s="7" t="s">
        <v>24</v>
      </c>
      <c r="W858" s="7" t="s">
        <v>119</v>
      </c>
    </row>
    <row r="859" spans="1:23" x14ac:dyDescent="0.4">
      <c r="A859" t="s">
        <v>262</v>
      </c>
      <c r="B859" t="s">
        <v>1898</v>
      </c>
      <c r="C859" t="s">
        <v>1944</v>
      </c>
      <c r="D859" t="s">
        <v>64</v>
      </c>
      <c r="E859" t="s">
        <v>22</v>
      </c>
      <c r="F859" t="s">
        <v>23</v>
      </c>
      <c r="G859">
        <v>1</v>
      </c>
      <c r="H859">
        <v>9791166300622</v>
      </c>
      <c r="I859" t="s">
        <v>24</v>
      </c>
      <c r="J859" t="s">
        <v>164</v>
      </c>
      <c r="K859" t="s">
        <v>119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  <c r="V859" s="7" t="s">
        <v>24</v>
      </c>
      <c r="W859" s="7" t="s">
        <v>119</v>
      </c>
    </row>
    <row r="860" spans="1:23" x14ac:dyDescent="0.4">
      <c r="A860" t="s">
        <v>262</v>
      </c>
      <c r="B860" t="s">
        <v>1898</v>
      </c>
      <c r="C860" t="s">
        <v>1946</v>
      </c>
      <c r="D860" t="s">
        <v>64</v>
      </c>
      <c r="E860" t="s">
        <v>22</v>
      </c>
      <c r="F860" t="s">
        <v>23</v>
      </c>
      <c r="G860">
        <v>1</v>
      </c>
      <c r="H860">
        <v>9791166300257</v>
      </c>
      <c r="I860" t="s">
        <v>24</v>
      </c>
      <c r="J860" t="s">
        <v>134</v>
      </c>
      <c r="K860" t="s">
        <v>119</v>
      </c>
      <c r="L860" t="s">
        <v>27</v>
      </c>
      <c r="M860">
        <v>630</v>
      </c>
      <c r="N860" t="s">
        <v>27</v>
      </c>
      <c r="O860">
        <v>630</v>
      </c>
      <c r="P860">
        <v>630</v>
      </c>
      <c r="Q860" t="s">
        <v>30</v>
      </c>
      <c r="R860" s="2">
        <v>0.7</v>
      </c>
      <c r="S860">
        <v>441</v>
      </c>
      <c r="T860" t="s">
        <v>27</v>
      </c>
      <c r="U860">
        <v>441</v>
      </c>
      <c r="V860" s="7" t="s">
        <v>24</v>
      </c>
      <c r="W860" s="7" t="s">
        <v>119</v>
      </c>
    </row>
    <row r="861" spans="1:23" x14ac:dyDescent="0.4">
      <c r="A861" t="s">
        <v>262</v>
      </c>
      <c r="B861" t="s">
        <v>1898</v>
      </c>
      <c r="C861" t="s">
        <v>1947</v>
      </c>
      <c r="D861" t="s">
        <v>64</v>
      </c>
      <c r="E861" t="s">
        <v>22</v>
      </c>
      <c r="F861" t="s">
        <v>23</v>
      </c>
      <c r="G861">
        <v>1</v>
      </c>
      <c r="H861">
        <v>9791166300202</v>
      </c>
      <c r="I861" t="s">
        <v>24</v>
      </c>
      <c r="J861" t="s">
        <v>129</v>
      </c>
      <c r="K861" t="s">
        <v>119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  <c r="V861" s="7" t="s">
        <v>24</v>
      </c>
      <c r="W861" s="7" t="s">
        <v>119</v>
      </c>
    </row>
    <row r="862" spans="1:23" x14ac:dyDescent="0.4">
      <c r="A862" t="s">
        <v>262</v>
      </c>
      <c r="B862" t="s">
        <v>1898</v>
      </c>
      <c r="C862" t="s">
        <v>1950</v>
      </c>
      <c r="D862" t="s">
        <v>64</v>
      </c>
      <c r="E862" t="s">
        <v>22</v>
      </c>
      <c r="F862" t="s">
        <v>23</v>
      </c>
      <c r="G862">
        <v>1</v>
      </c>
      <c r="H862">
        <v>9791166300639</v>
      </c>
      <c r="I862" t="s">
        <v>24</v>
      </c>
      <c r="J862" t="s">
        <v>165</v>
      </c>
      <c r="K862" t="s">
        <v>119</v>
      </c>
      <c r="L862" t="s">
        <v>27</v>
      </c>
      <c r="M862">
        <v>630</v>
      </c>
      <c r="N862" t="s">
        <v>27</v>
      </c>
      <c r="O862">
        <v>630</v>
      </c>
      <c r="P862">
        <v>630</v>
      </c>
      <c r="Q862" t="s">
        <v>30</v>
      </c>
      <c r="R862" s="2">
        <v>0.7</v>
      </c>
      <c r="S862">
        <v>441</v>
      </c>
      <c r="T862" t="s">
        <v>27</v>
      </c>
      <c r="U862">
        <v>441</v>
      </c>
      <c r="V862" s="7" t="s">
        <v>24</v>
      </c>
      <c r="W862" s="7" t="s">
        <v>119</v>
      </c>
    </row>
    <row r="863" spans="1:23" x14ac:dyDescent="0.4">
      <c r="A863" t="s">
        <v>262</v>
      </c>
      <c r="B863" t="s">
        <v>1953</v>
      </c>
      <c r="C863" t="s">
        <v>1955</v>
      </c>
      <c r="D863" t="s">
        <v>64</v>
      </c>
      <c r="E863" t="s">
        <v>22</v>
      </c>
      <c r="F863" t="s">
        <v>23</v>
      </c>
      <c r="G863">
        <v>1</v>
      </c>
      <c r="H863">
        <v>9791166300271</v>
      </c>
      <c r="I863" t="s">
        <v>24</v>
      </c>
      <c r="J863" t="s">
        <v>136</v>
      </c>
      <c r="K863" t="s">
        <v>119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2">
        <v>0.7</v>
      </c>
      <c r="S863">
        <v>441</v>
      </c>
      <c r="T863" t="s">
        <v>27</v>
      </c>
      <c r="U863">
        <v>441</v>
      </c>
      <c r="V863" s="7" t="s">
        <v>24</v>
      </c>
      <c r="W863" s="7" t="s">
        <v>119</v>
      </c>
    </row>
    <row r="864" spans="1:23" x14ac:dyDescent="0.4">
      <c r="A864" t="s">
        <v>262</v>
      </c>
      <c r="B864" t="s">
        <v>1953</v>
      </c>
      <c r="C864" t="s">
        <v>1957</v>
      </c>
      <c r="D864" t="s">
        <v>64</v>
      </c>
      <c r="E864" t="s">
        <v>22</v>
      </c>
      <c r="F864" t="s">
        <v>23</v>
      </c>
      <c r="G864">
        <v>1</v>
      </c>
      <c r="H864">
        <v>9791166300196</v>
      </c>
      <c r="I864" t="s">
        <v>24</v>
      </c>
      <c r="J864" t="s">
        <v>128</v>
      </c>
      <c r="K864" t="s">
        <v>119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2">
        <v>0.7</v>
      </c>
      <c r="S864">
        <v>441</v>
      </c>
      <c r="T864" t="s">
        <v>27</v>
      </c>
      <c r="U864">
        <v>441</v>
      </c>
      <c r="V864" s="7" t="s">
        <v>24</v>
      </c>
      <c r="W864" s="7" t="s">
        <v>119</v>
      </c>
    </row>
    <row r="865" spans="1:23" x14ac:dyDescent="0.4">
      <c r="A865" t="s">
        <v>262</v>
      </c>
      <c r="B865" t="s">
        <v>1953</v>
      </c>
      <c r="C865" t="s">
        <v>1959</v>
      </c>
      <c r="D865" t="s">
        <v>64</v>
      </c>
      <c r="E865" t="s">
        <v>22</v>
      </c>
      <c r="F865" t="s">
        <v>23</v>
      </c>
      <c r="G865">
        <v>1</v>
      </c>
      <c r="H865">
        <v>9791166300646</v>
      </c>
      <c r="I865" t="s">
        <v>24</v>
      </c>
      <c r="J865" t="s">
        <v>155</v>
      </c>
      <c r="K865" t="s">
        <v>119</v>
      </c>
      <c r="L865" t="s">
        <v>27</v>
      </c>
      <c r="M865">
        <v>630</v>
      </c>
      <c r="N865" t="s">
        <v>27</v>
      </c>
      <c r="O865">
        <v>630</v>
      </c>
      <c r="P865">
        <v>630</v>
      </c>
      <c r="Q865" t="s">
        <v>30</v>
      </c>
      <c r="R865" s="2">
        <v>0.7</v>
      </c>
      <c r="S865">
        <v>441</v>
      </c>
      <c r="T865" t="s">
        <v>27</v>
      </c>
      <c r="U865">
        <v>441</v>
      </c>
      <c r="V865" s="7" t="s">
        <v>24</v>
      </c>
      <c r="W865" s="7" t="s">
        <v>119</v>
      </c>
    </row>
    <row r="866" spans="1:23" x14ac:dyDescent="0.4">
      <c r="A866" t="s">
        <v>262</v>
      </c>
      <c r="B866" t="s">
        <v>1953</v>
      </c>
      <c r="C866" t="s">
        <v>1962</v>
      </c>
      <c r="D866" t="s">
        <v>64</v>
      </c>
      <c r="E866" t="s">
        <v>22</v>
      </c>
      <c r="F866" t="s">
        <v>23</v>
      </c>
      <c r="G866">
        <v>1</v>
      </c>
      <c r="H866">
        <v>9791166300615</v>
      </c>
      <c r="I866" t="s">
        <v>24</v>
      </c>
      <c r="J866" t="s">
        <v>163</v>
      </c>
      <c r="K866" t="s">
        <v>119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  <c r="V866" s="7" t="s">
        <v>24</v>
      </c>
      <c r="W866" s="7" t="s">
        <v>119</v>
      </c>
    </row>
    <row r="867" spans="1:23" x14ac:dyDescent="0.4">
      <c r="A867" t="s">
        <v>262</v>
      </c>
      <c r="B867" t="s">
        <v>1953</v>
      </c>
      <c r="C867" t="s">
        <v>1963</v>
      </c>
      <c r="D867" t="s">
        <v>64</v>
      </c>
      <c r="E867" t="s">
        <v>22</v>
      </c>
      <c r="F867" t="s">
        <v>23</v>
      </c>
      <c r="G867">
        <v>1</v>
      </c>
      <c r="H867">
        <v>9791166300264</v>
      </c>
      <c r="I867" t="s">
        <v>24</v>
      </c>
      <c r="J867" t="s">
        <v>135</v>
      </c>
      <c r="K867" t="s">
        <v>119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  <c r="V867" s="7" t="s">
        <v>24</v>
      </c>
      <c r="W867" s="7" t="s">
        <v>119</v>
      </c>
    </row>
    <row r="868" spans="1:23" x14ac:dyDescent="0.4">
      <c r="A868" t="s">
        <v>262</v>
      </c>
      <c r="B868" t="s">
        <v>1953</v>
      </c>
      <c r="C868" t="s">
        <v>1964</v>
      </c>
      <c r="D868" t="s">
        <v>64</v>
      </c>
      <c r="E868" t="s">
        <v>22</v>
      </c>
      <c r="F868" t="s">
        <v>23</v>
      </c>
      <c r="G868">
        <v>1</v>
      </c>
      <c r="H868">
        <v>9791166300219</v>
      </c>
      <c r="I868" t="s">
        <v>24</v>
      </c>
      <c r="J868" t="s">
        <v>130</v>
      </c>
      <c r="K868" t="s">
        <v>119</v>
      </c>
      <c r="L868" t="s">
        <v>27</v>
      </c>
      <c r="M868">
        <v>630</v>
      </c>
      <c r="N868" t="s">
        <v>27</v>
      </c>
      <c r="O868">
        <v>630</v>
      </c>
      <c r="P868">
        <v>630</v>
      </c>
      <c r="Q868" t="s">
        <v>30</v>
      </c>
      <c r="R868" s="2">
        <v>0.7</v>
      </c>
      <c r="S868">
        <v>441</v>
      </c>
      <c r="T868" t="s">
        <v>27</v>
      </c>
      <c r="U868">
        <v>441</v>
      </c>
      <c r="V868" s="7" t="s">
        <v>24</v>
      </c>
      <c r="W868" s="7" t="s">
        <v>119</v>
      </c>
    </row>
    <row r="869" spans="1:23" x14ac:dyDescent="0.4">
      <c r="A869" t="s">
        <v>262</v>
      </c>
      <c r="B869" t="s">
        <v>1953</v>
      </c>
      <c r="C869" t="s">
        <v>1965</v>
      </c>
      <c r="D869" t="s">
        <v>21</v>
      </c>
      <c r="E869" t="s">
        <v>22</v>
      </c>
      <c r="F869" t="s">
        <v>23</v>
      </c>
      <c r="G869">
        <v>1</v>
      </c>
      <c r="H869">
        <v>9791166300554</v>
      </c>
      <c r="I869" t="s">
        <v>24</v>
      </c>
      <c r="J869" t="s">
        <v>154</v>
      </c>
      <c r="K869" t="s">
        <v>119</v>
      </c>
      <c r="L869" t="s">
        <v>27</v>
      </c>
      <c r="M869" s="3">
        <v>3200</v>
      </c>
      <c r="N869" t="s">
        <v>27</v>
      </c>
      <c r="O869" s="3">
        <v>3200</v>
      </c>
      <c r="P869" s="3">
        <v>3200</v>
      </c>
      <c r="Q869" t="s">
        <v>30</v>
      </c>
      <c r="R869" s="2">
        <v>0.7</v>
      </c>
      <c r="S869" s="3">
        <v>2240</v>
      </c>
      <c r="T869" t="s">
        <v>27</v>
      </c>
      <c r="U869" s="3">
        <v>2240</v>
      </c>
      <c r="V869" s="7" t="s">
        <v>24</v>
      </c>
      <c r="W869" s="7" t="s">
        <v>119</v>
      </c>
    </row>
    <row r="870" spans="1:23" x14ac:dyDescent="0.4">
      <c r="A870" t="s">
        <v>262</v>
      </c>
      <c r="B870" t="s">
        <v>1953</v>
      </c>
      <c r="C870" t="s">
        <v>1966</v>
      </c>
      <c r="D870" t="s">
        <v>21</v>
      </c>
      <c r="E870" t="s">
        <v>22</v>
      </c>
      <c r="F870" t="s">
        <v>23</v>
      </c>
      <c r="G870">
        <v>1</v>
      </c>
      <c r="H870">
        <v>9791166300530</v>
      </c>
      <c r="I870" t="s">
        <v>24</v>
      </c>
      <c r="J870" t="s">
        <v>151</v>
      </c>
      <c r="K870" t="s">
        <v>119</v>
      </c>
      <c r="L870" t="s">
        <v>27</v>
      </c>
      <c r="M870" s="3">
        <v>3200</v>
      </c>
      <c r="N870" t="s">
        <v>27</v>
      </c>
      <c r="O870" s="3">
        <v>3200</v>
      </c>
      <c r="P870" s="3">
        <v>3200</v>
      </c>
      <c r="Q870" t="s">
        <v>30</v>
      </c>
      <c r="R870" s="2">
        <v>0.7</v>
      </c>
      <c r="S870" s="3">
        <v>2240</v>
      </c>
      <c r="T870" t="s">
        <v>27</v>
      </c>
      <c r="U870" s="3">
        <v>2240</v>
      </c>
      <c r="V870" s="7" t="s">
        <v>24</v>
      </c>
      <c r="W870" s="7" t="s">
        <v>119</v>
      </c>
    </row>
    <row r="871" spans="1:23" x14ac:dyDescent="0.4">
      <c r="A871" t="s">
        <v>262</v>
      </c>
      <c r="B871" t="s">
        <v>1953</v>
      </c>
      <c r="C871" t="s">
        <v>1972</v>
      </c>
      <c r="D871" t="s">
        <v>64</v>
      </c>
      <c r="E871" t="s">
        <v>22</v>
      </c>
      <c r="F871" t="s">
        <v>23</v>
      </c>
      <c r="G871">
        <v>1</v>
      </c>
      <c r="H871">
        <v>9791166300158</v>
      </c>
      <c r="I871" t="s">
        <v>24</v>
      </c>
      <c r="J871" t="s">
        <v>125</v>
      </c>
      <c r="K871" t="s">
        <v>119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  <c r="V871" s="7" t="s">
        <v>24</v>
      </c>
      <c r="W871" s="7" t="s">
        <v>119</v>
      </c>
    </row>
    <row r="872" spans="1:23" x14ac:dyDescent="0.4">
      <c r="A872" t="s">
        <v>262</v>
      </c>
      <c r="B872" t="s">
        <v>1953</v>
      </c>
      <c r="C872" t="s">
        <v>1974</v>
      </c>
      <c r="D872" t="s">
        <v>64</v>
      </c>
      <c r="E872" t="s">
        <v>22</v>
      </c>
      <c r="F872" t="s">
        <v>23</v>
      </c>
      <c r="G872">
        <v>1</v>
      </c>
      <c r="H872">
        <v>9791166300691</v>
      </c>
      <c r="I872" t="s">
        <v>24</v>
      </c>
      <c r="J872" t="s">
        <v>152</v>
      </c>
      <c r="K872" t="s">
        <v>119</v>
      </c>
      <c r="L872" t="s">
        <v>27</v>
      </c>
      <c r="M872">
        <v>630</v>
      </c>
      <c r="N872" t="s">
        <v>27</v>
      </c>
      <c r="O872">
        <v>630</v>
      </c>
      <c r="P872">
        <v>630</v>
      </c>
      <c r="Q872" t="s">
        <v>30</v>
      </c>
      <c r="R872" s="2">
        <v>0.7</v>
      </c>
      <c r="S872">
        <v>441</v>
      </c>
      <c r="T872" t="s">
        <v>27</v>
      </c>
      <c r="U872">
        <v>441</v>
      </c>
      <c r="V872" s="7" t="s">
        <v>24</v>
      </c>
      <c r="W872" s="7" t="s">
        <v>119</v>
      </c>
    </row>
    <row r="873" spans="1:23" x14ac:dyDescent="0.4">
      <c r="A873" t="s">
        <v>262</v>
      </c>
      <c r="B873" t="s">
        <v>1953</v>
      </c>
      <c r="C873" t="s">
        <v>1984</v>
      </c>
      <c r="D873" t="s">
        <v>64</v>
      </c>
      <c r="E873" t="s">
        <v>22</v>
      </c>
      <c r="F873" t="s">
        <v>23</v>
      </c>
      <c r="G873">
        <v>1</v>
      </c>
      <c r="H873">
        <v>9791166300103</v>
      </c>
      <c r="I873" t="s">
        <v>24</v>
      </c>
      <c r="J873" t="s">
        <v>120</v>
      </c>
      <c r="K873" t="s">
        <v>119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2">
        <v>0.7</v>
      </c>
      <c r="S873">
        <v>441</v>
      </c>
      <c r="T873" t="s">
        <v>27</v>
      </c>
      <c r="U873">
        <v>441</v>
      </c>
      <c r="V873" s="7" t="s">
        <v>24</v>
      </c>
      <c r="W873" s="7" t="s">
        <v>119</v>
      </c>
    </row>
    <row r="874" spans="1:23" x14ac:dyDescent="0.4">
      <c r="A874" t="s">
        <v>262</v>
      </c>
      <c r="B874" t="s">
        <v>1953</v>
      </c>
      <c r="C874" t="s">
        <v>1986</v>
      </c>
      <c r="D874" t="s">
        <v>64</v>
      </c>
      <c r="E874" t="s">
        <v>22</v>
      </c>
      <c r="F874" t="s">
        <v>23</v>
      </c>
      <c r="G874">
        <v>1</v>
      </c>
      <c r="H874">
        <v>9791166300127</v>
      </c>
      <c r="I874" t="s">
        <v>24</v>
      </c>
      <c r="J874" t="s">
        <v>122</v>
      </c>
      <c r="K874" t="s">
        <v>119</v>
      </c>
      <c r="L874" t="s">
        <v>27</v>
      </c>
      <c r="M874">
        <v>630</v>
      </c>
      <c r="N874" t="s">
        <v>27</v>
      </c>
      <c r="O874">
        <v>630</v>
      </c>
      <c r="P874">
        <v>630</v>
      </c>
      <c r="Q874" t="s">
        <v>30</v>
      </c>
      <c r="R874" s="2">
        <v>0.7</v>
      </c>
      <c r="S874">
        <v>441</v>
      </c>
      <c r="T874" t="s">
        <v>27</v>
      </c>
      <c r="U874">
        <v>441</v>
      </c>
      <c r="V874" s="7" t="s">
        <v>24</v>
      </c>
      <c r="W874" s="7" t="s">
        <v>119</v>
      </c>
    </row>
    <row r="875" spans="1:23" x14ac:dyDescent="0.4">
      <c r="A875" t="s">
        <v>262</v>
      </c>
      <c r="B875" t="s">
        <v>1953</v>
      </c>
      <c r="C875" t="s">
        <v>1987</v>
      </c>
      <c r="D875" t="s">
        <v>64</v>
      </c>
      <c r="E875" t="s">
        <v>22</v>
      </c>
      <c r="F875" t="s">
        <v>23</v>
      </c>
      <c r="G875">
        <v>1</v>
      </c>
      <c r="H875">
        <v>9791166300103</v>
      </c>
      <c r="I875" t="s">
        <v>24</v>
      </c>
      <c r="J875" t="s">
        <v>120</v>
      </c>
      <c r="K875" t="s">
        <v>119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  <c r="V875" s="7" t="s">
        <v>24</v>
      </c>
      <c r="W875" s="7" t="s">
        <v>119</v>
      </c>
    </row>
    <row r="876" spans="1:23" x14ac:dyDescent="0.4">
      <c r="A876" t="s">
        <v>262</v>
      </c>
      <c r="B876" t="s">
        <v>1953</v>
      </c>
      <c r="C876" t="s">
        <v>1988</v>
      </c>
      <c r="D876" t="s">
        <v>64</v>
      </c>
      <c r="E876" t="s">
        <v>22</v>
      </c>
      <c r="F876" t="s">
        <v>23</v>
      </c>
      <c r="G876">
        <v>1</v>
      </c>
      <c r="H876">
        <v>9791166300165</v>
      </c>
      <c r="I876" t="s">
        <v>24</v>
      </c>
      <c r="J876" t="s">
        <v>126</v>
      </c>
      <c r="K876" t="s">
        <v>119</v>
      </c>
      <c r="L876" t="s">
        <v>27</v>
      </c>
      <c r="M876">
        <v>630</v>
      </c>
      <c r="N876" t="s">
        <v>27</v>
      </c>
      <c r="O876">
        <v>630</v>
      </c>
      <c r="P876">
        <v>630</v>
      </c>
      <c r="Q876" t="s">
        <v>30</v>
      </c>
      <c r="R876" s="2">
        <v>0.7</v>
      </c>
      <c r="S876">
        <v>441</v>
      </c>
      <c r="T876" t="s">
        <v>27</v>
      </c>
      <c r="U876">
        <v>441</v>
      </c>
      <c r="V876" s="7" t="s">
        <v>24</v>
      </c>
      <c r="W876" s="7" t="s">
        <v>119</v>
      </c>
    </row>
    <row r="877" spans="1:23" x14ac:dyDescent="0.4">
      <c r="A877" t="s">
        <v>262</v>
      </c>
      <c r="B877" t="s">
        <v>1953</v>
      </c>
      <c r="C877" t="s">
        <v>1989</v>
      </c>
      <c r="D877" t="s">
        <v>21</v>
      </c>
      <c r="E877" t="s">
        <v>22</v>
      </c>
      <c r="F877" t="s">
        <v>23</v>
      </c>
      <c r="G877">
        <v>1</v>
      </c>
      <c r="H877">
        <v>9791166300547</v>
      </c>
      <c r="I877" t="s">
        <v>24</v>
      </c>
      <c r="J877" t="s">
        <v>153</v>
      </c>
      <c r="K877" t="s">
        <v>119</v>
      </c>
      <c r="L877" t="s">
        <v>27</v>
      </c>
      <c r="M877" s="3">
        <v>3200</v>
      </c>
      <c r="N877" t="s">
        <v>27</v>
      </c>
      <c r="O877" s="3">
        <v>3200</v>
      </c>
      <c r="P877" s="3">
        <v>3200</v>
      </c>
      <c r="Q877" t="s">
        <v>30</v>
      </c>
      <c r="R877" s="2">
        <v>0.7</v>
      </c>
      <c r="S877" s="3">
        <v>2240</v>
      </c>
      <c r="T877" t="s">
        <v>27</v>
      </c>
      <c r="U877" s="3">
        <v>2240</v>
      </c>
      <c r="V877" s="7" t="s">
        <v>24</v>
      </c>
      <c r="W877" s="7" t="s">
        <v>119</v>
      </c>
    </row>
    <row r="878" spans="1:23" x14ac:dyDescent="0.4">
      <c r="A878" t="s">
        <v>262</v>
      </c>
      <c r="B878" t="s">
        <v>1953</v>
      </c>
      <c r="C878" t="s">
        <v>1997</v>
      </c>
      <c r="D878" t="s">
        <v>64</v>
      </c>
      <c r="E878" t="s">
        <v>22</v>
      </c>
      <c r="F878" t="s">
        <v>23</v>
      </c>
      <c r="G878">
        <v>1</v>
      </c>
      <c r="H878">
        <v>9791166300202</v>
      </c>
      <c r="I878" t="s">
        <v>24</v>
      </c>
      <c r="J878" t="s">
        <v>129</v>
      </c>
      <c r="K878" t="s">
        <v>119</v>
      </c>
      <c r="L878" t="s">
        <v>27</v>
      </c>
      <c r="M878">
        <v>630</v>
      </c>
      <c r="N878" t="s">
        <v>27</v>
      </c>
      <c r="O878">
        <v>630</v>
      </c>
      <c r="P878">
        <v>630</v>
      </c>
      <c r="Q878" t="s">
        <v>30</v>
      </c>
      <c r="R878" s="2">
        <v>0.7</v>
      </c>
      <c r="S878">
        <v>441</v>
      </c>
      <c r="T878" t="s">
        <v>27</v>
      </c>
      <c r="U878">
        <v>441</v>
      </c>
      <c r="V878" s="7" t="s">
        <v>24</v>
      </c>
      <c r="W878" s="7" t="s">
        <v>119</v>
      </c>
    </row>
    <row r="879" spans="1:23" x14ac:dyDescent="0.4">
      <c r="A879" t="s">
        <v>262</v>
      </c>
      <c r="B879" t="s">
        <v>1953</v>
      </c>
      <c r="C879" t="s">
        <v>2000</v>
      </c>
      <c r="D879" t="s">
        <v>64</v>
      </c>
      <c r="E879" t="s">
        <v>22</v>
      </c>
      <c r="F879" t="s">
        <v>23</v>
      </c>
      <c r="G879">
        <v>1</v>
      </c>
      <c r="H879">
        <v>9791166300288</v>
      </c>
      <c r="I879" t="s">
        <v>24</v>
      </c>
      <c r="J879" t="s">
        <v>137</v>
      </c>
      <c r="K879" t="s">
        <v>119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  <c r="V879" s="7" t="s">
        <v>24</v>
      </c>
      <c r="W879" s="7" t="s">
        <v>119</v>
      </c>
    </row>
    <row r="880" spans="1:23" x14ac:dyDescent="0.4">
      <c r="A880" t="s">
        <v>262</v>
      </c>
      <c r="B880" t="s">
        <v>1953</v>
      </c>
      <c r="C880" t="s">
        <v>2004</v>
      </c>
      <c r="D880" t="s">
        <v>64</v>
      </c>
      <c r="E880" t="s">
        <v>22</v>
      </c>
      <c r="F880" t="s">
        <v>23</v>
      </c>
      <c r="G880">
        <v>1</v>
      </c>
      <c r="H880">
        <v>9791166300264</v>
      </c>
      <c r="I880" t="s">
        <v>24</v>
      </c>
      <c r="J880" t="s">
        <v>135</v>
      </c>
      <c r="K880" t="s">
        <v>119</v>
      </c>
      <c r="L880" t="s">
        <v>27</v>
      </c>
      <c r="M880">
        <v>630</v>
      </c>
      <c r="N880" t="s">
        <v>27</v>
      </c>
      <c r="O880">
        <v>630</v>
      </c>
      <c r="P880">
        <v>630</v>
      </c>
      <c r="Q880" t="s">
        <v>30</v>
      </c>
      <c r="R880" s="2">
        <v>0.7</v>
      </c>
      <c r="S880">
        <v>441</v>
      </c>
      <c r="T880" t="s">
        <v>27</v>
      </c>
      <c r="U880">
        <v>441</v>
      </c>
      <c r="V880" s="7" t="s">
        <v>24</v>
      </c>
      <c r="W880" s="7" t="s">
        <v>119</v>
      </c>
    </row>
    <row r="881" spans="1:23" x14ac:dyDescent="0.4">
      <c r="A881" t="s">
        <v>262</v>
      </c>
      <c r="B881" t="s">
        <v>1953</v>
      </c>
      <c r="C881" t="s">
        <v>2005</v>
      </c>
      <c r="D881" t="s">
        <v>64</v>
      </c>
      <c r="E881" t="s">
        <v>22</v>
      </c>
      <c r="F881" t="s">
        <v>23</v>
      </c>
      <c r="G881">
        <v>1</v>
      </c>
      <c r="H881">
        <v>9791166300110</v>
      </c>
      <c r="I881" t="s">
        <v>24</v>
      </c>
      <c r="J881" t="s">
        <v>121</v>
      </c>
      <c r="K881" t="s">
        <v>119</v>
      </c>
      <c r="L881" t="s">
        <v>27</v>
      </c>
      <c r="M881">
        <v>630</v>
      </c>
      <c r="N881" t="s">
        <v>27</v>
      </c>
      <c r="O881">
        <v>630</v>
      </c>
      <c r="P881">
        <v>630</v>
      </c>
      <c r="Q881" t="s">
        <v>30</v>
      </c>
      <c r="R881" s="2">
        <v>0.7</v>
      </c>
      <c r="S881">
        <v>441</v>
      </c>
      <c r="T881" t="s">
        <v>27</v>
      </c>
      <c r="U881">
        <v>441</v>
      </c>
      <c r="V881" s="7" t="s">
        <v>24</v>
      </c>
      <c r="W881" s="7" t="s">
        <v>119</v>
      </c>
    </row>
    <row r="882" spans="1:23" x14ac:dyDescent="0.4">
      <c r="A882" t="s">
        <v>262</v>
      </c>
      <c r="B882" t="s">
        <v>1953</v>
      </c>
      <c r="C882" t="s">
        <v>2013</v>
      </c>
      <c r="D882" t="s">
        <v>64</v>
      </c>
      <c r="E882" t="s">
        <v>22</v>
      </c>
      <c r="F882" t="s">
        <v>23</v>
      </c>
      <c r="G882">
        <v>1</v>
      </c>
      <c r="H882">
        <v>9791166300172</v>
      </c>
      <c r="I882" t="s">
        <v>24</v>
      </c>
      <c r="J882" t="s">
        <v>127</v>
      </c>
      <c r="K882" t="s">
        <v>119</v>
      </c>
      <c r="L882" t="s">
        <v>27</v>
      </c>
      <c r="M882">
        <v>630</v>
      </c>
      <c r="N882" t="s">
        <v>27</v>
      </c>
      <c r="O882">
        <v>630</v>
      </c>
      <c r="P882">
        <v>630</v>
      </c>
      <c r="Q882" t="s">
        <v>30</v>
      </c>
      <c r="R882" s="2">
        <v>0.7</v>
      </c>
      <c r="S882">
        <v>441</v>
      </c>
      <c r="T882" t="s">
        <v>27</v>
      </c>
      <c r="U882">
        <v>441</v>
      </c>
      <c r="V882" s="7" t="s">
        <v>24</v>
      </c>
      <c r="W882" s="7" t="s">
        <v>119</v>
      </c>
    </row>
    <row r="883" spans="1:23" x14ac:dyDescent="0.4">
      <c r="A883" t="s">
        <v>262</v>
      </c>
      <c r="B883" t="s">
        <v>1953</v>
      </c>
      <c r="C883" t="s">
        <v>2015</v>
      </c>
      <c r="D883" t="s">
        <v>64</v>
      </c>
      <c r="E883" t="s">
        <v>22</v>
      </c>
      <c r="F883" t="s">
        <v>23</v>
      </c>
      <c r="G883">
        <v>1</v>
      </c>
      <c r="H883">
        <v>9791166300127</v>
      </c>
      <c r="I883" t="s">
        <v>24</v>
      </c>
      <c r="J883" t="s">
        <v>122</v>
      </c>
      <c r="K883" t="s">
        <v>119</v>
      </c>
      <c r="L883" t="s">
        <v>27</v>
      </c>
      <c r="M883">
        <v>630</v>
      </c>
      <c r="N883" t="s">
        <v>27</v>
      </c>
      <c r="O883">
        <v>630</v>
      </c>
      <c r="P883">
        <v>630</v>
      </c>
      <c r="Q883" t="s">
        <v>30</v>
      </c>
      <c r="R883" s="2">
        <v>0.7</v>
      </c>
      <c r="S883">
        <v>441</v>
      </c>
      <c r="T883" t="s">
        <v>27</v>
      </c>
      <c r="U883">
        <v>441</v>
      </c>
      <c r="V883" s="7" t="s">
        <v>24</v>
      </c>
      <c r="W883" s="7" t="s">
        <v>119</v>
      </c>
    </row>
    <row r="884" spans="1:23" x14ac:dyDescent="0.4">
      <c r="A884" t="s">
        <v>262</v>
      </c>
      <c r="B884" t="s">
        <v>2017</v>
      </c>
      <c r="C884" t="s">
        <v>2020</v>
      </c>
      <c r="D884" t="s">
        <v>64</v>
      </c>
      <c r="E884" t="s">
        <v>22</v>
      </c>
      <c r="F884" t="s">
        <v>23</v>
      </c>
      <c r="G884">
        <v>1</v>
      </c>
      <c r="H884">
        <v>9791166300493</v>
      </c>
      <c r="I884" t="s">
        <v>24</v>
      </c>
      <c r="J884" t="s">
        <v>147</v>
      </c>
      <c r="K884" t="s">
        <v>119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2">
        <v>0.7</v>
      </c>
      <c r="S884">
        <v>441</v>
      </c>
      <c r="T884" t="s">
        <v>27</v>
      </c>
      <c r="U884">
        <v>441</v>
      </c>
      <c r="V884" s="7" t="s">
        <v>24</v>
      </c>
      <c r="W884" s="7" t="s">
        <v>119</v>
      </c>
    </row>
    <row r="885" spans="1:23" x14ac:dyDescent="0.4">
      <c r="A885" t="s">
        <v>262</v>
      </c>
      <c r="B885" t="s">
        <v>2017</v>
      </c>
      <c r="C885" t="s">
        <v>2021</v>
      </c>
      <c r="D885" t="s">
        <v>64</v>
      </c>
      <c r="E885" t="s">
        <v>22</v>
      </c>
      <c r="F885" t="s">
        <v>23</v>
      </c>
      <c r="G885">
        <v>1</v>
      </c>
      <c r="H885">
        <v>9791166300103</v>
      </c>
      <c r="I885" t="s">
        <v>24</v>
      </c>
      <c r="J885" t="s">
        <v>120</v>
      </c>
      <c r="K885" t="s">
        <v>119</v>
      </c>
      <c r="L885" t="s">
        <v>27</v>
      </c>
      <c r="M885">
        <v>630</v>
      </c>
      <c r="N885" t="s">
        <v>27</v>
      </c>
      <c r="O885">
        <v>630</v>
      </c>
      <c r="P885">
        <v>630</v>
      </c>
      <c r="Q885" t="s">
        <v>30</v>
      </c>
      <c r="R885" s="2">
        <v>0.7</v>
      </c>
      <c r="S885">
        <v>441</v>
      </c>
      <c r="T885" t="s">
        <v>27</v>
      </c>
      <c r="U885">
        <v>441</v>
      </c>
      <c r="V885" s="7" t="s">
        <v>24</v>
      </c>
      <c r="W885" s="7" t="s">
        <v>119</v>
      </c>
    </row>
    <row r="886" spans="1:23" x14ac:dyDescent="0.4">
      <c r="A886" t="s">
        <v>262</v>
      </c>
      <c r="B886" t="s">
        <v>2017</v>
      </c>
      <c r="C886" t="s">
        <v>2025</v>
      </c>
      <c r="D886" t="s">
        <v>64</v>
      </c>
      <c r="E886" t="s">
        <v>22</v>
      </c>
      <c r="F886" t="s">
        <v>23</v>
      </c>
      <c r="G886">
        <v>1</v>
      </c>
      <c r="H886">
        <v>9791166300271</v>
      </c>
      <c r="I886" t="s">
        <v>24</v>
      </c>
      <c r="J886" t="s">
        <v>136</v>
      </c>
      <c r="K886" t="s">
        <v>119</v>
      </c>
      <c r="L886" t="s">
        <v>27</v>
      </c>
      <c r="M886">
        <v>630</v>
      </c>
      <c r="N886" t="s">
        <v>27</v>
      </c>
      <c r="O886">
        <v>630</v>
      </c>
      <c r="P886">
        <v>630</v>
      </c>
      <c r="Q886" t="s">
        <v>30</v>
      </c>
      <c r="R886" s="2">
        <v>0.7</v>
      </c>
      <c r="S886">
        <v>441</v>
      </c>
      <c r="T886" t="s">
        <v>27</v>
      </c>
      <c r="U886">
        <v>441</v>
      </c>
      <c r="V886" s="7" t="s">
        <v>24</v>
      </c>
      <c r="W886" s="7" t="s">
        <v>119</v>
      </c>
    </row>
    <row r="887" spans="1:23" x14ac:dyDescent="0.4">
      <c r="A887" t="s">
        <v>262</v>
      </c>
      <c r="B887" t="s">
        <v>2017</v>
      </c>
      <c r="C887" t="s">
        <v>2026</v>
      </c>
      <c r="D887" t="s">
        <v>21</v>
      </c>
      <c r="E887" t="s">
        <v>22</v>
      </c>
      <c r="F887" t="s">
        <v>23</v>
      </c>
      <c r="G887">
        <v>1</v>
      </c>
      <c r="H887">
        <v>9791166300561</v>
      </c>
      <c r="I887" t="s">
        <v>24</v>
      </c>
      <c r="J887" t="s">
        <v>158</v>
      </c>
      <c r="K887" t="s">
        <v>119</v>
      </c>
      <c r="L887" t="s">
        <v>27</v>
      </c>
      <c r="M887" s="3">
        <v>3200</v>
      </c>
      <c r="N887" t="s">
        <v>27</v>
      </c>
      <c r="O887" s="3">
        <v>3200</v>
      </c>
      <c r="P887" s="3">
        <v>3200</v>
      </c>
      <c r="Q887" t="s">
        <v>30</v>
      </c>
      <c r="R887" s="2">
        <v>0.7</v>
      </c>
      <c r="S887" s="3">
        <v>2240</v>
      </c>
      <c r="T887" t="s">
        <v>27</v>
      </c>
      <c r="U887" s="3">
        <v>2240</v>
      </c>
      <c r="V887" s="7" t="s">
        <v>24</v>
      </c>
      <c r="W887" s="7" t="s">
        <v>119</v>
      </c>
    </row>
    <row r="888" spans="1:23" x14ac:dyDescent="0.4">
      <c r="A888" t="s">
        <v>262</v>
      </c>
      <c r="B888" t="s">
        <v>2017</v>
      </c>
      <c r="C888" t="s">
        <v>2026</v>
      </c>
      <c r="D888" t="s">
        <v>21</v>
      </c>
      <c r="E888" t="s">
        <v>22</v>
      </c>
      <c r="F888" t="s">
        <v>23</v>
      </c>
      <c r="G888">
        <v>1</v>
      </c>
      <c r="H888">
        <v>9791166300578</v>
      </c>
      <c r="I888" t="s">
        <v>24</v>
      </c>
      <c r="J888" t="s">
        <v>159</v>
      </c>
      <c r="K888" t="s">
        <v>119</v>
      </c>
      <c r="L888" t="s">
        <v>27</v>
      </c>
      <c r="M888" s="3">
        <v>3200</v>
      </c>
      <c r="N888" t="s">
        <v>27</v>
      </c>
      <c r="O888" s="3">
        <v>3200</v>
      </c>
      <c r="P888" s="3">
        <v>3200</v>
      </c>
      <c r="Q888" t="s">
        <v>30</v>
      </c>
      <c r="R888" s="2">
        <v>0.7</v>
      </c>
      <c r="S888" s="3">
        <v>2240</v>
      </c>
      <c r="T888" t="s">
        <v>27</v>
      </c>
      <c r="U888" s="3">
        <v>2240</v>
      </c>
      <c r="V888" s="7" t="s">
        <v>24</v>
      </c>
      <c r="W888" s="7" t="s">
        <v>119</v>
      </c>
    </row>
    <row r="889" spans="1:23" x14ac:dyDescent="0.4">
      <c r="A889" t="s">
        <v>262</v>
      </c>
      <c r="B889" t="s">
        <v>2017</v>
      </c>
      <c r="C889" t="s">
        <v>2031</v>
      </c>
      <c r="D889" t="s">
        <v>64</v>
      </c>
      <c r="E889" t="s">
        <v>22</v>
      </c>
      <c r="F889" t="s">
        <v>23</v>
      </c>
      <c r="G889">
        <v>1</v>
      </c>
      <c r="H889">
        <v>9791166300134</v>
      </c>
      <c r="I889" t="s">
        <v>24</v>
      </c>
      <c r="J889" t="s">
        <v>123</v>
      </c>
      <c r="K889" t="s">
        <v>119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2">
        <v>0.7</v>
      </c>
      <c r="S889">
        <v>441</v>
      </c>
      <c r="T889" t="s">
        <v>27</v>
      </c>
      <c r="U889">
        <v>441</v>
      </c>
      <c r="V889" s="7" t="s">
        <v>24</v>
      </c>
      <c r="W889" s="7" t="s">
        <v>119</v>
      </c>
    </row>
    <row r="890" spans="1:23" x14ac:dyDescent="0.4">
      <c r="A890" t="s">
        <v>262</v>
      </c>
      <c r="B890" t="s">
        <v>2017</v>
      </c>
      <c r="C890" t="s">
        <v>2034</v>
      </c>
      <c r="D890" t="s">
        <v>21</v>
      </c>
      <c r="E890" t="s">
        <v>22</v>
      </c>
      <c r="F890" t="s">
        <v>23</v>
      </c>
      <c r="G890">
        <v>1</v>
      </c>
      <c r="H890">
        <v>9791166300554</v>
      </c>
      <c r="I890" t="s">
        <v>24</v>
      </c>
      <c r="J890" t="s">
        <v>154</v>
      </c>
      <c r="K890" t="s">
        <v>119</v>
      </c>
      <c r="L890" t="s">
        <v>27</v>
      </c>
      <c r="M890" s="3">
        <v>3200</v>
      </c>
      <c r="N890" t="s">
        <v>27</v>
      </c>
      <c r="O890" s="3">
        <v>3200</v>
      </c>
      <c r="P890" s="3">
        <v>3200</v>
      </c>
      <c r="Q890" t="s">
        <v>30</v>
      </c>
      <c r="R890" s="2">
        <v>0.7</v>
      </c>
      <c r="S890" s="3">
        <v>2240</v>
      </c>
      <c r="T890" t="s">
        <v>27</v>
      </c>
      <c r="U890" s="3">
        <v>2240</v>
      </c>
      <c r="V890" s="7" t="s">
        <v>24</v>
      </c>
      <c r="W890" s="7" t="s">
        <v>119</v>
      </c>
    </row>
    <row r="891" spans="1:23" x14ac:dyDescent="0.4">
      <c r="A891" t="s">
        <v>262</v>
      </c>
      <c r="B891" t="s">
        <v>2017</v>
      </c>
      <c r="C891" t="s">
        <v>2035</v>
      </c>
      <c r="D891" t="s">
        <v>64</v>
      </c>
      <c r="E891" t="s">
        <v>22</v>
      </c>
      <c r="F891" t="s">
        <v>23</v>
      </c>
      <c r="G891">
        <v>1</v>
      </c>
      <c r="H891">
        <v>9791166300196</v>
      </c>
      <c r="I891" t="s">
        <v>24</v>
      </c>
      <c r="J891" t="s">
        <v>128</v>
      </c>
      <c r="K891" t="s">
        <v>119</v>
      </c>
      <c r="L891" t="s">
        <v>27</v>
      </c>
      <c r="M891">
        <v>630</v>
      </c>
      <c r="N891" t="s">
        <v>27</v>
      </c>
      <c r="O891">
        <v>630</v>
      </c>
      <c r="P891">
        <v>630</v>
      </c>
      <c r="Q891" t="s">
        <v>30</v>
      </c>
      <c r="R891" s="2">
        <v>0.7</v>
      </c>
      <c r="S891">
        <v>441</v>
      </c>
      <c r="T891" t="s">
        <v>27</v>
      </c>
      <c r="U891">
        <v>441</v>
      </c>
      <c r="V891" s="7" t="s">
        <v>24</v>
      </c>
      <c r="W891" s="7" t="s">
        <v>119</v>
      </c>
    </row>
    <row r="892" spans="1:23" x14ac:dyDescent="0.4">
      <c r="A892" t="s">
        <v>262</v>
      </c>
      <c r="B892" t="s">
        <v>2017</v>
      </c>
      <c r="C892" t="s">
        <v>2036</v>
      </c>
      <c r="D892" t="s">
        <v>64</v>
      </c>
      <c r="E892" t="s">
        <v>22</v>
      </c>
      <c r="F892" t="s">
        <v>23</v>
      </c>
      <c r="G892">
        <v>1</v>
      </c>
      <c r="H892">
        <v>9791166300622</v>
      </c>
      <c r="I892" t="s">
        <v>24</v>
      </c>
      <c r="J892" t="s">
        <v>164</v>
      </c>
      <c r="K892" t="s">
        <v>119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  <c r="V892" s="7" t="s">
        <v>24</v>
      </c>
      <c r="W892" s="7" t="s">
        <v>119</v>
      </c>
    </row>
    <row r="893" spans="1:23" x14ac:dyDescent="0.4">
      <c r="A893" t="s">
        <v>262</v>
      </c>
      <c r="B893" t="s">
        <v>2017</v>
      </c>
      <c r="C893" t="s">
        <v>2049</v>
      </c>
      <c r="D893" t="s">
        <v>64</v>
      </c>
      <c r="E893" t="s">
        <v>22</v>
      </c>
      <c r="F893" t="s">
        <v>23</v>
      </c>
      <c r="G893">
        <v>1</v>
      </c>
      <c r="H893">
        <v>9791166300134</v>
      </c>
      <c r="I893" t="s">
        <v>24</v>
      </c>
      <c r="J893" t="s">
        <v>123</v>
      </c>
      <c r="K893" t="s">
        <v>119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  <c r="V893" s="7" t="s">
        <v>24</v>
      </c>
      <c r="W893" s="7" t="s">
        <v>119</v>
      </c>
    </row>
    <row r="894" spans="1:23" x14ac:dyDescent="0.4">
      <c r="A894" t="s">
        <v>262</v>
      </c>
      <c r="B894" t="s">
        <v>2017</v>
      </c>
      <c r="C894" t="s">
        <v>2052</v>
      </c>
      <c r="D894" t="s">
        <v>64</v>
      </c>
      <c r="E894" t="s">
        <v>22</v>
      </c>
      <c r="F894" t="s">
        <v>23</v>
      </c>
      <c r="G894">
        <v>1</v>
      </c>
      <c r="H894">
        <v>9791166300202</v>
      </c>
      <c r="I894" t="s">
        <v>24</v>
      </c>
      <c r="J894" t="s">
        <v>129</v>
      </c>
      <c r="K894" t="s">
        <v>119</v>
      </c>
      <c r="L894" t="s">
        <v>27</v>
      </c>
      <c r="M894">
        <v>630</v>
      </c>
      <c r="N894" t="s">
        <v>27</v>
      </c>
      <c r="O894">
        <v>630</v>
      </c>
      <c r="P894">
        <v>630</v>
      </c>
      <c r="Q894" t="s">
        <v>30</v>
      </c>
      <c r="R894" s="2">
        <v>0.7</v>
      </c>
      <c r="S894">
        <v>441</v>
      </c>
      <c r="T894" t="s">
        <v>27</v>
      </c>
      <c r="U894">
        <v>441</v>
      </c>
      <c r="V894" s="7" t="s">
        <v>24</v>
      </c>
      <c r="W894" s="7" t="s">
        <v>119</v>
      </c>
    </row>
    <row r="895" spans="1:23" x14ac:dyDescent="0.4">
      <c r="A895" t="s">
        <v>262</v>
      </c>
      <c r="B895" t="s">
        <v>2017</v>
      </c>
      <c r="C895" t="s">
        <v>2055</v>
      </c>
      <c r="D895" t="s">
        <v>64</v>
      </c>
      <c r="E895" t="s">
        <v>22</v>
      </c>
      <c r="F895" t="s">
        <v>23</v>
      </c>
      <c r="G895">
        <v>1</v>
      </c>
      <c r="H895">
        <v>9791166300110</v>
      </c>
      <c r="I895" t="s">
        <v>24</v>
      </c>
      <c r="J895" t="s">
        <v>121</v>
      </c>
      <c r="K895" t="s">
        <v>119</v>
      </c>
      <c r="L895" t="s">
        <v>27</v>
      </c>
      <c r="M895">
        <v>630</v>
      </c>
      <c r="N895" t="s">
        <v>27</v>
      </c>
      <c r="O895">
        <v>630</v>
      </c>
      <c r="P895">
        <v>630</v>
      </c>
      <c r="Q895" t="s">
        <v>30</v>
      </c>
      <c r="R895" s="2">
        <v>0.7</v>
      </c>
      <c r="S895">
        <v>441</v>
      </c>
      <c r="T895" t="s">
        <v>27</v>
      </c>
      <c r="U895">
        <v>441</v>
      </c>
      <c r="V895" s="7" t="s">
        <v>24</v>
      </c>
      <c r="W895" s="7" t="s">
        <v>119</v>
      </c>
    </row>
    <row r="896" spans="1:23" x14ac:dyDescent="0.4">
      <c r="A896" t="s">
        <v>262</v>
      </c>
      <c r="B896" t="s">
        <v>2017</v>
      </c>
      <c r="C896" t="s">
        <v>2056</v>
      </c>
      <c r="D896" t="s">
        <v>64</v>
      </c>
      <c r="E896" t="s">
        <v>22</v>
      </c>
      <c r="F896" t="s">
        <v>23</v>
      </c>
      <c r="G896">
        <v>1</v>
      </c>
      <c r="H896">
        <v>9791166300219</v>
      </c>
      <c r="I896" t="s">
        <v>24</v>
      </c>
      <c r="J896" t="s">
        <v>130</v>
      </c>
      <c r="K896" t="s">
        <v>119</v>
      </c>
      <c r="L896" t="s">
        <v>27</v>
      </c>
      <c r="M896">
        <v>630</v>
      </c>
      <c r="N896" t="s">
        <v>27</v>
      </c>
      <c r="O896">
        <v>630</v>
      </c>
      <c r="P896">
        <v>630</v>
      </c>
      <c r="Q896" t="s">
        <v>30</v>
      </c>
      <c r="R896" s="2">
        <v>0.7</v>
      </c>
      <c r="S896">
        <v>441</v>
      </c>
      <c r="T896" t="s">
        <v>27</v>
      </c>
      <c r="U896">
        <v>441</v>
      </c>
      <c r="V896" s="7" t="s">
        <v>24</v>
      </c>
      <c r="W896" s="7" t="s">
        <v>119</v>
      </c>
    </row>
    <row r="897" spans="1:23" x14ac:dyDescent="0.4">
      <c r="A897" t="s">
        <v>262</v>
      </c>
      <c r="B897" t="s">
        <v>2017</v>
      </c>
      <c r="C897" t="s">
        <v>2057</v>
      </c>
      <c r="D897" t="s">
        <v>64</v>
      </c>
      <c r="E897" t="s">
        <v>22</v>
      </c>
      <c r="F897" t="s">
        <v>23</v>
      </c>
      <c r="G897">
        <v>1</v>
      </c>
      <c r="H897">
        <v>9791166300271</v>
      </c>
      <c r="I897" t="s">
        <v>24</v>
      </c>
      <c r="J897" t="s">
        <v>136</v>
      </c>
      <c r="K897" t="s">
        <v>119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2">
        <v>0.7</v>
      </c>
      <c r="S897">
        <v>441</v>
      </c>
      <c r="T897" t="s">
        <v>27</v>
      </c>
      <c r="U897">
        <v>441</v>
      </c>
      <c r="V897" s="7" t="s">
        <v>24</v>
      </c>
      <c r="W897" s="7" t="s">
        <v>119</v>
      </c>
    </row>
    <row r="898" spans="1:23" x14ac:dyDescent="0.4">
      <c r="A898" t="s">
        <v>262</v>
      </c>
      <c r="B898" t="s">
        <v>2017</v>
      </c>
      <c r="C898" t="s">
        <v>2058</v>
      </c>
      <c r="D898" t="s">
        <v>64</v>
      </c>
      <c r="E898" t="s">
        <v>22</v>
      </c>
      <c r="F898" t="s">
        <v>23</v>
      </c>
      <c r="G898">
        <v>1</v>
      </c>
      <c r="H898">
        <v>9791166300646</v>
      </c>
      <c r="I898" t="s">
        <v>24</v>
      </c>
      <c r="J898" t="s">
        <v>155</v>
      </c>
      <c r="K898" t="s">
        <v>119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  <c r="V898" s="7" t="s">
        <v>24</v>
      </c>
      <c r="W898" s="7" t="s">
        <v>119</v>
      </c>
    </row>
    <row r="899" spans="1:23" x14ac:dyDescent="0.4">
      <c r="A899" t="s">
        <v>262</v>
      </c>
      <c r="B899" t="s">
        <v>2017</v>
      </c>
      <c r="C899" t="s">
        <v>2059</v>
      </c>
      <c r="D899" t="s">
        <v>64</v>
      </c>
      <c r="E899" t="s">
        <v>22</v>
      </c>
      <c r="F899" t="s">
        <v>23</v>
      </c>
      <c r="G899">
        <v>1</v>
      </c>
      <c r="H899">
        <v>9791166300509</v>
      </c>
      <c r="I899" t="s">
        <v>24</v>
      </c>
      <c r="J899" t="s">
        <v>148</v>
      </c>
      <c r="K899" t="s">
        <v>119</v>
      </c>
      <c r="L899" t="s">
        <v>27</v>
      </c>
      <c r="M899">
        <v>630</v>
      </c>
      <c r="N899" t="s">
        <v>27</v>
      </c>
      <c r="O899">
        <v>630</v>
      </c>
      <c r="P899">
        <v>630</v>
      </c>
      <c r="Q899" t="s">
        <v>30</v>
      </c>
      <c r="R899" s="2">
        <v>0.7</v>
      </c>
      <c r="S899">
        <v>441</v>
      </c>
      <c r="T899" t="s">
        <v>27</v>
      </c>
      <c r="U899">
        <v>441</v>
      </c>
      <c r="V899" s="7" t="s">
        <v>24</v>
      </c>
      <c r="W899" s="7" t="s">
        <v>119</v>
      </c>
    </row>
    <row r="900" spans="1:23" x14ac:dyDescent="0.4">
      <c r="A900" t="s">
        <v>262</v>
      </c>
      <c r="B900" t="s">
        <v>2017</v>
      </c>
      <c r="C900" t="s">
        <v>2061</v>
      </c>
      <c r="D900" t="s">
        <v>64</v>
      </c>
      <c r="E900" t="s">
        <v>22</v>
      </c>
      <c r="F900" t="s">
        <v>23</v>
      </c>
      <c r="G900">
        <v>1</v>
      </c>
      <c r="H900">
        <v>9791166300288</v>
      </c>
      <c r="I900" t="s">
        <v>24</v>
      </c>
      <c r="J900" t="s">
        <v>137</v>
      </c>
      <c r="K900" t="s">
        <v>119</v>
      </c>
      <c r="L900" t="s">
        <v>27</v>
      </c>
      <c r="M900">
        <v>630</v>
      </c>
      <c r="N900" t="s">
        <v>27</v>
      </c>
      <c r="O900">
        <v>630</v>
      </c>
      <c r="P900">
        <v>630</v>
      </c>
      <c r="Q900" t="s">
        <v>30</v>
      </c>
      <c r="R900" s="2">
        <v>0.7</v>
      </c>
      <c r="S900">
        <v>441</v>
      </c>
      <c r="T900" t="s">
        <v>27</v>
      </c>
      <c r="U900">
        <v>441</v>
      </c>
      <c r="V900" s="7" t="s">
        <v>24</v>
      </c>
      <c r="W900" s="7" t="s">
        <v>119</v>
      </c>
    </row>
    <row r="901" spans="1:23" x14ac:dyDescent="0.4">
      <c r="A901" t="s">
        <v>262</v>
      </c>
      <c r="B901" t="s">
        <v>2017</v>
      </c>
      <c r="C901" t="s">
        <v>2063</v>
      </c>
      <c r="D901" t="s">
        <v>64</v>
      </c>
      <c r="E901" t="s">
        <v>22</v>
      </c>
      <c r="F901" t="s">
        <v>23</v>
      </c>
      <c r="G901">
        <v>1</v>
      </c>
      <c r="H901">
        <v>9791166300127</v>
      </c>
      <c r="I901" t="s">
        <v>24</v>
      </c>
      <c r="J901" t="s">
        <v>122</v>
      </c>
      <c r="K901" t="s">
        <v>119</v>
      </c>
      <c r="L901" t="s">
        <v>27</v>
      </c>
      <c r="M901">
        <v>630</v>
      </c>
      <c r="N901" t="s">
        <v>27</v>
      </c>
      <c r="O901">
        <v>630</v>
      </c>
      <c r="P901">
        <v>630</v>
      </c>
      <c r="Q901" t="s">
        <v>30</v>
      </c>
      <c r="R901" s="2">
        <v>0.7</v>
      </c>
      <c r="S901">
        <v>441</v>
      </c>
      <c r="T901" t="s">
        <v>27</v>
      </c>
      <c r="U901">
        <v>441</v>
      </c>
      <c r="V901" s="7" t="s">
        <v>24</v>
      </c>
      <c r="W901" s="7" t="s">
        <v>119</v>
      </c>
    </row>
    <row r="902" spans="1:23" x14ac:dyDescent="0.4">
      <c r="A902" t="s">
        <v>262</v>
      </c>
      <c r="B902" t="s">
        <v>2017</v>
      </c>
      <c r="C902" t="s">
        <v>2064</v>
      </c>
      <c r="D902" t="s">
        <v>21</v>
      </c>
      <c r="E902" t="s">
        <v>22</v>
      </c>
      <c r="F902" t="s">
        <v>23</v>
      </c>
      <c r="G902">
        <v>1</v>
      </c>
      <c r="H902">
        <v>9791166300585</v>
      </c>
      <c r="I902" t="s">
        <v>24</v>
      </c>
      <c r="J902" t="s">
        <v>160</v>
      </c>
      <c r="K902" t="s">
        <v>119</v>
      </c>
      <c r="L902" t="s">
        <v>27</v>
      </c>
      <c r="M902" s="3">
        <v>3200</v>
      </c>
      <c r="N902" t="s">
        <v>27</v>
      </c>
      <c r="O902" s="3">
        <v>3200</v>
      </c>
      <c r="P902" s="3">
        <v>3200</v>
      </c>
      <c r="Q902" t="s">
        <v>30</v>
      </c>
      <c r="R902" s="2">
        <v>0.7</v>
      </c>
      <c r="S902" s="3">
        <v>2240</v>
      </c>
      <c r="T902" t="s">
        <v>27</v>
      </c>
      <c r="U902" s="3">
        <v>2240</v>
      </c>
      <c r="V902" s="7" t="s">
        <v>24</v>
      </c>
      <c r="W902" s="7" t="s">
        <v>119</v>
      </c>
    </row>
    <row r="903" spans="1:23" x14ac:dyDescent="0.4">
      <c r="A903" t="s">
        <v>262</v>
      </c>
      <c r="B903" t="s">
        <v>2017</v>
      </c>
      <c r="C903" t="s">
        <v>2068</v>
      </c>
      <c r="D903" t="s">
        <v>64</v>
      </c>
      <c r="E903" t="s">
        <v>22</v>
      </c>
      <c r="F903" t="s">
        <v>23</v>
      </c>
      <c r="G903">
        <v>1</v>
      </c>
      <c r="H903">
        <v>9791166300288</v>
      </c>
      <c r="I903" t="s">
        <v>24</v>
      </c>
      <c r="J903" t="s">
        <v>137</v>
      </c>
      <c r="K903" t="s">
        <v>119</v>
      </c>
      <c r="L903" t="s">
        <v>27</v>
      </c>
      <c r="M903">
        <v>630</v>
      </c>
      <c r="N903" t="s">
        <v>27</v>
      </c>
      <c r="O903">
        <v>630</v>
      </c>
      <c r="P903">
        <v>630</v>
      </c>
      <c r="Q903" t="s">
        <v>30</v>
      </c>
      <c r="R903" s="2">
        <v>0.7</v>
      </c>
      <c r="S903">
        <v>441</v>
      </c>
      <c r="T903" t="s">
        <v>27</v>
      </c>
      <c r="U903">
        <v>441</v>
      </c>
      <c r="V903" s="7" t="s">
        <v>24</v>
      </c>
      <c r="W903" s="7" t="s">
        <v>119</v>
      </c>
    </row>
    <row r="904" spans="1:23" x14ac:dyDescent="0.4">
      <c r="A904" t="s">
        <v>262</v>
      </c>
      <c r="B904" t="s">
        <v>2017</v>
      </c>
      <c r="C904" t="s">
        <v>2070</v>
      </c>
      <c r="D904" t="s">
        <v>64</v>
      </c>
      <c r="E904" t="s">
        <v>22</v>
      </c>
      <c r="F904" t="s">
        <v>23</v>
      </c>
      <c r="G904">
        <v>1</v>
      </c>
      <c r="H904">
        <v>9791166300271</v>
      </c>
      <c r="I904" t="s">
        <v>24</v>
      </c>
      <c r="J904" t="s">
        <v>136</v>
      </c>
      <c r="K904" t="s">
        <v>119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  <c r="V904" s="7" t="s">
        <v>24</v>
      </c>
      <c r="W904" s="7" t="s">
        <v>119</v>
      </c>
    </row>
    <row r="905" spans="1:23" x14ac:dyDescent="0.4">
      <c r="A905" t="s">
        <v>262</v>
      </c>
      <c r="B905" t="s">
        <v>2017</v>
      </c>
      <c r="C905" t="s">
        <v>2071</v>
      </c>
      <c r="D905" t="s">
        <v>64</v>
      </c>
      <c r="E905" t="s">
        <v>22</v>
      </c>
      <c r="F905" t="s">
        <v>23</v>
      </c>
      <c r="G905">
        <v>1</v>
      </c>
      <c r="H905">
        <v>9791166300134</v>
      </c>
      <c r="I905" t="s">
        <v>24</v>
      </c>
      <c r="J905" t="s">
        <v>123</v>
      </c>
      <c r="K905" t="s">
        <v>119</v>
      </c>
      <c r="L905" t="s">
        <v>27</v>
      </c>
      <c r="M905">
        <v>630</v>
      </c>
      <c r="N905" t="s">
        <v>27</v>
      </c>
      <c r="O905">
        <v>630</v>
      </c>
      <c r="P905">
        <v>630</v>
      </c>
      <c r="Q905" t="s">
        <v>30</v>
      </c>
      <c r="R905" s="2">
        <v>0.7</v>
      </c>
      <c r="S905">
        <v>441</v>
      </c>
      <c r="T905" t="s">
        <v>27</v>
      </c>
      <c r="U905">
        <v>441</v>
      </c>
      <c r="V905" s="7" t="s">
        <v>24</v>
      </c>
      <c r="W905" s="7" t="s">
        <v>119</v>
      </c>
    </row>
    <row r="906" spans="1:23" x14ac:dyDescent="0.4">
      <c r="A906" t="s">
        <v>262</v>
      </c>
      <c r="B906" t="s">
        <v>2017</v>
      </c>
      <c r="C906" t="s">
        <v>2072</v>
      </c>
      <c r="D906" t="s">
        <v>64</v>
      </c>
      <c r="E906" t="s">
        <v>22</v>
      </c>
      <c r="F906" t="s">
        <v>23</v>
      </c>
      <c r="G906">
        <v>1</v>
      </c>
      <c r="H906">
        <v>9791166300639</v>
      </c>
      <c r="I906" t="s">
        <v>24</v>
      </c>
      <c r="J906" t="s">
        <v>165</v>
      </c>
      <c r="K906" t="s">
        <v>119</v>
      </c>
      <c r="L906" t="s">
        <v>27</v>
      </c>
      <c r="M906">
        <v>630</v>
      </c>
      <c r="N906" t="s">
        <v>27</v>
      </c>
      <c r="O906">
        <v>630</v>
      </c>
      <c r="P906">
        <v>630</v>
      </c>
      <c r="Q906" t="s">
        <v>30</v>
      </c>
      <c r="R906" s="2">
        <v>0.7</v>
      </c>
      <c r="S906">
        <v>441</v>
      </c>
      <c r="T906" t="s">
        <v>27</v>
      </c>
      <c r="U906">
        <v>441</v>
      </c>
      <c r="V906" s="7" t="s">
        <v>24</v>
      </c>
      <c r="W906" s="7" t="s">
        <v>119</v>
      </c>
    </row>
    <row r="907" spans="1:23" x14ac:dyDescent="0.4">
      <c r="A907" t="s">
        <v>262</v>
      </c>
      <c r="B907" t="s">
        <v>2017</v>
      </c>
      <c r="C907" t="s">
        <v>2073</v>
      </c>
      <c r="D907" t="s">
        <v>64</v>
      </c>
      <c r="E907" t="s">
        <v>22</v>
      </c>
      <c r="F907" t="s">
        <v>23</v>
      </c>
      <c r="G907">
        <v>1</v>
      </c>
      <c r="H907">
        <v>9791166300226</v>
      </c>
      <c r="I907" t="s">
        <v>24</v>
      </c>
      <c r="J907" t="s">
        <v>131</v>
      </c>
      <c r="K907" t="s">
        <v>119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441</v>
      </c>
      <c r="T907" t="s">
        <v>27</v>
      </c>
      <c r="U907">
        <v>441</v>
      </c>
      <c r="V907" s="7" t="s">
        <v>24</v>
      </c>
      <c r="W907" s="7" t="s">
        <v>119</v>
      </c>
    </row>
    <row r="908" spans="1:23" x14ac:dyDescent="0.4">
      <c r="A908" t="s">
        <v>262</v>
      </c>
      <c r="B908" t="s">
        <v>2017</v>
      </c>
      <c r="C908" t="s">
        <v>2074</v>
      </c>
      <c r="D908" t="s">
        <v>21</v>
      </c>
      <c r="E908" t="s">
        <v>22</v>
      </c>
      <c r="F908" t="s">
        <v>23</v>
      </c>
      <c r="G908">
        <v>1</v>
      </c>
      <c r="H908">
        <v>9791166300592</v>
      </c>
      <c r="I908" t="s">
        <v>24</v>
      </c>
      <c r="J908" t="s">
        <v>161</v>
      </c>
      <c r="K908" t="s">
        <v>119</v>
      </c>
      <c r="L908" t="s">
        <v>27</v>
      </c>
      <c r="M908" s="3">
        <v>3200</v>
      </c>
      <c r="N908" t="s">
        <v>27</v>
      </c>
      <c r="O908" s="3">
        <v>3200</v>
      </c>
      <c r="P908" s="3">
        <v>3200</v>
      </c>
      <c r="Q908" t="s">
        <v>30</v>
      </c>
      <c r="R908" s="2">
        <v>0.7</v>
      </c>
      <c r="S908" s="3">
        <v>2240</v>
      </c>
      <c r="T908" t="s">
        <v>27</v>
      </c>
      <c r="U908" s="3">
        <v>2240</v>
      </c>
      <c r="V908" s="7" t="s">
        <v>24</v>
      </c>
      <c r="W908" s="7" t="s">
        <v>119</v>
      </c>
    </row>
    <row r="909" spans="1:23" x14ac:dyDescent="0.4">
      <c r="A909" t="s">
        <v>262</v>
      </c>
      <c r="B909" t="s">
        <v>2075</v>
      </c>
      <c r="C909" t="s">
        <v>2078</v>
      </c>
      <c r="D909" t="s">
        <v>64</v>
      </c>
      <c r="E909" t="s">
        <v>22</v>
      </c>
      <c r="F909" t="s">
        <v>23</v>
      </c>
      <c r="G909">
        <v>1</v>
      </c>
      <c r="H909">
        <v>9791166300288</v>
      </c>
      <c r="I909" t="s">
        <v>24</v>
      </c>
      <c r="J909" t="s">
        <v>137</v>
      </c>
      <c r="K909" t="s">
        <v>119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2">
        <v>0.7</v>
      </c>
      <c r="S909">
        <v>441</v>
      </c>
      <c r="T909" t="s">
        <v>27</v>
      </c>
      <c r="U909">
        <v>441</v>
      </c>
      <c r="V909" s="7" t="s">
        <v>24</v>
      </c>
      <c r="W909" s="7" t="s">
        <v>119</v>
      </c>
    </row>
    <row r="910" spans="1:23" x14ac:dyDescent="0.4">
      <c r="A910" t="s">
        <v>262</v>
      </c>
      <c r="B910" t="s">
        <v>2075</v>
      </c>
      <c r="C910" t="s">
        <v>2079</v>
      </c>
      <c r="D910" t="s">
        <v>64</v>
      </c>
      <c r="E910" t="s">
        <v>22</v>
      </c>
      <c r="F910" t="s">
        <v>23</v>
      </c>
      <c r="G910">
        <v>1</v>
      </c>
      <c r="H910">
        <v>9791166300295</v>
      </c>
      <c r="I910" t="s">
        <v>24</v>
      </c>
      <c r="J910" t="s">
        <v>138</v>
      </c>
      <c r="K910" t="s">
        <v>119</v>
      </c>
      <c r="L910" t="s">
        <v>27</v>
      </c>
      <c r="M910">
        <v>630</v>
      </c>
      <c r="N910" t="s">
        <v>27</v>
      </c>
      <c r="O910">
        <v>630</v>
      </c>
      <c r="P910">
        <v>630</v>
      </c>
      <c r="Q910" t="s">
        <v>30</v>
      </c>
      <c r="R910" s="2">
        <v>0.7</v>
      </c>
      <c r="S910">
        <v>441</v>
      </c>
      <c r="T910" t="s">
        <v>27</v>
      </c>
      <c r="U910">
        <v>441</v>
      </c>
      <c r="V910" s="7" t="s">
        <v>24</v>
      </c>
      <c r="W910" s="7" t="s">
        <v>119</v>
      </c>
    </row>
    <row r="911" spans="1:23" x14ac:dyDescent="0.4">
      <c r="A911" t="s">
        <v>262</v>
      </c>
      <c r="B911" t="s">
        <v>2075</v>
      </c>
      <c r="C911" t="s">
        <v>2081</v>
      </c>
      <c r="D911" t="s">
        <v>64</v>
      </c>
      <c r="E911" t="s">
        <v>22</v>
      </c>
      <c r="F911" t="s">
        <v>23</v>
      </c>
      <c r="G911">
        <v>1</v>
      </c>
      <c r="H911">
        <v>9791166300516</v>
      </c>
      <c r="I911" t="s">
        <v>24</v>
      </c>
      <c r="J911" t="s">
        <v>149</v>
      </c>
      <c r="K911" t="s">
        <v>119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  <c r="V911" s="7" t="s">
        <v>24</v>
      </c>
      <c r="W911" s="7" t="s">
        <v>119</v>
      </c>
    </row>
    <row r="912" spans="1:23" x14ac:dyDescent="0.4">
      <c r="A912" t="s">
        <v>262</v>
      </c>
      <c r="B912" t="s">
        <v>2075</v>
      </c>
      <c r="C912" t="s">
        <v>2083</v>
      </c>
      <c r="D912" t="s">
        <v>64</v>
      </c>
      <c r="E912" t="s">
        <v>22</v>
      </c>
      <c r="F912" t="s">
        <v>23</v>
      </c>
      <c r="G912">
        <v>1</v>
      </c>
      <c r="H912">
        <v>9791166300141</v>
      </c>
      <c r="I912" t="s">
        <v>24</v>
      </c>
      <c r="J912" t="s">
        <v>124</v>
      </c>
      <c r="K912" t="s">
        <v>119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  <c r="V912" s="7" t="s">
        <v>24</v>
      </c>
      <c r="W912" s="7" t="s">
        <v>119</v>
      </c>
    </row>
    <row r="913" spans="1:23" x14ac:dyDescent="0.4">
      <c r="A913" t="s">
        <v>262</v>
      </c>
      <c r="B913" t="s">
        <v>2075</v>
      </c>
      <c r="C913" t="s">
        <v>2084</v>
      </c>
      <c r="D913" t="s">
        <v>64</v>
      </c>
      <c r="E913" t="s">
        <v>22</v>
      </c>
      <c r="F913" t="s">
        <v>23</v>
      </c>
      <c r="G913">
        <v>1</v>
      </c>
      <c r="H913">
        <v>9791166300219</v>
      </c>
      <c r="I913" t="s">
        <v>24</v>
      </c>
      <c r="J913" t="s">
        <v>130</v>
      </c>
      <c r="K913" t="s">
        <v>119</v>
      </c>
      <c r="L913" t="s">
        <v>27</v>
      </c>
      <c r="M913">
        <v>630</v>
      </c>
      <c r="N913" t="s">
        <v>27</v>
      </c>
      <c r="O913">
        <v>630</v>
      </c>
      <c r="P913">
        <v>630</v>
      </c>
      <c r="Q913" t="s">
        <v>30</v>
      </c>
      <c r="R913" s="2">
        <v>0.7</v>
      </c>
      <c r="S913">
        <v>441</v>
      </c>
      <c r="T913" t="s">
        <v>27</v>
      </c>
      <c r="U913">
        <v>441</v>
      </c>
      <c r="V913" s="7" t="s">
        <v>24</v>
      </c>
      <c r="W913" s="7" t="s">
        <v>119</v>
      </c>
    </row>
    <row r="914" spans="1:23" x14ac:dyDescent="0.4">
      <c r="A914" t="s">
        <v>262</v>
      </c>
      <c r="B914" t="s">
        <v>2075</v>
      </c>
      <c r="C914" t="s">
        <v>2085</v>
      </c>
      <c r="D914" t="s">
        <v>64</v>
      </c>
      <c r="E914" t="s">
        <v>22</v>
      </c>
      <c r="F914" t="s">
        <v>23</v>
      </c>
      <c r="G914">
        <v>1</v>
      </c>
      <c r="H914">
        <v>9791166300288</v>
      </c>
      <c r="I914" t="s">
        <v>24</v>
      </c>
      <c r="J914" t="s">
        <v>137</v>
      </c>
      <c r="K914" t="s">
        <v>119</v>
      </c>
      <c r="L914" t="s">
        <v>27</v>
      </c>
      <c r="M914">
        <v>630</v>
      </c>
      <c r="N914" t="s">
        <v>27</v>
      </c>
      <c r="O914">
        <v>630</v>
      </c>
      <c r="P914">
        <v>630</v>
      </c>
      <c r="Q914" t="s">
        <v>30</v>
      </c>
      <c r="R914" s="2">
        <v>0.7</v>
      </c>
      <c r="S914">
        <v>441</v>
      </c>
      <c r="T914" t="s">
        <v>27</v>
      </c>
      <c r="U914">
        <v>441</v>
      </c>
      <c r="V914" s="7" t="s">
        <v>24</v>
      </c>
      <c r="W914" s="7" t="s">
        <v>119</v>
      </c>
    </row>
    <row r="915" spans="1:23" x14ac:dyDescent="0.4">
      <c r="A915" t="s">
        <v>262</v>
      </c>
      <c r="B915" t="s">
        <v>2075</v>
      </c>
      <c r="C915" t="s">
        <v>2086</v>
      </c>
      <c r="D915" t="s">
        <v>21</v>
      </c>
      <c r="E915" t="s">
        <v>22</v>
      </c>
      <c r="F915" t="s">
        <v>23</v>
      </c>
      <c r="G915">
        <v>1</v>
      </c>
      <c r="H915">
        <v>9791166300561</v>
      </c>
      <c r="I915" t="s">
        <v>24</v>
      </c>
      <c r="J915" t="s">
        <v>158</v>
      </c>
      <c r="K915" t="s">
        <v>119</v>
      </c>
      <c r="L915" t="s">
        <v>27</v>
      </c>
      <c r="M915" s="3">
        <v>3200</v>
      </c>
      <c r="N915" t="s">
        <v>27</v>
      </c>
      <c r="O915" s="3">
        <v>3200</v>
      </c>
      <c r="P915" s="3">
        <v>3200</v>
      </c>
      <c r="Q915" t="s">
        <v>30</v>
      </c>
      <c r="R915" s="2">
        <v>0.7</v>
      </c>
      <c r="S915" s="3">
        <v>2240</v>
      </c>
      <c r="T915" t="s">
        <v>27</v>
      </c>
      <c r="U915" s="3">
        <v>2240</v>
      </c>
      <c r="V915" s="7" t="s">
        <v>24</v>
      </c>
      <c r="W915" s="7" t="s">
        <v>119</v>
      </c>
    </row>
    <row r="916" spans="1:23" x14ac:dyDescent="0.4">
      <c r="A916" t="s">
        <v>262</v>
      </c>
      <c r="B916" t="s">
        <v>2075</v>
      </c>
      <c r="C916" t="s">
        <v>2088</v>
      </c>
      <c r="D916" t="s">
        <v>21</v>
      </c>
      <c r="E916" t="s">
        <v>22</v>
      </c>
      <c r="F916" t="s">
        <v>23</v>
      </c>
      <c r="G916">
        <v>1</v>
      </c>
      <c r="H916">
        <v>9791166300608</v>
      </c>
      <c r="I916" t="s">
        <v>24</v>
      </c>
      <c r="J916" t="s">
        <v>162</v>
      </c>
      <c r="K916" t="s">
        <v>119</v>
      </c>
      <c r="L916" t="s">
        <v>27</v>
      </c>
      <c r="M916" s="3">
        <v>3200</v>
      </c>
      <c r="N916" t="s">
        <v>27</v>
      </c>
      <c r="O916" s="3">
        <v>3200</v>
      </c>
      <c r="P916" s="3">
        <v>3200</v>
      </c>
      <c r="Q916" t="s">
        <v>30</v>
      </c>
      <c r="R916" s="2">
        <v>0.7</v>
      </c>
      <c r="S916" s="3">
        <v>2240</v>
      </c>
      <c r="T916" t="s">
        <v>27</v>
      </c>
      <c r="U916" s="3">
        <v>2240</v>
      </c>
      <c r="V916" s="7" t="s">
        <v>24</v>
      </c>
      <c r="W916" s="7" t="s">
        <v>119</v>
      </c>
    </row>
    <row r="917" spans="1:23" x14ac:dyDescent="0.4">
      <c r="A917" t="s">
        <v>262</v>
      </c>
      <c r="B917" t="s">
        <v>2075</v>
      </c>
      <c r="C917" t="s">
        <v>2093</v>
      </c>
      <c r="D917" t="s">
        <v>64</v>
      </c>
      <c r="E917" t="s">
        <v>22</v>
      </c>
      <c r="F917" t="s">
        <v>23</v>
      </c>
      <c r="G917">
        <v>1</v>
      </c>
      <c r="H917">
        <v>9791166300158</v>
      </c>
      <c r="I917" t="s">
        <v>24</v>
      </c>
      <c r="J917" t="s">
        <v>125</v>
      </c>
      <c r="K917" t="s">
        <v>119</v>
      </c>
      <c r="L917" t="s">
        <v>27</v>
      </c>
      <c r="M917">
        <v>630</v>
      </c>
      <c r="N917" t="s">
        <v>27</v>
      </c>
      <c r="O917">
        <v>630</v>
      </c>
      <c r="P917">
        <v>630</v>
      </c>
      <c r="Q917" t="s">
        <v>30</v>
      </c>
      <c r="R917" s="2">
        <v>0.7</v>
      </c>
      <c r="S917">
        <v>441</v>
      </c>
      <c r="T917" t="s">
        <v>27</v>
      </c>
      <c r="U917">
        <v>441</v>
      </c>
      <c r="V917" s="7" t="s">
        <v>24</v>
      </c>
      <c r="W917" s="7" t="s">
        <v>119</v>
      </c>
    </row>
    <row r="918" spans="1:23" x14ac:dyDescent="0.4">
      <c r="A918" t="s">
        <v>262</v>
      </c>
      <c r="B918" t="s">
        <v>2075</v>
      </c>
      <c r="C918" t="s">
        <v>2098</v>
      </c>
      <c r="D918" t="s">
        <v>21</v>
      </c>
      <c r="E918" t="s">
        <v>22</v>
      </c>
      <c r="F918" t="s">
        <v>23</v>
      </c>
      <c r="G918">
        <v>1</v>
      </c>
      <c r="H918">
        <v>9791166060540</v>
      </c>
      <c r="I918" t="s">
        <v>24</v>
      </c>
      <c r="J918" t="s">
        <v>2099</v>
      </c>
      <c r="K918" t="s">
        <v>119</v>
      </c>
      <c r="L918" t="s">
        <v>27</v>
      </c>
      <c r="M918" s="3">
        <v>3200</v>
      </c>
      <c r="N918" t="s">
        <v>27</v>
      </c>
      <c r="O918" s="3">
        <v>3200</v>
      </c>
      <c r="P918" s="3">
        <v>3200</v>
      </c>
      <c r="Q918" t="s">
        <v>30</v>
      </c>
      <c r="R918" s="2">
        <v>0.7</v>
      </c>
      <c r="S918" s="3">
        <v>2240</v>
      </c>
      <c r="T918" t="s">
        <v>27</v>
      </c>
      <c r="U918" s="3">
        <v>2240</v>
      </c>
      <c r="V918" s="7" t="s">
        <v>24</v>
      </c>
      <c r="W918" s="7" t="s">
        <v>119</v>
      </c>
    </row>
    <row r="919" spans="1:23" x14ac:dyDescent="0.4">
      <c r="A919" t="s">
        <v>262</v>
      </c>
      <c r="B919" t="s">
        <v>2075</v>
      </c>
      <c r="C919" t="s">
        <v>2104</v>
      </c>
      <c r="D919" t="s">
        <v>64</v>
      </c>
      <c r="E919" t="s">
        <v>22</v>
      </c>
      <c r="F919" t="s">
        <v>23</v>
      </c>
      <c r="G919">
        <v>1</v>
      </c>
      <c r="H919">
        <v>9791166300226</v>
      </c>
      <c r="I919" t="s">
        <v>24</v>
      </c>
      <c r="J919" t="s">
        <v>131</v>
      </c>
      <c r="K919" t="s">
        <v>119</v>
      </c>
      <c r="L919" t="s">
        <v>27</v>
      </c>
      <c r="M919">
        <v>630</v>
      </c>
      <c r="N919" t="s">
        <v>27</v>
      </c>
      <c r="O919">
        <v>630</v>
      </c>
      <c r="P919">
        <v>630</v>
      </c>
      <c r="Q919" t="s">
        <v>30</v>
      </c>
      <c r="R919" s="2">
        <v>0.7</v>
      </c>
      <c r="S919">
        <v>441</v>
      </c>
      <c r="T919" t="s">
        <v>27</v>
      </c>
      <c r="U919">
        <v>441</v>
      </c>
      <c r="V919" s="7" t="s">
        <v>24</v>
      </c>
      <c r="W919" s="7" t="s">
        <v>119</v>
      </c>
    </row>
    <row r="920" spans="1:23" x14ac:dyDescent="0.4">
      <c r="A920" t="s">
        <v>262</v>
      </c>
      <c r="B920" t="s">
        <v>2075</v>
      </c>
      <c r="C920" t="s">
        <v>2106</v>
      </c>
      <c r="D920" t="s">
        <v>64</v>
      </c>
      <c r="E920" t="s">
        <v>22</v>
      </c>
      <c r="F920" t="s">
        <v>23</v>
      </c>
      <c r="G920">
        <v>1</v>
      </c>
      <c r="H920">
        <v>9791166300165</v>
      </c>
      <c r="I920" t="s">
        <v>24</v>
      </c>
      <c r="J920" t="s">
        <v>126</v>
      </c>
      <c r="K920" t="s">
        <v>119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  <c r="V920" s="7" t="s">
        <v>24</v>
      </c>
      <c r="W920" s="7" t="s">
        <v>119</v>
      </c>
    </row>
    <row r="921" spans="1:23" x14ac:dyDescent="0.4">
      <c r="A921" t="s">
        <v>262</v>
      </c>
      <c r="B921" t="s">
        <v>2075</v>
      </c>
      <c r="C921" t="s">
        <v>2108</v>
      </c>
      <c r="D921" t="s">
        <v>64</v>
      </c>
      <c r="E921" t="s">
        <v>22</v>
      </c>
      <c r="F921" t="s">
        <v>23</v>
      </c>
      <c r="G921">
        <v>1</v>
      </c>
      <c r="H921">
        <v>9791166300172</v>
      </c>
      <c r="I921" t="s">
        <v>24</v>
      </c>
      <c r="J921" t="s">
        <v>127</v>
      </c>
      <c r="K921" t="s">
        <v>119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  <c r="V921" s="7" t="s">
        <v>24</v>
      </c>
      <c r="W921" s="7" t="s">
        <v>119</v>
      </c>
    </row>
    <row r="922" spans="1:23" x14ac:dyDescent="0.4">
      <c r="A922" t="s">
        <v>262</v>
      </c>
      <c r="B922" t="s">
        <v>2075</v>
      </c>
      <c r="C922" t="s">
        <v>2109</v>
      </c>
      <c r="D922" t="s">
        <v>64</v>
      </c>
      <c r="E922" t="s">
        <v>22</v>
      </c>
      <c r="F922" t="s">
        <v>23</v>
      </c>
      <c r="G922">
        <v>1</v>
      </c>
      <c r="H922">
        <v>9791166300196</v>
      </c>
      <c r="I922" t="s">
        <v>24</v>
      </c>
      <c r="J922" t="s">
        <v>128</v>
      </c>
      <c r="K922" t="s">
        <v>119</v>
      </c>
      <c r="L922" t="s">
        <v>27</v>
      </c>
      <c r="M922">
        <v>630</v>
      </c>
      <c r="N922" t="s">
        <v>27</v>
      </c>
      <c r="O922">
        <v>630</v>
      </c>
      <c r="P922">
        <v>630</v>
      </c>
      <c r="Q922" t="s">
        <v>30</v>
      </c>
      <c r="R922" s="2">
        <v>0.7</v>
      </c>
      <c r="S922">
        <v>441</v>
      </c>
      <c r="T922" t="s">
        <v>27</v>
      </c>
      <c r="U922">
        <v>441</v>
      </c>
      <c r="V922" s="7" t="s">
        <v>24</v>
      </c>
      <c r="W922" s="7" t="s">
        <v>119</v>
      </c>
    </row>
    <row r="923" spans="1:23" x14ac:dyDescent="0.4">
      <c r="A923" t="s">
        <v>262</v>
      </c>
      <c r="B923" t="s">
        <v>2075</v>
      </c>
      <c r="C923" t="s">
        <v>2115</v>
      </c>
      <c r="D923" t="s">
        <v>64</v>
      </c>
      <c r="E923" t="s">
        <v>22</v>
      </c>
      <c r="F923" t="s">
        <v>23</v>
      </c>
      <c r="G923">
        <v>1</v>
      </c>
      <c r="H923">
        <v>9791166300202</v>
      </c>
      <c r="I923" t="s">
        <v>24</v>
      </c>
      <c r="J923" t="s">
        <v>129</v>
      </c>
      <c r="K923" t="s">
        <v>119</v>
      </c>
      <c r="L923" t="s">
        <v>27</v>
      </c>
      <c r="M923">
        <v>630</v>
      </c>
      <c r="N923" t="s">
        <v>27</v>
      </c>
      <c r="O923">
        <v>630</v>
      </c>
      <c r="P923">
        <v>630</v>
      </c>
      <c r="Q923" t="s">
        <v>30</v>
      </c>
      <c r="R923" s="2">
        <v>0.7</v>
      </c>
      <c r="S923">
        <v>441</v>
      </c>
      <c r="T923" t="s">
        <v>27</v>
      </c>
      <c r="U923">
        <v>441</v>
      </c>
      <c r="V923" s="7" t="s">
        <v>24</v>
      </c>
      <c r="W923" s="7" t="s">
        <v>119</v>
      </c>
    </row>
    <row r="924" spans="1:23" x14ac:dyDescent="0.4">
      <c r="A924" t="s">
        <v>262</v>
      </c>
      <c r="B924" t="s">
        <v>2075</v>
      </c>
      <c r="C924" t="s">
        <v>2116</v>
      </c>
      <c r="D924" t="s">
        <v>64</v>
      </c>
      <c r="E924" t="s">
        <v>22</v>
      </c>
      <c r="F924" t="s">
        <v>23</v>
      </c>
      <c r="G924">
        <v>1</v>
      </c>
      <c r="H924">
        <v>9791166300219</v>
      </c>
      <c r="I924" t="s">
        <v>24</v>
      </c>
      <c r="J924" t="s">
        <v>130</v>
      </c>
      <c r="K924" t="s">
        <v>119</v>
      </c>
      <c r="L924" t="s">
        <v>27</v>
      </c>
      <c r="M924">
        <v>630</v>
      </c>
      <c r="N924" t="s">
        <v>27</v>
      </c>
      <c r="O924">
        <v>630</v>
      </c>
      <c r="P924">
        <v>630</v>
      </c>
      <c r="Q924" t="s">
        <v>30</v>
      </c>
      <c r="R924" s="2">
        <v>0.7</v>
      </c>
      <c r="S924">
        <v>441</v>
      </c>
      <c r="T924" t="s">
        <v>27</v>
      </c>
      <c r="U924">
        <v>441</v>
      </c>
      <c r="V924" s="7" t="s">
        <v>24</v>
      </c>
      <c r="W924" s="7" t="s">
        <v>119</v>
      </c>
    </row>
    <row r="925" spans="1:23" x14ac:dyDescent="0.4">
      <c r="A925" t="s">
        <v>262</v>
      </c>
      <c r="B925" t="s">
        <v>2075</v>
      </c>
      <c r="C925" t="s">
        <v>2118</v>
      </c>
      <c r="D925" t="s">
        <v>64</v>
      </c>
      <c r="E925" t="s">
        <v>22</v>
      </c>
      <c r="F925" t="s">
        <v>23</v>
      </c>
      <c r="G925">
        <v>1</v>
      </c>
      <c r="H925">
        <v>9791166300226</v>
      </c>
      <c r="I925" t="s">
        <v>24</v>
      </c>
      <c r="J925" t="s">
        <v>131</v>
      </c>
      <c r="K925" t="s">
        <v>119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2">
        <v>0.7</v>
      </c>
      <c r="S925">
        <v>441</v>
      </c>
      <c r="T925" t="s">
        <v>27</v>
      </c>
      <c r="U925">
        <v>441</v>
      </c>
      <c r="V925" s="7" t="s">
        <v>24</v>
      </c>
      <c r="W925" s="7" t="s">
        <v>119</v>
      </c>
    </row>
    <row r="926" spans="1:23" x14ac:dyDescent="0.4">
      <c r="A926" t="s">
        <v>262</v>
      </c>
      <c r="B926" t="s">
        <v>2075</v>
      </c>
      <c r="C926" t="s">
        <v>2121</v>
      </c>
      <c r="D926" t="s">
        <v>21</v>
      </c>
      <c r="E926" t="s">
        <v>22</v>
      </c>
      <c r="F926" t="s">
        <v>23</v>
      </c>
      <c r="G926">
        <v>1</v>
      </c>
      <c r="H926">
        <v>9791166300615</v>
      </c>
      <c r="I926" t="s">
        <v>24</v>
      </c>
      <c r="J926" t="s">
        <v>163</v>
      </c>
      <c r="K926" t="s">
        <v>119</v>
      </c>
      <c r="L926" t="s">
        <v>27</v>
      </c>
      <c r="M926" s="3">
        <v>3200</v>
      </c>
      <c r="N926" t="s">
        <v>27</v>
      </c>
      <c r="O926" s="3">
        <v>3200</v>
      </c>
      <c r="P926" s="3">
        <v>3200</v>
      </c>
      <c r="Q926" t="s">
        <v>30</v>
      </c>
      <c r="R926" s="2">
        <v>0.7</v>
      </c>
      <c r="S926" s="3">
        <v>2240</v>
      </c>
      <c r="T926" t="s">
        <v>27</v>
      </c>
      <c r="U926" s="3">
        <v>2240</v>
      </c>
      <c r="V926" s="7" t="s">
        <v>24</v>
      </c>
      <c r="W926" s="7" t="s">
        <v>119</v>
      </c>
    </row>
    <row r="927" spans="1:23" x14ac:dyDescent="0.4">
      <c r="A927" t="s">
        <v>262</v>
      </c>
      <c r="B927" t="s">
        <v>2075</v>
      </c>
      <c r="C927" t="s">
        <v>2122</v>
      </c>
      <c r="D927" t="s">
        <v>21</v>
      </c>
      <c r="E927" t="s">
        <v>22</v>
      </c>
      <c r="F927" t="s">
        <v>23</v>
      </c>
      <c r="G927">
        <v>1</v>
      </c>
      <c r="H927">
        <v>9791166300578</v>
      </c>
      <c r="I927" t="s">
        <v>24</v>
      </c>
      <c r="J927" t="s">
        <v>159</v>
      </c>
      <c r="K927" t="s">
        <v>119</v>
      </c>
      <c r="L927" t="s">
        <v>27</v>
      </c>
      <c r="M927" s="3">
        <v>3200</v>
      </c>
      <c r="N927" t="s">
        <v>27</v>
      </c>
      <c r="O927" s="3">
        <v>3200</v>
      </c>
      <c r="P927" s="3">
        <v>3200</v>
      </c>
      <c r="Q927" t="s">
        <v>30</v>
      </c>
      <c r="R927" s="2">
        <v>0.7</v>
      </c>
      <c r="S927" s="3">
        <v>2240</v>
      </c>
      <c r="T927" t="s">
        <v>27</v>
      </c>
      <c r="U927" s="3">
        <v>2240</v>
      </c>
      <c r="V927" s="7" t="s">
        <v>24</v>
      </c>
      <c r="W927" s="7" t="s">
        <v>119</v>
      </c>
    </row>
    <row r="928" spans="1:23" x14ac:dyDescent="0.4">
      <c r="A928" t="s">
        <v>262</v>
      </c>
      <c r="B928" t="s">
        <v>2075</v>
      </c>
      <c r="C928" t="s">
        <v>2123</v>
      </c>
      <c r="D928" t="s">
        <v>64</v>
      </c>
      <c r="E928" t="s">
        <v>22</v>
      </c>
      <c r="F928" t="s">
        <v>23</v>
      </c>
      <c r="G928">
        <v>1</v>
      </c>
      <c r="H928">
        <v>9791166300158</v>
      </c>
      <c r="I928" t="s">
        <v>24</v>
      </c>
      <c r="J928" t="s">
        <v>125</v>
      </c>
      <c r="K928" t="s">
        <v>119</v>
      </c>
      <c r="L928" t="s">
        <v>27</v>
      </c>
      <c r="M928">
        <v>630</v>
      </c>
      <c r="N928" t="s">
        <v>27</v>
      </c>
      <c r="O928">
        <v>630</v>
      </c>
      <c r="P928">
        <v>630</v>
      </c>
      <c r="Q928" t="s">
        <v>30</v>
      </c>
      <c r="R928" s="2">
        <v>0.7</v>
      </c>
      <c r="S928">
        <v>441</v>
      </c>
      <c r="T928" t="s">
        <v>27</v>
      </c>
      <c r="U928">
        <v>441</v>
      </c>
      <c r="V928" s="7" t="s">
        <v>24</v>
      </c>
      <c r="W928" s="7" t="s">
        <v>119</v>
      </c>
    </row>
    <row r="929" spans="1:23" x14ac:dyDescent="0.4">
      <c r="A929" t="s">
        <v>262</v>
      </c>
      <c r="B929" t="s">
        <v>2075</v>
      </c>
      <c r="C929" t="s">
        <v>2130</v>
      </c>
      <c r="D929" t="s">
        <v>64</v>
      </c>
      <c r="E929" t="s">
        <v>22</v>
      </c>
      <c r="F929" t="s">
        <v>23</v>
      </c>
      <c r="G929">
        <v>1</v>
      </c>
      <c r="H929">
        <v>9791166300172</v>
      </c>
      <c r="I929" t="s">
        <v>24</v>
      </c>
      <c r="J929" t="s">
        <v>127</v>
      </c>
      <c r="K929" t="s">
        <v>119</v>
      </c>
      <c r="L929" t="s">
        <v>27</v>
      </c>
      <c r="M929">
        <v>630</v>
      </c>
      <c r="N929" t="s">
        <v>27</v>
      </c>
      <c r="O929">
        <v>630</v>
      </c>
      <c r="P929">
        <v>630</v>
      </c>
      <c r="Q929" t="s">
        <v>30</v>
      </c>
      <c r="R929" s="2">
        <v>0.7</v>
      </c>
      <c r="S929">
        <v>441</v>
      </c>
      <c r="T929" t="s">
        <v>27</v>
      </c>
      <c r="U929">
        <v>441</v>
      </c>
      <c r="V929" s="7" t="s">
        <v>24</v>
      </c>
      <c r="W929" s="7" t="s">
        <v>119</v>
      </c>
    </row>
    <row r="930" spans="1:23" x14ac:dyDescent="0.4">
      <c r="A930" t="s">
        <v>262</v>
      </c>
      <c r="B930" t="s">
        <v>2075</v>
      </c>
      <c r="C930" t="s">
        <v>2133</v>
      </c>
      <c r="D930" t="s">
        <v>64</v>
      </c>
      <c r="E930" t="s">
        <v>22</v>
      </c>
      <c r="F930" t="s">
        <v>23</v>
      </c>
      <c r="G930">
        <v>1</v>
      </c>
      <c r="H930">
        <v>9791166300295</v>
      </c>
      <c r="I930" t="s">
        <v>24</v>
      </c>
      <c r="J930" t="s">
        <v>138</v>
      </c>
      <c r="K930" t="s">
        <v>119</v>
      </c>
      <c r="L930" t="s">
        <v>27</v>
      </c>
      <c r="M930">
        <v>630</v>
      </c>
      <c r="N930" t="s">
        <v>27</v>
      </c>
      <c r="O930">
        <v>630</v>
      </c>
      <c r="P930">
        <v>630</v>
      </c>
      <c r="Q930" t="s">
        <v>30</v>
      </c>
      <c r="R930" s="2">
        <v>0.7</v>
      </c>
      <c r="S930">
        <v>441</v>
      </c>
      <c r="T930" t="s">
        <v>27</v>
      </c>
      <c r="U930">
        <v>441</v>
      </c>
      <c r="V930" s="7" t="s">
        <v>24</v>
      </c>
      <c r="W930" s="7" t="s">
        <v>119</v>
      </c>
    </row>
    <row r="931" spans="1:23" x14ac:dyDescent="0.4">
      <c r="A931" t="s">
        <v>262</v>
      </c>
      <c r="B931" t="s">
        <v>2075</v>
      </c>
      <c r="C931" t="s">
        <v>2135</v>
      </c>
      <c r="D931" t="s">
        <v>64</v>
      </c>
      <c r="E931" t="s">
        <v>22</v>
      </c>
      <c r="F931" t="s">
        <v>23</v>
      </c>
      <c r="G931">
        <v>1</v>
      </c>
      <c r="H931">
        <v>9791166300462</v>
      </c>
      <c r="I931" t="s">
        <v>24</v>
      </c>
      <c r="J931" t="s">
        <v>144</v>
      </c>
      <c r="K931" t="s">
        <v>119</v>
      </c>
      <c r="L931" t="s">
        <v>27</v>
      </c>
      <c r="M931">
        <v>630</v>
      </c>
      <c r="N931" t="s">
        <v>27</v>
      </c>
      <c r="O931">
        <v>630</v>
      </c>
      <c r="P931">
        <v>630</v>
      </c>
      <c r="Q931" t="s">
        <v>30</v>
      </c>
      <c r="R931" s="2">
        <v>0.7</v>
      </c>
      <c r="S931">
        <v>441</v>
      </c>
      <c r="T931" t="s">
        <v>27</v>
      </c>
      <c r="U931">
        <v>441</v>
      </c>
      <c r="V931" s="7" t="s">
        <v>24</v>
      </c>
      <c r="W931" s="7" t="s">
        <v>119</v>
      </c>
    </row>
    <row r="932" spans="1:23" x14ac:dyDescent="0.4">
      <c r="A932" t="s">
        <v>262</v>
      </c>
      <c r="B932" t="s">
        <v>2075</v>
      </c>
      <c r="C932" t="s">
        <v>2136</v>
      </c>
      <c r="D932" t="s">
        <v>64</v>
      </c>
      <c r="E932" t="s">
        <v>22</v>
      </c>
      <c r="F932" t="s">
        <v>23</v>
      </c>
      <c r="G932">
        <v>1</v>
      </c>
      <c r="H932">
        <v>9791166300141</v>
      </c>
      <c r="I932" t="s">
        <v>24</v>
      </c>
      <c r="J932" t="s">
        <v>124</v>
      </c>
      <c r="K932" t="s">
        <v>119</v>
      </c>
      <c r="L932" t="s">
        <v>27</v>
      </c>
      <c r="M932">
        <v>630</v>
      </c>
      <c r="N932" t="s">
        <v>27</v>
      </c>
      <c r="O932">
        <v>630</v>
      </c>
      <c r="P932">
        <v>630</v>
      </c>
      <c r="Q932" t="s">
        <v>30</v>
      </c>
      <c r="R932" s="2">
        <v>0.7</v>
      </c>
      <c r="S932">
        <v>441</v>
      </c>
      <c r="T932" t="s">
        <v>27</v>
      </c>
      <c r="U932">
        <v>441</v>
      </c>
      <c r="V932" s="7" t="s">
        <v>24</v>
      </c>
      <c r="W932" s="7" t="s">
        <v>119</v>
      </c>
    </row>
    <row r="933" spans="1:23" x14ac:dyDescent="0.4">
      <c r="A933" t="s">
        <v>262</v>
      </c>
      <c r="B933" t="s">
        <v>2075</v>
      </c>
      <c r="C933" t="s">
        <v>2140</v>
      </c>
      <c r="D933" t="s">
        <v>64</v>
      </c>
      <c r="E933" t="s">
        <v>22</v>
      </c>
      <c r="F933" t="s">
        <v>23</v>
      </c>
      <c r="G933">
        <v>1</v>
      </c>
      <c r="H933">
        <v>9791166300226</v>
      </c>
      <c r="I933" t="s">
        <v>24</v>
      </c>
      <c r="J933" t="s">
        <v>131</v>
      </c>
      <c r="K933" t="s">
        <v>119</v>
      </c>
      <c r="L933" t="s">
        <v>27</v>
      </c>
      <c r="M933">
        <v>630</v>
      </c>
      <c r="N933" t="s">
        <v>27</v>
      </c>
      <c r="O933">
        <v>630</v>
      </c>
      <c r="P933">
        <v>630</v>
      </c>
      <c r="Q933" t="s">
        <v>30</v>
      </c>
      <c r="R933" s="2">
        <v>0.7</v>
      </c>
      <c r="S933">
        <v>441</v>
      </c>
      <c r="T933" t="s">
        <v>27</v>
      </c>
      <c r="U933">
        <v>441</v>
      </c>
      <c r="V933" s="7" t="s">
        <v>24</v>
      </c>
      <c r="W933" s="7" t="s">
        <v>119</v>
      </c>
    </row>
    <row r="934" spans="1:23" x14ac:dyDescent="0.4">
      <c r="A934" t="s">
        <v>262</v>
      </c>
      <c r="B934" t="s">
        <v>2075</v>
      </c>
      <c r="C934" t="s">
        <v>2145</v>
      </c>
      <c r="D934" t="s">
        <v>64</v>
      </c>
      <c r="E934" t="s">
        <v>22</v>
      </c>
      <c r="F934" t="s">
        <v>23</v>
      </c>
      <c r="G934">
        <v>1</v>
      </c>
      <c r="H934">
        <v>9791166300646</v>
      </c>
      <c r="I934" t="s">
        <v>24</v>
      </c>
      <c r="J934" t="s">
        <v>155</v>
      </c>
      <c r="K934" t="s">
        <v>119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  <c r="V934" s="7" t="s">
        <v>24</v>
      </c>
      <c r="W934" s="7" t="s">
        <v>119</v>
      </c>
    </row>
    <row r="935" spans="1:23" x14ac:dyDescent="0.4">
      <c r="A935" t="s">
        <v>262</v>
      </c>
      <c r="B935" t="s">
        <v>2075</v>
      </c>
      <c r="C935" t="s">
        <v>2146</v>
      </c>
      <c r="D935" t="s">
        <v>64</v>
      </c>
      <c r="E935" t="s">
        <v>22</v>
      </c>
      <c r="F935" t="s">
        <v>23</v>
      </c>
      <c r="G935">
        <v>1</v>
      </c>
      <c r="H935">
        <v>9791166300523</v>
      </c>
      <c r="I935" t="s">
        <v>24</v>
      </c>
      <c r="J935" t="s">
        <v>150</v>
      </c>
      <c r="K935" t="s">
        <v>119</v>
      </c>
      <c r="L935" t="s">
        <v>27</v>
      </c>
      <c r="M935">
        <v>630</v>
      </c>
      <c r="N935" t="s">
        <v>27</v>
      </c>
      <c r="O935">
        <v>630</v>
      </c>
      <c r="P935">
        <v>630</v>
      </c>
      <c r="Q935" t="s">
        <v>30</v>
      </c>
      <c r="R935" s="2">
        <v>0.7</v>
      </c>
      <c r="S935">
        <v>441</v>
      </c>
      <c r="T935" t="s">
        <v>27</v>
      </c>
      <c r="U935">
        <v>441</v>
      </c>
      <c r="V935" s="7" t="s">
        <v>24</v>
      </c>
      <c r="W935" s="7" t="s">
        <v>119</v>
      </c>
    </row>
    <row r="936" spans="1:23" x14ac:dyDescent="0.4">
      <c r="A936" t="s">
        <v>262</v>
      </c>
      <c r="B936" t="s">
        <v>2075</v>
      </c>
      <c r="C936" t="s">
        <v>2147</v>
      </c>
      <c r="D936" t="s">
        <v>21</v>
      </c>
      <c r="E936" t="s">
        <v>22</v>
      </c>
      <c r="F936" t="s">
        <v>23</v>
      </c>
      <c r="G936">
        <v>1</v>
      </c>
      <c r="H936">
        <v>9791166300585</v>
      </c>
      <c r="I936" t="s">
        <v>24</v>
      </c>
      <c r="J936" t="s">
        <v>160</v>
      </c>
      <c r="K936" t="s">
        <v>119</v>
      </c>
      <c r="L936" t="s">
        <v>27</v>
      </c>
      <c r="M936" s="3">
        <v>3200</v>
      </c>
      <c r="N936" t="s">
        <v>27</v>
      </c>
      <c r="O936" s="3">
        <v>3200</v>
      </c>
      <c r="P936" s="3">
        <v>3200</v>
      </c>
      <c r="Q936" t="s">
        <v>30</v>
      </c>
      <c r="R936" s="2">
        <v>0.7</v>
      </c>
      <c r="S936" s="3">
        <v>2240</v>
      </c>
      <c r="T936" t="s">
        <v>27</v>
      </c>
      <c r="U936" s="3">
        <v>2240</v>
      </c>
      <c r="V936" s="7" t="s">
        <v>24</v>
      </c>
      <c r="W936" s="7" t="s">
        <v>119</v>
      </c>
    </row>
    <row r="937" spans="1:23" x14ac:dyDescent="0.4">
      <c r="A937" t="s">
        <v>262</v>
      </c>
      <c r="B937" t="s">
        <v>2075</v>
      </c>
      <c r="C937" t="s">
        <v>2149</v>
      </c>
      <c r="D937" t="s">
        <v>64</v>
      </c>
      <c r="E937" t="s">
        <v>22</v>
      </c>
      <c r="F937" t="s">
        <v>23</v>
      </c>
      <c r="G937">
        <v>1</v>
      </c>
      <c r="H937">
        <v>9791166300301</v>
      </c>
      <c r="I937" t="s">
        <v>24</v>
      </c>
      <c r="J937" t="s">
        <v>139</v>
      </c>
      <c r="K937" t="s">
        <v>119</v>
      </c>
      <c r="L937" t="s">
        <v>27</v>
      </c>
      <c r="M937">
        <v>630</v>
      </c>
      <c r="N937" t="s">
        <v>27</v>
      </c>
      <c r="O937">
        <v>630</v>
      </c>
      <c r="P937">
        <v>630</v>
      </c>
      <c r="Q937" t="s">
        <v>30</v>
      </c>
      <c r="R937" s="2">
        <v>0.7</v>
      </c>
      <c r="S937">
        <v>441</v>
      </c>
      <c r="T937" t="s">
        <v>27</v>
      </c>
      <c r="U937">
        <v>441</v>
      </c>
      <c r="V937" s="7" t="s">
        <v>24</v>
      </c>
      <c r="W937" s="7" t="s">
        <v>119</v>
      </c>
    </row>
    <row r="938" spans="1:23" x14ac:dyDescent="0.4">
      <c r="A938" t="s">
        <v>262</v>
      </c>
      <c r="B938" t="s">
        <v>2075</v>
      </c>
      <c r="C938" t="s">
        <v>2150</v>
      </c>
      <c r="D938" t="s">
        <v>21</v>
      </c>
      <c r="E938" t="s">
        <v>22</v>
      </c>
      <c r="F938" t="s">
        <v>23</v>
      </c>
      <c r="G938">
        <v>1</v>
      </c>
      <c r="H938">
        <v>9791166060557</v>
      </c>
      <c r="I938" t="s">
        <v>24</v>
      </c>
      <c r="J938" t="s">
        <v>2151</v>
      </c>
      <c r="K938" t="s">
        <v>119</v>
      </c>
      <c r="L938" t="s">
        <v>27</v>
      </c>
      <c r="M938" s="3">
        <v>3200</v>
      </c>
      <c r="N938" t="s">
        <v>27</v>
      </c>
      <c r="O938" s="3">
        <v>3200</v>
      </c>
      <c r="P938" s="3">
        <v>3200</v>
      </c>
      <c r="Q938" t="s">
        <v>30</v>
      </c>
      <c r="R938" s="2">
        <v>0.7</v>
      </c>
      <c r="S938" s="3">
        <v>2240</v>
      </c>
      <c r="T938" t="s">
        <v>27</v>
      </c>
      <c r="U938" s="3">
        <v>2240</v>
      </c>
      <c r="V938" s="7" t="s">
        <v>24</v>
      </c>
      <c r="W938" s="7" t="s">
        <v>119</v>
      </c>
    </row>
    <row r="939" spans="1:23" x14ac:dyDescent="0.4">
      <c r="A939" t="s">
        <v>262</v>
      </c>
      <c r="B939" t="s">
        <v>2075</v>
      </c>
      <c r="C939" t="s">
        <v>2153</v>
      </c>
      <c r="D939" t="s">
        <v>64</v>
      </c>
      <c r="E939" t="s">
        <v>22</v>
      </c>
      <c r="F939" t="s">
        <v>23</v>
      </c>
      <c r="G939">
        <v>1</v>
      </c>
      <c r="H939">
        <v>9791166300158</v>
      </c>
      <c r="I939" t="s">
        <v>24</v>
      </c>
      <c r="J939" t="s">
        <v>125</v>
      </c>
      <c r="K939" t="s">
        <v>119</v>
      </c>
      <c r="L939" t="s">
        <v>27</v>
      </c>
      <c r="M939">
        <v>630</v>
      </c>
      <c r="N939" t="s">
        <v>27</v>
      </c>
      <c r="O939">
        <v>630</v>
      </c>
      <c r="P939">
        <v>630</v>
      </c>
      <c r="Q939" t="s">
        <v>30</v>
      </c>
      <c r="R939" s="2">
        <v>0.7</v>
      </c>
      <c r="S939">
        <v>441</v>
      </c>
      <c r="T939" t="s">
        <v>27</v>
      </c>
      <c r="U939">
        <v>441</v>
      </c>
      <c r="V939" s="7" t="s">
        <v>24</v>
      </c>
      <c r="W939" s="7" t="s">
        <v>119</v>
      </c>
    </row>
    <row r="940" spans="1:23" x14ac:dyDescent="0.4">
      <c r="A940" t="s">
        <v>262</v>
      </c>
      <c r="B940" t="s">
        <v>2159</v>
      </c>
      <c r="C940" t="s">
        <v>2162</v>
      </c>
      <c r="D940" t="s">
        <v>64</v>
      </c>
      <c r="E940" t="s">
        <v>22</v>
      </c>
      <c r="F940" t="s">
        <v>23</v>
      </c>
      <c r="G940">
        <v>1</v>
      </c>
      <c r="H940">
        <v>9791166300165</v>
      </c>
      <c r="I940" t="s">
        <v>24</v>
      </c>
      <c r="J940" t="s">
        <v>126</v>
      </c>
      <c r="K940" t="s">
        <v>119</v>
      </c>
      <c r="L940" t="s">
        <v>27</v>
      </c>
      <c r="M940">
        <v>630</v>
      </c>
      <c r="N940" t="s">
        <v>27</v>
      </c>
      <c r="O940">
        <v>630</v>
      </c>
      <c r="P940">
        <v>630</v>
      </c>
      <c r="Q940" t="s">
        <v>30</v>
      </c>
      <c r="R940" s="2">
        <v>0.7</v>
      </c>
      <c r="S940">
        <v>441</v>
      </c>
      <c r="T940" t="s">
        <v>27</v>
      </c>
      <c r="U940">
        <v>441</v>
      </c>
      <c r="V940" s="7" t="s">
        <v>24</v>
      </c>
      <c r="W940" s="7" t="s">
        <v>119</v>
      </c>
    </row>
    <row r="941" spans="1:23" x14ac:dyDescent="0.4">
      <c r="A941" t="s">
        <v>262</v>
      </c>
      <c r="B941" t="s">
        <v>2159</v>
      </c>
      <c r="C941" t="s">
        <v>2163</v>
      </c>
      <c r="D941" t="s">
        <v>21</v>
      </c>
      <c r="E941" t="s">
        <v>22</v>
      </c>
      <c r="F941" t="s">
        <v>23</v>
      </c>
      <c r="G941">
        <v>1</v>
      </c>
      <c r="H941">
        <v>9791166300622</v>
      </c>
      <c r="I941" t="s">
        <v>24</v>
      </c>
      <c r="J941" t="s">
        <v>164</v>
      </c>
      <c r="K941" t="s">
        <v>119</v>
      </c>
      <c r="L941" t="s">
        <v>27</v>
      </c>
      <c r="M941" s="3">
        <v>3200</v>
      </c>
      <c r="N941" t="s">
        <v>27</v>
      </c>
      <c r="O941" s="3">
        <v>3200</v>
      </c>
      <c r="P941" s="3">
        <v>3200</v>
      </c>
      <c r="Q941" t="s">
        <v>30</v>
      </c>
      <c r="R941" s="2">
        <v>0.7</v>
      </c>
      <c r="S941" s="3">
        <v>2240</v>
      </c>
      <c r="T941" t="s">
        <v>27</v>
      </c>
      <c r="U941" s="3">
        <v>2240</v>
      </c>
      <c r="V941" s="7" t="s">
        <v>24</v>
      </c>
      <c r="W941" s="7" t="s">
        <v>119</v>
      </c>
    </row>
    <row r="942" spans="1:23" x14ac:dyDescent="0.4">
      <c r="A942" t="s">
        <v>262</v>
      </c>
      <c r="B942" t="s">
        <v>2159</v>
      </c>
      <c r="C942" t="s">
        <v>2165</v>
      </c>
      <c r="D942" t="s">
        <v>64</v>
      </c>
      <c r="E942" t="s">
        <v>22</v>
      </c>
      <c r="F942" t="s">
        <v>23</v>
      </c>
      <c r="G942">
        <v>1</v>
      </c>
      <c r="H942">
        <v>9791166300196</v>
      </c>
      <c r="I942" t="s">
        <v>24</v>
      </c>
      <c r="J942" t="s">
        <v>128</v>
      </c>
      <c r="K942" t="s">
        <v>119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  <c r="V942" s="7" t="s">
        <v>24</v>
      </c>
      <c r="W942" s="7" t="s">
        <v>119</v>
      </c>
    </row>
    <row r="943" spans="1:23" x14ac:dyDescent="0.4">
      <c r="A943" t="s">
        <v>262</v>
      </c>
      <c r="B943" t="s">
        <v>2159</v>
      </c>
      <c r="C943" t="s">
        <v>2167</v>
      </c>
      <c r="D943" t="s">
        <v>64</v>
      </c>
      <c r="E943" t="s">
        <v>22</v>
      </c>
      <c r="F943" t="s">
        <v>23</v>
      </c>
      <c r="G943">
        <v>1</v>
      </c>
      <c r="H943">
        <v>9791166300233</v>
      </c>
      <c r="I943" t="s">
        <v>24</v>
      </c>
      <c r="J943" t="s">
        <v>132</v>
      </c>
      <c r="K943" t="s">
        <v>119</v>
      </c>
      <c r="L943" t="s">
        <v>27</v>
      </c>
      <c r="M943">
        <v>630</v>
      </c>
      <c r="N943" t="s">
        <v>27</v>
      </c>
      <c r="O943">
        <v>630</v>
      </c>
      <c r="P943">
        <v>630</v>
      </c>
      <c r="Q943" t="s">
        <v>30</v>
      </c>
      <c r="R943" s="2">
        <v>0.7</v>
      </c>
      <c r="S943">
        <v>441</v>
      </c>
      <c r="T943" t="s">
        <v>27</v>
      </c>
      <c r="U943">
        <v>441</v>
      </c>
      <c r="V943" s="7" t="s">
        <v>24</v>
      </c>
      <c r="W943" s="7" t="s">
        <v>119</v>
      </c>
    </row>
    <row r="944" spans="1:23" x14ac:dyDescent="0.4">
      <c r="A944" t="s">
        <v>262</v>
      </c>
      <c r="B944" t="s">
        <v>2159</v>
      </c>
      <c r="C944" t="s">
        <v>2170</v>
      </c>
      <c r="D944" t="s">
        <v>64</v>
      </c>
      <c r="E944" t="s">
        <v>22</v>
      </c>
      <c r="F944" t="s">
        <v>23</v>
      </c>
      <c r="G944">
        <v>1</v>
      </c>
      <c r="H944">
        <v>9791166300295</v>
      </c>
      <c r="I944" t="s">
        <v>24</v>
      </c>
      <c r="J944" t="s">
        <v>138</v>
      </c>
      <c r="K944" t="s">
        <v>119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2">
        <v>0.7</v>
      </c>
      <c r="S944">
        <v>441</v>
      </c>
      <c r="T944" t="s">
        <v>27</v>
      </c>
      <c r="U944">
        <v>441</v>
      </c>
      <c r="V944" s="7" t="s">
        <v>24</v>
      </c>
      <c r="W944" s="7" t="s">
        <v>119</v>
      </c>
    </row>
    <row r="945" spans="1:23" x14ac:dyDescent="0.4">
      <c r="A945" t="s">
        <v>262</v>
      </c>
      <c r="B945" t="s">
        <v>2159</v>
      </c>
      <c r="C945" t="s">
        <v>2171</v>
      </c>
      <c r="D945" t="s">
        <v>64</v>
      </c>
      <c r="E945" t="s">
        <v>22</v>
      </c>
      <c r="F945" t="s">
        <v>23</v>
      </c>
      <c r="G945">
        <v>1</v>
      </c>
      <c r="H945">
        <v>9791166300233</v>
      </c>
      <c r="I945" t="s">
        <v>24</v>
      </c>
      <c r="J945" t="s">
        <v>132</v>
      </c>
      <c r="K945" t="s">
        <v>119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2">
        <v>0.7</v>
      </c>
      <c r="S945">
        <v>441</v>
      </c>
      <c r="T945" t="s">
        <v>27</v>
      </c>
      <c r="U945">
        <v>441</v>
      </c>
      <c r="V945" s="7" t="s">
        <v>24</v>
      </c>
      <c r="W945" s="7" t="s">
        <v>119</v>
      </c>
    </row>
    <row r="946" spans="1:23" x14ac:dyDescent="0.4">
      <c r="A946" t="s">
        <v>262</v>
      </c>
      <c r="B946" t="s">
        <v>2159</v>
      </c>
      <c r="C946" t="s">
        <v>2172</v>
      </c>
      <c r="D946" t="s">
        <v>64</v>
      </c>
      <c r="E946" t="s">
        <v>22</v>
      </c>
      <c r="F946" t="s">
        <v>23</v>
      </c>
      <c r="G946">
        <v>1</v>
      </c>
      <c r="H946">
        <v>9791166300103</v>
      </c>
      <c r="I946" t="s">
        <v>24</v>
      </c>
      <c r="J946" t="s">
        <v>120</v>
      </c>
      <c r="K946" t="s">
        <v>119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  <c r="V946" s="7" t="s">
        <v>24</v>
      </c>
      <c r="W946" s="7" t="s">
        <v>119</v>
      </c>
    </row>
    <row r="947" spans="1:23" x14ac:dyDescent="0.4">
      <c r="A947" t="s">
        <v>262</v>
      </c>
      <c r="B947" t="s">
        <v>2159</v>
      </c>
      <c r="C947" t="s">
        <v>2173</v>
      </c>
      <c r="D947" t="s">
        <v>21</v>
      </c>
      <c r="E947" t="s">
        <v>22</v>
      </c>
      <c r="F947" t="s">
        <v>23</v>
      </c>
      <c r="G947">
        <v>1</v>
      </c>
      <c r="H947">
        <v>9791166300639</v>
      </c>
      <c r="I947" t="s">
        <v>24</v>
      </c>
      <c r="J947" t="s">
        <v>165</v>
      </c>
      <c r="K947" t="s">
        <v>119</v>
      </c>
      <c r="L947" t="s">
        <v>27</v>
      </c>
      <c r="M947" s="3">
        <v>3200</v>
      </c>
      <c r="N947" t="s">
        <v>27</v>
      </c>
      <c r="O947" s="3">
        <v>3200</v>
      </c>
      <c r="P947" s="3">
        <v>3200</v>
      </c>
      <c r="Q947" t="s">
        <v>30</v>
      </c>
      <c r="R947" s="2">
        <v>0.7</v>
      </c>
      <c r="S947" s="3">
        <v>2240</v>
      </c>
      <c r="T947" t="s">
        <v>27</v>
      </c>
      <c r="U947" s="3">
        <v>2240</v>
      </c>
      <c r="V947" s="7" t="s">
        <v>24</v>
      </c>
      <c r="W947" s="7" t="s">
        <v>119</v>
      </c>
    </row>
    <row r="948" spans="1:23" x14ac:dyDescent="0.4">
      <c r="A948" t="s">
        <v>262</v>
      </c>
      <c r="B948" t="s">
        <v>2159</v>
      </c>
      <c r="C948" t="s">
        <v>2174</v>
      </c>
      <c r="D948" t="s">
        <v>64</v>
      </c>
      <c r="E948" t="s">
        <v>22</v>
      </c>
      <c r="F948" t="s">
        <v>23</v>
      </c>
      <c r="G948">
        <v>1</v>
      </c>
      <c r="H948">
        <v>9791166300172</v>
      </c>
      <c r="I948" t="s">
        <v>24</v>
      </c>
      <c r="J948" t="s">
        <v>127</v>
      </c>
      <c r="K948" t="s">
        <v>119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2">
        <v>0.7</v>
      </c>
      <c r="S948">
        <v>441</v>
      </c>
      <c r="T948" t="s">
        <v>27</v>
      </c>
      <c r="U948">
        <v>441</v>
      </c>
      <c r="V948" s="7" t="s">
        <v>24</v>
      </c>
      <c r="W948" s="7" t="s">
        <v>119</v>
      </c>
    </row>
    <row r="949" spans="1:23" x14ac:dyDescent="0.4">
      <c r="A949" t="s">
        <v>262</v>
      </c>
      <c r="B949" t="s">
        <v>2159</v>
      </c>
      <c r="C949" t="s">
        <v>2175</v>
      </c>
      <c r="D949" t="s">
        <v>21</v>
      </c>
      <c r="E949" t="s">
        <v>22</v>
      </c>
      <c r="F949" t="s">
        <v>23</v>
      </c>
      <c r="G949">
        <v>1</v>
      </c>
      <c r="H949">
        <v>9791166300592</v>
      </c>
      <c r="I949" t="s">
        <v>24</v>
      </c>
      <c r="J949" t="s">
        <v>161</v>
      </c>
      <c r="K949" t="s">
        <v>119</v>
      </c>
      <c r="L949" t="s">
        <v>27</v>
      </c>
      <c r="M949" s="3">
        <v>3200</v>
      </c>
      <c r="N949" t="s">
        <v>27</v>
      </c>
      <c r="O949" s="3">
        <v>3200</v>
      </c>
      <c r="P949" s="3">
        <v>3200</v>
      </c>
      <c r="Q949" t="s">
        <v>30</v>
      </c>
      <c r="R949" s="2">
        <v>0.7</v>
      </c>
      <c r="S949" s="3">
        <v>2240</v>
      </c>
      <c r="T949" t="s">
        <v>27</v>
      </c>
      <c r="U949" s="3">
        <v>2240</v>
      </c>
      <c r="V949" s="7" t="s">
        <v>24</v>
      </c>
      <c r="W949" s="7" t="s">
        <v>119</v>
      </c>
    </row>
    <row r="950" spans="1:23" x14ac:dyDescent="0.4">
      <c r="A950" t="s">
        <v>262</v>
      </c>
      <c r="B950" t="s">
        <v>2159</v>
      </c>
      <c r="C950" t="s">
        <v>2176</v>
      </c>
      <c r="D950" t="s">
        <v>64</v>
      </c>
      <c r="E950" t="s">
        <v>22</v>
      </c>
      <c r="F950" t="s">
        <v>23</v>
      </c>
      <c r="G950">
        <v>1</v>
      </c>
      <c r="H950">
        <v>9791166300233</v>
      </c>
      <c r="I950" t="s">
        <v>24</v>
      </c>
      <c r="J950" t="s">
        <v>132</v>
      </c>
      <c r="K950" t="s">
        <v>119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2">
        <v>0.7</v>
      </c>
      <c r="S950">
        <v>441</v>
      </c>
      <c r="T950" t="s">
        <v>27</v>
      </c>
      <c r="U950">
        <v>441</v>
      </c>
      <c r="V950" s="7" t="s">
        <v>24</v>
      </c>
      <c r="W950" s="7" t="s">
        <v>119</v>
      </c>
    </row>
    <row r="951" spans="1:23" x14ac:dyDescent="0.4">
      <c r="A951" t="s">
        <v>262</v>
      </c>
      <c r="B951" t="s">
        <v>2159</v>
      </c>
      <c r="C951" t="s">
        <v>2177</v>
      </c>
      <c r="D951" t="s">
        <v>21</v>
      </c>
      <c r="E951" t="s">
        <v>22</v>
      </c>
      <c r="F951" t="s">
        <v>23</v>
      </c>
      <c r="G951">
        <v>1</v>
      </c>
      <c r="H951">
        <v>9791166060564</v>
      </c>
      <c r="I951" t="s">
        <v>24</v>
      </c>
      <c r="J951" t="s">
        <v>2178</v>
      </c>
      <c r="K951" t="s">
        <v>119</v>
      </c>
      <c r="L951" t="s">
        <v>27</v>
      </c>
      <c r="M951" s="3">
        <v>3200</v>
      </c>
      <c r="N951" t="s">
        <v>27</v>
      </c>
      <c r="O951" s="3">
        <v>3200</v>
      </c>
      <c r="P951" s="3">
        <v>3200</v>
      </c>
      <c r="Q951" t="s">
        <v>30</v>
      </c>
      <c r="R951" s="2">
        <v>0.7</v>
      </c>
      <c r="S951" s="3">
        <v>2240</v>
      </c>
      <c r="T951" t="s">
        <v>27</v>
      </c>
      <c r="U951" s="3">
        <v>2240</v>
      </c>
      <c r="V951" s="7" t="s">
        <v>24</v>
      </c>
      <c r="W951" s="7" t="s">
        <v>119</v>
      </c>
    </row>
    <row r="952" spans="1:23" x14ac:dyDescent="0.4">
      <c r="A952" t="s">
        <v>262</v>
      </c>
      <c r="B952" t="s">
        <v>2159</v>
      </c>
      <c r="C952" t="s">
        <v>2188</v>
      </c>
      <c r="D952" t="s">
        <v>64</v>
      </c>
      <c r="E952" t="s">
        <v>22</v>
      </c>
      <c r="F952" t="s">
        <v>23</v>
      </c>
      <c r="G952">
        <v>1</v>
      </c>
      <c r="H952">
        <v>9791166300240</v>
      </c>
      <c r="I952" t="s">
        <v>24</v>
      </c>
      <c r="J952" t="s">
        <v>133</v>
      </c>
      <c r="K952" t="s">
        <v>119</v>
      </c>
      <c r="L952" t="s">
        <v>27</v>
      </c>
      <c r="M952">
        <v>630</v>
      </c>
      <c r="N952" t="s">
        <v>27</v>
      </c>
      <c r="O952">
        <v>630</v>
      </c>
      <c r="P952">
        <v>630</v>
      </c>
      <c r="Q952" t="s">
        <v>30</v>
      </c>
      <c r="R952" s="2">
        <v>0.7</v>
      </c>
      <c r="S952">
        <v>441</v>
      </c>
      <c r="T952" t="s">
        <v>27</v>
      </c>
      <c r="U952">
        <v>441</v>
      </c>
      <c r="V952" s="7" t="s">
        <v>24</v>
      </c>
      <c r="W952" s="7" t="s">
        <v>119</v>
      </c>
    </row>
    <row r="953" spans="1:23" x14ac:dyDescent="0.4">
      <c r="A953" t="s">
        <v>262</v>
      </c>
      <c r="B953" t="s">
        <v>2159</v>
      </c>
      <c r="C953" t="s">
        <v>2191</v>
      </c>
      <c r="D953" t="s">
        <v>64</v>
      </c>
      <c r="E953" t="s">
        <v>22</v>
      </c>
      <c r="F953" t="s">
        <v>23</v>
      </c>
      <c r="G953">
        <v>1</v>
      </c>
      <c r="H953">
        <v>9791166300202</v>
      </c>
      <c r="I953" t="s">
        <v>24</v>
      </c>
      <c r="J953" t="s">
        <v>129</v>
      </c>
      <c r="K953" t="s">
        <v>119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  <c r="V953" s="7" t="s">
        <v>24</v>
      </c>
      <c r="W953" s="7" t="s">
        <v>119</v>
      </c>
    </row>
    <row r="954" spans="1:23" x14ac:dyDescent="0.4">
      <c r="A954" t="s">
        <v>262</v>
      </c>
      <c r="B954" t="s">
        <v>2159</v>
      </c>
      <c r="C954" t="s">
        <v>2196</v>
      </c>
      <c r="D954" t="s">
        <v>64</v>
      </c>
      <c r="E954" t="s">
        <v>22</v>
      </c>
      <c r="F954" t="s">
        <v>23</v>
      </c>
      <c r="G954">
        <v>1</v>
      </c>
      <c r="H954">
        <v>9791166300141</v>
      </c>
      <c r="I954" t="s">
        <v>24</v>
      </c>
      <c r="J954" t="s">
        <v>124</v>
      </c>
      <c r="K954" t="s">
        <v>119</v>
      </c>
      <c r="L954" t="s">
        <v>27</v>
      </c>
      <c r="M954">
        <v>630</v>
      </c>
      <c r="N954" t="s">
        <v>27</v>
      </c>
      <c r="O954">
        <v>630</v>
      </c>
      <c r="P954">
        <v>630</v>
      </c>
      <c r="Q954" t="s">
        <v>30</v>
      </c>
      <c r="R954" s="2">
        <v>0.7</v>
      </c>
      <c r="S954">
        <v>441</v>
      </c>
      <c r="T954" t="s">
        <v>27</v>
      </c>
      <c r="U954">
        <v>441</v>
      </c>
      <c r="V954" s="7" t="s">
        <v>24</v>
      </c>
      <c r="W954" s="7" t="s">
        <v>119</v>
      </c>
    </row>
    <row r="955" spans="1:23" x14ac:dyDescent="0.4">
      <c r="A955" t="s">
        <v>262</v>
      </c>
      <c r="B955" t="s">
        <v>2159</v>
      </c>
      <c r="C955" t="s">
        <v>2202</v>
      </c>
      <c r="D955" t="s">
        <v>21</v>
      </c>
      <c r="E955" t="s">
        <v>22</v>
      </c>
      <c r="F955" t="s">
        <v>23</v>
      </c>
      <c r="G955">
        <v>1</v>
      </c>
      <c r="H955">
        <v>9791166300608</v>
      </c>
      <c r="I955" t="s">
        <v>24</v>
      </c>
      <c r="J955" t="s">
        <v>162</v>
      </c>
      <c r="K955" t="s">
        <v>119</v>
      </c>
      <c r="L955" t="s">
        <v>27</v>
      </c>
      <c r="M955" s="3">
        <v>3200</v>
      </c>
      <c r="N955" t="s">
        <v>27</v>
      </c>
      <c r="O955" s="3">
        <v>3200</v>
      </c>
      <c r="P955" s="3">
        <v>3200</v>
      </c>
      <c r="Q955" t="s">
        <v>30</v>
      </c>
      <c r="R955" s="2">
        <v>0.7</v>
      </c>
      <c r="S955" s="3">
        <v>2240</v>
      </c>
      <c r="T955" t="s">
        <v>27</v>
      </c>
      <c r="U955" s="3">
        <v>2240</v>
      </c>
      <c r="V955" s="7" t="s">
        <v>24</v>
      </c>
      <c r="W955" s="7" t="s">
        <v>119</v>
      </c>
    </row>
    <row r="956" spans="1:23" x14ac:dyDescent="0.4">
      <c r="A956" t="s">
        <v>262</v>
      </c>
      <c r="B956" t="s">
        <v>2159</v>
      </c>
      <c r="C956" t="s">
        <v>2204</v>
      </c>
      <c r="D956" t="s">
        <v>64</v>
      </c>
      <c r="E956" t="s">
        <v>22</v>
      </c>
      <c r="F956" t="s">
        <v>23</v>
      </c>
      <c r="G956">
        <v>1</v>
      </c>
      <c r="H956">
        <v>9791166300219</v>
      </c>
      <c r="I956" t="s">
        <v>24</v>
      </c>
      <c r="J956" t="s">
        <v>130</v>
      </c>
      <c r="K956" t="s">
        <v>119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2">
        <v>0.7</v>
      </c>
      <c r="S956">
        <v>441</v>
      </c>
      <c r="T956" t="s">
        <v>27</v>
      </c>
      <c r="U956">
        <v>441</v>
      </c>
      <c r="V956" s="7" t="s">
        <v>24</v>
      </c>
      <c r="W956" s="7" t="s">
        <v>119</v>
      </c>
    </row>
    <row r="957" spans="1:23" x14ac:dyDescent="0.4">
      <c r="A957" t="s">
        <v>262</v>
      </c>
      <c r="B957" t="s">
        <v>2159</v>
      </c>
      <c r="C957" t="s">
        <v>2207</v>
      </c>
      <c r="D957" t="s">
        <v>64</v>
      </c>
      <c r="E957" t="s">
        <v>22</v>
      </c>
      <c r="F957" t="s">
        <v>23</v>
      </c>
      <c r="G957">
        <v>1</v>
      </c>
      <c r="H957">
        <v>9791166300233</v>
      </c>
      <c r="I957" t="s">
        <v>24</v>
      </c>
      <c r="J957" t="s">
        <v>132</v>
      </c>
      <c r="K957" t="s">
        <v>119</v>
      </c>
      <c r="L957" t="s">
        <v>27</v>
      </c>
      <c r="M957">
        <v>630</v>
      </c>
      <c r="N957" t="s">
        <v>27</v>
      </c>
      <c r="O957">
        <v>630</v>
      </c>
      <c r="P957">
        <v>630</v>
      </c>
      <c r="Q957" t="s">
        <v>30</v>
      </c>
      <c r="R957" s="2">
        <v>0.7</v>
      </c>
      <c r="S957">
        <v>441</v>
      </c>
      <c r="T957" t="s">
        <v>27</v>
      </c>
      <c r="U957">
        <v>441</v>
      </c>
      <c r="V957" s="7" t="s">
        <v>24</v>
      </c>
      <c r="W957" s="7" t="s">
        <v>119</v>
      </c>
    </row>
    <row r="958" spans="1:23" x14ac:dyDescent="0.4">
      <c r="A958" t="s">
        <v>262</v>
      </c>
      <c r="B958" t="s">
        <v>2159</v>
      </c>
      <c r="C958" t="s">
        <v>2211</v>
      </c>
      <c r="D958" t="s">
        <v>64</v>
      </c>
      <c r="E958" t="s">
        <v>22</v>
      </c>
      <c r="F958" t="s">
        <v>23</v>
      </c>
      <c r="G958">
        <v>1</v>
      </c>
      <c r="H958">
        <v>9791166300196</v>
      </c>
      <c r="I958" t="s">
        <v>24</v>
      </c>
      <c r="J958" t="s">
        <v>128</v>
      </c>
      <c r="K958" t="s">
        <v>119</v>
      </c>
      <c r="L958" t="s">
        <v>27</v>
      </c>
      <c r="M958">
        <v>630</v>
      </c>
      <c r="N958" t="s">
        <v>27</v>
      </c>
      <c r="O958">
        <v>630</v>
      </c>
      <c r="P958">
        <v>630</v>
      </c>
      <c r="Q958" t="s">
        <v>30</v>
      </c>
      <c r="R958" s="2">
        <v>0.7</v>
      </c>
      <c r="S958">
        <v>441</v>
      </c>
      <c r="T958" t="s">
        <v>27</v>
      </c>
      <c r="U958">
        <v>441</v>
      </c>
      <c r="V958" s="7" t="s">
        <v>24</v>
      </c>
      <c r="W958" s="7" t="s">
        <v>119</v>
      </c>
    </row>
    <row r="959" spans="1:23" x14ac:dyDescent="0.4">
      <c r="A959" t="s">
        <v>262</v>
      </c>
      <c r="B959" t="s">
        <v>2159</v>
      </c>
      <c r="C959" t="s">
        <v>2216</v>
      </c>
      <c r="D959" t="s">
        <v>64</v>
      </c>
      <c r="E959" t="s">
        <v>22</v>
      </c>
      <c r="F959" t="s">
        <v>23</v>
      </c>
      <c r="G959">
        <v>1</v>
      </c>
      <c r="H959">
        <v>9791166300479</v>
      </c>
      <c r="I959" t="s">
        <v>24</v>
      </c>
      <c r="J959" t="s">
        <v>145</v>
      </c>
      <c r="K959" t="s">
        <v>119</v>
      </c>
      <c r="L959" t="s">
        <v>27</v>
      </c>
      <c r="M959">
        <v>630</v>
      </c>
      <c r="N959" t="s">
        <v>27</v>
      </c>
      <c r="O959">
        <v>630</v>
      </c>
      <c r="P959">
        <v>630</v>
      </c>
      <c r="Q959" t="s">
        <v>30</v>
      </c>
      <c r="R959" s="2">
        <v>0.7</v>
      </c>
      <c r="S959">
        <v>441</v>
      </c>
      <c r="T959" t="s">
        <v>27</v>
      </c>
      <c r="U959">
        <v>441</v>
      </c>
      <c r="V959" s="7" t="s">
        <v>24</v>
      </c>
      <c r="W959" s="7" t="s">
        <v>119</v>
      </c>
    </row>
    <row r="960" spans="1:23" x14ac:dyDescent="0.4">
      <c r="A960" t="s">
        <v>262</v>
      </c>
      <c r="B960" t="s">
        <v>2159</v>
      </c>
      <c r="C960" t="s">
        <v>2218</v>
      </c>
      <c r="D960" t="s">
        <v>21</v>
      </c>
      <c r="E960" t="s">
        <v>22</v>
      </c>
      <c r="F960" t="s">
        <v>23</v>
      </c>
      <c r="G960">
        <v>1</v>
      </c>
      <c r="H960">
        <v>9791166300646</v>
      </c>
      <c r="I960" t="s">
        <v>24</v>
      </c>
      <c r="J960" t="s">
        <v>155</v>
      </c>
      <c r="K960" t="s">
        <v>119</v>
      </c>
      <c r="L960" t="s">
        <v>27</v>
      </c>
      <c r="M960" s="3">
        <v>3200</v>
      </c>
      <c r="N960" t="s">
        <v>27</v>
      </c>
      <c r="O960" s="3">
        <v>3200</v>
      </c>
      <c r="P960" s="3">
        <v>3200</v>
      </c>
      <c r="Q960" t="s">
        <v>30</v>
      </c>
      <c r="R960" s="2">
        <v>0.7</v>
      </c>
      <c r="S960" s="3">
        <v>2240</v>
      </c>
      <c r="T960" t="s">
        <v>27</v>
      </c>
      <c r="U960" s="3">
        <v>2240</v>
      </c>
      <c r="V960" s="7" t="s">
        <v>24</v>
      </c>
      <c r="W960" s="7" t="s">
        <v>119</v>
      </c>
    </row>
    <row r="961" spans="1:23" x14ac:dyDescent="0.4">
      <c r="A961" t="s">
        <v>262</v>
      </c>
      <c r="B961" t="s">
        <v>2159</v>
      </c>
      <c r="C961" t="s">
        <v>2222</v>
      </c>
      <c r="D961" t="s">
        <v>64</v>
      </c>
      <c r="E961" t="s">
        <v>22</v>
      </c>
      <c r="F961" t="s">
        <v>23</v>
      </c>
      <c r="G961">
        <v>1</v>
      </c>
      <c r="H961">
        <v>9791166300202</v>
      </c>
      <c r="I961" t="s">
        <v>24</v>
      </c>
      <c r="J961" t="s">
        <v>129</v>
      </c>
      <c r="K961" t="s">
        <v>119</v>
      </c>
      <c r="L961" t="s">
        <v>27</v>
      </c>
      <c r="M961">
        <v>630</v>
      </c>
      <c r="N961" t="s">
        <v>27</v>
      </c>
      <c r="O961">
        <v>630</v>
      </c>
      <c r="P961">
        <v>630</v>
      </c>
      <c r="Q961" t="s">
        <v>30</v>
      </c>
      <c r="R961" s="2">
        <v>0.7</v>
      </c>
      <c r="S961">
        <v>441</v>
      </c>
      <c r="T961" t="s">
        <v>27</v>
      </c>
      <c r="U961">
        <v>441</v>
      </c>
      <c r="V961" s="7" t="s">
        <v>24</v>
      </c>
      <c r="W961" s="7" t="s">
        <v>119</v>
      </c>
    </row>
    <row r="962" spans="1:23" x14ac:dyDescent="0.4">
      <c r="A962" t="s">
        <v>262</v>
      </c>
      <c r="B962" t="s">
        <v>2159</v>
      </c>
      <c r="C962" t="s">
        <v>2228</v>
      </c>
      <c r="D962" t="s">
        <v>64</v>
      </c>
      <c r="E962" t="s">
        <v>22</v>
      </c>
      <c r="F962" t="s">
        <v>23</v>
      </c>
      <c r="G962">
        <v>1</v>
      </c>
      <c r="H962">
        <v>9791166300226</v>
      </c>
      <c r="I962" t="s">
        <v>24</v>
      </c>
      <c r="J962" t="s">
        <v>131</v>
      </c>
      <c r="K962" t="s">
        <v>119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2">
        <v>0.7</v>
      </c>
      <c r="S962">
        <v>441</v>
      </c>
      <c r="T962" t="s">
        <v>27</v>
      </c>
      <c r="U962">
        <v>441</v>
      </c>
      <c r="V962" s="7" t="s">
        <v>24</v>
      </c>
      <c r="W962" s="7" t="s">
        <v>119</v>
      </c>
    </row>
    <row r="963" spans="1:23" x14ac:dyDescent="0.4">
      <c r="A963" t="s">
        <v>262</v>
      </c>
      <c r="B963" t="s">
        <v>2159</v>
      </c>
      <c r="C963" t="s">
        <v>2230</v>
      </c>
      <c r="D963" t="s">
        <v>64</v>
      </c>
      <c r="E963" t="s">
        <v>22</v>
      </c>
      <c r="F963" t="s">
        <v>23</v>
      </c>
      <c r="G963">
        <v>1</v>
      </c>
      <c r="H963">
        <v>9791166300219</v>
      </c>
      <c r="I963" t="s">
        <v>24</v>
      </c>
      <c r="J963" t="s">
        <v>130</v>
      </c>
      <c r="K963" t="s">
        <v>119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2">
        <v>0.7</v>
      </c>
      <c r="S963">
        <v>441</v>
      </c>
      <c r="T963" t="s">
        <v>27</v>
      </c>
      <c r="U963">
        <v>441</v>
      </c>
      <c r="V963" s="7" t="s">
        <v>24</v>
      </c>
      <c r="W963" s="7" t="s">
        <v>119</v>
      </c>
    </row>
    <row r="964" spans="1:23" x14ac:dyDescent="0.4">
      <c r="A964" t="s">
        <v>262</v>
      </c>
      <c r="B964" t="s">
        <v>2236</v>
      </c>
      <c r="C964" t="s">
        <v>2237</v>
      </c>
      <c r="D964" t="s">
        <v>64</v>
      </c>
      <c r="E964" t="s">
        <v>22</v>
      </c>
      <c r="F964" t="s">
        <v>23</v>
      </c>
      <c r="G964">
        <v>1</v>
      </c>
      <c r="H964">
        <v>9791166300660</v>
      </c>
      <c r="I964" t="s">
        <v>24</v>
      </c>
      <c r="J964" t="s">
        <v>156</v>
      </c>
      <c r="K964" t="s">
        <v>119</v>
      </c>
      <c r="L964" t="s">
        <v>27</v>
      </c>
      <c r="M964">
        <v>630</v>
      </c>
      <c r="N964" t="s">
        <v>27</v>
      </c>
      <c r="O964">
        <v>630</v>
      </c>
      <c r="P964">
        <v>630</v>
      </c>
      <c r="Q964" t="s">
        <v>30</v>
      </c>
      <c r="R964" s="2">
        <v>0.7</v>
      </c>
      <c r="S964">
        <v>441</v>
      </c>
      <c r="T964" t="s">
        <v>27</v>
      </c>
      <c r="U964">
        <v>441</v>
      </c>
      <c r="V964" s="7" t="s">
        <v>24</v>
      </c>
      <c r="W964" s="7" t="s">
        <v>119</v>
      </c>
    </row>
    <row r="965" spans="1:23" x14ac:dyDescent="0.4">
      <c r="A965" t="s">
        <v>262</v>
      </c>
      <c r="B965" t="s">
        <v>2236</v>
      </c>
      <c r="C965" t="s">
        <v>2245</v>
      </c>
      <c r="D965" t="s">
        <v>64</v>
      </c>
      <c r="E965" t="s">
        <v>22</v>
      </c>
      <c r="F965" t="s">
        <v>23</v>
      </c>
      <c r="G965">
        <v>1</v>
      </c>
      <c r="H965">
        <v>9791166300226</v>
      </c>
      <c r="I965" t="s">
        <v>24</v>
      </c>
      <c r="J965" t="s">
        <v>131</v>
      </c>
      <c r="K965" t="s">
        <v>119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  <c r="V965" s="7" t="s">
        <v>24</v>
      </c>
      <c r="W965" s="7" t="s">
        <v>119</v>
      </c>
    </row>
    <row r="966" spans="1:23" x14ac:dyDescent="0.4">
      <c r="A966" t="s">
        <v>262</v>
      </c>
      <c r="B966" t="s">
        <v>2236</v>
      </c>
      <c r="C966" t="s">
        <v>2246</v>
      </c>
      <c r="D966" t="s">
        <v>64</v>
      </c>
      <c r="E966" t="s">
        <v>22</v>
      </c>
      <c r="F966" t="s">
        <v>23</v>
      </c>
      <c r="G966">
        <v>1</v>
      </c>
      <c r="H966">
        <v>9791166300295</v>
      </c>
      <c r="I966" t="s">
        <v>24</v>
      </c>
      <c r="J966" t="s">
        <v>138</v>
      </c>
      <c r="K966" t="s">
        <v>119</v>
      </c>
      <c r="L966" t="s">
        <v>27</v>
      </c>
      <c r="M966">
        <v>630</v>
      </c>
      <c r="N966" t="s">
        <v>27</v>
      </c>
      <c r="O966">
        <v>630</v>
      </c>
      <c r="P966">
        <v>630</v>
      </c>
      <c r="Q966" t="s">
        <v>30</v>
      </c>
      <c r="R966" s="2">
        <v>0.7</v>
      </c>
      <c r="S966">
        <v>441</v>
      </c>
      <c r="T966" t="s">
        <v>27</v>
      </c>
      <c r="U966">
        <v>441</v>
      </c>
      <c r="V966" s="7" t="s">
        <v>24</v>
      </c>
      <c r="W966" s="7" t="s">
        <v>119</v>
      </c>
    </row>
    <row r="967" spans="1:23" x14ac:dyDescent="0.4">
      <c r="A967" t="s">
        <v>262</v>
      </c>
      <c r="B967" t="s">
        <v>2236</v>
      </c>
      <c r="C967" t="s">
        <v>2248</v>
      </c>
      <c r="D967" t="s">
        <v>21</v>
      </c>
      <c r="E967" t="s">
        <v>22</v>
      </c>
      <c r="F967" t="s">
        <v>23</v>
      </c>
      <c r="G967">
        <v>1</v>
      </c>
      <c r="H967">
        <v>9791166300615</v>
      </c>
      <c r="I967" t="s">
        <v>24</v>
      </c>
      <c r="J967" t="s">
        <v>163</v>
      </c>
      <c r="K967" t="s">
        <v>119</v>
      </c>
      <c r="L967" t="s">
        <v>27</v>
      </c>
      <c r="M967" s="3">
        <v>3200</v>
      </c>
      <c r="N967" t="s">
        <v>27</v>
      </c>
      <c r="O967" s="3">
        <v>3200</v>
      </c>
      <c r="P967" s="3">
        <v>3200</v>
      </c>
      <c r="Q967" t="s">
        <v>30</v>
      </c>
      <c r="R967" s="2">
        <v>0.7</v>
      </c>
      <c r="S967" s="3">
        <v>2240</v>
      </c>
      <c r="T967" t="s">
        <v>27</v>
      </c>
      <c r="U967" s="3">
        <v>2240</v>
      </c>
      <c r="V967" s="7" t="s">
        <v>24</v>
      </c>
      <c r="W967" s="7" t="s">
        <v>119</v>
      </c>
    </row>
    <row r="968" spans="1:23" x14ac:dyDescent="0.4">
      <c r="A968" t="s">
        <v>262</v>
      </c>
      <c r="B968" t="s">
        <v>2236</v>
      </c>
      <c r="C968" t="s">
        <v>2252</v>
      </c>
      <c r="D968" t="s">
        <v>64</v>
      </c>
      <c r="E968" t="s">
        <v>22</v>
      </c>
      <c r="F968" t="s">
        <v>23</v>
      </c>
      <c r="G968">
        <v>1</v>
      </c>
      <c r="H968">
        <v>9791166300110</v>
      </c>
      <c r="I968" t="s">
        <v>24</v>
      </c>
      <c r="J968" t="s">
        <v>121</v>
      </c>
      <c r="K968" t="s">
        <v>119</v>
      </c>
      <c r="L968" t="s">
        <v>27</v>
      </c>
      <c r="M968">
        <v>630</v>
      </c>
      <c r="N968" t="s">
        <v>27</v>
      </c>
      <c r="O968">
        <v>630</v>
      </c>
      <c r="P968">
        <v>630</v>
      </c>
      <c r="Q968" t="s">
        <v>30</v>
      </c>
      <c r="R968" s="2">
        <v>0.7</v>
      </c>
      <c r="S968">
        <v>441</v>
      </c>
      <c r="T968" t="s">
        <v>27</v>
      </c>
      <c r="U968">
        <v>441</v>
      </c>
      <c r="V968" s="7" t="s">
        <v>24</v>
      </c>
      <c r="W968" s="7" t="s">
        <v>119</v>
      </c>
    </row>
    <row r="969" spans="1:23" x14ac:dyDescent="0.4">
      <c r="A969" t="s">
        <v>262</v>
      </c>
      <c r="B969" t="s">
        <v>2236</v>
      </c>
      <c r="C969" t="s">
        <v>2255</v>
      </c>
      <c r="D969" t="s">
        <v>64</v>
      </c>
      <c r="E969" t="s">
        <v>22</v>
      </c>
      <c r="F969" t="s">
        <v>23</v>
      </c>
      <c r="G969">
        <v>1</v>
      </c>
      <c r="H969">
        <v>9791166300486</v>
      </c>
      <c r="I969" t="s">
        <v>24</v>
      </c>
      <c r="J969" t="s">
        <v>146</v>
      </c>
      <c r="K969" t="s">
        <v>119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2">
        <v>0.7</v>
      </c>
      <c r="S969">
        <v>441</v>
      </c>
      <c r="T969" t="s">
        <v>27</v>
      </c>
      <c r="U969">
        <v>441</v>
      </c>
      <c r="V969" s="7" t="s">
        <v>24</v>
      </c>
      <c r="W969" s="7" t="s">
        <v>119</v>
      </c>
    </row>
    <row r="970" spans="1:23" x14ac:dyDescent="0.4">
      <c r="A970" t="s">
        <v>262</v>
      </c>
      <c r="B970" t="s">
        <v>2236</v>
      </c>
      <c r="C970" t="s">
        <v>2259</v>
      </c>
      <c r="D970" t="s">
        <v>64</v>
      </c>
      <c r="E970" t="s">
        <v>22</v>
      </c>
      <c r="F970" t="s">
        <v>23</v>
      </c>
      <c r="G970">
        <v>1</v>
      </c>
      <c r="H970">
        <v>9791166300592</v>
      </c>
      <c r="I970" t="s">
        <v>24</v>
      </c>
      <c r="J970" t="s">
        <v>161</v>
      </c>
      <c r="K970" t="s">
        <v>119</v>
      </c>
      <c r="L970" t="s">
        <v>27</v>
      </c>
      <c r="M970">
        <v>630</v>
      </c>
      <c r="N970" t="s">
        <v>27</v>
      </c>
      <c r="O970">
        <v>630</v>
      </c>
      <c r="P970">
        <v>630</v>
      </c>
      <c r="Q970" t="s">
        <v>30</v>
      </c>
      <c r="R970" s="2">
        <v>0.7</v>
      </c>
      <c r="S970">
        <v>441</v>
      </c>
      <c r="T970" t="s">
        <v>27</v>
      </c>
      <c r="U970">
        <v>441</v>
      </c>
      <c r="V970" s="7" t="s">
        <v>24</v>
      </c>
      <c r="W970" s="7" t="s">
        <v>119</v>
      </c>
    </row>
    <row r="971" spans="1:23" x14ac:dyDescent="0.4">
      <c r="A971" t="s">
        <v>262</v>
      </c>
      <c r="B971" t="s">
        <v>2236</v>
      </c>
      <c r="C971" t="s">
        <v>2260</v>
      </c>
      <c r="D971" t="s">
        <v>64</v>
      </c>
      <c r="E971" t="s">
        <v>22</v>
      </c>
      <c r="F971" t="s">
        <v>23</v>
      </c>
      <c r="G971">
        <v>1</v>
      </c>
      <c r="H971">
        <v>9791166300523</v>
      </c>
      <c r="I971" t="s">
        <v>24</v>
      </c>
      <c r="J971" t="s">
        <v>150</v>
      </c>
      <c r="K971" t="s">
        <v>119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  <c r="V971" s="7" t="s">
        <v>24</v>
      </c>
      <c r="W971" s="7" t="s">
        <v>119</v>
      </c>
    </row>
    <row r="972" spans="1:23" x14ac:dyDescent="0.4">
      <c r="A972" t="s">
        <v>262</v>
      </c>
      <c r="B972" t="s">
        <v>2236</v>
      </c>
      <c r="C972" t="s">
        <v>2261</v>
      </c>
      <c r="D972" t="s">
        <v>21</v>
      </c>
      <c r="E972" t="s">
        <v>22</v>
      </c>
      <c r="F972" t="s">
        <v>23</v>
      </c>
      <c r="G972">
        <v>1</v>
      </c>
      <c r="H972">
        <v>9791166300011</v>
      </c>
      <c r="I972" t="s">
        <v>24</v>
      </c>
      <c r="J972" t="s">
        <v>166</v>
      </c>
      <c r="K972" t="s">
        <v>119</v>
      </c>
      <c r="L972" t="s">
        <v>27</v>
      </c>
      <c r="M972" s="3">
        <v>3200</v>
      </c>
      <c r="N972" t="s">
        <v>27</v>
      </c>
      <c r="O972" s="3">
        <v>3200</v>
      </c>
      <c r="P972" s="3">
        <v>3200</v>
      </c>
      <c r="Q972" t="s">
        <v>30</v>
      </c>
      <c r="R972" s="2">
        <v>0.7</v>
      </c>
      <c r="S972" s="3">
        <v>2240</v>
      </c>
      <c r="T972" t="s">
        <v>27</v>
      </c>
      <c r="U972" s="3">
        <v>2240</v>
      </c>
      <c r="V972" s="7" t="s">
        <v>24</v>
      </c>
      <c r="W972" s="7" t="s">
        <v>119</v>
      </c>
    </row>
    <row r="973" spans="1:23" x14ac:dyDescent="0.4">
      <c r="A973" t="s">
        <v>262</v>
      </c>
      <c r="B973" t="s">
        <v>2236</v>
      </c>
      <c r="C973" t="s">
        <v>2263</v>
      </c>
      <c r="D973" t="s">
        <v>64</v>
      </c>
      <c r="E973" t="s">
        <v>22</v>
      </c>
      <c r="F973" t="s">
        <v>23</v>
      </c>
      <c r="G973">
        <v>1</v>
      </c>
      <c r="H973">
        <v>9791166300462</v>
      </c>
      <c r="I973" t="s">
        <v>24</v>
      </c>
      <c r="J973" t="s">
        <v>144</v>
      </c>
      <c r="K973" t="s">
        <v>119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2">
        <v>0.7</v>
      </c>
      <c r="S973">
        <v>441</v>
      </c>
      <c r="T973" t="s">
        <v>27</v>
      </c>
      <c r="U973">
        <v>441</v>
      </c>
      <c r="V973" s="7" t="s">
        <v>24</v>
      </c>
      <c r="W973" s="7" t="s">
        <v>119</v>
      </c>
    </row>
    <row r="974" spans="1:23" x14ac:dyDescent="0.4">
      <c r="A974" t="s">
        <v>262</v>
      </c>
      <c r="B974" t="s">
        <v>2236</v>
      </c>
      <c r="C974" t="s">
        <v>2265</v>
      </c>
      <c r="D974" t="s">
        <v>21</v>
      </c>
      <c r="E974" t="s">
        <v>22</v>
      </c>
      <c r="F974" t="s">
        <v>23</v>
      </c>
      <c r="G974">
        <v>1</v>
      </c>
      <c r="H974">
        <v>9791166300028</v>
      </c>
      <c r="I974" t="s">
        <v>24</v>
      </c>
      <c r="J974" t="s">
        <v>167</v>
      </c>
      <c r="K974" t="s">
        <v>119</v>
      </c>
      <c r="L974" t="s">
        <v>27</v>
      </c>
      <c r="M974" s="3">
        <v>3200</v>
      </c>
      <c r="N974" t="s">
        <v>27</v>
      </c>
      <c r="O974" s="3">
        <v>3200</v>
      </c>
      <c r="P974" s="3">
        <v>3200</v>
      </c>
      <c r="Q974" t="s">
        <v>30</v>
      </c>
      <c r="R974" s="2">
        <v>0.7</v>
      </c>
      <c r="S974" s="3">
        <v>2240</v>
      </c>
      <c r="T974" t="s">
        <v>27</v>
      </c>
      <c r="U974" s="3">
        <v>2240</v>
      </c>
      <c r="V974" s="7" t="s">
        <v>24</v>
      </c>
      <c r="W974" s="7" t="s">
        <v>119</v>
      </c>
    </row>
    <row r="975" spans="1:23" x14ac:dyDescent="0.4">
      <c r="A975" t="s">
        <v>262</v>
      </c>
      <c r="B975" t="s">
        <v>2236</v>
      </c>
      <c r="C975" t="s">
        <v>2266</v>
      </c>
      <c r="D975" t="s">
        <v>64</v>
      </c>
      <c r="E975" t="s">
        <v>22</v>
      </c>
      <c r="F975" t="s">
        <v>23</v>
      </c>
      <c r="G975">
        <v>1</v>
      </c>
      <c r="H975">
        <v>9791166300103</v>
      </c>
      <c r="I975" t="s">
        <v>24</v>
      </c>
      <c r="J975" t="s">
        <v>120</v>
      </c>
      <c r="K975" t="s">
        <v>119</v>
      </c>
      <c r="L975" t="s">
        <v>27</v>
      </c>
      <c r="M975">
        <v>630</v>
      </c>
      <c r="N975" t="s">
        <v>27</v>
      </c>
      <c r="O975">
        <v>630</v>
      </c>
      <c r="P975">
        <v>630</v>
      </c>
      <c r="Q975" t="s">
        <v>30</v>
      </c>
      <c r="R975" s="2">
        <v>0.7</v>
      </c>
      <c r="S975">
        <v>441</v>
      </c>
      <c r="T975" t="s">
        <v>27</v>
      </c>
      <c r="U975">
        <v>441</v>
      </c>
      <c r="V975" s="7" t="s">
        <v>24</v>
      </c>
      <c r="W975" s="7" t="s">
        <v>119</v>
      </c>
    </row>
    <row r="976" spans="1:23" x14ac:dyDescent="0.4">
      <c r="A976" t="s">
        <v>262</v>
      </c>
      <c r="B976" t="s">
        <v>2236</v>
      </c>
      <c r="C976" t="s">
        <v>2267</v>
      </c>
      <c r="D976" t="s">
        <v>64</v>
      </c>
      <c r="E976" t="s">
        <v>22</v>
      </c>
      <c r="F976" t="s">
        <v>23</v>
      </c>
      <c r="G976">
        <v>1</v>
      </c>
      <c r="H976">
        <v>9791166300110</v>
      </c>
      <c r="I976" t="s">
        <v>24</v>
      </c>
      <c r="J976" t="s">
        <v>121</v>
      </c>
      <c r="K976" t="s">
        <v>119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2">
        <v>0.7</v>
      </c>
      <c r="S976">
        <v>441</v>
      </c>
      <c r="T976" t="s">
        <v>27</v>
      </c>
      <c r="U976">
        <v>441</v>
      </c>
      <c r="V976" s="7" t="s">
        <v>24</v>
      </c>
      <c r="W976" s="7" t="s">
        <v>119</v>
      </c>
    </row>
    <row r="977" spans="1:23" x14ac:dyDescent="0.4">
      <c r="A977" t="s">
        <v>262</v>
      </c>
      <c r="B977" t="s">
        <v>2236</v>
      </c>
      <c r="C977" t="s">
        <v>2270</v>
      </c>
      <c r="D977" t="s">
        <v>64</v>
      </c>
      <c r="E977" t="s">
        <v>22</v>
      </c>
      <c r="F977" t="s">
        <v>23</v>
      </c>
      <c r="G977">
        <v>1</v>
      </c>
      <c r="H977">
        <v>9791166300127</v>
      </c>
      <c r="I977" t="s">
        <v>24</v>
      </c>
      <c r="J977" t="s">
        <v>122</v>
      </c>
      <c r="K977" t="s">
        <v>119</v>
      </c>
      <c r="L977" t="s">
        <v>27</v>
      </c>
      <c r="M977">
        <v>630</v>
      </c>
      <c r="N977" t="s">
        <v>27</v>
      </c>
      <c r="O977">
        <v>630</v>
      </c>
      <c r="P977">
        <v>630</v>
      </c>
      <c r="Q977" t="s">
        <v>30</v>
      </c>
      <c r="R977" s="2">
        <v>0.7</v>
      </c>
      <c r="S977">
        <v>441</v>
      </c>
      <c r="T977" t="s">
        <v>27</v>
      </c>
      <c r="U977">
        <v>441</v>
      </c>
      <c r="V977" s="7" t="s">
        <v>24</v>
      </c>
      <c r="W977" s="7" t="s">
        <v>119</v>
      </c>
    </row>
    <row r="978" spans="1:23" x14ac:dyDescent="0.4">
      <c r="A978" t="s">
        <v>262</v>
      </c>
      <c r="B978" t="s">
        <v>2236</v>
      </c>
      <c r="C978" t="s">
        <v>2271</v>
      </c>
      <c r="D978" t="s">
        <v>64</v>
      </c>
      <c r="E978" t="s">
        <v>22</v>
      </c>
      <c r="F978" t="s">
        <v>23</v>
      </c>
      <c r="G978">
        <v>1</v>
      </c>
      <c r="H978">
        <v>9791166300233</v>
      </c>
      <c r="I978" t="s">
        <v>24</v>
      </c>
      <c r="J978" t="s">
        <v>132</v>
      </c>
      <c r="K978" t="s">
        <v>119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2">
        <v>0.7</v>
      </c>
      <c r="S978">
        <v>441</v>
      </c>
      <c r="T978" t="s">
        <v>27</v>
      </c>
      <c r="U978">
        <v>441</v>
      </c>
      <c r="V978" s="7" t="s">
        <v>24</v>
      </c>
      <c r="W978" s="7" t="s">
        <v>119</v>
      </c>
    </row>
    <row r="979" spans="1:23" x14ac:dyDescent="0.4">
      <c r="A979" t="s">
        <v>262</v>
      </c>
      <c r="B979" t="s">
        <v>2236</v>
      </c>
      <c r="C979" t="s">
        <v>2273</v>
      </c>
      <c r="D979" t="s">
        <v>64</v>
      </c>
      <c r="E979" t="s">
        <v>22</v>
      </c>
      <c r="F979" t="s">
        <v>23</v>
      </c>
      <c r="G979">
        <v>1</v>
      </c>
      <c r="H979">
        <v>9791166300653</v>
      </c>
      <c r="I979" t="s">
        <v>24</v>
      </c>
      <c r="J979" t="s">
        <v>157</v>
      </c>
      <c r="K979" t="s">
        <v>119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  <c r="V979" s="7" t="s">
        <v>24</v>
      </c>
      <c r="W979" s="7" t="s">
        <v>119</v>
      </c>
    </row>
    <row r="980" spans="1:23" x14ac:dyDescent="0.4">
      <c r="A980" t="s">
        <v>262</v>
      </c>
      <c r="B980" t="s">
        <v>2236</v>
      </c>
      <c r="C980" t="s">
        <v>2275</v>
      </c>
      <c r="D980" t="s">
        <v>21</v>
      </c>
      <c r="E980" t="s">
        <v>22</v>
      </c>
      <c r="F980" t="s">
        <v>23</v>
      </c>
      <c r="G980">
        <v>1</v>
      </c>
      <c r="H980">
        <v>9791166300660</v>
      </c>
      <c r="I980" t="s">
        <v>24</v>
      </c>
      <c r="J980" t="s">
        <v>156</v>
      </c>
      <c r="K980" t="s">
        <v>119</v>
      </c>
      <c r="L980" t="s">
        <v>27</v>
      </c>
      <c r="M980" s="3">
        <v>3200</v>
      </c>
      <c r="N980" t="s">
        <v>27</v>
      </c>
      <c r="O980" s="3">
        <v>3200</v>
      </c>
      <c r="P980" s="3">
        <v>3200</v>
      </c>
      <c r="Q980" t="s">
        <v>30</v>
      </c>
      <c r="R980" s="2">
        <v>0.7</v>
      </c>
      <c r="S980" s="3">
        <v>2240</v>
      </c>
      <c r="T980" t="s">
        <v>27</v>
      </c>
      <c r="U980" s="3">
        <v>2240</v>
      </c>
      <c r="V980" s="7" t="s">
        <v>24</v>
      </c>
      <c r="W980" s="7" t="s">
        <v>119</v>
      </c>
    </row>
    <row r="981" spans="1:23" x14ac:dyDescent="0.4">
      <c r="A981" t="s">
        <v>262</v>
      </c>
      <c r="B981" t="s">
        <v>2236</v>
      </c>
      <c r="C981" t="s">
        <v>2278</v>
      </c>
      <c r="D981" t="s">
        <v>21</v>
      </c>
      <c r="E981" t="s">
        <v>22</v>
      </c>
      <c r="F981" t="s">
        <v>23</v>
      </c>
      <c r="G981">
        <v>1</v>
      </c>
      <c r="H981">
        <v>9791166300622</v>
      </c>
      <c r="I981" t="s">
        <v>24</v>
      </c>
      <c r="J981" t="s">
        <v>164</v>
      </c>
      <c r="K981" t="s">
        <v>119</v>
      </c>
      <c r="L981" t="s">
        <v>27</v>
      </c>
      <c r="M981" s="3">
        <v>3200</v>
      </c>
      <c r="N981" t="s">
        <v>27</v>
      </c>
      <c r="O981" s="3">
        <v>3200</v>
      </c>
      <c r="P981" s="3">
        <v>3200</v>
      </c>
      <c r="Q981" t="s">
        <v>30</v>
      </c>
      <c r="R981" s="2">
        <v>0.7</v>
      </c>
      <c r="S981" s="3">
        <v>2240</v>
      </c>
      <c r="T981" t="s">
        <v>27</v>
      </c>
      <c r="U981" s="3">
        <v>2240</v>
      </c>
      <c r="V981" s="7" t="s">
        <v>24</v>
      </c>
      <c r="W981" s="7" t="s">
        <v>119</v>
      </c>
    </row>
    <row r="982" spans="1:23" x14ac:dyDescent="0.4">
      <c r="A982" t="s">
        <v>262</v>
      </c>
      <c r="B982" t="s">
        <v>2236</v>
      </c>
      <c r="C982" t="s">
        <v>2279</v>
      </c>
      <c r="D982" t="s">
        <v>64</v>
      </c>
      <c r="E982" t="s">
        <v>22</v>
      </c>
      <c r="F982" t="s">
        <v>23</v>
      </c>
      <c r="G982">
        <v>1</v>
      </c>
      <c r="H982">
        <v>9791166300240</v>
      </c>
      <c r="I982" t="s">
        <v>24</v>
      </c>
      <c r="J982" t="s">
        <v>133</v>
      </c>
      <c r="K982" t="s">
        <v>119</v>
      </c>
      <c r="L982" t="s">
        <v>27</v>
      </c>
      <c r="M982">
        <v>630</v>
      </c>
      <c r="N982" t="s">
        <v>27</v>
      </c>
      <c r="O982">
        <v>630</v>
      </c>
      <c r="P982">
        <v>630</v>
      </c>
      <c r="Q982" t="s">
        <v>30</v>
      </c>
      <c r="R982" s="2">
        <v>0.7</v>
      </c>
      <c r="S982">
        <v>441</v>
      </c>
      <c r="T982" t="s">
        <v>27</v>
      </c>
      <c r="U982">
        <v>441</v>
      </c>
      <c r="V982" s="7" t="s">
        <v>24</v>
      </c>
      <c r="W982" s="7" t="s">
        <v>119</v>
      </c>
    </row>
    <row r="983" spans="1:23" x14ac:dyDescent="0.4">
      <c r="A983" t="s">
        <v>262</v>
      </c>
      <c r="B983" t="s">
        <v>2236</v>
      </c>
      <c r="C983" t="s">
        <v>2280</v>
      </c>
      <c r="D983" t="s">
        <v>64</v>
      </c>
      <c r="E983" t="s">
        <v>22</v>
      </c>
      <c r="F983" t="s">
        <v>23</v>
      </c>
      <c r="G983">
        <v>1</v>
      </c>
      <c r="H983">
        <v>9791166300127</v>
      </c>
      <c r="I983" t="s">
        <v>24</v>
      </c>
      <c r="J983" t="s">
        <v>122</v>
      </c>
      <c r="K983" t="s">
        <v>119</v>
      </c>
      <c r="L983" t="s">
        <v>27</v>
      </c>
      <c r="M983">
        <v>630</v>
      </c>
      <c r="N983" t="s">
        <v>27</v>
      </c>
      <c r="O983">
        <v>630</v>
      </c>
      <c r="P983">
        <v>630</v>
      </c>
      <c r="Q983" t="s">
        <v>30</v>
      </c>
      <c r="R983" s="2">
        <v>0.7</v>
      </c>
      <c r="S983">
        <v>441</v>
      </c>
      <c r="T983" t="s">
        <v>27</v>
      </c>
      <c r="U983">
        <v>441</v>
      </c>
      <c r="V983" s="7" t="s">
        <v>24</v>
      </c>
      <c r="W983" s="7" t="s">
        <v>119</v>
      </c>
    </row>
    <row r="984" spans="1:23" x14ac:dyDescent="0.4">
      <c r="A984" t="s">
        <v>262</v>
      </c>
      <c r="B984" t="s">
        <v>2236</v>
      </c>
      <c r="C984" t="s">
        <v>2288</v>
      </c>
      <c r="D984" t="s">
        <v>21</v>
      </c>
      <c r="E984" t="s">
        <v>22</v>
      </c>
      <c r="F984" t="s">
        <v>23</v>
      </c>
      <c r="G984">
        <v>1</v>
      </c>
      <c r="H984">
        <v>9791166300035</v>
      </c>
      <c r="I984" t="s">
        <v>24</v>
      </c>
      <c r="J984" t="s">
        <v>142</v>
      </c>
      <c r="K984" t="s">
        <v>119</v>
      </c>
      <c r="L984" t="s">
        <v>27</v>
      </c>
      <c r="M984" s="3">
        <v>3200</v>
      </c>
      <c r="N984" t="s">
        <v>27</v>
      </c>
      <c r="O984" s="3">
        <v>3200</v>
      </c>
      <c r="P984" s="3">
        <v>3200</v>
      </c>
      <c r="Q984" t="s">
        <v>30</v>
      </c>
      <c r="R984" s="2">
        <v>0.7</v>
      </c>
      <c r="S984" s="3">
        <v>2240</v>
      </c>
      <c r="T984" t="s">
        <v>27</v>
      </c>
      <c r="U984" s="3">
        <v>2240</v>
      </c>
      <c r="V984" s="7" t="s">
        <v>24</v>
      </c>
      <c r="W984" s="7" t="s">
        <v>119</v>
      </c>
    </row>
    <row r="985" spans="1:23" x14ac:dyDescent="0.4">
      <c r="A985" t="s">
        <v>262</v>
      </c>
      <c r="B985" t="s">
        <v>2236</v>
      </c>
      <c r="C985" t="s">
        <v>2289</v>
      </c>
      <c r="D985" t="s">
        <v>64</v>
      </c>
      <c r="E985" t="s">
        <v>22</v>
      </c>
      <c r="F985" t="s">
        <v>23</v>
      </c>
      <c r="G985">
        <v>1</v>
      </c>
      <c r="H985">
        <v>9791166300134</v>
      </c>
      <c r="I985" t="s">
        <v>24</v>
      </c>
      <c r="J985" t="s">
        <v>123</v>
      </c>
      <c r="K985" t="s">
        <v>119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  <c r="V985" s="7" t="s">
        <v>24</v>
      </c>
      <c r="W985" s="7" t="s">
        <v>119</v>
      </c>
    </row>
    <row r="986" spans="1:23" x14ac:dyDescent="0.4">
      <c r="A986" t="s">
        <v>262</v>
      </c>
      <c r="B986" t="s">
        <v>2236</v>
      </c>
      <c r="C986" t="s">
        <v>2297</v>
      </c>
      <c r="D986" t="s">
        <v>64</v>
      </c>
      <c r="E986" t="s">
        <v>22</v>
      </c>
      <c r="F986" t="s">
        <v>23</v>
      </c>
      <c r="G986">
        <v>1</v>
      </c>
      <c r="H986">
        <v>9791166300134</v>
      </c>
      <c r="I986" t="s">
        <v>24</v>
      </c>
      <c r="J986" t="s">
        <v>123</v>
      </c>
      <c r="K986" t="s">
        <v>119</v>
      </c>
      <c r="L986" t="s">
        <v>27</v>
      </c>
      <c r="M986">
        <v>630</v>
      </c>
      <c r="N986" t="s">
        <v>27</v>
      </c>
      <c r="O986">
        <v>630</v>
      </c>
      <c r="P986">
        <v>630</v>
      </c>
      <c r="Q986" t="s">
        <v>30</v>
      </c>
      <c r="R986" s="2">
        <v>0.7</v>
      </c>
      <c r="S986">
        <v>441</v>
      </c>
      <c r="T986" t="s">
        <v>27</v>
      </c>
      <c r="U986">
        <v>441</v>
      </c>
      <c r="V986" s="7" t="s">
        <v>24</v>
      </c>
      <c r="W986" s="7" t="s">
        <v>119</v>
      </c>
    </row>
    <row r="987" spans="1:23" x14ac:dyDescent="0.4">
      <c r="A987" t="s">
        <v>262</v>
      </c>
      <c r="B987" t="s">
        <v>2236</v>
      </c>
      <c r="C987" t="s">
        <v>2299</v>
      </c>
      <c r="D987" t="s">
        <v>21</v>
      </c>
      <c r="E987" t="s">
        <v>22</v>
      </c>
      <c r="F987" t="s">
        <v>23</v>
      </c>
      <c r="G987">
        <v>1</v>
      </c>
      <c r="H987">
        <v>9791166300639</v>
      </c>
      <c r="I987" t="s">
        <v>24</v>
      </c>
      <c r="J987" t="s">
        <v>165</v>
      </c>
      <c r="K987" t="s">
        <v>119</v>
      </c>
      <c r="L987" t="s">
        <v>27</v>
      </c>
      <c r="M987" s="3">
        <v>3200</v>
      </c>
      <c r="N987" t="s">
        <v>27</v>
      </c>
      <c r="O987" s="3">
        <v>3200</v>
      </c>
      <c r="P987" s="3">
        <v>3200</v>
      </c>
      <c r="Q987" t="s">
        <v>30</v>
      </c>
      <c r="R987" s="2">
        <v>0.7</v>
      </c>
      <c r="S987" s="3">
        <v>2240</v>
      </c>
      <c r="T987" t="s">
        <v>27</v>
      </c>
      <c r="U987" s="3">
        <v>2240</v>
      </c>
      <c r="V987" s="7" t="s">
        <v>24</v>
      </c>
      <c r="W987" s="7" t="s">
        <v>119</v>
      </c>
    </row>
    <row r="988" spans="1:23" x14ac:dyDescent="0.4">
      <c r="A988" t="s">
        <v>262</v>
      </c>
      <c r="B988" t="s">
        <v>2236</v>
      </c>
      <c r="C988" t="s">
        <v>2300</v>
      </c>
      <c r="D988" t="s">
        <v>64</v>
      </c>
      <c r="E988" t="s">
        <v>22</v>
      </c>
      <c r="F988" t="s">
        <v>23</v>
      </c>
      <c r="G988">
        <v>1</v>
      </c>
      <c r="H988">
        <v>9791166300264</v>
      </c>
      <c r="I988" t="s">
        <v>24</v>
      </c>
      <c r="J988" t="s">
        <v>135</v>
      </c>
      <c r="K988" t="s">
        <v>119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  <c r="V988" s="7" t="s">
        <v>24</v>
      </c>
      <c r="W988" s="7" t="s">
        <v>119</v>
      </c>
    </row>
    <row r="989" spans="1:23" x14ac:dyDescent="0.4">
      <c r="A989" t="s">
        <v>262</v>
      </c>
      <c r="B989" t="s">
        <v>2236</v>
      </c>
      <c r="C989" t="s">
        <v>2305</v>
      </c>
      <c r="D989" t="s">
        <v>21</v>
      </c>
      <c r="E989" t="s">
        <v>22</v>
      </c>
      <c r="F989" t="s">
        <v>23</v>
      </c>
      <c r="G989">
        <v>1</v>
      </c>
      <c r="H989">
        <v>9791166300042</v>
      </c>
      <c r="I989" t="s">
        <v>24</v>
      </c>
      <c r="J989" t="s">
        <v>168</v>
      </c>
      <c r="K989" t="s">
        <v>119</v>
      </c>
      <c r="L989" t="s">
        <v>27</v>
      </c>
      <c r="M989" s="3">
        <v>3200</v>
      </c>
      <c r="N989" t="s">
        <v>27</v>
      </c>
      <c r="O989" s="3">
        <v>3200</v>
      </c>
      <c r="P989" s="3">
        <v>3200</v>
      </c>
      <c r="Q989" t="s">
        <v>30</v>
      </c>
      <c r="R989" s="2">
        <v>0.7</v>
      </c>
      <c r="S989" s="3">
        <v>2240</v>
      </c>
      <c r="T989" t="s">
        <v>27</v>
      </c>
      <c r="U989" s="3">
        <v>2240</v>
      </c>
      <c r="V989" s="7" t="s">
        <v>24</v>
      </c>
      <c r="W989" s="7" t="s">
        <v>119</v>
      </c>
    </row>
    <row r="990" spans="1:23" x14ac:dyDescent="0.4">
      <c r="A990" t="s">
        <v>262</v>
      </c>
      <c r="B990" t="s">
        <v>2308</v>
      </c>
      <c r="C990" t="s">
        <v>2309</v>
      </c>
      <c r="D990" t="s">
        <v>64</v>
      </c>
      <c r="E990" t="s">
        <v>22</v>
      </c>
      <c r="F990" t="s">
        <v>23</v>
      </c>
      <c r="G990">
        <v>1</v>
      </c>
      <c r="H990">
        <v>9791166300493</v>
      </c>
      <c r="I990" t="s">
        <v>24</v>
      </c>
      <c r="J990" t="s">
        <v>147</v>
      </c>
      <c r="K990" t="s">
        <v>119</v>
      </c>
      <c r="L990" t="s">
        <v>27</v>
      </c>
      <c r="M990">
        <v>630</v>
      </c>
      <c r="N990" t="s">
        <v>27</v>
      </c>
      <c r="O990">
        <v>630</v>
      </c>
      <c r="P990">
        <v>630</v>
      </c>
      <c r="Q990" t="s">
        <v>30</v>
      </c>
      <c r="R990" s="2">
        <v>0.7</v>
      </c>
      <c r="S990">
        <v>441</v>
      </c>
      <c r="T990" t="s">
        <v>27</v>
      </c>
      <c r="U990">
        <v>441</v>
      </c>
      <c r="V990" s="7" t="s">
        <v>24</v>
      </c>
      <c r="W990" s="7" t="s">
        <v>119</v>
      </c>
    </row>
    <row r="991" spans="1:23" x14ac:dyDescent="0.4">
      <c r="A991" t="s">
        <v>262</v>
      </c>
      <c r="B991" t="s">
        <v>2308</v>
      </c>
      <c r="C991" t="s">
        <v>2313</v>
      </c>
      <c r="D991" t="s">
        <v>21</v>
      </c>
      <c r="E991" t="s">
        <v>22</v>
      </c>
      <c r="F991" t="s">
        <v>23</v>
      </c>
      <c r="G991">
        <v>1</v>
      </c>
      <c r="H991">
        <v>9791166300226</v>
      </c>
      <c r="I991" t="s">
        <v>24</v>
      </c>
      <c r="J991" t="s">
        <v>131</v>
      </c>
      <c r="K991" t="s">
        <v>119</v>
      </c>
      <c r="L991" t="s">
        <v>27</v>
      </c>
      <c r="M991" s="3">
        <v>3200</v>
      </c>
      <c r="N991" t="s">
        <v>27</v>
      </c>
      <c r="O991" s="3">
        <v>3200</v>
      </c>
      <c r="P991" s="3">
        <v>3200</v>
      </c>
      <c r="Q991" t="s">
        <v>30</v>
      </c>
      <c r="R991" s="2">
        <v>0.7</v>
      </c>
      <c r="S991" s="3">
        <v>2240</v>
      </c>
      <c r="T991" t="s">
        <v>27</v>
      </c>
      <c r="U991" s="3">
        <v>2240</v>
      </c>
      <c r="V991" s="7" t="s">
        <v>24</v>
      </c>
      <c r="W991" s="7" t="s">
        <v>119</v>
      </c>
    </row>
    <row r="992" spans="1:23" x14ac:dyDescent="0.4">
      <c r="A992" t="s">
        <v>262</v>
      </c>
      <c r="B992" t="s">
        <v>2308</v>
      </c>
      <c r="C992" t="s">
        <v>2315</v>
      </c>
      <c r="D992" t="s">
        <v>64</v>
      </c>
      <c r="E992" t="s">
        <v>22</v>
      </c>
      <c r="F992" t="s">
        <v>23</v>
      </c>
      <c r="G992">
        <v>1</v>
      </c>
      <c r="H992">
        <v>9791166300141</v>
      </c>
      <c r="I992" t="s">
        <v>24</v>
      </c>
      <c r="J992" t="s">
        <v>124</v>
      </c>
      <c r="K992" t="s">
        <v>119</v>
      </c>
      <c r="L992" t="s">
        <v>27</v>
      </c>
      <c r="M992">
        <v>630</v>
      </c>
      <c r="N992" t="s">
        <v>27</v>
      </c>
      <c r="O992">
        <v>630</v>
      </c>
      <c r="P992">
        <v>630</v>
      </c>
      <c r="Q992" t="s">
        <v>30</v>
      </c>
      <c r="R992" s="2">
        <v>0.7</v>
      </c>
      <c r="S992">
        <v>441</v>
      </c>
      <c r="T992" t="s">
        <v>27</v>
      </c>
      <c r="U992">
        <v>441</v>
      </c>
      <c r="V992" s="7" t="s">
        <v>24</v>
      </c>
      <c r="W992" s="7" t="s">
        <v>119</v>
      </c>
    </row>
    <row r="993" spans="1:23" x14ac:dyDescent="0.4">
      <c r="A993" t="s">
        <v>262</v>
      </c>
      <c r="B993" t="s">
        <v>2308</v>
      </c>
      <c r="C993" t="s">
        <v>2316</v>
      </c>
      <c r="D993" t="s">
        <v>64</v>
      </c>
      <c r="E993" t="s">
        <v>22</v>
      </c>
      <c r="F993" t="s">
        <v>23</v>
      </c>
      <c r="G993">
        <v>1</v>
      </c>
      <c r="H993">
        <v>9791166300257</v>
      </c>
      <c r="I993" t="s">
        <v>24</v>
      </c>
      <c r="J993" t="s">
        <v>134</v>
      </c>
      <c r="K993" t="s">
        <v>119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  <c r="V993" s="7" t="s">
        <v>24</v>
      </c>
      <c r="W993" s="7" t="s">
        <v>119</v>
      </c>
    </row>
    <row r="994" spans="1:23" x14ac:dyDescent="0.4">
      <c r="A994" t="s">
        <v>262</v>
      </c>
      <c r="B994" t="s">
        <v>2308</v>
      </c>
      <c r="C994" t="s">
        <v>2318</v>
      </c>
      <c r="D994" t="s">
        <v>21</v>
      </c>
      <c r="E994" t="s">
        <v>22</v>
      </c>
      <c r="F994" t="s">
        <v>23</v>
      </c>
      <c r="G994">
        <v>1</v>
      </c>
      <c r="H994">
        <v>9791166300059</v>
      </c>
      <c r="I994" t="s">
        <v>24</v>
      </c>
      <c r="J994" t="s">
        <v>174</v>
      </c>
      <c r="K994" t="s">
        <v>119</v>
      </c>
      <c r="L994" t="s">
        <v>27</v>
      </c>
      <c r="M994" s="3">
        <v>3200</v>
      </c>
      <c r="N994" t="s">
        <v>27</v>
      </c>
      <c r="O994" s="3">
        <v>3200</v>
      </c>
      <c r="P994" s="3">
        <v>3200</v>
      </c>
      <c r="Q994" t="s">
        <v>30</v>
      </c>
      <c r="R994" s="2">
        <v>0.7</v>
      </c>
      <c r="S994" s="3">
        <v>2240</v>
      </c>
      <c r="T994" t="s">
        <v>27</v>
      </c>
      <c r="U994" s="3">
        <v>2240</v>
      </c>
      <c r="V994" s="7" t="s">
        <v>24</v>
      </c>
      <c r="W994" s="7" t="s">
        <v>119</v>
      </c>
    </row>
    <row r="995" spans="1:23" x14ac:dyDescent="0.4">
      <c r="A995" t="s">
        <v>262</v>
      </c>
      <c r="B995" t="s">
        <v>2308</v>
      </c>
      <c r="C995" t="s">
        <v>2322</v>
      </c>
      <c r="D995" t="s">
        <v>21</v>
      </c>
      <c r="E995" t="s">
        <v>22</v>
      </c>
      <c r="F995" t="s">
        <v>23</v>
      </c>
      <c r="G995">
        <v>1</v>
      </c>
      <c r="H995">
        <v>9791166300691</v>
      </c>
      <c r="I995" t="s">
        <v>24</v>
      </c>
      <c r="J995" t="s">
        <v>152</v>
      </c>
      <c r="K995" t="s">
        <v>119</v>
      </c>
      <c r="L995" t="s">
        <v>27</v>
      </c>
      <c r="M995" s="3">
        <v>3200</v>
      </c>
      <c r="N995" t="s">
        <v>27</v>
      </c>
      <c r="O995" s="3">
        <v>3200</v>
      </c>
      <c r="P995" s="3">
        <v>3200</v>
      </c>
      <c r="Q995" t="s">
        <v>30</v>
      </c>
      <c r="R995" s="2">
        <v>0.7</v>
      </c>
      <c r="S995" s="3">
        <v>2240</v>
      </c>
      <c r="T995" t="s">
        <v>27</v>
      </c>
      <c r="U995" s="3">
        <v>2240</v>
      </c>
      <c r="V995" s="7" t="s">
        <v>24</v>
      </c>
      <c r="W995" s="7" t="s">
        <v>119</v>
      </c>
    </row>
    <row r="996" spans="1:23" x14ac:dyDescent="0.4">
      <c r="A996" t="s">
        <v>262</v>
      </c>
      <c r="B996" t="s">
        <v>2308</v>
      </c>
      <c r="C996" t="s">
        <v>2323</v>
      </c>
      <c r="D996" t="s">
        <v>21</v>
      </c>
      <c r="E996" t="s">
        <v>22</v>
      </c>
      <c r="F996" t="s">
        <v>23</v>
      </c>
      <c r="G996">
        <v>1</v>
      </c>
      <c r="H996">
        <v>9791166300646</v>
      </c>
      <c r="I996" t="s">
        <v>24</v>
      </c>
      <c r="J996" t="s">
        <v>155</v>
      </c>
      <c r="K996" t="s">
        <v>119</v>
      </c>
      <c r="L996" t="s">
        <v>27</v>
      </c>
      <c r="M996" s="3">
        <v>3200</v>
      </c>
      <c r="N996" t="s">
        <v>27</v>
      </c>
      <c r="O996" s="3">
        <v>3200</v>
      </c>
      <c r="P996" s="3">
        <v>3200</v>
      </c>
      <c r="Q996" t="s">
        <v>30</v>
      </c>
      <c r="R996" s="2">
        <v>0.7</v>
      </c>
      <c r="S996" s="3">
        <v>2240</v>
      </c>
      <c r="T996" t="s">
        <v>27</v>
      </c>
      <c r="U996" s="3">
        <v>2240</v>
      </c>
      <c r="V996" s="7" t="s">
        <v>24</v>
      </c>
      <c r="W996" s="7" t="s">
        <v>119</v>
      </c>
    </row>
    <row r="997" spans="1:23" x14ac:dyDescent="0.4">
      <c r="A997" t="s">
        <v>262</v>
      </c>
      <c r="B997" t="s">
        <v>2308</v>
      </c>
      <c r="C997" t="s">
        <v>2324</v>
      </c>
      <c r="D997" t="s">
        <v>64</v>
      </c>
      <c r="E997" t="s">
        <v>22</v>
      </c>
      <c r="F997" t="s">
        <v>23</v>
      </c>
      <c r="G997">
        <v>1</v>
      </c>
      <c r="H997">
        <v>9791166300141</v>
      </c>
      <c r="I997" t="s">
        <v>24</v>
      </c>
      <c r="J997" t="s">
        <v>124</v>
      </c>
      <c r="K997" t="s">
        <v>119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2">
        <v>0.7</v>
      </c>
      <c r="S997">
        <v>441</v>
      </c>
      <c r="T997" t="s">
        <v>27</v>
      </c>
      <c r="U997">
        <v>441</v>
      </c>
      <c r="V997" s="7" t="s">
        <v>24</v>
      </c>
      <c r="W997" s="7" t="s">
        <v>119</v>
      </c>
    </row>
    <row r="998" spans="1:23" x14ac:dyDescent="0.4">
      <c r="A998" t="s">
        <v>262</v>
      </c>
      <c r="B998" t="s">
        <v>2308</v>
      </c>
      <c r="C998" t="s">
        <v>2325</v>
      </c>
      <c r="D998" t="s">
        <v>64</v>
      </c>
      <c r="E998" t="s">
        <v>22</v>
      </c>
      <c r="F998" t="s">
        <v>23</v>
      </c>
      <c r="G998">
        <v>1</v>
      </c>
      <c r="H998">
        <v>9791166300479</v>
      </c>
      <c r="I998" t="s">
        <v>24</v>
      </c>
      <c r="J998" t="s">
        <v>145</v>
      </c>
      <c r="K998" t="s">
        <v>119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  <c r="V998" s="7" t="s">
        <v>24</v>
      </c>
      <c r="W998" s="7" t="s">
        <v>119</v>
      </c>
    </row>
    <row r="999" spans="1:23" x14ac:dyDescent="0.4">
      <c r="A999" t="s">
        <v>262</v>
      </c>
      <c r="B999" t="s">
        <v>2308</v>
      </c>
      <c r="C999" t="s">
        <v>2327</v>
      </c>
      <c r="D999" t="s">
        <v>21</v>
      </c>
      <c r="E999" t="s">
        <v>22</v>
      </c>
      <c r="F999" t="s">
        <v>23</v>
      </c>
      <c r="G999">
        <v>1</v>
      </c>
      <c r="H999">
        <v>9791166300066</v>
      </c>
      <c r="I999" t="s">
        <v>24</v>
      </c>
      <c r="J999" t="s">
        <v>175</v>
      </c>
      <c r="K999" t="s">
        <v>119</v>
      </c>
      <c r="L999" t="s">
        <v>27</v>
      </c>
      <c r="M999" s="3">
        <v>3200</v>
      </c>
      <c r="N999" t="s">
        <v>27</v>
      </c>
      <c r="O999" s="3">
        <v>3200</v>
      </c>
      <c r="P999" s="3">
        <v>3200</v>
      </c>
      <c r="Q999" t="s">
        <v>30</v>
      </c>
      <c r="R999" s="2">
        <v>0.7</v>
      </c>
      <c r="S999" s="3">
        <v>2240</v>
      </c>
      <c r="T999" t="s">
        <v>27</v>
      </c>
      <c r="U999" s="3">
        <v>2240</v>
      </c>
      <c r="V999" s="7" t="s">
        <v>24</v>
      </c>
      <c r="W999" s="7" t="s">
        <v>119</v>
      </c>
    </row>
    <row r="1000" spans="1:23" x14ac:dyDescent="0.4">
      <c r="A1000" t="s">
        <v>262</v>
      </c>
      <c r="B1000" t="s">
        <v>2308</v>
      </c>
      <c r="C1000" t="s">
        <v>2333</v>
      </c>
      <c r="D1000" t="s">
        <v>21</v>
      </c>
      <c r="E1000" t="s">
        <v>22</v>
      </c>
      <c r="F1000" t="s">
        <v>23</v>
      </c>
      <c r="G1000">
        <v>1</v>
      </c>
      <c r="H1000">
        <v>9791166300073</v>
      </c>
      <c r="I1000" t="s">
        <v>24</v>
      </c>
      <c r="J1000" t="s">
        <v>169</v>
      </c>
      <c r="K1000" t="s">
        <v>119</v>
      </c>
      <c r="L1000" t="s">
        <v>27</v>
      </c>
      <c r="M1000" s="3">
        <v>3200</v>
      </c>
      <c r="N1000" t="s">
        <v>27</v>
      </c>
      <c r="O1000" s="3">
        <v>3200</v>
      </c>
      <c r="P1000" s="3">
        <v>3200</v>
      </c>
      <c r="Q1000" t="s">
        <v>30</v>
      </c>
      <c r="R1000" s="2">
        <v>0.7</v>
      </c>
      <c r="S1000" s="3">
        <v>2240</v>
      </c>
      <c r="T1000" t="s">
        <v>27</v>
      </c>
      <c r="U1000" s="3">
        <v>2240</v>
      </c>
      <c r="V1000" s="7" t="s">
        <v>24</v>
      </c>
      <c r="W1000" s="7" t="s">
        <v>119</v>
      </c>
    </row>
    <row r="1001" spans="1:23" x14ac:dyDescent="0.4">
      <c r="A1001" t="s">
        <v>262</v>
      </c>
      <c r="B1001" t="s">
        <v>2308</v>
      </c>
      <c r="C1001" t="s">
        <v>2337</v>
      </c>
      <c r="D1001" t="s">
        <v>64</v>
      </c>
      <c r="E1001" t="s">
        <v>22</v>
      </c>
      <c r="F1001" t="s">
        <v>23</v>
      </c>
      <c r="G1001">
        <v>1</v>
      </c>
      <c r="H1001">
        <v>9791166300530</v>
      </c>
      <c r="I1001" t="s">
        <v>24</v>
      </c>
      <c r="J1001" t="s">
        <v>151</v>
      </c>
      <c r="K1001" t="s">
        <v>119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2">
        <v>0.7</v>
      </c>
      <c r="S1001">
        <v>441</v>
      </c>
      <c r="T1001" t="s">
        <v>27</v>
      </c>
      <c r="U1001">
        <v>441</v>
      </c>
      <c r="V1001" s="7" t="s">
        <v>24</v>
      </c>
      <c r="W1001" s="7" t="s">
        <v>119</v>
      </c>
    </row>
    <row r="1002" spans="1:23" x14ac:dyDescent="0.4">
      <c r="A1002" t="s">
        <v>262</v>
      </c>
      <c r="B1002" t="s">
        <v>2308</v>
      </c>
      <c r="C1002" t="s">
        <v>2338</v>
      </c>
      <c r="D1002" t="s">
        <v>64</v>
      </c>
      <c r="E1002" t="s">
        <v>22</v>
      </c>
      <c r="F1002" t="s">
        <v>23</v>
      </c>
      <c r="G1002">
        <v>1</v>
      </c>
      <c r="H1002">
        <v>9791166300240</v>
      </c>
      <c r="I1002" t="s">
        <v>24</v>
      </c>
      <c r="J1002" t="s">
        <v>133</v>
      </c>
      <c r="K1002" t="s">
        <v>119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2">
        <v>0.7</v>
      </c>
      <c r="S1002">
        <v>441</v>
      </c>
      <c r="T1002" t="s">
        <v>27</v>
      </c>
      <c r="U1002">
        <v>441</v>
      </c>
      <c r="V1002" s="7" t="s">
        <v>24</v>
      </c>
      <c r="W1002" s="7" t="s">
        <v>119</v>
      </c>
    </row>
    <row r="1003" spans="1:23" x14ac:dyDescent="0.4">
      <c r="A1003" t="s">
        <v>262</v>
      </c>
      <c r="B1003" t="s">
        <v>2308</v>
      </c>
      <c r="C1003" t="s">
        <v>2341</v>
      </c>
      <c r="D1003" t="s">
        <v>21</v>
      </c>
      <c r="E1003" t="s">
        <v>22</v>
      </c>
      <c r="F1003" t="s">
        <v>23</v>
      </c>
      <c r="G1003">
        <v>1</v>
      </c>
      <c r="H1003">
        <v>9791166300080</v>
      </c>
      <c r="I1003" t="s">
        <v>24</v>
      </c>
      <c r="J1003" t="s">
        <v>184</v>
      </c>
      <c r="K1003" t="s">
        <v>119</v>
      </c>
      <c r="L1003" t="s">
        <v>27</v>
      </c>
      <c r="M1003" s="3">
        <v>3200</v>
      </c>
      <c r="N1003" t="s">
        <v>27</v>
      </c>
      <c r="O1003" s="3">
        <v>3200</v>
      </c>
      <c r="P1003" s="3">
        <v>3200</v>
      </c>
      <c r="Q1003" t="s">
        <v>30</v>
      </c>
      <c r="R1003" s="2">
        <v>0.7</v>
      </c>
      <c r="S1003" s="3">
        <v>2240</v>
      </c>
      <c r="T1003" t="s">
        <v>27</v>
      </c>
      <c r="U1003" s="3">
        <v>2240</v>
      </c>
      <c r="V1003" s="7" t="s">
        <v>24</v>
      </c>
      <c r="W1003" s="7" t="s">
        <v>119</v>
      </c>
    </row>
    <row r="1004" spans="1:23" x14ac:dyDescent="0.4">
      <c r="A1004" t="s">
        <v>262</v>
      </c>
      <c r="B1004" t="s">
        <v>2308</v>
      </c>
      <c r="C1004" t="s">
        <v>2353</v>
      </c>
      <c r="D1004" t="s">
        <v>64</v>
      </c>
      <c r="E1004" t="s">
        <v>22</v>
      </c>
      <c r="F1004" t="s">
        <v>23</v>
      </c>
      <c r="G1004">
        <v>1</v>
      </c>
      <c r="H1004">
        <v>9791166300523</v>
      </c>
      <c r="I1004" t="s">
        <v>24</v>
      </c>
      <c r="J1004" t="s">
        <v>150</v>
      </c>
      <c r="K1004" t="s">
        <v>119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  <c r="V1004" s="7" t="s">
        <v>24</v>
      </c>
      <c r="W1004" s="7" t="s">
        <v>119</v>
      </c>
    </row>
    <row r="1005" spans="1:23" x14ac:dyDescent="0.4">
      <c r="A1005" t="s">
        <v>262</v>
      </c>
      <c r="B1005" t="s">
        <v>2308</v>
      </c>
      <c r="C1005" t="s">
        <v>2355</v>
      </c>
      <c r="D1005" t="s">
        <v>21</v>
      </c>
      <c r="E1005" t="s">
        <v>22</v>
      </c>
      <c r="F1005" t="s">
        <v>23</v>
      </c>
      <c r="G1005">
        <v>1</v>
      </c>
      <c r="H1005">
        <v>9791166300660</v>
      </c>
      <c r="I1005" t="s">
        <v>24</v>
      </c>
      <c r="J1005" t="s">
        <v>156</v>
      </c>
      <c r="K1005" t="s">
        <v>119</v>
      </c>
      <c r="L1005" t="s">
        <v>27</v>
      </c>
      <c r="M1005" s="3">
        <v>3200</v>
      </c>
      <c r="N1005" t="s">
        <v>27</v>
      </c>
      <c r="O1005" s="3">
        <v>3200</v>
      </c>
      <c r="P1005" s="3">
        <v>3200</v>
      </c>
      <c r="Q1005" t="s">
        <v>30</v>
      </c>
      <c r="R1005" s="2">
        <v>0.7</v>
      </c>
      <c r="S1005" s="3">
        <v>2240</v>
      </c>
      <c r="T1005" t="s">
        <v>27</v>
      </c>
      <c r="U1005" s="3">
        <v>2240</v>
      </c>
      <c r="V1005" s="7" t="s">
        <v>24</v>
      </c>
      <c r="W1005" s="7" t="s">
        <v>119</v>
      </c>
    </row>
    <row r="1006" spans="1:23" x14ac:dyDescent="0.4">
      <c r="A1006" t="s">
        <v>262</v>
      </c>
      <c r="B1006" t="s">
        <v>2308</v>
      </c>
      <c r="C1006" t="s">
        <v>2376</v>
      </c>
      <c r="D1006" t="s">
        <v>64</v>
      </c>
      <c r="E1006" t="s">
        <v>22</v>
      </c>
      <c r="F1006" t="s">
        <v>23</v>
      </c>
      <c r="G1006">
        <v>1</v>
      </c>
      <c r="H1006">
        <v>9791166300301</v>
      </c>
      <c r="I1006" t="s">
        <v>24</v>
      </c>
      <c r="J1006" t="s">
        <v>139</v>
      </c>
      <c r="K1006" t="s">
        <v>119</v>
      </c>
      <c r="L1006" t="s">
        <v>27</v>
      </c>
      <c r="M1006">
        <v>630</v>
      </c>
      <c r="N1006" t="s">
        <v>27</v>
      </c>
      <c r="O1006">
        <v>630</v>
      </c>
      <c r="P1006">
        <v>630</v>
      </c>
      <c r="Q1006" t="s">
        <v>30</v>
      </c>
      <c r="R1006" s="2">
        <v>0.7</v>
      </c>
      <c r="S1006">
        <v>441</v>
      </c>
      <c r="T1006" t="s">
        <v>27</v>
      </c>
      <c r="U1006">
        <v>441</v>
      </c>
      <c r="V1006" s="7" t="s">
        <v>24</v>
      </c>
      <c r="W1006" s="7" t="s">
        <v>119</v>
      </c>
    </row>
    <row r="1007" spans="1:23" x14ac:dyDescent="0.4">
      <c r="A1007" t="s">
        <v>262</v>
      </c>
      <c r="B1007" t="s">
        <v>2308</v>
      </c>
      <c r="C1007" t="s">
        <v>2380</v>
      </c>
      <c r="D1007" t="s">
        <v>64</v>
      </c>
      <c r="E1007" t="s">
        <v>22</v>
      </c>
      <c r="F1007" t="s">
        <v>23</v>
      </c>
      <c r="G1007">
        <v>1</v>
      </c>
      <c r="H1007">
        <v>9791166300158</v>
      </c>
      <c r="I1007" t="s">
        <v>24</v>
      </c>
      <c r="J1007" t="s">
        <v>125</v>
      </c>
      <c r="K1007" t="s">
        <v>119</v>
      </c>
      <c r="L1007" t="s">
        <v>27</v>
      </c>
      <c r="M1007">
        <v>630</v>
      </c>
      <c r="N1007" t="s">
        <v>27</v>
      </c>
      <c r="O1007">
        <v>630</v>
      </c>
      <c r="P1007">
        <v>630</v>
      </c>
      <c r="Q1007" t="s">
        <v>30</v>
      </c>
      <c r="R1007" s="2">
        <v>0.7</v>
      </c>
      <c r="S1007">
        <v>441</v>
      </c>
      <c r="T1007" t="s">
        <v>27</v>
      </c>
      <c r="U1007">
        <v>441</v>
      </c>
      <c r="V1007" s="7" t="s">
        <v>24</v>
      </c>
      <c r="W1007" s="7" t="s">
        <v>119</v>
      </c>
    </row>
    <row r="1008" spans="1:23" x14ac:dyDescent="0.4">
      <c r="A1008" t="s">
        <v>262</v>
      </c>
      <c r="B1008" t="s">
        <v>2308</v>
      </c>
      <c r="C1008" t="s">
        <v>2382</v>
      </c>
      <c r="D1008" t="s">
        <v>64</v>
      </c>
      <c r="E1008" t="s">
        <v>22</v>
      </c>
      <c r="F1008" t="s">
        <v>23</v>
      </c>
      <c r="G1008">
        <v>1</v>
      </c>
      <c r="H1008">
        <v>9791166300462</v>
      </c>
      <c r="I1008" t="s">
        <v>24</v>
      </c>
      <c r="J1008" t="s">
        <v>144</v>
      </c>
      <c r="K1008" t="s">
        <v>119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  <c r="V1008" s="7" t="s">
        <v>24</v>
      </c>
      <c r="W1008" s="7" t="s">
        <v>119</v>
      </c>
    </row>
    <row r="1009" spans="1:23" x14ac:dyDescent="0.4">
      <c r="A1009" t="s">
        <v>262</v>
      </c>
      <c r="B1009" t="s">
        <v>2308</v>
      </c>
      <c r="C1009" t="s">
        <v>2384</v>
      </c>
      <c r="D1009" t="s">
        <v>64</v>
      </c>
      <c r="E1009" t="s">
        <v>22</v>
      </c>
      <c r="F1009" t="s">
        <v>23</v>
      </c>
      <c r="G1009">
        <v>1</v>
      </c>
      <c r="H1009">
        <v>9791166300103</v>
      </c>
      <c r="I1009" t="s">
        <v>24</v>
      </c>
      <c r="J1009" t="s">
        <v>120</v>
      </c>
      <c r="K1009" t="s">
        <v>119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2">
        <v>0.7</v>
      </c>
      <c r="S1009">
        <v>441</v>
      </c>
      <c r="T1009" t="s">
        <v>27</v>
      </c>
      <c r="U1009">
        <v>441</v>
      </c>
      <c r="V1009" s="7" t="s">
        <v>24</v>
      </c>
      <c r="W1009" s="7" t="s">
        <v>119</v>
      </c>
    </row>
    <row r="1010" spans="1:23" x14ac:dyDescent="0.4">
      <c r="A1010" t="s">
        <v>262</v>
      </c>
      <c r="B1010" t="s">
        <v>2308</v>
      </c>
      <c r="C1010" t="s">
        <v>2387</v>
      </c>
      <c r="D1010" t="s">
        <v>64</v>
      </c>
      <c r="E1010" t="s">
        <v>22</v>
      </c>
      <c r="F1010" t="s">
        <v>23</v>
      </c>
      <c r="G1010">
        <v>1</v>
      </c>
      <c r="H1010">
        <v>9791166300271</v>
      </c>
      <c r="I1010" t="s">
        <v>24</v>
      </c>
      <c r="J1010" t="s">
        <v>136</v>
      </c>
      <c r="K1010" t="s">
        <v>119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  <c r="V1010" s="7" t="s">
        <v>24</v>
      </c>
      <c r="W1010" s="7" t="s">
        <v>119</v>
      </c>
    </row>
    <row r="1011" spans="1:23" x14ac:dyDescent="0.4">
      <c r="A1011" t="s">
        <v>262</v>
      </c>
      <c r="B1011" t="s">
        <v>2308</v>
      </c>
      <c r="C1011" t="s">
        <v>2388</v>
      </c>
      <c r="D1011" t="s">
        <v>64</v>
      </c>
      <c r="E1011" t="s">
        <v>22</v>
      </c>
      <c r="F1011" t="s">
        <v>23</v>
      </c>
      <c r="G1011">
        <v>1</v>
      </c>
      <c r="H1011">
        <v>9791166300110</v>
      </c>
      <c r="I1011" t="s">
        <v>24</v>
      </c>
      <c r="J1011" t="s">
        <v>121</v>
      </c>
      <c r="K1011" t="s">
        <v>119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  <c r="V1011" s="7" t="s">
        <v>24</v>
      </c>
      <c r="W1011" s="7" t="s">
        <v>119</v>
      </c>
    </row>
    <row r="1012" spans="1:23" x14ac:dyDescent="0.4">
      <c r="A1012" t="s">
        <v>262</v>
      </c>
      <c r="B1012" t="s">
        <v>2308</v>
      </c>
      <c r="C1012" t="s">
        <v>2392</v>
      </c>
      <c r="D1012" t="s">
        <v>64</v>
      </c>
      <c r="E1012" t="s">
        <v>22</v>
      </c>
      <c r="F1012" t="s">
        <v>23</v>
      </c>
      <c r="G1012">
        <v>1</v>
      </c>
      <c r="H1012">
        <v>9791166300158</v>
      </c>
      <c r="I1012" t="s">
        <v>24</v>
      </c>
      <c r="J1012" t="s">
        <v>125</v>
      </c>
      <c r="K1012" t="s">
        <v>119</v>
      </c>
      <c r="L1012" t="s">
        <v>27</v>
      </c>
      <c r="M1012">
        <v>630</v>
      </c>
      <c r="N1012" t="s">
        <v>27</v>
      </c>
      <c r="O1012">
        <v>630</v>
      </c>
      <c r="P1012">
        <v>630</v>
      </c>
      <c r="Q1012" t="s">
        <v>30</v>
      </c>
      <c r="R1012" s="2">
        <v>0.7</v>
      </c>
      <c r="S1012">
        <v>441</v>
      </c>
      <c r="T1012" t="s">
        <v>27</v>
      </c>
      <c r="U1012">
        <v>441</v>
      </c>
      <c r="V1012" s="7" t="s">
        <v>24</v>
      </c>
      <c r="W1012" s="7" t="s">
        <v>119</v>
      </c>
    </row>
    <row r="1013" spans="1:23" x14ac:dyDescent="0.4">
      <c r="A1013" t="s">
        <v>262</v>
      </c>
      <c r="B1013" t="s">
        <v>2394</v>
      </c>
      <c r="C1013" t="s">
        <v>2397</v>
      </c>
      <c r="D1013" t="s">
        <v>64</v>
      </c>
      <c r="E1013" t="s">
        <v>22</v>
      </c>
      <c r="F1013" t="s">
        <v>23</v>
      </c>
      <c r="G1013">
        <v>1</v>
      </c>
      <c r="H1013">
        <v>9791166300509</v>
      </c>
      <c r="I1013" t="s">
        <v>24</v>
      </c>
      <c r="J1013" t="s">
        <v>148</v>
      </c>
      <c r="K1013" t="s">
        <v>119</v>
      </c>
      <c r="L1013" t="s">
        <v>27</v>
      </c>
      <c r="M1013">
        <v>630</v>
      </c>
      <c r="N1013" t="s">
        <v>27</v>
      </c>
      <c r="O1013">
        <v>630</v>
      </c>
      <c r="P1013">
        <v>630</v>
      </c>
      <c r="Q1013" t="s">
        <v>30</v>
      </c>
      <c r="R1013" s="2">
        <v>0.7</v>
      </c>
      <c r="S1013">
        <v>441</v>
      </c>
      <c r="T1013" t="s">
        <v>27</v>
      </c>
      <c r="U1013">
        <v>441</v>
      </c>
      <c r="V1013" s="7" t="s">
        <v>24</v>
      </c>
      <c r="W1013" s="7" t="s">
        <v>119</v>
      </c>
    </row>
    <row r="1014" spans="1:23" x14ac:dyDescent="0.4">
      <c r="A1014" t="s">
        <v>262</v>
      </c>
      <c r="B1014" t="s">
        <v>2394</v>
      </c>
      <c r="C1014" t="s">
        <v>2398</v>
      </c>
      <c r="D1014" t="s">
        <v>64</v>
      </c>
      <c r="E1014" t="s">
        <v>22</v>
      </c>
      <c r="F1014" t="s">
        <v>23</v>
      </c>
      <c r="G1014">
        <v>1</v>
      </c>
      <c r="H1014">
        <v>9791166300165</v>
      </c>
      <c r="I1014" t="s">
        <v>24</v>
      </c>
      <c r="J1014" t="s">
        <v>126</v>
      </c>
      <c r="K1014" t="s">
        <v>119</v>
      </c>
      <c r="L1014" t="s">
        <v>27</v>
      </c>
      <c r="M1014">
        <v>630</v>
      </c>
      <c r="N1014" t="s">
        <v>27</v>
      </c>
      <c r="O1014">
        <v>630</v>
      </c>
      <c r="P1014">
        <v>630</v>
      </c>
      <c r="Q1014" t="s">
        <v>30</v>
      </c>
      <c r="R1014" s="2">
        <v>0.7</v>
      </c>
      <c r="S1014">
        <v>441</v>
      </c>
      <c r="T1014" t="s">
        <v>27</v>
      </c>
      <c r="U1014">
        <v>441</v>
      </c>
      <c r="V1014" s="7" t="s">
        <v>24</v>
      </c>
      <c r="W1014" s="7" t="s">
        <v>119</v>
      </c>
    </row>
    <row r="1015" spans="1:23" x14ac:dyDescent="0.4">
      <c r="A1015" t="s">
        <v>262</v>
      </c>
      <c r="B1015" t="s">
        <v>2394</v>
      </c>
      <c r="C1015" t="s">
        <v>2399</v>
      </c>
      <c r="D1015" t="s">
        <v>64</v>
      </c>
      <c r="E1015" t="s">
        <v>22</v>
      </c>
      <c r="F1015" t="s">
        <v>23</v>
      </c>
      <c r="G1015">
        <v>1</v>
      </c>
      <c r="H1015">
        <v>9791166300547</v>
      </c>
      <c r="I1015" t="s">
        <v>24</v>
      </c>
      <c r="J1015" t="s">
        <v>153</v>
      </c>
      <c r="K1015" t="s">
        <v>119</v>
      </c>
      <c r="L1015" t="s">
        <v>27</v>
      </c>
      <c r="M1015">
        <v>630</v>
      </c>
      <c r="N1015" t="s">
        <v>27</v>
      </c>
      <c r="O1015">
        <v>630</v>
      </c>
      <c r="P1015">
        <v>630</v>
      </c>
      <c r="Q1015" t="s">
        <v>30</v>
      </c>
      <c r="R1015" s="2">
        <v>0.7</v>
      </c>
      <c r="S1015">
        <v>441</v>
      </c>
      <c r="T1015" t="s">
        <v>27</v>
      </c>
      <c r="U1015">
        <v>441</v>
      </c>
      <c r="V1015" s="7" t="s">
        <v>24</v>
      </c>
      <c r="W1015" s="7" t="s">
        <v>119</v>
      </c>
    </row>
    <row r="1016" spans="1:23" x14ac:dyDescent="0.4">
      <c r="A1016" t="s">
        <v>262</v>
      </c>
      <c r="B1016" t="s">
        <v>2394</v>
      </c>
      <c r="C1016" t="s">
        <v>2400</v>
      </c>
      <c r="D1016" t="s">
        <v>64</v>
      </c>
      <c r="E1016" t="s">
        <v>22</v>
      </c>
      <c r="F1016" t="s">
        <v>23</v>
      </c>
      <c r="G1016">
        <v>1</v>
      </c>
      <c r="H1016">
        <v>9791166300127</v>
      </c>
      <c r="I1016" t="s">
        <v>24</v>
      </c>
      <c r="J1016" t="s">
        <v>122</v>
      </c>
      <c r="K1016" t="s">
        <v>119</v>
      </c>
      <c r="L1016" t="s">
        <v>27</v>
      </c>
      <c r="M1016">
        <v>630</v>
      </c>
      <c r="N1016" t="s">
        <v>27</v>
      </c>
      <c r="O1016">
        <v>630</v>
      </c>
      <c r="P1016">
        <v>630</v>
      </c>
      <c r="Q1016" t="s">
        <v>30</v>
      </c>
      <c r="R1016" s="2">
        <v>0.7</v>
      </c>
      <c r="S1016">
        <v>441</v>
      </c>
      <c r="T1016" t="s">
        <v>27</v>
      </c>
      <c r="U1016">
        <v>441</v>
      </c>
      <c r="V1016" s="7" t="s">
        <v>24</v>
      </c>
      <c r="W1016" s="7" t="s">
        <v>119</v>
      </c>
    </row>
    <row r="1017" spans="1:23" x14ac:dyDescent="0.4">
      <c r="A1017" t="s">
        <v>262</v>
      </c>
      <c r="B1017" t="s">
        <v>2394</v>
      </c>
      <c r="C1017" t="s">
        <v>2405</v>
      </c>
      <c r="D1017" t="s">
        <v>21</v>
      </c>
      <c r="E1017" t="s">
        <v>22</v>
      </c>
      <c r="F1017" t="s">
        <v>23</v>
      </c>
      <c r="G1017">
        <v>1</v>
      </c>
      <c r="H1017">
        <v>9791166300653</v>
      </c>
      <c r="I1017" t="s">
        <v>24</v>
      </c>
      <c r="J1017" t="s">
        <v>157</v>
      </c>
      <c r="K1017" t="s">
        <v>119</v>
      </c>
      <c r="L1017" t="s">
        <v>27</v>
      </c>
      <c r="M1017" s="3">
        <v>3200</v>
      </c>
      <c r="N1017" t="s">
        <v>27</v>
      </c>
      <c r="O1017" s="3">
        <v>3200</v>
      </c>
      <c r="P1017" s="3">
        <v>3200</v>
      </c>
      <c r="Q1017" t="s">
        <v>30</v>
      </c>
      <c r="R1017" s="2">
        <v>0.7</v>
      </c>
      <c r="S1017" s="3">
        <v>2240</v>
      </c>
      <c r="T1017" t="s">
        <v>27</v>
      </c>
      <c r="U1017" s="3">
        <v>2240</v>
      </c>
      <c r="V1017" s="7" t="s">
        <v>24</v>
      </c>
      <c r="W1017" s="7" t="s">
        <v>119</v>
      </c>
    </row>
    <row r="1018" spans="1:23" x14ac:dyDescent="0.4">
      <c r="A1018" t="s">
        <v>262</v>
      </c>
      <c r="B1018" t="s">
        <v>2394</v>
      </c>
      <c r="C1018" t="s">
        <v>2406</v>
      </c>
      <c r="D1018" t="s">
        <v>21</v>
      </c>
      <c r="E1018" t="s">
        <v>22</v>
      </c>
      <c r="F1018" t="s">
        <v>23</v>
      </c>
      <c r="G1018">
        <v>1</v>
      </c>
      <c r="H1018">
        <v>9791166300233</v>
      </c>
      <c r="I1018" t="s">
        <v>24</v>
      </c>
      <c r="J1018" t="s">
        <v>132</v>
      </c>
      <c r="K1018" t="s">
        <v>119</v>
      </c>
      <c r="L1018" t="s">
        <v>27</v>
      </c>
      <c r="M1018" s="3">
        <v>3200</v>
      </c>
      <c r="N1018" t="s">
        <v>27</v>
      </c>
      <c r="O1018" s="3">
        <v>3200</v>
      </c>
      <c r="P1018" s="3">
        <v>3200</v>
      </c>
      <c r="Q1018" t="s">
        <v>30</v>
      </c>
      <c r="R1018" s="2">
        <v>0.7</v>
      </c>
      <c r="S1018" s="3">
        <v>2240</v>
      </c>
      <c r="T1018" t="s">
        <v>27</v>
      </c>
      <c r="U1018" s="3">
        <v>2240</v>
      </c>
      <c r="V1018" s="7" t="s">
        <v>24</v>
      </c>
      <c r="W1018" s="7" t="s">
        <v>119</v>
      </c>
    </row>
    <row r="1019" spans="1:23" x14ac:dyDescent="0.4">
      <c r="A1019" t="s">
        <v>262</v>
      </c>
      <c r="B1019" t="s">
        <v>2394</v>
      </c>
      <c r="C1019" t="s">
        <v>2407</v>
      </c>
      <c r="D1019" t="s">
        <v>64</v>
      </c>
      <c r="E1019" t="s">
        <v>22</v>
      </c>
      <c r="F1019" t="s">
        <v>23</v>
      </c>
      <c r="G1019">
        <v>1</v>
      </c>
      <c r="H1019">
        <v>9791166300103</v>
      </c>
      <c r="I1019" t="s">
        <v>24</v>
      </c>
      <c r="J1019" t="s">
        <v>120</v>
      </c>
      <c r="K1019" t="s">
        <v>119</v>
      </c>
      <c r="L1019" t="s">
        <v>27</v>
      </c>
      <c r="M1019">
        <v>630</v>
      </c>
      <c r="N1019" t="s">
        <v>27</v>
      </c>
      <c r="O1019">
        <v>630</v>
      </c>
      <c r="P1019">
        <v>630</v>
      </c>
      <c r="Q1019" t="s">
        <v>30</v>
      </c>
      <c r="R1019" s="2">
        <v>0.7</v>
      </c>
      <c r="S1019">
        <v>441</v>
      </c>
      <c r="T1019" t="s">
        <v>27</v>
      </c>
      <c r="U1019">
        <v>441</v>
      </c>
      <c r="V1019" s="7" t="s">
        <v>24</v>
      </c>
      <c r="W1019" s="7" t="s">
        <v>119</v>
      </c>
    </row>
    <row r="1020" spans="1:23" x14ac:dyDescent="0.4">
      <c r="A1020" t="s">
        <v>262</v>
      </c>
      <c r="B1020" t="s">
        <v>2394</v>
      </c>
      <c r="C1020" t="s">
        <v>2408</v>
      </c>
      <c r="D1020" t="s">
        <v>64</v>
      </c>
      <c r="E1020" t="s">
        <v>22</v>
      </c>
      <c r="F1020" t="s">
        <v>23</v>
      </c>
      <c r="G1020">
        <v>1</v>
      </c>
      <c r="H1020">
        <v>9791166300134</v>
      </c>
      <c r="I1020" t="s">
        <v>24</v>
      </c>
      <c r="J1020" t="s">
        <v>123</v>
      </c>
      <c r="K1020" t="s">
        <v>119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2">
        <v>0.7</v>
      </c>
      <c r="S1020">
        <v>441</v>
      </c>
      <c r="T1020" t="s">
        <v>27</v>
      </c>
      <c r="U1020">
        <v>441</v>
      </c>
      <c r="V1020" s="7" t="s">
        <v>24</v>
      </c>
      <c r="W1020" s="7" t="s">
        <v>119</v>
      </c>
    </row>
    <row r="1021" spans="1:23" x14ac:dyDescent="0.4">
      <c r="A1021" t="s">
        <v>262</v>
      </c>
      <c r="B1021" t="s">
        <v>2394</v>
      </c>
      <c r="C1021" t="s">
        <v>2409</v>
      </c>
      <c r="D1021" t="s">
        <v>64</v>
      </c>
      <c r="E1021" t="s">
        <v>22</v>
      </c>
      <c r="F1021" t="s">
        <v>23</v>
      </c>
      <c r="G1021">
        <v>1</v>
      </c>
      <c r="H1021">
        <v>9791166300530</v>
      </c>
      <c r="I1021" t="s">
        <v>24</v>
      </c>
      <c r="J1021" t="s">
        <v>151</v>
      </c>
      <c r="K1021" t="s">
        <v>119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2">
        <v>0.7</v>
      </c>
      <c r="S1021">
        <v>441</v>
      </c>
      <c r="T1021" t="s">
        <v>27</v>
      </c>
      <c r="U1021">
        <v>441</v>
      </c>
      <c r="V1021" s="7" t="s">
        <v>24</v>
      </c>
      <c r="W1021" s="7" t="s">
        <v>119</v>
      </c>
    </row>
    <row r="1022" spans="1:23" x14ac:dyDescent="0.4">
      <c r="A1022" t="s">
        <v>262</v>
      </c>
      <c r="B1022" t="s">
        <v>2394</v>
      </c>
      <c r="C1022" t="s">
        <v>2413</v>
      </c>
      <c r="D1022" t="s">
        <v>64</v>
      </c>
      <c r="E1022" t="s">
        <v>22</v>
      </c>
      <c r="F1022" t="s">
        <v>23</v>
      </c>
      <c r="G1022">
        <v>1</v>
      </c>
      <c r="H1022">
        <v>9791166300691</v>
      </c>
      <c r="I1022" t="s">
        <v>24</v>
      </c>
      <c r="J1022" t="s">
        <v>152</v>
      </c>
      <c r="K1022" t="s">
        <v>119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  <c r="V1022" s="7" t="s">
        <v>24</v>
      </c>
      <c r="W1022" s="7" t="s">
        <v>119</v>
      </c>
    </row>
    <row r="1023" spans="1:23" x14ac:dyDescent="0.4">
      <c r="A1023" t="s">
        <v>262</v>
      </c>
      <c r="B1023" t="s">
        <v>2394</v>
      </c>
      <c r="C1023" t="s">
        <v>2414</v>
      </c>
      <c r="D1023" t="s">
        <v>64</v>
      </c>
      <c r="E1023" t="s">
        <v>22</v>
      </c>
      <c r="F1023" t="s">
        <v>23</v>
      </c>
      <c r="G1023">
        <v>1</v>
      </c>
      <c r="H1023">
        <v>9791166300486</v>
      </c>
      <c r="I1023" t="s">
        <v>24</v>
      </c>
      <c r="J1023" t="s">
        <v>146</v>
      </c>
      <c r="K1023" t="s">
        <v>119</v>
      </c>
      <c r="L1023" t="s">
        <v>27</v>
      </c>
      <c r="M1023">
        <v>630</v>
      </c>
      <c r="N1023" t="s">
        <v>27</v>
      </c>
      <c r="O1023">
        <v>630</v>
      </c>
      <c r="P1023">
        <v>630</v>
      </c>
      <c r="Q1023" t="s">
        <v>30</v>
      </c>
      <c r="R1023" s="2">
        <v>0.7</v>
      </c>
      <c r="S1023">
        <v>441</v>
      </c>
      <c r="T1023" t="s">
        <v>27</v>
      </c>
      <c r="U1023">
        <v>441</v>
      </c>
      <c r="V1023" s="7" t="s">
        <v>24</v>
      </c>
      <c r="W1023" s="7" t="s">
        <v>119</v>
      </c>
    </row>
    <row r="1024" spans="1:23" x14ac:dyDescent="0.4">
      <c r="A1024" t="s">
        <v>262</v>
      </c>
      <c r="B1024" t="s">
        <v>2394</v>
      </c>
      <c r="C1024" t="s">
        <v>2415</v>
      </c>
      <c r="D1024" t="s">
        <v>64</v>
      </c>
      <c r="E1024" t="s">
        <v>22</v>
      </c>
      <c r="F1024" t="s">
        <v>23</v>
      </c>
      <c r="G1024">
        <v>1</v>
      </c>
      <c r="H1024">
        <v>9791166300202</v>
      </c>
      <c r="I1024" t="s">
        <v>24</v>
      </c>
      <c r="J1024" t="s">
        <v>129</v>
      </c>
      <c r="K1024" t="s">
        <v>119</v>
      </c>
      <c r="L1024" t="s">
        <v>27</v>
      </c>
      <c r="M1024">
        <v>630</v>
      </c>
      <c r="N1024" t="s">
        <v>27</v>
      </c>
      <c r="O1024">
        <v>630</v>
      </c>
      <c r="P1024">
        <v>630</v>
      </c>
      <c r="Q1024" t="s">
        <v>30</v>
      </c>
      <c r="R1024" s="2">
        <v>0.7</v>
      </c>
      <c r="S1024">
        <v>441</v>
      </c>
      <c r="T1024" t="s">
        <v>27</v>
      </c>
      <c r="U1024">
        <v>441</v>
      </c>
      <c r="V1024" s="7" t="s">
        <v>24</v>
      </c>
      <c r="W1024" s="7" t="s">
        <v>119</v>
      </c>
    </row>
    <row r="1025" spans="1:23" x14ac:dyDescent="0.4">
      <c r="A1025" t="s">
        <v>262</v>
      </c>
      <c r="B1025" t="s">
        <v>2394</v>
      </c>
      <c r="C1025" t="s">
        <v>2421</v>
      </c>
      <c r="D1025" t="s">
        <v>64</v>
      </c>
      <c r="E1025" t="s">
        <v>22</v>
      </c>
      <c r="F1025" t="s">
        <v>23</v>
      </c>
      <c r="G1025">
        <v>1</v>
      </c>
      <c r="H1025">
        <v>9791166300219</v>
      </c>
      <c r="I1025" t="s">
        <v>24</v>
      </c>
      <c r="J1025" t="s">
        <v>130</v>
      </c>
      <c r="K1025" t="s">
        <v>119</v>
      </c>
      <c r="L1025" t="s">
        <v>27</v>
      </c>
      <c r="M1025">
        <v>630</v>
      </c>
      <c r="N1025" t="s">
        <v>27</v>
      </c>
      <c r="O1025">
        <v>630</v>
      </c>
      <c r="P1025">
        <v>630</v>
      </c>
      <c r="Q1025" t="s">
        <v>30</v>
      </c>
      <c r="R1025" s="2">
        <v>0.7</v>
      </c>
      <c r="S1025">
        <v>441</v>
      </c>
      <c r="T1025" t="s">
        <v>27</v>
      </c>
      <c r="U1025">
        <v>441</v>
      </c>
      <c r="V1025" s="7" t="s">
        <v>24</v>
      </c>
      <c r="W1025" s="7" t="s">
        <v>119</v>
      </c>
    </row>
    <row r="1026" spans="1:23" x14ac:dyDescent="0.4">
      <c r="A1026" t="s">
        <v>262</v>
      </c>
      <c r="B1026" t="s">
        <v>2394</v>
      </c>
      <c r="C1026" t="s">
        <v>2424</v>
      </c>
      <c r="D1026" t="s">
        <v>64</v>
      </c>
      <c r="E1026" t="s">
        <v>22</v>
      </c>
      <c r="F1026" t="s">
        <v>23</v>
      </c>
      <c r="G1026">
        <v>1</v>
      </c>
      <c r="H1026">
        <v>9791166300271</v>
      </c>
      <c r="I1026" t="s">
        <v>24</v>
      </c>
      <c r="J1026" t="s">
        <v>136</v>
      </c>
      <c r="K1026" t="s">
        <v>119</v>
      </c>
      <c r="L1026" t="s">
        <v>27</v>
      </c>
      <c r="M1026">
        <v>630</v>
      </c>
      <c r="N1026" t="s">
        <v>27</v>
      </c>
      <c r="O1026">
        <v>630</v>
      </c>
      <c r="P1026">
        <v>630</v>
      </c>
      <c r="Q1026" t="s">
        <v>30</v>
      </c>
      <c r="R1026" s="2">
        <v>0.7</v>
      </c>
      <c r="S1026">
        <v>441</v>
      </c>
      <c r="T1026" t="s">
        <v>27</v>
      </c>
      <c r="U1026">
        <v>441</v>
      </c>
      <c r="V1026" s="7" t="s">
        <v>24</v>
      </c>
      <c r="W1026" s="7" t="s">
        <v>119</v>
      </c>
    </row>
    <row r="1027" spans="1:23" x14ac:dyDescent="0.4">
      <c r="A1027" t="s">
        <v>262</v>
      </c>
      <c r="B1027" t="s">
        <v>2394</v>
      </c>
      <c r="C1027" t="s">
        <v>2425</v>
      </c>
      <c r="D1027" t="s">
        <v>64</v>
      </c>
      <c r="E1027" t="s">
        <v>22</v>
      </c>
      <c r="F1027" t="s">
        <v>23</v>
      </c>
      <c r="G1027">
        <v>1</v>
      </c>
      <c r="H1027">
        <v>9791166300226</v>
      </c>
      <c r="I1027" t="s">
        <v>24</v>
      </c>
      <c r="J1027" t="s">
        <v>131</v>
      </c>
      <c r="K1027" t="s">
        <v>119</v>
      </c>
      <c r="L1027" t="s">
        <v>27</v>
      </c>
      <c r="M1027">
        <v>630</v>
      </c>
      <c r="N1027" t="s">
        <v>27</v>
      </c>
      <c r="O1027">
        <v>630</v>
      </c>
      <c r="P1027">
        <v>630</v>
      </c>
      <c r="Q1027" t="s">
        <v>30</v>
      </c>
      <c r="R1027" s="2">
        <v>0.7</v>
      </c>
      <c r="S1027">
        <v>441</v>
      </c>
      <c r="T1027" t="s">
        <v>27</v>
      </c>
      <c r="U1027">
        <v>441</v>
      </c>
      <c r="V1027" s="7" t="s">
        <v>24</v>
      </c>
      <c r="W1027" s="7" t="s">
        <v>119</v>
      </c>
    </row>
    <row r="1028" spans="1:23" x14ac:dyDescent="0.4">
      <c r="A1028" t="s">
        <v>262</v>
      </c>
      <c r="B1028" t="s">
        <v>2394</v>
      </c>
      <c r="C1028" t="s">
        <v>2427</v>
      </c>
      <c r="D1028" t="s">
        <v>64</v>
      </c>
      <c r="E1028" t="s">
        <v>22</v>
      </c>
      <c r="F1028" t="s">
        <v>23</v>
      </c>
      <c r="G1028">
        <v>1</v>
      </c>
      <c r="H1028">
        <v>9791166300288</v>
      </c>
      <c r="I1028" t="s">
        <v>24</v>
      </c>
      <c r="J1028" t="s">
        <v>137</v>
      </c>
      <c r="K1028" t="s">
        <v>119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  <c r="V1028" s="7" t="s">
        <v>24</v>
      </c>
      <c r="W1028" s="7" t="s">
        <v>119</v>
      </c>
    </row>
    <row r="1029" spans="1:23" x14ac:dyDescent="0.4">
      <c r="A1029" t="s">
        <v>262</v>
      </c>
      <c r="B1029" t="s">
        <v>2394</v>
      </c>
      <c r="C1029" t="s">
        <v>2430</v>
      </c>
      <c r="D1029" t="s">
        <v>64</v>
      </c>
      <c r="E1029" t="s">
        <v>22</v>
      </c>
      <c r="F1029" t="s">
        <v>23</v>
      </c>
      <c r="G1029">
        <v>1</v>
      </c>
      <c r="H1029">
        <v>9791166300233</v>
      </c>
      <c r="I1029" t="s">
        <v>24</v>
      </c>
      <c r="J1029" t="s">
        <v>132</v>
      </c>
      <c r="K1029" t="s">
        <v>119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  <c r="V1029" s="7" t="s">
        <v>24</v>
      </c>
      <c r="W1029" s="7" t="s">
        <v>119</v>
      </c>
    </row>
    <row r="1030" spans="1:23" x14ac:dyDescent="0.4">
      <c r="A1030" t="s">
        <v>262</v>
      </c>
      <c r="B1030" t="s">
        <v>2394</v>
      </c>
      <c r="C1030" t="s">
        <v>2432</v>
      </c>
      <c r="D1030" t="s">
        <v>64</v>
      </c>
      <c r="E1030" t="s">
        <v>22</v>
      </c>
      <c r="F1030" t="s">
        <v>23</v>
      </c>
      <c r="G1030">
        <v>1</v>
      </c>
      <c r="H1030">
        <v>9791166300295</v>
      </c>
      <c r="I1030" t="s">
        <v>24</v>
      </c>
      <c r="J1030" t="s">
        <v>138</v>
      </c>
      <c r="K1030" t="s">
        <v>119</v>
      </c>
      <c r="L1030" t="s">
        <v>27</v>
      </c>
      <c r="M1030">
        <v>630</v>
      </c>
      <c r="N1030" t="s">
        <v>27</v>
      </c>
      <c r="O1030">
        <v>630</v>
      </c>
      <c r="P1030">
        <v>630</v>
      </c>
      <c r="Q1030" t="s">
        <v>30</v>
      </c>
      <c r="R1030" s="2">
        <v>0.7</v>
      </c>
      <c r="S1030">
        <v>441</v>
      </c>
      <c r="T1030" t="s">
        <v>27</v>
      </c>
      <c r="U1030">
        <v>441</v>
      </c>
      <c r="V1030" s="7" t="s">
        <v>24</v>
      </c>
      <c r="W1030" s="7" t="s">
        <v>119</v>
      </c>
    </row>
    <row r="1031" spans="1:23" x14ac:dyDescent="0.4">
      <c r="A1031" t="s">
        <v>262</v>
      </c>
      <c r="B1031" t="s">
        <v>2394</v>
      </c>
      <c r="C1031" t="s">
        <v>2433</v>
      </c>
      <c r="D1031" t="s">
        <v>64</v>
      </c>
      <c r="E1031" t="s">
        <v>22</v>
      </c>
      <c r="F1031" t="s">
        <v>23</v>
      </c>
      <c r="G1031">
        <v>1</v>
      </c>
      <c r="H1031">
        <v>9791166300233</v>
      </c>
      <c r="I1031" t="s">
        <v>24</v>
      </c>
      <c r="J1031" t="s">
        <v>132</v>
      </c>
      <c r="K1031" t="s">
        <v>119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  <c r="V1031" s="7" t="s">
        <v>24</v>
      </c>
      <c r="W1031" s="7" t="s">
        <v>119</v>
      </c>
    </row>
    <row r="1032" spans="1:23" x14ac:dyDescent="0.4">
      <c r="A1032" t="s">
        <v>262</v>
      </c>
      <c r="B1032" t="s">
        <v>2394</v>
      </c>
      <c r="C1032" t="s">
        <v>2441</v>
      </c>
      <c r="D1032" t="s">
        <v>21</v>
      </c>
      <c r="E1032" t="s">
        <v>22</v>
      </c>
      <c r="F1032" t="s">
        <v>23</v>
      </c>
      <c r="G1032">
        <v>1</v>
      </c>
      <c r="H1032">
        <v>9791166300691</v>
      </c>
      <c r="I1032" t="s">
        <v>24</v>
      </c>
      <c r="J1032" t="s">
        <v>152</v>
      </c>
      <c r="K1032" t="s">
        <v>119</v>
      </c>
      <c r="L1032" t="s">
        <v>27</v>
      </c>
      <c r="M1032" s="3">
        <v>3200</v>
      </c>
      <c r="N1032" t="s">
        <v>27</v>
      </c>
      <c r="O1032" s="3">
        <v>3200</v>
      </c>
      <c r="P1032" s="3">
        <v>3200</v>
      </c>
      <c r="Q1032" t="s">
        <v>30</v>
      </c>
      <c r="R1032" s="2">
        <v>0.7</v>
      </c>
      <c r="S1032" s="3">
        <v>2240</v>
      </c>
      <c r="T1032" t="s">
        <v>27</v>
      </c>
      <c r="U1032" s="3">
        <v>2240</v>
      </c>
      <c r="V1032" s="7" t="s">
        <v>24</v>
      </c>
      <c r="W1032" s="7" t="s">
        <v>119</v>
      </c>
    </row>
    <row r="1033" spans="1:23" x14ac:dyDescent="0.4">
      <c r="A1033" t="s">
        <v>262</v>
      </c>
      <c r="B1033" t="s">
        <v>2394</v>
      </c>
      <c r="C1033" t="s">
        <v>2442</v>
      </c>
      <c r="D1033" t="s">
        <v>64</v>
      </c>
      <c r="E1033" t="s">
        <v>22</v>
      </c>
      <c r="F1033" t="s">
        <v>23</v>
      </c>
      <c r="G1033">
        <v>1</v>
      </c>
      <c r="H1033">
        <v>9791166300127</v>
      </c>
      <c r="I1033" t="s">
        <v>24</v>
      </c>
      <c r="J1033" t="s">
        <v>122</v>
      </c>
      <c r="K1033" t="s">
        <v>119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2">
        <v>0.7</v>
      </c>
      <c r="S1033">
        <v>441</v>
      </c>
      <c r="T1033" t="s">
        <v>27</v>
      </c>
      <c r="U1033">
        <v>441</v>
      </c>
      <c r="V1033" s="7" t="s">
        <v>24</v>
      </c>
      <c r="W1033" s="7" t="s">
        <v>119</v>
      </c>
    </row>
    <row r="1034" spans="1:23" x14ac:dyDescent="0.4">
      <c r="A1034" t="s">
        <v>262</v>
      </c>
      <c r="B1034" t="s">
        <v>2394</v>
      </c>
      <c r="C1034" t="s">
        <v>2443</v>
      </c>
      <c r="D1034" t="s">
        <v>64</v>
      </c>
      <c r="E1034" t="s">
        <v>22</v>
      </c>
      <c r="F1034" t="s">
        <v>23</v>
      </c>
      <c r="G1034">
        <v>1</v>
      </c>
      <c r="H1034">
        <v>9791166300554</v>
      </c>
      <c r="I1034" t="s">
        <v>24</v>
      </c>
      <c r="J1034" t="s">
        <v>154</v>
      </c>
      <c r="K1034" t="s">
        <v>119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  <c r="V1034" s="7" t="s">
        <v>24</v>
      </c>
      <c r="W1034" s="7" t="s">
        <v>119</v>
      </c>
    </row>
    <row r="1035" spans="1:23" x14ac:dyDescent="0.4">
      <c r="A1035" t="s">
        <v>262</v>
      </c>
      <c r="B1035" t="s">
        <v>2394</v>
      </c>
      <c r="C1035" t="s">
        <v>2444</v>
      </c>
      <c r="D1035" t="s">
        <v>64</v>
      </c>
      <c r="E1035" t="s">
        <v>22</v>
      </c>
      <c r="F1035" t="s">
        <v>23</v>
      </c>
      <c r="G1035">
        <v>1</v>
      </c>
      <c r="H1035">
        <v>9791166300288</v>
      </c>
      <c r="I1035" t="s">
        <v>24</v>
      </c>
      <c r="J1035" t="s">
        <v>137</v>
      </c>
      <c r="K1035" t="s">
        <v>119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2">
        <v>0.7</v>
      </c>
      <c r="S1035">
        <v>441</v>
      </c>
      <c r="T1035" t="s">
        <v>27</v>
      </c>
      <c r="U1035">
        <v>441</v>
      </c>
      <c r="V1035" s="7" t="s">
        <v>24</v>
      </c>
      <c r="W1035" s="7" t="s">
        <v>119</v>
      </c>
    </row>
    <row r="1036" spans="1:23" x14ac:dyDescent="0.4">
      <c r="A1036" t="s">
        <v>262</v>
      </c>
      <c r="B1036" t="s">
        <v>2394</v>
      </c>
      <c r="C1036" t="s">
        <v>2445</v>
      </c>
      <c r="D1036" t="s">
        <v>64</v>
      </c>
      <c r="E1036" t="s">
        <v>22</v>
      </c>
      <c r="F1036" t="s">
        <v>23</v>
      </c>
      <c r="G1036">
        <v>1</v>
      </c>
      <c r="H1036">
        <v>9791166300479</v>
      </c>
      <c r="I1036" t="s">
        <v>24</v>
      </c>
      <c r="J1036" t="s">
        <v>145</v>
      </c>
      <c r="K1036" t="s">
        <v>119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2">
        <v>0.7</v>
      </c>
      <c r="S1036">
        <v>441</v>
      </c>
      <c r="T1036" t="s">
        <v>27</v>
      </c>
      <c r="U1036">
        <v>441</v>
      </c>
      <c r="V1036" s="7" t="s">
        <v>24</v>
      </c>
      <c r="W1036" s="7" t="s">
        <v>119</v>
      </c>
    </row>
    <row r="1037" spans="1:23" x14ac:dyDescent="0.4">
      <c r="A1037" t="s">
        <v>262</v>
      </c>
      <c r="B1037" t="s">
        <v>2394</v>
      </c>
      <c r="C1037" t="s">
        <v>2447</v>
      </c>
      <c r="D1037" t="s">
        <v>64</v>
      </c>
      <c r="E1037" t="s">
        <v>22</v>
      </c>
      <c r="F1037" t="s">
        <v>23</v>
      </c>
      <c r="G1037">
        <v>1</v>
      </c>
      <c r="H1037">
        <v>9791166300134</v>
      </c>
      <c r="I1037" t="s">
        <v>24</v>
      </c>
      <c r="J1037" t="s">
        <v>123</v>
      </c>
      <c r="K1037" t="s">
        <v>119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2">
        <v>0.7</v>
      </c>
      <c r="S1037">
        <v>441</v>
      </c>
      <c r="T1037" t="s">
        <v>27</v>
      </c>
      <c r="U1037">
        <v>441</v>
      </c>
      <c r="V1037" s="7" t="s">
        <v>24</v>
      </c>
      <c r="W1037" s="7" t="s">
        <v>119</v>
      </c>
    </row>
    <row r="1038" spans="1:23" x14ac:dyDescent="0.4">
      <c r="A1038" t="s">
        <v>262</v>
      </c>
      <c r="B1038" t="s">
        <v>2394</v>
      </c>
      <c r="C1038" t="s">
        <v>2448</v>
      </c>
      <c r="D1038" t="s">
        <v>64</v>
      </c>
      <c r="E1038" t="s">
        <v>22</v>
      </c>
      <c r="F1038" t="s">
        <v>23</v>
      </c>
      <c r="G1038">
        <v>1</v>
      </c>
      <c r="H1038">
        <v>9791166300165</v>
      </c>
      <c r="I1038" t="s">
        <v>24</v>
      </c>
      <c r="J1038" t="s">
        <v>126</v>
      </c>
      <c r="K1038" t="s">
        <v>119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2">
        <v>0.7</v>
      </c>
      <c r="S1038">
        <v>441</v>
      </c>
      <c r="T1038" t="s">
        <v>27</v>
      </c>
      <c r="U1038">
        <v>441</v>
      </c>
      <c r="V1038" s="7" t="s">
        <v>24</v>
      </c>
      <c r="W1038" s="7" t="s">
        <v>119</v>
      </c>
    </row>
    <row r="1039" spans="1:23" x14ac:dyDescent="0.4">
      <c r="A1039" t="s">
        <v>262</v>
      </c>
      <c r="B1039" t="s">
        <v>2394</v>
      </c>
      <c r="C1039" t="s">
        <v>2449</v>
      </c>
      <c r="D1039" t="s">
        <v>64</v>
      </c>
      <c r="E1039" t="s">
        <v>22</v>
      </c>
      <c r="F1039" t="s">
        <v>23</v>
      </c>
      <c r="G1039">
        <v>1</v>
      </c>
      <c r="H1039">
        <v>9791166300103</v>
      </c>
      <c r="I1039" t="s">
        <v>24</v>
      </c>
      <c r="J1039" t="s">
        <v>120</v>
      </c>
      <c r="K1039" t="s">
        <v>119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  <c r="V1039" s="7" t="s">
        <v>24</v>
      </c>
      <c r="W1039" s="7" t="s">
        <v>119</v>
      </c>
    </row>
    <row r="1040" spans="1:23" x14ac:dyDescent="0.4">
      <c r="A1040" t="s">
        <v>262</v>
      </c>
      <c r="B1040" t="s">
        <v>2394</v>
      </c>
      <c r="C1040" t="s">
        <v>2453</v>
      </c>
      <c r="D1040" t="s">
        <v>64</v>
      </c>
      <c r="E1040" t="s">
        <v>22</v>
      </c>
      <c r="F1040" t="s">
        <v>23</v>
      </c>
      <c r="G1040">
        <v>1</v>
      </c>
      <c r="H1040">
        <v>9791166300172</v>
      </c>
      <c r="I1040" t="s">
        <v>24</v>
      </c>
      <c r="J1040" t="s">
        <v>127</v>
      </c>
      <c r="K1040" t="s">
        <v>119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  <c r="V1040" s="7" t="s">
        <v>24</v>
      </c>
      <c r="W1040" s="7" t="s">
        <v>119</v>
      </c>
    </row>
    <row r="1041" spans="1:23" x14ac:dyDescent="0.4">
      <c r="A1041" t="s">
        <v>262</v>
      </c>
      <c r="B1041" t="s">
        <v>2394</v>
      </c>
      <c r="C1041" t="s">
        <v>2456</v>
      </c>
      <c r="D1041" t="s">
        <v>64</v>
      </c>
      <c r="E1041" t="s">
        <v>22</v>
      </c>
      <c r="F1041" t="s">
        <v>23</v>
      </c>
      <c r="G1041">
        <v>1</v>
      </c>
      <c r="H1041">
        <v>9791166300516</v>
      </c>
      <c r="I1041" t="s">
        <v>24</v>
      </c>
      <c r="J1041" t="s">
        <v>149</v>
      </c>
      <c r="K1041" t="s">
        <v>119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  <c r="V1041" s="7" t="s">
        <v>24</v>
      </c>
      <c r="W1041" s="7" t="s">
        <v>119</v>
      </c>
    </row>
    <row r="1042" spans="1:23" x14ac:dyDescent="0.4">
      <c r="A1042" t="s">
        <v>262</v>
      </c>
      <c r="B1042" t="s">
        <v>2394</v>
      </c>
      <c r="C1042" t="s">
        <v>2461</v>
      </c>
      <c r="D1042" t="s">
        <v>64</v>
      </c>
      <c r="E1042" t="s">
        <v>22</v>
      </c>
      <c r="F1042" t="s">
        <v>23</v>
      </c>
      <c r="G1042">
        <v>1</v>
      </c>
      <c r="H1042">
        <v>9791166300301</v>
      </c>
      <c r="I1042" t="s">
        <v>24</v>
      </c>
      <c r="J1042" t="s">
        <v>139</v>
      </c>
      <c r="K1042" t="s">
        <v>119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  <c r="V1042" s="7" t="s">
        <v>24</v>
      </c>
      <c r="W1042" s="7" t="s">
        <v>119</v>
      </c>
    </row>
    <row r="1043" spans="1:23" x14ac:dyDescent="0.4">
      <c r="A1043" t="s">
        <v>262</v>
      </c>
      <c r="B1043" t="s">
        <v>2394</v>
      </c>
      <c r="C1043" t="s">
        <v>2465</v>
      </c>
      <c r="D1043" t="s">
        <v>64</v>
      </c>
      <c r="E1043" t="s">
        <v>22</v>
      </c>
      <c r="F1043" t="s">
        <v>23</v>
      </c>
      <c r="G1043">
        <v>1</v>
      </c>
      <c r="H1043">
        <v>9791166300172</v>
      </c>
      <c r="I1043" t="s">
        <v>24</v>
      </c>
      <c r="J1043" t="s">
        <v>127</v>
      </c>
      <c r="K1043" t="s">
        <v>119</v>
      </c>
      <c r="L1043" t="s">
        <v>27</v>
      </c>
      <c r="M1043">
        <v>630</v>
      </c>
      <c r="N1043" t="s">
        <v>27</v>
      </c>
      <c r="O1043">
        <v>630</v>
      </c>
      <c r="P1043">
        <v>630</v>
      </c>
      <c r="Q1043" t="s">
        <v>30</v>
      </c>
      <c r="R1043" s="2">
        <v>0.7</v>
      </c>
      <c r="S1043">
        <v>441</v>
      </c>
      <c r="T1043" t="s">
        <v>27</v>
      </c>
      <c r="U1043">
        <v>441</v>
      </c>
      <c r="V1043" s="7" t="s">
        <v>24</v>
      </c>
      <c r="W1043" s="7" t="s">
        <v>119</v>
      </c>
    </row>
    <row r="1044" spans="1:23" x14ac:dyDescent="0.4">
      <c r="A1044" t="s">
        <v>262</v>
      </c>
      <c r="B1044" t="s">
        <v>2394</v>
      </c>
      <c r="C1044" t="s">
        <v>2470</v>
      </c>
      <c r="D1044" t="s">
        <v>64</v>
      </c>
      <c r="E1044" t="s">
        <v>22</v>
      </c>
      <c r="F1044" t="s">
        <v>23</v>
      </c>
      <c r="G1044">
        <v>1</v>
      </c>
      <c r="H1044">
        <v>9791166300103</v>
      </c>
      <c r="I1044" t="s">
        <v>24</v>
      </c>
      <c r="J1044" t="s">
        <v>120</v>
      </c>
      <c r="K1044" t="s">
        <v>119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  <c r="V1044" s="7" t="s">
        <v>24</v>
      </c>
      <c r="W1044" s="7" t="s">
        <v>119</v>
      </c>
    </row>
    <row r="1045" spans="1:23" x14ac:dyDescent="0.4">
      <c r="A1045" t="s">
        <v>262</v>
      </c>
      <c r="B1045" t="s">
        <v>262</v>
      </c>
      <c r="C1045" t="s">
        <v>2475</v>
      </c>
      <c r="D1045" t="s">
        <v>64</v>
      </c>
      <c r="E1045" t="s">
        <v>22</v>
      </c>
      <c r="F1045" t="s">
        <v>23</v>
      </c>
      <c r="G1045">
        <v>1</v>
      </c>
      <c r="H1045">
        <v>9791166300196</v>
      </c>
      <c r="I1045" t="s">
        <v>24</v>
      </c>
      <c r="J1045" t="s">
        <v>128</v>
      </c>
      <c r="K1045" t="s">
        <v>119</v>
      </c>
      <c r="L1045" t="s">
        <v>27</v>
      </c>
      <c r="M1045">
        <v>630</v>
      </c>
      <c r="N1045" t="s">
        <v>27</v>
      </c>
      <c r="O1045">
        <v>630</v>
      </c>
      <c r="P1045">
        <v>630</v>
      </c>
      <c r="Q1045" t="s">
        <v>30</v>
      </c>
      <c r="R1045" s="2">
        <v>0.7</v>
      </c>
      <c r="S1045">
        <v>441</v>
      </c>
      <c r="T1045" t="s">
        <v>27</v>
      </c>
      <c r="U1045">
        <v>441</v>
      </c>
      <c r="V1045" s="7" t="s">
        <v>24</v>
      </c>
      <c r="W1045" s="7" t="s">
        <v>119</v>
      </c>
    </row>
    <row r="1046" spans="1:23" x14ac:dyDescent="0.4">
      <c r="A1046" t="s">
        <v>262</v>
      </c>
      <c r="B1046" t="s">
        <v>262</v>
      </c>
      <c r="C1046" t="s">
        <v>2476</v>
      </c>
      <c r="D1046" t="s">
        <v>64</v>
      </c>
      <c r="E1046" t="s">
        <v>22</v>
      </c>
      <c r="F1046" t="s">
        <v>23</v>
      </c>
      <c r="G1046">
        <v>1</v>
      </c>
      <c r="H1046">
        <v>9791166300141</v>
      </c>
      <c r="I1046" t="s">
        <v>24</v>
      </c>
      <c r="J1046" t="s">
        <v>124</v>
      </c>
      <c r="K1046" t="s">
        <v>119</v>
      </c>
      <c r="L1046" t="s">
        <v>27</v>
      </c>
      <c r="M1046">
        <v>630</v>
      </c>
      <c r="N1046" t="s">
        <v>27</v>
      </c>
      <c r="O1046">
        <v>630</v>
      </c>
      <c r="P1046">
        <v>630</v>
      </c>
      <c r="Q1046" t="s">
        <v>30</v>
      </c>
      <c r="R1046" s="2">
        <v>0.7</v>
      </c>
      <c r="S1046">
        <v>441</v>
      </c>
      <c r="T1046" t="s">
        <v>27</v>
      </c>
      <c r="U1046">
        <v>441</v>
      </c>
      <c r="V1046" s="7" t="s">
        <v>24</v>
      </c>
      <c r="W1046" s="7" t="s">
        <v>119</v>
      </c>
    </row>
    <row r="1047" spans="1:23" x14ac:dyDescent="0.4">
      <c r="A1047" t="s">
        <v>262</v>
      </c>
      <c r="B1047" t="s">
        <v>262</v>
      </c>
      <c r="C1047" t="s">
        <v>2482</v>
      </c>
      <c r="D1047" t="s">
        <v>64</v>
      </c>
      <c r="E1047" t="s">
        <v>22</v>
      </c>
      <c r="F1047" t="s">
        <v>23</v>
      </c>
      <c r="G1047">
        <v>1</v>
      </c>
      <c r="H1047">
        <v>9791166300295</v>
      </c>
      <c r="I1047" t="s">
        <v>24</v>
      </c>
      <c r="J1047" t="s">
        <v>138</v>
      </c>
      <c r="K1047" t="s">
        <v>119</v>
      </c>
      <c r="L1047" t="s">
        <v>27</v>
      </c>
      <c r="M1047">
        <v>630</v>
      </c>
      <c r="N1047" t="s">
        <v>27</v>
      </c>
      <c r="O1047">
        <v>630</v>
      </c>
      <c r="P1047">
        <v>630</v>
      </c>
      <c r="Q1047" t="s">
        <v>30</v>
      </c>
      <c r="R1047" s="2">
        <v>0.7</v>
      </c>
      <c r="S1047">
        <v>441</v>
      </c>
      <c r="T1047" t="s">
        <v>27</v>
      </c>
      <c r="U1047">
        <v>441</v>
      </c>
      <c r="V1047" s="7" t="s">
        <v>24</v>
      </c>
      <c r="W1047" s="7" t="s">
        <v>119</v>
      </c>
    </row>
    <row r="1048" spans="1:23" x14ac:dyDescent="0.4">
      <c r="A1048" t="s">
        <v>262</v>
      </c>
      <c r="B1048" t="s">
        <v>262</v>
      </c>
      <c r="C1048" t="s">
        <v>2483</v>
      </c>
      <c r="D1048" t="s">
        <v>64</v>
      </c>
      <c r="E1048" t="s">
        <v>22</v>
      </c>
      <c r="F1048" t="s">
        <v>23</v>
      </c>
      <c r="G1048">
        <v>1</v>
      </c>
      <c r="H1048">
        <v>9791166300240</v>
      </c>
      <c r="I1048" t="s">
        <v>24</v>
      </c>
      <c r="J1048" t="s">
        <v>133</v>
      </c>
      <c r="K1048" t="s">
        <v>119</v>
      </c>
      <c r="L1048" t="s">
        <v>27</v>
      </c>
      <c r="M1048">
        <v>630</v>
      </c>
      <c r="N1048" t="s">
        <v>27</v>
      </c>
      <c r="O1048">
        <v>630</v>
      </c>
      <c r="P1048">
        <v>630</v>
      </c>
      <c r="Q1048" t="s">
        <v>30</v>
      </c>
      <c r="R1048" s="2">
        <v>0.7</v>
      </c>
      <c r="S1048">
        <v>441</v>
      </c>
      <c r="T1048" t="s">
        <v>27</v>
      </c>
      <c r="U1048">
        <v>441</v>
      </c>
      <c r="V1048" s="7" t="s">
        <v>24</v>
      </c>
      <c r="W1048" s="7" t="s">
        <v>119</v>
      </c>
    </row>
    <row r="1049" spans="1:23" x14ac:dyDescent="0.4">
      <c r="A1049" t="s">
        <v>262</v>
      </c>
      <c r="B1049" t="s">
        <v>262</v>
      </c>
      <c r="C1049" t="s">
        <v>2490</v>
      </c>
      <c r="D1049" t="s">
        <v>64</v>
      </c>
      <c r="E1049" t="s">
        <v>22</v>
      </c>
      <c r="F1049" t="s">
        <v>23</v>
      </c>
      <c r="G1049">
        <v>1</v>
      </c>
      <c r="H1049">
        <v>9791166300202</v>
      </c>
      <c r="I1049" t="s">
        <v>24</v>
      </c>
      <c r="J1049" t="s">
        <v>129</v>
      </c>
      <c r="K1049" t="s">
        <v>119</v>
      </c>
      <c r="L1049" t="s">
        <v>27</v>
      </c>
      <c r="M1049">
        <v>630</v>
      </c>
      <c r="N1049" t="s">
        <v>27</v>
      </c>
      <c r="O1049">
        <v>630</v>
      </c>
      <c r="P1049">
        <v>630</v>
      </c>
      <c r="Q1049" t="s">
        <v>30</v>
      </c>
      <c r="R1049" s="2">
        <v>0.7</v>
      </c>
      <c r="S1049">
        <v>441</v>
      </c>
      <c r="T1049" t="s">
        <v>27</v>
      </c>
      <c r="U1049">
        <v>441</v>
      </c>
      <c r="V1049" s="7" t="s">
        <v>24</v>
      </c>
      <c r="W1049" s="7" t="s">
        <v>119</v>
      </c>
    </row>
    <row r="1050" spans="1:23" x14ac:dyDescent="0.4">
      <c r="A1050" t="s">
        <v>262</v>
      </c>
      <c r="B1050" t="s">
        <v>262</v>
      </c>
      <c r="C1050" t="s">
        <v>2492</v>
      </c>
      <c r="D1050" t="s">
        <v>64</v>
      </c>
      <c r="E1050" t="s">
        <v>22</v>
      </c>
      <c r="F1050" t="s">
        <v>23</v>
      </c>
      <c r="G1050">
        <v>1</v>
      </c>
      <c r="H1050">
        <v>9791166300622</v>
      </c>
      <c r="I1050" t="s">
        <v>24</v>
      </c>
      <c r="J1050" t="s">
        <v>164</v>
      </c>
      <c r="K1050" t="s">
        <v>119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  <c r="V1050" s="7" t="s">
        <v>24</v>
      </c>
      <c r="W1050" s="7" t="s">
        <v>119</v>
      </c>
    </row>
    <row r="1051" spans="1:23" x14ac:dyDescent="0.4">
      <c r="A1051" t="s">
        <v>262</v>
      </c>
      <c r="B1051" t="s">
        <v>262</v>
      </c>
      <c r="C1051" t="s">
        <v>2497</v>
      </c>
      <c r="D1051" t="s">
        <v>64</v>
      </c>
      <c r="E1051" t="s">
        <v>22</v>
      </c>
      <c r="F1051" t="s">
        <v>23</v>
      </c>
      <c r="G1051">
        <v>1</v>
      </c>
      <c r="H1051">
        <v>9791166300493</v>
      </c>
      <c r="I1051" t="s">
        <v>24</v>
      </c>
      <c r="J1051" t="s">
        <v>147</v>
      </c>
      <c r="K1051" t="s">
        <v>119</v>
      </c>
      <c r="L1051" t="s">
        <v>27</v>
      </c>
      <c r="M1051">
        <v>630</v>
      </c>
      <c r="N1051" t="s">
        <v>27</v>
      </c>
      <c r="O1051">
        <v>630</v>
      </c>
      <c r="P1051">
        <v>630</v>
      </c>
      <c r="Q1051" t="s">
        <v>30</v>
      </c>
      <c r="R1051" s="2">
        <v>0.7</v>
      </c>
      <c r="S1051">
        <v>441</v>
      </c>
      <c r="T1051" t="s">
        <v>27</v>
      </c>
      <c r="U1051">
        <v>441</v>
      </c>
      <c r="V1051" s="7" t="s">
        <v>24</v>
      </c>
      <c r="W1051" s="7" t="s">
        <v>119</v>
      </c>
    </row>
    <row r="1052" spans="1:23" x14ac:dyDescent="0.4">
      <c r="A1052" t="s">
        <v>262</v>
      </c>
      <c r="B1052" t="s">
        <v>262</v>
      </c>
      <c r="C1052" t="s">
        <v>2499</v>
      </c>
      <c r="D1052" t="s">
        <v>64</v>
      </c>
      <c r="E1052" t="s">
        <v>22</v>
      </c>
      <c r="F1052" t="s">
        <v>23</v>
      </c>
      <c r="G1052">
        <v>1</v>
      </c>
      <c r="H1052">
        <v>9791166300530</v>
      </c>
      <c r="I1052" t="s">
        <v>24</v>
      </c>
      <c r="J1052" t="s">
        <v>151</v>
      </c>
      <c r="K1052" t="s">
        <v>119</v>
      </c>
      <c r="L1052" t="s">
        <v>27</v>
      </c>
      <c r="M1052">
        <v>630</v>
      </c>
      <c r="N1052" t="s">
        <v>27</v>
      </c>
      <c r="O1052">
        <v>630</v>
      </c>
      <c r="P1052">
        <v>630</v>
      </c>
      <c r="Q1052" t="s">
        <v>30</v>
      </c>
      <c r="R1052" s="2">
        <v>0.7</v>
      </c>
      <c r="S1052">
        <v>441</v>
      </c>
      <c r="T1052" t="s">
        <v>27</v>
      </c>
      <c r="U1052">
        <v>441</v>
      </c>
      <c r="V1052" s="7" t="s">
        <v>24</v>
      </c>
      <c r="W1052" s="7" t="s">
        <v>119</v>
      </c>
    </row>
    <row r="1053" spans="1:23" x14ac:dyDescent="0.4">
      <c r="A1053" t="s">
        <v>262</v>
      </c>
      <c r="B1053" t="s">
        <v>262</v>
      </c>
      <c r="C1053" t="s">
        <v>2516</v>
      </c>
      <c r="D1053" t="s">
        <v>64</v>
      </c>
      <c r="E1053" t="s">
        <v>22</v>
      </c>
      <c r="F1053" t="s">
        <v>23</v>
      </c>
      <c r="G1053">
        <v>1</v>
      </c>
      <c r="H1053">
        <v>9791166300219</v>
      </c>
      <c r="I1053" t="s">
        <v>24</v>
      </c>
      <c r="J1053" t="s">
        <v>130</v>
      </c>
      <c r="K1053" t="s">
        <v>119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2">
        <v>0.7</v>
      </c>
      <c r="S1053">
        <v>441</v>
      </c>
      <c r="T1053" t="s">
        <v>27</v>
      </c>
      <c r="U1053">
        <v>441</v>
      </c>
      <c r="V1053" s="7" t="s">
        <v>24</v>
      </c>
      <c r="W1053" s="7" t="s">
        <v>119</v>
      </c>
    </row>
    <row r="1054" spans="1:23" x14ac:dyDescent="0.4">
      <c r="A1054" t="s">
        <v>262</v>
      </c>
      <c r="B1054" t="s">
        <v>262</v>
      </c>
      <c r="C1054" t="s">
        <v>2517</v>
      </c>
      <c r="D1054" t="s">
        <v>21</v>
      </c>
      <c r="E1054" t="s">
        <v>22</v>
      </c>
      <c r="F1054" t="s">
        <v>23</v>
      </c>
      <c r="G1054">
        <v>1</v>
      </c>
      <c r="H1054">
        <v>9791166300127</v>
      </c>
      <c r="I1054" t="s">
        <v>24</v>
      </c>
      <c r="J1054" t="s">
        <v>122</v>
      </c>
      <c r="K1054" t="s">
        <v>119</v>
      </c>
      <c r="L1054" t="s">
        <v>27</v>
      </c>
      <c r="M1054" s="3">
        <v>3200</v>
      </c>
      <c r="N1054" t="s">
        <v>27</v>
      </c>
      <c r="O1054" s="3">
        <v>3200</v>
      </c>
      <c r="P1054" s="3">
        <v>3200</v>
      </c>
      <c r="Q1054" t="s">
        <v>30</v>
      </c>
      <c r="R1054" s="2">
        <v>0.7</v>
      </c>
      <c r="S1054" s="3">
        <v>2240</v>
      </c>
      <c r="T1054" t="s">
        <v>27</v>
      </c>
      <c r="U1054" s="3">
        <v>2240</v>
      </c>
      <c r="V1054" s="7" t="s">
        <v>24</v>
      </c>
      <c r="W1054" s="7" t="s">
        <v>119</v>
      </c>
    </row>
    <row r="1055" spans="1:23" x14ac:dyDescent="0.4">
      <c r="A1055" t="s">
        <v>262</v>
      </c>
      <c r="B1055" t="s">
        <v>262</v>
      </c>
      <c r="C1055" t="s">
        <v>2520</v>
      </c>
      <c r="D1055" t="s">
        <v>64</v>
      </c>
      <c r="E1055" t="s">
        <v>22</v>
      </c>
      <c r="F1055" t="s">
        <v>23</v>
      </c>
      <c r="G1055">
        <v>1</v>
      </c>
      <c r="H1055">
        <v>9791166300301</v>
      </c>
      <c r="I1055" t="s">
        <v>24</v>
      </c>
      <c r="J1055" t="s">
        <v>139</v>
      </c>
      <c r="K1055" t="s">
        <v>119</v>
      </c>
      <c r="L1055" t="s">
        <v>27</v>
      </c>
      <c r="M1055">
        <v>630</v>
      </c>
      <c r="N1055" t="s">
        <v>27</v>
      </c>
      <c r="O1055">
        <v>630</v>
      </c>
      <c r="P1055">
        <v>630</v>
      </c>
      <c r="Q1055" t="s">
        <v>30</v>
      </c>
      <c r="R1055" s="2">
        <v>0.7</v>
      </c>
      <c r="S1055">
        <v>441</v>
      </c>
      <c r="T1055" t="s">
        <v>27</v>
      </c>
      <c r="U1055">
        <v>441</v>
      </c>
      <c r="V1055" s="7" t="s">
        <v>24</v>
      </c>
      <c r="W1055" s="7" t="s">
        <v>119</v>
      </c>
    </row>
    <row r="1056" spans="1:23" x14ac:dyDescent="0.4">
      <c r="A1056" t="s">
        <v>262</v>
      </c>
      <c r="B1056" t="s">
        <v>262</v>
      </c>
      <c r="C1056" t="s">
        <v>2522</v>
      </c>
      <c r="D1056" t="s">
        <v>64</v>
      </c>
      <c r="E1056" t="s">
        <v>22</v>
      </c>
      <c r="F1056" t="s">
        <v>23</v>
      </c>
      <c r="G1056">
        <v>1</v>
      </c>
      <c r="H1056">
        <v>9791166300196</v>
      </c>
      <c r="I1056" t="s">
        <v>24</v>
      </c>
      <c r="J1056" t="s">
        <v>128</v>
      </c>
      <c r="K1056" t="s">
        <v>119</v>
      </c>
      <c r="L1056" t="s">
        <v>27</v>
      </c>
      <c r="M1056">
        <v>630</v>
      </c>
      <c r="N1056" t="s">
        <v>27</v>
      </c>
      <c r="O1056">
        <v>630</v>
      </c>
      <c r="P1056">
        <v>630</v>
      </c>
      <c r="Q1056" t="s">
        <v>30</v>
      </c>
      <c r="R1056" s="2">
        <v>0.7</v>
      </c>
      <c r="S1056">
        <v>441</v>
      </c>
      <c r="T1056" t="s">
        <v>27</v>
      </c>
      <c r="U1056">
        <v>441</v>
      </c>
      <c r="V1056" s="7" t="s">
        <v>24</v>
      </c>
      <c r="W1056" s="7" t="s">
        <v>119</v>
      </c>
    </row>
    <row r="1057" spans="1:23" x14ac:dyDescent="0.4">
      <c r="A1057" t="s">
        <v>262</v>
      </c>
      <c r="B1057" t="s">
        <v>262</v>
      </c>
      <c r="C1057" t="s">
        <v>2524</v>
      </c>
      <c r="D1057" t="s">
        <v>64</v>
      </c>
      <c r="E1057" t="s">
        <v>22</v>
      </c>
      <c r="F1057" t="s">
        <v>23</v>
      </c>
      <c r="G1057">
        <v>1</v>
      </c>
      <c r="H1057">
        <v>9791166300523</v>
      </c>
      <c r="I1057" t="s">
        <v>24</v>
      </c>
      <c r="J1057" t="s">
        <v>150</v>
      </c>
      <c r="K1057" t="s">
        <v>119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2">
        <v>0.7</v>
      </c>
      <c r="S1057">
        <v>441</v>
      </c>
      <c r="T1057" t="s">
        <v>27</v>
      </c>
      <c r="U1057">
        <v>441</v>
      </c>
      <c r="V1057" s="7" t="s">
        <v>24</v>
      </c>
      <c r="W1057" s="7" t="s">
        <v>119</v>
      </c>
    </row>
    <row r="1058" spans="1:23" x14ac:dyDescent="0.4">
      <c r="A1058" t="s">
        <v>262</v>
      </c>
      <c r="B1058" t="s">
        <v>262</v>
      </c>
      <c r="C1058" t="s">
        <v>2526</v>
      </c>
      <c r="D1058" t="s">
        <v>64</v>
      </c>
      <c r="E1058" t="s">
        <v>22</v>
      </c>
      <c r="F1058" t="s">
        <v>23</v>
      </c>
      <c r="G1058">
        <v>1</v>
      </c>
      <c r="H1058">
        <v>9791166300233</v>
      </c>
      <c r="I1058" t="s">
        <v>24</v>
      </c>
      <c r="J1058" t="s">
        <v>132</v>
      </c>
      <c r="K1058" t="s">
        <v>119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2">
        <v>0.7</v>
      </c>
      <c r="S1058">
        <v>441</v>
      </c>
      <c r="T1058" t="s">
        <v>27</v>
      </c>
      <c r="U1058">
        <v>441</v>
      </c>
      <c r="V1058" s="7" t="s">
        <v>24</v>
      </c>
      <c r="W1058" s="7" t="s">
        <v>119</v>
      </c>
    </row>
    <row r="1059" spans="1:23" x14ac:dyDescent="0.4">
      <c r="A1059" t="s">
        <v>262</v>
      </c>
      <c r="B1059" t="s">
        <v>262</v>
      </c>
      <c r="C1059" t="s">
        <v>2534</v>
      </c>
      <c r="D1059" t="s">
        <v>64</v>
      </c>
      <c r="E1059" t="s">
        <v>22</v>
      </c>
      <c r="F1059" t="s">
        <v>23</v>
      </c>
      <c r="G1059">
        <v>1</v>
      </c>
      <c r="H1059">
        <v>9791166300509</v>
      </c>
      <c r="I1059" t="s">
        <v>24</v>
      </c>
      <c r="J1059" t="s">
        <v>148</v>
      </c>
      <c r="K1059" t="s">
        <v>119</v>
      </c>
      <c r="L1059" t="s">
        <v>27</v>
      </c>
      <c r="M1059">
        <v>630</v>
      </c>
      <c r="N1059" t="s">
        <v>27</v>
      </c>
      <c r="O1059">
        <v>630</v>
      </c>
      <c r="P1059">
        <v>630</v>
      </c>
      <c r="Q1059" t="s">
        <v>30</v>
      </c>
      <c r="R1059" s="2">
        <v>0.7</v>
      </c>
      <c r="S1059">
        <v>441</v>
      </c>
      <c r="T1059" t="s">
        <v>27</v>
      </c>
      <c r="U1059">
        <v>441</v>
      </c>
      <c r="V1059" s="7" t="s">
        <v>24</v>
      </c>
      <c r="W1059" s="7" t="s">
        <v>119</v>
      </c>
    </row>
    <row r="1060" spans="1:23" x14ac:dyDescent="0.4">
      <c r="A1060" t="s">
        <v>262</v>
      </c>
      <c r="B1060" t="s">
        <v>262</v>
      </c>
      <c r="C1060" t="s">
        <v>2536</v>
      </c>
      <c r="D1060" t="s">
        <v>64</v>
      </c>
      <c r="E1060" t="s">
        <v>22</v>
      </c>
      <c r="F1060" t="s">
        <v>23</v>
      </c>
      <c r="G1060">
        <v>1</v>
      </c>
      <c r="H1060">
        <v>9791166300240</v>
      </c>
      <c r="I1060" t="s">
        <v>24</v>
      </c>
      <c r="J1060" t="s">
        <v>133</v>
      </c>
      <c r="K1060" t="s">
        <v>119</v>
      </c>
      <c r="L1060" t="s">
        <v>27</v>
      </c>
      <c r="M1060">
        <v>630</v>
      </c>
      <c r="N1060" t="s">
        <v>27</v>
      </c>
      <c r="O1060">
        <v>630</v>
      </c>
      <c r="P1060">
        <v>630</v>
      </c>
      <c r="Q1060" t="s">
        <v>30</v>
      </c>
      <c r="R1060" s="2">
        <v>0.7</v>
      </c>
      <c r="S1060">
        <v>441</v>
      </c>
      <c r="T1060" t="s">
        <v>27</v>
      </c>
      <c r="U1060">
        <v>441</v>
      </c>
      <c r="V1060" s="7" t="s">
        <v>24</v>
      </c>
      <c r="W1060" s="7" t="s">
        <v>119</v>
      </c>
    </row>
    <row r="1061" spans="1:23" x14ac:dyDescent="0.4">
      <c r="A1061" t="s">
        <v>262</v>
      </c>
      <c r="B1061" t="s">
        <v>262</v>
      </c>
      <c r="C1061" t="s">
        <v>2550</v>
      </c>
      <c r="D1061" t="s">
        <v>64</v>
      </c>
      <c r="E1061" t="s">
        <v>22</v>
      </c>
      <c r="F1061" t="s">
        <v>23</v>
      </c>
      <c r="G1061">
        <v>1</v>
      </c>
      <c r="H1061">
        <v>9791166300134</v>
      </c>
      <c r="I1061" t="s">
        <v>24</v>
      </c>
      <c r="J1061" t="s">
        <v>123</v>
      </c>
      <c r="K1061" t="s">
        <v>119</v>
      </c>
      <c r="L1061" t="s">
        <v>27</v>
      </c>
      <c r="M1061">
        <v>630</v>
      </c>
      <c r="N1061" t="s">
        <v>27</v>
      </c>
      <c r="O1061">
        <v>630</v>
      </c>
      <c r="P1061">
        <v>630</v>
      </c>
      <c r="Q1061" t="s">
        <v>30</v>
      </c>
      <c r="R1061" s="2">
        <v>0.7</v>
      </c>
      <c r="S1061">
        <v>441</v>
      </c>
      <c r="T1061" t="s">
        <v>27</v>
      </c>
      <c r="U1061">
        <v>441</v>
      </c>
      <c r="V1061" s="7" t="s">
        <v>24</v>
      </c>
      <c r="W1061" s="7" t="s">
        <v>119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33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5.796875" bestFit="1" customWidth="1"/>
    <col min="11" max="11" width="10.3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3" width="11.0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263</v>
      </c>
      <c r="C2" t="s">
        <v>270</v>
      </c>
      <c r="D2" t="s">
        <v>21</v>
      </c>
      <c r="E2" t="s">
        <v>22</v>
      </c>
      <c r="F2" t="s">
        <v>23</v>
      </c>
      <c r="G2">
        <v>1</v>
      </c>
      <c r="H2">
        <v>9791191562286</v>
      </c>
      <c r="I2" t="s">
        <v>143</v>
      </c>
      <c r="J2" t="s">
        <v>238</v>
      </c>
      <c r="K2" t="s">
        <v>239</v>
      </c>
      <c r="L2" t="s">
        <v>27</v>
      </c>
      <c r="M2" s="3">
        <v>2000</v>
      </c>
      <c r="N2" t="s">
        <v>27</v>
      </c>
      <c r="O2" s="3">
        <v>2000</v>
      </c>
      <c r="P2" s="3">
        <v>2000</v>
      </c>
      <c r="Q2" t="s">
        <v>30</v>
      </c>
      <c r="R2" s="2">
        <v>0.7</v>
      </c>
      <c r="S2" s="3">
        <v>1400</v>
      </c>
      <c r="T2" t="s">
        <v>27</v>
      </c>
      <c r="U2" s="3">
        <v>1400</v>
      </c>
      <c r="V2" s="7" t="s">
        <v>2557</v>
      </c>
      <c r="W2" s="7" t="s">
        <v>2557</v>
      </c>
    </row>
    <row r="3" spans="1:23" x14ac:dyDescent="0.4">
      <c r="A3" t="s">
        <v>262</v>
      </c>
      <c r="B3" t="s">
        <v>263</v>
      </c>
      <c r="C3" t="s">
        <v>274</v>
      </c>
      <c r="D3" t="s">
        <v>21</v>
      </c>
      <c r="E3" t="s">
        <v>22</v>
      </c>
      <c r="F3" t="s">
        <v>23</v>
      </c>
      <c r="G3">
        <v>1</v>
      </c>
      <c r="H3">
        <v>9791191562125</v>
      </c>
      <c r="I3" t="s">
        <v>143</v>
      </c>
      <c r="J3" t="s">
        <v>212</v>
      </c>
      <c r="K3" t="s">
        <v>213</v>
      </c>
      <c r="L3" t="s">
        <v>27</v>
      </c>
      <c r="M3" s="3">
        <v>2500</v>
      </c>
      <c r="N3" t="s">
        <v>27</v>
      </c>
      <c r="O3" s="3">
        <v>2500</v>
      </c>
      <c r="P3" s="3">
        <v>2500</v>
      </c>
      <c r="Q3" t="s">
        <v>30</v>
      </c>
      <c r="R3" s="2">
        <v>0.7</v>
      </c>
      <c r="S3" s="3">
        <v>1750</v>
      </c>
      <c r="T3" t="s">
        <v>27</v>
      </c>
      <c r="U3" s="3">
        <v>1750</v>
      </c>
      <c r="V3" s="7" t="s">
        <v>2557</v>
      </c>
      <c r="W3" s="7" t="s">
        <v>2557</v>
      </c>
    </row>
    <row r="4" spans="1:23" x14ac:dyDescent="0.4">
      <c r="A4" t="s">
        <v>262</v>
      </c>
      <c r="B4" t="s">
        <v>263</v>
      </c>
      <c r="C4" t="s">
        <v>276</v>
      </c>
      <c r="D4" t="s">
        <v>21</v>
      </c>
      <c r="E4" t="s">
        <v>22</v>
      </c>
      <c r="F4" t="s">
        <v>23</v>
      </c>
      <c r="G4">
        <v>1</v>
      </c>
      <c r="H4">
        <v>9791191562125</v>
      </c>
      <c r="I4" t="s">
        <v>143</v>
      </c>
      <c r="J4" t="s">
        <v>212</v>
      </c>
      <c r="K4" t="s">
        <v>213</v>
      </c>
      <c r="L4" t="s">
        <v>27</v>
      </c>
      <c r="M4" s="3">
        <v>2500</v>
      </c>
      <c r="N4" t="s">
        <v>27</v>
      </c>
      <c r="O4" s="3">
        <v>2500</v>
      </c>
      <c r="P4" s="3">
        <v>2500</v>
      </c>
      <c r="Q4" t="s">
        <v>30</v>
      </c>
      <c r="R4" s="2">
        <v>0.7</v>
      </c>
      <c r="S4" s="3">
        <v>1750</v>
      </c>
      <c r="T4" t="s">
        <v>27</v>
      </c>
      <c r="U4" s="3">
        <v>1750</v>
      </c>
      <c r="V4" s="7" t="s">
        <v>2557</v>
      </c>
      <c r="W4" s="7" t="s">
        <v>2557</v>
      </c>
    </row>
    <row r="5" spans="1:23" x14ac:dyDescent="0.4">
      <c r="A5" t="s">
        <v>262</v>
      </c>
      <c r="B5" t="s">
        <v>263</v>
      </c>
      <c r="C5" t="s">
        <v>291</v>
      </c>
      <c r="D5" t="s">
        <v>21</v>
      </c>
      <c r="E5" t="s">
        <v>22</v>
      </c>
      <c r="F5" t="s">
        <v>23</v>
      </c>
      <c r="G5">
        <v>1</v>
      </c>
      <c r="H5">
        <v>9791191562101</v>
      </c>
      <c r="I5" t="s">
        <v>143</v>
      </c>
      <c r="J5" t="s">
        <v>196</v>
      </c>
      <c r="K5" t="s">
        <v>201</v>
      </c>
      <c r="L5" t="s">
        <v>27</v>
      </c>
      <c r="M5" s="3">
        <v>3000</v>
      </c>
      <c r="N5" t="s">
        <v>28</v>
      </c>
      <c r="O5">
        <v>2.4700000000000002</v>
      </c>
      <c r="P5">
        <v>2.4700000000000002</v>
      </c>
      <c r="Q5" t="s">
        <v>29</v>
      </c>
      <c r="R5" s="2">
        <v>0.7</v>
      </c>
      <c r="S5">
        <v>1.73</v>
      </c>
      <c r="T5" t="s">
        <v>27</v>
      </c>
      <c r="U5" s="3">
        <v>2173</v>
      </c>
      <c r="V5" s="7" t="s">
        <v>2557</v>
      </c>
      <c r="W5" s="7" t="s">
        <v>2557</v>
      </c>
    </row>
    <row r="6" spans="1:23" x14ac:dyDescent="0.4">
      <c r="A6" t="s">
        <v>262</v>
      </c>
      <c r="B6" t="s">
        <v>263</v>
      </c>
      <c r="C6" t="s">
        <v>293</v>
      </c>
      <c r="D6" t="s">
        <v>21</v>
      </c>
      <c r="E6" t="s">
        <v>22</v>
      </c>
      <c r="F6" t="s">
        <v>23</v>
      </c>
      <c r="G6">
        <v>1</v>
      </c>
      <c r="H6">
        <v>9791191562125</v>
      </c>
      <c r="I6" t="s">
        <v>143</v>
      </c>
      <c r="J6" t="s">
        <v>212</v>
      </c>
      <c r="K6" t="s">
        <v>213</v>
      </c>
      <c r="L6" t="s">
        <v>27</v>
      </c>
      <c r="M6" s="3">
        <v>2500</v>
      </c>
      <c r="N6" t="s">
        <v>27</v>
      </c>
      <c r="O6" s="3">
        <v>2500</v>
      </c>
      <c r="P6" s="3">
        <v>2500</v>
      </c>
      <c r="Q6" t="s">
        <v>30</v>
      </c>
      <c r="R6" s="2">
        <v>0.7</v>
      </c>
      <c r="S6" s="3">
        <v>1750</v>
      </c>
      <c r="T6" t="s">
        <v>27</v>
      </c>
      <c r="U6" s="3">
        <v>1750</v>
      </c>
      <c r="V6" s="7" t="s">
        <v>2557</v>
      </c>
      <c r="W6" s="7" t="s">
        <v>2557</v>
      </c>
    </row>
    <row r="7" spans="1:23" x14ac:dyDescent="0.4">
      <c r="A7" t="s">
        <v>262</v>
      </c>
      <c r="B7" t="s">
        <v>263</v>
      </c>
      <c r="C7" t="s">
        <v>302</v>
      </c>
      <c r="D7" t="s">
        <v>21</v>
      </c>
      <c r="E7" t="s">
        <v>22</v>
      </c>
      <c r="F7" t="s">
        <v>23</v>
      </c>
      <c r="G7">
        <v>1</v>
      </c>
      <c r="H7">
        <v>9791191562125</v>
      </c>
      <c r="I7" t="s">
        <v>143</v>
      </c>
      <c r="J7" t="s">
        <v>212</v>
      </c>
      <c r="K7" t="s">
        <v>213</v>
      </c>
      <c r="L7" t="s">
        <v>27</v>
      </c>
      <c r="M7" s="3">
        <v>2500</v>
      </c>
      <c r="N7" t="s">
        <v>27</v>
      </c>
      <c r="O7" s="3">
        <v>2500</v>
      </c>
      <c r="P7" s="3">
        <v>2500</v>
      </c>
      <c r="Q7" t="s">
        <v>30</v>
      </c>
      <c r="R7" s="2">
        <v>0.7</v>
      </c>
      <c r="S7" s="3">
        <v>1750</v>
      </c>
      <c r="T7" t="s">
        <v>27</v>
      </c>
      <c r="U7" s="3">
        <v>1750</v>
      </c>
      <c r="V7" s="7" t="s">
        <v>2557</v>
      </c>
      <c r="W7" s="7" t="s">
        <v>2557</v>
      </c>
    </row>
    <row r="8" spans="1:23" x14ac:dyDescent="0.4">
      <c r="A8" t="s">
        <v>262</v>
      </c>
      <c r="B8" t="s">
        <v>263</v>
      </c>
      <c r="C8" t="s">
        <v>306</v>
      </c>
      <c r="D8" t="s">
        <v>21</v>
      </c>
      <c r="E8" t="s">
        <v>22</v>
      </c>
      <c r="F8" t="s">
        <v>23</v>
      </c>
      <c r="G8">
        <v>1</v>
      </c>
      <c r="H8">
        <v>9791191562347</v>
      </c>
      <c r="I8" t="s">
        <v>143</v>
      </c>
      <c r="J8" t="s">
        <v>307</v>
      </c>
      <c r="K8" t="s">
        <v>2554</v>
      </c>
      <c r="L8" t="s">
        <v>27</v>
      </c>
      <c r="M8" s="3">
        <v>3200</v>
      </c>
      <c r="N8" t="s">
        <v>27</v>
      </c>
      <c r="O8" s="3">
        <v>3200</v>
      </c>
      <c r="P8" s="3">
        <v>3200</v>
      </c>
      <c r="Q8" t="s">
        <v>30</v>
      </c>
      <c r="R8" s="2">
        <v>0.7</v>
      </c>
      <c r="S8" s="3">
        <v>2240</v>
      </c>
      <c r="T8" t="s">
        <v>27</v>
      </c>
      <c r="U8" s="3">
        <v>2240</v>
      </c>
      <c r="V8" s="7" t="s">
        <v>2557</v>
      </c>
      <c r="W8" s="7" t="s">
        <v>2557</v>
      </c>
    </row>
    <row r="9" spans="1:23" x14ac:dyDescent="0.4">
      <c r="A9" t="s">
        <v>262</v>
      </c>
      <c r="B9" t="s">
        <v>263</v>
      </c>
      <c r="C9" t="s">
        <v>316</v>
      </c>
      <c r="D9" t="s">
        <v>21</v>
      </c>
      <c r="E9" t="s">
        <v>22</v>
      </c>
      <c r="F9" t="s">
        <v>23</v>
      </c>
      <c r="G9">
        <v>1</v>
      </c>
      <c r="H9">
        <v>9791191562248</v>
      </c>
      <c r="I9" t="s">
        <v>143</v>
      </c>
      <c r="J9" t="s">
        <v>231</v>
      </c>
      <c r="K9" t="s">
        <v>232</v>
      </c>
      <c r="L9" t="s">
        <v>27</v>
      </c>
      <c r="M9" s="3">
        <v>2000</v>
      </c>
      <c r="N9" t="s">
        <v>27</v>
      </c>
      <c r="O9" s="3">
        <v>2000</v>
      </c>
      <c r="P9" s="3">
        <v>2000</v>
      </c>
      <c r="Q9" t="s">
        <v>30</v>
      </c>
      <c r="R9" s="2">
        <v>0.7</v>
      </c>
      <c r="S9" s="3">
        <v>1400</v>
      </c>
      <c r="T9" t="s">
        <v>27</v>
      </c>
      <c r="U9" s="3">
        <v>1400</v>
      </c>
      <c r="V9" s="7" t="s">
        <v>2557</v>
      </c>
      <c r="W9" s="7" t="s">
        <v>2557</v>
      </c>
    </row>
    <row r="10" spans="1:23" x14ac:dyDescent="0.4">
      <c r="A10" t="s">
        <v>262</v>
      </c>
      <c r="B10" t="s">
        <v>263</v>
      </c>
      <c r="C10" t="s">
        <v>318</v>
      </c>
      <c r="D10" t="s">
        <v>21</v>
      </c>
      <c r="E10" t="s">
        <v>22</v>
      </c>
      <c r="F10" t="s">
        <v>23</v>
      </c>
      <c r="G10">
        <v>1</v>
      </c>
      <c r="H10">
        <v>9791191562309</v>
      </c>
      <c r="I10" t="s">
        <v>143</v>
      </c>
      <c r="J10" t="s">
        <v>225</v>
      </c>
      <c r="K10" t="s">
        <v>226</v>
      </c>
      <c r="L10" t="s">
        <v>27</v>
      </c>
      <c r="M10" s="3">
        <v>2500</v>
      </c>
      <c r="N10" t="s">
        <v>28</v>
      </c>
      <c r="O10">
        <v>2.06</v>
      </c>
      <c r="P10">
        <v>2.06</v>
      </c>
      <c r="Q10" t="s">
        <v>29</v>
      </c>
      <c r="R10" s="2">
        <v>0.7</v>
      </c>
      <c r="S10">
        <v>1.44</v>
      </c>
      <c r="T10" t="s">
        <v>27</v>
      </c>
      <c r="U10" s="3">
        <v>1822</v>
      </c>
      <c r="V10" s="7" t="s">
        <v>2557</v>
      </c>
      <c r="W10" s="7" t="s">
        <v>2557</v>
      </c>
    </row>
    <row r="11" spans="1:23" x14ac:dyDescent="0.4">
      <c r="A11" t="s">
        <v>262</v>
      </c>
      <c r="B11" t="s">
        <v>326</v>
      </c>
      <c r="C11" t="s">
        <v>337</v>
      </c>
      <c r="D11" t="s">
        <v>21</v>
      </c>
      <c r="E11" t="s">
        <v>22</v>
      </c>
      <c r="F11" t="s">
        <v>23</v>
      </c>
      <c r="G11">
        <v>1</v>
      </c>
      <c r="H11">
        <v>9791191562125</v>
      </c>
      <c r="I11" t="s">
        <v>143</v>
      </c>
      <c r="J11" t="s">
        <v>212</v>
      </c>
      <c r="K11" t="s">
        <v>213</v>
      </c>
      <c r="L11" t="s">
        <v>27</v>
      </c>
      <c r="M11" s="3">
        <v>2500</v>
      </c>
      <c r="N11" t="s">
        <v>27</v>
      </c>
      <c r="O11" s="3">
        <v>2500</v>
      </c>
      <c r="P11" s="3">
        <v>2500</v>
      </c>
      <c r="Q11" t="s">
        <v>30</v>
      </c>
      <c r="R11" s="2">
        <v>0.7</v>
      </c>
      <c r="S11" s="3">
        <v>1750</v>
      </c>
      <c r="T11" t="s">
        <v>27</v>
      </c>
      <c r="U11" s="3">
        <v>1750</v>
      </c>
      <c r="V11" s="7" t="s">
        <v>2557</v>
      </c>
      <c r="W11" s="7" t="s">
        <v>2557</v>
      </c>
    </row>
    <row r="12" spans="1:23" x14ac:dyDescent="0.4">
      <c r="A12" t="s">
        <v>262</v>
      </c>
      <c r="B12" t="s">
        <v>326</v>
      </c>
      <c r="C12" t="s">
        <v>347</v>
      </c>
      <c r="D12" t="s">
        <v>21</v>
      </c>
      <c r="E12" t="s">
        <v>22</v>
      </c>
      <c r="F12" t="s">
        <v>23</v>
      </c>
      <c r="G12">
        <v>1</v>
      </c>
      <c r="H12">
        <v>9791191562125</v>
      </c>
      <c r="I12" t="s">
        <v>143</v>
      </c>
      <c r="J12" t="s">
        <v>212</v>
      </c>
      <c r="K12" t="s">
        <v>213</v>
      </c>
      <c r="L12" t="s">
        <v>27</v>
      </c>
      <c r="M12" s="3">
        <v>2500</v>
      </c>
      <c r="N12" t="s">
        <v>27</v>
      </c>
      <c r="O12" s="3">
        <v>2500</v>
      </c>
      <c r="P12" s="3">
        <v>2500</v>
      </c>
      <c r="Q12" t="s">
        <v>30</v>
      </c>
      <c r="R12" s="2">
        <v>0.7</v>
      </c>
      <c r="S12" s="3">
        <v>1750</v>
      </c>
      <c r="T12" t="s">
        <v>27</v>
      </c>
      <c r="U12" s="3">
        <v>1750</v>
      </c>
      <c r="V12" s="7" t="s">
        <v>2557</v>
      </c>
      <c r="W12" s="7" t="s">
        <v>2557</v>
      </c>
    </row>
    <row r="13" spans="1:23" x14ac:dyDescent="0.4">
      <c r="A13" t="s">
        <v>262</v>
      </c>
      <c r="B13" t="s">
        <v>326</v>
      </c>
      <c r="C13" t="s">
        <v>359</v>
      </c>
      <c r="D13" t="s">
        <v>21</v>
      </c>
      <c r="E13" t="s">
        <v>22</v>
      </c>
      <c r="F13" t="s">
        <v>23</v>
      </c>
      <c r="G13">
        <v>1</v>
      </c>
      <c r="H13">
        <v>9791191562262</v>
      </c>
      <c r="I13" t="s">
        <v>143</v>
      </c>
      <c r="J13" t="s">
        <v>250</v>
      </c>
      <c r="K13" t="s">
        <v>251</v>
      </c>
      <c r="L13" t="s">
        <v>27</v>
      </c>
      <c r="M13" s="3">
        <v>2000</v>
      </c>
      <c r="N13" t="s">
        <v>27</v>
      </c>
      <c r="O13" s="3">
        <v>2000</v>
      </c>
      <c r="P13" s="3">
        <v>2000</v>
      </c>
      <c r="Q13" t="s">
        <v>30</v>
      </c>
      <c r="R13" s="2">
        <v>0.7</v>
      </c>
      <c r="S13" s="3">
        <v>1400</v>
      </c>
      <c r="T13" t="s">
        <v>27</v>
      </c>
      <c r="U13" s="3">
        <v>1400</v>
      </c>
      <c r="V13" s="7" t="s">
        <v>2557</v>
      </c>
      <c r="W13" s="7" t="s">
        <v>2557</v>
      </c>
    </row>
    <row r="14" spans="1:23" x14ac:dyDescent="0.4">
      <c r="A14" t="s">
        <v>262</v>
      </c>
      <c r="B14" t="s">
        <v>326</v>
      </c>
      <c r="C14" t="s">
        <v>360</v>
      </c>
      <c r="D14" t="s">
        <v>21</v>
      </c>
      <c r="E14" t="s">
        <v>22</v>
      </c>
      <c r="F14" t="s">
        <v>23</v>
      </c>
      <c r="G14">
        <v>1</v>
      </c>
      <c r="H14">
        <v>9791191562347</v>
      </c>
      <c r="I14" t="s">
        <v>143</v>
      </c>
      <c r="J14" t="s">
        <v>307</v>
      </c>
      <c r="K14" t="s">
        <v>308</v>
      </c>
      <c r="L14" t="s">
        <v>27</v>
      </c>
      <c r="M14" s="3">
        <v>3200</v>
      </c>
      <c r="N14" t="s">
        <v>27</v>
      </c>
      <c r="O14" s="3">
        <v>3200</v>
      </c>
      <c r="P14" s="3">
        <v>3200</v>
      </c>
      <c r="Q14" t="s">
        <v>30</v>
      </c>
      <c r="R14" s="2">
        <v>0.7</v>
      </c>
      <c r="S14" s="3">
        <v>2240</v>
      </c>
      <c r="T14" t="s">
        <v>27</v>
      </c>
      <c r="U14" s="3">
        <v>2240</v>
      </c>
      <c r="V14" s="7" t="s">
        <v>2557</v>
      </c>
      <c r="W14" s="7" t="s">
        <v>2557</v>
      </c>
    </row>
    <row r="15" spans="1:23" x14ac:dyDescent="0.4">
      <c r="A15" t="s">
        <v>262</v>
      </c>
      <c r="B15" t="s">
        <v>326</v>
      </c>
      <c r="C15" t="s">
        <v>364</v>
      </c>
      <c r="D15" t="s">
        <v>21</v>
      </c>
      <c r="E15" t="s">
        <v>22</v>
      </c>
      <c r="F15" t="s">
        <v>23</v>
      </c>
      <c r="G15">
        <v>1</v>
      </c>
      <c r="H15">
        <v>9791191562286</v>
      </c>
      <c r="I15" t="s">
        <v>143</v>
      </c>
      <c r="J15" t="s">
        <v>238</v>
      </c>
      <c r="K15" t="s">
        <v>239</v>
      </c>
      <c r="L15" t="s">
        <v>27</v>
      </c>
      <c r="M15" s="3">
        <v>2000</v>
      </c>
      <c r="N15" t="s">
        <v>176</v>
      </c>
      <c r="O15">
        <v>222</v>
      </c>
      <c r="P15">
        <v>202</v>
      </c>
      <c r="Q15" t="s">
        <v>177</v>
      </c>
      <c r="R15" s="2">
        <v>0.7</v>
      </c>
      <c r="S15">
        <v>141</v>
      </c>
      <c r="T15" t="s">
        <v>27</v>
      </c>
      <c r="U15" s="3">
        <v>1370</v>
      </c>
      <c r="V15" s="7" t="s">
        <v>2557</v>
      </c>
      <c r="W15" s="7" t="s">
        <v>2557</v>
      </c>
    </row>
    <row r="16" spans="1:23" x14ac:dyDescent="0.4">
      <c r="A16" t="s">
        <v>262</v>
      </c>
      <c r="B16" t="s">
        <v>326</v>
      </c>
      <c r="C16" t="s">
        <v>367</v>
      </c>
      <c r="D16" t="s">
        <v>21</v>
      </c>
      <c r="E16" t="s">
        <v>22</v>
      </c>
      <c r="F16" t="s">
        <v>23</v>
      </c>
      <c r="G16">
        <v>1</v>
      </c>
      <c r="H16">
        <v>9791191562125</v>
      </c>
      <c r="I16" t="s">
        <v>143</v>
      </c>
      <c r="J16" t="s">
        <v>212</v>
      </c>
      <c r="K16" t="s">
        <v>213</v>
      </c>
      <c r="L16" t="s">
        <v>27</v>
      </c>
      <c r="M16" s="3">
        <v>2500</v>
      </c>
      <c r="N16" t="s">
        <v>27</v>
      </c>
      <c r="O16" s="3">
        <v>2500</v>
      </c>
      <c r="P16" s="3">
        <v>2500</v>
      </c>
      <c r="Q16" t="s">
        <v>30</v>
      </c>
      <c r="R16" s="2">
        <v>0.7</v>
      </c>
      <c r="S16" s="3">
        <v>1750</v>
      </c>
      <c r="T16" t="s">
        <v>27</v>
      </c>
      <c r="U16" s="3">
        <v>1750</v>
      </c>
      <c r="V16" s="7" t="s">
        <v>2557</v>
      </c>
      <c r="W16" s="7" t="s">
        <v>2557</v>
      </c>
    </row>
    <row r="17" spans="1:23" x14ac:dyDescent="0.4">
      <c r="A17" t="s">
        <v>262</v>
      </c>
      <c r="B17" t="s">
        <v>326</v>
      </c>
      <c r="C17" t="s">
        <v>385</v>
      </c>
      <c r="D17" t="s">
        <v>21</v>
      </c>
      <c r="E17" t="s">
        <v>22</v>
      </c>
      <c r="F17" t="s">
        <v>23</v>
      </c>
      <c r="G17">
        <v>1</v>
      </c>
      <c r="H17">
        <v>9791191562033</v>
      </c>
      <c r="I17" t="s">
        <v>143</v>
      </c>
      <c r="J17" t="s">
        <v>189</v>
      </c>
      <c r="K17" t="s">
        <v>187</v>
      </c>
      <c r="L17" t="s">
        <v>27</v>
      </c>
      <c r="M17" s="3">
        <v>2000</v>
      </c>
      <c r="N17" t="s">
        <v>27</v>
      </c>
      <c r="O17" s="3">
        <v>2000</v>
      </c>
      <c r="P17" s="3">
        <v>2000</v>
      </c>
      <c r="Q17" t="s">
        <v>30</v>
      </c>
      <c r="R17" s="2">
        <v>0.7</v>
      </c>
      <c r="S17" s="3">
        <v>1400</v>
      </c>
      <c r="T17" t="s">
        <v>27</v>
      </c>
      <c r="U17" s="3">
        <v>1400</v>
      </c>
      <c r="V17" s="7" t="s">
        <v>2557</v>
      </c>
      <c r="W17" s="7" t="s">
        <v>2557</v>
      </c>
    </row>
    <row r="18" spans="1:23" x14ac:dyDescent="0.4">
      <c r="A18" t="s">
        <v>262</v>
      </c>
      <c r="B18" t="s">
        <v>326</v>
      </c>
      <c r="C18" t="s">
        <v>392</v>
      </c>
      <c r="D18" t="s">
        <v>21</v>
      </c>
      <c r="E18" t="s">
        <v>22</v>
      </c>
      <c r="F18" t="s">
        <v>23</v>
      </c>
      <c r="G18">
        <v>1</v>
      </c>
      <c r="H18">
        <v>9791191562286</v>
      </c>
      <c r="I18" t="s">
        <v>143</v>
      </c>
      <c r="J18" t="s">
        <v>238</v>
      </c>
      <c r="K18" t="s">
        <v>239</v>
      </c>
      <c r="L18" t="s">
        <v>27</v>
      </c>
      <c r="M18" s="3">
        <v>2000</v>
      </c>
      <c r="N18" t="s">
        <v>27</v>
      </c>
      <c r="O18" s="3">
        <v>2000</v>
      </c>
      <c r="P18" s="3">
        <v>2000</v>
      </c>
      <c r="Q18" t="s">
        <v>30</v>
      </c>
      <c r="R18" s="2">
        <v>0.7</v>
      </c>
      <c r="S18" s="3">
        <v>1400</v>
      </c>
      <c r="T18" t="s">
        <v>27</v>
      </c>
      <c r="U18" s="3">
        <v>1400</v>
      </c>
      <c r="V18" s="7" t="s">
        <v>2557</v>
      </c>
      <c r="W18" s="7" t="s">
        <v>2557</v>
      </c>
    </row>
    <row r="19" spans="1:23" x14ac:dyDescent="0.4">
      <c r="A19" t="s">
        <v>262</v>
      </c>
      <c r="B19" t="s">
        <v>401</v>
      </c>
      <c r="C19" t="s">
        <v>403</v>
      </c>
      <c r="D19" t="s">
        <v>21</v>
      </c>
      <c r="E19" t="s">
        <v>22</v>
      </c>
      <c r="F19" t="s">
        <v>23</v>
      </c>
      <c r="G19">
        <v>1</v>
      </c>
      <c r="H19">
        <v>9791191562248</v>
      </c>
      <c r="I19" t="s">
        <v>143</v>
      </c>
      <c r="J19" t="s">
        <v>231</v>
      </c>
      <c r="K19" t="s">
        <v>232</v>
      </c>
      <c r="L19" t="s">
        <v>27</v>
      </c>
      <c r="M19" s="3">
        <v>2000</v>
      </c>
      <c r="N19" t="s">
        <v>27</v>
      </c>
      <c r="O19" s="3">
        <v>2000</v>
      </c>
      <c r="P19" s="3">
        <v>2000</v>
      </c>
      <c r="Q19" t="s">
        <v>30</v>
      </c>
      <c r="R19" s="2">
        <v>0.7</v>
      </c>
      <c r="S19" s="3">
        <v>1400</v>
      </c>
      <c r="T19" t="s">
        <v>27</v>
      </c>
      <c r="U19" s="3">
        <v>1400</v>
      </c>
      <c r="V19" s="7" t="s">
        <v>2557</v>
      </c>
      <c r="W19" s="7" t="s">
        <v>2557</v>
      </c>
    </row>
    <row r="20" spans="1:23" x14ac:dyDescent="0.4">
      <c r="A20" t="s">
        <v>262</v>
      </c>
      <c r="B20" t="s">
        <v>401</v>
      </c>
      <c r="C20" t="s">
        <v>404</v>
      </c>
      <c r="D20" t="s">
        <v>21</v>
      </c>
      <c r="E20" t="s">
        <v>22</v>
      </c>
      <c r="F20" t="s">
        <v>23</v>
      </c>
      <c r="G20">
        <v>1</v>
      </c>
      <c r="H20">
        <v>9791191562286</v>
      </c>
      <c r="I20" t="s">
        <v>143</v>
      </c>
      <c r="J20" t="s">
        <v>238</v>
      </c>
      <c r="K20" t="s">
        <v>239</v>
      </c>
      <c r="L20" t="s">
        <v>27</v>
      </c>
      <c r="M20" s="3">
        <v>2000</v>
      </c>
      <c r="N20" t="s">
        <v>27</v>
      </c>
      <c r="O20" s="3">
        <v>2000</v>
      </c>
      <c r="P20" s="3">
        <v>2000</v>
      </c>
      <c r="Q20" t="s">
        <v>30</v>
      </c>
      <c r="R20" s="2">
        <v>0.7</v>
      </c>
      <c r="S20" s="3">
        <v>1400</v>
      </c>
      <c r="T20" t="s">
        <v>27</v>
      </c>
      <c r="U20" s="3">
        <v>1400</v>
      </c>
      <c r="V20" s="7" t="s">
        <v>2557</v>
      </c>
      <c r="W20" s="7" t="s">
        <v>2557</v>
      </c>
    </row>
    <row r="21" spans="1:23" x14ac:dyDescent="0.4">
      <c r="A21" t="s">
        <v>262</v>
      </c>
      <c r="B21" t="s">
        <v>401</v>
      </c>
      <c r="C21" t="s">
        <v>404</v>
      </c>
      <c r="D21" t="s">
        <v>21</v>
      </c>
      <c r="E21" t="s">
        <v>22</v>
      </c>
      <c r="F21" t="s">
        <v>23</v>
      </c>
      <c r="G21">
        <v>1</v>
      </c>
      <c r="H21">
        <v>9791191562248</v>
      </c>
      <c r="I21" t="s">
        <v>143</v>
      </c>
      <c r="J21" t="s">
        <v>231</v>
      </c>
      <c r="K21" t="s">
        <v>232</v>
      </c>
      <c r="L21" t="s">
        <v>27</v>
      </c>
      <c r="M21" s="3">
        <v>2000</v>
      </c>
      <c r="N21" t="s">
        <v>27</v>
      </c>
      <c r="O21" s="3">
        <v>2000</v>
      </c>
      <c r="P21" s="3">
        <v>2000</v>
      </c>
      <c r="Q21" t="s">
        <v>30</v>
      </c>
      <c r="R21" s="2">
        <v>0.7</v>
      </c>
      <c r="S21" s="3">
        <v>1400</v>
      </c>
      <c r="T21" t="s">
        <v>27</v>
      </c>
      <c r="U21" s="3">
        <v>1400</v>
      </c>
      <c r="V21" s="7" t="s">
        <v>2557</v>
      </c>
      <c r="W21" s="7" t="s">
        <v>2557</v>
      </c>
    </row>
    <row r="22" spans="1:23" x14ac:dyDescent="0.4">
      <c r="A22" t="s">
        <v>262</v>
      </c>
      <c r="B22" t="s">
        <v>401</v>
      </c>
      <c r="C22" t="s">
        <v>404</v>
      </c>
      <c r="D22" t="s">
        <v>21</v>
      </c>
      <c r="E22" t="s">
        <v>22</v>
      </c>
      <c r="F22" t="s">
        <v>23</v>
      </c>
      <c r="G22">
        <v>1</v>
      </c>
      <c r="H22">
        <v>9791191562224</v>
      </c>
      <c r="I22" t="s">
        <v>143</v>
      </c>
      <c r="J22" t="s">
        <v>221</v>
      </c>
      <c r="K22" t="s">
        <v>222</v>
      </c>
      <c r="L22" t="s">
        <v>27</v>
      </c>
      <c r="M22" s="3">
        <v>2500</v>
      </c>
      <c r="N22" t="s">
        <v>27</v>
      </c>
      <c r="O22" s="3">
        <v>2500</v>
      </c>
      <c r="P22" s="3">
        <v>2500</v>
      </c>
      <c r="Q22" t="s">
        <v>30</v>
      </c>
      <c r="R22" s="2">
        <v>0.7</v>
      </c>
      <c r="S22" s="3">
        <v>1750</v>
      </c>
      <c r="T22" t="s">
        <v>27</v>
      </c>
      <c r="U22" s="3">
        <v>1750</v>
      </c>
      <c r="V22" s="7" t="s">
        <v>2557</v>
      </c>
      <c r="W22" s="7" t="s">
        <v>2557</v>
      </c>
    </row>
    <row r="23" spans="1:23" x14ac:dyDescent="0.4">
      <c r="A23" t="s">
        <v>262</v>
      </c>
      <c r="B23" t="s">
        <v>401</v>
      </c>
      <c r="C23" t="s">
        <v>407</v>
      </c>
      <c r="D23" t="s">
        <v>21</v>
      </c>
      <c r="E23" t="s">
        <v>22</v>
      </c>
      <c r="F23" t="s">
        <v>23</v>
      </c>
      <c r="G23">
        <v>1</v>
      </c>
      <c r="H23">
        <v>9791191562125</v>
      </c>
      <c r="I23" t="s">
        <v>143</v>
      </c>
      <c r="J23" t="s">
        <v>212</v>
      </c>
      <c r="K23" t="s">
        <v>213</v>
      </c>
      <c r="L23" t="s">
        <v>27</v>
      </c>
      <c r="M23" s="3">
        <v>2500</v>
      </c>
      <c r="N23" t="s">
        <v>27</v>
      </c>
      <c r="O23" s="3">
        <v>2500</v>
      </c>
      <c r="P23" s="3">
        <v>2500</v>
      </c>
      <c r="Q23" t="s">
        <v>30</v>
      </c>
      <c r="R23" s="2">
        <v>0.7</v>
      </c>
      <c r="S23" s="3">
        <v>1750</v>
      </c>
      <c r="T23" t="s">
        <v>27</v>
      </c>
      <c r="U23" s="3">
        <v>1750</v>
      </c>
      <c r="V23" s="7" t="s">
        <v>2557</v>
      </c>
      <c r="W23" s="7" t="s">
        <v>2557</v>
      </c>
    </row>
    <row r="24" spans="1:23" x14ac:dyDescent="0.4">
      <c r="A24" t="s">
        <v>262</v>
      </c>
      <c r="B24" t="s">
        <v>401</v>
      </c>
      <c r="C24" t="s">
        <v>413</v>
      </c>
      <c r="D24" t="s">
        <v>21</v>
      </c>
      <c r="E24" t="s">
        <v>22</v>
      </c>
      <c r="F24" t="s">
        <v>23</v>
      </c>
      <c r="G24">
        <v>1</v>
      </c>
      <c r="H24">
        <v>9791191562316</v>
      </c>
      <c r="I24" t="s">
        <v>143</v>
      </c>
      <c r="J24" t="s">
        <v>229</v>
      </c>
      <c r="K24" t="s">
        <v>230</v>
      </c>
      <c r="L24" t="s">
        <v>27</v>
      </c>
      <c r="M24" s="3">
        <v>2500</v>
      </c>
      <c r="N24" t="s">
        <v>27</v>
      </c>
      <c r="O24" s="3">
        <v>2500</v>
      </c>
      <c r="P24" s="3">
        <v>2500</v>
      </c>
      <c r="Q24" t="s">
        <v>30</v>
      </c>
      <c r="R24" s="2">
        <v>0.7</v>
      </c>
      <c r="S24" s="3">
        <v>1750</v>
      </c>
      <c r="T24" t="s">
        <v>27</v>
      </c>
      <c r="U24" s="3">
        <v>1750</v>
      </c>
      <c r="V24" s="7" t="s">
        <v>2557</v>
      </c>
      <c r="W24" s="7" t="s">
        <v>2557</v>
      </c>
    </row>
    <row r="25" spans="1:23" x14ac:dyDescent="0.4">
      <c r="A25" t="s">
        <v>262</v>
      </c>
      <c r="B25" t="s">
        <v>401</v>
      </c>
      <c r="C25" t="s">
        <v>414</v>
      </c>
      <c r="D25" t="s">
        <v>21</v>
      </c>
      <c r="E25" t="s">
        <v>22</v>
      </c>
      <c r="F25" t="s">
        <v>23</v>
      </c>
      <c r="G25">
        <v>1</v>
      </c>
      <c r="H25">
        <v>9791191562187</v>
      </c>
      <c r="I25" t="s">
        <v>143</v>
      </c>
      <c r="J25" t="s">
        <v>217</v>
      </c>
      <c r="K25" t="s">
        <v>218</v>
      </c>
      <c r="L25" t="s">
        <v>27</v>
      </c>
      <c r="M25" s="3">
        <v>2000</v>
      </c>
      <c r="N25" t="s">
        <v>176</v>
      </c>
      <c r="O25">
        <v>222</v>
      </c>
      <c r="P25">
        <v>202</v>
      </c>
      <c r="Q25" t="s">
        <v>177</v>
      </c>
      <c r="R25" s="2">
        <v>0.7</v>
      </c>
      <c r="S25">
        <v>141</v>
      </c>
      <c r="T25" t="s">
        <v>27</v>
      </c>
      <c r="U25" s="3">
        <v>1373</v>
      </c>
      <c r="V25" s="7" t="s">
        <v>2557</v>
      </c>
      <c r="W25" s="7" t="s">
        <v>2557</v>
      </c>
    </row>
    <row r="26" spans="1:23" x14ac:dyDescent="0.4">
      <c r="A26" t="s">
        <v>262</v>
      </c>
      <c r="B26" t="s">
        <v>401</v>
      </c>
      <c r="C26" t="s">
        <v>417</v>
      </c>
      <c r="D26" t="s">
        <v>21</v>
      </c>
      <c r="E26" t="s">
        <v>22</v>
      </c>
      <c r="F26" t="s">
        <v>23</v>
      </c>
      <c r="G26">
        <v>1</v>
      </c>
      <c r="H26">
        <v>9791191562248</v>
      </c>
      <c r="I26" t="s">
        <v>143</v>
      </c>
      <c r="J26" t="s">
        <v>231</v>
      </c>
      <c r="K26" t="s">
        <v>232</v>
      </c>
      <c r="L26" t="s">
        <v>27</v>
      </c>
      <c r="M26" s="3">
        <v>2000</v>
      </c>
      <c r="N26" t="s">
        <v>27</v>
      </c>
      <c r="O26" s="3">
        <v>2000</v>
      </c>
      <c r="P26" s="3">
        <v>2000</v>
      </c>
      <c r="Q26" t="s">
        <v>30</v>
      </c>
      <c r="R26" s="2">
        <v>0.7</v>
      </c>
      <c r="S26" s="3">
        <v>1400</v>
      </c>
      <c r="T26" t="s">
        <v>27</v>
      </c>
      <c r="U26" s="3">
        <v>1400</v>
      </c>
      <c r="V26" s="7" t="s">
        <v>2557</v>
      </c>
      <c r="W26" s="7" t="s">
        <v>2557</v>
      </c>
    </row>
    <row r="27" spans="1:23" x14ac:dyDescent="0.4">
      <c r="A27" t="s">
        <v>262</v>
      </c>
      <c r="B27" t="s">
        <v>401</v>
      </c>
      <c r="C27" t="s">
        <v>427</v>
      </c>
      <c r="D27" t="s">
        <v>21</v>
      </c>
      <c r="E27" t="s">
        <v>22</v>
      </c>
      <c r="F27" t="s">
        <v>23</v>
      </c>
      <c r="G27">
        <v>1</v>
      </c>
      <c r="H27">
        <v>9791191562286</v>
      </c>
      <c r="I27" t="s">
        <v>143</v>
      </c>
      <c r="J27" t="s">
        <v>238</v>
      </c>
      <c r="K27" t="s">
        <v>239</v>
      </c>
      <c r="L27" t="s">
        <v>27</v>
      </c>
      <c r="M27" s="3">
        <v>2000</v>
      </c>
      <c r="N27" t="s">
        <v>27</v>
      </c>
      <c r="O27" s="3">
        <v>2000</v>
      </c>
      <c r="P27" s="3">
        <v>2000</v>
      </c>
      <c r="Q27" t="s">
        <v>30</v>
      </c>
      <c r="R27" s="2">
        <v>0.7</v>
      </c>
      <c r="S27" s="3">
        <v>1400</v>
      </c>
      <c r="T27" t="s">
        <v>27</v>
      </c>
      <c r="U27" s="3">
        <v>1400</v>
      </c>
      <c r="V27" s="7" t="s">
        <v>2557</v>
      </c>
      <c r="W27" s="7" t="s">
        <v>2557</v>
      </c>
    </row>
    <row r="28" spans="1:23" x14ac:dyDescent="0.4">
      <c r="A28" t="s">
        <v>262</v>
      </c>
      <c r="B28" t="s">
        <v>401</v>
      </c>
      <c r="C28" t="s">
        <v>429</v>
      </c>
      <c r="D28" t="s">
        <v>21</v>
      </c>
      <c r="E28" t="s">
        <v>22</v>
      </c>
      <c r="F28" t="s">
        <v>23</v>
      </c>
      <c r="G28">
        <v>1</v>
      </c>
      <c r="H28">
        <v>9791191562224</v>
      </c>
      <c r="I28" t="s">
        <v>143</v>
      </c>
      <c r="J28" t="s">
        <v>221</v>
      </c>
      <c r="K28" t="s">
        <v>222</v>
      </c>
      <c r="L28" t="s">
        <v>27</v>
      </c>
      <c r="M28" s="3">
        <v>2500</v>
      </c>
      <c r="N28" t="s">
        <v>27</v>
      </c>
      <c r="O28" s="3">
        <v>2500</v>
      </c>
      <c r="P28" s="3">
        <v>2500</v>
      </c>
      <c r="Q28" t="s">
        <v>30</v>
      </c>
      <c r="R28" s="2">
        <v>0.7</v>
      </c>
      <c r="S28" s="3">
        <v>1750</v>
      </c>
      <c r="T28" t="s">
        <v>27</v>
      </c>
      <c r="U28" s="3">
        <v>1750</v>
      </c>
      <c r="V28" s="7" t="s">
        <v>2557</v>
      </c>
      <c r="W28" s="7" t="s">
        <v>2557</v>
      </c>
    </row>
    <row r="29" spans="1:23" x14ac:dyDescent="0.4">
      <c r="A29" t="s">
        <v>262</v>
      </c>
      <c r="B29" t="s">
        <v>401</v>
      </c>
      <c r="C29" t="s">
        <v>433</v>
      </c>
      <c r="D29" t="s">
        <v>21</v>
      </c>
      <c r="E29" t="s">
        <v>22</v>
      </c>
      <c r="F29" t="s">
        <v>23</v>
      </c>
      <c r="G29">
        <v>1</v>
      </c>
      <c r="H29">
        <v>9791191562286</v>
      </c>
      <c r="I29" t="s">
        <v>143</v>
      </c>
      <c r="J29" t="s">
        <v>238</v>
      </c>
      <c r="K29" t="s">
        <v>239</v>
      </c>
      <c r="L29" t="s">
        <v>27</v>
      </c>
      <c r="M29" s="3">
        <v>2000</v>
      </c>
      <c r="N29" t="s">
        <v>27</v>
      </c>
      <c r="O29" s="3">
        <v>2000</v>
      </c>
      <c r="P29" s="3">
        <v>2000</v>
      </c>
      <c r="Q29" t="s">
        <v>30</v>
      </c>
      <c r="R29" s="2">
        <v>0.7</v>
      </c>
      <c r="S29" s="3">
        <v>1400</v>
      </c>
      <c r="T29" t="s">
        <v>27</v>
      </c>
      <c r="U29" s="3">
        <v>1400</v>
      </c>
      <c r="V29" s="7" t="s">
        <v>2557</v>
      </c>
      <c r="W29" s="7" t="s">
        <v>2557</v>
      </c>
    </row>
    <row r="30" spans="1:23" x14ac:dyDescent="0.4">
      <c r="A30" t="s">
        <v>262</v>
      </c>
      <c r="B30" t="s">
        <v>401</v>
      </c>
      <c r="C30" t="s">
        <v>438</v>
      </c>
      <c r="D30" t="s">
        <v>21</v>
      </c>
      <c r="E30" t="s">
        <v>22</v>
      </c>
      <c r="F30" t="s">
        <v>23</v>
      </c>
      <c r="G30">
        <v>1</v>
      </c>
      <c r="H30">
        <v>9791191562248</v>
      </c>
      <c r="I30" t="s">
        <v>143</v>
      </c>
      <c r="J30" t="s">
        <v>231</v>
      </c>
      <c r="K30" t="s">
        <v>232</v>
      </c>
      <c r="L30" t="s">
        <v>27</v>
      </c>
      <c r="M30" s="3">
        <v>2000</v>
      </c>
      <c r="N30" t="s">
        <v>27</v>
      </c>
      <c r="O30" s="3">
        <v>2000</v>
      </c>
      <c r="P30" s="3">
        <v>2000</v>
      </c>
      <c r="Q30" t="s">
        <v>30</v>
      </c>
      <c r="R30" s="2">
        <v>0.7</v>
      </c>
      <c r="S30" s="3">
        <v>1400</v>
      </c>
      <c r="T30" t="s">
        <v>27</v>
      </c>
      <c r="U30" s="3">
        <v>1400</v>
      </c>
      <c r="V30" s="7" t="s">
        <v>2557</v>
      </c>
      <c r="W30" s="7" t="s">
        <v>2557</v>
      </c>
    </row>
    <row r="31" spans="1:23" x14ac:dyDescent="0.4">
      <c r="A31" t="s">
        <v>262</v>
      </c>
      <c r="B31" t="s">
        <v>401</v>
      </c>
      <c r="C31" t="s">
        <v>439</v>
      </c>
      <c r="D31" t="s">
        <v>21</v>
      </c>
      <c r="E31" t="s">
        <v>22</v>
      </c>
      <c r="F31" t="s">
        <v>23</v>
      </c>
      <c r="G31">
        <v>1</v>
      </c>
      <c r="H31">
        <v>9791191562262</v>
      </c>
      <c r="I31" t="s">
        <v>143</v>
      </c>
      <c r="J31" t="s">
        <v>250</v>
      </c>
      <c r="K31" t="s">
        <v>251</v>
      </c>
      <c r="L31" t="s">
        <v>27</v>
      </c>
      <c r="M31" s="3">
        <v>2000</v>
      </c>
      <c r="N31" t="s">
        <v>27</v>
      </c>
      <c r="O31" s="3">
        <v>2000</v>
      </c>
      <c r="P31" s="3">
        <v>2000</v>
      </c>
      <c r="Q31" t="s">
        <v>30</v>
      </c>
      <c r="R31" s="2">
        <v>0.7</v>
      </c>
      <c r="S31" s="3">
        <v>1400</v>
      </c>
      <c r="T31" t="s">
        <v>27</v>
      </c>
      <c r="U31" s="3">
        <v>1400</v>
      </c>
      <c r="V31" s="7" t="s">
        <v>2557</v>
      </c>
      <c r="W31" s="7" t="s">
        <v>2557</v>
      </c>
    </row>
    <row r="32" spans="1:23" x14ac:dyDescent="0.4">
      <c r="A32" t="s">
        <v>262</v>
      </c>
      <c r="B32" t="s">
        <v>401</v>
      </c>
      <c r="C32" t="s">
        <v>440</v>
      </c>
      <c r="D32" t="s">
        <v>21</v>
      </c>
      <c r="E32" t="s">
        <v>22</v>
      </c>
      <c r="F32" t="s">
        <v>23</v>
      </c>
      <c r="G32">
        <v>1</v>
      </c>
      <c r="H32">
        <v>9791191562286</v>
      </c>
      <c r="I32" t="s">
        <v>143</v>
      </c>
      <c r="J32" t="s">
        <v>238</v>
      </c>
      <c r="K32" t="s">
        <v>239</v>
      </c>
      <c r="L32" t="s">
        <v>27</v>
      </c>
      <c r="M32" s="3">
        <v>2000</v>
      </c>
      <c r="N32" t="s">
        <v>27</v>
      </c>
      <c r="O32" s="3">
        <v>2000</v>
      </c>
      <c r="P32" s="3">
        <v>2000</v>
      </c>
      <c r="Q32" t="s">
        <v>30</v>
      </c>
      <c r="R32" s="2">
        <v>0.7</v>
      </c>
      <c r="S32" s="3">
        <v>1400</v>
      </c>
      <c r="T32" t="s">
        <v>27</v>
      </c>
      <c r="U32" s="3">
        <v>1400</v>
      </c>
      <c r="V32" s="7" t="s">
        <v>2557</v>
      </c>
      <c r="W32" s="7" t="s">
        <v>2557</v>
      </c>
    </row>
    <row r="33" spans="1:23" x14ac:dyDescent="0.4">
      <c r="A33" t="s">
        <v>262</v>
      </c>
      <c r="B33" t="s">
        <v>401</v>
      </c>
      <c r="C33" t="s">
        <v>448</v>
      </c>
      <c r="D33" t="s">
        <v>21</v>
      </c>
      <c r="E33" t="s">
        <v>22</v>
      </c>
      <c r="F33" t="s">
        <v>23</v>
      </c>
      <c r="G33">
        <v>1</v>
      </c>
      <c r="H33">
        <v>9791191562286</v>
      </c>
      <c r="I33" t="s">
        <v>143</v>
      </c>
      <c r="J33" t="s">
        <v>238</v>
      </c>
      <c r="K33" t="s">
        <v>239</v>
      </c>
      <c r="L33" t="s">
        <v>27</v>
      </c>
      <c r="M33" s="3">
        <v>2000</v>
      </c>
      <c r="N33" t="s">
        <v>27</v>
      </c>
      <c r="O33" s="3">
        <v>2000</v>
      </c>
      <c r="P33" s="3">
        <v>2000</v>
      </c>
      <c r="Q33" t="s">
        <v>30</v>
      </c>
      <c r="R33" s="2">
        <v>0.7</v>
      </c>
      <c r="S33" s="3">
        <v>1400</v>
      </c>
      <c r="T33" t="s">
        <v>27</v>
      </c>
      <c r="U33" s="3">
        <v>1400</v>
      </c>
      <c r="V33" s="7" t="s">
        <v>2557</v>
      </c>
      <c r="W33" s="7" t="s">
        <v>2557</v>
      </c>
    </row>
    <row r="34" spans="1:23" x14ac:dyDescent="0.4">
      <c r="A34" t="s">
        <v>262</v>
      </c>
      <c r="B34" t="s">
        <v>401</v>
      </c>
      <c r="C34" t="s">
        <v>461</v>
      </c>
      <c r="D34" t="s">
        <v>21</v>
      </c>
      <c r="E34" t="s">
        <v>22</v>
      </c>
      <c r="F34" t="s">
        <v>23</v>
      </c>
      <c r="G34">
        <v>1</v>
      </c>
      <c r="H34">
        <v>9791191562125</v>
      </c>
      <c r="I34" t="s">
        <v>143</v>
      </c>
      <c r="J34" t="s">
        <v>212</v>
      </c>
      <c r="K34" t="s">
        <v>213</v>
      </c>
      <c r="L34" t="s">
        <v>27</v>
      </c>
      <c r="M34" s="3">
        <v>2500</v>
      </c>
      <c r="N34" t="s">
        <v>27</v>
      </c>
      <c r="O34" s="3">
        <v>2500</v>
      </c>
      <c r="P34" s="3">
        <v>2500</v>
      </c>
      <c r="Q34" t="s">
        <v>30</v>
      </c>
      <c r="R34" s="2">
        <v>0.7</v>
      </c>
      <c r="S34" s="3">
        <v>1750</v>
      </c>
      <c r="T34" t="s">
        <v>27</v>
      </c>
      <c r="U34" s="3">
        <v>1750</v>
      </c>
      <c r="V34" s="7" t="s">
        <v>2557</v>
      </c>
      <c r="W34" s="7" t="s">
        <v>2557</v>
      </c>
    </row>
    <row r="35" spans="1:23" x14ac:dyDescent="0.4">
      <c r="A35" t="s">
        <v>262</v>
      </c>
      <c r="B35" t="s">
        <v>401</v>
      </c>
      <c r="C35" t="s">
        <v>466</v>
      </c>
      <c r="D35" t="s">
        <v>21</v>
      </c>
      <c r="E35" t="s">
        <v>22</v>
      </c>
      <c r="F35" t="s">
        <v>23</v>
      </c>
      <c r="G35">
        <v>1</v>
      </c>
      <c r="H35">
        <v>9791191562002</v>
      </c>
      <c r="I35" t="s">
        <v>143</v>
      </c>
      <c r="J35" t="s">
        <v>193</v>
      </c>
      <c r="K35" t="s">
        <v>192</v>
      </c>
      <c r="L35" t="s">
        <v>27</v>
      </c>
      <c r="M35" s="3">
        <v>2500</v>
      </c>
      <c r="N35" t="s">
        <v>27</v>
      </c>
      <c r="O35" s="3">
        <v>2500</v>
      </c>
      <c r="P35" s="3">
        <v>2500</v>
      </c>
      <c r="Q35" t="s">
        <v>30</v>
      </c>
      <c r="R35" s="2">
        <v>0.7</v>
      </c>
      <c r="S35" s="3">
        <v>1750</v>
      </c>
      <c r="T35" t="s">
        <v>27</v>
      </c>
      <c r="U35" s="3">
        <v>1750</v>
      </c>
      <c r="V35" s="7" t="s">
        <v>2557</v>
      </c>
      <c r="W35" s="7" t="s">
        <v>2557</v>
      </c>
    </row>
    <row r="36" spans="1:23" x14ac:dyDescent="0.4">
      <c r="A36" t="s">
        <v>262</v>
      </c>
      <c r="B36" t="s">
        <v>401</v>
      </c>
      <c r="C36" t="s">
        <v>468</v>
      </c>
      <c r="D36" t="s">
        <v>21</v>
      </c>
      <c r="E36" t="s">
        <v>22</v>
      </c>
      <c r="F36" t="s">
        <v>23</v>
      </c>
      <c r="G36">
        <v>1</v>
      </c>
      <c r="H36">
        <v>9791191562262</v>
      </c>
      <c r="I36" t="s">
        <v>143</v>
      </c>
      <c r="J36" t="s">
        <v>250</v>
      </c>
      <c r="K36" t="s">
        <v>251</v>
      </c>
      <c r="L36" t="s">
        <v>27</v>
      </c>
      <c r="M36" s="3">
        <v>2000</v>
      </c>
      <c r="N36" t="s">
        <v>27</v>
      </c>
      <c r="O36" s="3">
        <v>2000</v>
      </c>
      <c r="P36" s="3">
        <v>2000</v>
      </c>
      <c r="Q36" t="s">
        <v>30</v>
      </c>
      <c r="R36" s="2">
        <v>0.7</v>
      </c>
      <c r="S36" s="3">
        <v>1400</v>
      </c>
      <c r="T36" t="s">
        <v>27</v>
      </c>
      <c r="U36" s="3">
        <v>1400</v>
      </c>
      <c r="V36" s="7" t="s">
        <v>2557</v>
      </c>
      <c r="W36" s="7" t="s">
        <v>2557</v>
      </c>
    </row>
    <row r="37" spans="1:23" x14ac:dyDescent="0.4">
      <c r="A37" t="s">
        <v>262</v>
      </c>
      <c r="B37" t="s">
        <v>401</v>
      </c>
      <c r="C37" t="s">
        <v>478</v>
      </c>
      <c r="D37" t="s">
        <v>21</v>
      </c>
      <c r="E37" t="s">
        <v>22</v>
      </c>
      <c r="F37" t="s">
        <v>23</v>
      </c>
      <c r="G37">
        <v>1</v>
      </c>
      <c r="H37">
        <v>9791191562224</v>
      </c>
      <c r="I37" t="s">
        <v>143</v>
      </c>
      <c r="J37" t="s">
        <v>221</v>
      </c>
      <c r="K37" t="s">
        <v>222</v>
      </c>
      <c r="L37" t="s">
        <v>27</v>
      </c>
      <c r="M37" s="3">
        <v>2500</v>
      </c>
      <c r="N37" t="s">
        <v>27</v>
      </c>
      <c r="O37" s="3">
        <v>2500</v>
      </c>
      <c r="P37" s="3">
        <v>2500</v>
      </c>
      <c r="Q37" t="s">
        <v>30</v>
      </c>
      <c r="R37" s="2">
        <v>0.7</v>
      </c>
      <c r="S37" s="3">
        <v>1750</v>
      </c>
      <c r="T37" t="s">
        <v>27</v>
      </c>
      <c r="U37" s="3">
        <v>1750</v>
      </c>
      <c r="V37" s="7" t="s">
        <v>2557</v>
      </c>
      <c r="W37" s="7" t="s">
        <v>2557</v>
      </c>
    </row>
    <row r="38" spans="1:23" x14ac:dyDescent="0.4">
      <c r="A38" t="s">
        <v>262</v>
      </c>
      <c r="B38" t="s">
        <v>481</v>
      </c>
      <c r="C38" t="s">
        <v>484</v>
      </c>
      <c r="D38" t="s">
        <v>21</v>
      </c>
      <c r="E38" t="s">
        <v>22</v>
      </c>
      <c r="F38" t="s">
        <v>23</v>
      </c>
      <c r="G38">
        <v>1</v>
      </c>
      <c r="H38">
        <v>9791191562262</v>
      </c>
      <c r="I38" t="s">
        <v>143</v>
      </c>
      <c r="J38" t="s">
        <v>250</v>
      </c>
      <c r="K38" t="s">
        <v>251</v>
      </c>
      <c r="L38" t="s">
        <v>27</v>
      </c>
      <c r="M38" s="3">
        <v>2000</v>
      </c>
      <c r="N38" t="s">
        <v>27</v>
      </c>
      <c r="O38" s="3">
        <v>2000</v>
      </c>
      <c r="P38" s="3">
        <v>2000</v>
      </c>
      <c r="Q38" t="s">
        <v>30</v>
      </c>
      <c r="R38" s="2">
        <v>0.7</v>
      </c>
      <c r="S38" s="3">
        <v>1400</v>
      </c>
      <c r="T38" t="s">
        <v>27</v>
      </c>
      <c r="U38" s="3">
        <v>1400</v>
      </c>
      <c r="V38" s="7" t="s">
        <v>2557</v>
      </c>
      <c r="W38" s="7" t="s">
        <v>2557</v>
      </c>
    </row>
    <row r="39" spans="1:23" x14ac:dyDescent="0.4">
      <c r="A39" t="s">
        <v>262</v>
      </c>
      <c r="B39" t="s">
        <v>481</v>
      </c>
      <c r="C39" t="s">
        <v>492</v>
      </c>
      <c r="D39" t="s">
        <v>21</v>
      </c>
      <c r="E39" t="s">
        <v>22</v>
      </c>
      <c r="F39" t="s">
        <v>23</v>
      </c>
      <c r="G39">
        <v>1</v>
      </c>
      <c r="H39">
        <v>9791191562125</v>
      </c>
      <c r="I39" t="s">
        <v>143</v>
      </c>
      <c r="J39" t="s">
        <v>212</v>
      </c>
      <c r="K39" t="s">
        <v>213</v>
      </c>
      <c r="L39" t="s">
        <v>27</v>
      </c>
      <c r="M39" s="3">
        <v>2500</v>
      </c>
      <c r="N39" t="s">
        <v>27</v>
      </c>
      <c r="O39" s="3">
        <v>2500</v>
      </c>
      <c r="P39" s="3">
        <v>2500</v>
      </c>
      <c r="Q39" t="s">
        <v>30</v>
      </c>
      <c r="R39" s="2">
        <v>0.7</v>
      </c>
      <c r="S39" s="3">
        <v>1750</v>
      </c>
      <c r="T39" t="s">
        <v>27</v>
      </c>
      <c r="U39" s="3">
        <v>1750</v>
      </c>
      <c r="V39" s="7" t="s">
        <v>2557</v>
      </c>
      <c r="W39" s="7" t="s">
        <v>2557</v>
      </c>
    </row>
    <row r="40" spans="1:23" x14ac:dyDescent="0.4">
      <c r="A40" t="s">
        <v>262</v>
      </c>
      <c r="B40" t="s">
        <v>481</v>
      </c>
      <c r="C40" t="s">
        <v>495</v>
      </c>
      <c r="D40" t="s">
        <v>21</v>
      </c>
      <c r="E40" t="s">
        <v>22</v>
      </c>
      <c r="F40" t="s">
        <v>23</v>
      </c>
      <c r="G40">
        <v>1</v>
      </c>
      <c r="H40">
        <v>9791191562262</v>
      </c>
      <c r="I40" t="s">
        <v>143</v>
      </c>
      <c r="J40" t="s">
        <v>250</v>
      </c>
      <c r="K40" t="s">
        <v>251</v>
      </c>
      <c r="L40" t="s">
        <v>27</v>
      </c>
      <c r="M40" s="3">
        <v>2000</v>
      </c>
      <c r="N40" t="s">
        <v>27</v>
      </c>
      <c r="O40" s="3">
        <v>2000</v>
      </c>
      <c r="P40" s="3">
        <v>2000</v>
      </c>
      <c r="Q40" t="s">
        <v>30</v>
      </c>
      <c r="R40" s="2">
        <v>0.7</v>
      </c>
      <c r="S40" s="3">
        <v>1400</v>
      </c>
      <c r="T40" t="s">
        <v>27</v>
      </c>
      <c r="U40" s="3">
        <v>1400</v>
      </c>
      <c r="V40" s="7" t="s">
        <v>2557</v>
      </c>
      <c r="W40" s="7" t="s">
        <v>2557</v>
      </c>
    </row>
    <row r="41" spans="1:23" x14ac:dyDescent="0.4">
      <c r="A41" t="s">
        <v>262</v>
      </c>
      <c r="B41" t="s">
        <v>481</v>
      </c>
      <c r="C41" t="s">
        <v>496</v>
      </c>
      <c r="D41" t="s">
        <v>21</v>
      </c>
      <c r="E41" t="s">
        <v>22</v>
      </c>
      <c r="F41" t="s">
        <v>23</v>
      </c>
      <c r="G41">
        <v>1</v>
      </c>
      <c r="H41">
        <v>9791191562125</v>
      </c>
      <c r="I41" t="s">
        <v>143</v>
      </c>
      <c r="J41" t="s">
        <v>212</v>
      </c>
      <c r="K41" t="s">
        <v>213</v>
      </c>
      <c r="L41" t="s">
        <v>27</v>
      </c>
      <c r="M41" s="3">
        <v>2500</v>
      </c>
      <c r="N41" t="s">
        <v>27</v>
      </c>
      <c r="O41" s="3">
        <v>2500</v>
      </c>
      <c r="P41" s="3">
        <v>2500</v>
      </c>
      <c r="Q41" t="s">
        <v>30</v>
      </c>
      <c r="R41" s="2">
        <v>0.7</v>
      </c>
      <c r="S41" s="3">
        <v>1750</v>
      </c>
      <c r="T41" t="s">
        <v>27</v>
      </c>
      <c r="U41" s="3">
        <v>1750</v>
      </c>
      <c r="V41" s="7" t="s">
        <v>2557</v>
      </c>
      <c r="W41" s="7" t="s">
        <v>2557</v>
      </c>
    </row>
    <row r="42" spans="1:23" x14ac:dyDescent="0.4">
      <c r="A42" t="s">
        <v>262</v>
      </c>
      <c r="B42" t="s">
        <v>481</v>
      </c>
      <c r="C42" t="s">
        <v>502</v>
      </c>
      <c r="D42" t="s">
        <v>21</v>
      </c>
      <c r="E42" t="s">
        <v>22</v>
      </c>
      <c r="F42" t="s">
        <v>23</v>
      </c>
      <c r="G42">
        <v>1</v>
      </c>
      <c r="H42">
        <v>9791191562033</v>
      </c>
      <c r="I42" t="s">
        <v>143</v>
      </c>
      <c r="J42" t="s">
        <v>189</v>
      </c>
      <c r="K42" t="s">
        <v>187</v>
      </c>
      <c r="L42" t="s">
        <v>27</v>
      </c>
      <c r="M42" s="3">
        <v>2000</v>
      </c>
      <c r="N42" t="s">
        <v>27</v>
      </c>
      <c r="O42" s="3">
        <v>2000</v>
      </c>
      <c r="P42" s="3">
        <v>2000</v>
      </c>
      <c r="Q42" t="s">
        <v>30</v>
      </c>
      <c r="R42" s="2">
        <v>0.7</v>
      </c>
      <c r="S42" s="3">
        <v>1400</v>
      </c>
      <c r="T42" t="s">
        <v>27</v>
      </c>
      <c r="U42" s="3">
        <v>1400</v>
      </c>
      <c r="V42" s="7" t="s">
        <v>2557</v>
      </c>
      <c r="W42" s="7" t="s">
        <v>2557</v>
      </c>
    </row>
    <row r="43" spans="1:23" x14ac:dyDescent="0.4">
      <c r="A43" t="s">
        <v>262</v>
      </c>
      <c r="B43" t="s">
        <v>481</v>
      </c>
      <c r="C43" t="s">
        <v>506</v>
      </c>
      <c r="D43" t="s">
        <v>21</v>
      </c>
      <c r="E43" t="s">
        <v>22</v>
      </c>
      <c r="F43" t="s">
        <v>23</v>
      </c>
      <c r="G43">
        <v>1</v>
      </c>
      <c r="H43">
        <v>9791196945268</v>
      </c>
      <c r="I43" t="s">
        <v>143</v>
      </c>
      <c r="J43" t="s">
        <v>185</v>
      </c>
      <c r="K43" t="s">
        <v>188</v>
      </c>
      <c r="L43" t="s">
        <v>27</v>
      </c>
      <c r="M43" s="3">
        <v>2500</v>
      </c>
      <c r="N43" t="s">
        <v>27</v>
      </c>
      <c r="O43" s="3">
        <v>2500</v>
      </c>
      <c r="P43" s="3">
        <v>2500</v>
      </c>
      <c r="Q43" t="s">
        <v>30</v>
      </c>
      <c r="R43" s="2">
        <v>0.7</v>
      </c>
      <c r="S43" s="3">
        <v>1750</v>
      </c>
      <c r="T43" t="s">
        <v>27</v>
      </c>
      <c r="U43" s="3">
        <v>1750</v>
      </c>
      <c r="V43" s="7" t="s">
        <v>2557</v>
      </c>
      <c r="W43" s="7" t="s">
        <v>2557</v>
      </c>
    </row>
    <row r="44" spans="1:23" x14ac:dyDescent="0.4">
      <c r="A44" t="s">
        <v>262</v>
      </c>
      <c r="B44" t="s">
        <v>481</v>
      </c>
      <c r="C44" t="s">
        <v>512</v>
      </c>
      <c r="D44" t="s">
        <v>21</v>
      </c>
      <c r="E44" t="s">
        <v>22</v>
      </c>
      <c r="F44" t="s">
        <v>23</v>
      </c>
      <c r="G44">
        <v>1</v>
      </c>
      <c r="H44">
        <v>9791191562125</v>
      </c>
      <c r="I44" t="s">
        <v>143</v>
      </c>
      <c r="J44" t="s">
        <v>212</v>
      </c>
      <c r="K44" t="s">
        <v>213</v>
      </c>
      <c r="L44" t="s">
        <v>27</v>
      </c>
      <c r="M44" s="3">
        <v>2500</v>
      </c>
      <c r="N44" t="s">
        <v>191</v>
      </c>
      <c r="O44">
        <v>3.01</v>
      </c>
      <c r="P44">
        <v>2.74</v>
      </c>
      <c r="Q44" t="s">
        <v>190</v>
      </c>
      <c r="R44" s="2">
        <v>0.7</v>
      </c>
      <c r="S44">
        <v>1.92</v>
      </c>
      <c r="T44" t="s">
        <v>27</v>
      </c>
      <c r="U44" s="3">
        <v>1735</v>
      </c>
      <c r="V44" s="7" t="s">
        <v>2557</v>
      </c>
      <c r="W44" s="7" t="s">
        <v>2557</v>
      </c>
    </row>
    <row r="45" spans="1:23" x14ac:dyDescent="0.4">
      <c r="A45" t="s">
        <v>262</v>
      </c>
      <c r="B45" t="s">
        <v>481</v>
      </c>
      <c r="C45" t="s">
        <v>540</v>
      </c>
      <c r="D45" t="s">
        <v>21</v>
      </c>
      <c r="E45" t="s">
        <v>22</v>
      </c>
      <c r="F45" t="s">
        <v>23</v>
      </c>
      <c r="G45">
        <v>1</v>
      </c>
      <c r="H45">
        <v>9791191562286</v>
      </c>
      <c r="I45" t="s">
        <v>143</v>
      </c>
      <c r="J45" t="s">
        <v>238</v>
      </c>
      <c r="K45" t="s">
        <v>239</v>
      </c>
      <c r="L45" t="s">
        <v>27</v>
      </c>
      <c r="M45" s="3">
        <v>2000</v>
      </c>
      <c r="N45" t="s">
        <v>27</v>
      </c>
      <c r="O45" s="3">
        <v>2000</v>
      </c>
      <c r="P45" s="3">
        <v>2000</v>
      </c>
      <c r="Q45" t="s">
        <v>30</v>
      </c>
      <c r="R45" s="2">
        <v>0.7</v>
      </c>
      <c r="S45" s="3">
        <v>1400</v>
      </c>
      <c r="T45" t="s">
        <v>27</v>
      </c>
      <c r="U45" s="3">
        <v>1400</v>
      </c>
      <c r="V45" s="7" t="s">
        <v>2557</v>
      </c>
      <c r="W45" s="7" t="s">
        <v>2557</v>
      </c>
    </row>
    <row r="46" spans="1:23" x14ac:dyDescent="0.4">
      <c r="A46" t="s">
        <v>262</v>
      </c>
      <c r="B46" t="s">
        <v>481</v>
      </c>
      <c r="C46" t="s">
        <v>557</v>
      </c>
      <c r="D46" t="s">
        <v>21</v>
      </c>
      <c r="E46" t="s">
        <v>22</v>
      </c>
      <c r="F46" t="s">
        <v>23</v>
      </c>
      <c r="G46">
        <v>1</v>
      </c>
      <c r="H46">
        <v>9791191562347</v>
      </c>
      <c r="I46" t="s">
        <v>143</v>
      </c>
      <c r="J46" t="s">
        <v>307</v>
      </c>
      <c r="K46" t="s">
        <v>308</v>
      </c>
      <c r="L46" t="s">
        <v>27</v>
      </c>
      <c r="M46" s="3">
        <v>3200</v>
      </c>
      <c r="N46" t="s">
        <v>27</v>
      </c>
      <c r="O46" s="3">
        <v>3200</v>
      </c>
      <c r="P46" s="3">
        <v>3200</v>
      </c>
      <c r="Q46" t="s">
        <v>30</v>
      </c>
      <c r="R46" s="2">
        <v>0.7</v>
      </c>
      <c r="S46" s="3">
        <v>2240</v>
      </c>
      <c r="T46" t="s">
        <v>27</v>
      </c>
      <c r="U46" s="3">
        <v>2240</v>
      </c>
      <c r="V46" s="7" t="s">
        <v>2557</v>
      </c>
      <c r="W46" s="7" t="s">
        <v>2557</v>
      </c>
    </row>
    <row r="47" spans="1:23" x14ac:dyDescent="0.4">
      <c r="A47" t="s">
        <v>262</v>
      </c>
      <c r="B47" t="s">
        <v>566</v>
      </c>
      <c r="C47" t="s">
        <v>573</v>
      </c>
      <c r="D47" t="s">
        <v>21</v>
      </c>
      <c r="E47" t="s">
        <v>22</v>
      </c>
      <c r="F47" t="s">
        <v>23</v>
      </c>
      <c r="G47">
        <v>1</v>
      </c>
      <c r="H47">
        <v>9791191562125</v>
      </c>
      <c r="I47" t="s">
        <v>143</v>
      </c>
      <c r="J47" t="s">
        <v>212</v>
      </c>
      <c r="K47" t="s">
        <v>213</v>
      </c>
      <c r="L47" t="s">
        <v>27</v>
      </c>
      <c r="M47" s="3">
        <v>2500</v>
      </c>
      <c r="N47" t="s">
        <v>27</v>
      </c>
      <c r="O47" s="3">
        <v>2500</v>
      </c>
      <c r="P47" s="3">
        <v>2500</v>
      </c>
      <c r="Q47" t="s">
        <v>30</v>
      </c>
      <c r="R47" s="2">
        <v>0.7</v>
      </c>
      <c r="S47" s="3">
        <v>1750</v>
      </c>
      <c r="T47" t="s">
        <v>27</v>
      </c>
      <c r="U47" s="3">
        <v>1750</v>
      </c>
      <c r="V47" s="7" t="s">
        <v>2557</v>
      </c>
      <c r="W47" s="7" t="s">
        <v>2557</v>
      </c>
    </row>
    <row r="48" spans="1:23" x14ac:dyDescent="0.4">
      <c r="A48" t="s">
        <v>262</v>
      </c>
      <c r="B48" t="s">
        <v>566</v>
      </c>
      <c r="C48" t="s">
        <v>576</v>
      </c>
      <c r="D48" t="s">
        <v>21</v>
      </c>
      <c r="E48" t="s">
        <v>22</v>
      </c>
      <c r="F48" t="s">
        <v>23</v>
      </c>
      <c r="G48">
        <v>1</v>
      </c>
      <c r="H48">
        <v>9791191562286</v>
      </c>
      <c r="I48" t="s">
        <v>143</v>
      </c>
      <c r="J48" t="s">
        <v>238</v>
      </c>
      <c r="K48" t="s">
        <v>239</v>
      </c>
      <c r="L48" t="s">
        <v>27</v>
      </c>
      <c r="M48" s="3">
        <v>2000</v>
      </c>
      <c r="N48" t="s">
        <v>28</v>
      </c>
      <c r="O48">
        <v>1.65</v>
      </c>
      <c r="P48">
        <v>1.65</v>
      </c>
      <c r="Q48" t="s">
        <v>29</v>
      </c>
      <c r="R48" s="2">
        <v>0.7</v>
      </c>
      <c r="S48">
        <v>1.1499999999999999</v>
      </c>
      <c r="T48" t="s">
        <v>27</v>
      </c>
      <c r="U48" s="3">
        <v>1445</v>
      </c>
      <c r="V48" s="7" t="s">
        <v>2557</v>
      </c>
      <c r="W48" s="7" t="s">
        <v>2557</v>
      </c>
    </row>
    <row r="49" spans="1:23" x14ac:dyDescent="0.4">
      <c r="A49" t="s">
        <v>262</v>
      </c>
      <c r="B49" t="s">
        <v>566</v>
      </c>
      <c r="C49" t="s">
        <v>577</v>
      </c>
      <c r="D49" t="s">
        <v>21</v>
      </c>
      <c r="E49" t="s">
        <v>22</v>
      </c>
      <c r="F49" t="s">
        <v>23</v>
      </c>
      <c r="G49">
        <v>1</v>
      </c>
      <c r="H49">
        <v>9791191562125</v>
      </c>
      <c r="I49" t="s">
        <v>143</v>
      </c>
      <c r="J49" t="s">
        <v>212</v>
      </c>
      <c r="K49" t="s">
        <v>213</v>
      </c>
      <c r="L49" t="s">
        <v>27</v>
      </c>
      <c r="M49" s="3">
        <v>2500</v>
      </c>
      <c r="N49" t="s">
        <v>27</v>
      </c>
      <c r="O49" s="3">
        <v>2500</v>
      </c>
      <c r="P49" s="3">
        <v>2500</v>
      </c>
      <c r="Q49" t="s">
        <v>30</v>
      </c>
      <c r="R49" s="2">
        <v>0.7</v>
      </c>
      <c r="S49" s="3">
        <v>1750</v>
      </c>
      <c r="T49" t="s">
        <v>27</v>
      </c>
      <c r="U49" s="3">
        <v>1750</v>
      </c>
      <c r="V49" s="7" t="s">
        <v>2557</v>
      </c>
      <c r="W49" s="7" t="s">
        <v>2557</v>
      </c>
    </row>
    <row r="50" spans="1:23" x14ac:dyDescent="0.4">
      <c r="A50" t="s">
        <v>262</v>
      </c>
      <c r="B50" t="s">
        <v>566</v>
      </c>
      <c r="C50" t="s">
        <v>582</v>
      </c>
      <c r="D50" t="s">
        <v>21</v>
      </c>
      <c r="E50" t="s">
        <v>22</v>
      </c>
      <c r="F50" t="s">
        <v>23</v>
      </c>
      <c r="G50">
        <v>1</v>
      </c>
      <c r="H50">
        <v>9791191562019</v>
      </c>
      <c r="I50" t="s">
        <v>143</v>
      </c>
      <c r="J50" t="s">
        <v>194</v>
      </c>
      <c r="K50" t="s">
        <v>186</v>
      </c>
      <c r="L50" t="s">
        <v>27</v>
      </c>
      <c r="M50" s="3">
        <v>2000</v>
      </c>
      <c r="N50" t="s">
        <v>27</v>
      </c>
      <c r="O50" s="3">
        <v>2000</v>
      </c>
      <c r="P50" s="3">
        <v>2000</v>
      </c>
      <c r="Q50" t="s">
        <v>30</v>
      </c>
      <c r="R50" s="2">
        <v>0.7</v>
      </c>
      <c r="S50" s="3">
        <v>1400</v>
      </c>
      <c r="T50" t="s">
        <v>27</v>
      </c>
      <c r="U50" s="3">
        <v>1400</v>
      </c>
      <c r="V50" s="7" t="s">
        <v>2557</v>
      </c>
      <c r="W50" s="7" t="s">
        <v>2557</v>
      </c>
    </row>
    <row r="51" spans="1:23" x14ac:dyDescent="0.4">
      <c r="A51" t="s">
        <v>262</v>
      </c>
      <c r="B51" t="s">
        <v>566</v>
      </c>
      <c r="C51" t="s">
        <v>583</v>
      </c>
      <c r="D51" t="s">
        <v>21</v>
      </c>
      <c r="E51" t="s">
        <v>22</v>
      </c>
      <c r="F51" t="s">
        <v>23</v>
      </c>
      <c r="G51">
        <v>1</v>
      </c>
      <c r="H51">
        <v>9791191562248</v>
      </c>
      <c r="I51" t="s">
        <v>143</v>
      </c>
      <c r="J51" t="s">
        <v>231</v>
      </c>
      <c r="K51" t="s">
        <v>232</v>
      </c>
      <c r="L51" t="s">
        <v>27</v>
      </c>
      <c r="M51" s="3">
        <v>2000</v>
      </c>
      <c r="N51" t="s">
        <v>27</v>
      </c>
      <c r="O51" s="3">
        <v>2000</v>
      </c>
      <c r="P51" s="3">
        <v>2000</v>
      </c>
      <c r="Q51" t="s">
        <v>30</v>
      </c>
      <c r="R51" s="2">
        <v>0.7</v>
      </c>
      <c r="S51" s="3">
        <v>1400</v>
      </c>
      <c r="T51" t="s">
        <v>27</v>
      </c>
      <c r="U51" s="3">
        <v>1400</v>
      </c>
      <c r="V51" s="7" t="s">
        <v>2557</v>
      </c>
      <c r="W51" s="7" t="s">
        <v>2557</v>
      </c>
    </row>
    <row r="52" spans="1:23" x14ac:dyDescent="0.4">
      <c r="A52" t="s">
        <v>262</v>
      </c>
      <c r="B52" t="s">
        <v>566</v>
      </c>
      <c r="C52" t="s">
        <v>591</v>
      </c>
      <c r="D52" t="s">
        <v>21</v>
      </c>
      <c r="E52" t="s">
        <v>22</v>
      </c>
      <c r="F52" t="s">
        <v>23</v>
      </c>
      <c r="G52">
        <v>1</v>
      </c>
      <c r="H52">
        <v>9791191562347</v>
      </c>
      <c r="I52" t="s">
        <v>143</v>
      </c>
      <c r="J52" t="s">
        <v>307</v>
      </c>
      <c r="K52" t="s">
        <v>308</v>
      </c>
      <c r="L52" t="s">
        <v>27</v>
      </c>
      <c r="M52" s="3">
        <v>3200</v>
      </c>
      <c r="N52" t="s">
        <v>27</v>
      </c>
      <c r="O52" s="3">
        <v>3200</v>
      </c>
      <c r="P52" s="3">
        <v>3200</v>
      </c>
      <c r="Q52" t="s">
        <v>30</v>
      </c>
      <c r="R52" s="2">
        <v>0.7</v>
      </c>
      <c r="S52" s="3">
        <v>2240</v>
      </c>
      <c r="T52" t="s">
        <v>27</v>
      </c>
      <c r="U52" s="3">
        <v>2240</v>
      </c>
      <c r="V52" s="7" t="s">
        <v>2557</v>
      </c>
      <c r="W52" s="7" t="s">
        <v>2557</v>
      </c>
    </row>
    <row r="53" spans="1:23" x14ac:dyDescent="0.4">
      <c r="A53" t="s">
        <v>262</v>
      </c>
      <c r="B53" t="s">
        <v>566</v>
      </c>
      <c r="C53" t="s">
        <v>592</v>
      </c>
      <c r="D53" t="s">
        <v>21</v>
      </c>
      <c r="E53" t="s">
        <v>22</v>
      </c>
      <c r="F53" t="s">
        <v>23</v>
      </c>
      <c r="G53">
        <v>1</v>
      </c>
      <c r="H53">
        <v>9791191562019</v>
      </c>
      <c r="I53" t="s">
        <v>143</v>
      </c>
      <c r="J53" t="s">
        <v>194</v>
      </c>
      <c r="K53" t="s">
        <v>186</v>
      </c>
      <c r="L53" t="s">
        <v>27</v>
      </c>
      <c r="M53" s="3">
        <v>2000</v>
      </c>
      <c r="N53" t="s">
        <v>27</v>
      </c>
      <c r="O53" s="3">
        <v>2000</v>
      </c>
      <c r="P53" s="3">
        <v>2000</v>
      </c>
      <c r="Q53" t="s">
        <v>30</v>
      </c>
      <c r="R53" s="2">
        <v>0.7</v>
      </c>
      <c r="S53" s="3">
        <v>1400</v>
      </c>
      <c r="T53" t="s">
        <v>27</v>
      </c>
      <c r="U53" s="3">
        <v>1400</v>
      </c>
      <c r="V53" s="7" t="s">
        <v>2557</v>
      </c>
      <c r="W53" s="7" t="s">
        <v>2557</v>
      </c>
    </row>
    <row r="54" spans="1:23" x14ac:dyDescent="0.4">
      <c r="A54" t="s">
        <v>262</v>
      </c>
      <c r="B54" t="s">
        <v>566</v>
      </c>
      <c r="C54" t="s">
        <v>594</v>
      </c>
      <c r="D54" t="s">
        <v>21</v>
      </c>
      <c r="E54" t="s">
        <v>22</v>
      </c>
      <c r="F54" t="s">
        <v>23</v>
      </c>
      <c r="G54">
        <v>1</v>
      </c>
      <c r="H54">
        <v>9791191562286</v>
      </c>
      <c r="I54" t="s">
        <v>143</v>
      </c>
      <c r="J54" t="s">
        <v>238</v>
      </c>
      <c r="K54" t="s">
        <v>239</v>
      </c>
      <c r="L54" t="s">
        <v>27</v>
      </c>
      <c r="M54" s="3">
        <v>2000</v>
      </c>
      <c r="N54" t="s">
        <v>27</v>
      </c>
      <c r="O54" s="3">
        <v>2000</v>
      </c>
      <c r="P54" s="3">
        <v>2000</v>
      </c>
      <c r="Q54" t="s">
        <v>30</v>
      </c>
      <c r="R54" s="2">
        <v>0.7</v>
      </c>
      <c r="S54" s="3">
        <v>1400</v>
      </c>
      <c r="T54" t="s">
        <v>27</v>
      </c>
      <c r="U54" s="3">
        <v>1400</v>
      </c>
      <c r="V54" s="7" t="s">
        <v>2557</v>
      </c>
      <c r="W54" s="7" t="s">
        <v>2557</v>
      </c>
    </row>
    <row r="55" spans="1:23" x14ac:dyDescent="0.4">
      <c r="A55" t="s">
        <v>262</v>
      </c>
      <c r="B55" t="s">
        <v>566</v>
      </c>
      <c r="C55" t="s">
        <v>598</v>
      </c>
      <c r="D55" t="s">
        <v>21</v>
      </c>
      <c r="E55" t="s">
        <v>22</v>
      </c>
      <c r="F55" t="s">
        <v>23</v>
      </c>
      <c r="G55">
        <v>1</v>
      </c>
      <c r="H55">
        <v>9791191562286</v>
      </c>
      <c r="I55" t="s">
        <v>143</v>
      </c>
      <c r="J55" t="s">
        <v>238</v>
      </c>
      <c r="K55" t="s">
        <v>239</v>
      </c>
      <c r="L55" t="s">
        <v>27</v>
      </c>
      <c r="M55" s="3">
        <v>2000</v>
      </c>
      <c r="N55" t="s">
        <v>27</v>
      </c>
      <c r="O55" s="3">
        <v>2000</v>
      </c>
      <c r="P55" s="3">
        <v>2000</v>
      </c>
      <c r="Q55" t="s">
        <v>30</v>
      </c>
      <c r="R55" s="2">
        <v>0.7</v>
      </c>
      <c r="S55" s="3">
        <v>1400</v>
      </c>
      <c r="T55" t="s">
        <v>27</v>
      </c>
      <c r="U55" s="3">
        <v>1400</v>
      </c>
      <c r="V55" s="7" t="s">
        <v>2557</v>
      </c>
      <c r="W55" s="7" t="s">
        <v>2557</v>
      </c>
    </row>
    <row r="56" spans="1:23" x14ac:dyDescent="0.4">
      <c r="A56" t="s">
        <v>262</v>
      </c>
      <c r="B56" t="s">
        <v>566</v>
      </c>
      <c r="C56" t="s">
        <v>600</v>
      </c>
      <c r="D56" t="s">
        <v>21</v>
      </c>
      <c r="E56" t="s">
        <v>22</v>
      </c>
      <c r="F56" t="s">
        <v>23</v>
      </c>
      <c r="G56">
        <v>1</v>
      </c>
      <c r="H56">
        <v>9791191562125</v>
      </c>
      <c r="I56" t="s">
        <v>143</v>
      </c>
      <c r="J56" t="s">
        <v>212</v>
      </c>
      <c r="K56" t="s">
        <v>213</v>
      </c>
      <c r="L56" t="s">
        <v>27</v>
      </c>
      <c r="M56" s="3">
        <v>2500</v>
      </c>
      <c r="N56" t="s">
        <v>27</v>
      </c>
      <c r="O56" s="3">
        <v>2500</v>
      </c>
      <c r="P56" s="3">
        <v>2500</v>
      </c>
      <c r="Q56" t="s">
        <v>30</v>
      </c>
      <c r="R56" s="2">
        <v>0.7</v>
      </c>
      <c r="S56" s="3">
        <v>1750</v>
      </c>
      <c r="T56" t="s">
        <v>27</v>
      </c>
      <c r="U56" s="3">
        <v>1750</v>
      </c>
      <c r="V56" s="7" t="s">
        <v>2557</v>
      </c>
      <c r="W56" s="7" t="s">
        <v>2557</v>
      </c>
    </row>
    <row r="57" spans="1:23" x14ac:dyDescent="0.4">
      <c r="A57" t="s">
        <v>262</v>
      </c>
      <c r="B57" t="s">
        <v>566</v>
      </c>
      <c r="C57" t="s">
        <v>604</v>
      </c>
      <c r="D57" t="s">
        <v>21</v>
      </c>
      <c r="E57" t="s">
        <v>22</v>
      </c>
      <c r="F57" t="s">
        <v>23</v>
      </c>
      <c r="G57">
        <v>1</v>
      </c>
      <c r="H57">
        <v>9791191562224</v>
      </c>
      <c r="I57" t="s">
        <v>143</v>
      </c>
      <c r="J57" t="s">
        <v>221</v>
      </c>
      <c r="K57" t="s">
        <v>222</v>
      </c>
      <c r="L57" t="s">
        <v>27</v>
      </c>
      <c r="M57" s="3">
        <v>2500</v>
      </c>
      <c r="N57" t="s">
        <v>27</v>
      </c>
      <c r="O57" s="3">
        <v>2500</v>
      </c>
      <c r="P57" s="3">
        <v>2500</v>
      </c>
      <c r="Q57" t="s">
        <v>30</v>
      </c>
      <c r="R57" s="2">
        <v>0.7</v>
      </c>
      <c r="S57" s="3">
        <v>1750</v>
      </c>
      <c r="T57" t="s">
        <v>27</v>
      </c>
      <c r="U57" s="3">
        <v>1750</v>
      </c>
      <c r="V57" s="7" t="s">
        <v>2557</v>
      </c>
      <c r="W57" s="7" t="s">
        <v>2557</v>
      </c>
    </row>
    <row r="58" spans="1:23" x14ac:dyDescent="0.4">
      <c r="A58" t="s">
        <v>262</v>
      </c>
      <c r="B58" t="s">
        <v>566</v>
      </c>
      <c r="C58" t="s">
        <v>614</v>
      </c>
      <c r="D58" t="s">
        <v>21</v>
      </c>
      <c r="E58" t="s">
        <v>22</v>
      </c>
      <c r="F58" t="s">
        <v>23</v>
      </c>
      <c r="G58">
        <v>1</v>
      </c>
      <c r="H58">
        <v>9791191562286</v>
      </c>
      <c r="I58" t="s">
        <v>143</v>
      </c>
      <c r="J58" t="s">
        <v>238</v>
      </c>
      <c r="K58" t="s">
        <v>239</v>
      </c>
      <c r="L58" t="s">
        <v>27</v>
      </c>
      <c r="M58" s="3">
        <v>2000</v>
      </c>
      <c r="N58" t="s">
        <v>27</v>
      </c>
      <c r="O58" s="3">
        <v>2000</v>
      </c>
      <c r="P58" s="3">
        <v>2000</v>
      </c>
      <c r="Q58" t="s">
        <v>30</v>
      </c>
      <c r="R58" s="2">
        <v>0.7</v>
      </c>
      <c r="S58" s="3">
        <v>1400</v>
      </c>
      <c r="T58" t="s">
        <v>27</v>
      </c>
      <c r="U58" s="3">
        <v>1400</v>
      </c>
      <c r="V58" s="7" t="s">
        <v>2557</v>
      </c>
      <c r="W58" s="7" t="s">
        <v>2557</v>
      </c>
    </row>
    <row r="59" spans="1:23" x14ac:dyDescent="0.4">
      <c r="A59" t="s">
        <v>262</v>
      </c>
      <c r="B59" t="s">
        <v>566</v>
      </c>
      <c r="C59" t="s">
        <v>619</v>
      </c>
      <c r="D59" t="s">
        <v>21</v>
      </c>
      <c r="E59" t="s">
        <v>22</v>
      </c>
      <c r="F59" t="s">
        <v>23</v>
      </c>
      <c r="G59">
        <v>1</v>
      </c>
      <c r="H59">
        <v>9791191562262</v>
      </c>
      <c r="I59" t="s">
        <v>143</v>
      </c>
      <c r="J59" t="s">
        <v>250</v>
      </c>
      <c r="K59" t="s">
        <v>251</v>
      </c>
      <c r="L59" t="s">
        <v>27</v>
      </c>
      <c r="M59" s="3">
        <v>2000</v>
      </c>
      <c r="N59" t="s">
        <v>27</v>
      </c>
      <c r="O59" s="3">
        <v>2000</v>
      </c>
      <c r="P59" s="3">
        <v>2000</v>
      </c>
      <c r="Q59" t="s">
        <v>30</v>
      </c>
      <c r="R59" s="2">
        <v>0.7</v>
      </c>
      <c r="S59" s="3">
        <v>1400</v>
      </c>
      <c r="T59" t="s">
        <v>27</v>
      </c>
      <c r="U59" s="3">
        <v>1400</v>
      </c>
      <c r="V59" s="7" t="s">
        <v>2557</v>
      </c>
      <c r="W59" s="7" t="s">
        <v>2557</v>
      </c>
    </row>
    <row r="60" spans="1:23" x14ac:dyDescent="0.4">
      <c r="A60" t="s">
        <v>262</v>
      </c>
      <c r="B60" t="s">
        <v>566</v>
      </c>
      <c r="C60" t="s">
        <v>646</v>
      </c>
      <c r="D60" t="s">
        <v>21</v>
      </c>
      <c r="E60" t="s">
        <v>22</v>
      </c>
      <c r="F60" t="s">
        <v>23</v>
      </c>
      <c r="G60">
        <v>1</v>
      </c>
      <c r="H60">
        <v>9791191562125</v>
      </c>
      <c r="I60" t="s">
        <v>143</v>
      </c>
      <c r="J60" t="s">
        <v>212</v>
      </c>
      <c r="K60" t="s">
        <v>213</v>
      </c>
      <c r="L60" t="s">
        <v>27</v>
      </c>
      <c r="M60" s="3">
        <v>2500</v>
      </c>
      <c r="N60" t="s">
        <v>27</v>
      </c>
      <c r="O60" s="3">
        <v>2500</v>
      </c>
      <c r="P60" s="3">
        <v>2500</v>
      </c>
      <c r="Q60" t="s">
        <v>30</v>
      </c>
      <c r="R60" s="2">
        <v>0.7</v>
      </c>
      <c r="S60" s="3">
        <v>1750</v>
      </c>
      <c r="T60" t="s">
        <v>27</v>
      </c>
      <c r="U60" s="3">
        <v>1750</v>
      </c>
      <c r="V60" s="7" t="s">
        <v>2557</v>
      </c>
      <c r="W60" s="7" t="s">
        <v>2557</v>
      </c>
    </row>
    <row r="61" spans="1:23" x14ac:dyDescent="0.4">
      <c r="A61" t="s">
        <v>262</v>
      </c>
      <c r="B61" t="s">
        <v>647</v>
      </c>
      <c r="C61" t="s">
        <v>657</v>
      </c>
      <c r="D61" t="s">
        <v>21</v>
      </c>
      <c r="E61" t="s">
        <v>22</v>
      </c>
      <c r="F61" t="s">
        <v>23</v>
      </c>
      <c r="G61">
        <v>1</v>
      </c>
      <c r="H61">
        <v>9791191562262</v>
      </c>
      <c r="I61" t="s">
        <v>143</v>
      </c>
      <c r="J61" t="s">
        <v>250</v>
      </c>
      <c r="K61" t="s">
        <v>251</v>
      </c>
      <c r="L61" t="s">
        <v>27</v>
      </c>
      <c r="M61" s="3">
        <v>2000</v>
      </c>
      <c r="N61" t="s">
        <v>191</v>
      </c>
      <c r="O61">
        <v>2.4</v>
      </c>
      <c r="P61">
        <v>2.1800000000000002</v>
      </c>
      <c r="Q61" t="s">
        <v>190</v>
      </c>
      <c r="R61" s="2">
        <v>0.7</v>
      </c>
      <c r="S61">
        <v>1.53</v>
      </c>
      <c r="T61" t="s">
        <v>27</v>
      </c>
      <c r="U61" s="3">
        <v>1378</v>
      </c>
      <c r="V61" s="7" t="s">
        <v>2557</v>
      </c>
      <c r="W61" s="7" t="s">
        <v>2557</v>
      </c>
    </row>
    <row r="62" spans="1:23" x14ac:dyDescent="0.4">
      <c r="A62" t="s">
        <v>262</v>
      </c>
      <c r="B62" t="s">
        <v>647</v>
      </c>
      <c r="C62" t="s">
        <v>658</v>
      </c>
      <c r="D62" t="s">
        <v>21</v>
      </c>
      <c r="E62" t="s">
        <v>22</v>
      </c>
      <c r="F62" t="s">
        <v>23</v>
      </c>
      <c r="G62">
        <v>1</v>
      </c>
      <c r="H62">
        <v>9791191562309</v>
      </c>
      <c r="I62" t="s">
        <v>143</v>
      </c>
      <c r="J62" t="s">
        <v>225</v>
      </c>
      <c r="K62" t="s">
        <v>226</v>
      </c>
      <c r="L62" t="s">
        <v>27</v>
      </c>
      <c r="M62" s="3">
        <v>2500</v>
      </c>
      <c r="N62" t="s">
        <v>191</v>
      </c>
      <c r="O62">
        <v>3.01</v>
      </c>
      <c r="P62">
        <v>2.74</v>
      </c>
      <c r="Q62" t="s">
        <v>190</v>
      </c>
      <c r="R62" s="2">
        <v>0.7</v>
      </c>
      <c r="S62">
        <v>1.92</v>
      </c>
      <c r="T62" t="s">
        <v>27</v>
      </c>
      <c r="U62" s="3">
        <v>1729</v>
      </c>
      <c r="V62" s="7" t="s">
        <v>2557</v>
      </c>
      <c r="W62" s="7" t="s">
        <v>2557</v>
      </c>
    </row>
    <row r="63" spans="1:23" x14ac:dyDescent="0.4">
      <c r="A63" t="s">
        <v>262</v>
      </c>
      <c r="B63" t="s">
        <v>647</v>
      </c>
      <c r="C63" t="s">
        <v>659</v>
      </c>
      <c r="D63" t="s">
        <v>21</v>
      </c>
      <c r="E63" t="s">
        <v>22</v>
      </c>
      <c r="F63" t="s">
        <v>23</v>
      </c>
      <c r="G63">
        <v>1</v>
      </c>
      <c r="H63">
        <v>9791191562217</v>
      </c>
      <c r="I63" t="s">
        <v>143</v>
      </c>
      <c r="J63" t="s">
        <v>660</v>
      </c>
      <c r="K63" t="s">
        <v>661</v>
      </c>
      <c r="L63" t="s">
        <v>27</v>
      </c>
      <c r="M63" s="3">
        <v>2000</v>
      </c>
      <c r="N63" t="s">
        <v>191</v>
      </c>
      <c r="O63">
        <v>2.4</v>
      </c>
      <c r="P63">
        <v>2.1800000000000002</v>
      </c>
      <c r="Q63" t="s">
        <v>190</v>
      </c>
      <c r="R63" s="2">
        <v>0.7</v>
      </c>
      <c r="S63">
        <v>1.53</v>
      </c>
      <c r="T63" t="s">
        <v>27</v>
      </c>
      <c r="U63" s="3">
        <v>1378</v>
      </c>
      <c r="V63" s="7" t="s">
        <v>2557</v>
      </c>
      <c r="W63" s="7" t="s">
        <v>2557</v>
      </c>
    </row>
    <row r="64" spans="1:23" x14ac:dyDescent="0.4">
      <c r="A64" t="s">
        <v>262</v>
      </c>
      <c r="B64" t="s">
        <v>647</v>
      </c>
      <c r="C64" t="s">
        <v>662</v>
      </c>
      <c r="D64" t="s">
        <v>21</v>
      </c>
      <c r="E64" t="s">
        <v>22</v>
      </c>
      <c r="F64" t="s">
        <v>23</v>
      </c>
      <c r="G64">
        <v>1</v>
      </c>
      <c r="H64">
        <v>9791191562286</v>
      </c>
      <c r="I64" t="s">
        <v>143</v>
      </c>
      <c r="J64" t="s">
        <v>238</v>
      </c>
      <c r="K64" t="s">
        <v>239</v>
      </c>
      <c r="L64" t="s">
        <v>27</v>
      </c>
      <c r="M64" s="3">
        <v>2000</v>
      </c>
      <c r="N64" t="s">
        <v>27</v>
      </c>
      <c r="O64" s="3">
        <v>2000</v>
      </c>
      <c r="P64" s="3">
        <v>2000</v>
      </c>
      <c r="Q64" t="s">
        <v>30</v>
      </c>
      <c r="R64" s="2">
        <v>0.7</v>
      </c>
      <c r="S64" s="3">
        <v>1400</v>
      </c>
      <c r="T64" t="s">
        <v>27</v>
      </c>
      <c r="U64" s="3">
        <v>1400</v>
      </c>
      <c r="V64" s="7" t="s">
        <v>2557</v>
      </c>
      <c r="W64" s="7" t="s">
        <v>2557</v>
      </c>
    </row>
    <row r="65" spans="1:23" x14ac:dyDescent="0.4">
      <c r="A65" t="s">
        <v>262</v>
      </c>
      <c r="B65" t="s">
        <v>647</v>
      </c>
      <c r="C65" t="s">
        <v>672</v>
      </c>
      <c r="D65" t="s">
        <v>21</v>
      </c>
      <c r="E65" t="s">
        <v>22</v>
      </c>
      <c r="F65" t="s">
        <v>23</v>
      </c>
      <c r="G65">
        <v>1</v>
      </c>
      <c r="H65">
        <v>9791191562248</v>
      </c>
      <c r="I65" t="s">
        <v>143</v>
      </c>
      <c r="J65" t="s">
        <v>231</v>
      </c>
      <c r="K65" t="s">
        <v>232</v>
      </c>
      <c r="L65" t="s">
        <v>27</v>
      </c>
      <c r="M65" s="3">
        <v>2000</v>
      </c>
      <c r="N65" t="s">
        <v>27</v>
      </c>
      <c r="O65" s="3">
        <v>2000</v>
      </c>
      <c r="P65" s="3">
        <v>2000</v>
      </c>
      <c r="Q65" t="s">
        <v>30</v>
      </c>
      <c r="R65" s="2">
        <v>0.7</v>
      </c>
      <c r="S65" s="3">
        <v>1400</v>
      </c>
      <c r="T65" t="s">
        <v>27</v>
      </c>
      <c r="U65" s="3">
        <v>1400</v>
      </c>
      <c r="V65" s="7" t="s">
        <v>2557</v>
      </c>
      <c r="W65" s="7" t="s">
        <v>2557</v>
      </c>
    </row>
    <row r="66" spans="1:23" x14ac:dyDescent="0.4">
      <c r="A66" t="s">
        <v>262</v>
      </c>
      <c r="B66" t="s">
        <v>647</v>
      </c>
      <c r="C66" t="s">
        <v>680</v>
      </c>
      <c r="D66" t="s">
        <v>21</v>
      </c>
      <c r="E66" t="s">
        <v>22</v>
      </c>
      <c r="F66" t="s">
        <v>23</v>
      </c>
      <c r="G66">
        <v>1</v>
      </c>
      <c r="H66">
        <v>9791191562248</v>
      </c>
      <c r="I66" t="s">
        <v>143</v>
      </c>
      <c r="J66" t="s">
        <v>231</v>
      </c>
      <c r="K66" t="s">
        <v>232</v>
      </c>
      <c r="L66" t="s">
        <v>27</v>
      </c>
      <c r="M66" s="3">
        <v>2000</v>
      </c>
      <c r="N66" t="s">
        <v>27</v>
      </c>
      <c r="O66" s="3">
        <v>2000</v>
      </c>
      <c r="P66" s="3">
        <v>2000</v>
      </c>
      <c r="Q66" t="s">
        <v>30</v>
      </c>
      <c r="R66" s="2">
        <v>0.7</v>
      </c>
      <c r="S66" s="3">
        <v>1400</v>
      </c>
      <c r="T66" t="s">
        <v>27</v>
      </c>
      <c r="U66" s="3">
        <v>1400</v>
      </c>
      <c r="V66" s="7" t="s">
        <v>2557</v>
      </c>
      <c r="W66" s="7" t="s">
        <v>2557</v>
      </c>
    </row>
    <row r="67" spans="1:23" x14ac:dyDescent="0.4">
      <c r="A67" t="s">
        <v>262</v>
      </c>
      <c r="B67" t="s">
        <v>647</v>
      </c>
      <c r="C67" t="s">
        <v>689</v>
      </c>
      <c r="D67" t="s">
        <v>21</v>
      </c>
      <c r="E67" t="s">
        <v>22</v>
      </c>
      <c r="F67" t="s">
        <v>23</v>
      </c>
      <c r="G67">
        <v>1</v>
      </c>
      <c r="H67">
        <v>9791191562125</v>
      </c>
      <c r="I67" t="s">
        <v>143</v>
      </c>
      <c r="J67" t="s">
        <v>212</v>
      </c>
      <c r="K67" t="s">
        <v>213</v>
      </c>
      <c r="L67" t="s">
        <v>27</v>
      </c>
      <c r="M67" s="3">
        <v>2500</v>
      </c>
      <c r="N67" t="s">
        <v>27</v>
      </c>
      <c r="O67" s="3">
        <v>2500</v>
      </c>
      <c r="P67" s="3">
        <v>2500</v>
      </c>
      <c r="Q67" t="s">
        <v>30</v>
      </c>
      <c r="R67" s="2">
        <v>0.7</v>
      </c>
      <c r="S67" s="3">
        <v>1750</v>
      </c>
      <c r="T67" t="s">
        <v>27</v>
      </c>
      <c r="U67" s="3">
        <v>1750</v>
      </c>
      <c r="V67" s="7" t="s">
        <v>2557</v>
      </c>
      <c r="W67" s="7" t="s">
        <v>2557</v>
      </c>
    </row>
    <row r="68" spans="1:23" x14ac:dyDescent="0.4">
      <c r="A68" t="s">
        <v>262</v>
      </c>
      <c r="B68" t="s">
        <v>647</v>
      </c>
      <c r="C68" t="s">
        <v>690</v>
      </c>
      <c r="D68" t="s">
        <v>21</v>
      </c>
      <c r="E68" t="s">
        <v>22</v>
      </c>
      <c r="F68" t="s">
        <v>23</v>
      </c>
      <c r="G68">
        <v>1</v>
      </c>
      <c r="H68">
        <v>9791191562101</v>
      </c>
      <c r="I68" t="s">
        <v>143</v>
      </c>
      <c r="J68" t="s">
        <v>196</v>
      </c>
      <c r="K68" t="s">
        <v>201</v>
      </c>
      <c r="L68" t="s">
        <v>27</v>
      </c>
      <c r="M68" s="3">
        <v>3000</v>
      </c>
      <c r="N68" t="s">
        <v>27</v>
      </c>
      <c r="O68" s="3">
        <v>3000</v>
      </c>
      <c r="P68" s="3">
        <v>3000</v>
      </c>
      <c r="Q68" t="s">
        <v>30</v>
      </c>
      <c r="R68" s="2">
        <v>0.7</v>
      </c>
      <c r="S68" s="3">
        <v>2100</v>
      </c>
      <c r="T68" t="s">
        <v>27</v>
      </c>
      <c r="U68" s="3">
        <v>2100</v>
      </c>
      <c r="V68" s="7" t="s">
        <v>2557</v>
      </c>
      <c r="W68" s="7" t="s">
        <v>2557</v>
      </c>
    </row>
    <row r="69" spans="1:23" x14ac:dyDescent="0.4">
      <c r="A69" t="s">
        <v>262</v>
      </c>
      <c r="B69" t="s">
        <v>647</v>
      </c>
      <c r="C69" t="s">
        <v>695</v>
      </c>
      <c r="D69" t="s">
        <v>21</v>
      </c>
      <c r="E69" t="s">
        <v>22</v>
      </c>
      <c r="F69" t="s">
        <v>23</v>
      </c>
      <c r="G69">
        <v>1</v>
      </c>
      <c r="H69">
        <v>9791191562033</v>
      </c>
      <c r="I69" t="s">
        <v>143</v>
      </c>
      <c r="J69" t="s">
        <v>189</v>
      </c>
      <c r="K69" t="s">
        <v>187</v>
      </c>
      <c r="L69" t="s">
        <v>27</v>
      </c>
      <c r="M69" s="3">
        <v>2000</v>
      </c>
      <c r="N69" t="s">
        <v>27</v>
      </c>
      <c r="O69" s="3">
        <v>2000</v>
      </c>
      <c r="P69" s="3">
        <v>2000</v>
      </c>
      <c r="Q69" t="s">
        <v>30</v>
      </c>
      <c r="R69" s="2">
        <v>0.7</v>
      </c>
      <c r="S69" s="3">
        <v>1400</v>
      </c>
      <c r="T69" t="s">
        <v>27</v>
      </c>
      <c r="U69" s="3">
        <v>1400</v>
      </c>
      <c r="V69" s="7" t="s">
        <v>2557</v>
      </c>
      <c r="W69" s="7" t="s">
        <v>2557</v>
      </c>
    </row>
    <row r="70" spans="1:23" x14ac:dyDescent="0.4">
      <c r="A70" t="s">
        <v>262</v>
      </c>
      <c r="B70" t="s">
        <v>647</v>
      </c>
      <c r="C70" t="s">
        <v>697</v>
      </c>
      <c r="D70" t="s">
        <v>21</v>
      </c>
      <c r="E70" t="s">
        <v>22</v>
      </c>
      <c r="F70" t="s">
        <v>23</v>
      </c>
      <c r="G70">
        <v>1</v>
      </c>
      <c r="H70">
        <v>9791191562408</v>
      </c>
      <c r="I70" t="s">
        <v>143</v>
      </c>
      <c r="J70" t="s">
        <v>698</v>
      </c>
      <c r="K70" t="s">
        <v>215</v>
      </c>
      <c r="L70" t="s">
        <v>27</v>
      </c>
      <c r="M70" s="3">
        <v>2000</v>
      </c>
      <c r="N70" t="s">
        <v>27</v>
      </c>
      <c r="O70" s="3">
        <v>2000</v>
      </c>
      <c r="P70" s="3">
        <v>2000</v>
      </c>
      <c r="Q70" t="s">
        <v>30</v>
      </c>
      <c r="R70" s="2">
        <v>0.7</v>
      </c>
      <c r="S70" s="3">
        <v>1400</v>
      </c>
      <c r="T70" t="s">
        <v>27</v>
      </c>
      <c r="U70" s="3">
        <v>1400</v>
      </c>
      <c r="V70" s="7" t="s">
        <v>2557</v>
      </c>
      <c r="W70" s="7" t="s">
        <v>2557</v>
      </c>
    </row>
    <row r="71" spans="1:23" x14ac:dyDescent="0.4">
      <c r="A71" t="s">
        <v>262</v>
      </c>
      <c r="B71" t="s">
        <v>647</v>
      </c>
      <c r="C71" t="s">
        <v>702</v>
      </c>
      <c r="D71" t="s">
        <v>21</v>
      </c>
      <c r="E71" t="s">
        <v>22</v>
      </c>
      <c r="F71" t="s">
        <v>23</v>
      </c>
      <c r="G71">
        <v>1</v>
      </c>
      <c r="H71">
        <v>9791191562248</v>
      </c>
      <c r="I71" t="s">
        <v>143</v>
      </c>
      <c r="J71" t="s">
        <v>231</v>
      </c>
      <c r="K71" t="s">
        <v>232</v>
      </c>
      <c r="L71" t="s">
        <v>27</v>
      </c>
      <c r="M71" s="3">
        <v>2000</v>
      </c>
      <c r="N71" t="s">
        <v>27</v>
      </c>
      <c r="O71" s="3">
        <v>2000</v>
      </c>
      <c r="P71" s="3">
        <v>2000</v>
      </c>
      <c r="Q71" t="s">
        <v>30</v>
      </c>
      <c r="R71" s="2">
        <v>0.7</v>
      </c>
      <c r="S71" s="3">
        <v>1400</v>
      </c>
      <c r="T71" t="s">
        <v>27</v>
      </c>
      <c r="U71" s="3">
        <v>1400</v>
      </c>
      <c r="V71" s="7" t="s">
        <v>2557</v>
      </c>
      <c r="W71" s="7" t="s">
        <v>2557</v>
      </c>
    </row>
    <row r="72" spans="1:23" x14ac:dyDescent="0.4">
      <c r="A72" t="s">
        <v>262</v>
      </c>
      <c r="B72" t="s">
        <v>647</v>
      </c>
      <c r="C72" t="s">
        <v>711</v>
      </c>
      <c r="D72" t="s">
        <v>21</v>
      </c>
      <c r="E72" t="s">
        <v>22</v>
      </c>
      <c r="F72" t="s">
        <v>23</v>
      </c>
      <c r="G72">
        <v>1</v>
      </c>
      <c r="H72">
        <v>9791191562187</v>
      </c>
      <c r="I72" t="s">
        <v>143</v>
      </c>
      <c r="J72" t="s">
        <v>217</v>
      </c>
      <c r="K72" t="s">
        <v>218</v>
      </c>
      <c r="L72" t="s">
        <v>27</v>
      </c>
      <c r="M72" s="3">
        <v>2000</v>
      </c>
      <c r="N72" t="s">
        <v>27</v>
      </c>
      <c r="O72" s="3">
        <v>2000</v>
      </c>
      <c r="P72" s="3">
        <v>2000</v>
      </c>
      <c r="Q72" t="s">
        <v>30</v>
      </c>
      <c r="R72" s="2">
        <v>0.7</v>
      </c>
      <c r="S72" s="3">
        <v>1400</v>
      </c>
      <c r="T72" t="s">
        <v>27</v>
      </c>
      <c r="U72" s="3">
        <v>1400</v>
      </c>
      <c r="V72" s="7" t="s">
        <v>2557</v>
      </c>
      <c r="W72" s="7" t="s">
        <v>2557</v>
      </c>
    </row>
    <row r="73" spans="1:23" x14ac:dyDescent="0.4">
      <c r="A73" t="s">
        <v>262</v>
      </c>
      <c r="B73" t="s">
        <v>647</v>
      </c>
      <c r="C73" t="s">
        <v>712</v>
      </c>
      <c r="D73" t="s">
        <v>21</v>
      </c>
      <c r="E73" t="s">
        <v>22</v>
      </c>
      <c r="F73" t="s">
        <v>23</v>
      </c>
      <c r="G73">
        <v>1</v>
      </c>
      <c r="H73">
        <v>9791191562248</v>
      </c>
      <c r="I73" t="s">
        <v>143</v>
      </c>
      <c r="J73" t="s">
        <v>231</v>
      </c>
      <c r="K73" t="s">
        <v>232</v>
      </c>
      <c r="L73" t="s">
        <v>27</v>
      </c>
      <c r="M73" s="3">
        <v>2000</v>
      </c>
      <c r="N73" t="s">
        <v>27</v>
      </c>
      <c r="O73" s="3">
        <v>2000</v>
      </c>
      <c r="P73" s="3">
        <v>2000</v>
      </c>
      <c r="Q73" t="s">
        <v>30</v>
      </c>
      <c r="R73" s="2">
        <v>0.7</v>
      </c>
      <c r="S73" s="3">
        <v>1400</v>
      </c>
      <c r="T73" t="s">
        <v>27</v>
      </c>
      <c r="U73" s="3">
        <v>1400</v>
      </c>
      <c r="V73" s="7" t="s">
        <v>2557</v>
      </c>
      <c r="W73" s="7" t="s">
        <v>2557</v>
      </c>
    </row>
    <row r="74" spans="1:23" x14ac:dyDescent="0.4">
      <c r="A74" t="s">
        <v>262</v>
      </c>
      <c r="B74" t="s">
        <v>647</v>
      </c>
      <c r="C74" t="s">
        <v>718</v>
      </c>
      <c r="D74" t="s">
        <v>21</v>
      </c>
      <c r="E74" t="s">
        <v>22</v>
      </c>
      <c r="F74" t="s">
        <v>23</v>
      </c>
      <c r="G74">
        <v>1</v>
      </c>
      <c r="H74">
        <v>9791196945268</v>
      </c>
      <c r="I74" t="s">
        <v>143</v>
      </c>
      <c r="J74" t="s">
        <v>185</v>
      </c>
      <c r="K74" t="s">
        <v>188</v>
      </c>
      <c r="L74" t="s">
        <v>27</v>
      </c>
      <c r="M74" s="3">
        <v>2500</v>
      </c>
      <c r="N74" t="s">
        <v>27</v>
      </c>
      <c r="O74" s="3">
        <v>2500</v>
      </c>
      <c r="P74" s="3">
        <v>2500</v>
      </c>
      <c r="Q74" t="s">
        <v>30</v>
      </c>
      <c r="R74" s="2">
        <v>0.7</v>
      </c>
      <c r="S74" s="3">
        <v>1750</v>
      </c>
      <c r="T74" t="s">
        <v>27</v>
      </c>
      <c r="U74" s="3">
        <v>1750</v>
      </c>
      <c r="V74" s="7" t="s">
        <v>2557</v>
      </c>
      <c r="W74" s="7" t="s">
        <v>2557</v>
      </c>
    </row>
    <row r="75" spans="1:23" x14ac:dyDescent="0.4">
      <c r="A75" t="s">
        <v>262</v>
      </c>
      <c r="B75" t="s">
        <v>722</v>
      </c>
      <c r="C75" t="s">
        <v>725</v>
      </c>
      <c r="D75" t="s">
        <v>21</v>
      </c>
      <c r="E75" t="s">
        <v>22</v>
      </c>
      <c r="F75" t="s">
        <v>23</v>
      </c>
      <c r="G75">
        <v>1</v>
      </c>
      <c r="H75">
        <v>9791191562033</v>
      </c>
      <c r="I75" t="s">
        <v>143</v>
      </c>
      <c r="J75" t="s">
        <v>189</v>
      </c>
      <c r="K75" t="s">
        <v>187</v>
      </c>
      <c r="L75" t="s">
        <v>27</v>
      </c>
      <c r="M75" s="3">
        <v>2000</v>
      </c>
      <c r="N75" t="s">
        <v>28</v>
      </c>
      <c r="O75">
        <v>1.65</v>
      </c>
      <c r="P75">
        <v>1.65</v>
      </c>
      <c r="Q75" t="s">
        <v>29</v>
      </c>
      <c r="R75" s="2">
        <v>0.7</v>
      </c>
      <c r="S75">
        <v>1.1499999999999999</v>
      </c>
      <c r="T75" t="s">
        <v>27</v>
      </c>
      <c r="U75" s="3">
        <v>1464</v>
      </c>
      <c r="V75" s="7" t="s">
        <v>2557</v>
      </c>
      <c r="W75" s="7" t="s">
        <v>2557</v>
      </c>
    </row>
    <row r="76" spans="1:23" x14ac:dyDescent="0.4">
      <c r="A76" t="s">
        <v>262</v>
      </c>
      <c r="B76" t="s">
        <v>722</v>
      </c>
      <c r="C76" t="s">
        <v>740</v>
      </c>
      <c r="D76" t="s">
        <v>21</v>
      </c>
      <c r="E76" t="s">
        <v>22</v>
      </c>
      <c r="F76" t="s">
        <v>23</v>
      </c>
      <c r="G76">
        <v>1</v>
      </c>
      <c r="H76">
        <v>9791191562262</v>
      </c>
      <c r="I76" t="s">
        <v>143</v>
      </c>
      <c r="J76" t="s">
        <v>250</v>
      </c>
      <c r="K76" t="s">
        <v>251</v>
      </c>
      <c r="L76" t="s">
        <v>27</v>
      </c>
      <c r="M76" s="3">
        <v>2000</v>
      </c>
      <c r="N76" t="s">
        <v>27</v>
      </c>
      <c r="O76" s="3">
        <v>2000</v>
      </c>
      <c r="P76" s="3">
        <v>2000</v>
      </c>
      <c r="Q76" t="s">
        <v>30</v>
      </c>
      <c r="R76" s="2">
        <v>0.7</v>
      </c>
      <c r="S76" s="3">
        <v>1400</v>
      </c>
      <c r="T76" t="s">
        <v>27</v>
      </c>
      <c r="U76" s="3">
        <v>1400</v>
      </c>
      <c r="V76" s="7" t="s">
        <v>2557</v>
      </c>
      <c r="W76" s="7" t="s">
        <v>2557</v>
      </c>
    </row>
    <row r="77" spans="1:23" x14ac:dyDescent="0.4">
      <c r="A77" t="s">
        <v>262</v>
      </c>
      <c r="B77" t="s">
        <v>722</v>
      </c>
      <c r="C77" t="s">
        <v>742</v>
      </c>
      <c r="D77" t="s">
        <v>21</v>
      </c>
      <c r="E77" t="s">
        <v>22</v>
      </c>
      <c r="F77" t="s">
        <v>23</v>
      </c>
      <c r="G77">
        <v>1</v>
      </c>
      <c r="H77">
        <v>9791191562224</v>
      </c>
      <c r="I77" t="s">
        <v>143</v>
      </c>
      <c r="J77" t="s">
        <v>221</v>
      </c>
      <c r="K77" t="s">
        <v>222</v>
      </c>
      <c r="L77" t="s">
        <v>27</v>
      </c>
      <c r="M77" s="3">
        <v>2500</v>
      </c>
      <c r="N77" t="s">
        <v>28</v>
      </c>
      <c r="O77">
        <v>2.06</v>
      </c>
      <c r="P77">
        <v>2.06</v>
      </c>
      <c r="Q77" t="s">
        <v>29</v>
      </c>
      <c r="R77" s="2">
        <v>0.7</v>
      </c>
      <c r="S77">
        <v>1.44</v>
      </c>
      <c r="T77" t="s">
        <v>27</v>
      </c>
      <c r="U77" s="3">
        <v>1833</v>
      </c>
      <c r="V77" s="7" t="s">
        <v>2557</v>
      </c>
      <c r="W77" s="7" t="s">
        <v>2557</v>
      </c>
    </row>
    <row r="78" spans="1:23" x14ac:dyDescent="0.4">
      <c r="A78" t="s">
        <v>262</v>
      </c>
      <c r="B78" t="s">
        <v>722</v>
      </c>
      <c r="C78" t="s">
        <v>743</v>
      </c>
      <c r="D78" t="s">
        <v>21</v>
      </c>
      <c r="E78" t="s">
        <v>22</v>
      </c>
      <c r="F78" t="s">
        <v>23</v>
      </c>
      <c r="G78">
        <v>1</v>
      </c>
      <c r="H78">
        <v>9791191562262</v>
      </c>
      <c r="I78" t="s">
        <v>143</v>
      </c>
      <c r="J78" t="s">
        <v>250</v>
      </c>
      <c r="K78" t="s">
        <v>251</v>
      </c>
      <c r="L78" t="s">
        <v>27</v>
      </c>
      <c r="M78" s="3">
        <v>2000</v>
      </c>
      <c r="N78" t="s">
        <v>27</v>
      </c>
      <c r="O78" s="3">
        <v>2000</v>
      </c>
      <c r="P78" s="3">
        <v>2000</v>
      </c>
      <c r="Q78" t="s">
        <v>30</v>
      </c>
      <c r="R78" s="2">
        <v>0.7</v>
      </c>
      <c r="S78" s="3">
        <v>1400</v>
      </c>
      <c r="T78" t="s">
        <v>27</v>
      </c>
      <c r="U78" s="3">
        <v>1400</v>
      </c>
      <c r="V78" s="7" t="s">
        <v>2557</v>
      </c>
      <c r="W78" s="7" t="s">
        <v>2557</v>
      </c>
    </row>
    <row r="79" spans="1:23" x14ac:dyDescent="0.4">
      <c r="A79" t="s">
        <v>262</v>
      </c>
      <c r="B79" t="s">
        <v>722</v>
      </c>
      <c r="C79" t="s">
        <v>748</v>
      </c>
      <c r="D79" t="s">
        <v>21</v>
      </c>
      <c r="E79" t="s">
        <v>22</v>
      </c>
      <c r="F79" t="s">
        <v>23</v>
      </c>
      <c r="G79">
        <v>1</v>
      </c>
      <c r="H79">
        <v>9791191562248</v>
      </c>
      <c r="I79" t="s">
        <v>143</v>
      </c>
      <c r="J79" t="s">
        <v>231</v>
      </c>
      <c r="K79" t="s">
        <v>232</v>
      </c>
      <c r="L79" t="s">
        <v>27</v>
      </c>
      <c r="M79" s="3">
        <v>2000</v>
      </c>
      <c r="N79" t="s">
        <v>27</v>
      </c>
      <c r="O79" s="3">
        <v>2000</v>
      </c>
      <c r="P79" s="3">
        <v>2000</v>
      </c>
      <c r="Q79" t="s">
        <v>30</v>
      </c>
      <c r="R79" s="2">
        <v>0.7</v>
      </c>
      <c r="S79" s="3">
        <v>1400</v>
      </c>
      <c r="T79" t="s">
        <v>27</v>
      </c>
      <c r="U79" s="3">
        <v>1400</v>
      </c>
      <c r="V79" s="7" t="s">
        <v>2557</v>
      </c>
      <c r="W79" s="7" t="s">
        <v>2557</v>
      </c>
    </row>
    <row r="80" spans="1:23" x14ac:dyDescent="0.4">
      <c r="A80" t="s">
        <v>262</v>
      </c>
      <c r="B80" t="s">
        <v>722</v>
      </c>
      <c r="C80" t="s">
        <v>771</v>
      </c>
      <c r="D80" t="s">
        <v>21</v>
      </c>
      <c r="E80" t="s">
        <v>22</v>
      </c>
      <c r="F80" t="s">
        <v>23</v>
      </c>
      <c r="G80">
        <v>1</v>
      </c>
      <c r="H80">
        <v>9791191562033</v>
      </c>
      <c r="I80" t="s">
        <v>143</v>
      </c>
      <c r="J80" t="s">
        <v>189</v>
      </c>
      <c r="K80" t="s">
        <v>187</v>
      </c>
      <c r="L80" t="s">
        <v>27</v>
      </c>
      <c r="M80" s="3">
        <v>2000</v>
      </c>
      <c r="N80" t="s">
        <v>27</v>
      </c>
      <c r="O80" s="3">
        <v>2000</v>
      </c>
      <c r="P80" s="3">
        <v>2000</v>
      </c>
      <c r="Q80" t="s">
        <v>30</v>
      </c>
      <c r="R80" s="2">
        <v>0.7</v>
      </c>
      <c r="S80" s="3">
        <v>1400</v>
      </c>
      <c r="T80" t="s">
        <v>27</v>
      </c>
      <c r="U80" s="3">
        <v>1400</v>
      </c>
      <c r="V80" s="7" t="s">
        <v>2557</v>
      </c>
      <c r="W80" s="7" t="s">
        <v>2557</v>
      </c>
    </row>
    <row r="81" spans="1:23" x14ac:dyDescent="0.4">
      <c r="A81" t="s">
        <v>262</v>
      </c>
      <c r="B81" t="s">
        <v>722</v>
      </c>
      <c r="C81" t="s">
        <v>774</v>
      </c>
      <c r="D81" t="s">
        <v>21</v>
      </c>
      <c r="E81" t="s">
        <v>22</v>
      </c>
      <c r="F81" t="s">
        <v>23</v>
      </c>
      <c r="G81">
        <v>1</v>
      </c>
      <c r="H81">
        <v>9791191562309</v>
      </c>
      <c r="I81" t="s">
        <v>143</v>
      </c>
      <c r="J81" t="s">
        <v>225</v>
      </c>
      <c r="K81" t="s">
        <v>226</v>
      </c>
      <c r="L81" t="s">
        <v>27</v>
      </c>
      <c r="M81" s="3">
        <v>2500</v>
      </c>
      <c r="N81" t="s">
        <v>27</v>
      </c>
      <c r="O81" s="3">
        <v>2500</v>
      </c>
      <c r="P81" s="3">
        <v>2500</v>
      </c>
      <c r="Q81" t="s">
        <v>30</v>
      </c>
      <c r="R81" s="2">
        <v>0.7</v>
      </c>
      <c r="S81" s="3">
        <v>1750</v>
      </c>
      <c r="T81" t="s">
        <v>27</v>
      </c>
      <c r="U81" s="3">
        <v>1750</v>
      </c>
      <c r="V81" s="7" t="s">
        <v>2557</v>
      </c>
      <c r="W81" s="7" t="s">
        <v>2557</v>
      </c>
    </row>
    <row r="82" spans="1:23" x14ac:dyDescent="0.4">
      <c r="A82" t="s">
        <v>262</v>
      </c>
      <c r="B82" t="s">
        <v>722</v>
      </c>
      <c r="C82" t="s">
        <v>785</v>
      </c>
      <c r="D82" t="s">
        <v>21</v>
      </c>
      <c r="E82" t="s">
        <v>22</v>
      </c>
      <c r="F82" t="s">
        <v>23</v>
      </c>
      <c r="G82">
        <v>1</v>
      </c>
      <c r="H82">
        <v>9791191562286</v>
      </c>
      <c r="I82" t="s">
        <v>143</v>
      </c>
      <c r="J82" t="s">
        <v>238</v>
      </c>
      <c r="K82" t="s">
        <v>239</v>
      </c>
      <c r="L82" t="s">
        <v>27</v>
      </c>
      <c r="M82" s="3">
        <v>2000</v>
      </c>
      <c r="N82" t="s">
        <v>27</v>
      </c>
      <c r="O82" s="3">
        <v>2000</v>
      </c>
      <c r="P82" s="3">
        <v>2000</v>
      </c>
      <c r="Q82" t="s">
        <v>30</v>
      </c>
      <c r="R82" s="2">
        <v>0.7</v>
      </c>
      <c r="S82" s="3">
        <v>1400</v>
      </c>
      <c r="T82" t="s">
        <v>27</v>
      </c>
      <c r="U82" s="3">
        <v>1400</v>
      </c>
      <c r="V82" s="7" t="s">
        <v>2557</v>
      </c>
      <c r="W82" s="7" t="s">
        <v>2557</v>
      </c>
    </row>
    <row r="83" spans="1:23" x14ac:dyDescent="0.4">
      <c r="A83" t="s">
        <v>262</v>
      </c>
      <c r="B83" t="s">
        <v>722</v>
      </c>
      <c r="C83" t="s">
        <v>793</v>
      </c>
      <c r="D83" t="s">
        <v>21</v>
      </c>
      <c r="E83" t="s">
        <v>22</v>
      </c>
      <c r="F83" t="s">
        <v>23</v>
      </c>
      <c r="G83">
        <v>1</v>
      </c>
      <c r="H83">
        <v>9791191562286</v>
      </c>
      <c r="I83" t="s">
        <v>143</v>
      </c>
      <c r="J83" t="s">
        <v>238</v>
      </c>
      <c r="K83" t="s">
        <v>239</v>
      </c>
      <c r="L83" t="s">
        <v>27</v>
      </c>
      <c r="M83" s="3">
        <v>2000</v>
      </c>
      <c r="N83" t="s">
        <v>27</v>
      </c>
      <c r="O83" s="3">
        <v>2000</v>
      </c>
      <c r="P83" s="3">
        <v>2000</v>
      </c>
      <c r="Q83" t="s">
        <v>30</v>
      </c>
      <c r="R83" s="2">
        <v>0.7</v>
      </c>
      <c r="S83" s="3">
        <v>1400</v>
      </c>
      <c r="T83" t="s">
        <v>27</v>
      </c>
      <c r="U83" s="3">
        <v>1400</v>
      </c>
      <c r="V83" s="7" t="s">
        <v>2557</v>
      </c>
      <c r="W83" s="7" t="s">
        <v>2557</v>
      </c>
    </row>
    <row r="84" spans="1:23" x14ac:dyDescent="0.4">
      <c r="A84" t="s">
        <v>262</v>
      </c>
      <c r="B84" t="s">
        <v>722</v>
      </c>
      <c r="C84" t="s">
        <v>801</v>
      </c>
      <c r="D84" t="s">
        <v>21</v>
      </c>
      <c r="E84" t="s">
        <v>22</v>
      </c>
      <c r="F84" t="s">
        <v>23</v>
      </c>
      <c r="G84">
        <v>1</v>
      </c>
      <c r="H84">
        <v>9791191562125</v>
      </c>
      <c r="I84" t="s">
        <v>143</v>
      </c>
      <c r="J84" t="s">
        <v>212</v>
      </c>
      <c r="K84" t="s">
        <v>213</v>
      </c>
      <c r="L84" t="s">
        <v>27</v>
      </c>
      <c r="M84" s="3">
        <v>2500</v>
      </c>
      <c r="N84" t="s">
        <v>27</v>
      </c>
      <c r="O84" s="3">
        <v>2500</v>
      </c>
      <c r="P84" s="3">
        <v>2500</v>
      </c>
      <c r="Q84" t="s">
        <v>30</v>
      </c>
      <c r="R84" s="2">
        <v>0.7</v>
      </c>
      <c r="S84" s="3">
        <v>1750</v>
      </c>
      <c r="T84" t="s">
        <v>27</v>
      </c>
      <c r="U84" s="3">
        <v>1750</v>
      </c>
      <c r="V84" s="7" t="s">
        <v>2557</v>
      </c>
      <c r="W84" s="7" t="s">
        <v>2557</v>
      </c>
    </row>
    <row r="85" spans="1:23" x14ac:dyDescent="0.4">
      <c r="A85" t="s">
        <v>262</v>
      </c>
      <c r="B85" t="s">
        <v>722</v>
      </c>
      <c r="C85" t="s">
        <v>803</v>
      </c>
      <c r="D85" t="s">
        <v>21</v>
      </c>
      <c r="E85" t="s">
        <v>22</v>
      </c>
      <c r="F85" t="s">
        <v>23</v>
      </c>
      <c r="G85">
        <v>1</v>
      </c>
      <c r="H85">
        <v>9791191562248</v>
      </c>
      <c r="I85" t="s">
        <v>143</v>
      </c>
      <c r="J85" t="s">
        <v>231</v>
      </c>
      <c r="K85" t="s">
        <v>232</v>
      </c>
      <c r="L85" t="s">
        <v>27</v>
      </c>
      <c r="M85" s="3">
        <v>2000</v>
      </c>
      <c r="N85" t="s">
        <v>27</v>
      </c>
      <c r="O85" s="3">
        <v>2000</v>
      </c>
      <c r="P85" s="3">
        <v>2000</v>
      </c>
      <c r="Q85" t="s">
        <v>30</v>
      </c>
      <c r="R85" s="2">
        <v>0.7</v>
      </c>
      <c r="S85" s="3">
        <v>1400</v>
      </c>
      <c r="T85" t="s">
        <v>27</v>
      </c>
      <c r="U85" s="3">
        <v>1400</v>
      </c>
      <c r="V85" s="7" t="s">
        <v>2557</v>
      </c>
      <c r="W85" s="7" t="s">
        <v>2557</v>
      </c>
    </row>
    <row r="86" spans="1:23" x14ac:dyDescent="0.4">
      <c r="A86" t="s">
        <v>262</v>
      </c>
      <c r="B86" t="s">
        <v>810</v>
      </c>
      <c r="C86" t="s">
        <v>812</v>
      </c>
      <c r="D86" t="s">
        <v>21</v>
      </c>
      <c r="E86" t="s">
        <v>22</v>
      </c>
      <c r="F86" t="s">
        <v>23</v>
      </c>
      <c r="G86">
        <v>1</v>
      </c>
      <c r="H86">
        <v>9791191562286</v>
      </c>
      <c r="I86" t="s">
        <v>143</v>
      </c>
      <c r="J86" t="s">
        <v>238</v>
      </c>
      <c r="K86" t="s">
        <v>239</v>
      </c>
      <c r="L86" t="s">
        <v>27</v>
      </c>
      <c r="M86" s="3">
        <v>2000</v>
      </c>
      <c r="N86" t="s">
        <v>27</v>
      </c>
      <c r="O86" s="3">
        <v>2000</v>
      </c>
      <c r="P86" s="3">
        <v>2000</v>
      </c>
      <c r="Q86" t="s">
        <v>30</v>
      </c>
      <c r="R86" s="2">
        <v>0.7</v>
      </c>
      <c r="S86" s="3">
        <v>1400</v>
      </c>
      <c r="T86" t="s">
        <v>27</v>
      </c>
      <c r="U86" s="3">
        <v>1400</v>
      </c>
      <c r="V86" s="7" t="s">
        <v>2557</v>
      </c>
      <c r="W86" s="7" t="s">
        <v>2557</v>
      </c>
    </row>
    <row r="87" spans="1:23" x14ac:dyDescent="0.4">
      <c r="A87" t="s">
        <v>262</v>
      </c>
      <c r="B87" t="s">
        <v>810</v>
      </c>
      <c r="C87" t="s">
        <v>814</v>
      </c>
      <c r="D87" t="s">
        <v>21</v>
      </c>
      <c r="E87" t="s">
        <v>22</v>
      </c>
      <c r="F87" t="s">
        <v>23</v>
      </c>
      <c r="G87">
        <v>1</v>
      </c>
      <c r="H87">
        <v>9791191562187</v>
      </c>
      <c r="I87" t="s">
        <v>143</v>
      </c>
      <c r="J87" t="s">
        <v>217</v>
      </c>
      <c r="K87" t="s">
        <v>218</v>
      </c>
      <c r="L87" t="s">
        <v>27</v>
      </c>
      <c r="M87" s="3">
        <v>2000</v>
      </c>
      <c r="N87" t="s">
        <v>28</v>
      </c>
      <c r="O87">
        <v>1.65</v>
      </c>
      <c r="P87">
        <v>1.65</v>
      </c>
      <c r="Q87" t="s">
        <v>29</v>
      </c>
      <c r="R87" s="2">
        <v>0.7</v>
      </c>
      <c r="S87">
        <v>1.1499999999999999</v>
      </c>
      <c r="T87" t="s">
        <v>27</v>
      </c>
      <c r="U87" s="3">
        <v>1464</v>
      </c>
      <c r="V87" s="7" t="s">
        <v>2557</v>
      </c>
      <c r="W87" s="7" t="s">
        <v>2557</v>
      </c>
    </row>
    <row r="88" spans="1:23" x14ac:dyDescent="0.4">
      <c r="A88" t="s">
        <v>262</v>
      </c>
      <c r="B88" t="s">
        <v>810</v>
      </c>
      <c r="C88" t="s">
        <v>841</v>
      </c>
      <c r="D88" t="s">
        <v>21</v>
      </c>
      <c r="E88" t="s">
        <v>22</v>
      </c>
      <c r="F88" t="s">
        <v>23</v>
      </c>
      <c r="G88">
        <v>1</v>
      </c>
      <c r="H88">
        <v>9791191562286</v>
      </c>
      <c r="I88" t="s">
        <v>143</v>
      </c>
      <c r="J88" t="s">
        <v>238</v>
      </c>
      <c r="K88" t="s">
        <v>239</v>
      </c>
      <c r="L88" t="s">
        <v>27</v>
      </c>
      <c r="M88" s="3">
        <v>2000</v>
      </c>
      <c r="N88" t="s">
        <v>27</v>
      </c>
      <c r="O88" s="3">
        <v>2000</v>
      </c>
      <c r="P88" s="3">
        <v>2000</v>
      </c>
      <c r="Q88" t="s">
        <v>30</v>
      </c>
      <c r="R88" s="2">
        <v>0.7</v>
      </c>
      <c r="S88" s="3">
        <v>1400</v>
      </c>
      <c r="T88" t="s">
        <v>27</v>
      </c>
      <c r="U88" s="3">
        <v>1400</v>
      </c>
      <c r="V88" s="7" t="s">
        <v>2557</v>
      </c>
      <c r="W88" s="7" t="s">
        <v>2557</v>
      </c>
    </row>
    <row r="89" spans="1:23" x14ac:dyDescent="0.4">
      <c r="A89" t="s">
        <v>262</v>
      </c>
      <c r="B89" t="s">
        <v>810</v>
      </c>
      <c r="C89" t="s">
        <v>844</v>
      </c>
      <c r="D89" t="s">
        <v>21</v>
      </c>
      <c r="E89" t="s">
        <v>22</v>
      </c>
      <c r="F89" t="s">
        <v>23</v>
      </c>
      <c r="G89">
        <v>1</v>
      </c>
      <c r="H89">
        <v>9791191562033</v>
      </c>
      <c r="I89" t="s">
        <v>143</v>
      </c>
      <c r="J89" t="s">
        <v>189</v>
      </c>
      <c r="K89" t="s">
        <v>187</v>
      </c>
      <c r="L89" t="s">
        <v>27</v>
      </c>
      <c r="M89" s="3">
        <v>2000</v>
      </c>
      <c r="N89" t="s">
        <v>27</v>
      </c>
      <c r="O89" s="3">
        <v>2000</v>
      </c>
      <c r="P89" s="3">
        <v>2000</v>
      </c>
      <c r="Q89" t="s">
        <v>30</v>
      </c>
      <c r="R89" s="2">
        <v>0.7</v>
      </c>
      <c r="S89" s="3">
        <v>1400</v>
      </c>
      <c r="T89" t="s">
        <v>27</v>
      </c>
      <c r="U89" s="3">
        <v>1400</v>
      </c>
      <c r="V89" s="7" t="s">
        <v>2557</v>
      </c>
      <c r="W89" s="7" t="s">
        <v>2557</v>
      </c>
    </row>
    <row r="90" spans="1:23" x14ac:dyDescent="0.4">
      <c r="A90" t="s">
        <v>262</v>
      </c>
      <c r="B90" t="s">
        <v>810</v>
      </c>
      <c r="C90" t="s">
        <v>849</v>
      </c>
      <c r="D90" t="s">
        <v>21</v>
      </c>
      <c r="E90" t="s">
        <v>22</v>
      </c>
      <c r="F90" t="s">
        <v>23</v>
      </c>
      <c r="G90">
        <v>1</v>
      </c>
      <c r="H90">
        <v>9791191562163</v>
      </c>
      <c r="I90" t="s">
        <v>143</v>
      </c>
      <c r="J90" t="s">
        <v>214</v>
      </c>
      <c r="K90" t="s">
        <v>215</v>
      </c>
      <c r="L90" t="s">
        <v>27</v>
      </c>
      <c r="M90" s="3">
        <v>2000</v>
      </c>
      <c r="N90" t="s">
        <v>27</v>
      </c>
      <c r="O90" s="3">
        <v>2000</v>
      </c>
      <c r="P90" s="3">
        <v>2000</v>
      </c>
      <c r="Q90" t="s">
        <v>30</v>
      </c>
      <c r="R90" s="2">
        <v>0.7</v>
      </c>
      <c r="S90" s="3">
        <v>1400</v>
      </c>
      <c r="T90" t="s">
        <v>27</v>
      </c>
      <c r="U90" s="3">
        <v>1400</v>
      </c>
      <c r="V90" s="7" t="s">
        <v>2557</v>
      </c>
      <c r="W90" s="7" t="s">
        <v>2557</v>
      </c>
    </row>
    <row r="91" spans="1:23" x14ac:dyDescent="0.4">
      <c r="A91" t="s">
        <v>262</v>
      </c>
      <c r="B91" t="s">
        <v>810</v>
      </c>
      <c r="C91" t="s">
        <v>850</v>
      </c>
      <c r="D91" t="s">
        <v>21</v>
      </c>
      <c r="E91" t="s">
        <v>22</v>
      </c>
      <c r="F91" t="s">
        <v>23</v>
      </c>
      <c r="G91">
        <v>1</v>
      </c>
      <c r="H91">
        <v>9791191562224</v>
      </c>
      <c r="I91" t="s">
        <v>143</v>
      </c>
      <c r="J91" t="s">
        <v>221</v>
      </c>
      <c r="K91" t="s">
        <v>222</v>
      </c>
      <c r="L91" t="s">
        <v>27</v>
      </c>
      <c r="M91" s="3">
        <v>2500</v>
      </c>
      <c r="N91" t="s">
        <v>27</v>
      </c>
      <c r="O91" s="3">
        <v>2500</v>
      </c>
      <c r="P91" s="3">
        <v>2500</v>
      </c>
      <c r="Q91" t="s">
        <v>30</v>
      </c>
      <c r="R91" s="2">
        <v>0.7</v>
      </c>
      <c r="S91" s="3">
        <v>1750</v>
      </c>
      <c r="T91" t="s">
        <v>27</v>
      </c>
      <c r="U91" s="3">
        <v>1750</v>
      </c>
      <c r="V91" s="7" t="s">
        <v>2557</v>
      </c>
      <c r="W91" s="7" t="s">
        <v>2557</v>
      </c>
    </row>
    <row r="92" spans="1:23" x14ac:dyDescent="0.4">
      <c r="A92" t="s">
        <v>262</v>
      </c>
      <c r="B92" t="s">
        <v>810</v>
      </c>
      <c r="C92" t="s">
        <v>851</v>
      </c>
      <c r="D92" t="s">
        <v>21</v>
      </c>
      <c r="E92" t="s">
        <v>22</v>
      </c>
      <c r="F92" t="s">
        <v>23</v>
      </c>
      <c r="G92">
        <v>1</v>
      </c>
      <c r="H92">
        <v>9791191562286</v>
      </c>
      <c r="I92" t="s">
        <v>143</v>
      </c>
      <c r="J92" t="s">
        <v>238</v>
      </c>
      <c r="K92" t="s">
        <v>239</v>
      </c>
      <c r="L92" t="s">
        <v>27</v>
      </c>
      <c r="M92" s="3">
        <v>2000</v>
      </c>
      <c r="N92" t="s">
        <v>27</v>
      </c>
      <c r="O92" s="3">
        <v>2000</v>
      </c>
      <c r="P92" s="3">
        <v>2000</v>
      </c>
      <c r="Q92" t="s">
        <v>30</v>
      </c>
      <c r="R92" s="2">
        <v>0.7</v>
      </c>
      <c r="S92" s="3">
        <v>1400</v>
      </c>
      <c r="T92" t="s">
        <v>27</v>
      </c>
      <c r="U92" s="3">
        <v>1400</v>
      </c>
      <c r="V92" s="7" t="s">
        <v>2557</v>
      </c>
      <c r="W92" s="7" t="s">
        <v>2557</v>
      </c>
    </row>
    <row r="93" spans="1:23" x14ac:dyDescent="0.4">
      <c r="A93" t="s">
        <v>262</v>
      </c>
      <c r="B93" t="s">
        <v>810</v>
      </c>
      <c r="C93" t="s">
        <v>851</v>
      </c>
      <c r="D93" t="s">
        <v>21</v>
      </c>
      <c r="E93" t="s">
        <v>22</v>
      </c>
      <c r="F93" t="s">
        <v>23</v>
      </c>
      <c r="G93">
        <v>1</v>
      </c>
      <c r="H93">
        <v>9791191562248</v>
      </c>
      <c r="I93" t="s">
        <v>143</v>
      </c>
      <c r="J93" t="s">
        <v>231</v>
      </c>
      <c r="K93" t="s">
        <v>232</v>
      </c>
      <c r="L93" t="s">
        <v>27</v>
      </c>
      <c r="M93" s="3">
        <v>2000</v>
      </c>
      <c r="N93" t="s">
        <v>27</v>
      </c>
      <c r="O93" s="3">
        <v>2000</v>
      </c>
      <c r="P93" s="3">
        <v>2000</v>
      </c>
      <c r="Q93" t="s">
        <v>30</v>
      </c>
      <c r="R93" s="2">
        <v>0.7</v>
      </c>
      <c r="S93" s="3">
        <v>1400</v>
      </c>
      <c r="T93" t="s">
        <v>27</v>
      </c>
      <c r="U93" s="3">
        <v>1400</v>
      </c>
      <c r="V93" s="7" t="s">
        <v>2557</v>
      </c>
      <c r="W93" s="7" t="s">
        <v>2557</v>
      </c>
    </row>
    <row r="94" spans="1:23" x14ac:dyDescent="0.4">
      <c r="A94" t="s">
        <v>262</v>
      </c>
      <c r="B94" t="s">
        <v>810</v>
      </c>
      <c r="C94" t="s">
        <v>851</v>
      </c>
      <c r="D94" t="s">
        <v>21</v>
      </c>
      <c r="E94" t="s">
        <v>22</v>
      </c>
      <c r="F94" t="s">
        <v>23</v>
      </c>
      <c r="G94">
        <v>1</v>
      </c>
      <c r="H94">
        <v>9791191562224</v>
      </c>
      <c r="I94" t="s">
        <v>143</v>
      </c>
      <c r="J94" t="s">
        <v>221</v>
      </c>
      <c r="K94" t="s">
        <v>222</v>
      </c>
      <c r="L94" t="s">
        <v>27</v>
      </c>
      <c r="M94" s="3">
        <v>2500</v>
      </c>
      <c r="N94" t="s">
        <v>27</v>
      </c>
      <c r="O94" s="3">
        <v>2500</v>
      </c>
      <c r="P94" s="3">
        <v>2500</v>
      </c>
      <c r="Q94" t="s">
        <v>30</v>
      </c>
      <c r="R94" s="2">
        <v>0.7</v>
      </c>
      <c r="S94" s="3">
        <v>1750</v>
      </c>
      <c r="T94" t="s">
        <v>27</v>
      </c>
      <c r="U94" s="3">
        <v>1750</v>
      </c>
      <c r="V94" s="7" t="s">
        <v>2557</v>
      </c>
      <c r="W94" s="7" t="s">
        <v>2557</v>
      </c>
    </row>
    <row r="95" spans="1:23" x14ac:dyDescent="0.4">
      <c r="A95" t="s">
        <v>262</v>
      </c>
      <c r="B95" t="s">
        <v>810</v>
      </c>
      <c r="C95" t="s">
        <v>863</v>
      </c>
      <c r="D95" t="s">
        <v>21</v>
      </c>
      <c r="E95" t="s">
        <v>22</v>
      </c>
      <c r="F95" t="s">
        <v>23</v>
      </c>
      <c r="G95">
        <v>1</v>
      </c>
      <c r="H95">
        <v>9791191562392</v>
      </c>
      <c r="I95" t="s">
        <v>143</v>
      </c>
      <c r="J95" t="s">
        <v>864</v>
      </c>
      <c r="K95" t="s">
        <v>2555</v>
      </c>
      <c r="L95" t="s">
        <v>27</v>
      </c>
      <c r="M95" s="3">
        <v>2000</v>
      </c>
      <c r="N95" t="s">
        <v>200</v>
      </c>
      <c r="O95">
        <v>1.5</v>
      </c>
      <c r="P95">
        <v>1.4</v>
      </c>
      <c r="Q95" t="s">
        <v>202</v>
      </c>
      <c r="R95" s="2">
        <v>0.7</v>
      </c>
      <c r="S95">
        <v>0.98</v>
      </c>
      <c r="T95" t="s">
        <v>27</v>
      </c>
      <c r="U95" s="3">
        <v>1316</v>
      </c>
      <c r="V95" s="7" t="s">
        <v>2557</v>
      </c>
      <c r="W95" s="7" t="s">
        <v>2557</v>
      </c>
    </row>
    <row r="96" spans="1:23" x14ac:dyDescent="0.4">
      <c r="A96" t="s">
        <v>262</v>
      </c>
      <c r="B96" t="s">
        <v>810</v>
      </c>
      <c r="C96" t="s">
        <v>870</v>
      </c>
      <c r="D96" t="s">
        <v>21</v>
      </c>
      <c r="E96" t="s">
        <v>22</v>
      </c>
      <c r="F96" t="s">
        <v>23</v>
      </c>
      <c r="G96">
        <v>1</v>
      </c>
      <c r="H96">
        <v>9791191562125</v>
      </c>
      <c r="I96" t="s">
        <v>143</v>
      </c>
      <c r="J96" t="s">
        <v>212</v>
      </c>
      <c r="K96" t="s">
        <v>213</v>
      </c>
      <c r="L96" t="s">
        <v>27</v>
      </c>
      <c r="M96" s="3">
        <v>2500</v>
      </c>
      <c r="N96" t="s">
        <v>27</v>
      </c>
      <c r="O96" s="3">
        <v>2500</v>
      </c>
      <c r="P96" s="3">
        <v>2500</v>
      </c>
      <c r="Q96" t="s">
        <v>30</v>
      </c>
      <c r="R96" s="2">
        <v>0.7</v>
      </c>
      <c r="S96" s="3">
        <v>1750</v>
      </c>
      <c r="T96" t="s">
        <v>27</v>
      </c>
      <c r="U96" s="3">
        <v>1750</v>
      </c>
      <c r="V96" s="7" t="s">
        <v>2557</v>
      </c>
      <c r="W96" s="7" t="s">
        <v>2557</v>
      </c>
    </row>
    <row r="97" spans="1:23" x14ac:dyDescent="0.4">
      <c r="A97" t="s">
        <v>262</v>
      </c>
      <c r="B97" t="s">
        <v>810</v>
      </c>
      <c r="C97" t="s">
        <v>877</v>
      </c>
      <c r="D97" t="s">
        <v>21</v>
      </c>
      <c r="E97" t="s">
        <v>22</v>
      </c>
      <c r="F97" t="s">
        <v>23</v>
      </c>
      <c r="G97">
        <v>1</v>
      </c>
      <c r="H97">
        <v>9791191562408</v>
      </c>
      <c r="I97" t="s">
        <v>143</v>
      </c>
      <c r="J97" t="s">
        <v>698</v>
      </c>
      <c r="K97" t="s">
        <v>215</v>
      </c>
      <c r="L97" t="s">
        <v>27</v>
      </c>
      <c r="M97" s="3">
        <v>2000</v>
      </c>
      <c r="N97" t="s">
        <v>27</v>
      </c>
      <c r="O97" s="3">
        <v>2000</v>
      </c>
      <c r="P97" s="3">
        <v>2000</v>
      </c>
      <c r="Q97" t="s">
        <v>30</v>
      </c>
      <c r="R97" s="2">
        <v>0.7</v>
      </c>
      <c r="S97" s="3">
        <v>1400</v>
      </c>
      <c r="T97" t="s">
        <v>27</v>
      </c>
      <c r="U97" s="3">
        <v>1400</v>
      </c>
      <c r="V97" s="7" t="s">
        <v>2557</v>
      </c>
      <c r="W97" s="7" t="s">
        <v>2557</v>
      </c>
    </row>
    <row r="98" spans="1:23" x14ac:dyDescent="0.4">
      <c r="A98" t="s">
        <v>262</v>
      </c>
      <c r="B98" t="s">
        <v>810</v>
      </c>
      <c r="C98" t="s">
        <v>878</v>
      </c>
      <c r="D98" t="s">
        <v>21</v>
      </c>
      <c r="E98" t="s">
        <v>22</v>
      </c>
      <c r="F98" t="s">
        <v>23</v>
      </c>
      <c r="G98">
        <v>1</v>
      </c>
      <c r="H98">
        <v>9791191562224</v>
      </c>
      <c r="I98" t="s">
        <v>143</v>
      </c>
      <c r="J98" t="s">
        <v>221</v>
      </c>
      <c r="K98" t="s">
        <v>222</v>
      </c>
      <c r="L98" t="s">
        <v>27</v>
      </c>
      <c r="M98" s="3">
        <v>2500</v>
      </c>
      <c r="N98" t="s">
        <v>27</v>
      </c>
      <c r="O98" s="3">
        <v>2500</v>
      </c>
      <c r="P98" s="3">
        <v>2500</v>
      </c>
      <c r="Q98" t="s">
        <v>30</v>
      </c>
      <c r="R98" s="2">
        <v>0.7</v>
      </c>
      <c r="S98" s="3">
        <v>1750</v>
      </c>
      <c r="T98" t="s">
        <v>27</v>
      </c>
      <c r="U98" s="3">
        <v>1750</v>
      </c>
      <c r="V98" s="7" t="s">
        <v>2557</v>
      </c>
      <c r="W98" s="7" t="s">
        <v>2557</v>
      </c>
    </row>
    <row r="99" spans="1:23" x14ac:dyDescent="0.4">
      <c r="A99" t="s">
        <v>262</v>
      </c>
      <c r="B99" t="s">
        <v>810</v>
      </c>
      <c r="C99" t="s">
        <v>884</v>
      </c>
      <c r="D99" t="s">
        <v>21</v>
      </c>
      <c r="E99" t="s">
        <v>22</v>
      </c>
      <c r="F99" t="s">
        <v>23</v>
      </c>
      <c r="G99">
        <v>1</v>
      </c>
      <c r="H99">
        <v>9791191562262</v>
      </c>
      <c r="I99" t="s">
        <v>143</v>
      </c>
      <c r="J99" t="s">
        <v>250</v>
      </c>
      <c r="K99" t="s">
        <v>251</v>
      </c>
      <c r="L99" t="s">
        <v>27</v>
      </c>
      <c r="M99" s="3">
        <v>2000</v>
      </c>
      <c r="N99" t="s">
        <v>27</v>
      </c>
      <c r="O99" s="3">
        <v>2000</v>
      </c>
      <c r="P99" s="3">
        <v>2000</v>
      </c>
      <c r="Q99" t="s">
        <v>30</v>
      </c>
      <c r="R99" s="2">
        <v>0.7</v>
      </c>
      <c r="S99" s="3">
        <v>1400</v>
      </c>
      <c r="T99" t="s">
        <v>27</v>
      </c>
      <c r="U99" s="3">
        <v>1400</v>
      </c>
      <c r="V99" s="7" t="s">
        <v>2557</v>
      </c>
      <c r="W99" s="7" t="s">
        <v>2557</v>
      </c>
    </row>
    <row r="100" spans="1:23" x14ac:dyDescent="0.4">
      <c r="A100" t="s">
        <v>262</v>
      </c>
      <c r="B100" t="s">
        <v>810</v>
      </c>
      <c r="C100" t="s">
        <v>891</v>
      </c>
      <c r="D100" t="s">
        <v>21</v>
      </c>
      <c r="E100" t="s">
        <v>22</v>
      </c>
      <c r="F100" t="s">
        <v>23</v>
      </c>
      <c r="G100">
        <v>1</v>
      </c>
      <c r="H100">
        <v>9791196945268</v>
      </c>
      <c r="I100" t="s">
        <v>143</v>
      </c>
      <c r="J100" t="s">
        <v>185</v>
      </c>
      <c r="K100" t="s">
        <v>188</v>
      </c>
      <c r="L100" t="s">
        <v>27</v>
      </c>
      <c r="M100" s="3">
        <v>2500</v>
      </c>
      <c r="N100" t="s">
        <v>28</v>
      </c>
      <c r="O100">
        <v>2.06</v>
      </c>
      <c r="P100">
        <v>2.06</v>
      </c>
      <c r="Q100" t="s">
        <v>29</v>
      </c>
      <c r="R100" s="2">
        <v>0.7</v>
      </c>
      <c r="S100">
        <v>1.44</v>
      </c>
      <c r="T100" t="s">
        <v>27</v>
      </c>
      <c r="U100" s="3">
        <v>1835</v>
      </c>
      <c r="V100" s="7" t="s">
        <v>2557</v>
      </c>
      <c r="W100" s="7" t="s">
        <v>2557</v>
      </c>
    </row>
    <row r="101" spans="1:23" x14ac:dyDescent="0.4">
      <c r="A101" t="s">
        <v>262</v>
      </c>
      <c r="B101" t="s">
        <v>899</v>
      </c>
      <c r="C101" t="s">
        <v>915</v>
      </c>
      <c r="D101" t="s">
        <v>21</v>
      </c>
      <c r="E101" t="s">
        <v>22</v>
      </c>
      <c r="F101" t="s">
        <v>216</v>
      </c>
      <c r="G101">
        <v>1</v>
      </c>
      <c r="H101">
        <v>9791191562361</v>
      </c>
      <c r="I101" t="s">
        <v>143</v>
      </c>
      <c r="J101" t="s">
        <v>916</v>
      </c>
      <c r="K101" t="s">
        <v>186</v>
      </c>
      <c r="L101" t="s">
        <v>27</v>
      </c>
      <c r="M101" s="3">
        <v>2000</v>
      </c>
      <c r="N101" t="s">
        <v>27</v>
      </c>
      <c r="O101" s="3">
        <v>2000</v>
      </c>
      <c r="P101" s="3">
        <v>2000</v>
      </c>
      <c r="Q101" t="s">
        <v>30</v>
      </c>
      <c r="R101" s="2">
        <v>0.7</v>
      </c>
      <c r="S101" s="3">
        <v>1400</v>
      </c>
      <c r="T101" t="s">
        <v>27</v>
      </c>
      <c r="U101" s="3">
        <v>1400</v>
      </c>
      <c r="V101" s="7" t="s">
        <v>2557</v>
      </c>
      <c r="W101" s="7" t="s">
        <v>2557</v>
      </c>
    </row>
    <row r="102" spans="1:23" x14ac:dyDescent="0.4">
      <c r="A102" t="s">
        <v>262</v>
      </c>
      <c r="B102" t="s">
        <v>899</v>
      </c>
      <c r="C102" t="s">
        <v>935</v>
      </c>
      <c r="D102" t="s">
        <v>21</v>
      </c>
      <c r="E102" t="s">
        <v>22</v>
      </c>
      <c r="F102" t="s">
        <v>216</v>
      </c>
      <c r="G102">
        <v>1</v>
      </c>
      <c r="H102">
        <v>9791191562385</v>
      </c>
      <c r="I102" t="s">
        <v>143</v>
      </c>
      <c r="J102" t="s">
        <v>936</v>
      </c>
      <c r="K102" t="s">
        <v>937</v>
      </c>
      <c r="L102" t="s">
        <v>27</v>
      </c>
      <c r="M102" s="3">
        <v>2000</v>
      </c>
      <c r="N102" t="s">
        <v>27</v>
      </c>
      <c r="O102" s="3">
        <v>2000</v>
      </c>
      <c r="P102" s="3">
        <v>2000</v>
      </c>
      <c r="Q102" t="s">
        <v>30</v>
      </c>
      <c r="R102" s="2">
        <v>0.7</v>
      </c>
      <c r="S102" s="3">
        <v>1400</v>
      </c>
      <c r="T102" t="s">
        <v>27</v>
      </c>
      <c r="U102" s="3">
        <v>1400</v>
      </c>
      <c r="V102" s="7" t="s">
        <v>2557</v>
      </c>
      <c r="W102" s="7" t="s">
        <v>2557</v>
      </c>
    </row>
    <row r="103" spans="1:23" x14ac:dyDescent="0.4">
      <c r="A103" t="s">
        <v>262</v>
      </c>
      <c r="B103" t="s">
        <v>899</v>
      </c>
      <c r="C103" t="s">
        <v>944</v>
      </c>
      <c r="D103" t="s">
        <v>21</v>
      </c>
      <c r="E103" t="s">
        <v>22</v>
      </c>
      <c r="F103" t="s">
        <v>23</v>
      </c>
      <c r="G103">
        <v>1</v>
      </c>
      <c r="H103">
        <v>9791191562125</v>
      </c>
      <c r="I103" t="s">
        <v>143</v>
      </c>
      <c r="J103" t="s">
        <v>212</v>
      </c>
      <c r="K103" t="s">
        <v>213</v>
      </c>
      <c r="L103" t="s">
        <v>27</v>
      </c>
      <c r="M103" s="3">
        <v>2500</v>
      </c>
      <c r="N103" t="s">
        <v>27</v>
      </c>
      <c r="O103" s="3">
        <v>2500</v>
      </c>
      <c r="P103" s="3">
        <v>2500</v>
      </c>
      <c r="Q103" t="s">
        <v>30</v>
      </c>
      <c r="R103" s="2">
        <v>0.7</v>
      </c>
      <c r="S103" s="3">
        <v>1750</v>
      </c>
      <c r="T103" t="s">
        <v>27</v>
      </c>
      <c r="U103" s="3">
        <v>1750</v>
      </c>
      <c r="V103" s="7" t="s">
        <v>2557</v>
      </c>
      <c r="W103" s="7" t="s">
        <v>2557</v>
      </c>
    </row>
    <row r="104" spans="1:23" x14ac:dyDescent="0.4">
      <c r="A104" t="s">
        <v>262</v>
      </c>
      <c r="B104" t="s">
        <v>899</v>
      </c>
      <c r="C104" t="s">
        <v>948</v>
      </c>
      <c r="D104" t="s">
        <v>21</v>
      </c>
      <c r="E104" t="s">
        <v>22</v>
      </c>
      <c r="F104" t="s">
        <v>23</v>
      </c>
      <c r="G104">
        <v>1</v>
      </c>
      <c r="H104">
        <v>9791191562101</v>
      </c>
      <c r="I104" t="s">
        <v>143</v>
      </c>
      <c r="J104" t="s">
        <v>196</v>
      </c>
      <c r="K104" t="s">
        <v>201</v>
      </c>
      <c r="L104" t="s">
        <v>27</v>
      </c>
      <c r="M104" s="3">
        <v>3000</v>
      </c>
      <c r="N104" t="s">
        <v>27</v>
      </c>
      <c r="O104" s="3">
        <v>3000</v>
      </c>
      <c r="P104" s="3">
        <v>3000</v>
      </c>
      <c r="Q104" t="s">
        <v>30</v>
      </c>
      <c r="R104" s="2">
        <v>0.7</v>
      </c>
      <c r="S104" s="3">
        <v>2100</v>
      </c>
      <c r="T104" t="s">
        <v>27</v>
      </c>
      <c r="U104" s="3">
        <v>2100</v>
      </c>
      <c r="V104" s="7" t="s">
        <v>2557</v>
      </c>
      <c r="W104" s="7" t="s">
        <v>2557</v>
      </c>
    </row>
    <row r="105" spans="1:23" x14ac:dyDescent="0.4">
      <c r="A105" t="s">
        <v>262</v>
      </c>
      <c r="B105" t="s">
        <v>899</v>
      </c>
      <c r="C105" t="s">
        <v>950</v>
      </c>
      <c r="D105" t="s">
        <v>21</v>
      </c>
      <c r="E105" t="s">
        <v>22</v>
      </c>
      <c r="F105" t="s">
        <v>23</v>
      </c>
      <c r="G105">
        <v>1</v>
      </c>
      <c r="H105">
        <v>9791191562125</v>
      </c>
      <c r="I105" t="s">
        <v>143</v>
      </c>
      <c r="J105" t="s">
        <v>212</v>
      </c>
      <c r="K105" t="s">
        <v>213</v>
      </c>
      <c r="L105" t="s">
        <v>27</v>
      </c>
      <c r="M105" s="3">
        <v>2500</v>
      </c>
      <c r="N105" t="s">
        <v>27</v>
      </c>
      <c r="O105" s="3">
        <v>2500</v>
      </c>
      <c r="P105" s="3">
        <v>2500</v>
      </c>
      <c r="Q105" t="s">
        <v>30</v>
      </c>
      <c r="R105" s="2">
        <v>0.7</v>
      </c>
      <c r="S105" s="3">
        <v>1750</v>
      </c>
      <c r="T105" t="s">
        <v>27</v>
      </c>
      <c r="U105" s="3">
        <v>1750</v>
      </c>
      <c r="V105" s="7" t="s">
        <v>2557</v>
      </c>
      <c r="W105" s="7" t="s">
        <v>2557</v>
      </c>
    </row>
    <row r="106" spans="1:23" x14ac:dyDescent="0.4">
      <c r="A106" t="s">
        <v>262</v>
      </c>
      <c r="B106" t="s">
        <v>899</v>
      </c>
      <c r="C106" t="s">
        <v>963</v>
      </c>
      <c r="D106" t="s">
        <v>21</v>
      </c>
      <c r="E106" t="s">
        <v>22</v>
      </c>
      <c r="F106" t="s">
        <v>23</v>
      </c>
      <c r="G106">
        <v>1</v>
      </c>
      <c r="H106">
        <v>9791191562286</v>
      </c>
      <c r="I106" t="s">
        <v>143</v>
      </c>
      <c r="J106" t="s">
        <v>238</v>
      </c>
      <c r="K106" t="s">
        <v>239</v>
      </c>
      <c r="L106" t="s">
        <v>27</v>
      </c>
      <c r="M106" s="3">
        <v>2000</v>
      </c>
      <c r="N106" t="s">
        <v>27</v>
      </c>
      <c r="O106" s="3">
        <v>2000</v>
      </c>
      <c r="P106" s="3">
        <v>2000</v>
      </c>
      <c r="Q106" t="s">
        <v>30</v>
      </c>
      <c r="R106" s="2">
        <v>0.7</v>
      </c>
      <c r="S106" s="3">
        <v>1400</v>
      </c>
      <c r="T106" t="s">
        <v>27</v>
      </c>
      <c r="U106" s="3">
        <v>1400</v>
      </c>
      <c r="V106" s="7" t="s">
        <v>2557</v>
      </c>
      <c r="W106" s="7" t="s">
        <v>2557</v>
      </c>
    </row>
    <row r="107" spans="1:23" x14ac:dyDescent="0.4">
      <c r="A107" t="s">
        <v>262</v>
      </c>
      <c r="B107" t="s">
        <v>899</v>
      </c>
      <c r="C107" t="s">
        <v>968</v>
      </c>
      <c r="D107" t="s">
        <v>21</v>
      </c>
      <c r="E107" t="s">
        <v>22</v>
      </c>
      <c r="F107" t="s">
        <v>23</v>
      </c>
      <c r="G107">
        <v>1</v>
      </c>
      <c r="H107">
        <v>9791191562347</v>
      </c>
      <c r="I107" t="s">
        <v>143</v>
      </c>
      <c r="J107" t="s">
        <v>307</v>
      </c>
      <c r="K107" t="s">
        <v>308</v>
      </c>
      <c r="L107" t="s">
        <v>27</v>
      </c>
      <c r="M107" s="3">
        <v>3200</v>
      </c>
      <c r="N107" t="s">
        <v>27</v>
      </c>
      <c r="O107" s="3">
        <v>3200</v>
      </c>
      <c r="P107" s="3">
        <v>3200</v>
      </c>
      <c r="Q107" t="s">
        <v>30</v>
      </c>
      <c r="R107" s="2">
        <v>0.7</v>
      </c>
      <c r="S107" s="3">
        <v>2240</v>
      </c>
      <c r="T107" t="s">
        <v>27</v>
      </c>
      <c r="U107" s="3">
        <v>2240</v>
      </c>
      <c r="V107" s="7" t="s">
        <v>2557</v>
      </c>
      <c r="W107" s="7" t="s">
        <v>2557</v>
      </c>
    </row>
    <row r="108" spans="1:23" x14ac:dyDescent="0.4">
      <c r="A108" t="s">
        <v>262</v>
      </c>
      <c r="B108" t="s">
        <v>899</v>
      </c>
      <c r="C108" t="s">
        <v>971</v>
      </c>
      <c r="D108" t="s">
        <v>21</v>
      </c>
      <c r="E108" t="s">
        <v>22</v>
      </c>
      <c r="F108" t="s">
        <v>23</v>
      </c>
      <c r="G108">
        <v>1</v>
      </c>
      <c r="H108">
        <v>9791191562408</v>
      </c>
      <c r="I108" t="s">
        <v>143</v>
      </c>
      <c r="J108" t="s">
        <v>698</v>
      </c>
      <c r="K108" t="s">
        <v>215</v>
      </c>
      <c r="L108" t="s">
        <v>27</v>
      </c>
      <c r="M108" s="3">
        <v>2000</v>
      </c>
      <c r="N108" t="s">
        <v>27</v>
      </c>
      <c r="O108" s="3">
        <v>2000</v>
      </c>
      <c r="P108" s="3">
        <v>2000</v>
      </c>
      <c r="Q108" t="s">
        <v>30</v>
      </c>
      <c r="R108" s="2">
        <v>0.7</v>
      </c>
      <c r="S108" s="3">
        <v>1400</v>
      </c>
      <c r="T108" t="s">
        <v>27</v>
      </c>
      <c r="U108" s="3">
        <v>1400</v>
      </c>
      <c r="V108" s="7" t="s">
        <v>2557</v>
      </c>
      <c r="W108" s="7" t="s">
        <v>2557</v>
      </c>
    </row>
    <row r="109" spans="1:23" x14ac:dyDescent="0.4">
      <c r="A109" t="s">
        <v>262</v>
      </c>
      <c r="B109" t="s">
        <v>984</v>
      </c>
      <c r="C109" t="s">
        <v>986</v>
      </c>
      <c r="D109" t="s">
        <v>21</v>
      </c>
      <c r="E109" t="s">
        <v>22</v>
      </c>
      <c r="F109" t="s">
        <v>23</v>
      </c>
      <c r="G109">
        <v>1</v>
      </c>
      <c r="H109">
        <v>9791191562125</v>
      </c>
      <c r="I109" t="s">
        <v>143</v>
      </c>
      <c r="J109" t="s">
        <v>212</v>
      </c>
      <c r="K109" t="s">
        <v>213</v>
      </c>
      <c r="L109" t="s">
        <v>27</v>
      </c>
      <c r="M109" s="3">
        <v>2500</v>
      </c>
      <c r="N109" t="s">
        <v>27</v>
      </c>
      <c r="O109" s="3">
        <v>2500</v>
      </c>
      <c r="P109" s="3">
        <v>2500</v>
      </c>
      <c r="Q109" t="s">
        <v>30</v>
      </c>
      <c r="R109" s="2">
        <v>0.7</v>
      </c>
      <c r="S109" s="3">
        <v>1750</v>
      </c>
      <c r="T109" t="s">
        <v>27</v>
      </c>
      <c r="U109" s="3">
        <v>1750</v>
      </c>
      <c r="V109" s="7" t="s">
        <v>2557</v>
      </c>
      <c r="W109" s="7" t="s">
        <v>2557</v>
      </c>
    </row>
    <row r="110" spans="1:23" x14ac:dyDescent="0.4">
      <c r="A110" t="s">
        <v>262</v>
      </c>
      <c r="B110" t="s">
        <v>984</v>
      </c>
      <c r="C110" t="s">
        <v>1017</v>
      </c>
      <c r="D110" t="s">
        <v>21</v>
      </c>
      <c r="E110" t="s">
        <v>22</v>
      </c>
      <c r="F110" t="s">
        <v>23</v>
      </c>
      <c r="G110">
        <v>1</v>
      </c>
      <c r="H110">
        <v>9791191562248</v>
      </c>
      <c r="I110" t="s">
        <v>143</v>
      </c>
      <c r="J110" t="s">
        <v>231</v>
      </c>
      <c r="K110" t="s">
        <v>232</v>
      </c>
      <c r="L110" t="s">
        <v>27</v>
      </c>
      <c r="M110" s="3">
        <v>2000</v>
      </c>
      <c r="N110" t="s">
        <v>27</v>
      </c>
      <c r="O110" s="3">
        <v>2000</v>
      </c>
      <c r="P110" s="3">
        <v>2000</v>
      </c>
      <c r="Q110" t="s">
        <v>30</v>
      </c>
      <c r="R110" s="2">
        <v>0.7</v>
      </c>
      <c r="S110" s="3">
        <v>1400</v>
      </c>
      <c r="T110" t="s">
        <v>27</v>
      </c>
      <c r="U110" s="3">
        <v>1400</v>
      </c>
      <c r="V110" s="7" t="s">
        <v>2557</v>
      </c>
      <c r="W110" s="7" t="s">
        <v>2557</v>
      </c>
    </row>
    <row r="111" spans="1:23" x14ac:dyDescent="0.4">
      <c r="A111" t="s">
        <v>262</v>
      </c>
      <c r="B111" t="s">
        <v>984</v>
      </c>
      <c r="C111" t="s">
        <v>1025</v>
      </c>
      <c r="D111" t="s">
        <v>21</v>
      </c>
      <c r="E111" t="s">
        <v>22</v>
      </c>
      <c r="F111" t="s">
        <v>23</v>
      </c>
      <c r="G111">
        <v>1</v>
      </c>
      <c r="H111">
        <v>9791191562125</v>
      </c>
      <c r="I111" t="s">
        <v>143</v>
      </c>
      <c r="J111" t="s">
        <v>212</v>
      </c>
      <c r="K111" t="s">
        <v>213</v>
      </c>
      <c r="L111" t="s">
        <v>27</v>
      </c>
      <c r="M111" s="3">
        <v>2500</v>
      </c>
      <c r="N111" t="s">
        <v>27</v>
      </c>
      <c r="O111" s="3">
        <v>2500</v>
      </c>
      <c r="P111" s="3">
        <v>2500</v>
      </c>
      <c r="Q111" t="s">
        <v>30</v>
      </c>
      <c r="R111" s="2">
        <v>0.7</v>
      </c>
      <c r="S111" s="3">
        <v>1750</v>
      </c>
      <c r="T111" t="s">
        <v>27</v>
      </c>
      <c r="U111" s="3">
        <v>1750</v>
      </c>
      <c r="V111" s="7" t="s">
        <v>2557</v>
      </c>
      <c r="W111" s="7" t="s">
        <v>2557</v>
      </c>
    </row>
    <row r="112" spans="1:23" x14ac:dyDescent="0.4">
      <c r="A112" t="s">
        <v>262</v>
      </c>
      <c r="B112" t="s">
        <v>984</v>
      </c>
      <c r="C112" t="s">
        <v>1036</v>
      </c>
      <c r="D112" t="s">
        <v>21</v>
      </c>
      <c r="E112" t="s">
        <v>22</v>
      </c>
      <c r="F112" t="s">
        <v>23</v>
      </c>
      <c r="G112">
        <v>1</v>
      </c>
      <c r="H112">
        <v>9791191562286</v>
      </c>
      <c r="I112" t="s">
        <v>143</v>
      </c>
      <c r="J112" t="s">
        <v>238</v>
      </c>
      <c r="K112" t="s">
        <v>239</v>
      </c>
      <c r="L112" t="s">
        <v>27</v>
      </c>
      <c r="M112" s="3">
        <v>2000</v>
      </c>
      <c r="N112" t="s">
        <v>27</v>
      </c>
      <c r="O112" s="3">
        <v>2000</v>
      </c>
      <c r="P112" s="3">
        <v>2000</v>
      </c>
      <c r="Q112" t="s">
        <v>30</v>
      </c>
      <c r="R112" s="2">
        <v>0.7</v>
      </c>
      <c r="S112" s="3">
        <v>1400</v>
      </c>
      <c r="T112" t="s">
        <v>27</v>
      </c>
      <c r="U112" s="3">
        <v>1400</v>
      </c>
      <c r="V112" s="7" t="s">
        <v>2557</v>
      </c>
      <c r="W112" s="7" t="s">
        <v>2557</v>
      </c>
    </row>
    <row r="113" spans="1:23" x14ac:dyDescent="0.4">
      <c r="A113" t="s">
        <v>262</v>
      </c>
      <c r="B113" t="s">
        <v>984</v>
      </c>
      <c r="C113" t="s">
        <v>1039</v>
      </c>
      <c r="D113" t="s">
        <v>21</v>
      </c>
      <c r="E113" t="s">
        <v>22</v>
      </c>
      <c r="F113" t="s">
        <v>23</v>
      </c>
      <c r="G113">
        <v>1</v>
      </c>
      <c r="H113">
        <v>9791191562224</v>
      </c>
      <c r="I113" t="s">
        <v>143</v>
      </c>
      <c r="J113" t="s">
        <v>221</v>
      </c>
      <c r="K113" t="s">
        <v>222</v>
      </c>
      <c r="L113" t="s">
        <v>27</v>
      </c>
      <c r="M113" s="3">
        <v>2500</v>
      </c>
      <c r="N113" t="s">
        <v>27</v>
      </c>
      <c r="O113" s="3">
        <v>2500</v>
      </c>
      <c r="P113" s="3">
        <v>2500</v>
      </c>
      <c r="Q113" t="s">
        <v>30</v>
      </c>
      <c r="R113" s="2">
        <v>0.7</v>
      </c>
      <c r="S113" s="3">
        <v>1750</v>
      </c>
      <c r="T113" t="s">
        <v>27</v>
      </c>
      <c r="U113" s="3">
        <v>1750</v>
      </c>
      <c r="V113" s="7" t="s">
        <v>2557</v>
      </c>
      <c r="W113" s="7" t="s">
        <v>2557</v>
      </c>
    </row>
    <row r="114" spans="1:23" x14ac:dyDescent="0.4">
      <c r="A114" t="s">
        <v>262</v>
      </c>
      <c r="B114" t="s">
        <v>984</v>
      </c>
      <c r="C114" t="s">
        <v>1048</v>
      </c>
      <c r="D114" t="s">
        <v>21</v>
      </c>
      <c r="E114" t="s">
        <v>22</v>
      </c>
      <c r="F114" t="s">
        <v>23</v>
      </c>
      <c r="G114">
        <v>1</v>
      </c>
      <c r="H114">
        <v>9791191562408</v>
      </c>
      <c r="I114" t="s">
        <v>143</v>
      </c>
      <c r="J114" t="s">
        <v>698</v>
      </c>
      <c r="K114" t="s">
        <v>215</v>
      </c>
      <c r="L114" t="s">
        <v>27</v>
      </c>
      <c r="M114" s="3">
        <v>2000</v>
      </c>
      <c r="N114" t="s">
        <v>27</v>
      </c>
      <c r="O114" s="3">
        <v>2000</v>
      </c>
      <c r="P114" s="3">
        <v>2000</v>
      </c>
      <c r="Q114" t="s">
        <v>30</v>
      </c>
      <c r="R114" s="2">
        <v>0.7</v>
      </c>
      <c r="S114" s="3">
        <v>1400</v>
      </c>
      <c r="T114" t="s">
        <v>27</v>
      </c>
      <c r="U114" s="3">
        <v>1400</v>
      </c>
      <c r="V114" s="7" t="s">
        <v>2557</v>
      </c>
      <c r="W114" s="7" t="s">
        <v>2557</v>
      </c>
    </row>
    <row r="115" spans="1:23" x14ac:dyDescent="0.4">
      <c r="A115" t="s">
        <v>262</v>
      </c>
      <c r="B115" t="s">
        <v>984</v>
      </c>
      <c r="C115" t="s">
        <v>1052</v>
      </c>
      <c r="D115" t="s">
        <v>21</v>
      </c>
      <c r="E115" t="s">
        <v>22</v>
      </c>
      <c r="F115" t="s">
        <v>23</v>
      </c>
      <c r="G115">
        <v>1</v>
      </c>
      <c r="H115">
        <v>9791191562330</v>
      </c>
      <c r="I115" t="s">
        <v>143</v>
      </c>
      <c r="J115" t="s">
        <v>1053</v>
      </c>
      <c r="K115" t="s">
        <v>1054</v>
      </c>
      <c r="L115" t="s">
        <v>27</v>
      </c>
      <c r="M115" s="3">
        <v>3500</v>
      </c>
      <c r="N115" t="s">
        <v>191</v>
      </c>
      <c r="O115">
        <v>4.21</v>
      </c>
      <c r="P115">
        <v>3.83</v>
      </c>
      <c r="Q115" t="s">
        <v>190</v>
      </c>
      <c r="R115" s="2">
        <v>0.7</v>
      </c>
      <c r="S115">
        <v>2.68</v>
      </c>
      <c r="T115" t="s">
        <v>27</v>
      </c>
      <c r="U115" s="3">
        <v>2378</v>
      </c>
      <c r="V115" s="7" t="s">
        <v>2557</v>
      </c>
      <c r="W115" s="7" t="s">
        <v>2557</v>
      </c>
    </row>
    <row r="116" spans="1:23" x14ac:dyDescent="0.4">
      <c r="A116" t="s">
        <v>262</v>
      </c>
      <c r="B116" t="s">
        <v>1058</v>
      </c>
      <c r="C116" t="s">
        <v>1061</v>
      </c>
      <c r="D116" t="s">
        <v>21</v>
      </c>
      <c r="E116" t="s">
        <v>22</v>
      </c>
      <c r="F116" t="s">
        <v>23</v>
      </c>
      <c r="G116">
        <v>1</v>
      </c>
      <c r="H116">
        <v>9791191562408</v>
      </c>
      <c r="I116" t="s">
        <v>143</v>
      </c>
      <c r="J116" t="s">
        <v>698</v>
      </c>
      <c r="K116" t="s">
        <v>215</v>
      </c>
      <c r="L116" t="s">
        <v>27</v>
      </c>
      <c r="M116" s="3">
        <v>2000</v>
      </c>
      <c r="N116" t="s">
        <v>27</v>
      </c>
      <c r="O116" s="3">
        <v>2000</v>
      </c>
      <c r="P116" s="3">
        <v>2000</v>
      </c>
      <c r="Q116" t="s">
        <v>30</v>
      </c>
      <c r="R116" s="2">
        <v>0.7</v>
      </c>
      <c r="S116" s="3">
        <v>1400</v>
      </c>
      <c r="T116" t="s">
        <v>27</v>
      </c>
      <c r="U116" s="3">
        <v>1400</v>
      </c>
      <c r="V116" s="7" t="s">
        <v>2557</v>
      </c>
      <c r="W116" s="7" t="s">
        <v>2557</v>
      </c>
    </row>
    <row r="117" spans="1:23" x14ac:dyDescent="0.4">
      <c r="A117" t="s">
        <v>262</v>
      </c>
      <c r="B117" t="s">
        <v>1058</v>
      </c>
      <c r="C117" t="s">
        <v>1075</v>
      </c>
      <c r="D117" t="s">
        <v>21</v>
      </c>
      <c r="E117" t="s">
        <v>22</v>
      </c>
      <c r="F117" t="s">
        <v>23</v>
      </c>
      <c r="G117">
        <v>1</v>
      </c>
      <c r="H117">
        <v>9791191562187</v>
      </c>
      <c r="I117" t="s">
        <v>143</v>
      </c>
      <c r="J117" t="s">
        <v>217</v>
      </c>
      <c r="K117" t="s">
        <v>218</v>
      </c>
      <c r="L117" t="s">
        <v>27</v>
      </c>
      <c r="M117" s="3">
        <v>2000</v>
      </c>
      <c r="N117" t="s">
        <v>27</v>
      </c>
      <c r="O117" s="3">
        <v>2000</v>
      </c>
      <c r="P117" s="3">
        <v>2000</v>
      </c>
      <c r="Q117" t="s">
        <v>30</v>
      </c>
      <c r="R117" s="2">
        <v>0.7</v>
      </c>
      <c r="S117" s="3">
        <v>1400</v>
      </c>
      <c r="T117" t="s">
        <v>27</v>
      </c>
      <c r="U117" s="3">
        <v>1400</v>
      </c>
      <c r="V117" s="7" t="s">
        <v>2557</v>
      </c>
      <c r="W117" s="7" t="s">
        <v>2557</v>
      </c>
    </row>
    <row r="118" spans="1:23" x14ac:dyDescent="0.4">
      <c r="A118" t="s">
        <v>262</v>
      </c>
      <c r="B118" t="s">
        <v>1058</v>
      </c>
      <c r="C118" t="s">
        <v>1076</v>
      </c>
      <c r="D118" t="s">
        <v>21</v>
      </c>
      <c r="E118" t="s">
        <v>22</v>
      </c>
      <c r="F118" t="s">
        <v>23</v>
      </c>
      <c r="G118">
        <v>1</v>
      </c>
      <c r="H118">
        <v>9791191562415</v>
      </c>
      <c r="I118" t="s">
        <v>143</v>
      </c>
      <c r="J118" t="s">
        <v>1077</v>
      </c>
      <c r="K118" t="s">
        <v>1078</v>
      </c>
      <c r="L118" t="s">
        <v>27</v>
      </c>
      <c r="M118" s="3">
        <v>2000</v>
      </c>
      <c r="N118" t="s">
        <v>27</v>
      </c>
      <c r="O118" s="3">
        <v>2000</v>
      </c>
      <c r="P118" s="3">
        <v>2000</v>
      </c>
      <c r="Q118" t="s">
        <v>30</v>
      </c>
      <c r="R118" s="2">
        <v>0.7</v>
      </c>
      <c r="S118" s="3">
        <v>1400</v>
      </c>
      <c r="T118" t="s">
        <v>27</v>
      </c>
      <c r="U118" s="3">
        <v>1400</v>
      </c>
      <c r="V118" s="7" t="s">
        <v>2557</v>
      </c>
      <c r="W118" s="7" t="s">
        <v>2557</v>
      </c>
    </row>
    <row r="119" spans="1:23" x14ac:dyDescent="0.4">
      <c r="A119" t="s">
        <v>262</v>
      </c>
      <c r="B119" t="s">
        <v>1058</v>
      </c>
      <c r="C119" t="s">
        <v>1079</v>
      </c>
      <c r="D119" t="s">
        <v>21</v>
      </c>
      <c r="E119" t="s">
        <v>22</v>
      </c>
      <c r="F119" t="s">
        <v>23</v>
      </c>
      <c r="G119">
        <v>1</v>
      </c>
      <c r="H119">
        <v>9791191562347</v>
      </c>
      <c r="I119" t="s">
        <v>143</v>
      </c>
      <c r="J119" t="s">
        <v>307</v>
      </c>
      <c r="K119" t="s">
        <v>308</v>
      </c>
      <c r="L119" t="s">
        <v>27</v>
      </c>
      <c r="M119" s="3">
        <v>3200</v>
      </c>
      <c r="N119" t="s">
        <v>27</v>
      </c>
      <c r="O119" s="3">
        <v>3200</v>
      </c>
      <c r="P119" s="3">
        <v>3200</v>
      </c>
      <c r="Q119" t="s">
        <v>30</v>
      </c>
      <c r="R119" s="2">
        <v>0.7</v>
      </c>
      <c r="S119" s="3">
        <v>2240</v>
      </c>
      <c r="T119" t="s">
        <v>27</v>
      </c>
      <c r="U119" s="3">
        <v>2240</v>
      </c>
      <c r="V119" s="7" t="s">
        <v>2557</v>
      </c>
      <c r="W119" s="7" t="s">
        <v>2557</v>
      </c>
    </row>
    <row r="120" spans="1:23" x14ac:dyDescent="0.4">
      <c r="A120" t="s">
        <v>262</v>
      </c>
      <c r="B120" t="s">
        <v>1058</v>
      </c>
      <c r="C120" t="s">
        <v>1080</v>
      </c>
      <c r="D120" t="s">
        <v>21</v>
      </c>
      <c r="E120" t="s">
        <v>22</v>
      </c>
      <c r="F120" t="s">
        <v>23</v>
      </c>
      <c r="G120">
        <v>1</v>
      </c>
      <c r="H120">
        <v>9791191562149</v>
      </c>
      <c r="I120" t="s">
        <v>143</v>
      </c>
      <c r="J120" t="s">
        <v>1081</v>
      </c>
      <c r="K120" t="s">
        <v>1078</v>
      </c>
      <c r="L120" t="s">
        <v>27</v>
      </c>
      <c r="M120" s="3">
        <v>2000</v>
      </c>
      <c r="N120" t="s">
        <v>27</v>
      </c>
      <c r="O120" s="3">
        <v>2000</v>
      </c>
      <c r="P120" s="3">
        <v>2000</v>
      </c>
      <c r="Q120" t="s">
        <v>30</v>
      </c>
      <c r="R120" s="2">
        <v>0.7</v>
      </c>
      <c r="S120" s="3">
        <v>1400</v>
      </c>
      <c r="T120" t="s">
        <v>27</v>
      </c>
      <c r="U120" s="3">
        <v>1400</v>
      </c>
      <c r="V120" s="7" t="s">
        <v>2557</v>
      </c>
      <c r="W120" s="7" t="s">
        <v>2557</v>
      </c>
    </row>
    <row r="121" spans="1:23" x14ac:dyDescent="0.4">
      <c r="A121" t="s">
        <v>262</v>
      </c>
      <c r="B121" t="s">
        <v>1058</v>
      </c>
      <c r="C121" t="s">
        <v>1093</v>
      </c>
      <c r="D121" t="s">
        <v>21</v>
      </c>
      <c r="E121" t="s">
        <v>22</v>
      </c>
      <c r="F121" t="s">
        <v>23</v>
      </c>
      <c r="G121">
        <v>1</v>
      </c>
      <c r="H121">
        <v>9791191562262</v>
      </c>
      <c r="I121" t="s">
        <v>143</v>
      </c>
      <c r="J121" t="s">
        <v>250</v>
      </c>
      <c r="K121" t="s">
        <v>251</v>
      </c>
      <c r="L121" t="s">
        <v>27</v>
      </c>
      <c r="M121" s="3">
        <v>2000</v>
      </c>
      <c r="N121" t="s">
        <v>27</v>
      </c>
      <c r="O121" s="3">
        <v>2000</v>
      </c>
      <c r="P121" s="3">
        <v>2000</v>
      </c>
      <c r="Q121" t="s">
        <v>30</v>
      </c>
      <c r="R121" s="2">
        <v>0.7</v>
      </c>
      <c r="S121" s="3">
        <v>1400</v>
      </c>
      <c r="T121" t="s">
        <v>27</v>
      </c>
      <c r="U121" s="3">
        <v>1400</v>
      </c>
      <c r="V121" s="7" t="s">
        <v>2557</v>
      </c>
      <c r="W121" s="7" t="s">
        <v>2557</v>
      </c>
    </row>
    <row r="122" spans="1:23" x14ac:dyDescent="0.4">
      <c r="A122" t="s">
        <v>262</v>
      </c>
      <c r="B122" t="s">
        <v>1058</v>
      </c>
      <c r="C122" t="s">
        <v>1099</v>
      </c>
      <c r="D122" t="s">
        <v>21</v>
      </c>
      <c r="E122" t="s">
        <v>22</v>
      </c>
      <c r="F122" t="s">
        <v>23</v>
      </c>
      <c r="G122">
        <v>1</v>
      </c>
      <c r="H122">
        <v>9791191562033</v>
      </c>
      <c r="I122" t="s">
        <v>143</v>
      </c>
      <c r="J122" t="s">
        <v>189</v>
      </c>
      <c r="K122" t="s">
        <v>187</v>
      </c>
      <c r="L122" t="s">
        <v>27</v>
      </c>
      <c r="M122" s="3">
        <v>2000</v>
      </c>
      <c r="N122" t="s">
        <v>27</v>
      </c>
      <c r="O122" s="3">
        <v>2000</v>
      </c>
      <c r="P122" s="3">
        <v>2000</v>
      </c>
      <c r="Q122" t="s">
        <v>30</v>
      </c>
      <c r="R122" s="2">
        <v>0.7</v>
      </c>
      <c r="S122" s="3">
        <v>1400</v>
      </c>
      <c r="T122" t="s">
        <v>27</v>
      </c>
      <c r="U122" s="3">
        <v>1400</v>
      </c>
      <c r="V122" s="7" t="s">
        <v>2557</v>
      </c>
      <c r="W122" s="7" t="s">
        <v>2557</v>
      </c>
    </row>
    <row r="123" spans="1:23" x14ac:dyDescent="0.4">
      <c r="A123" t="s">
        <v>262</v>
      </c>
      <c r="B123" t="s">
        <v>1058</v>
      </c>
      <c r="C123" t="s">
        <v>1103</v>
      </c>
      <c r="D123" t="s">
        <v>21</v>
      </c>
      <c r="E123" t="s">
        <v>22</v>
      </c>
      <c r="F123" t="s">
        <v>23</v>
      </c>
      <c r="G123">
        <v>1</v>
      </c>
      <c r="H123">
        <v>9791191562286</v>
      </c>
      <c r="I123" t="s">
        <v>143</v>
      </c>
      <c r="J123" t="s">
        <v>238</v>
      </c>
      <c r="K123" t="s">
        <v>239</v>
      </c>
      <c r="L123" t="s">
        <v>27</v>
      </c>
      <c r="M123" s="3">
        <v>2000</v>
      </c>
      <c r="N123" t="s">
        <v>28</v>
      </c>
      <c r="O123">
        <v>1.65</v>
      </c>
      <c r="P123">
        <v>1.65</v>
      </c>
      <c r="Q123" t="s">
        <v>29</v>
      </c>
      <c r="R123" s="2">
        <v>0.7</v>
      </c>
      <c r="S123">
        <v>1.1499999999999999</v>
      </c>
      <c r="T123" t="s">
        <v>27</v>
      </c>
      <c r="U123" s="3">
        <v>1467</v>
      </c>
      <c r="V123" s="7" t="s">
        <v>2557</v>
      </c>
      <c r="W123" s="7" t="s">
        <v>2557</v>
      </c>
    </row>
    <row r="124" spans="1:23" x14ac:dyDescent="0.4">
      <c r="A124" t="s">
        <v>262</v>
      </c>
      <c r="B124" t="s">
        <v>1058</v>
      </c>
      <c r="C124" t="s">
        <v>1105</v>
      </c>
      <c r="D124" t="s">
        <v>21</v>
      </c>
      <c r="E124" t="s">
        <v>22</v>
      </c>
      <c r="F124" t="s">
        <v>23</v>
      </c>
      <c r="G124">
        <v>1</v>
      </c>
      <c r="H124">
        <v>9791191562125</v>
      </c>
      <c r="I124" t="s">
        <v>143</v>
      </c>
      <c r="J124" t="s">
        <v>212</v>
      </c>
      <c r="K124" t="s">
        <v>213</v>
      </c>
      <c r="L124" t="s">
        <v>27</v>
      </c>
      <c r="M124" s="3">
        <v>2500</v>
      </c>
      <c r="N124" t="s">
        <v>27</v>
      </c>
      <c r="O124" s="3">
        <v>2500</v>
      </c>
      <c r="P124" s="3">
        <v>2500</v>
      </c>
      <c r="Q124" t="s">
        <v>30</v>
      </c>
      <c r="R124" s="2">
        <v>0.7</v>
      </c>
      <c r="S124" s="3">
        <v>1750</v>
      </c>
      <c r="T124" t="s">
        <v>27</v>
      </c>
      <c r="U124" s="3">
        <v>1750</v>
      </c>
      <c r="V124" s="7" t="s">
        <v>2557</v>
      </c>
      <c r="W124" s="7" t="s">
        <v>2557</v>
      </c>
    </row>
    <row r="125" spans="1:23" x14ac:dyDescent="0.4">
      <c r="A125" t="s">
        <v>262</v>
      </c>
      <c r="B125" t="s">
        <v>1058</v>
      </c>
      <c r="C125" t="s">
        <v>1112</v>
      </c>
      <c r="D125" t="s">
        <v>21</v>
      </c>
      <c r="E125" t="s">
        <v>22</v>
      </c>
      <c r="F125" t="s">
        <v>23</v>
      </c>
      <c r="G125">
        <v>1</v>
      </c>
      <c r="H125">
        <v>9791191562262</v>
      </c>
      <c r="I125" t="s">
        <v>143</v>
      </c>
      <c r="J125" t="s">
        <v>250</v>
      </c>
      <c r="K125" t="s">
        <v>251</v>
      </c>
      <c r="L125" t="s">
        <v>27</v>
      </c>
      <c r="M125" s="3">
        <v>2000</v>
      </c>
      <c r="N125" t="s">
        <v>27</v>
      </c>
      <c r="O125" s="3">
        <v>2000</v>
      </c>
      <c r="P125" s="3">
        <v>2000</v>
      </c>
      <c r="Q125" t="s">
        <v>30</v>
      </c>
      <c r="R125" s="2">
        <v>0.7</v>
      </c>
      <c r="S125" s="3">
        <v>1400</v>
      </c>
      <c r="T125" t="s">
        <v>27</v>
      </c>
      <c r="U125" s="3">
        <v>1400</v>
      </c>
      <c r="V125" s="7" t="s">
        <v>2557</v>
      </c>
      <c r="W125" s="7" t="s">
        <v>2557</v>
      </c>
    </row>
    <row r="126" spans="1:23" x14ac:dyDescent="0.4">
      <c r="A126" t="s">
        <v>262</v>
      </c>
      <c r="B126" t="s">
        <v>1058</v>
      </c>
      <c r="C126" t="s">
        <v>1113</v>
      </c>
      <c r="D126" t="s">
        <v>21</v>
      </c>
      <c r="E126" t="s">
        <v>22</v>
      </c>
      <c r="F126" t="s">
        <v>23</v>
      </c>
      <c r="G126">
        <v>1</v>
      </c>
      <c r="H126">
        <v>9791191562002</v>
      </c>
      <c r="I126" t="s">
        <v>143</v>
      </c>
      <c r="J126" t="s">
        <v>193</v>
      </c>
      <c r="K126" t="s">
        <v>192</v>
      </c>
      <c r="L126" t="s">
        <v>27</v>
      </c>
      <c r="M126" s="3">
        <v>2500</v>
      </c>
      <c r="N126" t="s">
        <v>27</v>
      </c>
      <c r="O126" s="3">
        <v>2500</v>
      </c>
      <c r="P126" s="3">
        <v>2500</v>
      </c>
      <c r="Q126" t="s">
        <v>30</v>
      </c>
      <c r="R126" s="2">
        <v>0.7</v>
      </c>
      <c r="S126" s="3">
        <v>1750</v>
      </c>
      <c r="T126" t="s">
        <v>27</v>
      </c>
      <c r="U126" s="3">
        <v>1750</v>
      </c>
      <c r="V126" s="7" t="s">
        <v>2557</v>
      </c>
      <c r="W126" s="7" t="s">
        <v>2557</v>
      </c>
    </row>
    <row r="127" spans="1:23" x14ac:dyDescent="0.4">
      <c r="A127" t="s">
        <v>262</v>
      </c>
      <c r="B127" t="s">
        <v>1058</v>
      </c>
      <c r="C127" t="s">
        <v>1115</v>
      </c>
      <c r="D127" t="s">
        <v>21</v>
      </c>
      <c r="E127" t="s">
        <v>22</v>
      </c>
      <c r="F127" t="s">
        <v>23</v>
      </c>
      <c r="G127">
        <v>1</v>
      </c>
      <c r="H127">
        <v>9791191562125</v>
      </c>
      <c r="I127" t="s">
        <v>143</v>
      </c>
      <c r="J127" t="s">
        <v>212</v>
      </c>
      <c r="K127" t="s">
        <v>213</v>
      </c>
      <c r="L127" t="s">
        <v>27</v>
      </c>
      <c r="M127" s="3">
        <v>2500</v>
      </c>
      <c r="N127" t="s">
        <v>27</v>
      </c>
      <c r="O127" s="3">
        <v>2500</v>
      </c>
      <c r="P127" s="3">
        <v>2500</v>
      </c>
      <c r="Q127" t="s">
        <v>30</v>
      </c>
      <c r="R127" s="2">
        <v>0.7</v>
      </c>
      <c r="S127" s="3">
        <v>1750</v>
      </c>
      <c r="T127" t="s">
        <v>27</v>
      </c>
      <c r="U127" s="3">
        <v>1750</v>
      </c>
      <c r="V127" s="7" t="s">
        <v>2557</v>
      </c>
      <c r="W127" s="7" t="s">
        <v>2557</v>
      </c>
    </row>
    <row r="128" spans="1:23" x14ac:dyDescent="0.4">
      <c r="A128" t="s">
        <v>262</v>
      </c>
      <c r="B128" t="s">
        <v>1121</v>
      </c>
      <c r="C128" t="s">
        <v>1126</v>
      </c>
      <c r="D128" t="s">
        <v>21</v>
      </c>
      <c r="E128" t="s">
        <v>22</v>
      </c>
      <c r="F128" t="s">
        <v>23</v>
      </c>
      <c r="G128">
        <v>1</v>
      </c>
      <c r="H128">
        <v>9791191562262</v>
      </c>
      <c r="I128" t="s">
        <v>143</v>
      </c>
      <c r="J128" t="s">
        <v>250</v>
      </c>
      <c r="K128" t="s">
        <v>251</v>
      </c>
      <c r="L128" t="s">
        <v>27</v>
      </c>
      <c r="M128" s="3">
        <v>2000</v>
      </c>
      <c r="N128" t="s">
        <v>27</v>
      </c>
      <c r="O128" s="3">
        <v>2000</v>
      </c>
      <c r="P128" s="3">
        <v>2000</v>
      </c>
      <c r="Q128" t="s">
        <v>30</v>
      </c>
      <c r="R128" s="2">
        <v>0.7</v>
      </c>
      <c r="S128" s="3">
        <v>1400</v>
      </c>
      <c r="T128" t="s">
        <v>27</v>
      </c>
      <c r="U128" s="3">
        <v>1400</v>
      </c>
      <c r="V128" s="7" t="s">
        <v>2557</v>
      </c>
      <c r="W128" s="7" t="s">
        <v>2557</v>
      </c>
    </row>
    <row r="129" spans="1:23" x14ac:dyDescent="0.4">
      <c r="A129" t="s">
        <v>262</v>
      </c>
      <c r="B129" t="s">
        <v>1121</v>
      </c>
      <c r="C129" t="s">
        <v>1131</v>
      </c>
      <c r="D129" t="s">
        <v>21</v>
      </c>
      <c r="E129" t="s">
        <v>22</v>
      </c>
      <c r="F129" t="s">
        <v>23</v>
      </c>
      <c r="G129">
        <v>1</v>
      </c>
      <c r="H129">
        <v>9791191562019</v>
      </c>
      <c r="I129" t="s">
        <v>143</v>
      </c>
      <c r="J129" t="s">
        <v>194</v>
      </c>
      <c r="K129" t="s">
        <v>186</v>
      </c>
      <c r="L129" t="s">
        <v>27</v>
      </c>
      <c r="M129" s="3">
        <v>2000</v>
      </c>
      <c r="N129" t="s">
        <v>200</v>
      </c>
      <c r="O129">
        <v>1.61</v>
      </c>
      <c r="P129">
        <v>1.5</v>
      </c>
      <c r="Q129" t="s">
        <v>202</v>
      </c>
      <c r="R129" s="2">
        <v>0.7</v>
      </c>
      <c r="S129">
        <v>1.05</v>
      </c>
      <c r="T129" t="s">
        <v>27</v>
      </c>
      <c r="U129" s="3">
        <v>1422</v>
      </c>
      <c r="V129" s="7" t="s">
        <v>2557</v>
      </c>
      <c r="W129" s="7" t="s">
        <v>2557</v>
      </c>
    </row>
    <row r="130" spans="1:23" x14ac:dyDescent="0.4">
      <c r="A130" t="s">
        <v>262</v>
      </c>
      <c r="B130" t="s">
        <v>1121</v>
      </c>
      <c r="C130" t="s">
        <v>1141</v>
      </c>
      <c r="D130" t="s">
        <v>21</v>
      </c>
      <c r="E130" t="s">
        <v>22</v>
      </c>
      <c r="F130" t="s">
        <v>23</v>
      </c>
      <c r="G130">
        <v>1</v>
      </c>
      <c r="H130">
        <v>9791191562248</v>
      </c>
      <c r="I130" t="s">
        <v>143</v>
      </c>
      <c r="J130" t="s">
        <v>231</v>
      </c>
      <c r="K130" t="s">
        <v>232</v>
      </c>
      <c r="L130" t="s">
        <v>27</v>
      </c>
      <c r="M130" s="3">
        <v>2000</v>
      </c>
      <c r="N130" t="s">
        <v>27</v>
      </c>
      <c r="O130" s="3">
        <v>2000</v>
      </c>
      <c r="P130" s="3">
        <v>2000</v>
      </c>
      <c r="Q130" t="s">
        <v>30</v>
      </c>
      <c r="R130" s="2">
        <v>0.7</v>
      </c>
      <c r="S130" s="3">
        <v>1400</v>
      </c>
      <c r="T130" t="s">
        <v>27</v>
      </c>
      <c r="U130" s="3">
        <v>1400</v>
      </c>
      <c r="V130" s="7" t="s">
        <v>2557</v>
      </c>
      <c r="W130" s="7" t="s">
        <v>2557</v>
      </c>
    </row>
    <row r="131" spans="1:23" x14ac:dyDescent="0.4">
      <c r="A131" t="s">
        <v>262</v>
      </c>
      <c r="B131" t="s">
        <v>1121</v>
      </c>
      <c r="C131" t="s">
        <v>1155</v>
      </c>
      <c r="D131" t="s">
        <v>21</v>
      </c>
      <c r="E131" t="s">
        <v>22</v>
      </c>
      <c r="F131" t="s">
        <v>23</v>
      </c>
      <c r="G131">
        <v>1</v>
      </c>
      <c r="H131">
        <v>9791191562286</v>
      </c>
      <c r="I131" t="s">
        <v>143</v>
      </c>
      <c r="J131" t="s">
        <v>238</v>
      </c>
      <c r="K131" t="s">
        <v>239</v>
      </c>
      <c r="L131" t="s">
        <v>27</v>
      </c>
      <c r="M131" s="3">
        <v>2000</v>
      </c>
      <c r="N131" t="s">
        <v>28</v>
      </c>
      <c r="O131">
        <v>1.65</v>
      </c>
      <c r="P131">
        <v>1.65</v>
      </c>
      <c r="Q131" t="s">
        <v>29</v>
      </c>
      <c r="R131" s="2">
        <v>0.7</v>
      </c>
      <c r="S131">
        <v>1.1499999999999999</v>
      </c>
      <c r="T131" t="s">
        <v>27</v>
      </c>
      <c r="U131" s="3">
        <v>1483</v>
      </c>
      <c r="V131" s="7" t="s">
        <v>2557</v>
      </c>
      <c r="W131" s="7" t="s">
        <v>2557</v>
      </c>
    </row>
    <row r="132" spans="1:23" x14ac:dyDescent="0.4">
      <c r="A132" t="s">
        <v>262</v>
      </c>
      <c r="B132" t="s">
        <v>1121</v>
      </c>
      <c r="C132" t="s">
        <v>1172</v>
      </c>
      <c r="D132" t="s">
        <v>21</v>
      </c>
      <c r="E132" t="s">
        <v>22</v>
      </c>
      <c r="F132" t="s">
        <v>23</v>
      </c>
      <c r="G132">
        <v>1</v>
      </c>
      <c r="H132">
        <v>9791191562286</v>
      </c>
      <c r="I132" t="s">
        <v>143</v>
      </c>
      <c r="J132" t="s">
        <v>238</v>
      </c>
      <c r="K132" t="s">
        <v>239</v>
      </c>
      <c r="L132" t="s">
        <v>27</v>
      </c>
      <c r="M132" s="3">
        <v>2000</v>
      </c>
      <c r="N132" t="s">
        <v>27</v>
      </c>
      <c r="O132" s="3">
        <v>2000</v>
      </c>
      <c r="P132" s="3">
        <v>2000</v>
      </c>
      <c r="Q132" t="s">
        <v>30</v>
      </c>
      <c r="R132" s="2">
        <v>0.7</v>
      </c>
      <c r="S132" s="3">
        <v>1400</v>
      </c>
      <c r="T132" t="s">
        <v>27</v>
      </c>
      <c r="U132" s="3">
        <v>1400</v>
      </c>
      <c r="V132" s="7" t="s">
        <v>2557</v>
      </c>
      <c r="W132" s="7" t="s">
        <v>2557</v>
      </c>
    </row>
    <row r="133" spans="1:23" x14ac:dyDescent="0.4">
      <c r="A133" t="s">
        <v>262</v>
      </c>
      <c r="B133" t="s">
        <v>1121</v>
      </c>
      <c r="C133" t="s">
        <v>1174</v>
      </c>
      <c r="D133" t="s">
        <v>21</v>
      </c>
      <c r="E133" t="s">
        <v>22</v>
      </c>
      <c r="F133" t="s">
        <v>23</v>
      </c>
      <c r="G133">
        <v>1</v>
      </c>
      <c r="H133">
        <v>9791191562385</v>
      </c>
      <c r="I133" t="s">
        <v>143</v>
      </c>
      <c r="J133" t="s">
        <v>936</v>
      </c>
      <c r="K133" t="s">
        <v>937</v>
      </c>
      <c r="L133" t="s">
        <v>27</v>
      </c>
      <c r="M133" s="3">
        <v>2000</v>
      </c>
      <c r="N133" t="s">
        <v>27</v>
      </c>
      <c r="O133" s="3">
        <v>2000</v>
      </c>
      <c r="P133" s="3">
        <v>2000</v>
      </c>
      <c r="Q133" t="s">
        <v>30</v>
      </c>
      <c r="R133" s="2">
        <v>0.7</v>
      </c>
      <c r="S133" s="3">
        <v>1400</v>
      </c>
      <c r="T133" t="s">
        <v>27</v>
      </c>
      <c r="U133" s="3">
        <v>1400</v>
      </c>
      <c r="V133" s="7" t="s">
        <v>2557</v>
      </c>
      <c r="W133" s="7" t="s">
        <v>2557</v>
      </c>
    </row>
    <row r="134" spans="1:23" x14ac:dyDescent="0.4">
      <c r="A134" t="s">
        <v>262</v>
      </c>
      <c r="B134" t="s">
        <v>1121</v>
      </c>
      <c r="C134" t="s">
        <v>1176</v>
      </c>
      <c r="D134" t="s">
        <v>21</v>
      </c>
      <c r="E134" t="s">
        <v>22</v>
      </c>
      <c r="F134" t="s">
        <v>23</v>
      </c>
      <c r="G134">
        <v>1</v>
      </c>
      <c r="H134">
        <v>9791191562125</v>
      </c>
      <c r="I134" t="s">
        <v>143</v>
      </c>
      <c r="J134" t="s">
        <v>212</v>
      </c>
      <c r="K134" t="s">
        <v>213</v>
      </c>
      <c r="L134" t="s">
        <v>27</v>
      </c>
      <c r="M134" s="3">
        <v>2500</v>
      </c>
      <c r="N134" t="s">
        <v>27</v>
      </c>
      <c r="O134" s="3">
        <v>2500</v>
      </c>
      <c r="P134" s="3">
        <v>2500</v>
      </c>
      <c r="Q134" t="s">
        <v>30</v>
      </c>
      <c r="R134" s="2">
        <v>0.7</v>
      </c>
      <c r="S134" s="3">
        <v>1750</v>
      </c>
      <c r="T134" t="s">
        <v>27</v>
      </c>
      <c r="U134" s="3">
        <v>1750</v>
      </c>
      <c r="V134" s="7" t="s">
        <v>2557</v>
      </c>
      <c r="W134" s="7" t="s">
        <v>2557</v>
      </c>
    </row>
    <row r="135" spans="1:23" x14ac:dyDescent="0.4">
      <c r="A135" t="s">
        <v>262</v>
      </c>
      <c r="B135" t="s">
        <v>1121</v>
      </c>
      <c r="C135" t="s">
        <v>1195</v>
      </c>
      <c r="D135" t="s">
        <v>21</v>
      </c>
      <c r="E135" t="s">
        <v>22</v>
      </c>
      <c r="F135" t="s">
        <v>23</v>
      </c>
      <c r="G135">
        <v>1</v>
      </c>
      <c r="H135">
        <v>9791191562385</v>
      </c>
      <c r="I135" t="s">
        <v>143</v>
      </c>
      <c r="J135" t="s">
        <v>936</v>
      </c>
      <c r="K135" t="s">
        <v>937</v>
      </c>
      <c r="L135" t="s">
        <v>27</v>
      </c>
      <c r="M135" s="3">
        <v>2000</v>
      </c>
      <c r="N135" t="s">
        <v>27</v>
      </c>
      <c r="O135" s="3">
        <v>2000</v>
      </c>
      <c r="P135" s="3">
        <v>2000</v>
      </c>
      <c r="Q135" t="s">
        <v>30</v>
      </c>
      <c r="R135" s="2">
        <v>0.7</v>
      </c>
      <c r="S135" s="3">
        <v>1400</v>
      </c>
      <c r="T135" t="s">
        <v>27</v>
      </c>
      <c r="U135" s="3">
        <v>1400</v>
      </c>
      <c r="V135" s="7" t="s">
        <v>2557</v>
      </c>
      <c r="W135" s="7" t="s">
        <v>2557</v>
      </c>
    </row>
    <row r="136" spans="1:23" x14ac:dyDescent="0.4">
      <c r="A136" t="s">
        <v>262</v>
      </c>
      <c r="B136" t="s">
        <v>1121</v>
      </c>
      <c r="C136" t="s">
        <v>1196</v>
      </c>
      <c r="D136" t="s">
        <v>21</v>
      </c>
      <c r="E136" t="s">
        <v>22</v>
      </c>
      <c r="F136" t="s">
        <v>23</v>
      </c>
      <c r="G136">
        <v>1</v>
      </c>
      <c r="H136">
        <v>9791191562286</v>
      </c>
      <c r="I136" t="s">
        <v>143</v>
      </c>
      <c r="J136" t="s">
        <v>238</v>
      </c>
      <c r="K136" t="s">
        <v>239</v>
      </c>
      <c r="L136" t="s">
        <v>27</v>
      </c>
      <c r="M136" s="3">
        <v>2000</v>
      </c>
      <c r="N136" t="s">
        <v>27</v>
      </c>
      <c r="O136" s="3">
        <v>2000</v>
      </c>
      <c r="P136" s="3">
        <v>2000</v>
      </c>
      <c r="Q136" t="s">
        <v>30</v>
      </c>
      <c r="R136" s="2">
        <v>0.7</v>
      </c>
      <c r="S136" s="3">
        <v>1400</v>
      </c>
      <c r="T136" t="s">
        <v>27</v>
      </c>
      <c r="U136" s="3">
        <v>1400</v>
      </c>
      <c r="V136" s="7" t="s">
        <v>2557</v>
      </c>
      <c r="W136" s="7" t="s">
        <v>2557</v>
      </c>
    </row>
    <row r="137" spans="1:23" x14ac:dyDescent="0.4">
      <c r="A137" t="s">
        <v>262</v>
      </c>
      <c r="B137" t="s">
        <v>1198</v>
      </c>
      <c r="C137" t="s">
        <v>1202</v>
      </c>
      <c r="D137" t="s">
        <v>21</v>
      </c>
      <c r="E137" t="s">
        <v>22</v>
      </c>
      <c r="F137" t="s">
        <v>23</v>
      </c>
      <c r="G137">
        <v>1</v>
      </c>
      <c r="H137">
        <v>9791191562286</v>
      </c>
      <c r="I137" t="s">
        <v>143</v>
      </c>
      <c r="J137" t="s">
        <v>238</v>
      </c>
      <c r="K137" t="s">
        <v>239</v>
      </c>
      <c r="L137" t="s">
        <v>27</v>
      </c>
      <c r="M137" s="3">
        <v>2000</v>
      </c>
      <c r="N137" t="s">
        <v>27</v>
      </c>
      <c r="O137" s="3">
        <v>2000</v>
      </c>
      <c r="P137" s="3">
        <v>2000</v>
      </c>
      <c r="Q137" t="s">
        <v>30</v>
      </c>
      <c r="R137" s="2">
        <v>0.7</v>
      </c>
      <c r="S137" s="3">
        <v>1400</v>
      </c>
      <c r="T137" t="s">
        <v>27</v>
      </c>
      <c r="U137" s="3">
        <v>1400</v>
      </c>
      <c r="V137" s="7" t="s">
        <v>2557</v>
      </c>
      <c r="W137" s="7" t="s">
        <v>2557</v>
      </c>
    </row>
    <row r="138" spans="1:23" x14ac:dyDescent="0.4">
      <c r="A138" t="s">
        <v>262</v>
      </c>
      <c r="B138" t="s">
        <v>1198</v>
      </c>
      <c r="C138" t="s">
        <v>1226</v>
      </c>
      <c r="D138" t="s">
        <v>21</v>
      </c>
      <c r="E138" t="s">
        <v>22</v>
      </c>
      <c r="F138" t="s">
        <v>23</v>
      </c>
      <c r="G138">
        <v>1</v>
      </c>
      <c r="H138">
        <v>9791191562347</v>
      </c>
      <c r="I138" t="s">
        <v>143</v>
      </c>
      <c r="J138" t="s">
        <v>307</v>
      </c>
      <c r="K138" t="s">
        <v>308</v>
      </c>
      <c r="L138" t="s">
        <v>27</v>
      </c>
      <c r="M138" s="3">
        <v>3200</v>
      </c>
      <c r="N138" t="s">
        <v>27</v>
      </c>
      <c r="O138" s="3">
        <v>3200</v>
      </c>
      <c r="P138" s="3">
        <v>3200</v>
      </c>
      <c r="Q138" t="s">
        <v>30</v>
      </c>
      <c r="R138" s="2">
        <v>0.7</v>
      </c>
      <c r="S138" s="3">
        <v>2240</v>
      </c>
      <c r="T138" t="s">
        <v>27</v>
      </c>
      <c r="U138" s="3">
        <v>2240</v>
      </c>
      <c r="V138" s="7" t="s">
        <v>2557</v>
      </c>
      <c r="W138" s="7" t="s">
        <v>2557</v>
      </c>
    </row>
    <row r="139" spans="1:23" x14ac:dyDescent="0.4">
      <c r="A139" t="s">
        <v>262</v>
      </c>
      <c r="B139" t="s">
        <v>1198</v>
      </c>
      <c r="C139" t="s">
        <v>1228</v>
      </c>
      <c r="D139" t="s">
        <v>21</v>
      </c>
      <c r="E139" t="s">
        <v>22</v>
      </c>
      <c r="F139" t="s">
        <v>23</v>
      </c>
      <c r="G139">
        <v>1</v>
      </c>
      <c r="H139">
        <v>9791191562033</v>
      </c>
      <c r="I139" t="s">
        <v>143</v>
      </c>
      <c r="J139" t="s">
        <v>189</v>
      </c>
      <c r="K139" t="s">
        <v>187</v>
      </c>
      <c r="L139" t="s">
        <v>27</v>
      </c>
      <c r="M139" s="3">
        <v>2000</v>
      </c>
      <c r="N139" t="s">
        <v>27</v>
      </c>
      <c r="O139" s="3">
        <v>2000</v>
      </c>
      <c r="P139" s="3">
        <v>2000</v>
      </c>
      <c r="Q139" t="s">
        <v>30</v>
      </c>
      <c r="R139" s="2">
        <v>0.7</v>
      </c>
      <c r="S139" s="3">
        <v>1400</v>
      </c>
      <c r="T139" t="s">
        <v>27</v>
      </c>
      <c r="U139" s="3">
        <v>1400</v>
      </c>
      <c r="V139" s="7" t="s">
        <v>2557</v>
      </c>
      <c r="W139" s="7" t="s">
        <v>2557</v>
      </c>
    </row>
    <row r="140" spans="1:23" x14ac:dyDescent="0.4">
      <c r="A140" t="s">
        <v>262</v>
      </c>
      <c r="B140" t="s">
        <v>1198</v>
      </c>
      <c r="C140" t="s">
        <v>1232</v>
      </c>
      <c r="D140" t="s">
        <v>21</v>
      </c>
      <c r="E140" t="s">
        <v>22</v>
      </c>
      <c r="F140" t="s">
        <v>23</v>
      </c>
      <c r="G140">
        <v>1</v>
      </c>
      <c r="H140">
        <v>9791191562262</v>
      </c>
      <c r="I140" t="s">
        <v>143</v>
      </c>
      <c r="J140" t="s">
        <v>250</v>
      </c>
      <c r="K140" t="s">
        <v>251</v>
      </c>
      <c r="L140" t="s">
        <v>27</v>
      </c>
      <c r="M140" s="3">
        <v>2000</v>
      </c>
      <c r="N140" t="s">
        <v>27</v>
      </c>
      <c r="O140" s="3">
        <v>2000</v>
      </c>
      <c r="P140" s="3">
        <v>2000</v>
      </c>
      <c r="Q140" t="s">
        <v>30</v>
      </c>
      <c r="R140" s="2">
        <v>0.7</v>
      </c>
      <c r="S140" s="3">
        <v>1400</v>
      </c>
      <c r="T140" t="s">
        <v>27</v>
      </c>
      <c r="U140" s="3">
        <v>1400</v>
      </c>
      <c r="V140" s="7" t="s">
        <v>2557</v>
      </c>
      <c r="W140" s="7" t="s">
        <v>2557</v>
      </c>
    </row>
    <row r="141" spans="1:23" x14ac:dyDescent="0.4">
      <c r="A141" t="s">
        <v>262</v>
      </c>
      <c r="B141" t="s">
        <v>1198</v>
      </c>
      <c r="C141" t="s">
        <v>1235</v>
      </c>
      <c r="D141" t="s">
        <v>21</v>
      </c>
      <c r="E141" t="s">
        <v>22</v>
      </c>
      <c r="F141" t="s">
        <v>23</v>
      </c>
      <c r="G141">
        <v>1</v>
      </c>
      <c r="H141">
        <v>9791191562286</v>
      </c>
      <c r="I141" t="s">
        <v>143</v>
      </c>
      <c r="J141" t="s">
        <v>238</v>
      </c>
      <c r="K141" t="s">
        <v>239</v>
      </c>
      <c r="L141" t="s">
        <v>27</v>
      </c>
      <c r="M141" s="3">
        <v>2000</v>
      </c>
      <c r="N141" t="s">
        <v>27</v>
      </c>
      <c r="O141" s="3">
        <v>2000</v>
      </c>
      <c r="P141" s="3">
        <v>2000</v>
      </c>
      <c r="Q141" t="s">
        <v>30</v>
      </c>
      <c r="R141" s="2">
        <v>0.7</v>
      </c>
      <c r="S141" s="3">
        <v>1400</v>
      </c>
      <c r="T141" t="s">
        <v>27</v>
      </c>
      <c r="U141" s="3">
        <v>1400</v>
      </c>
      <c r="V141" s="7" t="s">
        <v>2557</v>
      </c>
      <c r="W141" s="7" t="s">
        <v>2557</v>
      </c>
    </row>
    <row r="142" spans="1:23" x14ac:dyDescent="0.4">
      <c r="A142" t="s">
        <v>262</v>
      </c>
      <c r="B142" t="s">
        <v>1198</v>
      </c>
      <c r="C142" t="s">
        <v>1245</v>
      </c>
      <c r="D142" t="s">
        <v>21</v>
      </c>
      <c r="E142" t="s">
        <v>22</v>
      </c>
      <c r="F142" t="s">
        <v>23</v>
      </c>
      <c r="G142">
        <v>1</v>
      </c>
      <c r="H142">
        <v>9791191562286</v>
      </c>
      <c r="I142" t="s">
        <v>143</v>
      </c>
      <c r="J142" t="s">
        <v>238</v>
      </c>
      <c r="K142" t="s">
        <v>239</v>
      </c>
      <c r="L142" t="s">
        <v>27</v>
      </c>
      <c r="M142" s="3">
        <v>2000</v>
      </c>
      <c r="N142" t="s">
        <v>27</v>
      </c>
      <c r="O142" s="3">
        <v>2000</v>
      </c>
      <c r="P142" s="3">
        <v>2000</v>
      </c>
      <c r="Q142" t="s">
        <v>30</v>
      </c>
      <c r="R142" s="2">
        <v>0.7</v>
      </c>
      <c r="S142" s="3">
        <v>1400</v>
      </c>
      <c r="T142" t="s">
        <v>27</v>
      </c>
      <c r="U142" s="3">
        <v>1400</v>
      </c>
      <c r="V142" s="7" t="s">
        <v>2557</v>
      </c>
      <c r="W142" s="7" t="s">
        <v>2557</v>
      </c>
    </row>
    <row r="143" spans="1:23" x14ac:dyDescent="0.4">
      <c r="A143" t="s">
        <v>262</v>
      </c>
      <c r="B143" t="s">
        <v>1198</v>
      </c>
      <c r="C143" t="s">
        <v>1250</v>
      </c>
      <c r="D143" t="s">
        <v>21</v>
      </c>
      <c r="E143" t="s">
        <v>22</v>
      </c>
      <c r="F143" t="s">
        <v>23</v>
      </c>
      <c r="G143">
        <v>1</v>
      </c>
      <c r="H143">
        <v>9791191562019</v>
      </c>
      <c r="I143" t="s">
        <v>143</v>
      </c>
      <c r="J143" t="s">
        <v>194</v>
      </c>
      <c r="K143" t="s">
        <v>186</v>
      </c>
      <c r="L143" t="s">
        <v>27</v>
      </c>
      <c r="M143" s="3">
        <v>2000</v>
      </c>
      <c r="N143" t="s">
        <v>27</v>
      </c>
      <c r="O143" s="3">
        <v>2000</v>
      </c>
      <c r="P143" s="3">
        <v>2000</v>
      </c>
      <c r="Q143" t="s">
        <v>30</v>
      </c>
      <c r="R143" s="2">
        <v>0.7</v>
      </c>
      <c r="S143" s="3">
        <v>1400</v>
      </c>
      <c r="T143" t="s">
        <v>27</v>
      </c>
      <c r="U143" s="3">
        <v>1400</v>
      </c>
      <c r="V143" s="7" t="s">
        <v>2557</v>
      </c>
      <c r="W143" s="7" t="s">
        <v>2557</v>
      </c>
    </row>
    <row r="144" spans="1:23" x14ac:dyDescent="0.4">
      <c r="A144" t="s">
        <v>262</v>
      </c>
      <c r="B144" t="s">
        <v>1198</v>
      </c>
      <c r="C144" t="s">
        <v>1252</v>
      </c>
      <c r="D144" t="s">
        <v>21</v>
      </c>
      <c r="E144" t="s">
        <v>22</v>
      </c>
      <c r="F144" t="s">
        <v>23</v>
      </c>
      <c r="G144">
        <v>1</v>
      </c>
      <c r="H144">
        <v>9791191562286</v>
      </c>
      <c r="I144" t="s">
        <v>143</v>
      </c>
      <c r="J144" t="s">
        <v>238</v>
      </c>
      <c r="K144" t="s">
        <v>239</v>
      </c>
      <c r="L144" t="s">
        <v>27</v>
      </c>
      <c r="M144" s="3">
        <v>2000</v>
      </c>
      <c r="N144" t="s">
        <v>27</v>
      </c>
      <c r="O144" s="3">
        <v>2000</v>
      </c>
      <c r="P144" s="3">
        <v>2000</v>
      </c>
      <c r="Q144" t="s">
        <v>30</v>
      </c>
      <c r="R144" s="2">
        <v>0.7</v>
      </c>
      <c r="S144" s="3">
        <v>1400</v>
      </c>
      <c r="T144" t="s">
        <v>27</v>
      </c>
      <c r="U144" s="3">
        <v>1400</v>
      </c>
      <c r="V144" s="7" t="s">
        <v>2557</v>
      </c>
      <c r="W144" s="7" t="s">
        <v>2557</v>
      </c>
    </row>
    <row r="145" spans="1:23" x14ac:dyDescent="0.4">
      <c r="A145" t="s">
        <v>262</v>
      </c>
      <c r="B145" t="s">
        <v>1198</v>
      </c>
      <c r="C145" t="s">
        <v>1253</v>
      </c>
      <c r="D145" t="s">
        <v>21</v>
      </c>
      <c r="E145" t="s">
        <v>22</v>
      </c>
      <c r="F145" t="s">
        <v>23</v>
      </c>
      <c r="G145">
        <v>1</v>
      </c>
      <c r="H145">
        <v>9791191562248</v>
      </c>
      <c r="I145" t="s">
        <v>143</v>
      </c>
      <c r="J145" t="s">
        <v>231</v>
      </c>
      <c r="K145" t="s">
        <v>232</v>
      </c>
      <c r="L145" t="s">
        <v>27</v>
      </c>
      <c r="M145" s="3">
        <v>2000</v>
      </c>
      <c r="N145" t="s">
        <v>27</v>
      </c>
      <c r="O145" s="3">
        <v>2000</v>
      </c>
      <c r="P145" s="3">
        <v>2000</v>
      </c>
      <c r="Q145" t="s">
        <v>30</v>
      </c>
      <c r="R145" s="2">
        <v>0.7</v>
      </c>
      <c r="S145" s="3">
        <v>1400</v>
      </c>
      <c r="T145" t="s">
        <v>27</v>
      </c>
      <c r="U145" s="3">
        <v>1400</v>
      </c>
      <c r="V145" s="7" t="s">
        <v>2557</v>
      </c>
      <c r="W145" s="7" t="s">
        <v>2557</v>
      </c>
    </row>
    <row r="146" spans="1:23" x14ac:dyDescent="0.4">
      <c r="A146" t="s">
        <v>262</v>
      </c>
      <c r="B146" t="s">
        <v>1198</v>
      </c>
      <c r="C146" t="s">
        <v>1259</v>
      </c>
      <c r="D146" t="s">
        <v>21</v>
      </c>
      <c r="E146" t="s">
        <v>22</v>
      </c>
      <c r="F146" t="s">
        <v>23</v>
      </c>
      <c r="G146">
        <v>1</v>
      </c>
      <c r="H146">
        <v>9791191562286</v>
      </c>
      <c r="I146" t="s">
        <v>143</v>
      </c>
      <c r="J146" t="s">
        <v>238</v>
      </c>
      <c r="K146" t="s">
        <v>239</v>
      </c>
      <c r="L146" t="s">
        <v>27</v>
      </c>
      <c r="M146" s="3">
        <v>2000</v>
      </c>
      <c r="N146" t="s">
        <v>27</v>
      </c>
      <c r="O146" s="3">
        <v>2000</v>
      </c>
      <c r="P146" s="3">
        <v>2000</v>
      </c>
      <c r="Q146" t="s">
        <v>30</v>
      </c>
      <c r="R146" s="2">
        <v>0.7</v>
      </c>
      <c r="S146" s="3">
        <v>1400</v>
      </c>
      <c r="T146" t="s">
        <v>27</v>
      </c>
      <c r="U146" s="3">
        <v>1400</v>
      </c>
      <c r="V146" s="7" t="s">
        <v>2557</v>
      </c>
      <c r="W146" s="7" t="s">
        <v>2557</v>
      </c>
    </row>
    <row r="147" spans="1:23" x14ac:dyDescent="0.4">
      <c r="A147" t="s">
        <v>262</v>
      </c>
      <c r="B147" t="s">
        <v>1198</v>
      </c>
      <c r="C147" t="s">
        <v>1260</v>
      </c>
      <c r="D147" t="s">
        <v>21</v>
      </c>
      <c r="E147" t="s">
        <v>22</v>
      </c>
      <c r="F147" t="s">
        <v>23</v>
      </c>
      <c r="G147">
        <v>1</v>
      </c>
      <c r="H147">
        <v>9791191562286</v>
      </c>
      <c r="I147" t="s">
        <v>143</v>
      </c>
      <c r="J147" t="s">
        <v>238</v>
      </c>
      <c r="K147" t="s">
        <v>239</v>
      </c>
      <c r="L147" t="s">
        <v>27</v>
      </c>
      <c r="M147" s="3">
        <v>2000</v>
      </c>
      <c r="N147" t="s">
        <v>27</v>
      </c>
      <c r="O147" s="3">
        <v>2000</v>
      </c>
      <c r="P147" s="3">
        <v>2000</v>
      </c>
      <c r="Q147" t="s">
        <v>30</v>
      </c>
      <c r="R147" s="2">
        <v>0.7</v>
      </c>
      <c r="S147" s="3">
        <v>1400</v>
      </c>
      <c r="T147" t="s">
        <v>27</v>
      </c>
      <c r="U147" s="3">
        <v>1400</v>
      </c>
      <c r="V147" s="7" t="s">
        <v>2557</v>
      </c>
      <c r="W147" s="7" t="s">
        <v>2557</v>
      </c>
    </row>
    <row r="148" spans="1:23" x14ac:dyDescent="0.4">
      <c r="A148" t="s">
        <v>262</v>
      </c>
      <c r="B148" t="s">
        <v>1198</v>
      </c>
      <c r="C148" t="s">
        <v>1263</v>
      </c>
      <c r="D148" t="s">
        <v>21</v>
      </c>
      <c r="E148" t="s">
        <v>22</v>
      </c>
      <c r="F148" t="s">
        <v>23</v>
      </c>
      <c r="G148">
        <v>1</v>
      </c>
      <c r="H148">
        <v>9791191562286</v>
      </c>
      <c r="I148" t="s">
        <v>143</v>
      </c>
      <c r="J148" t="s">
        <v>238</v>
      </c>
      <c r="K148" t="s">
        <v>239</v>
      </c>
      <c r="L148" t="s">
        <v>27</v>
      </c>
      <c r="M148" s="3">
        <v>2000</v>
      </c>
      <c r="N148" t="s">
        <v>27</v>
      </c>
      <c r="O148" s="3">
        <v>2000</v>
      </c>
      <c r="P148" s="3">
        <v>2000</v>
      </c>
      <c r="Q148" t="s">
        <v>30</v>
      </c>
      <c r="R148" s="2">
        <v>0.7</v>
      </c>
      <c r="S148" s="3">
        <v>1400</v>
      </c>
      <c r="T148" t="s">
        <v>27</v>
      </c>
      <c r="U148" s="3">
        <v>1400</v>
      </c>
      <c r="V148" s="7" t="s">
        <v>2557</v>
      </c>
      <c r="W148" s="7" t="s">
        <v>2557</v>
      </c>
    </row>
    <row r="149" spans="1:23" x14ac:dyDescent="0.4">
      <c r="A149" t="s">
        <v>262</v>
      </c>
      <c r="B149" t="s">
        <v>1198</v>
      </c>
      <c r="C149" t="s">
        <v>1268</v>
      </c>
      <c r="D149" t="s">
        <v>21</v>
      </c>
      <c r="E149" t="s">
        <v>22</v>
      </c>
      <c r="F149" t="s">
        <v>23</v>
      </c>
      <c r="G149">
        <v>1</v>
      </c>
      <c r="H149">
        <v>9791191562385</v>
      </c>
      <c r="I149" t="s">
        <v>143</v>
      </c>
      <c r="J149" t="s">
        <v>936</v>
      </c>
      <c r="K149" t="s">
        <v>937</v>
      </c>
      <c r="L149" t="s">
        <v>27</v>
      </c>
      <c r="M149" s="3">
        <v>2000</v>
      </c>
      <c r="N149" t="s">
        <v>27</v>
      </c>
      <c r="O149" s="3">
        <v>2000</v>
      </c>
      <c r="P149" s="3">
        <v>2000</v>
      </c>
      <c r="Q149" t="s">
        <v>30</v>
      </c>
      <c r="R149" s="2">
        <v>0.7</v>
      </c>
      <c r="S149" s="3">
        <v>1400</v>
      </c>
      <c r="T149" t="s">
        <v>27</v>
      </c>
      <c r="U149" s="3">
        <v>1400</v>
      </c>
      <c r="V149" s="7" t="s">
        <v>2557</v>
      </c>
      <c r="W149" s="7" t="s">
        <v>2557</v>
      </c>
    </row>
    <row r="150" spans="1:23" x14ac:dyDescent="0.4">
      <c r="A150" t="s">
        <v>262</v>
      </c>
      <c r="B150" t="s">
        <v>1270</v>
      </c>
      <c r="C150" t="s">
        <v>1273</v>
      </c>
      <c r="D150" t="s">
        <v>21</v>
      </c>
      <c r="E150" t="s">
        <v>22</v>
      </c>
      <c r="F150" t="s">
        <v>23</v>
      </c>
      <c r="G150">
        <v>1</v>
      </c>
      <c r="H150">
        <v>9791191562286</v>
      </c>
      <c r="I150" t="s">
        <v>143</v>
      </c>
      <c r="J150" t="s">
        <v>238</v>
      </c>
      <c r="K150" t="s">
        <v>239</v>
      </c>
      <c r="L150" t="s">
        <v>27</v>
      </c>
      <c r="M150" s="3">
        <v>2000</v>
      </c>
      <c r="N150" t="s">
        <v>27</v>
      </c>
      <c r="O150" s="3">
        <v>2000</v>
      </c>
      <c r="P150" s="3">
        <v>2000</v>
      </c>
      <c r="Q150" t="s">
        <v>30</v>
      </c>
      <c r="R150" s="2">
        <v>0.7</v>
      </c>
      <c r="S150" s="3">
        <v>1400</v>
      </c>
      <c r="T150" t="s">
        <v>27</v>
      </c>
      <c r="U150" s="3">
        <v>1400</v>
      </c>
      <c r="V150" s="7" t="s">
        <v>2557</v>
      </c>
      <c r="W150" s="7" t="s">
        <v>2557</v>
      </c>
    </row>
    <row r="151" spans="1:23" x14ac:dyDescent="0.4">
      <c r="A151" t="s">
        <v>262</v>
      </c>
      <c r="B151" t="s">
        <v>1270</v>
      </c>
      <c r="C151" t="s">
        <v>1276</v>
      </c>
      <c r="D151" t="s">
        <v>21</v>
      </c>
      <c r="E151" t="s">
        <v>22</v>
      </c>
      <c r="F151" t="s">
        <v>23</v>
      </c>
      <c r="G151">
        <v>1</v>
      </c>
      <c r="H151">
        <v>9791191562125</v>
      </c>
      <c r="I151" t="s">
        <v>143</v>
      </c>
      <c r="J151" t="s">
        <v>212</v>
      </c>
      <c r="K151" t="s">
        <v>213</v>
      </c>
      <c r="L151" t="s">
        <v>27</v>
      </c>
      <c r="M151" s="3">
        <v>2500</v>
      </c>
      <c r="N151" t="s">
        <v>27</v>
      </c>
      <c r="O151" s="3">
        <v>2500</v>
      </c>
      <c r="P151" s="3">
        <v>2500</v>
      </c>
      <c r="Q151" t="s">
        <v>30</v>
      </c>
      <c r="R151" s="2">
        <v>0.7</v>
      </c>
      <c r="S151" s="3">
        <v>1750</v>
      </c>
      <c r="T151" t="s">
        <v>27</v>
      </c>
      <c r="U151" s="3">
        <v>1750</v>
      </c>
      <c r="V151" s="7" t="s">
        <v>2557</v>
      </c>
      <c r="W151" s="7" t="s">
        <v>2557</v>
      </c>
    </row>
    <row r="152" spans="1:23" x14ac:dyDescent="0.4">
      <c r="A152" t="s">
        <v>262</v>
      </c>
      <c r="B152" t="s">
        <v>1270</v>
      </c>
      <c r="C152" t="s">
        <v>1280</v>
      </c>
      <c r="D152" t="s">
        <v>21</v>
      </c>
      <c r="E152" t="s">
        <v>22</v>
      </c>
      <c r="F152" t="s">
        <v>23</v>
      </c>
      <c r="G152">
        <v>1</v>
      </c>
      <c r="H152">
        <v>9791191562095</v>
      </c>
      <c r="I152" t="s">
        <v>143</v>
      </c>
      <c r="J152" t="s">
        <v>1281</v>
      </c>
      <c r="K152" t="s">
        <v>1282</v>
      </c>
      <c r="L152" t="s">
        <v>27</v>
      </c>
      <c r="M152" s="3">
        <v>3600</v>
      </c>
      <c r="N152" t="s">
        <v>27</v>
      </c>
      <c r="O152" s="3">
        <v>3600</v>
      </c>
      <c r="P152" s="3">
        <v>3600</v>
      </c>
      <c r="Q152" t="s">
        <v>30</v>
      </c>
      <c r="R152" s="2">
        <v>0.7</v>
      </c>
      <c r="S152" s="3">
        <v>2520</v>
      </c>
      <c r="T152" t="s">
        <v>27</v>
      </c>
      <c r="U152" s="3">
        <v>2520</v>
      </c>
      <c r="V152" s="7" t="s">
        <v>2557</v>
      </c>
      <c r="W152" s="7" t="s">
        <v>2557</v>
      </c>
    </row>
    <row r="153" spans="1:23" x14ac:dyDescent="0.4">
      <c r="A153" t="s">
        <v>262</v>
      </c>
      <c r="B153" t="s">
        <v>1270</v>
      </c>
      <c r="C153" t="s">
        <v>1286</v>
      </c>
      <c r="D153" t="s">
        <v>21</v>
      </c>
      <c r="E153" t="s">
        <v>22</v>
      </c>
      <c r="F153" t="s">
        <v>216</v>
      </c>
      <c r="G153">
        <v>1</v>
      </c>
      <c r="H153">
        <v>9791191562460</v>
      </c>
      <c r="I153" t="s">
        <v>143</v>
      </c>
      <c r="J153" t="s">
        <v>1287</v>
      </c>
      <c r="K153" t="s">
        <v>1288</v>
      </c>
      <c r="L153" t="s">
        <v>27</v>
      </c>
      <c r="M153" s="3">
        <v>2500</v>
      </c>
      <c r="N153" t="s">
        <v>219</v>
      </c>
      <c r="O153">
        <v>3.41</v>
      </c>
      <c r="P153">
        <v>2.97</v>
      </c>
      <c r="Q153" t="s">
        <v>220</v>
      </c>
      <c r="R153" s="2">
        <v>0.7</v>
      </c>
      <c r="S153">
        <v>2.08</v>
      </c>
      <c r="T153" t="s">
        <v>27</v>
      </c>
      <c r="U153" s="3">
        <v>1696</v>
      </c>
      <c r="V153" s="7" t="s">
        <v>2557</v>
      </c>
      <c r="W153" s="7" t="s">
        <v>2557</v>
      </c>
    </row>
    <row r="154" spans="1:23" x14ac:dyDescent="0.4">
      <c r="A154" t="s">
        <v>262</v>
      </c>
      <c r="B154" t="s">
        <v>1270</v>
      </c>
      <c r="C154" t="s">
        <v>1293</v>
      </c>
      <c r="D154" t="s">
        <v>21</v>
      </c>
      <c r="E154" t="s">
        <v>22</v>
      </c>
      <c r="F154" t="s">
        <v>23</v>
      </c>
      <c r="G154">
        <v>1</v>
      </c>
      <c r="H154">
        <v>9791191562248</v>
      </c>
      <c r="I154" t="s">
        <v>143</v>
      </c>
      <c r="J154" t="s">
        <v>231</v>
      </c>
      <c r="K154" t="s">
        <v>232</v>
      </c>
      <c r="L154" t="s">
        <v>27</v>
      </c>
      <c r="M154" s="3">
        <v>2000</v>
      </c>
      <c r="N154" t="s">
        <v>27</v>
      </c>
      <c r="O154" s="3">
        <v>2000</v>
      </c>
      <c r="P154" s="3">
        <v>2000</v>
      </c>
      <c r="Q154" t="s">
        <v>30</v>
      </c>
      <c r="R154" s="2">
        <v>0.7</v>
      </c>
      <c r="S154" s="3">
        <v>1400</v>
      </c>
      <c r="T154" t="s">
        <v>27</v>
      </c>
      <c r="U154" s="3">
        <v>1400</v>
      </c>
      <c r="V154" s="7" t="s">
        <v>2557</v>
      </c>
      <c r="W154" s="7" t="s">
        <v>2557</v>
      </c>
    </row>
    <row r="155" spans="1:23" x14ac:dyDescent="0.4">
      <c r="A155" t="s">
        <v>262</v>
      </c>
      <c r="B155" t="s">
        <v>1270</v>
      </c>
      <c r="C155" t="s">
        <v>1303</v>
      </c>
      <c r="D155" t="s">
        <v>21</v>
      </c>
      <c r="E155" t="s">
        <v>22</v>
      </c>
      <c r="F155" t="s">
        <v>23</v>
      </c>
      <c r="G155">
        <v>1</v>
      </c>
      <c r="H155">
        <v>9791191562286</v>
      </c>
      <c r="I155" t="s">
        <v>143</v>
      </c>
      <c r="J155" t="s">
        <v>238</v>
      </c>
      <c r="K155" t="s">
        <v>239</v>
      </c>
      <c r="L155" t="s">
        <v>27</v>
      </c>
      <c r="M155" s="3">
        <v>2000</v>
      </c>
      <c r="N155" t="s">
        <v>27</v>
      </c>
      <c r="O155" s="3">
        <v>2000</v>
      </c>
      <c r="P155" s="3">
        <v>2000</v>
      </c>
      <c r="Q155" t="s">
        <v>30</v>
      </c>
      <c r="R155" s="2">
        <v>0.7</v>
      </c>
      <c r="S155" s="3">
        <v>1400</v>
      </c>
      <c r="T155" t="s">
        <v>27</v>
      </c>
      <c r="U155" s="3">
        <v>1400</v>
      </c>
      <c r="V155" s="7" t="s">
        <v>2557</v>
      </c>
      <c r="W155" s="7" t="s">
        <v>2557</v>
      </c>
    </row>
    <row r="156" spans="1:23" x14ac:dyDescent="0.4">
      <c r="A156" t="s">
        <v>262</v>
      </c>
      <c r="B156" t="s">
        <v>1270</v>
      </c>
      <c r="C156" t="s">
        <v>1303</v>
      </c>
      <c r="D156" t="s">
        <v>21</v>
      </c>
      <c r="E156" t="s">
        <v>22</v>
      </c>
      <c r="F156" t="s">
        <v>23</v>
      </c>
      <c r="G156">
        <v>1</v>
      </c>
      <c r="H156">
        <v>9791191562248</v>
      </c>
      <c r="I156" t="s">
        <v>143</v>
      </c>
      <c r="J156" t="s">
        <v>231</v>
      </c>
      <c r="K156" t="s">
        <v>232</v>
      </c>
      <c r="L156" t="s">
        <v>27</v>
      </c>
      <c r="M156" s="3">
        <v>2000</v>
      </c>
      <c r="N156" t="s">
        <v>27</v>
      </c>
      <c r="O156" s="3">
        <v>2000</v>
      </c>
      <c r="P156" s="3">
        <v>2000</v>
      </c>
      <c r="Q156" t="s">
        <v>30</v>
      </c>
      <c r="R156" s="2">
        <v>0.7</v>
      </c>
      <c r="S156" s="3">
        <v>1400</v>
      </c>
      <c r="T156" t="s">
        <v>27</v>
      </c>
      <c r="U156" s="3">
        <v>1400</v>
      </c>
      <c r="V156" s="7" t="s">
        <v>2557</v>
      </c>
      <c r="W156" s="7" t="s">
        <v>2557</v>
      </c>
    </row>
    <row r="157" spans="1:23" x14ac:dyDescent="0.4">
      <c r="A157" t="s">
        <v>262</v>
      </c>
      <c r="B157" t="s">
        <v>1270</v>
      </c>
      <c r="C157" t="s">
        <v>1303</v>
      </c>
      <c r="D157" t="s">
        <v>21</v>
      </c>
      <c r="E157" t="s">
        <v>22</v>
      </c>
      <c r="F157" t="s">
        <v>23</v>
      </c>
      <c r="G157">
        <v>1</v>
      </c>
      <c r="H157">
        <v>9791191562224</v>
      </c>
      <c r="I157" t="s">
        <v>143</v>
      </c>
      <c r="J157" t="s">
        <v>221</v>
      </c>
      <c r="K157" t="s">
        <v>222</v>
      </c>
      <c r="L157" t="s">
        <v>27</v>
      </c>
      <c r="M157" s="3">
        <v>2500</v>
      </c>
      <c r="N157" t="s">
        <v>27</v>
      </c>
      <c r="O157" s="3">
        <v>2500</v>
      </c>
      <c r="P157" s="3">
        <v>2500</v>
      </c>
      <c r="Q157" t="s">
        <v>30</v>
      </c>
      <c r="R157" s="2">
        <v>0.7</v>
      </c>
      <c r="S157" s="3">
        <v>1750</v>
      </c>
      <c r="T157" t="s">
        <v>27</v>
      </c>
      <c r="U157" s="3">
        <v>1750</v>
      </c>
      <c r="V157" s="7" t="s">
        <v>2557</v>
      </c>
      <c r="W157" s="7" t="s">
        <v>2557</v>
      </c>
    </row>
    <row r="158" spans="1:23" x14ac:dyDescent="0.4">
      <c r="A158" t="s">
        <v>262</v>
      </c>
      <c r="B158" t="s">
        <v>1270</v>
      </c>
      <c r="C158" t="s">
        <v>1326</v>
      </c>
      <c r="D158" t="s">
        <v>21</v>
      </c>
      <c r="E158" t="s">
        <v>22</v>
      </c>
      <c r="F158" t="s">
        <v>23</v>
      </c>
      <c r="G158">
        <v>1</v>
      </c>
      <c r="H158">
        <v>9791191562347</v>
      </c>
      <c r="I158" t="s">
        <v>143</v>
      </c>
      <c r="J158" t="s">
        <v>307</v>
      </c>
      <c r="K158" t="s">
        <v>308</v>
      </c>
      <c r="L158" t="s">
        <v>27</v>
      </c>
      <c r="M158" s="3">
        <v>3200</v>
      </c>
      <c r="N158" t="s">
        <v>27</v>
      </c>
      <c r="O158" s="3">
        <v>3200</v>
      </c>
      <c r="P158" s="3">
        <v>3200</v>
      </c>
      <c r="Q158" t="s">
        <v>30</v>
      </c>
      <c r="R158" s="2">
        <v>0.7</v>
      </c>
      <c r="S158" s="3">
        <v>2240</v>
      </c>
      <c r="T158" t="s">
        <v>27</v>
      </c>
      <c r="U158" s="3">
        <v>2240</v>
      </c>
      <c r="V158" s="7" t="s">
        <v>2557</v>
      </c>
      <c r="W158" s="7" t="s">
        <v>2557</v>
      </c>
    </row>
    <row r="159" spans="1:23" x14ac:dyDescent="0.4">
      <c r="A159" t="s">
        <v>262</v>
      </c>
      <c r="B159" t="s">
        <v>1340</v>
      </c>
      <c r="C159" t="s">
        <v>1345</v>
      </c>
      <c r="D159" t="s">
        <v>21</v>
      </c>
      <c r="E159" t="s">
        <v>22</v>
      </c>
      <c r="F159" t="s">
        <v>23</v>
      </c>
      <c r="G159">
        <v>1</v>
      </c>
      <c r="H159">
        <v>9791191562408</v>
      </c>
      <c r="I159" t="s">
        <v>143</v>
      </c>
      <c r="J159" t="s">
        <v>698</v>
      </c>
      <c r="K159" t="s">
        <v>215</v>
      </c>
      <c r="L159" t="s">
        <v>27</v>
      </c>
      <c r="M159" s="3">
        <v>2000</v>
      </c>
      <c r="N159" t="s">
        <v>27</v>
      </c>
      <c r="O159" s="3">
        <v>2000</v>
      </c>
      <c r="P159" s="3">
        <v>2000</v>
      </c>
      <c r="Q159" t="s">
        <v>30</v>
      </c>
      <c r="R159" s="2">
        <v>0.7</v>
      </c>
      <c r="S159" s="3">
        <v>1400</v>
      </c>
      <c r="T159" t="s">
        <v>27</v>
      </c>
      <c r="U159" s="3">
        <v>1400</v>
      </c>
      <c r="V159" s="7" t="s">
        <v>2557</v>
      </c>
      <c r="W159" s="7" t="s">
        <v>2557</v>
      </c>
    </row>
    <row r="160" spans="1:23" x14ac:dyDescent="0.4">
      <c r="A160" t="s">
        <v>262</v>
      </c>
      <c r="B160" t="s">
        <v>1340</v>
      </c>
      <c r="C160" t="s">
        <v>1347</v>
      </c>
      <c r="D160" t="s">
        <v>21</v>
      </c>
      <c r="E160" t="s">
        <v>22</v>
      </c>
      <c r="F160" t="s">
        <v>23</v>
      </c>
      <c r="G160">
        <v>1</v>
      </c>
      <c r="H160">
        <v>9791191562286</v>
      </c>
      <c r="I160" t="s">
        <v>143</v>
      </c>
      <c r="J160" t="s">
        <v>238</v>
      </c>
      <c r="K160" t="s">
        <v>239</v>
      </c>
      <c r="L160" t="s">
        <v>27</v>
      </c>
      <c r="M160" s="3">
        <v>2000</v>
      </c>
      <c r="N160" t="s">
        <v>27</v>
      </c>
      <c r="O160" s="3">
        <v>2000</v>
      </c>
      <c r="P160" s="3">
        <v>2000</v>
      </c>
      <c r="Q160" t="s">
        <v>30</v>
      </c>
      <c r="R160" s="2">
        <v>0.7</v>
      </c>
      <c r="S160" s="3">
        <v>1400</v>
      </c>
      <c r="T160" t="s">
        <v>27</v>
      </c>
      <c r="U160" s="3">
        <v>1400</v>
      </c>
      <c r="V160" s="7" t="s">
        <v>2557</v>
      </c>
      <c r="W160" s="7" t="s">
        <v>2557</v>
      </c>
    </row>
    <row r="161" spans="1:23" x14ac:dyDescent="0.4">
      <c r="A161" t="s">
        <v>262</v>
      </c>
      <c r="B161" t="s">
        <v>1340</v>
      </c>
      <c r="C161" t="s">
        <v>1365</v>
      </c>
      <c r="D161" t="s">
        <v>21</v>
      </c>
      <c r="E161" t="s">
        <v>22</v>
      </c>
      <c r="F161" t="s">
        <v>23</v>
      </c>
      <c r="G161">
        <v>1</v>
      </c>
      <c r="H161">
        <v>9791196945268</v>
      </c>
      <c r="I161" t="s">
        <v>143</v>
      </c>
      <c r="J161" t="s">
        <v>185</v>
      </c>
      <c r="K161" t="s">
        <v>188</v>
      </c>
      <c r="L161" t="s">
        <v>27</v>
      </c>
      <c r="M161" s="3">
        <v>2500</v>
      </c>
      <c r="N161" t="s">
        <v>27</v>
      </c>
      <c r="O161" s="3">
        <v>2500</v>
      </c>
      <c r="P161" s="3">
        <v>2500</v>
      </c>
      <c r="Q161" t="s">
        <v>30</v>
      </c>
      <c r="R161" s="2">
        <v>0.7</v>
      </c>
      <c r="S161" s="3">
        <v>1750</v>
      </c>
      <c r="T161" t="s">
        <v>27</v>
      </c>
      <c r="U161" s="3">
        <v>1750</v>
      </c>
      <c r="V161" s="7" t="s">
        <v>2557</v>
      </c>
      <c r="W161" s="7" t="s">
        <v>2557</v>
      </c>
    </row>
    <row r="162" spans="1:23" x14ac:dyDescent="0.4">
      <c r="A162" t="s">
        <v>262</v>
      </c>
      <c r="B162" t="s">
        <v>1340</v>
      </c>
      <c r="C162" t="s">
        <v>1366</v>
      </c>
      <c r="D162" t="s">
        <v>21</v>
      </c>
      <c r="E162" t="s">
        <v>22</v>
      </c>
      <c r="F162" t="s">
        <v>23</v>
      </c>
      <c r="G162">
        <v>1</v>
      </c>
      <c r="H162">
        <v>9791191562262</v>
      </c>
      <c r="I162" t="s">
        <v>143</v>
      </c>
      <c r="J162" t="s">
        <v>250</v>
      </c>
      <c r="K162" t="s">
        <v>251</v>
      </c>
      <c r="L162" t="s">
        <v>27</v>
      </c>
      <c r="M162" s="3">
        <v>2000</v>
      </c>
      <c r="N162" t="s">
        <v>27</v>
      </c>
      <c r="O162" s="3">
        <v>2000</v>
      </c>
      <c r="P162" s="3">
        <v>2000</v>
      </c>
      <c r="Q162" t="s">
        <v>30</v>
      </c>
      <c r="R162" s="2">
        <v>0.7</v>
      </c>
      <c r="S162" s="3">
        <v>1400</v>
      </c>
      <c r="T162" t="s">
        <v>27</v>
      </c>
      <c r="U162" s="3">
        <v>1400</v>
      </c>
      <c r="V162" s="7" t="s">
        <v>2557</v>
      </c>
      <c r="W162" s="7" t="s">
        <v>2557</v>
      </c>
    </row>
    <row r="163" spans="1:23" x14ac:dyDescent="0.4">
      <c r="A163" t="s">
        <v>262</v>
      </c>
      <c r="B163" t="s">
        <v>1340</v>
      </c>
      <c r="C163" t="s">
        <v>1367</v>
      </c>
      <c r="D163" t="s">
        <v>21</v>
      </c>
      <c r="E163" t="s">
        <v>22</v>
      </c>
      <c r="F163" t="s">
        <v>23</v>
      </c>
      <c r="G163">
        <v>1</v>
      </c>
      <c r="H163">
        <v>9791191562262</v>
      </c>
      <c r="I163" t="s">
        <v>143</v>
      </c>
      <c r="J163" t="s">
        <v>250</v>
      </c>
      <c r="K163" t="s">
        <v>251</v>
      </c>
      <c r="L163" t="s">
        <v>27</v>
      </c>
      <c r="M163" s="3">
        <v>2000</v>
      </c>
      <c r="N163" t="s">
        <v>27</v>
      </c>
      <c r="O163" s="3">
        <v>2000</v>
      </c>
      <c r="P163" s="3">
        <v>2000</v>
      </c>
      <c r="Q163" t="s">
        <v>30</v>
      </c>
      <c r="R163" s="2">
        <v>0.7</v>
      </c>
      <c r="S163" s="3">
        <v>1400</v>
      </c>
      <c r="T163" t="s">
        <v>27</v>
      </c>
      <c r="U163" s="3">
        <v>1400</v>
      </c>
      <c r="V163" s="7" t="s">
        <v>2557</v>
      </c>
      <c r="W163" s="7" t="s">
        <v>2557</v>
      </c>
    </row>
    <row r="164" spans="1:23" x14ac:dyDescent="0.4">
      <c r="A164" t="s">
        <v>262</v>
      </c>
      <c r="B164" t="s">
        <v>1340</v>
      </c>
      <c r="C164" t="s">
        <v>1396</v>
      </c>
      <c r="D164" t="s">
        <v>21</v>
      </c>
      <c r="E164" t="s">
        <v>22</v>
      </c>
      <c r="F164" t="s">
        <v>23</v>
      </c>
      <c r="G164">
        <v>1</v>
      </c>
      <c r="H164">
        <v>9791191562286</v>
      </c>
      <c r="I164" t="s">
        <v>143</v>
      </c>
      <c r="J164" t="s">
        <v>238</v>
      </c>
      <c r="K164" t="s">
        <v>239</v>
      </c>
      <c r="L164" t="s">
        <v>27</v>
      </c>
      <c r="M164" s="3">
        <v>2000</v>
      </c>
      <c r="N164" t="s">
        <v>28</v>
      </c>
      <c r="O164">
        <v>1.65</v>
      </c>
      <c r="P164">
        <v>1.65</v>
      </c>
      <c r="Q164" t="s">
        <v>29</v>
      </c>
      <c r="R164" s="2">
        <v>0.7</v>
      </c>
      <c r="S164">
        <v>1.1499999999999999</v>
      </c>
      <c r="T164" t="s">
        <v>27</v>
      </c>
      <c r="U164" s="3">
        <v>1474</v>
      </c>
      <c r="V164" s="7" t="s">
        <v>2557</v>
      </c>
      <c r="W164" s="7" t="s">
        <v>2557</v>
      </c>
    </row>
    <row r="165" spans="1:23" x14ac:dyDescent="0.4">
      <c r="A165" t="s">
        <v>262</v>
      </c>
      <c r="B165" t="s">
        <v>1340</v>
      </c>
      <c r="C165" t="s">
        <v>1400</v>
      </c>
      <c r="D165" t="s">
        <v>21</v>
      </c>
      <c r="E165" t="s">
        <v>22</v>
      </c>
      <c r="F165" t="s">
        <v>23</v>
      </c>
      <c r="G165">
        <v>1</v>
      </c>
      <c r="H165">
        <v>9791191562286</v>
      </c>
      <c r="I165" t="s">
        <v>143</v>
      </c>
      <c r="J165" t="s">
        <v>238</v>
      </c>
      <c r="K165" t="s">
        <v>239</v>
      </c>
      <c r="L165" t="s">
        <v>27</v>
      </c>
      <c r="M165" s="3">
        <v>2000</v>
      </c>
      <c r="N165" t="s">
        <v>27</v>
      </c>
      <c r="O165" s="3">
        <v>2000</v>
      </c>
      <c r="P165" s="3">
        <v>2000</v>
      </c>
      <c r="Q165" t="s">
        <v>30</v>
      </c>
      <c r="R165" s="2">
        <v>0.7</v>
      </c>
      <c r="S165" s="3">
        <v>1400</v>
      </c>
      <c r="T165" t="s">
        <v>27</v>
      </c>
      <c r="U165" s="3">
        <v>1400</v>
      </c>
      <c r="V165" s="7" t="s">
        <v>2557</v>
      </c>
      <c r="W165" s="7" t="s">
        <v>2557</v>
      </c>
    </row>
    <row r="166" spans="1:23" x14ac:dyDescent="0.4">
      <c r="A166" t="s">
        <v>262</v>
      </c>
      <c r="B166" t="s">
        <v>1340</v>
      </c>
      <c r="C166" t="s">
        <v>1407</v>
      </c>
      <c r="D166" t="s">
        <v>21</v>
      </c>
      <c r="E166" t="s">
        <v>22</v>
      </c>
      <c r="F166" t="s">
        <v>23</v>
      </c>
      <c r="G166">
        <v>1</v>
      </c>
      <c r="H166">
        <v>9791191562224</v>
      </c>
      <c r="I166" t="s">
        <v>143</v>
      </c>
      <c r="J166" t="s">
        <v>221</v>
      </c>
      <c r="K166" t="s">
        <v>222</v>
      </c>
      <c r="L166" t="s">
        <v>27</v>
      </c>
      <c r="M166" s="3">
        <v>2500</v>
      </c>
      <c r="N166" t="s">
        <v>27</v>
      </c>
      <c r="O166" s="3">
        <v>2500</v>
      </c>
      <c r="P166" s="3">
        <v>2500</v>
      </c>
      <c r="Q166" t="s">
        <v>30</v>
      </c>
      <c r="R166" s="2">
        <v>0.7</v>
      </c>
      <c r="S166" s="3">
        <v>1750</v>
      </c>
      <c r="T166" t="s">
        <v>27</v>
      </c>
      <c r="U166" s="3">
        <v>1750</v>
      </c>
      <c r="V166" s="7" t="s">
        <v>2557</v>
      </c>
      <c r="W166" s="7" t="s">
        <v>2557</v>
      </c>
    </row>
    <row r="167" spans="1:23" x14ac:dyDescent="0.4">
      <c r="A167" t="s">
        <v>262</v>
      </c>
      <c r="B167" t="s">
        <v>1411</v>
      </c>
      <c r="C167" t="s">
        <v>1422</v>
      </c>
      <c r="D167" t="s">
        <v>21</v>
      </c>
      <c r="E167" t="s">
        <v>22</v>
      </c>
      <c r="F167" t="s">
        <v>23</v>
      </c>
      <c r="G167">
        <v>1</v>
      </c>
      <c r="H167">
        <v>9791191562286</v>
      </c>
      <c r="I167" t="s">
        <v>143</v>
      </c>
      <c r="J167" t="s">
        <v>238</v>
      </c>
      <c r="K167" t="s">
        <v>239</v>
      </c>
      <c r="L167" t="s">
        <v>27</v>
      </c>
      <c r="M167" s="3">
        <v>2000</v>
      </c>
      <c r="N167" t="s">
        <v>27</v>
      </c>
      <c r="O167" s="3">
        <v>2000</v>
      </c>
      <c r="P167" s="3">
        <v>2000</v>
      </c>
      <c r="Q167" t="s">
        <v>30</v>
      </c>
      <c r="R167" s="2">
        <v>0.7</v>
      </c>
      <c r="S167" s="3">
        <v>1400</v>
      </c>
      <c r="T167" t="s">
        <v>27</v>
      </c>
      <c r="U167" s="3">
        <v>1400</v>
      </c>
      <c r="V167" s="7" t="s">
        <v>2557</v>
      </c>
      <c r="W167" s="7" t="s">
        <v>2557</v>
      </c>
    </row>
    <row r="168" spans="1:23" x14ac:dyDescent="0.4">
      <c r="A168" t="s">
        <v>262</v>
      </c>
      <c r="B168" t="s">
        <v>1411</v>
      </c>
      <c r="C168" t="s">
        <v>1423</v>
      </c>
      <c r="D168" t="s">
        <v>21</v>
      </c>
      <c r="E168" t="s">
        <v>22</v>
      </c>
      <c r="F168" t="s">
        <v>23</v>
      </c>
      <c r="G168">
        <v>1</v>
      </c>
      <c r="H168">
        <v>9791191562262</v>
      </c>
      <c r="I168" t="s">
        <v>143</v>
      </c>
      <c r="J168" t="s">
        <v>250</v>
      </c>
      <c r="K168" t="s">
        <v>251</v>
      </c>
      <c r="L168" t="s">
        <v>27</v>
      </c>
      <c r="M168" s="3">
        <v>2000</v>
      </c>
      <c r="N168" t="s">
        <v>27</v>
      </c>
      <c r="O168" s="3">
        <v>2000</v>
      </c>
      <c r="P168" s="3">
        <v>2000</v>
      </c>
      <c r="Q168" t="s">
        <v>30</v>
      </c>
      <c r="R168" s="2">
        <v>0.7</v>
      </c>
      <c r="S168" s="3">
        <v>1400</v>
      </c>
      <c r="T168" t="s">
        <v>27</v>
      </c>
      <c r="U168" s="3">
        <v>1400</v>
      </c>
      <c r="V168" s="7" t="s">
        <v>2557</v>
      </c>
      <c r="W168" s="7" t="s">
        <v>2557</v>
      </c>
    </row>
    <row r="169" spans="1:23" x14ac:dyDescent="0.4">
      <c r="A169" t="s">
        <v>262</v>
      </c>
      <c r="B169" t="s">
        <v>1411</v>
      </c>
      <c r="C169" t="s">
        <v>1436</v>
      </c>
      <c r="D169" t="s">
        <v>21</v>
      </c>
      <c r="E169" t="s">
        <v>22</v>
      </c>
      <c r="F169" t="s">
        <v>23</v>
      </c>
      <c r="G169">
        <v>1</v>
      </c>
      <c r="H169">
        <v>9791191562286</v>
      </c>
      <c r="I169" t="s">
        <v>143</v>
      </c>
      <c r="J169" t="s">
        <v>238</v>
      </c>
      <c r="K169" t="s">
        <v>239</v>
      </c>
      <c r="L169" t="s">
        <v>27</v>
      </c>
      <c r="M169" s="3">
        <v>2000</v>
      </c>
      <c r="N169" t="s">
        <v>27</v>
      </c>
      <c r="O169" s="3">
        <v>2000</v>
      </c>
      <c r="P169" s="3">
        <v>2000</v>
      </c>
      <c r="Q169" t="s">
        <v>30</v>
      </c>
      <c r="R169" s="2">
        <v>0.7</v>
      </c>
      <c r="S169" s="3">
        <v>1400</v>
      </c>
      <c r="T169" t="s">
        <v>27</v>
      </c>
      <c r="U169" s="3">
        <v>1400</v>
      </c>
      <c r="V169" s="7" t="s">
        <v>2557</v>
      </c>
      <c r="W169" s="7" t="s">
        <v>2557</v>
      </c>
    </row>
    <row r="170" spans="1:23" x14ac:dyDescent="0.4">
      <c r="A170" t="s">
        <v>262</v>
      </c>
      <c r="B170" t="s">
        <v>1411</v>
      </c>
      <c r="C170" t="s">
        <v>1458</v>
      </c>
      <c r="D170" t="s">
        <v>21</v>
      </c>
      <c r="E170" t="s">
        <v>22</v>
      </c>
      <c r="F170" t="s">
        <v>23</v>
      </c>
      <c r="G170">
        <v>1</v>
      </c>
      <c r="H170">
        <v>9791191562286</v>
      </c>
      <c r="I170" t="s">
        <v>143</v>
      </c>
      <c r="J170" t="s">
        <v>238</v>
      </c>
      <c r="K170" t="s">
        <v>239</v>
      </c>
      <c r="L170" t="s">
        <v>27</v>
      </c>
      <c r="M170" s="3">
        <v>2000</v>
      </c>
      <c r="N170" t="s">
        <v>176</v>
      </c>
      <c r="O170">
        <v>222</v>
      </c>
      <c r="P170">
        <v>202</v>
      </c>
      <c r="Q170" t="s">
        <v>177</v>
      </c>
      <c r="R170" s="2">
        <v>0.7</v>
      </c>
      <c r="S170">
        <v>141</v>
      </c>
      <c r="T170" t="s">
        <v>27</v>
      </c>
      <c r="U170" s="3">
        <v>1403</v>
      </c>
      <c r="V170" s="7" t="s">
        <v>2557</v>
      </c>
      <c r="W170" s="7" t="s">
        <v>2557</v>
      </c>
    </row>
    <row r="171" spans="1:23" x14ac:dyDescent="0.4">
      <c r="A171" t="s">
        <v>262</v>
      </c>
      <c r="B171" t="s">
        <v>1411</v>
      </c>
      <c r="C171" t="s">
        <v>1460</v>
      </c>
      <c r="D171" t="s">
        <v>21</v>
      </c>
      <c r="E171" t="s">
        <v>22</v>
      </c>
      <c r="F171" t="s">
        <v>23</v>
      </c>
      <c r="G171">
        <v>1</v>
      </c>
      <c r="H171">
        <v>9791191562262</v>
      </c>
      <c r="I171" t="s">
        <v>143</v>
      </c>
      <c r="J171" t="s">
        <v>250</v>
      </c>
      <c r="K171" t="s">
        <v>251</v>
      </c>
      <c r="L171" t="s">
        <v>27</v>
      </c>
      <c r="M171" s="3">
        <v>2000</v>
      </c>
      <c r="N171" t="s">
        <v>27</v>
      </c>
      <c r="O171" s="3">
        <v>2000</v>
      </c>
      <c r="P171" s="3">
        <v>2000</v>
      </c>
      <c r="Q171" t="s">
        <v>30</v>
      </c>
      <c r="R171" s="2">
        <v>0.7</v>
      </c>
      <c r="S171" s="3">
        <v>1400</v>
      </c>
      <c r="T171" t="s">
        <v>27</v>
      </c>
      <c r="U171" s="3">
        <v>1400</v>
      </c>
      <c r="V171" s="7" t="s">
        <v>2557</v>
      </c>
      <c r="W171" s="7" t="s">
        <v>2557</v>
      </c>
    </row>
    <row r="172" spans="1:23" x14ac:dyDescent="0.4">
      <c r="A172" t="s">
        <v>262</v>
      </c>
      <c r="B172" t="s">
        <v>1411</v>
      </c>
      <c r="C172" t="s">
        <v>1463</v>
      </c>
      <c r="D172" t="s">
        <v>21</v>
      </c>
      <c r="E172" t="s">
        <v>22</v>
      </c>
      <c r="F172" t="s">
        <v>23</v>
      </c>
      <c r="G172">
        <v>1</v>
      </c>
      <c r="H172">
        <v>9791191562286</v>
      </c>
      <c r="I172" t="s">
        <v>143</v>
      </c>
      <c r="J172" t="s">
        <v>238</v>
      </c>
      <c r="K172" t="s">
        <v>239</v>
      </c>
      <c r="L172" t="s">
        <v>27</v>
      </c>
      <c r="M172" s="3">
        <v>2000</v>
      </c>
      <c r="N172" t="s">
        <v>27</v>
      </c>
      <c r="O172" s="3">
        <v>2000</v>
      </c>
      <c r="P172" s="3">
        <v>2000</v>
      </c>
      <c r="Q172" t="s">
        <v>30</v>
      </c>
      <c r="R172" s="2">
        <v>0.7</v>
      </c>
      <c r="S172" s="3">
        <v>1400</v>
      </c>
      <c r="T172" t="s">
        <v>27</v>
      </c>
      <c r="U172" s="3">
        <v>1400</v>
      </c>
      <c r="V172" s="7" t="s">
        <v>2557</v>
      </c>
      <c r="W172" s="7" t="s">
        <v>2557</v>
      </c>
    </row>
    <row r="173" spans="1:23" x14ac:dyDescent="0.4">
      <c r="A173" t="s">
        <v>262</v>
      </c>
      <c r="B173" t="s">
        <v>1411</v>
      </c>
      <c r="C173" t="s">
        <v>1472</v>
      </c>
      <c r="D173" t="s">
        <v>21</v>
      </c>
      <c r="E173" t="s">
        <v>22</v>
      </c>
      <c r="F173" t="s">
        <v>23</v>
      </c>
      <c r="G173">
        <v>1</v>
      </c>
      <c r="H173">
        <v>9791191562125</v>
      </c>
      <c r="I173" t="s">
        <v>143</v>
      </c>
      <c r="J173" t="s">
        <v>212</v>
      </c>
      <c r="K173" t="s">
        <v>213</v>
      </c>
      <c r="L173" t="s">
        <v>27</v>
      </c>
      <c r="M173" s="3">
        <v>2500</v>
      </c>
      <c r="N173" t="s">
        <v>27</v>
      </c>
      <c r="O173" s="3">
        <v>2500</v>
      </c>
      <c r="P173" s="3">
        <v>2500</v>
      </c>
      <c r="Q173" t="s">
        <v>30</v>
      </c>
      <c r="R173" s="2">
        <v>0.7</v>
      </c>
      <c r="S173" s="3">
        <v>1750</v>
      </c>
      <c r="T173" t="s">
        <v>27</v>
      </c>
      <c r="U173" s="3">
        <v>1750</v>
      </c>
      <c r="V173" s="7" t="s">
        <v>2557</v>
      </c>
      <c r="W173" s="7" t="s">
        <v>2557</v>
      </c>
    </row>
    <row r="174" spans="1:23" x14ac:dyDescent="0.4">
      <c r="A174" t="s">
        <v>262</v>
      </c>
      <c r="B174" t="s">
        <v>1411</v>
      </c>
      <c r="C174" t="s">
        <v>1474</v>
      </c>
      <c r="D174" t="s">
        <v>21</v>
      </c>
      <c r="E174" t="s">
        <v>22</v>
      </c>
      <c r="F174" t="s">
        <v>23</v>
      </c>
      <c r="G174">
        <v>1</v>
      </c>
      <c r="H174">
        <v>9791191562286</v>
      </c>
      <c r="I174" t="s">
        <v>143</v>
      </c>
      <c r="J174" t="s">
        <v>238</v>
      </c>
      <c r="K174" t="s">
        <v>239</v>
      </c>
      <c r="L174" t="s">
        <v>27</v>
      </c>
      <c r="M174" s="3">
        <v>2000</v>
      </c>
      <c r="N174" t="s">
        <v>27</v>
      </c>
      <c r="O174" s="3">
        <v>2000</v>
      </c>
      <c r="P174" s="3">
        <v>2000</v>
      </c>
      <c r="Q174" t="s">
        <v>30</v>
      </c>
      <c r="R174" s="2">
        <v>0.7</v>
      </c>
      <c r="S174" s="3">
        <v>1400</v>
      </c>
      <c r="T174" t="s">
        <v>27</v>
      </c>
      <c r="U174" s="3">
        <v>1400</v>
      </c>
      <c r="V174" s="7" t="s">
        <v>2557</v>
      </c>
      <c r="W174" s="7" t="s">
        <v>2557</v>
      </c>
    </row>
    <row r="175" spans="1:23" x14ac:dyDescent="0.4">
      <c r="A175" t="s">
        <v>262</v>
      </c>
      <c r="B175" t="s">
        <v>1411</v>
      </c>
      <c r="C175" t="s">
        <v>1487</v>
      </c>
      <c r="D175" t="s">
        <v>21</v>
      </c>
      <c r="E175" t="s">
        <v>22</v>
      </c>
      <c r="F175" t="s">
        <v>23</v>
      </c>
      <c r="G175">
        <v>1</v>
      </c>
      <c r="H175">
        <v>9791191562248</v>
      </c>
      <c r="I175" t="s">
        <v>143</v>
      </c>
      <c r="J175" t="s">
        <v>231</v>
      </c>
      <c r="K175" t="s">
        <v>232</v>
      </c>
      <c r="L175" t="s">
        <v>27</v>
      </c>
      <c r="M175" s="3">
        <v>2000</v>
      </c>
      <c r="N175" t="s">
        <v>27</v>
      </c>
      <c r="O175" s="3">
        <v>2000</v>
      </c>
      <c r="P175" s="3">
        <v>2000</v>
      </c>
      <c r="Q175" t="s">
        <v>30</v>
      </c>
      <c r="R175" s="2">
        <v>0.7</v>
      </c>
      <c r="S175" s="3">
        <v>1400</v>
      </c>
      <c r="T175" t="s">
        <v>27</v>
      </c>
      <c r="U175" s="3">
        <v>1400</v>
      </c>
      <c r="V175" s="7" t="s">
        <v>2557</v>
      </c>
      <c r="W175" s="7" t="s">
        <v>2557</v>
      </c>
    </row>
    <row r="176" spans="1:23" x14ac:dyDescent="0.4">
      <c r="A176" t="s">
        <v>262</v>
      </c>
      <c r="B176" t="s">
        <v>1411</v>
      </c>
      <c r="C176" t="s">
        <v>1493</v>
      </c>
      <c r="D176" t="s">
        <v>21</v>
      </c>
      <c r="E176" t="s">
        <v>22</v>
      </c>
      <c r="F176" t="s">
        <v>23</v>
      </c>
      <c r="G176">
        <v>1</v>
      </c>
      <c r="H176">
        <v>9791191562262</v>
      </c>
      <c r="I176" t="s">
        <v>143</v>
      </c>
      <c r="J176" t="s">
        <v>250</v>
      </c>
      <c r="K176" t="s">
        <v>251</v>
      </c>
      <c r="L176" t="s">
        <v>27</v>
      </c>
      <c r="M176" s="3">
        <v>2000</v>
      </c>
      <c r="N176" t="s">
        <v>27</v>
      </c>
      <c r="O176" s="3">
        <v>2000</v>
      </c>
      <c r="P176" s="3">
        <v>2000</v>
      </c>
      <c r="Q176" t="s">
        <v>30</v>
      </c>
      <c r="R176" s="2">
        <v>0.7</v>
      </c>
      <c r="S176" s="3">
        <v>1400</v>
      </c>
      <c r="T176" t="s">
        <v>27</v>
      </c>
      <c r="U176" s="3">
        <v>1400</v>
      </c>
      <c r="V176" s="7" t="s">
        <v>2557</v>
      </c>
      <c r="W176" s="7" t="s">
        <v>2557</v>
      </c>
    </row>
    <row r="177" spans="1:23" x14ac:dyDescent="0.4">
      <c r="A177" t="s">
        <v>262</v>
      </c>
      <c r="B177" t="s">
        <v>1411</v>
      </c>
      <c r="C177" t="s">
        <v>1496</v>
      </c>
      <c r="D177" t="s">
        <v>21</v>
      </c>
      <c r="E177" t="s">
        <v>22</v>
      </c>
      <c r="F177" t="s">
        <v>23</v>
      </c>
      <c r="G177">
        <v>1</v>
      </c>
      <c r="H177">
        <v>9791191562286</v>
      </c>
      <c r="I177" t="s">
        <v>143</v>
      </c>
      <c r="J177" t="s">
        <v>238</v>
      </c>
      <c r="K177" t="s">
        <v>239</v>
      </c>
      <c r="L177" t="s">
        <v>27</v>
      </c>
      <c r="M177" s="3">
        <v>2000</v>
      </c>
      <c r="N177" t="s">
        <v>27</v>
      </c>
      <c r="O177" s="3">
        <v>2000</v>
      </c>
      <c r="P177" s="3">
        <v>2000</v>
      </c>
      <c r="Q177" t="s">
        <v>30</v>
      </c>
      <c r="R177" s="2">
        <v>0.7</v>
      </c>
      <c r="S177" s="3">
        <v>1400</v>
      </c>
      <c r="T177" t="s">
        <v>27</v>
      </c>
      <c r="U177" s="3">
        <v>1400</v>
      </c>
      <c r="V177" s="7" t="s">
        <v>2557</v>
      </c>
      <c r="W177" s="7" t="s">
        <v>2557</v>
      </c>
    </row>
    <row r="178" spans="1:23" x14ac:dyDescent="0.4">
      <c r="A178" t="s">
        <v>262</v>
      </c>
      <c r="B178" t="s">
        <v>1514</v>
      </c>
      <c r="C178" t="s">
        <v>1516</v>
      </c>
      <c r="D178" t="s">
        <v>21</v>
      </c>
      <c r="E178" t="s">
        <v>22</v>
      </c>
      <c r="F178" t="s">
        <v>23</v>
      </c>
      <c r="G178">
        <v>1</v>
      </c>
      <c r="H178">
        <v>9791191562033</v>
      </c>
      <c r="I178" t="s">
        <v>143</v>
      </c>
      <c r="J178" t="s">
        <v>189</v>
      </c>
      <c r="K178" t="s">
        <v>187</v>
      </c>
      <c r="L178" t="s">
        <v>27</v>
      </c>
      <c r="M178" s="3">
        <v>2000</v>
      </c>
      <c r="N178" t="s">
        <v>27</v>
      </c>
      <c r="O178" s="3">
        <v>2000</v>
      </c>
      <c r="P178" s="3">
        <v>2000</v>
      </c>
      <c r="Q178" t="s">
        <v>30</v>
      </c>
      <c r="R178" s="2">
        <v>0.7</v>
      </c>
      <c r="S178" s="3">
        <v>1400</v>
      </c>
      <c r="T178" t="s">
        <v>27</v>
      </c>
      <c r="U178" s="3">
        <v>1400</v>
      </c>
      <c r="V178" s="7" t="s">
        <v>2557</v>
      </c>
      <c r="W178" s="7" t="s">
        <v>2557</v>
      </c>
    </row>
    <row r="179" spans="1:23" x14ac:dyDescent="0.4">
      <c r="A179" t="s">
        <v>262</v>
      </c>
      <c r="B179" t="s">
        <v>1514</v>
      </c>
      <c r="C179" t="s">
        <v>1517</v>
      </c>
      <c r="D179" t="s">
        <v>21</v>
      </c>
      <c r="E179" t="s">
        <v>22</v>
      </c>
      <c r="F179" t="s">
        <v>23</v>
      </c>
      <c r="G179">
        <v>1</v>
      </c>
      <c r="H179">
        <v>9791191562286</v>
      </c>
      <c r="I179" t="s">
        <v>143</v>
      </c>
      <c r="J179" t="s">
        <v>238</v>
      </c>
      <c r="K179" t="s">
        <v>239</v>
      </c>
      <c r="L179" t="s">
        <v>27</v>
      </c>
      <c r="M179" s="3">
        <v>2000</v>
      </c>
      <c r="N179" t="s">
        <v>27</v>
      </c>
      <c r="O179" s="3">
        <v>2000</v>
      </c>
      <c r="P179" s="3">
        <v>2000</v>
      </c>
      <c r="Q179" t="s">
        <v>30</v>
      </c>
      <c r="R179" s="2">
        <v>0.7</v>
      </c>
      <c r="S179" s="3">
        <v>1400</v>
      </c>
      <c r="T179" t="s">
        <v>27</v>
      </c>
      <c r="U179" s="3">
        <v>1400</v>
      </c>
      <c r="V179" s="7" t="s">
        <v>2557</v>
      </c>
      <c r="W179" s="7" t="s">
        <v>2557</v>
      </c>
    </row>
    <row r="180" spans="1:23" x14ac:dyDescent="0.4">
      <c r="A180" t="s">
        <v>262</v>
      </c>
      <c r="B180" t="s">
        <v>1514</v>
      </c>
      <c r="C180" t="s">
        <v>1525</v>
      </c>
      <c r="D180" t="s">
        <v>21</v>
      </c>
      <c r="E180" t="s">
        <v>22</v>
      </c>
      <c r="F180" t="s">
        <v>23</v>
      </c>
      <c r="G180">
        <v>1</v>
      </c>
      <c r="H180">
        <v>9791191562262</v>
      </c>
      <c r="I180" t="s">
        <v>143</v>
      </c>
      <c r="J180" t="s">
        <v>250</v>
      </c>
      <c r="K180" t="s">
        <v>251</v>
      </c>
      <c r="L180" t="s">
        <v>27</v>
      </c>
      <c r="M180" s="3">
        <v>2000</v>
      </c>
      <c r="N180" t="s">
        <v>27</v>
      </c>
      <c r="O180" s="3">
        <v>2000</v>
      </c>
      <c r="P180" s="3">
        <v>2000</v>
      </c>
      <c r="Q180" t="s">
        <v>30</v>
      </c>
      <c r="R180" s="2">
        <v>0.7</v>
      </c>
      <c r="S180" s="3">
        <v>1400</v>
      </c>
      <c r="T180" t="s">
        <v>27</v>
      </c>
      <c r="U180" s="3">
        <v>1400</v>
      </c>
      <c r="V180" s="7" t="s">
        <v>2557</v>
      </c>
      <c r="W180" s="7" t="s">
        <v>2557</v>
      </c>
    </row>
    <row r="181" spans="1:23" x14ac:dyDescent="0.4">
      <c r="A181" t="s">
        <v>262</v>
      </c>
      <c r="B181" t="s">
        <v>1514</v>
      </c>
      <c r="C181" t="s">
        <v>1532</v>
      </c>
      <c r="D181" t="s">
        <v>21</v>
      </c>
      <c r="E181" t="s">
        <v>22</v>
      </c>
      <c r="F181" t="s">
        <v>23</v>
      </c>
      <c r="G181">
        <v>1</v>
      </c>
      <c r="H181">
        <v>9791191562187</v>
      </c>
      <c r="I181" t="s">
        <v>143</v>
      </c>
      <c r="J181" t="s">
        <v>217</v>
      </c>
      <c r="K181" t="s">
        <v>218</v>
      </c>
      <c r="L181" t="s">
        <v>27</v>
      </c>
      <c r="M181" s="3">
        <v>2000</v>
      </c>
      <c r="N181" t="s">
        <v>27</v>
      </c>
      <c r="O181" s="3">
        <v>2000</v>
      </c>
      <c r="P181" s="3">
        <v>2000</v>
      </c>
      <c r="Q181" t="s">
        <v>30</v>
      </c>
      <c r="R181" s="2">
        <v>0.7</v>
      </c>
      <c r="S181" s="3">
        <v>1400</v>
      </c>
      <c r="T181" t="s">
        <v>27</v>
      </c>
      <c r="U181" s="3">
        <v>1400</v>
      </c>
      <c r="V181" s="7" t="s">
        <v>2557</v>
      </c>
      <c r="W181" s="7" t="s">
        <v>2557</v>
      </c>
    </row>
    <row r="182" spans="1:23" x14ac:dyDescent="0.4">
      <c r="A182" t="s">
        <v>262</v>
      </c>
      <c r="B182" t="s">
        <v>1514</v>
      </c>
      <c r="C182" t="s">
        <v>1540</v>
      </c>
      <c r="D182" t="s">
        <v>21</v>
      </c>
      <c r="E182" t="s">
        <v>22</v>
      </c>
      <c r="F182" t="s">
        <v>23</v>
      </c>
      <c r="G182">
        <v>1</v>
      </c>
      <c r="H182">
        <v>9791191562286</v>
      </c>
      <c r="I182" t="s">
        <v>143</v>
      </c>
      <c r="J182" t="s">
        <v>238</v>
      </c>
      <c r="K182" t="s">
        <v>239</v>
      </c>
      <c r="L182" t="s">
        <v>27</v>
      </c>
      <c r="M182" s="3">
        <v>2000</v>
      </c>
      <c r="N182" t="s">
        <v>27</v>
      </c>
      <c r="O182" s="3">
        <v>2000</v>
      </c>
      <c r="P182" s="3">
        <v>2000</v>
      </c>
      <c r="Q182" t="s">
        <v>30</v>
      </c>
      <c r="R182" s="2">
        <v>0.7</v>
      </c>
      <c r="S182" s="3">
        <v>1400</v>
      </c>
      <c r="T182" t="s">
        <v>27</v>
      </c>
      <c r="U182" s="3">
        <v>1400</v>
      </c>
      <c r="V182" s="7" t="s">
        <v>2557</v>
      </c>
      <c r="W182" s="7" t="s">
        <v>2557</v>
      </c>
    </row>
    <row r="183" spans="1:23" x14ac:dyDescent="0.4">
      <c r="A183" t="s">
        <v>262</v>
      </c>
      <c r="B183" t="s">
        <v>1514</v>
      </c>
      <c r="C183" t="s">
        <v>1544</v>
      </c>
      <c r="D183" t="s">
        <v>21</v>
      </c>
      <c r="E183" t="s">
        <v>22</v>
      </c>
      <c r="F183" t="s">
        <v>23</v>
      </c>
      <c r="G183">
        <v>1</v>
      </c>
      <c r="H183">
        <v>9791196945268</v>
      </c>
      <c r="I183" t="s">
        <v>143</v>
      </c>
      <c r="J183" t="s">
        <v>185</v>
      </c>
      <c r="K183" t="s">
        <v>188</v>
      </c>
      <c r="L183" t="s">
        <v>27</v>
      </c>
      <c r="M183" s="3">
        <v>2500</v>
      </c>
      <c r="N183" t="s">
        <v>27</v>
      </c>
      <c r="O183" s="3">
        <v>2500</v>
      </c>
      <c r="P183" s="3">
        <v>2500</v>
      </c>
      <c r="Q183" t="s">
        <v>30</v>
      </c>
      <c r="R183" s="2">
        <v>0.7</v>
      </c>
      <c r="S183" s="3">
        <v>1750</v>
      </c>
      <c r="T183" t="s">
        <v>27</v>
      </c>
      <c r="U183" s="3">
        <v>1750</v>
      </c>
      <c r="V183" s="7" t="s">
        <v>2557</v>
      </c>
      <c r="W183" s="7" t="s">
        <v>2557</v>
      </c>
    </row>
    <row r="184" spans="1:23" x14ac:dyDescent="0.4">
      <c r="A184" t="s">
        <v>262</v>
      </c>
      <c r="B184" t="s">
        <v>1514</v>
      </c>
      <c r="C184" t="s">
        <v>1547</v>
      </c>
      <c r="D184" t="s">
        <v>21</v>
      </c>
      <c r="E184" t="s">
        <v>22</v>
      </c>
      <c r="F184" t="s">
        <v>23</v>
      </c>
      <c r="G184">
        <v>1</v>
      </c>
      <c r="H184">
        <v>9791191562286</v>
      </c>
      <c r="I184" t="s">
        <v>143</v>
      </c>
      <c r="J184" t="s">
        <v>238</v>
      </c>
      <c r="K184" t="s">
        <v>239</v>
      </c>
      <c r="L184" t="s">
        <v>27</v>
      </c>
      <c r="M184" s="3">
        <v>2000</v>
      </c>
      <c r="N184" t="s">
        <v>27</v>
      </c>
      <c r="O184" s="3">
        <v>2000</v>
      </c>
      <c r="P184" s="3">
        <v>2000</v>
      </c>
      <c r="Q184" t="s">
        <v>30</v>
      </c>
      <c r="R184" s="2">
        <v>0.7</v>
      </c>
      <c r="S184" s="3">
        <v>1400</v>
      </c>
      <c r="T184" t="s">
        <v>27</v>
      </c>
      <c r="U184" s="3">
        <v>1400</v>
      </c>
      <c r="V184" s="7" t="s">
        <v>2557</v>
      </c>
      <c r="W184" s="7" t="s">
        <v>2557</v>
      </c>
    </row>
    <row r="185" spans="1:23" x14ac:dyDescent="0.4">
      <c r="A185" t="s">
        <v>262</v>
      </c>
      <c r="B185" t="s">
        <v>1514</v>
      </c>
      <c r="C185" t="s">
        <v>1559</v>
      </c>
      <c r="D185" t="s">
        <v>21</v>
      </c>
      <c r="E185" t="s">
        <v>22</v>
      </c>
      <c r="F185" t="s">
        <v>23</v>
      </c>
      <c r="G185">
        <v>1</v>
      </c>
      <c r="H185">
        <v>9791191562286</v>
      </c>
      <c r="I185" t="s">
        <v>143</v>
      </c>
      <c r="J185" t="s">
        <v>238</v>
      </c>
      <c r="K185" t="s">
        <v>239</v>
      </c>
      <c r="L185" t="s">
        <v>27</v>
      </c>
      <c r="M185" s="3">
        <v>2000</v>
      </c>
      <c r="N185" t="s">
        <v>27</v>
      </c>
      <c r="O185" s="3">
        <v>2000</v>
      </c>
      <c r="P185" s="3">
        <v>2000</v>
      </c>
      <c r="Q185" t="s">
        <v>30</v>
      </c>
      <c r="R185" s="2">
        <v>0.7</v>
      </c>
      <c r="S185" s="3">
        <v>1400</v>
      </c>
      <c r="T185" t="s">
        <v>27</v>
      </c>
      <c r="U185" s="3">
        <v>1400</v>
      </c>
      <c r="V185" s="7" t="s">
        <v>2557</v>
      </c>
      <c r="W185" s="7" t="s">
        <v>2557</v>
      </c>
    </row>
    <row r="186" spans="1:23" x14ac:dyDescent="0.4">
      <c r="A186" t="s">
        <v>262</v>
      </c>
      <c r="B186" t="s">
        <v>1579</v>
      </c>
      <c r="C186" t="s">
        <v>1596</v>
      </c>
      <c r="D186" t="s">
        <v>21</v>
      </c>
      <c r="E186" t="s">
        <v>22</v>
      </c>
      <c r="F186" t="s">
        <v>23</v>
      </c>
      <c r="G186">
        <v>1</v>
      </c>
      <c r="H186">
        <v>9791191562248</v>
      </c>
      <c r="I186" t="s">
        <v>143</v>
      </c>
      <c r="J186" t="s">
        <v>231</v>
      </c>
      <c r="K186" t="s">
        <v>232</v>
      </c>
      <c r="L186" t="s">
        <v>27</v>
      </c>
      <c r="M186" s="3">
        <v>2000</v>
      </c>
      <c r="N186" t="s">
        <v>27</v>
      </c>
      <c r="O186" s="3">
        <v>2000</v>
      </c>
      <c r="P186" s="3">
        <v>2000</v>
      </c>
      <c r="Q186" t="s">
        <v>30</v>
      </c>
      <c r="R186" s="2">
        <v>0.7</v>
      </c>
      <c r="S186" s="3">
        <v>1400</v>
      </c>
      <c r="T186" t="s">
        <v>27</v>
      </c>
      <c r="U186" s="3">
        <v>1400</v>
      </c>
      <c r="V186" s="7" t="s">
        <v>2557</v>
      </c>
      <c r="W186" s="7" t="s">
        <v>2557</v>
      </c>
    </row>
    <row r="187" spans="1:23" x14ac:dyDescent="0.4">
      <c r="A187" t="s">
        <v>262</v>
      </c>
      <c r="B187" t="s">
        <v>1579</v>
      </c>
      <c r="C187" t="s">
        <v>1600</v>
      </c>
      <c r="D187" t="s">
        <v>21</v>
      </c>
      <c r="E187" t="s">
        <v>22</v>
      </c>
      <c r="F187" t="s">
        <v>23</v>
      </c>
      <c r="G187">
        <v>1</v>
      </c>
      <c r="H187">
        <v>9791191562033</v>
      </c>
      <c r="I187" t="s">
        <v>143</v>
      </c>
      <c r="J187" t="s">
        <v>189</v>
      </c>
      <c r="K187" t="s">
        <v>187</v>
      </c>
      <c r="L187" t="s">
        <v>27</v>
      </c>
      <c r="M187" s="3">
        <v>2000</v>
      </c>
      <c r="N187" t="s">
        <v>27</v>
      </c>
      <c r="O187" s="3">
        <v>2000</v>
      </c>
      <c r="P187" s="3">
        <v>2000</v>
      </c>
      <c r="Q187" t="s">
        <v>30</v>
      </c>
      <c r="R187" s="2">
        <v>0.7</v>
      </c>
      <c r="S187" s="3">
        <v>1400</v>
      </c>
      <c r="T187" t="s">
        <v>27</v>
      </c>
      <c r="U187" s="3">
        <v>1400</v>
      </c>
      <c r="V187" s="7" t="s">
        <v>2557</v>
      </c>
      <c r="W187" s="7" t="s">
        <v>2557</v>
      </c>
    </row>
    <row r="188" spans="1:23" x14ac:dyDescent="0.4">
      <c r="A188" t="s">
        <v>262</v>
      </c>
      <c r="B188" t="s">
        <v>1579</v>
      </c>
      <c r="C188" t="s">
        <v>1607</v>
      </c>
      <c r="D188" t="s">
        <v>21</v>
      </c>
      <c r="E188" t="s">
        <v>22</v>
      </c>
      <c r="F188" t="s">
        <v>23</v>
      </c>
      <c r="G188">
        <v>1</v>
      </c>
      <c r="H188">
        <v>9791191562286</v>
      </c>
      <c r="I188" t="s">
        <v>143</v>
      </c>
      <c r="J188" t="s">
        <v>238</v>
      </c>
      <c r="K188" t="s">
        <v>239</v>
      </c>
      <c r="L188" t="s">
        <v>27</v>
      </c>
      <c r="M188" s="3">
        <v>2000</v>
      </c>
      <c r="N188" t="s">
        <v>27</v>
      </c>
      <c r="O188" s="3">
        <v>2000</v>
      </c>
      <c r="P188" s="3">
        <v>2000</v>
      </c>
      <c r="Q188" t="s">
        <v>30</v>
      </c>
      <c r="R188" s="2">
        <v>0.7</v>
      </c>
      <c r="S188" s="3">
        <v>1400</v>
      </c>
      <c r="T188" t="s">
        <v>27</v>
      </c>
      <c r="U188" s="3">
        <v>1400</v>
      </c>
      <c r="V188" s="7" t="s">
        <v>2557</v>
      </c>
      <c r="W188" s="7" t="s">
        <v>2557</v>
      </c>
    </row>
    <row r="189" spans="1:23" x14ac:dyDescent="0.4">
      <c r="A189" t="s">
        <v>262</v>
      </c>
      <c r="B189" t="s">
        <v>1579</v>
      </c>
      <c r="C189" t="s">
        <v>1622</v>
      </c>
      <c r="D189" t="s">
        <v>21</v>
      </c>
      <c r="E189" t="s">
        <v>22</v>
      </c>
      <c r="F189" t="s">
        <v>23</v>
      </c>
      <c r="G189">
        <v>1</v>
      </c>
      <c r="H189">
        <v>9791191562187</v>
      </c>
      <c r="I189" t="s">
        <v>143</v>
      </c>
      <c r="J189" t="s">
        <v>217</v>
      </c>
      <c r="K189" t="s">
        <v>218</v>
      </c>
      <c r="L189" t="s">
        <v>27</v>
      </c>
      <c r="M189" s="3">
        <v>2000</v>
      </c>
      <c r="N189" t="s">
        <v>27</v>
      </c>
      <c r="O189" s="3">
        <v>2000</v>
      </c>
      <c r="P189" s="3">
        <v>2000</v>
      </c>
      <c r="Q189" t="s">
        <v>30</v>
      </c>
      <c r="R189" s="2">
        <v>0.7</v>
      </c>
      <c r="S189" s="3">
        <v>1400</v>
      </c>
      <c r="T189" t="s">
        <v>27</v>
      </c>
      <c r="U189" s="3">
        <v>1400</v>
      </c>
      <c r="V189" s="7" t="s">
        <v>2557</v>
      </c>
      <c r="W189" s="7" t="s">
        <v>2557</v>
      </c>
    </row>
    <row r="190" spans="1:23" x14ac:dyDescent="0.4">
      <c r="A190" t="s">
        <v>262</v>
      </c>
      <c r="B190" t="s">
        <v>1579</v>
      </c>
      <c r="C190" t="s">
        <v>1626</v>
      </c>
      <c r="D190" t="s">
        <v>21</v>
      </c>
      <c r="E190" t="s">
        <v>22</v>
      </c>
      <c r="F190" t="s">
        <v>23</v>
      </c>
      <c r="G190">
        <v>1</v>
      </c>
      <c r="H190">
        <v>9791191562309</v>
      </c>
      <c r="I190" t="s">
        <v>143</v>
      </c>
      <c r="J190" t="s">
        <v>225</v>
      </c>
      <c r="K190" t="s">
        <v>226</v>
      </c>
      <c r="L190" t="s">
        <v>27</v>
      </c>
      <c r="M190" s="3">
        <v>2500</v>
      </c>
      <c r="N190" t="s">
        <v>28</v>
      </c>
      <c r="O190">
        <v>2.06</v>
      </c>
      <c r="P190">
        <v>2.06</v>
      </c>
      <c r="Q190" t="s">
        <v>29</v>
      </c>
      <c r="R190" s="2">
        <v>0.7</v>
      </c>
      <c r="S190">
        <v>1.44</v>
      </c>
      <c r="T190" t="s">
        <v>27</v>
      </c>
      <c r="U190" s="3">
        <v>1824</v>
      </c>
      <c r="V190" s="7" t="s">
        <v>2557</v>
      </c>
      <c r="W190" s="7" t="s">
        <v>2557</v>
      </c>
    </row>
    <row r="191" spans="1:23" x14ac:dyDescent="0.4">
      <c r="A191" t="s">
        <v>262</v>
      </c>
      <c r="B191" t="s">
        <v>1579</v>
      </c>
      <c r="C191" t="s">
        <v>1634</v>
      </c>
      <c r="D191" t="s">
        <v>21</v>
      </c>
      <c r="E191" t="s">
        <v>22</v>
      </c>
      <c r="F191" t="s">
        <v>23</v>
      </c>
      <c r="G191">
        <v>1</v>
      </c>
      <c r="H191">
        <v>9791191562033</v>
      </c>
      <c r="I191" t="s">
        <v>143</v>
      </c>
      <c r="J191" t="s">
        <v>189</v>
      </c>
      <c r="K191" t="s">
        <v>187</v>
      </c>
      <c r="L191" t="s">
        <v>27</v>
      </c>
      <c r="M191" s="3">
        <v>2000</v>
      </c>
      <c r="N191" t="s">
        <v>27</v>
      </c>
      <c r="O191" s="3">
        <v>2000</v>
      </c>
      <c r="P191" s="3">
        <v>2000</v>
      </c>
      <c r="Q191" t="s">
        <v>30</v>
      </c>
      <c r="R191" s="2">
        <v>0.7</v>
      </c>
      <c r="S191" s="3">
        <v>1400</v>
      </c>
      <c r="T191" t="s">
        <v>27</v>
      </c>
      <c r="U191" s="3">
        <v>1400</v>
      </c>
      <c r="V191" s="7" t="s">
        <v>2557</v>
      </c>
      <c r="W191" s="7" t="s">
        <v>2557</v>
      </c>
    </row>
    <row r="192" spans="1:23" x14ac:dyDescent="0.4">
      <c r="A192" t="s">
        <v>262</v>
      </c>
      <c r="B192" t="s">
        <v>1579</v>
      </c>
      <c r="C192" t="s">
        <v>1635</v>
      </c>
      <c r="D192" t="s">
        <v>21</v>
      </c>
      <c r="E192" t="s">
        <v>22</v>
      </c>
      <c r="F192" t="s">
        <v>23</v>
      </c>
      <c r="G192">
        <v>1</v>
      </c>
      <c r="H192">
        <v>9791191562248</v>
      </c>
      <c r="I192" t="s">
        <v>143</v>
      </c>
      <c r="J192" t="s">
        <v>231</v>
      </c>
      <c r="K192" t="s">
        <v>232</v>
      </c>
      <c r="L192" t="s">
        <v>27</v>
      </c>
      <c r="M192" s="3">
        <v>2000</v>
      </c>
      <c r="N192" t="s">
        <v>27</v>
      </c>
      <c r="O192" s="3">
        <v>2000</v>
      </c>
      <c r="P192" s="3">
        <v>2000</v>
      </c>
      <c r="Q192" t="s">
        <v>30</v>
      </c>
      <c r="R192" s="2">
        <v>0.7</v>
      </c>
      <c r="S192" s="3">
        <v>1400</v>
      </c>
      <c r="T192" t="s">
        <v>27</v>
      </c>
      <c r="U192" s="3">
        <v>1400</v>
      </c>
      <c r="V192" s="7" t="s">
        <v>2557</v>
      </c>
      <c r="W192" s="7" t="s">
        <v>2557</v>
      </c>
    </row>
    <row r="193" spans="1:23" x14ac:dyDescent="0.4">
      <c r="A193" t="s">
        <v>262</v>
      </c>
      <c r="B193" t="s">
        <v>1639</v>
      </c>
      <c r="C193" t="s">
        <v>1645</v>
      </c>
      <c r="D193" t="s">
        <v>21</v>
      </c>
      <c r="E193" t="s">
        <v>22</v>
      </c>
      <c r="F193" t="s">
        <v>23</v>
      </c>
      <c r="G193">
        <v>1</v>
      </c>
      <c r="H193">
        <v>9791191562286</v>
      </c>
      <c r="I193" t="s">
        <v>143</v>
      </c>
      <c r="J193" t="s">
        <v>238</v>
      </c>
      <c r="K193" t="s">
        <v>239</v>
      </c>
      <c r="L193" t="s">
        <v>27</v>
      </c>
      <c r="M193" s="3">
        <v>2000</v>
      </c>
      <c r="N193" t="s">
        <v>27</v>
      </c>
      <c r="O193" s="3">
        <v>2000</v>
      </c>
      <c r="P193" s="3">
        <v>2000</v>
      </c>
      <c r="Q193" t="s">
        <v>30</v>
      </c>
      <c r="R193" s="2">
        <v>0.7</v>
      </c>
      <c r="S193" s="3">
        <v>1400</v>
      </c>
      <c r="T193" t="s">
        <v>27</v>
      </c>
      <c r="U193" s="3">
        <v>1400</v>
      </c>
      <c r="V193" s="7" t="s">
        <v>2557</v>
      </c>
      <c r="W193" s="7" t="s">
        <v>2557</v>
      </c>
    </row>
    <row r="194" spans="1:23" x14ac:dyDescent="0.4">
      <c r="A194" t="s">
        <v>262</v>
      </c>
      <c r="B194" t="s">
        <v>1639</v>
      </c>
      <c r="C194" t="s">
        <v>1650</v>
      </c>
      <c r="D194" t="s">
        <v>21</v>
      </c>
      <c r="E194" t="s">
        <v>22</v>
      </c>
      <c r="F194" t="s">
        <v>23</v>
      </c>
      <c r="G194">
        <v>1</v>
      </c>
      <c r="H194">
        <v>9791191562033</v>
      </c>
      <c r="I194" t="s">
        <v>143</v>
      </c>
      <c r="J194" t="s">
        <v>189</v>
      </c>
      <c r="K194" t="s">
        <v>187</v>
      </c>
      <c r="L194" t="s">
        <v>27</v>
      </c>
      <c r="M194" s="3">
        <v>2000</v>
      </c>
      <c r="N194" t="s">
        <v>27</v>
      </c>
      <c r="O194" s="3">
        <v>2000</v>
      </c>
      <c r="P194" s="3">
        <v>2000</v>
      </c>
      <c r="Q194" t="s">
        <v>30</v>
      </c>
      <c r="R194" s="2">
        <v>0.7</v>
      </c>
      <c r="S194" s="3">
        <v>1400</v>
      </c>
      <c r="T194" t="s">
        <v>27</v>
      </c>
      <c r="U194" s="3">
        <v>1400</v>
      </c>
      <c r="V194" s="7" t="s">
        <v>2557</v>
      </c>
      <c r="W194" s="7" t="s">
        <v>2557</v>
      </c>
    </row>
    <row r="195" spans="1:23" x14ac:dyDescent="0.4">
      <c r="A195" t="s">
        <v>262</v>
      </c>
      <c r="B195" t="s">
        <v>1639</v>
      </c>
      <c r="C195" t="s">
        <v>1660</v>
      </c>
      <c r="D195" t="s">
        <v>21</v>
      </c>
      <c r="E195" t="s">
        <v>22</v>
      </c>
      <c r="F195" t="s">
        <v>216</v>
      </c>
      <c r="G195">
        <v>1</v>
      </c>
      <c r="H195">
        <v>9791191562439</v>
      </c>
      <c r="I195" t="s">
        <v>143</v>
      </c>
      <c r="J195" t="s">
        <v>1661</v>
      </c>
      <c r="K195" t="s">
        <v>188</v>
      </c>
      <c r="L195" t="s">
        <v>27</v>
      </c>
      <c r="M195" s="3">
        <v>2500</v>
      </c>
      <c r="N195" t="s">
        <v>28</v>
      </c>
      <c r="O195">
        <v>2.06</v>
      </c>
      <c r="P195">
        <v>2.06</v>
      </c>
      <c r="Q195" t="s">
        <v>29</v>
      </c>
      <c r="R195" s="2">
        <v>0.7</v>
      </c>
      <c r="S195">
        <v>1.44</v>
      </c>
      <c r="T195" t="s">
        <v>27</v>
      </c>
      <c r="U195" s="3">
        <v>1832</v>
      </c>
      <c r="V195" s="7" t="s">
        <v>2557</v>
      </c>
      <c r="W195" s="7" t="s">
        <v>2557</v>
      </c>
    </row>
    <row r="196" spans="1:23" x14ac:dyDescent="0.4">
      <c r="A196" t="s">
        <v>262</v>
      </c>
      <c r="B196" t="s">
        <v>1639</v>
      </c>
      <c r="C196" t="s">
        <v>1662</v>
      </c>
      <c r="D196" t="s">
        <v>21</v>
      </c>
      <c r="E196" t="s">
        <v>22</v>
      </c>
      <c r="F196" t="s">
        <v>23</v>
      </c>
      <c r="G196">
        <v>1</v>
      </c>
      <c r="H196">
        <v>9791191562248</v>
      </c>
      <c r="I196" t="s">
        <v>143</v>
      </c>
      <c r="J196" t="s">
        <v>231</v>
      </c>
      <c r="K196" t="s">
        <v>232</v>
      </c>
      <c r="L196" t="s">
        <v>27</v>
      </c>
      <c r="M196" s="3">
        <v>2000</v>
      </c>
      <c r="N196" t="s">
        <v>27</v>
      </c>
      <c r="O196" s="3">
        <v>2000</v>
      </c>
      <c r="P196" s="3">
        <v>2000</v>
      </c>
      <c r="Q196" t="s">
        <v>30</v>
      </c>
      <c r="R196" s="2">
        <v>0.7</v>
      </c>
      <c r="S196" s="3">
        <v>1400</v>
      </c>
      <c r="T196" t="s">
        <v>27</v>
      </c>
      <c r="U196" s="3">
        <v>1400</v>
      </c>
      <c r="V196" s="7" t="s">
        <v>2557</v>
      </c>
      <c r="W196" s="7" t="s">
        <v>2557</v>
      </c>
    </row>
    <row r="197" spans="1:23" x14ac:dyDescent="0.4">
      <c r="A197" t="s">
        <v>262</v>
      </c>
      <c r="B197" t="s">
        <v>1639</v>
      </c>
      <c r="C197" t="s">
        <v>1667</v>
      </c>
      <c r="D197" t="s">
        <v>21</v>
      </c>
      <c r="E197" t="s">
        <v>22</v>
      </c>
      <c r="F197" t="s">
        <v>23</v>
      </c>
      <c r="G197">
        <v>1</v>
      </c>
      <c r="H197">
        <v>9791191562439</v>
      </c>
      <c r="I197" t="s">
        <v>143</v>
      </c>
      <c r="J197" t="s">
        <v>1661</v>
      </c>
      <c r="K197" t="s">
        <v>188</v>
      </c>
      <c r="L197" t="s">
        <v>27</v>
      </c>
      <c r="M197" s="3">
        <v>2500</v>
      </c>
      <c r="N197" t="s">
        <v>27</v>
      </c>
      <c r="O197" s="3">
        <v>2500</v>
      </c>
      <c r="P197" s="3">
        <v>2500</v>
      </c>
      <c r="Q197" t="s">
        <v>30</v>
      </c>
      <c r="R197" s="2">
        <v>0.7</v>
      </c>
      <c r="S197" s="3">
        <v>1750</v>
      </c>
      <c r="T197" t="s">
        <v>27</v>
      </c>
      <c r="U197" s="3">
        <v>1750</v>
      </c>
      <c r="V197" s="7" t="s">
        <v>2557</v>
      </c>
      <c r="W197" s="7" t="s">
        <v>2557</v>
      </c>
    </row>
    <row r="198" spans="1:23" x14ac:dyDescent="0.4">
      <c r="A198" t="s">
        <v>262</v>
      </c>
      <c r="B198" t="s">
        <v>1639</v>
      </c>
      <c r="C198" t="s">
        <v>1670</v>
      </c>
      <c r="D198" t="s">
        <v>21</v>
      </c>
      <c r="E198" t="s">
        <v>22</v>
      </c>
      <c r="F198" t="s">
        <v>23</v>
      </c>
      <c r="G198">
        <v>1</v>
      </c>
      <c r="H198">
        <v>9791191562033</v>
      </c>
      <c r="I198" t="s">
        <v>143</v>
      </c>
      <c r="J198" t="s">
        <v>189</v>
      </c>
      <c r="K198" t="s">
        <v>187</v>
      </c>
      <c r="L198" t="s">
        <v>27</v>
      </c>
      <c r="M198" s="3">
        <v>2000</v>
      </c>
      <c r="N198" t="s">
        <v>27</v>
      </c>
      <c r="O198" s="3">
        <v>2000</v>
      </c>
      <c r="P198" s="3">
        <v>2000</v>
      </c>
      <c r="Q198" t="s">
        <v>30</v>
      </c>
      <c r="R198" s="2">
        <v>0.7</v>
      </c>
      <c r="S198" s="3">
        <v>1400</v>
      </c>
      <c r="T198" t="s">
        <v>27</v>
      </c>
      <c r="U198" s="3">
        <v>1400</v>
      </c>
      <c r="V198" s="7" t="s">
        <v>2557</v>
      </c>
      <c r="W198" s="7" t="s">
        <v>2557</v>
      </c>
    </row>
    <row r="199" spans="1:23" x14ac:dyDescent="0.4">
      <c r="A199" t="s">
        <v>262</v>
      </c>
      <c r="B199" t="s">
        <v>1639</v>
      </c>
      <c r="C199" t="s">
        <v>1672</v>
      </c>
      <c r="D199" t="s">
        <v>21</v>
      </c>
      <c r="E199" t="s">
        <v>22</v>
      </c>
      <c r="F199" t="s">
        <v>23</v>
      </c>
      <c r="G199">
        <v>1</v>
      </c>
      <c r="H199">
        <v>9791191562316</v>
      </c>
      <c r="I199" t="s">
        <v>143</v>
      </c>
      <c r="J199" t="s">
        <v>229</v>
      </c>
      <c r="K199" t="s">
        <v>230</v>
      </c>
      <c r="L199" t="s">
        <v>27</v>
      </c>
      <c r="M199" s="3">
        <v>2500</v>
      </c>
      <c r="N199" t="s">
        <v>28</v>
      </c>
      <c r="O199">
        <v>2.06</v>
      </c>
      <c r="P199">
        <v>2.06</v>
      </c>
      <c r="Q199" t="s">
        <v>29</v>
      </c>
      <c r="R199" s="2">
        <v>0.7</v>
      </c>
      <c r="S199">
        <v>1.44</v>
      </c>
      <c r="T199" t="s">
        <v>27</v>
      </c>
      <c r="U199" s="3">
        <v>1840</v>
      </c>
      <c r="V199" s="7" t="s">
        <v>2557</v>
      </c>
      <c r="W199" s="7" t="s">
        <v>2557</v>
      </c>
    </row>
    <row r="200" spans="1:23" x14ac:dyDescent="0.4">
      <c r="A200" t="s">
        <v>262</v>
      </c>
      <c r="B200" t="s">
        <v>1639</v>
      </c>
      <c r="C200" t="s">
        <v>1677</v>
      </c>
      <c r="D200" t="s">
        <v>21</v>
      </c>
      <c r="E200" t="s">
        <v>22</v>
      </c>
      <c r="F200" t="s">
        <v>23</v>
      </c>
      <c r="G200">
        <v>1</v>
      </c>
      <c r="H200">
        <v>9791191562033</v>
      </c>
      <c r="I200" t="s">
        <v>143</v>
      </c>
      <c r="J200" t="s">
        <v>189</v>
      </c>
      <c r="K200" t="s">
        <v>187</v>
      </c>
      <c r="L200" t="s">
        <v>27</v>
      </c>
      <c r="M200" s="3">
        <v>2000</v>
      </c>
      <c r="N200" t="s">
        <v>27</v>
      </c>
      <c r="O200" s="3">
        <v>2000</v>
      </c>
      <c r="P200" s="3">
        <v>2000</v>
      </c>
      <c r="Q200" t="s">
        <v>30</v>
      </c>
      <c r="R200" s="2">
        <v>0.7</v>
      </c>
      <c r="S200" s="3">
        <v>1400</v>
      </c>
      <c r="T200" t="s">
        <v>27</v>
      </c>
      <c r="U200" s="3">
        <v>1400</v>
      </c>
      <c r="V200" s="7" t="s">
        <v>2557</v>
      </c>
      <c r="W200" s="7" t="s">
        <v>2557</v>
      </c>
    </row>
    <row r="201" spans="1:23" x14ac:dyDescent="0.4">
      <c r="A201" t="s">
        <v>262</v>
      </c>
      <c r="B201" t="s">
        <v>1639</v>
      </c>
      <c r="C201" t="s">
        <v>1681</v>
      </c>
      <c r="D201" t="s">
        <v>21</v>
      </c>
      <c r="E201" t="s">
        <v>22</v>
      </c>
      <c r="F201" t="s">
        <v>23</v>
      </c>
      <c r="G201">
        <v>1</v>
      </c>
      <c r="H201">
        <v>9791191562286</v>
      </c>
      <c r="I201" t="s">
        <v>143</v>
      </c>
      <c r="J201" t="s">
        <v>238</v>
      </c>
      <c r="K201" t="s">
        <v>239</v>
      </c>
      <c r="L201" t="s">
        <v>27</v>
      </c>
      <c r="M201" s="3">
        <v>2000</v>
      </c>
      <c r="N201" t="s">
        <v>28</v>
      </c>
      <c r="O201">
        <v>1.65</v>
      </c>
      <c r="P201">
        <v>1.65</v>
      </c>
      <c r="Q201" t="s">
        <v>29</v>
      </c>
      <c r="R201" s="2">
        <v>0.7</v>
      </c>
      <c r="S201">
        <v>1.1499999999999999</v>
      </c>
      <c r="T201" t="s">
        <v>27</v>
      </c>
      <c r="U201" s="3">
        <v>1469</v>
      </c>
      <c r="V201" s="7" t="s">
        <v>2557</v>
      </c>
      <c r="W201" s="7" t="s">
        <v>2557</v>
      </c>
    </row>
    <row r="202" spans="1:23" x14ac:dyDescent="0.4">
      <c r="A202" t="s">
        <v>262</v>
      </c>
      <c r="B202" t="s">
        <v>1639</v>
      </c>
      <c r="C202" t="s">
        <v>1686</v>
      </c>
      <c r="D202" t="s">
        <v>21</v>
      </c>
      <c r="E202" t="s">
        <v>22</v>
      </c>
      <c r="F202" t="s">
        <v>23</v>
      </c>
      <c r="G202">
        <v>1</v>
      </c>
      <c r="H202">
        <v>9791191562439</v>
      </c>
      <c r="I202" t="s">
        <v>143</v>
      </c>
      <c r="J202" t="s">
        <v>1661</v>
      </c>
      <c r="K202" t="s">
        <v>188</v>
      </c>
      <c r="L202" t="s">
        <v>27</v>
      </c>
      <c r="M202" s="3">
        <v>2500</v>
      </c>
      <c r="N202" t="s">
        <v>176</v>
      </c>
      <c r="O202">
        <v>278</v>
      </c>
      <c r="P202">
        <v>253</v>
      </c>
      <c r="Q202" t="s">
        <v>177</v>
      </c>
      <c r="R202" s="2">
        <v>0.7</v>
      </c>
      <c r="S202">
        <v>177</v>
      </c>
      <c r="T202" t="s">
        <v>27</v>
      </c>
      <c r="U202" s="3">
        <v>1770</v>
      </c>
      <c r="V202" s="7" t="s">
        <v>2557</v>
      </c>
      <c r="W202" s="7" t="s">
        <v>2557</v>
      </c>
    </row>
    <row r="203" spans="1:23" x14ac:dyDescent="0.4">
      <c r="A203" t="s">
        <v>262</v>
      </c>
      <c r="B203" t="s">
        <v>1639</v>
      </c>
      <c r="C203" t="s">
        <v>1687</v>
      </c>
      <c r="D203" t="s">
        <v>21</v>
      </c>
      <c r="E203" t="s">
        <v>22</v>
      </c>
      <c r="F203" t="s">
        <v>23</v>
      </c>
      <c r="G203">
        <v>1</v>
      </c>
      <c r="H203">
        <v>9791191562286</v>
      </c>
      <c r="I203" t="s">
        <v>143</v>
      </c>
      <c r="J203" t="s">
        <v>238</v>
      </c>
      <c r="K203" t="s">
        <v>239</v>
      </c>
      <c r="L203" t="s">
        <v>27</v>
      </c>
      <c r="M203" s="3">
        <v>2000</v>
      </c>
      <c r="N203" t="s">
        <v>28</v>
      </c>
      <c r="O203">
        <v>1.65</v>
      </c>
      <c r="P203">
        <v>1.65</v>
      </c>
      <c r="Q203" t="s">
        <v>29</v>
      </c>
      <c r="R203" s="2">
        <v>0.7</v>
      </c>
      <c r="S203">
        <v>1.1499999999999999</v>
      </c>
      <c r="T203" t="s">
        <v>27</v>
      </c>
      <c r="U203" s="3">
        <v>1457</v>
      </c>
      <c r="V203" s="7" t="s">
        <v>2557</v>
      </c>
      <c r="W203" s="7" t="s">
        <v>2557</v>
      </c>
    </row>
    <row r="204" spans="1:23" x14ac:dyDescent="0.4">
      <c r="A204" t="s">
        <v>262</v>
      </c>
      <c r="B204" t="s">
        <v>1639</v>
      </c>
      <c r="C204" t="s">
        <v>1703</v>
      </c>
      <c r="D204" t="s">
        <v>21</v>
      </c>
      <c r="E204" t="s">
        <v>22</v>
      </c>
      <c r="F204" t="s">
        <v>23</v>
      </c>
      <c r="G204">
        <v>1</v>
      </c>
      <c r="H204">
        <v>9791191562187</v>
      </c>
      <c r="I204" t="s">
        <v>143</v>
      </c>
      <c r="J204" t="s">
        <v>217</v>
      </c>
      <c r="K204" t="s">
        <v>218</v>
      </c>
      <c r="L204" t="s">
        <v>27</v>
      </c>
      <c r="M204" s="3">
        <v>2000</v>
      </c>
      <c r="N204" t="s">
        <v>27</v>
      </c>
      <c r="O204" s="3">
        <v>2000</v>
      </c>
      <c r="P204" s="3">
        <v>2000</v>
      </c>
      <c r="Q204" t="s">
        <v>30</v>
      </c>
      <c r="R204" s="2">
        <v>0.7</v>
      </c>
      <c r="S204" s="3">
        <v>1400</v>
      </c>
      <c r="T204" t="s">
        <v>27</v>
      </c>
      <c r="U204" s="3">
        <v>1400</v>
      </c>
      <c r="V204" s="7" t="s">
        <v>2557</v>
      </c>
      <c r="W204" s="7" t="s">
        <v>2557</v>
      </c>
    </row>
    <row r="205" spans="1:23" x14ac:dyDescent="0.4">
      <c r="A205" t="s">
        <v>262</v>
      </c>
      <c r="B205" t="s">
        <v>1704</v>
      </c>
      <c r="C205" t="s">
        <v>1707</v>
      </c>
      <c r="D205" t="s">
        <v>21</v>
      </c>
      <c r="E205" t="s">
        <v>22</v>
      </c>
      <c r="F205" t="s">
        <v>23</v>
      </c>
      <c r="G205">
        <v>1</v>
      </c>
      <c r="H205">
        <v>9791191562439</v>
      </c>
      <c r="I205" t="s">
        <v>143</v>
      </c>
      <c r="J205" t="s">
        <v>1661</v>
      </c>
      <c r="K205" t="s">
        <v>188</v>
      </c>
      <c r="L205" t="s">
        <v>27</v>
      </c>
      <c r="M205" s="3">
        <v>2500</v>
      </c>
      <c r="N205" t="s">
        <v>27</v>
      </c>
      <c r="O205" s="3">
        <v>2500</v>
      </c>
      <c r="P205" s="3">
        <v>2500</v>
      </c>
      <c r="Q205" t="s">
        <v>30</v>
      </c>
      <c r="R205" s="2">
        <v>0.7</v>
      </c>
      <c r="S205" s="3">
        <v>1750</v>
      </c>
      <c r="T205" t="s">
        <v>27</v>
      </c>
      <c r="U205" s="3">
        <v>1750</v>
      </c>
      <c r="V205" s="7" t="s">
        <v>2557</v>
      </c>
      <c r="W205" s="7" t="s">
        <v>2557</v>
      </c>
    </row>
    <row r="206" spans="1:23" x14ac:dyDescent="0.4">
      <c r="A206" t="s">
        <v>262</v>
      </c>
      <c r="B206" t="s">
        <v>1704</v>
      </c>
      <c r="C206" t="s">
        <v>1725</v>
      </c>
      <c r="D206" t="s">
        <v>21</v>
      </c>
      <c r="E206" t="s">
        <v>22</v>
      </c>
      <c r="F206" t="s">
        <v>23</v>
      </c>
      <c r="G206">
        <v>1</v>
      </c>
      <c r="H206">
        <v>9791191562033</v>
      </c>
      <c r="I206" t="s">
        <v>143</v>
      </c>
      <c r="J206" t="s">
        <v>189</v>
      </c>
      <c r="K206" t="s">
        <v>187</v>
      </c>
      <c r="L206" t="s">
        <v>27</v>
      </c>
      <c r="M206" s="3">
        <v>2000</v>
      </c>
      <c r="N206" t="s">
        <v>27</v>
      </c>
      <c r="O206" s="3">
        <v>2000</v>
      </c>
      <c r="P206" s="3">
        <v>2000</v>
      </c>
      <c r="Q206" t="s">
        <v>30</v>
      </c>
      <c r="R206" s="2">
        <v>0.7</v>
      </c>
      <c r="S206" s="3">
        <v>1400</v>
      </c>
      <c r="T206" t="s">
        <v>27</v>
      </c>
      <c r="U206" s="3">
        <v>1400</v>
      </c>
      <c r="V206" s="7" t="s">
        <v>2557</v>
      </c>
      <c r="W206" s="7" t="s">
        <v>2557</v>
      </c>
    </row>
    <row r="207" spans="1:23" x14ac:dyDescent="0.4">
      <c r="A207" t="s">
        <v>262</v>
      </c>
      <c r="B207" t="s">
        <v>1704</v>
      </c>
      <c r="C207" t="s">
        <v>1741</v>
      </c>
      <c r="D207" t="s">
        <v>21</v>
      </c>
      <c r="E207" t="s">
        <v>22</v>
      </c>
      <c r="F207" t="s">
        <v>23</v>
      </c>
      <c r="G207">
        <v>1</v>
      </c>
      <c r="H207">
        <v>9791191562286</v>
      </c>
      <c r="I207" t="s">
        <v>143</v>
      </c>
      <c r="J207" t="s">
        <v>238</v>
      </c>
      <c r="K207" t="s">
        <v>239</v>
      </c>
      <c r="L207" t="s">
        <v>27</v>
      </c>
      <c r="M207" s="3">
        <v>2000</v>
      </c>
      <c r="N207" t="s">
        <v>27</v>
      </c>
      <c r="O207" s="3">
        <v>2000</v>
      </c>
      <c r="P207" s="3">
        <v>2000</v>
      </c>
      <c r="Q207" t="s">
        <v>30</v>
      </c>
      <c r="R207" s="2">
        <v>0.7</v>
      </c>
      <c r="S207" s="3">
        <v>1400</v>
      </c>
      <c r="T207" t="s">
        <v>27</v>
      </c>
      <c r="U207" s="3">
        <v>1400</v>
      </c>
      <c r="V207" s="7" t="s">
        <v>2557</v>
      </c>
      <c r="W207" s="7" t="s">
        <v>2557</v>
      </c>
    </row>
    <row r="208" spans="1:23" x14ac:dyDescent="0.4">
      <c r="A208" t="s">
        <v>262</v>
      </c>
      <c r="B208" t="s">
        <v>1704</v>
      </c>
      <c r="C208" t="s">
        <v>1745</v>
      </c>
      <c r="D208" t="s">
        <v>21</v>
      </c>
      <c r="E208" t="s">
        <v>22</v>
      </c>
      <c r="F208" t="s">
        <v>23</v>
      </c>
      <c r="G208">
        <v>1</v>
      </c>
      <c r="H208">
        <v>9791191562187</v>
      </c>
      <c r="I208" t="s">
        <v>143</v>
      </c>
      <c r="J208" t="s">
        <v>217</v>
      </c>
      <c r="K208" t="s">
        <v>218</v>
      </c>
      <c r="L208" t="s">
        <v>27</v>
      </c>
      <c r="M208" s="3">
        <v>2000</v>
      </c>
      <c r="N208" t="s">
        <v>28</v>
      </c>
      <c r="O208">
        <v>1.65</v>
      </c>
      <c r="P208">
        <v>1.65</v>
      </c>
      <c r="Q208" t="s">
        <v>29</v>
      </c>
      <c r="R208" s="2">
        <v>0.7</v>
      </c>
      <c r="S208">
        <v>1.1499999999999999</v>
      </c>
      <c r="T208" t="s">
        <v>27</v>
      </c>
      <c r="U208" s="3">
        <v>1458</v>
      </c>
      <c r="V208" s="7" t="s">
        <v>2557</v>
      </c>
      <c r="W208" s="7" t="s">
        <v>2557</v>
      </c>
    </row>
    <row r="209" spans="1:23" x14ac:dyDescent="0.4">
      <c r="A209" t="s">
        <v>262</v>
      </c>
      <c r="B209" t="s">
        <v>1704</v>
      </c>
      <c r="C209" t="s">
        <v>1746</v>
      </c>
      <c r="D209" t="s">
        <v>21</v>
      </c>
      <c r="E209" t="s">
        <v>22</v>
      </c>
      <c r="F209" t="s">
        <v>23</v>
      </c>
      <c r="G209">
        <v>1</v>
      </c>
      <c r="H209">
        <v>9791191562286</v>
      </c>
      <c r="I209" t="s">
        <v>143</v>
      </c>
      <c r="J209" t="s">
        <v>238</v>
      </c>
      <c r="K209" t="s">
        <v>239</v>
      </c>
      <c r="L209" t="s">
        <v>27</v>
      </c>
      <c r="M209" s="3">
        <v>2000</v>
      </c>
      <c r="N209" t="s">
        <v>27</v>
      </c>
      <c r="O209" s="3">
        <v>2000</v>
      </c>
      <c r="P209" s="3">
        <v>2000</v>
      </c>
      <c r="Q209" t="s">
        <v>30</v>
      </c>
      <c r="R209" s="2">
        <v>0.7</v>
      </c>
      <c r="S209" s="3">
        <v>1400</v>
      </c>
      <c r="T209" t="s">
        <v>27</v>
      </c>
      <c r="U209" s="3">
        <v>1400</v>
      </c>
      <c r="V209" s="7" t="s">
        <v>2557</v>
      </c>
      <c r="W209" s="7" t="s">
        <v>2557</v>
      </c>
    </row>
    <row r="210" spans="1:23" x14ac:dyDescent="0.4">
      <c r="A210" t="s">
        <v>262</v>
      </c>
      <c r="B210" t="s">
        <v>1704</v>
      </c>
      <c r="C210" t="s">
        <v>1747</v>
      </c>
      <c r="D210" t="s">
        <v>21</v>
      </c>
      <c r="E210" t="s">
        <v>22</v>
      </c>
      <c r="F210" t="s">
        <v>23</v>
      </c>
      <c r="G210">
        <v>1</v>
      </c>
      <c r="H210">
        <v>9791191562286</v>
      </c>
      <c r="I210" t="s">
        <v>143</v>
      </c>
      <c r="J210" t="s">
        <v>238</v>
      </c>
      <c r="K210" t="s">
        <v>239</v>
      </c>
      <c r="L210" t="s">
        <v>27</v>
      </c>
      <c r="M210" s="3">
        <v>2000</v>
      </c>
      <c r="N210" t="s">
        <v>27</v>
      </c>
      <c r="O210" s="3">
        <v>2000</v>
      </c>
      <c r="P210" s="3">
        <v>2000</v>
      </c>
      <c r="Q210" t="s">
        <v>30</v>
      </c>
      <c r="R210" s="2">
        <v>0.7</v>
      </c>
      <c r="S210" s="3">
        <v>1400</v>
      </c>
      <c r="T210" t="s">
        <v>27</v>
      </c>
      <c r="U210" s="3">
        <v>1400</v>
      </c>
      <c r="V210" s="7" t="s">
        <v>2557</v>
      </c>
      <c r="W210" s="7" t="s">
        <v>2557</v>
      </c>
    </row>
    <row r="211" spans="1:23" x14ac:dyDescent="0.4">
      <c r="A211" t="s">
        <v>262</v>
      </c>
      <c r="B211" t="s">
        <v>1704</v>
      </c>
      <c r="C211" t="s">
        <v>1751</v>
      </c>
      <c r="D211" t="s">
        <v>21</v>
      </c>
      <c r="E211" t="s">
        <v>22</v>
      </c>
      <c r="F211" t="s">
        <v>23</v>
      </c>
      <c r="G211">
        <v>1</v>
      </c>
      <c r="H211">
        <v>9791191562163</v>
      </c>
      <c r="I211" t="s">
        <v>143</v>
      </c>
      <c r="J211" t="s">
        <v>214</v>
      </c>
      <c r="K211" t="s">
        <v>215</v>
      </c>
      <c r="L211" t="s">
        <v>27</v>
      </c>
      <c r="M211" s="3">
        <v>2000</v>
      </c>
      <c r="N211" t="s">
        <v>27</v>
      </c>
      <c r="O211" s="3">
        <v>2000</v>
      </c>
      <c r="P211" s="3">
        <v>2000</v>
      </c>
      <c r="Q211" t="s">
        <v>30</v>
      </c>
      <c r="R211" s="2">
        <v>0.7</v>
      </c>
      <c r="S211" s="3">
        <v>1400</v>
      </c>
      <c r="T211" t="s">
        <v>27</v>
      </c>
      <c r="U211" s="3">
        <v>1400</v>
      </c>
      <c r="V211" s="7" t="s">
        <v>2557</v>
      </c>
      <c r="W211" s="7" t="s">
        <v>2557</v>
      </c>
    </row>
    <row r="212" spans="1:23" x14ac:dyDescent="0.4">
      <c r="A212" t="s">
        <v>262</v>
      </c>
      <c r="B212" t="s">
        <v>1704</v>
      </c>
      <c r="C212" t="s">
        <v>1753</v>
      </c>
      <c r="D212" t="s">
        <v>21</v>
      </c>
      <c r="E212" t="s">
        <v>22</v>
      </c>
      <c r="F212" t="s">
        <v>23</v>
      </c>
      <c r="G212">
        <v>1</v>
      </c>
      <c r="H212">
        <v>9791191562101</v>
      </c>
      <c r="I212" t="s">
        <v>143</v>
      </c>
      <c r="J212" t="s">
        <v>196</v>
      </c>
      <c r="K212" t="s">
        <v>201</v>
      </c>
      <c r="L212" t="s">
        <v>27</v>
      </c>
      <c r="M212" s="3">
        <v>3000</v>
      </c>
      <c r="N212" t="s">
        <v>27</v>
      </c>
      <c r="O212" s="3">
        <v>3000</v>
      </c>
      <c r="P212" s="3">
        <v>3000</v>
      </c>
      <c r="Q212" t="s">
        <v>30</v>
      </c>
      <c r="R212" s="2">
        <v>0.7</v>
      </c>
      <c r="S212" s="3">
        <v>2100</v>
      </c>
      <c r="T212" t="s">
        <v>27</v>
      </c>
      <c r="U212" s="3">
        <v>2100</v>
      </c>
      <c r="V212" s="7" t="s">
        <v>2557</v>
      </c>
      <c r="W212" s="7" t="s">
        <v>2557</v>
      </c>
    </row>
    <row r="213" spans="1:23" x14ac:dyDescent="0.4">
      <c r="A213" t="s">
        <v>262</v>
      </c>
      <c r="B213" t="s">
        <v>1704</v>
      </c>
      <c r="C213" t="s">
        <v>1755</v>
      </c>
      <c r="D213" t="s">
        <v>21</v>
      </c>
      <c r="E213" t="s">
        <v>22</v>
      </c>
      <c r="F213" t="s">
        <v>23</v>
      </c>
      <c r="G213">
        <v>1</v>
      </c>
      <c r="H213">
        <v>9791191562286</v>
      </c>
      <c r="I213" t="s">
        <v>143</v>
      </c>
      <c r="J213" t="s">
        <v>238</v>
      </c>
      <c r="K213" t="s">
        <v>239</v>
      </c>
      <c r="L213" t="s">
        <v>27</v>
      </c>
      <c r="M213" s="3">
        <v>2000</v>
      </c>
      <c r="N213" t="s">
        <v>27</v>
      </c>
      <c r="O213" s="3">
        <v>2000</v>
      </c>
      <c r="P213" s="3">
        <v>2000</v>
      </c>
      <c r="Q213" t="s">
        <v>30</v>
      </c>
      <c r="R213" s="2">
        <v>0.7</v>
      </c>
      <c r="S213" s="3">
        <v>1400</v>
      </c>
      <c r="T213" t="s">
        <v>27</v>
      </c>
      <c r="U213" s="3">
        <v>1400</v>
      </c>
      <c r="V213" s="7" t="s">
        <v>2557</v>
      </c>
      <c r="W213" s="7" t="s">
        <v>2557</v>
      </c>
    </row>
    <row r="214" spans="1:23" x14ac:dyDescent="0.4">
      <c r="A214" t="s">
        <v>262</v>
      </c>
      <c r="B214" t="s">
        <v>1704</v>
      </c>
      <c r="C214" t="s">
        <v>1758</v>
      </c>
      <c r="D214" t="s">
        <v>21</v>
      </c>
      <c r="E214" t="s">
        <v>22</v>
      </c>
      <c r="F214" t="s">
        <v>23</v>
      </c>
      <c r="G214">
        <v>1</v>
      </c>
      <c r="H214">
        <v>9791191562439</v>
      </c>
      <c r="I214" t="s">
        <v>143</v>
      </c>
      <c r="J214" t="s">
        <v>1661</v>
      </c>
      <c r="K214" t="s">
        <v>188</v>
      </c>
      <c r="L214" t="s">
        <v>27</v>
      </c>
      <c r="M214" s="3">
        <v>2500</v>
      </c>
      <c r="N214" t="s">
        <v>27</v>
      </c>
      <c r="O214" s="3">
        <v>2500</v>
      </c>
      <c r="P214" s="3">
        <v>2500</v>
      </c>
      <c r="Q214" t="s">
        <v>30</v>
      </c>
      <c r="R214" s="2">
        <v>0.7</v>
      </c>
      <c r="S214" s="3">
        <v>1750</v>
      </c>
      <c r="T214" t="s">
        <v>27</v>
      </c>
      <c r="U214" s="3">
        <v>1750</v>
      </c>
      <c r="V214" s="7" t="s">
        <v>2557</v>
      </c>
      <c r="W214" s="7" t="s">
        <v>2557</v>
      </c>
    </row>
    <row r="215" spans="1:23" x14ac:dyDescent="0.4">
      <c r="A215" t="s">
        <v>262</v>
      </c>
      <c r="B215" t="s">
        <v>1704</v>
      </c>
      <c r="C215" t="s">
        <v>1763</v>
      </c>
      <c r="D215" t="s">
        <v>21</v>
      </c>
      <c r="E215" t="s">
        <v>22</v>
      </c>
      <c r="F215" t="s">
        <v>23</v>
      </c>
      <c r="G215">
        <v>1</v>
      </c>
      <c r="H215">
        <v>9791191562248</v>
      </c>
      <c r="I215" t="s">
        <v>143</v>
      </c>
      <c r="J215" t="s">
        <v>231</v>
      </c>
      <c r="K215" t="s">
        <v>232</v>
      </c>
      <c r="L215" t="s">
        <v>27</v>
      </c>
      <c r="M215" s="3">
        <v>2000</v>
      </c>
      <c r="N215" t="s">
        <v>176</v>
      </c>
      <c r="O215">
        <v>222</v>
      </c>
      <c r="P215">
        <v>202</v>
      </c>
      <c r="Q215" t="s">
        <v>177</v>
      </c>
      <c r="R215" s="2">
        <v>0.7</v>
      </c>
      <c r="S215">
        <v>141</v>
      </c>
      <c r="T215" t="s">
        <v>27</v>
      </c>
      <c r="U215" s="3">
        <v>1398</v>
      </c>
      <c r="V215" s="7" t="s">
        <v>2557</v>
      </c>
      <c r="W215" s="7" t="s">
        <v>2557</v>
      </c>
    </row>
    <row r="216" spans="1:23" x14ac:dyDescent="0.4">
      <c r="A216" t="s">
        <v>262</v>
      </c>
      <c r="B216" t="s">
        <v>1766</v>
      </c>
      <c r="C216" t="s">
        <v>1768</v>
      </c>
      <c r="D216" t="s">
        <v>21</v>
      </c>
      <c r="E216" t="s">
        <v>22</v>
      </c>
      <c r="F216" t="s">
        <v>23</v>
      </c>
      <c r="G216">
        <v>1</v>
      </c>
      <c r="H216">
        <v>9791191562286</v>
      </c>
      <c r="I216" t="s">
        <v>143</v>
      </c>
      <c r="J216" t="s">
        <v>238</v>
      </c>
      <c r="K216" t="s">
        <v>239</v>
      </c>
      <c r="L216" t="s">
        <v>27</v>
      </c>
      <c r="M216" s="3">
        <v>2000</v>
      </c>
      <c r="N216" t="s">
        <v>27</v>
      </c>
      <c r="O216" s="3">
        <v>2000</v>
      </c>
      <c r="P216" s="3">
        <v>2000</v>
      </c>
      <c r="Q216" t="s">
        <v>30</v>
      </c>
      <c r="R216" s="2">
        <v>0.7</v>
      </c>
      <c r="S216" s="3">
        <v>1400</v>
      </c>
      <c r="T216" t="s">
        <v>27</v>
      </c>
      <c r="U216" s="3">
        <v>1400</v>
      </c>
      <c r="V216" s="7" t="s">
        <v>2557</v>
      </c>
      <c r="W216" s="7" t="s">
        <v>2557</v>
      </c>
    </row>
    <row r="217" spans="1:23" x14ac:dyDescent="0.4">
      <c r="A217" t="s">
        <v>262</v>
      </c>
      <c r="B217" t="s">
        <v>1766</v>
      </c>
      <c r="C217" t="s">
        <v>1783</v>
      </c>
      <c r="D217" t="s">
        <v>21</v>
      </c>
      <c r="E217" t="s">
        <v>22</v>
      </c>
      <c r="F217" t="s">
        <v>23</v>
      </c>
      <c r="G217">
        <v>1</v>
      </c>
      <c r="H217">
        <v>9791191562415</v>
      </c>
      <c r="I217" t="s">
        <v>143</v>
      </c>
      <c r="J217" t="s">
        <v>1077</v>
      </c>
      <c r="K217" t="s">
        <v>1078</v>
      </c>
      <c r="L217" t="s">
        <v>27</v>
      </c>
      <c r="M217" s="3">
        <v>2000</v>
      </c>
      <c r="N217" t="s">
        <v>27</v>
      </c>
      <c r="O217" s="3">
        <v>2000</v>
      </c>
      <c r="P217" s="3">
        <v>2000</v>
      </c>
      <c r="Q217" t="s">
        <v>30</v>
      </c>
      <c r="R217" s="2">
        <v>0.7</v>
      </c>
      <c r="S217" s="3">
        <v>1400</v>
      </c>
      <c r="T217" t="s">
        <v>27</v>
      </c>
      <c r="U217" s="3">
        <v>1400</v>
      </c>
      <c r="V217" s="7" t="s">
        <v>2557</v>
      </c>
      <c r="W217" s="7" t="s">
        <v>2557</v>
      </c>
    </row>
    <row r="218" spans="1:23" x14ac:dyDescent="0.4">
      <c r="A218" t="s">
        <v>262</v>
      </c>
      <c r="B218" t="s">
        <v>1766</v>
      </c>
      <c r="C218" t="s">
        <v>1790</v>
      </c>
      <c r="D218" t="s">
        <v>21</v>
      </c>
      <c r="E218" t="s">
        <v>22</v>
      </c>
      <c r="F218" t="s">
        <v>23</v>
      </c>
      <c r="G218">
        <v>1</v>
      </c>
      <c r="H218">
        <v>9791191562415</v>
      </c>
      <c r="I218" t="s">
        <v>143</v>
      </c>
      <c r="J218" t="s">
        <v>1077</v>
      </c>
      <c r="K218" t="s">
        <v>1078</v>
      </c>
      <c r="L218" t="s">
        <v>27</v>
      </c>
      <c r="M218" s="3">
        <v>2000</v>
      </c>
      <c r="N218" t="s">
        <v>27</v>
      </c>
      <c r="O218" s="3">
        <v>2000</v>
      </c>
      <c r="P218" s="3">
        <v>2000</v>
      </c>
      <c r="Q218" t="s">
        <v>30</v>
      </c>
      <c r="R218" s="2">
        <v>0.7</v>
      </c>
      <c r="S218" s="3">
        <v>1400</v>
      </c>
      <c r="T218" t="s">
        <v>27</v>
      </c>
      <c r="U218" s="3">
        <v>1400</v>
      </c>
      <c r="V218" s="7" t="s">
        <v>2557</v>
      </c>
      <c r="W218" s="7" t="s">
        <v>2557</v>
      </c>
    </row>
    <row r="219" spans="1:23" x14ac:dyDescent="0.4">
      <c r="A219" t="s">
        <v>262</v>
      </c>
      <c r="B219" t="s">
        <v>1766</v>
      </c>
      <c r="C219" t="s">
        <v>1791</v>
      </c>
      <c r="D219" t="s">
        <v>21</v>
      </c>
      <c r="E219" t="s">
        <v>22</v>
      </c>
      <c r="F219" t="s">
        <v>23</v>
      </c>
      <c r="G219">
        <v>1</v>
      </c>
      <c r="H219">
        <v>9791191562149</v>
      </c>
      <c r="I219" t="s">
        <v>143</v>
      </c>
      <c r="J219" t="s">
        <v>1081</v>
      </c>
      <c r="K219" t="s">
        <v>1078</v>
      </c>
      <c r="L219" t="s">
        <v>27</v>
      </c>
      <c r="M219" s="3">
        <v>2000</v>
      </c>
      <c r="N219" t="s">
        <v>27</v>
      </c>
      <c r="O219" s="3">
        <v>2000</v>
      </c>
      <c r="P219" s="3">
        <v>2000</v>
      </c>
      <c r="Q219" t="s">
        <v>30</v>
      </c>
      <c r="R219" s="2">
        <v>0.7</v>
      </c>
      <c r="S219" s="3">
        <v>1400</v>
      </c>
      <c r="T219" t="s">
        <v>27</v>
      </c>
      <c r="U219" s="3">
        <v>1400</v>
      </c>
      <c r="V219" s="7" t="s">
        <v>2557</v>
      </c>
      <c r="W219" s="7" t="s">
        <v>2557</v>
      </c>
    </row>
    <row r="220" spans="1:23" x14ac:dyDescent="0.4">
      <c r="A220" t="s">
        <v>262</v>
      </c>
      <c r="B220" t="s">
        <v>1766</v>
      </c>
      <c r="C220" t="s">
        <v>1797</v>
      </c>
      <c r="D220" t="s">
        <v>21</v>
      </c>
      <c r="E220" t="s">
        <v>22</v>
      </c>
      <c r="F220" t="s">
        <v>23</v>
      </c>
      <c r="G220">
        <v>1</v>
      </c>
      <c r="H220">
        <v>9791191562439</v>
      </c>
      <c r="I220" t="s">
        <v>143</v>
      </c>
      <c r="J220" t="s">
        <v>1661</v>
      </c>
      <c r="K220" t="s">
        <v>188</v>
      </c>
      <c r="L220" t="s">
        <v>27</v>
      </c>
      <c r="M220" s="3">
        <v>2500</v>
      </c>
      <c r="N220" t="s">
        <v>27</v>
      </c>
      <c r="O220" s="3">
        <v>2500</v>
      </c>
      <c r="P220" s="3">
        <v>2500</v>
      </c>
      <c r="Q220" t="s">
        <v>30</v>
      </c>
      <c r="R220" s="2">
        <v>0.7</v>
      </c>
      <c r="S220" s="3">
        <v>1750</v>
      </c>
      <c r="T220" t="s">
        <v>27</v>
      </c>
      <c r="U220" s="3">
        <v>1750</v>
      </c>
      <c r="V220" s="7" t="s">
        <v>2557</v>
      </c>
      <c r="W220" s="7" t="s">
        <v>2557</v>
      </c>
    </row>
    <row r="221" spans="1:23" x14ac:dyDescent="0.4">
      <c r="A221" t="s">
        <v>262</v>
      </c>
      <c r="B221" t="s">
        <v>1766</v>
      </c>
      <c r="C221" t="s">
        <v>1799</v>
      </c>
      <c r="D221" t="s">
        <v>21</v>
      </c>
      <c r="E221" t="s">
        <v>22</v>
      </c>
      <c r="F221" t="s">
        <v>23</v>
      </c>
      <c r="G221">
        <v>1</v>
      </c>
      <c r="H221">
        <v>9791191562415</v>
      </c>
      <c r="I221" t="s">
        <v>143</v>
      </c>
      <c r="J221" t="s">
        <v>1077</v>
      </c>
      <c r="K221" t="s">
        <v>1078</v>
      </c>
      <c r="L221" t="s">
        <v>27</v>
      </c>
      <c r="M221" s="3">
        <v>2000</v>
      </c>
      <c r="N221" t="s">
        <v>27</v>
      </c>
      <c r="O221" s="3">
        <v>2000</v>
      </c>
      <c r="P221" s="3">
        <v>2000</v>
      </c>
      <c r="Q221" t="s">
        <v>30</v>
      </c>
      <c r="R221" s="2">
        <v>0.7</v>
      </c>
      <c r="S221" s="3">
        <v>1400</v>
      </c>
      <c r="T221" t="s">
        <v>27</v>
      </c>
      <c r="U221" s="3">
        <v>1400</v>
      </c>
      <c r="V221" s="7" t="s">
        <v>2557</v>
      </c>
      <c r="W221" s="7" t="s">
        <v>2557</v>
      </c>
    </row>
    <row r="222" spans="1:23" x14ac:dyDescent="0.4">
      <c r="A222" t="s">
        <v>262</v>
      </c>
      <c r="B222" t="s">
        <v>1766</v>
      </c>
      <c r="C222" t="s">
        <v>1803</v>
      </c>
      <c r="D222" t="s">
        <v>21</v>
      </c>
      <c r="E222" t="s">
        <v>22</v>
      </c>
      <c r="F222" t="s">
        <v>23</v>
      </c>
      <c r="G222">
        <v>1</v>
      </c>
      <c r="H222">
        <v>9791191562286</v>
      </c>
      <c r="I222" t="s">
        <v>143</v>
      </c>
      <c r="J222" t="s">
        <v>238</v>
      </c>
      <c r="K222" t="s">
        <v>239</v>
      </c>
      <c r="L222" t="s">
        <v>27</v>
      </c>
      <c r="M222" s="3">
        <v>2000</v>
      </c>
      <c r="N222" t="s">
        <v>27</v>
      </c>
      <c r="O222" s="3">
        <v>2000</v>
      </c>
      <c r="P222" s="3">
        <v>2000</v>
      </c>
      <c r="Q222" t="s">
        <v>30</v>
      </c>
      <c r="R222" s="2">
        <v>0.7</v>
      </c>
      <c r="S222" s="3">
        <v>1400</v>
      </c>
      <c r="T222" t="s">
        <v>27</v>
      </c>
      <c r="U222" s="3">
        <v>1400</v>
      </c>
      <c r="V222" s="7" t="s">
        <v>2557</v>
      </c>
      <c r="W222" s="7" t="s">
        <v>2557</v>
      </c>
    </row>
    <row r="223" spans="1:23" x14ac:dyDescent="0.4">
      <c r="A223" t="s">
        <v>262</v>
      </c>
      <c r="B223" t="s">
        <v>1766</v>
      </c>
      <c r="C223" t="s">
        <v>1811</v>
      </c>
      <c r="D223" t="s">
        <v>21</v>
      </c>
      <c r="E223" t="s">
        <v>22</v>
      </c>
      <c r="F223" t="s">
        <v>216</v>
      </c>
      <c r="G223">
        <v>1</v>
      </c>
      <c r="H223">
        <v>9791191562361</v>
      </c>
      <c r="I223" t="s">
        <v>143</v>
      </c>
      <c r="J223" t="s">
        <v>916</v>
      </c>
      <c r="K223" t="s">
        <v>186</v>
      </c>
      <c r="L223" t="s">
        <v>27</v>
      </c>
      <c r="M223" s="3">
        <v>2000</v>
      </c>
      <c r="N223" t="s">
        <v>28</v>
      </c>
      <c r="O223">
        <v>1.65</v>
      </c>
      <c r="P223">
        <v>1.65</v>
      </c>
      <c r="Q223" t="s">
        <v>29</v>
      </c>
      <c r="R223" s="2">
        <v>0.7</v>
      </c>
      <c r="S223">
        <v>1.1499999999999999</v>
      </c>
      <c r="T223" t="s">
        <v>27</v>
      </c>
      <c r="U223" s="3">
        <v>1441</v>
      </c>
      <c r="V223" s="7" t="s">
        <v>2557</v>
      </c>
      <c r="W223" s="7" t="s">
        <v>2557</v>
      </c>
    </row>
    <row r="224" spans="1:23" x14ac:dyDescent="0.4">
      <c r="A224" t="s">
        <v>262</v>
      </c>
      <c r="B224" t="s">
        <v>1766</v>
      </c>
      <c r="C224" t="s">
        <v>1813</v>
      </c>
      <c r="D224" t="s">
        <v>21</v>
      </c>
      <c r="E224" t="s">
        <v>22</v>
      </c>
      <c r="F224" t="s">
        <v>23</v>
      </c>
      <c r="G224">
        <v>1</v>
      </c>
      <c r="H224">
        <v>9791191562019</v>
      </c>
      <c r="I224" t="s">
        <v>143</v>
      </c>
      <c r="J224" t="s">
        <v>194</v>
      </c>
      <c r="K224" t="s">
        <v>186</v>
      </c>
      <c r="L224" t="s">
        <v>27</v>
      </c>
      <c r="M224" s="3">
        <v>2000</v>
      </c>
      <c r="N224" t="s">
        <v>28</v>
      </c>
      <c r="O224">
        <v>1.65</v>
      </c>
      <c r="P224">
        <v>1.65</v>
      </c>
      <c r="Q224" t="s">
        <v>29</v>
      </c>
      <c r="R224" s="2">
        <v>0.7</v>
      </c>
      <c r="S224">
        <v>1.1499999999999999</v>
      </c>
      <c r="T224" t="s">
        <v>27</v>
      </c>
      <c r="U224" s="3">
        <v>1458</v>
      </c>
      <c r="V224" s="7" t="s">
        <v>2557</v>
      </c>
      <c r="W224" s="7" t="s">
        <v>2557</v>
      </c>
    </row>
    <row r="225" spans="1:23" x14ac:dyDescent="0.4">
      <c r="A225" t="s">
        <v>262</v>
      </c>
      <c r="B225" t="s">
        <v>1766</v>
      </c>
      <c r="C225" t="s">
        <v>1815</v>
      </c>
      <c r="D225" t="s">
        <v>21</v>
      </c>
      <c r="E225" t="s">
        <v>22</v>
      </c>
      <c r="F225" t="s">
        <v>23</v>
      </c>
      <c r="G225">
        <v>1</v>
      </c>
      <c r="H225">
        <v>9791191562163</v>
      </c>
      <c r="I225" t="s">
        <v>143</v>
      </c>
      <c r="J225" t="s">
        <v>214</v>
      </c>
      <c r="K225" t="s">
        <v>215</v>
      </c>
      <c r="L225" t="s">
        <v>27</v>
      </c>
      <c r="M225" s="3">
        <v>2000</v>
      </c>
      <c r="N225" t="s">
        <v>27</v>
      </c>
      <c r="O225" s="3">
        <v>2000</v>
      </c>
      <c r="P225" s="3">
        <v>2000</v>
      </c>
      <c r="Q225" t="s">
        <v>30</v>
      </c>
      <c r="R225" s="2">
        <v>0.7</v>
      </c>
      <c r="S225" s="3">
        <v>1400</v>
      </c>
      <c r="T225" t="s">
        <v>27</v>
      </c>
      <c r="U225" s="3">
        <v>1400</v>
      </c>
      <c r="V225" s="7" t="s">
        <v>2557</v>
      </c>
      <c r="W225" s="7" t="s">
        <v>2557</v>
      </c>
    </row>
    <row r="226" spans="1:23" x14ac:dyDescent="0.4">
      <c r="A226" t="s">
        <v>262</v>
      </c>
      <c r="B226" t="s">
        <v>1766</v>
      </c>
      <c r="C226" t="s">
        <v>1822</v>
      </c>
      <c r="D226" t="s">
        <v>21</v>
      </c>
      <c r="E226" t="s">
        <v>22</v>
      </c>
      <c r="F226" t="s">
        <v>23</v>
      </c>
      <c r="G226">
        <v>1</v>
      </c>
      <c r="H226">
        <v>9791191562224</v>
      </c>
      <c r="I226" t="s">
        <v>143</v>
      </c>
      <c r="J226" t="s">
        <v>221</v>
      </c>
      <c r="K226" t="s">
        <v>222</v>
      </c>
      <c r="L226" t="s">
        <v>27</v>
      </c>
      <c r="M226" s="3">
        <v>2500</v>
      </c>
      <c r="N226" t="s">
        <v>27</v>
      </c>
      <c r="O226" s="3">
        <v>2500</v>
      </c>
      <c r="P226" s="3">
        <v>2500</v>
      </c>
      <c r="Q226" t="s">
        <v>30</v>
      </c>
      <c r="R226" s="2">
        <v>0.7</v>
      </c>
      <c r="S226" s="3">
        <v>1750</v>
      </c>
      <c r="T226" t="s">
        <v>27</v>
      </c>
      <c r="U226" s="3">
        <v>1750</v>
      </c>
      <c r="V226" s="7" t="s">
        <v>2557</v>
      </c>
      <c r="W226" s="7" t="s">
        <v>2557</v>
      </c>
    </row>
    <row r="227" spans="1:23" x14ac:dyDescent="0.4">
      <c r="A227" t="s">
        <v>262</v>
      </c>
      <c r="B227" t="s">
        <v>1766</v>
      </c>
      <c r="C227" t="s">
        <v>1826</v>
      </c>
      <c r="D227" t="s">
        <v>21</v>
      </c>
      <c r="E227" t="s">
        <v>22</v>
      </c>
      <c r="F227" t="s">
        <v>23</v>
      </c>
      <c r="G227">
        <v>1</v>
      </c>
      <c r="H227">
        <v>9791191562262</v>
      </c>
      <c r="I227" t="s">
        <v>143</v>
      </c>
      <c r="J227" t="s">
        <v>250</v>
      </c>
      <c r="K227" t="s">
        <v>251</v>
      </c>
      <c r="L227" t="s">
        <v>27</v>
      </c>
      <c r="M227" s="3">
        <v>2000</v>
      </c>
      <c r="N227" t="s">
        <v>27</v>
      </c>
      <c r="O227" s="3">
        <v>2000</v>
      </c>
      <c r="P227" s="3">
        <v>2000</v>
      </c>
      <c r="Q227" t="s">
        <v>30</v>
      </c>
      <c r="R227" s="2">
        <v>0.7</v>
      </c>
      <c r="S227" s="3">
        <v>1400</v>
      </c>
      <c r="T227" t="s">
        <v>27</v>
      </c>
      <c r="U227" s="3">
        <v>1400</v>
      </c>
      <c r="V227" s="7" t="s">
        <v>2557</v>
      </c>
      <c r="W227" s="7" t="s">
        <v>2557</v>
      </c>
    </row>
    <row r="228" spans="1:23" x14ac:dyDescent="0.4">
      <c r="A228" t="s">
        <v>262</v>
      </c>
      <c r="B228" t="s">
        <v>1766</v>
      </c>
      <c r="C228" t="s">
        <v>1830</v>
      </c>
      <c r="D228" t="s">
        <v>21</v>
      </c>
      <c r="E228" t="s">
        <v>22</v>
      </c>
      <c r="F228" t="s">
        <v>23</v>
      </c>
      <c r="G228">
        <v>1</v>
      </c>
      <c r="H228">
        <v>9791191562187</v>
      </c>
      <c r="I228" t="s">
        <v>143</v>
      </c>
      <c r="J228" t="s">
        <v>217</v>
      </c>
      <c r="K228" t="s">
        <v>218</v>
      </c>
      <c r="L228" t="s">
        <v>27</v>
      </c>
      <c r="M228" s="3">
        <v>2000</v>
      </c>
      <c r="N228" t="s">
        <v>27</v>
      </c>
      <c r="O228" s="3">
        <v>2000</v>
      </c>
      <c r="P228" s="3">
        <v>2000</v>
      </c>
      <c r="Q228" t="s">
        <v>30</v>
      </c>
      <c r="R228" s="2">
        <v>0.7</v>
      </c>
      <c r="S228" s="3">
        <v>1400</v>
      </c>
      <c r="T228" t="s">
        <v>27</v>
      </c>
      <c r="U228" s="3">
        <v>1400</v>
      </c>
      <c r="V228" s="7" t="s">
        <v>2557</v>
      </c>
      <c r="W228" s="7" t="s">
        <v>2557</v>
      </c>
    </row>
    <row r="229" spans="1:23" x14ac:dyDescent="0.4">
      <c r="A229" t="s">
        <v>262</v>
      </c>
      <c r="B229" t="s">
        <v>1766</v>
      </c>
      <c r="C229" t="s">
        <v>1833</v>
      </c>
      <c r="D229" t="s">
        <v>21</v>
      </c>
      <c r="E229" t="s">
        <v>22</v>
      </c>
      <c r="F229" t="s">
        <v>23</v>
      </c>
      <c r="G229">
        <v>1</v>
      </c>
      <c r="H229">
        <v>9791191562309</v>
      </c>
      <c r="I229" t="s">
        <v>143</v>
      </c>
      <c r="J229" t="s">
        <v>225</v>
      </c>
      <c r="K229" t="s">
        <v>226</v>
      </c>
      <c r="L229" t="s">
        <v>27</v>
      </c>
      <c r="M229" s="3">
        <v>2500</v>
      </c>
      <c r="N229" t="s">
        <v>176</v>
      </c>
      <c r="O229">
        <v>278</v>
      </c>
      <c r="P229">
        <v>253</v>
      </c>
      <c r="Q229" t="s">
        <v>177</v>
      </c>
      <c r="R229" s="2">
        <v>0.7</v>
      </c>
      <c r="S229">
        <v>177</v>
      </c>
      <c r="T229" t="s">
        <v>27</v>
      </c>
      <c r="U229" s="3">
        <v>1755</v>
      </c>
      <c r="V229" s="7" t="s">
        <v>2557</v>
      </c>
      <c r="W229" s="7" t="s">
        <v>2557</v>
      </c>
    </row>
    <row r="230" spans="1:23" x14ac:dyDescent="0.4">
      <c r="A230" t="s">
        <v>262</v>
      </c>
      <c r="B230" t="s">
        <v>1766</v>
      </c>
      <c r="C230" t="s">
        <v>1834</v>
      </c>
      <c r="D230" t="s">
        <v>21</v>
      </c>
      <c r="E230" t="s">
        <v>22</v>
      </c>
      <c r="F230" t="s">
        <v>23</v>
      </c>
      <c r="G230">
        <v>1</v>
      </c>
      <c r="H230">
        <v>9791191562286</v>
      </c>
      <c r="I230" t="s">
        <v>143</v>
      </c>
      <c r="J230" t="s">
        <v>238</v>
      </c>
      <c r="K230" t="s">
        <v>239</v>
      </c>
      <c r="L230" t="s">
        <v>27</v>
      </c>
      <c r="M230" s="3">
        <v>2000</v>
      </c>
      <c r="N230" t="s">
        <v>28</v>
      </c>
      <c r="O230">
        <v>1.65</v>
      </c>
      <c r="P230">
        <v>1.65</v>
      </c>
      <c r="Q230" t="s">
        <v>29</v>
      </c>
      <c r="R230" s="2">
        <v>0.7</v>
      </c>
      <c r="S230">
        <v>1.1499999999999999</v>
      </c>
      <c r="T230" t="s">
        <v>27</v>
      </c>
      <c r="U230" s="3">
        <v>1458</v>
      </c>
      <c r="V230" s="7" t="s">
        <v>2557</v>
      </c>
      <c r="W230" s="7" t="s">
        <v>2557</v>
      </c>
    </row>
    <row r="231" spans="1:23" x14ac:dyDescent="0.4">
      <c r="A231" t="s">
        <v>262</v>
      </c>
      <c r="B231" t="s">
        <v>1766</v>
      </c>
      <c r="C231" t="s">
        <v>1835</v>
      </c>
      <c r="D231" t="s">
        <v>21</v>
      </c>
      <c r="E231" t="s">
        <v>22</v>
      </c>
      <c r="F231" t="s">
        <v>23</v>
      </c>
      <c r="G231">
        <v>1</v>
      </c>
      <c r="H231">
        <v>9791191562262</v>
      </c>
      <c r="I231" t="s">
        <v>143</v>
      </c>
      <c r="J231" t="s">
        <v>250</v>
      </c>
      <c r="K231" t="s">
        <v>251</v>
      </c>
      <c r="L231" t="s">
        <v>27</v>
      </c>
      <c r="M231" s="3">
        <v>2000</v>
      </c>
      <c r="N231" t="s">
        <v>191</v>
      </c>
      <c r="O231">
        <v>2.4</v>
      </c>
      <c r="P231">
        <v>2.1800000000000002</v>
      </c>
      <c r="Q231" t="s">
        <v>190</v>
      </c>
      <c r="R231" s="2">
        <v>0.7</v>
      </c>
      <c r="S231">
        <v>1.53</v>
      </c>
      <c r="T231" t="s">
        <v>27</v>
      </c>
      <c r="U231" s="3">
        <v>1366</v>
      </c>
      <c r="V231" s="7" t="s">
        <v>2557</v>
      </c>
      <c r="W231" s="7" t="s">
        <v>2557</v>
      </c>
    </row>
    <row r="232" spans="1:23" x14ac:dyDescent="0.4">
      <c r="A232" t="s">
        <v>262</v>
      </c>
      <c r="B232" t="s">
        <v>1840</v>
      </c>
      <c r="C232" t="s">
        <v>1844</v>
      </c>
      <c r="D232" t="s">
        <v>21</v>
      </c>
      <c r="E232" t="s">
        <v>22</v>
      </c>
      <c r="F232" t="s">
        <v>23</v>
      </c>
      <c r="G232">
        <v>1</v>
      </c>
      <c r="H232">
        <v>9791191562248</v>
      </c>
      <c r="I232" t="s">
        <v>143</v>
      </c>
      <c r="J232" t="s">
        <v>231</v>
      </c>
      <c r="K232" t="s">
        <v>232</v>
      </c>
      <c r="L232" t="s">
        <v>27</v>
      </c>
      <c r="M232" s="3">
        <v>2000</v>
      </c>
      <c r="N232" t="s">
        <v>28</v>
      </c>
      <c r="O232">
        <v>1.65</v>
      </c>
      <c r="P232">
        <v>1.65</v>
      </c>
      <c r="Q232" t="s">
        <v>29</v>
      </c>
      <c r="R232" s="2">
        <v>0.7</v>
      </c>
      <c r="S232">
        <v>1.1499999999999999</v>
      </c>
      <c r="T232" t="s">
        <v>27</v>
      </c>
      <c r="U232" s="3">
        <v>1458</v>
      </c>
      <c r="V232" s="7" t="s">
        <v>2557</v>
      </c>
      <c r="W232" s="7" t="s">
        <v>2557</v>
      </c>
    </row>
    <row r="233" spans="1:23" x14ac:dyDescent="0.4">
      <c r="A233" t="s">
        <v>262</v>
      </c>
      <c r="B233" t="s">
        <v>1840</v>
      </c>
      <c r="C233" t="s">
        <v>1848</v>
      </c>
      <c r="D233" t="s">
        <v>21</v>
      </c>
      <c r="E233" t="s">
        <v>22</v>
      </c>
      <c r="F233" t="s">
        <v>23</v>
      </c>
      <c r="G233">
        <v>1</v>
      </c>
      <c r="H233">
        <v>9791191562286</v>
      </c>
      <c r="I233" t="s">
        <v>143</v>
      </c>
      <c r="J233" t="s">
        <v>238</v>
      </c>
      <c r="K233" t="s">
        <v>239</v>
      </c>
      <c r="L233" t="s">
        <v>27</v>
      </c>
      <c r="M233" s="3">
        <v>2000</v>
      </c>
      <c r="N233" t="s">
        <v>27</v>
      </c>
      <c r="O233" s="3">
        <v>2000</v>
      </c>
      <c r="P233" s="3">
        <v>2000</v>
      </c>
      <c r="Q233" t="s">
        <v>30</v>
      </c>
      <c r="R233" s="2">
        <v>0.7</v>
      </c>
      <c r="S233" s="3">
        <v>1400</v>
      </c>
      <c r="T233" t="s">
        <v>27</v>
      </c>
      <c r="U233" s="3">
        <v>1400</v>
      </c>
      <c r="V233" s="7" t="s">
        <v>2557</v>
      </c>
      <c r="W233" s="7" t="s">
        <v>2557</v>
      </c>
    </row>
    <row r="234" spans="1:23" x14ac:dyDescent="0.4">
      <c r="A234" t="s">
        <v>262</v>
      </c>
      <c r="B234" t="s">
        <v>1840</v>
      </c>
      <c r="C234" t="s">
        <v>1849</v>
      </c>
      <c r="D234" t="s">
        <v>21</v>
      </c>
      <c r="E234" t="s">
        <v>22</v>
      </c>
      <c r="F234" t="s">
        <v>23</v>
      </c>
      <c r="G234">
        <v>1</v>
      </c>
      <c r="H234">
        <v>9791191562286</v>
      </c>
      <c r="I234" t="s">
        <v>143</v>
      </c>
      <c r="J234" t="s">
        <v>238</v>
      </c>
      <c r="K234" t="s">
        <v>239</v>
      </c>
      <c r="L234" t="s">
        <v>27</v>
      </c>
      <c r="M234" s="3">
        <v>2000</v>
      </c>
      <c r="N234" t="s">
        <v>27</v>
      </c>
      <c r="O234" s="3">
        <v>2000</v>
      </c>
      <c r="P234" s="3">
        <v>2000</v>
      </c>
      <c r="Q234" t="s">
        <v>30</v>
      </c>
      <c r="R234" s="2">
        <v>0.7</v>
      </c>
      <c r="S234" s="3">
        <v>1400</v>
      </c>
      <c r="T234" t="s">
        <v>27</v>
      </c>
      <c r="U234" s="3">
        <v>1400</v>
      </c>
      <c r="V234" s="7" t="s">
        <v>2557</v>
      </c>
      <c r="W234" s="7" t="s">
        <v>2557</v>
      </c>
    </row>
    <row r="235" spans="1:23" x14ac:dyDescent="0.4">
      <c r="A235" t="s">
        <v>262</v>
      </c>
      <c r="B235" t="s">
        <v>1840</v>
      </c>
      <c r="C235" t="s">
        <v>1851</v>
      </c>
      <c r="D235" t="s">
        <v>21</v>
      </c>
      <c r="E235" t="s">
        <v>22</v>
      </c>
      <c r="F235" t="s">
        <v>23</v>
      </c>
      <c r="G235">
        <v>1</v>
      </c>
      <c r="H235">
        <v>9791191562002</v>
      </c>
      <c r="I235" t="s">
        <v>143</v>
      </c>
      <c r="J235" t="s">
        <v>193</v>
      </c>
      <c r="K235" t="s">
        <v>192</v>
      </c>
      <c r="L235" t="s">
        <v>27</v>
      </c>
      <c r="M235" s="3">
        <v>2500</v>
      </c>
      <c r="N235" t="s">
        <v>27</v>
      </c>
      <c r="O235" s="3">
        <v>2500</v>
      </c>
      <c r="P235" s="3">
        <v>2500</v>
      </c>
      <c r="Q235" t="s">
        <v>30</v>
      </c>
      <c r="R235" s="2">
        <v>0.7</v>
      </c>
      <c r="S235" s="3">
        <v>1750</v>
      </c>
      <c r="T235" t="s">
        <v>27</v>
      </c>
      <c r="U235" s="3">
        <v>1750</v>
      </c>
      <c r="V235" s="7" t="s">
        <v>2557</v>
      </c>
      <c r="W235" s="7" t="s">
        <v>2557</v>
      </c>
    </row>
    <row r="236" spans="1:23" x14ac:dyDescent="0.4">
      <c r="A236" t="s">
        <v>262</v>
      </c>
      <c r="B236" t="s">
        <v>1840</v>
      </c>
      <c r="C236" t="s">
        <v>1858</v>
      </c>
      <c r="D236" t="s">
        <v>21</v>
      </c>
      <c r="E236" t="s">
        <v>22</v>
      </c>
      <c r="F236" t="s">
        <v>23</v>
      </c>
      <c r="G236">
        <v>1</v>
      </c>
      <c r="H236">
        <v>9791191562439</v>
      </c>
      <c r="I236" t="s">
        <v>143</v>
      </c>
      <c r="J236" t="s">
        <v>1661</v>
      </c>
      <c r="K236" t="s">
        <v>188</v>
      </c>
      <c r="L236" t="s">
        <v>27</v>
      </c>
      <c r="M236" s="3">
        <v>2500</v>
      </c>
      <c r="N236" t="s">
        <v>27</v>
      </c>
      <c r="O236" s="3">
        <v>2500</v>
      </c>
      <c r="P236" s="3">
        <v>2500</v>
      </c>
      <c r="Q236" t="s">
        <v>30</v>
      </c>
      <c r="R236" s="2">
        <v>0.7</v>
      </c>
      <c r="S236" s="3">
        <v>1750</v>
      </c>
      <c r="T236" t="s">
        <v>27</v>
      </c>
      <c r="U236" s="3">
        <v>1750</v>
      </c>
      <c r="V236" s="7" t="s">
        <v>2557</v>
      </c>
      <c r="W236" s="7" t="s">
        <v>2557</v>
      </c>
    </row>
    <row r="237" spans="1:23" x14ac:dyDescent="0.4">
      <c r="A237" t="s">
        <v>262</v>
      </c>
      <c r="B237" t="s">
        <v>1840</v>
      </c>
      <c r="C237" t="s">
        <v>1880</v>
      </c>
      <c r="D237" t="s">
        <v>21</v>
      </c>
      <c r="E237" t="s">
        <v>22</v>
      </c>
      <c r="F237" t="s">
        <v>23</v>
      </c>
      <c r="G237">
        <v>1</v>
      </c>
      <c r="H237">
        <v>9791191562286</v>
      </c>
      <c r="I237" t="s">
        <v>143</v>
      </c>
      <c r="J237" t="s">
        <v>238</v>
      </c>
      <c r="K237" t="s">
        <v>239</v>
      </c>
      <c r="L237" t="s">
        <v>27</v>
      </c>
      <c r="M237" s="3">
        <v>2000</v>
      </c>
      <c r="N237" t="s">
        <v>27</v>
      </c>
      <c r="O237" s="3">
        <v>2000</v>
      </c>
      <c r="P237" s="3">
        <v>2000</v>
      </c>
      <c r="Q237" t="s">
        <v>30</v>
      </c>
      <c r="R237" s="2">
        <v>0.7</v>
      </c>
      <c r="S237" s="3">
        <v>1400</v>
      </c>
      <c r="T237" t="s">
        <v>27</v>
      </c>
      <c r="U237" s="3">
        <v>1400</v>
      </c>
      <c r="V237" s="7" t="s">
        <v>2557</v>
      </c>
      <c r="W237" s="7" t="s">
        <v>2557</v>
      </c>
    </row>
    <row r="238" spans="1:23" x14ac:dyDescent="0.4">
      <c r="A238" t="s">
        <v>262</v>
      </c>
      <c r="B238" t="s">
        <v>1840</v>
      </c>
      <c r="C238" t="s">
        <v>1881</v>
      </c>
      <c r="D238" t="s">
        <v>21</v>
      </c>
      <c r="E238" t="s">
        <v>22</v>
      </c>
      <c r="F238" t="s">
        <v>23</v>
      </c>
      <c r="G238">
        <v>1</v>
      </c>
      <c r="H238">
        <v>9791191562439</v>
      </c>
      <c r="I238" t="s">
        <v>143</v>
      </c>
      <c r="J238" t="s">
        <v>1661</v>
      </c>
      <c r="K238" t="s">
        <v>188</v>
      </c>
      <c r="L238" t="s">
        <v>27</v>
      </c>
      <c r="M238" s="3">
        <v>2500</v>
      </c>
      <c r="N238" t="s">
        <v>27</v>
      </c>
      <c r="O238" s="3">
        <v>2500</v>
      </c>
      <c r="P238" s="3">
        <v>2500</v>
      </c>
      <c r="Q238" t="s">
        <v>30</v>
      </c>
      <c r="R238" s="2">
        <v>0.7</v>
      </c>
      <c r="S238" s="3">
        <v>1750</v>
      </c>
      <c r="T238" t="s">
        <v>27</v>
      </c>
      <c r="U238" s="3">
        <v>1750</v>
      </c>
      <c r="V238" s="7" t="s">
        <v>2557</v>
      </c>
      <c r="W238" s="7" t="s">
        <v>2557</v>
      </c>
    </row>
    <row r="239" spans="1:23" x14ac:dyDescent="0.4">
      <c r="A239" t="s">
        <v>262</v>
      </c>
      <c r="B239" t="s">
        <v>1840</v>
      </c>
      <c r="C239" t="s">
        <v>1884</v>
      </c>
      <c r="D239" t="s">
        <v>21</v>
      </c>
      <c r="E239" t="s">
        <v>22</v>
      </c>
      <c r="F239" t="s">
        <v>23</v>
      </c>
      <c r="G239">
        <v>1</v>
      </c>
      <c r="H239">
        <v>9791191562262</v>
      </c>
      <c r="I239" t="s">
        <v>143</v>
      </c>
      <c r="J239" t="s">
        <v>250</v>
      </c>
      <c r="K239" t="s">
        <v>251</v>
      </c>
      <c r="L239" t="s">
        <v>27</v>
      </c>
      <c r="M239" s="3">
        <v>2000</v>
      </c>
      <c r="N239" t="s">
        <v>27</v>
      </c>
      <c r="O239" s="3">
        <v>2000</v>
      </c>
      <c r="P239" s="3">
        <v>2000</v>
      </c>
      <c r="Q239" t="s">
        <v>30</v>
      </c>
      <c r="R239" s="2">
        <v>0.7</v>
      </c>
      <c r="S239" s="3">
        <v>1400</v>
      </c>
      <c r="T239" t="s">
        <v>27</v>
      </c>
      <c r="U239" s="3">
        <v>1400</v>
      </c>
      <c r="V239" s="7" t="s">
        <v>2557</v>
      </c>
      <c r="W239" s="7" t="s">
        <v>2557</v>
      </c>
    </row>
    <row r="240" spans="1:23" x14ac:dyDescent="0.4">
      <c r="A240" t="s">
        <v>262</v>
      </c>
      <c r="B240" t="s">
        <v>1840</v>
      </c>
      <c r="C240" t="s">
        <v>1897</v>
      </c>
      <c r="D240" t="s">
        <v>21</v>
      </c>
      <c r="E240" t="s">
        <v>22</v>
      </c>
      <c r="F240" t="s">
        <v>23</v>
      </c>
      <c r="G240">
        <v>1</v>
      </c>
      <c r="H240">
        <v>9791191562286</v>
      </c>
      <c r="I240" t="s">
        <v>143</v>
      </c>
      <c r="J240" t="s">
        <v>238</v>
      </c>
      <c r="K240" t="s">
        <v>239</v>
      </c>
      <c r="L240" t="s">
        <v>27</v>
      </c>
      <c r="M240" s="3">
        <v>2000</v>
      </c>
      <c r="N240" t="s">
        <v>28</v>
      </c>
      <c r="O240">
        <v>1.65</v>
      </c>
      <c r="P240">
        <v>1.65</v>
      </c>
      <c r="Q240" t="s">
        <v>29</v>
      </c>
      <c r="R240" s="2">
        <v>0.7</v>
      </c>
      <c r="S240">
        <v>1.1499999999999999</v>
      </c>
      <c r="T240" t="s">
        <v>27</v>
      </c>
      <c r="U240" s="3">
        <v>1460</v>
      </c>
      <c r="V240" s="7" t="s">
        <v>2557</v>
      </c>
      <c r="W240" s="7" t="s">
        <v>2557</v>
      </c>
    </row>
    <row r="241" spans="1:23" x14ac:dyDescent="0.4">
      <c r="A241" t="s">
        <v>262</v>
      </c>
      <c r="B241" t="s">
        <v>1898</v>
      </c>
      <c r="C241" t="s">
        <v>1899</v>
      </c>
      <c r="D241" t="s">
        <v>21</v>
      </c>
      <c r="E241" t="s">
        <v>22</v>
      </c>
      <c r="F241" t="s">
        <v>23</v>
      </c>
      <c r="G241">
        <v>1</v>
      </c>
      <c r="H241">
        <v>9791191562453</v>
      </c>
      <c r="I241" t="s">
        <v>143</v>
      </c>
      <c r="J241" t="s">
        <v>1900</v>
      </c>
      <c r="K241" t="s">
        <v>2556</v>
      </c>
      <c r="L241" t="s">
        <v>27</v>
      </c>
      <c r="M241" s="3">
        <v>2500</v>
      </c>
      <c r="N241" t="s">
        <v>28</v>
      </c>
      <c r="O241">
        <v>2.06</v>
      </c>
      <c r="P241">
        <v>2.06</v>
      </c>
      <c r="Q241" t="s">
        <v>29</v>
      </c>
      <c r="R241" s="2">
        <v>0.7</v>
      </c>
      <c r="S241">
        <v>1.44</v>
      </c>
      <c r="T241" t="s">
        <v>27</v>
      </c>
      <c r="U241" s="3">
        <v>1828</v>
      </c>
      <c r="V241" s="7" t="s">
        <v>2557</v>
      </c>
      <c r="W241" s="7" t="s">
        <v>2557</v>
      </c>
    </row>
    <row r="242" spans="1:23" x14ac:dyDescent="0.4">
      <c r="A242" t="s">
        <v>262</v>
      </c>
      <c r="B242" t="s">
        <v>1898</v>
      </c>
      <c r="C242" t="s">
        <v>1903</v>
      </c>
      <c r="D242" t="s">
        <v>21</v>
      </c>
      <c r="E242" t="s">
        <v>22</v>
      </c>
      <c r="F242" t="s">
        <v>23</v>
      </c>
      <c r="G242">
        <v>1</v>
      </c>
      <c r="H242">
        <v>9791191562224</v>
      </c>
      <c r="I242" t="s">
        <v>143</v>
      </c>
      <c r="J242" t="s">
        <v>221</v>
      </c>
      <c r="K242" t="s">
        <v>222</v>
      </c>
      <c r="L242" t="s">
        <v>27</v>
      </c>
      <c r="M242" s="3">
        <v>2500</v>
      </c>
      <c r="N242" t="s">
        <v>70</v>
      </c>
      <c r="O242">
        <v>2.57</v>
      </c>
      <c r="P242">
        <v>2.57</v>
      </c>
      <c r="Q242" t="s">
        <v>71</v>
      </c>
      <c r="R242" s="2">
        <v>0.7</v>
      </c>
      <c r="S242">
        <v>1.8</v>
      </c>
      <c r="T242" t="s">
        <v>27</v>
      </c>
      <c r="U242" s="3">
        <v>1781</v>
      </c>
      <c r="V242" s="7" t="s">
        <v>2557</v>
      </c>
      <c r="W242" s="7" t="s">
        <v>2557</v>
      </c>
    </row>
    <row r="243" spans="1:23" x14ac:dyDescent="0.4">
      <c r="A243" t="s">
        <v>262</v>
      </c>
      <c r="B243" t="s">
        <v>1898</v>
      </c>
      <c r="C243" t="s">
        <v>1923</v>
      </c>
      <c r="D243" t="s">
        <v>21</v>
      </c>
      <c r="E243" t="s">
        <v>22</v>
      </c>
      <c r="F243" t="s">
        <v>23</v>
      </c>
      <c r="G243">
        <v>1</v>
      </c>
      <c r="H243">
        <v>9791191562439</v>
      </c>
      <c r="I243" t="s">
        <v>143</v>
      </c>
      <c r="J243" t="s">
        <v>1661</v>
      </c>
      <c r="K243" t="s">
        <v>188</v>
      </c>
      <c r="L243" t="s">
        <v>27</v>
      </c>
      <c r="M243" s="3">
        <v>2500</v>
      </c>
      <c r="N243" t="s">
        <v>27</v>
      </c>
      <c r="O243" s="3">
        <v>2500</v>
      </c>
      <c r="P243" s="3">
        <v>2500</v>
      </c>
      <c r="Q243" t="s">
        <v>30</v>
      </c>
      <c r="R243" s="2">
        <v>0.7</v>
      </c>
      <c r="S243" s="3">
        <v>1750</v>
      </c>
      <c r="T243" t="s">
        <v>27</v>
      </c>
      <c r="U243" s="3">
        <v>1750</v>
      </c>
      <c r="V243" s="7" t="s">
        <v>2557</v>
      </c>
      <c r="W243" s="7" t="s">
        <v>2557</v>
      </c>
    </row>
    <row r="244" spans="1:23" x14ac:dyDescent="0.4">
      <c r="A244" t="s">
        <v>262</v>
      </c>
      <c r="B244" t="s">
        <v>1898</v>
      </c>
      <c r="C244" t="s">
        <v>1926</v>
      </c>
      <c r="D244" t="s">
        <v>21</v>
      </c>
      <c r="E244" t="s">
        <v>22</v>
      </c>
      <c r="F244" t="s">
        <v>23</v>
      </c>
      <c r="G244">
        <v>1</v>
      </c>
      <c r="H244">
        <v>9791191562248</v>
      </c>
      <c r="I244" t="s">
        <v>143</v>
      </c>
      <c r="J244" t="s">
        <v>231</v>
      </c>
      <c r="K244" t="s">
        <v>232</v>
      </c>
      <c r="L244" t="s">
        <v>27</v>
      </c>
      <c r="M244" s="3">
        <v>2000</v>
      </c>
      <c r="N244" t="s">
        <v>27</v>
      </c>
      <c r="O244" s="3">
        <v>2000</v>
      </c>
      <c r="P244" s="3">
        <v>2000</v>
      </c>
      <c r="Q244" t="s">
        <v>30</v>
      </c>
      <c r="R244" s="2">
        <v>0.7</v>
      </c>
      <c r="S244" s="3">
        <v>1400</v>
      </c>
      <c r="T244" t="s">
        <v>27</v>
      </c>
      <c r="U244" s="3">
        <v>1400</v>
      </c>
      <c r="V244" s="7" t="s">
        <v>2557</v>
      </c>
      <c r="W244" s="7" t="s">
        <v>2557</v>
      </c>
    </row>
    <row r="245" spans="1:23" x14ac:dyDescent="0.4">
      <c r="A245" t="s">
        <v>262</v>
      </c>
      <c r="B245" t="s">
        <v>1898</v>
      </c>
      <c r="C245" t="s">
        <v>1930</v>
      </c>
      <c r="D245" t="s">
        <v>21</v>
      </c>
      <c r="E245" t="s">
        <v>22</v>
      </c>
      <c r="F245" t="s">
        <v>23</v>
      </c>
      <c r="G245">
        <v>1</v>
      </c>
      <c r="H245">
        <v>9791191562408</v>
      </c>
      <c r="I245" t="s">
        <v>143</v>
      </c>
      <c r="J245" t="s">
        <v>698</v>
      </c>
      <c r="K245" t="s">
        <v>215</v>
      </c>
      <c r="L245" t="s">
        <v>27</v>
      </c>
      <c r="M245" s="3">
        <v>2000</v>
      </c>
      <c r="N245" t="s">
        <v>27</v>
      </c>
      <c r="O245" s="3">
        <v>2000</v>
      </c>
      <c r="P245" s="3">
        <v>2000</v>
      </c>
      <c r="Q245" t="s">
        <v>30</v>
      </c>
      <c r="R245" s="2">
        <v>0.7</v>
      </c>
      <c r="S245" s="3">
        <v>1400</v>
      </c>
      <c r="T245" t="s">
        <v>27</v>
      </c>
      <c r="U245" s="3">
        <v>1400</v>
      </c>
      <c r="V245" s="7" t="s">
        <v>2557</v>
      </c>
      <c r="W245" s="7" t="s">
        <v>2557</v>
      </c>
    </row>
    <row r="246" spans="1:23" x14ac:dyDescent="0.4">
      <c r="A246" t="s">
        <v>262</v>
      </c>
      <c r="B246" t="s">
        <v>1898</v>
      </c>
      <c r="C246" t="s">
        <v>1933</v>
      </c>
      <c r="D246" t="s">
        <v>21</v>
      </c>
      <c r="E246" t="s">
        <v>22</v>
      </c>
      <c r="F246" t="s">
        <v>216</v>
      </c>
      <c r="G246">
        <v>1</v>
      </c>
      <c r="H246">
        <v>9791191562361</v>
      </c>
      <c r="I246" t="s">
        <v>143</v>
      </c>
      <c r="J246" t="s">
        <v>916</v>
      </c>
      <c r="K246" t="s">
        <v>186</v>
      </c>
      <c r="L246" t="s">
        <v>27</v>
      </c>
      <c r="M246" s="3">
        <v>2000</v>
      </c>
      <c r="N246" t="s">
        <v>70</v>
      </c>
      <c r="O246">
        <v>2.06</v>
      </c>
      <c r="P246">
        <v>2.06</v>
      </c>
      <c r="Q246" t="s">
        <v>71</v>
      </c>
      <c r="R246" s="2">
        <v>0.7</v>
      </c>
      <c r="S246">
        <v>1.44</v>
      </c>
      <c r="T246" t="s">
        <v>27</v>
      </c>
      <c r="U246" s="3">
        <v>1416</v>
      </c>
      <c r="V246" s="7" t="s">
        <v>2557</v>
      </c>
      <c r="W246" s="7" t="s">
        <v>2557</v>
      </c>
    </row>
    <row r="247" spans="1:23" x14ac:dyDescent="0.4">
      <c r="A247" t="s">
        <v>262</v>
      </c>
      <c r="B247" t="s">
        <v>1898</v>
      </c>
      <c r="C247" t="s">
        <v>1935</v>
      </c>
      <c r="D247" t="s">
        <v>21</v>
      </c>
      <c r="E247" t="s">
        <v>22</v>
      </c>
      <c r="F247" t="s">
        <v>23</v>
      </c>
      <c r="G247">
        <v>1</v>
      </c>
      <c r="H247">
        <v>9791191562262</v>
      </c>
      <c r="I247" t="s">
        <v>143</v>
      </c>
      <c r="J247" t="s">
        <v>250</v>
      </c>
      <c r="K247" t="s">
        <v>251</v>
      </c>
      <c r="L247" t="s">
        <v>27</v>
      </c>
      <c r="M247" s="3">
        <v>2000</v>
      </c>
      <c r="N247" t="s">
        <v>28</v>
      </c>
      <c r="O247">
        <v>1.65</v>
      </c>
      <c r="P247">
        <v>1.65</v>
      </c>
      <c r="Q247" t="s">
        <v>29</v>
      </c>
      <c r="R247" s="2">
        <v>0.7</v>
      </c>
      <c r="S247">
        <v>1.1499999999999999</v>
      </c>
      <c r="T247" t="s">
        <v>27</v>
      </c>
      <c r="U247" s="3">
        <v>1454</v>
      </c>
      <c r="V247" s="7" t="s">
        <v>2557</v>
      </c>
      <c r="W247" s="7" t="s">
        <v>2557</v>
      </c>
    </row>
    <row r="248" spans="1:23" x14ac:dyDescent="0.4">
      <c r="A248" t="s">
        <v>262</v>
      </c>
      <c r="B248" t="s">
        <v>1953</v>
      </c>
      <c r="C248" t="s">
        <v>1954</v>
      </c>
      <c r="D248" t="s">
        <v>21</v>
      </c>
      <c r="E248" t="s">
        <v>22</v>
      </c>
      <c r="F248" t="s">
        <v>23</v>
      </c>
      <c r="G248">
        <v>1</v>
      </c>
      <c r="H248">
        <v>9791191562415</v>
      </c>
      <c r="I248" t="s">
        <v>143</v>
      </c>
      <c r="J248" t="s">
        <v>1077</v>
      </c>
      <c r="K248" t="s">
        <v>1078</v>
      </c>
      <c r="L248" t="s">
        <v>27</v>
      </c>
      <c r="M248" s="3">
        <v>2000</v>
      </c>
      <c r="N248" t="s">
        <v>27</v>
      </c>
      <c r="O248" s="3">
        <v>2000</v>
      </c>
      <c r="P248" s="3">
        <v>2000</v>
      </c>
      <c r="Q248" t="s">
        <v>30</v>
      </c>
      <c r="R248" s="2">
        <v>0.7</v>
      </c>
      <c r="S248" s="3">
        <v>1400</v>
      </c>
      <c r="T248" t="s">
        <v>27</v>
      </c>
      <c r="U248" s="3">
        <v>1400</v>
      </c>
      <c r="V248" s="7" t="s">
        <v>2557</v>
      </c>
      <c r="W248" s="7" t="s">
        <v>2557</v>
      </c>
    </row>
    <row r="249" spans="1:23" x14ac:dyDescent="0.4">
      <c r="A249" t="s">
        <v>262</v>
      </c>
      <c r="B249" t="s">
        <v>1953</v>
      </c>
      <c r="C249" t="s">
        <v>1960</v>
      </c>
      <c r="D249" t="s">
        <v>21</v>
      </c>
      <c r="E249" t="s">
        <v>22</v>
      </c>
      <c r="F249" t="s">
        <v>23</v>
      </c>
      <c r="G249">
        <v>1</v>
      </c>
      <c r="H249">
        <v>9791191562453</v>
      </c>
      <c r="I249" t="s">
        <v>143</v>
      </c>
      <c r="J249" t="s">
        <v>1900</v>
      </c>
      <c r="K249" t="s">
        <v>1901</v>
      </c>
      <c r="L249" t="s">
        <v>27</v>
      </c>
      <c r="M249" s="3">
        <v>2500</v>
      </c>
      <c r="N249" t="s">
        <v>27</v>
      </c>
      <c r="O249" s="3">
        <v>2500</v>
      </c>
      <c r="P249" s="3">
        <v>2500</v>
      </c>
      <c r="Q249" t="s">
        <v>30</v>
      </c>
      <c r="R249" s="2">
        <v>0.7</v>
      </c>
      <c r="S249" s="3">
        <v>1750</v>
      </c>
      <c r="T249" t="s">
        <v>27</v>
      </c>
      <c r="U249" s="3">
        <v>1750</v>
      </c>
      <c r="V249" s="7" t="s">
        <v>2557</v>
      </c>
      <c r="W249" s="7" t="s">
        <v>2557</v>
      </c>
    </row>
    <row r="250" spans="1:23" x14ac:dyDescent="0.4">
      <c r="A250" t="s">
        <v>262</v>
      </c>
      <c r="B250" t="s">
        <v>1953</v>
      </c>
      <c r="C250" t="s">
        <v>1982</v>
      </c>
      <c r="D250" t="s">
        <v>21</v>
      </c>
      <c r="E250" t="s">
        <v>22</v>
      </c>
      <c r="F250" t="s">
        <v>23</v>
      </c>
      <c r="G250">
        <v>1</v>
      </c>
      <c r="H250">
        <v>9791191562248</v>
      </c>
      <c r="I250" t="s">
        <v>143</v>
      </c>
      <c r="J250" t="s">
        <v>231</v>
      </c>
      <c r="K250" t="s">
        <v>232</v>
      </c>
      <c r="L250" t="s">
        <v>27</v>
      </c>
      <c r="M250" s="3">
        <v>2000</v>
      </c>
      <c r="N250" t="s">
        <v>27</v>
      </c>
      <c r="O250" s="3">
        <v>2000</v>
      </c>
      <c r="P250" s="3">
        <v>2000</v>
      </c>
      <c r="Q250" t="s">
        <v>30</v>
      </c>
      <c r="R250" s="2">
        <v>0.7</v>
      </c>
      <c r="S250" s="3">
        <v>1400</v>
      </c>
      <c r="T250" t="s">
        <v>27</v>
      </c>
      <c r="U250" s="3">
        <v>1400</v>
      </c>
      <c r="V250" s="7" t="s">
        <v>2557</v>
      </c>
      <c r="W250" s="7" t="s">
        <v>2557</v>
      </c>
    </row>
    <row r="251" spans="1:23" x14ac:dyDescent="0.4">
      <c r="A251" t="s">
        <v>262</v>
      </c>
      <c r="B251" t="s">
        <v>1953</v>
      </c>
      <c r="C251" t="s">
        <v>1985</v>
      </c>
      <c r="D251" t="s">
        <v>21</v>
      </c>
      <c r="E251" t="s">
        <v>22</v>
      </c>
      <c r="F251" t="s">
        <v>23</v>
      </c>
      <c r="G251">
        <v>1</v>
      </c>
      <c r="H251">
        <v>9791191562255</v>
      </c>
      <c r="I251" t="s">
        <v>143</v>
      </c>
      <c r="J251" t="s">
        <v>234</v>
      </c>
      <c r="K251" t="s">
        <v>235</v>
      </c>
      <c r="L251" t="s">
        <v>27</v>
      </c>
      <c r="M251" s="3">
        <v>2000</v>
      </c>
      <c r="N251" t="s">
        <v>27</v>
      </c>
      <c r="O251" s="3">
        <v>2000</v>
      </c>
      <c r="P251" s="3">
        <v>2000</v>
      </c>
      <c r="Q251" t="s">
        <v>30</v>
      </c>
      <c r="R251" s="2">
        <v>0.7</v>
      </c>
      <c r="S251" s="3">
        <v>1400</v>
      </c>
      <c r="T251" t="s">
        <v>27</v>
      </c>
      <c r="U251" s="3">
        <v>1400</v>
      </c>
      <c r="V251" s="7" t="s">
        <v>2557</v>
      </c>
      <c r="W251" s="7" t="s">
        <v>2557</v>
      </c>
    </row>
    <row r="252" spans="1:23" x14ac:dyDescent="0.4">
      <c r="A252" t="s">
        <v>262</v>
      </c>
      <c r="B252" t="s">
        <v>1953</v>
      </c>
      <c r="C252" t="s">
        <v>2001</v>
      </c>
      <c r="D252" t="s">
        <v>21</v>
      </c>
      <c r="E252" t="s">
        <v>22</v>
      </c>
      <c r="F252" t="s">
        <v>23</v>
      </c>
      <c r="G252">
        <v>1</v>
      </c>
      <c r="H252">
        <v>9791191562439</v>
      </c>
      <c r="I252" t="s">
        <v>143</v>
      </c>
      <c r="J252" t="s">
        <v>1661</v>
      </c>
      <c r="K252" t="s">
        <v>188</v>
      </c>
      <c r="L252" t="s">
        <v>27</v>
      </c>
      <c r="M252" s="3">
        <v>2500</v>
      </c>
      <c r="N252" t="s">
        <v>27</v>
      </c>
      <c r="O252" s="3">
        <v>2500</v>
      </c>
      <c r="P252" s="3">
        <v>2500</v>
      </c>
      <c r="Q252" t="s">
        <v>30</v>
      </c>
      <c r="R252" s="2">
        <v>0.7</v>
      </c>
      <c r="S252" s="3">
        <v>1750</v>
      </c>
      <c r="T252" t="s">
        <v>27</v>
      </c>
      <c r="U252" s="3">
        <v>1750</v>
      </c>
      <c r="V252" s="7" t="s">
        <v>2557</v>
      </c>
      <c r="W252" s="7" t="s">
        <v>2557</v>
      </c>
    </row>
    <row r="253" spans="1:23" x14ac:dyDescent="0.4">
      <c r="A253" t="s">
        <v>262</v>
      </c>
      <c r="B253" t="s">
        <v>1953</v>
      </c>
      <c r="C253" t="s">
        <v>2011</v>
      </c>
      <c r="D253" t="s">
        <v>21</v>
      </c>
      <c r="E253" t="s">
        <v>22</v>
      </c>
      <c r="F253" t="s">
        <v>23</v>
      </c>
      <c r="G253">
        <v>1</v>
      </c>
      <c r="H253">
        <v>9791191562262</v>
      </c>
      <c r="I253" t="s">
        <v>143</v>
      </c>
      <c r="J253" t="s">
        <v>250</v>
      </c>
      <c r="K253" t="s">
        <v>251</v>
      </c>
      <c r="L253" t="s">
        <v>27</v>
      </c>
      <c r="M253" s="3">
        <v>2000</v>
      </c>
      <c r="N253" t="s">
        <v>27</v>
      </c>
      <c r="O253" s="3">
        <v>2000</v>
      </c>
      <c r="P253" s="3">
        <v>2000</v>
      </c>
      <c r="Q253" t="s">
        <v>30</v>
      </c>
      <c r="R253" s="2">
        <v>0.7</v>
      </c>
      <c r="S253" s="3">
        <v>1400</v>
      </c>
      <c r="T253" t="s">
        <v>27</v>
      </c>
      <c r="U253" s="3">
        <v>1400</v>
      </c>
      <c r="V253" s="7" t="s">
        <v>2557</v>
      </c>
      <c r="W253" s="7" t="s">
        <v>2557</v>
      </c>
    </row>
    <row r="254" spans="1:23" x14ac:dyDescent="0.4">
      <c r="A254" t="s">
        <v>262</v>
      </c>
      <c r="B254" t="s">
        <v>1953</v>
      </c>
      <c r="C254" t="s">
        <v>2012</v>
      </c>
      <c r="D254" t="s">
        <v>21</v>
      </c>
      <c r="E254" t="s">
        <v>22</v>
      </c>
      <c r="F254" t="s">
        <v>23</v>
      </c>
      <c r="G254">
        <v>1</v>
      </c>
      <c r="H254">
        <v>9791191562262</v>
      </c>
      <c r="I254" t="s">
        <v>143</v>
      </c>
      <c r="J254" t="s">
        <v>250</v>
      </c>
      <c r="K254" t="s">
        <v>251</v>
      </c>
      <c r="L254" t="s">
        <v>27</v>
      </c>
      <c r="M254" s="3">
        <v>2000</v>
      </c>
      <c r="N254" t="s">
        <v>27</v>
      </c>
      <c r="O254" s="3">
        <v>2000</v>
      </c>
      <c r="P254" s="3">
        <v>2000</v>
      </c>
      <c r="Q254" t="s">
        <v>30</v>
      </c>
      <c r="R254" s="2">
        <v>0.7</v>
      </c>
      <c r="S254" s="3">
        <v>1400</v>
      </c>
      <c r="T254" t="s">
        <v>27</v>
      </c>
      <c r="U254" s="3">
        <v>1400</v>
      </c>
      <c r="V254" s="7" t="s">
        <v>2557</v>
      </c>
      <c r="W254" s="7" t="s">
        <v>2557</v>
      </c>
    </row>
    <row r="255" spans="1:23" x14ac:dyDescent="0.4">
      <c r="A255" t="s">
        <v>262</v>
      </c>
      <c r="B255" t="s">
        <v>2017</v>
      </c>
      <c r="C255" t="s">
        <v>2019</v>
      </c>
      <c r="D255" t="s">
        <v>21</v>
      </c>
      <c r="E255" t="s">
        <v>22</v>
      </c>
      <c r="F255" t="s">
        <v>23</v>
      </c>
      <c r="G255">
        <v>1</v>
      </c>
      <c r="H255">
        <v>9791191562385</v>
      </c>
      <c r="I255" t="s">
        <v>143</v>
      </c>
      <c r="J255" t="s">
        <v>936</v>
      </c>
      <c r="K255" t="s">
        <v>937</v>
      </c>
      <c r="L255" t="s">
        <v>27</v>
      </c>
      <c r="M255" s="3">
        <v>2000</v>
      </c>
      <c r="N255" t="s">
        <v>27</v>
      </c>
      <c r="O255" s="3">
        <v>2000</v>
      </c>
      <c r="P255" s="3">
        <v>2000</v>
      </c>
      <c r="Q255" t="s">
        <v>30</v>
      </c>
      <c r="R255" s="2">
        <v>0.7</v>
      </c>
      <c r="S255" s="3">
        <v>1400</v>
      </c>
      <c r="T255" t="s">
        <v>27</v>
      </c>
      <c r="U255" s="3">
        <v>1400</v>
      </c>
      <c r="V255" s="7" t="s">
        <v>2557</v>
      </c>
      <c r="W255" s="7" t="s">
        <v>2557</v>
      </c>
    </row>
    <row r="256" spans="1:23" x14ac:dyDescent="0.4">
      <c r="A256" t="s">
        <v>262</v>
      </c>
      <c r="B256" t="s">
        <v>2017</v>
      </c>
      <c r="C256" t="s">
        <v>2022</v>
      </c>
      <c r="D256" t="s">
        <v>21</v>
      </c>
      <c r="E256" t="s">
        <v>22</v>
      </c>
      <c r="F256" t="s">
        <v>23</v>
      </c>
      <c r="G256">
        <v>1</v>
      </c>
      <c r="H256">
        <v>9791191562002</v>
      </c>
      <c r="I256" t="s">
        <v>143</v>
      </c>
      <c r="J256" t="s">
        <v>193</v>
      </c>
      <c r="K256" t="s">
        <v>192</v>
      </c>
      <c r="L256" t="s">
        <v>27</v>
      </c>
      <c r="M256" s="3">
        <v>2500</v>
      </c>
      <c r="N256" t="s">
        <v>27</v>
      </c>
      <c r="O256" s="3">
        <v>2500</v>
      </c>
      <c r="P256" s="3">
        <v>2500</v>
      </c>
      <c r="Q256" t="s">
        <v>30</v>
      </c>
      <c r="R256" s="2">
        <v>0.7</v>
      </c>
      <c r="S256" s="3">
        <v>1750</v>
      </c>
      <c r="T256" t="s">
        <v>27</v>
      </c>
      <c r="U256" s="3">
        <v>1750</v>
      </c>
      <c r="V256" s="7" t="s">
        <v>2557</v>
      </c>
      <c r="W256" s="7" t="s">
        <v>2557</v>
      </c>
    </row>
    <row r="257" spans="1:23" x14ac:dyDescent="0.4">
      <c r="A257" t="s">
        <v>262</v>
      </c>
      <c r="B257" t="s">
        <v>2017</v>
      </c>
      <c r="C257" t="s">
        <v>2029</v>
      </c>
      <c r="D257" t="s">
        <v>21</v>
      </c>
      <c r="E257" t="s">
        <v>22</v>
      </c>
      <c r="F257" t="s">
        <v>23</v>
      </c>
      <c r="G257">
        <v>1</v>
      </c>
      <c r="H257">
        <v>9791191562439</v>
      </c>
      <c r="I257" t="s">
        <v>143</v>
      </c>
      <c r="J257" t="s">
        <v>1661</v>
      </c>
      <c r="K257" t="s">
        <v>188</v>
      </c>
      <c r="L257" t="s">
        <v>27</v>
      </c>
      <c r="M257" s="3">
        <v>2500</v>
      </c>
      <c r="N257" t="s">
        <v>27</v>
      </c>
      <c r="O257" s="3">
        <v>2500</v>
      </c>
      <c r="P257" s="3">
        <v>2500</v>
      </c>
      <c r="Q257" t="s">
        <v>30</v>
      </c>
      <c r="R257" s="2">
        <v>0.7</v>
      </c>
      <c r="S257" s="3">
        <v>1750</v>
      </c>
      <c r="T257" t="s">
        <v>27</v>
      </c>
      <c r="U257" s="3">
        <v>1750</v>
      </c>
      <c r="V257" s="7" t="s">
        <v>2557</v>
      </c>
      <c r="W257" s="7" t="s">
        <v>2557</v>
      </c>
    </row>
    <row r="258" spans="1:23" x14ac:dyDescent="0.4">
      <c r="A258" t="s">
        <v>262</v>
      </c>
      <c r="B258" t="s">
        <v>2017</v>
      </c>
      <c r="C258" t="s">
        <v>2030</v>
      </c>
      <c r="D258" t="s">
        <v>21</v>
      </c>
      <c r="E258" t="s">
        <v>22</v>
      </c>
      <c r="F258" t="s">
        <v>23</v>
      </c>
      <c r="G258">
        <v>1</v>
      </c>
      <c r="H258">
        <v>9791191562286</v>
      </c>
      <c r="I258" t="s">
        <v>143</v>
      </c>
      <c r="J258" t="s">
        <v>238</v>
      </c>
      <c r="K258" t="s">
        <v>239</v>
      </c>
      <c r="L258" t="s">
        <v>27</v>
      </c>
      <c r="M258" s="3">
        <v>2000</v>
      </c>
      <c r="N258" t="s">
        <v>243</v>
      </c>
      <c r="O258">
        <v>1.26</v>
      </c>
      <c r="P258">
        <v>1.26</v>
      </c>
      <c r="Q258" t="s">
        <v>244</v>
      </c>
      <c r="R258" s="2">
        <v>0.7</v>
      </c>
      <c r="S258">
        <v>0.88</v>
      </c>
      <c r="T258" t="s">
        <v>27</v>
      </c>
      <c r="U258" s="3">
        <v>1391</v>
      </c>
      <c r="V258" s="7" t="s">
        <v>2557</v>
      </c>
      <c r="W258" s="7" t="s">
        <v>2557</v>
      </c>
    </row>
    <row r="259" spans="1:23" x14ac:dyDescent="0.4">
      <c r="A259" t="s">
        <v>262</v>
      </c>
      <c r="B259" t="s">
        <v>2017</v>
      </c>
      <c r="C259" t="s">
        <v>2037</v>
      </c>
      <c r="D259" t="s">
        <v>21</v>
      </c>
      <c r="E259" t="s">
        <v>22</v>
      </c>
      <c r="F259" t="s">
        <v>23</v>
      </c>
      <c r="G259">
        <v>1</v>
      </c>
      <c r="H259">
        <v>9791191562439</v>
      </c>
      <c r="I259" t="s">
        <v>143</v>
      </c>
      <c r="J259" t="s">
        <v>1661</v>
      </c>
      <c r="K259" t="s">
        <v>188</v>
      </c>
      <c r="L259" t="s">
        <v>27</v>
      </c>
      <c r="M259" s="3">
        <v>2500</v>
      </c>
      <c r="N259" t="s">
        <v>27</v>
      </c>
      <c r="O259" s="3">
        <v>2500</v>
      </c>
      <c r="P259" s="3">
        <v>2500</v>
      </c>
      <c r="Q259" t="s">
        <v>30</v>
      </c>
      <c r="R259" s="2">
        <v>0.7</v>
      </c>
      <c r="S259" s="3">
        <v>1750</v>
      </c>
      <c r="T259" t="s">
        <v>27</v>
      </c>
      <c r="U259" s="3">
        <v>1750</v>
      </c>
      <c r="V259" s="7" t="s">
        <v>2557</v>
      </c>
      <c r="W259" s="7" t="s">
        <v>2557</v>
      </c>
    </row>
    <row r="260" spans="1:23" x14ac:dyDescent="0.4">
      <c r="A260" t="s">
        <v>262</v>
      </c>
      <c r="B260" t="s">
        <v>2017</v>
      </c>
      <c r="C260" t="s">
        <v>2039</v>
      </c>
      <c r="D260" t="s">
        <v>21</v>
      </c>
      <c r="E260" t="s">
        <v>22</v>
      </c>
      <c r="F260" t="s">
        <v>23</v>
      </c>
      <c r="G260">
        <v>1</v>
      </c>
      <c r="H260">
        <v>9791191562200</v>
      </c>
      <c r="I260" t="s">
        <v>143</v>
      </c>
      <c r="J260" t="s">
        <v>2040</v>
      </c>
      <c r="K260" t="s">
        <v>2041</v>
      </c>
      <c r="L260" t="s">
        <v>27</v>
      </c>
      <c r="M260" s="3">
        <v>2000</v>
      </c>
      <c r="N260" t="s">
        <v>27</v>
      </c>
      <c r="O260" s="3">
        <v>2000</v>
      </c>
      <c r="P260" s="3">
        <v>2000</v>
      </c>
      <c r="Q260" t="s">
        <v>30</v>
      </c>
      <c r="R260" s="2">
        <v>0.7</v>
      </c>
      <c r="S260" s="3">
        <v>1400</v>
      </c>
      <c r="T260" t="s">
        <v>27</v>
      </c>
      <c r="U260" s="3">
        <v>1400</v>
      </c>
      <c r="V260" s="7" t="s">
        <v>2557</v>
      </c>
      <c r="W260" s="7" t="s">
        <v>2557</v>
      </c>
    </row>
    <row r="261" spans="1:23" x14ac:dyDescent="0.4">
      <c r="A261" t="s">
        <v>262</v>
      </c>
      <c r="B261" t="s">
        <v>2017</v>
      </c>
      <c r="C261" t="s">
        <v>2042</v>
      </c>
      <c r="D261" t="s">
        <v>21</v>
      </c>
      <c r="E261" t="s">
        <v>22</v>
      </c>
      <c r="F261" t="s">
        <v>23</v>
      </c>
      <c r="G261">
        <v>1</v>
      </c>
      <c r="H261">
        <v>9791191562415</v>
      </c>
      <c r="I261" t="s">
        <v>143</v>
      </c>
      <c r="J261" t="s">
        <v>1077</v>
      </c>
      <c r="K261" t="s">
        <v>1078</v>
      </c>
      <c r="L261" t="s">
        <v>27</v>
      </c>
      <c r="M261" s="3">
        <v>2000</v>
      </c>
      <c r="N261" t="s">
        <v>27</v>
      </c>
      <c r="O261" s="3">
        <v>2000</v>
      </c>
      <c r="P261" s="3">
        <v>2000</v>
      </c>
      <c r="Q261" t="s">
        <v>30</v>
      </c>
      <c r="R261" s="2">
        <v>0.7</v>
      </c>
      <c r="S261" s="3">
        <v>1400</v>
      </c>
      <c r="T261" t="s">
        <v>27</v>
      </c>
      <c r="U261" s="3">
        <v>1400</v>
      </c>
      <c r="V261" s="7" t="s">
        <v>2557</v>
      </c>
      <c r="W261" s="7" t="s">
        <v>2557</v>
      </c>
    </row>
    <row r="262" spans="1:23" x14ac:dyDescent="0.4">
      <c r="A262" t="s">
        <v>262</v>
      </c>
      <c r="B262" t="s">
        <v>2017</v>
      </c>
      <c r="C262" t="s">
        <v>2045</v>
      </c>
      <c r="D262" t="s">
        <v>21</v>
      </c>
      <c r="E262" t="s">
        <v>22</v>
      </c>
      <c r="F262" t="s">
        <v>23</v>
      </c>
      <c r="G262">
        <v>1</v>
      </c>
      <c r="H262">
        <v>9791191562262</v>
      </c>
      <c r="I262" t="s">
        <v>143</v>
      </c>
      <c r="J262" t="s">
        <v>250</v>
      </c>
      <c r="K262" t="s">
        <v>251</v>
      </c>
      <c r="L262" t="s">
        <v>27</v>
      </c>
      <c r="M262" s="3">
        <v>2000</v>
      </c>
      <c r="N262" t="s">
        <v>27</v>
      </c>
      <c r="O262" s="3">
        <v>2000</v>
      </c>
      <c r="P262" s="3">
        <v>2000</v>
      </c>
      <c r="Q262" t="s">
        <v>30</v>
      </c>
      <c r="R262" s="2">
        <v>0.7</v>
      </c>
      <c r="S262" s="3">
        <v>1400</v>
      </c>
      <c r="T262" t="s">
        <v>27</v>
      </c>
      <c r="U262" s="3">
        <v>1400</v>
      </c>
      <c r="V262" s="7" t="s">
        <v>2557</v>
      </c>
      <c r="W262" s="7" t="s">
        <v>2557</v>
      </c>
    </row>
    <row r="263" spans="1:23" x14ac:dyDescent="0.4">
      <c r="A263" t="s">
        <v>262</v>
      </c>
      <c r="B263" t="s">
        <v>2017</v>
      </c>
      <c r="C263" t="s">
        <v>2048</v>
      </c>
      <c r="D263" t="s">
        <v>21</v>
      </c>
      <c r="E263" t="s">
        <v>22</v>
      </c>
      <c r="F263" t="s">
        <v>23</v>
      </c>
      <c r="G263">
        <v>1</v>
      </c>
      <c r="H263">
        <v>9791191562248</v>
      </c>
      <c r="I263" t="s">
        <v>143</v>
      </c>
      <c r="J263" t="s">
        <v>231</v>
      </c>
      <c r="K263" t="s">
        <v>232</v>
      </c>
      <c r="L263" t="s">
        <v>27</v>
      </c>
      <c r="M263" s="3">
        <v>2000</v>
      </c>
      <c r="N263" t="s">
        <v>27</v>
      </c>
      <c r="O263" s="3">
        <v>2000</v>
      </c>
      <c r="P263" s="3">
        <v>2000</v>
      </c>
      <c r="Q263" t="s">
        <v>30</v>
      </c>
      <c r="R263" s="2">
        <v>0.7</v>
      </c>
      <c r="S263" s="3">
        <v>1400</v>
      </c>
      <c r="T263" t="s">
        <v>27</v>
      </c>
      <c r="U263" s="3">
        <v>1400</v>
      </c>
      <c r="V263" s="7" t="s">
        <v>2557</v>
      </c>
      <c r="W263" s="7" t="s">
        <v>2557</v>
      </c>
    </row>
    <row r="264" spans="1:23" x14ac:dyDescent="0.4">
      <c r="A264" t="s">
        <v>262</v>
      </c>
      <c r="B264" t="s">
        <v>2017</v>
      </c>
      <c r="C264" t="s">
        <v>2051</v>
      </c>
      <c r="D264" t="s">
        <v>21</v>
      </c>
      <c r="E264" t="s">
        <v>22</v>
      </c>
      <c r="F264" t="s">
        <v>23</v>
      </c>
      <c r="G264">
        <v>1</v>
      </c>
      <c r="H264">
        <v>9791191562286</v>
      </c>
      <c r="I264" t="s">
        <v>143</v>
      </c>
      <c r="J264" t="s">
        <v>238</v>
      </c>
      <c r="K264" t="s">
        <v>239</v>
      </c>
      <c r="L264" t="s">
        <v>27</v>
      </c>
      <c r="M264" s="3">
        <v>2000</v>
      </c>
      <c r="N264" t="s">
        <v>176</v>
      </c>
      <c r="O264">
        <v>222</v>
      </c>
      <c r="P264">
        <v>202</v>
      </c>
      <c r="Q264" t="s">
        <v>177</v>
      </c>
      <c r="R264" s="2">
        <v>0.7</v>
      </c>
      <c r="S264">
        <v>141</v>
      </c>
      <c r="T264" t="s">
        <v>27</v>
      </c>
      <c r="U264" s="3">
        <v>1400</v>
      </c>
      <c r="V264" s="7" t="s">
        <v>2557</v>
      </c>
      <c r="W264" s="7" t="s">
        <v>2557</v>
      </c>
    </row>
    <row r="265" spans="1:23" x14ac:dyDescent="0.4">
      <c r="A265" t="s">
        <v>262</v>
      </c>
      <c r="B265" t="s">
        <v>2017</v>
      </c>
      <c r="C265" t="s">
        <v>2065</v>
      </c>
      <c r="D265" t="s">
        <v>21</v>
      </c>
      <c r="E265" t="s">
        <v>22</v>
      </c>
      <c r="F265" t="s">
        <v>23</v>
      </c>
      <c r="G265">
        <v>1</v>
      </c>
      <c r="H265">
        <v>9791191562439</v>
      </c>
      <c r="I265" t="s">
        <v>143</v>
      </c>
      <c r="J265" t="s">
        <v>1661</v>
      </c>
      <c r="K265" t="s">
        <v>188</v>
      </c>
      <c r="L265" t="s">
        <v>27</v>
      </c>
      <c r="M265" s="3">
        <v>2500</v>
      </c>
      <c r="N265" t="s">
        <v>28</v>
      </c>
      <c r="O265">
        <v>2.06</v>
      </c>
      <c r="P265">
        <v>2.06</v>
      </c>
      <c r="Q265" t="s">
        <v>29</v>
      </c>
      <c r="R265" s="2">
        <v>0.7</v>
      </c>
      <c r="S265">
        <v>1.44</v>
      </c>
      <c r="T265" t="s">
        <v>27</v>
      </c>
      <c r="U265" s="3">
        <v>1821</v>
      </c>
      <c r="V265" s="7" t="s">
        <v>2557</v>
      </c>
      <c r="W265" s="7" t="s">
        <v>2557</v>
      </c>
    </row>
    <row r="266" spans="1:23" x14ac:dyDescent="0.4">
      <c r="A266" t="s">
        <v>262</v>
      </c>
      <c r="B266" t="s">
        <v>2075</v>
      </c>
      <c r="C266" t="s">
        <v>2077</v>
      </c>
      <c r="D266" t="s">
        <v>21</v>
      </c>
      <c r="E266" t="s">
        <v>22</v>
      </c>
      <c r="F266" t="s">
        <v>23</v>
      </c>
      <c r="G266">
        <v>1</v>
      </c>
      <c r="H266">
        <v>9791191562033</v>
      </c>
      <c r="I266" t="s">
        <v>143</v>
      </c>
      <c r="J266" t="s">
        <v>189</v>
      </c>
      <c r="K266" t="s">
        <v>187</v>
      </c>
      <c r="L266" t="s">
        <v>27</v>
      </c>
      <c r="M266" s="3">
        <v>2000</v>
      </c>
      <c r="N266" t="s">
        <v>27</v>
      </c>
      <c r="O266" s="3">
        <v>2000</v>
      </c>
      <c r="P266" s="3">
        <v>2000</v>
      </c>
      <c r="Q266" t="s">
        <v>30</v>
      </c>
      <c r="R266" s="2">
        <v>0.7</v>
      </c>
      <c r="S266" s="3">
        <v>1400</v>
      </c>
      <c r="T266" t="s">
        <v>27</v>
      </c>
      <c r="U266" s="3">
        <v>1400</v>
      </c>
      <c r="V266" s="7" t="s">
        <v>2557</v>
      </c>
      <c r="W266" s="7" t="s">
        <v>2557</v>
      </c>
    </row>
    <row r="267" spans="1:23" x14ac:dyDescent="0.4">
      <c r="A267" t="s">
        <v>262</v>
      </c>
      <c r="B267" t="s">
        <v>2075</v>
      </c>
      <c r="C267" t="s">
        <v>2087</v>
      </c>
      <c r="D267" t="s">
        <v>21</v>
      </c>
      <c r="E267" t="s">
        <v>22</v>
      </c>
      <c r="F267" t="s">
        <v>23</v>
      </c>
      <c r="G267">
        <v>1</v>
      </c>
      <c r="H267">
        <v>9791191562453</v>
      </c>
      <c r="I267" t="s">
        <v>143</v>
      </c>
      <c r="J267" t="s">
        <v>1900</v>
      </c>
      <c r="K267" t="s">
        <v>1901</v>
      </c>
      <c r="L267" t="s">
        <v>27</v>
      </c>
      <c r="M267" s="3">
        <v>2500</v>
      </c>
      <c r="N267" t="s">
        <v>27</v>
      </c>
      <c r="O267" s="3">
        <v>2500</v>
      </c>
      <c r="P267" s="3">
        <v>2500</v>
      </c>
      <c r="Q267" t="s">
        <v>30</v>
      </c>
      <c r="R267" s="2">
        <v>0.7</v>
      </c>
      <c r="S267" s="3">
        <v>1750</v>
      </c>
      <c r="T267" t="s">
        <v>27</v>
      </c>
      <c r="U267" s="3">
        <v>1750</v>
      </c>
      <c r="V267" s="7" t="s">
        <v>2557</v>
      </c>
      <c r="W267" s="7" t="s">
        <v>2557</v>
      </c>
    </row>
    <row r="268" spans="1:23" x14ac:dyDescent="0.4">
      <c r="A268" t="s">
        <v>262</v>
      </c>
      <c r="B268" t="s">
        <v>2075</v>
      </c>
      <c r="C268" t="s">
        <v>2102</v>
      </c>
      <c r="D268" t="s">
        <v>21</v>
      </c>
      <c r="E268" t="s">
        <v>22</v>
      </c>
      <c r="F268" t="s">
        <v>23</v>
      </c>
      <c r="G268">
        <v>1</v>
      </c>
      <c r="H268">
        <v>9791191562286</v>
      </c>
      <c r="I268" t="s">
        <v>143</v>
      </c>
      <c r="J268" t="s">
        <v>238</v>
      </c>
      <c r="K268" t="s">
        <v>239</v>
      </c>
      <c r="L268" t="s">
        <v>27</v>
      </c>
      <c r="M268" s="3">
        <v>2000</v>
      </c>
      <c r="N268" t="s">
        <v>27</v>
      </c>
      <c r="O268" s="3">
        <v>2000</v>
      </c>
      <c r="P268" s="3">
        <v>2000</v>
      </c>
      <c r="Q268" t="s">
        <v>30</v>
      </c>
      <c r="R268" s="2">
        <v>0.7</v>
      </c>
      <c r="S268" s="3">
        <v>1400</v>
      </c>
      <c r="T268" t="s">
        <v>27</v>
      </c>
      <c r="U268" s="3">
        <v>1400</v>
      </c>
      <c r="V268" s="7" t="s">
        <v>2557</v>
      </c>
      <c r="W268" s="7" t="s">
        <v>2557</v>
      </c>
    </row>
    <row r="269" spans="1:23" x14ac:dyDescent="0.4">
      <c r="A269" t="s">
        <v>262</v>
      </c>
      <c r="B269" t="s">
        <v>2075</v>
      </c>
      <c r="C269" t="s">
        <v>2103</v>
      </c>
      <c r="D269" t="s">
        <v>21</v>
      </c>
      <c r="E269" t="s">
        <v>22</v>
      </c>
      <c r="F269" t="s">
        <v>23</v>
      </c>
      <c r="G269">
        <v>1</v>
      </c>
      <c r="H269">
        <v>9791191562286</v>
      </c>
      <c r="I269" t="s">
        <v>143</v>
      </c>
      <c r="J269" t="s">
        <v>238</v>
      </c>
      <c r="K269" t="s">
        <v>239</v>
      </c>
      <c r="L269" t="s">
        <v>27</v>
      </c>
      <c r="M269" s="3">
        <v>2000</v>
      </c>
      <c r="N269" t="s">
        <v>27</v>
      </c>
      <c r="O269" s="3">
        <v>2000</v>
      </c>
      <c r="P269" s="3">
        <v>2000</v>
      </c>
      <c r="Q269" t="s">
        <v>30</v>
      </c>
      <c r="R269" s="2">
        <v>0.7</v>
      </c>
      <c r="S269" s="3">
        <v>1400</v>
      </c>
      <c r="T269" t="s">
        <v>27</v>
      </c>
      <c r="U269" s="3">
        <v>1400</v>
      </c>
      <c r="V269" s="7" t="s">
        <v>2557</v>
      </c>
      <c r="W269" s="7" t="s">
        <v>2557</v>
      </c>
    </row>
    <row r="270" spans="1:23" x14ac:dyDescent="0.4">
      <c r="A270" t="s">
        <v>262</v>
      </c>
      <c r="B270" t="s">
        <v>2075</v>
      </c>
      <c r="C270" t="s">
        <v>2105</v>
      </c>
      <c r="D270" t="s">
        <v>21</v>
      </c>
      <c r="E270" t="s">
        <v>22</v>
      </c>
      <c r="F270" t="s">
        <v>23</v>
      </c>
      <c r="G270">
        <v>1</v>
      </c>
      <c r="H270">
        <v>9791191562248</v>
      </c>
      <c r="I270" t="s">
        <v>143</v>
      </c>
      <c r="J270" t="s">
        <v>231</v>
      </c>
      <c r="K270" t="s">
        <v>232</v>
      </c>
      <c r="L270" t="s">
        <v>27</v>
      </c>
      <c r="M270" s="3">
        <v>2000</v>
      </c>
      <c r="N270" t="s">
        <v>176</v>
      </c>
      <c r="O270">
        <v>222</v>
      </c>
      <c r="P270">
        <v>202</v>
      </c>
      <c r="Q270" t="s">
        <v>177</v>
      </c>
      <c r="R270" s="2">
        <v>0.7</v>
      </c>
      <c r="S270">
        <v>141</v>
      </c>
      <c r="T270" t="s">
        <v>27</v>
      </c>
      <c r="U270" s="3">
        <v>1407</v>
      </c>
      <c r="V270" s="7" t="s">
        <v>2557</v>
      </c>
      <c r="W270" s="7" t="s">
        <v>2557</v>
      </c>
    </row>
    <row r="271" spans="1:23" x14ac:dyDescent="0.4">
      <c r="A271" t="s">
        <v>262</v>
      </c>
      <c r="B271" t="s">
        <v>2075</v>
      </c>
      <c r="C271" t="s">
        <v>2117</v>
      </c>
      <c r="D271" t="s">
        <v>21</v>
      </c>
      <c r="E271" t="s">
        <v>22</v>
      </c>
      <c r="F271" t="s">
        <v>23</v>
      </c>
      <c r="G271">
        <v>1</v>
      </c>
      <c r="H271">
        <v>9791191562415</v>
      </c>
      <c r="I271" t="s">
        <v>143</v>
      </c>
      <c r="J271" t="s">
        <v>1077</v>
      </c>
      <c r="K271" t="s">
        <v>1078</v>
      </c>
      <c r="L271" t="s">
        <v>27</v>
      </c>
      <c r="M271" s="3">
        <v>2000</v>
      </c>
      <c r="N271" t="s">
        <v>27</v>
      </c>
      <c r="O271" s="3">
        <v>2000</v>
      </c>
      <c r="P271" s="3">
        <v>2000</v>
      </c>
      <c r="Q271" t="s">
        <v>30</v>
      </c>
      <c r="R271" s="2">
        <v>0.7</v>
      </c>
      <c r="S271" s="3">
        <v>1400</v>
      </c>
      <c r="T271" t="s">
        <v>27</v>
      </c>
      <c r="U271" s="3">
        <v>1400</v>
      </c>
      <c r="V271" s="7" t="s">
        <v>2557</v>
      </c>
      <c r="W271" s="7" t="s">
        <v>2557</v>
      </c>
    </row>
    <row r="272" spans="1:23" x14ac:dyDescent="0.4">
      <c r="A272" t="s">
        <v>262</v>
      </c>
      <c r="B272" t="s">
        <v>2075</v>
      </c>
      <c r="C272" t="s">
        <v>2120</v>
      </c>
      <c r="D272" t="s">
        <v>21</v>
      </c>
      <c r="E272" t="s">
        <v>22</v>
      </c>
      <c r="F272" t="s">
        <v>23</v>
      </c>
      <c r="G272">
        <v>1</v>
      </c>
      <c r="H272">
        <v>9791191562286</v>
      </c>
      <c r="I272" t="s">
        <v>143</v>
      </c>
      <c r="J272" t="s">
        <v>238</v>
      </c>
      <c r="K272" t="s">
        <v>239</v>
      </c>
      <c r="L272" t="s">
        <v>27</v>
      </c>
      <c r="M272" s="3">
        <v>2000</v>
      </c>
      <c r="N272" t="s">
        <v>27</v>
      </c>
      <c r="O272" s="3">
        <v>2000</v>
      </c>
      <c r="P272" s="3">
        <v>2000</v>
      </c>
      <c r="Q272" t="s">
        <v>30</v>
      </c>
      <c r="R272" s="2">
        <v>0.7</v>
      </c>
      <c r="S272" s="3">
        <v>1400</v>
      </c>
      <c r="T272" t="s">
        <v>27</v>
      </c>
      <c r="U272" s="3">
        <v>1400</v>
      </c>
      <c r="V272" s="7" t="s">
        <v>2557</v>
      </c>
      <c r="W272" s="7" t="s">
        <v>2557</v>
      </c>
    </row>
    <row r="273" spans="1:23" x14ac:dyDescent="0.4">
      <c r="A273" t="s">
        <v>262</v>
      </c>
      <c r="B273" t="s">
        <v>2075</v>
      </c>
      <c r="C273" t="s">
        <v>2126</v>
      </c>
      <c r="D273" t="s">
        <v>21</v>
      </c>
      <c r="E273" t="s">
        <v>22</v>
      </c>
      <c r="F273" t="s">
        <v>23</v>
      </c>
      <c r="G273">
        <v>1</v>
      </c>
      <c r="H273">
        <v>9791191562439</v>
      </c>
      <c r="I273" t="s">
        <v>143</v>
      </c>
      <c r="J273" t="s">
        <v>1661</v>
      </c>
      <c r="K273" t="s">
        <v>188</v>
      </c>
      <c r="L273" t="s">
        <v>27</v>
      </c>
      <c r="M273" s="3">
        <v>2500</v>
      </c>
      <c r="N273" t="s">
        <v>2127</v>
      </c>
      <c r="O273">
        <v>1.95</v>
      </c>
      <c r="P273">
        <v>1.9</v>
      </c>
      <c r="Q273" t="s">
        <v>2128</v>
      </c>
      <c r="R273" s="2">
        <v>0.7</v>
      </c>
      <c r="S273">
        <v>1.33</v>
      </c>
      <c r="T273" t="s">
        <v>27</v>
      </c>
      <c r="U273" s="3">
        <v>1758</v>
      </c>
      <c r="V273" s="7" t="s">
        <v>2557</v>
      </c>
      <c r="W273" s="7" t="s">
        <v>2557</v>
      </c>
    </row>
    <row r="274" spans="1:23" x14ac:dyDescent="0.4">
      <c r="A274" t="s">
        <v>262</v>
      </c>
      <c r="B274" t="s">
        <v>2075</v>
      </c>
      <c r="C274" t="s">
        <v>2134</v>
      </c>
      <c r="D274" t="s">
        <v>21</v>
      </c>
      <c r="E274" t="s">
        <v>22</v>
      </c>
      <c r="F274" t="s">
        <v>23</v>
      </c>
      <c r="G274">
        <v>1</v>
      </c>
      <c r="H274">
        <v>9791191562262</v>
      </c>
      <c r="I274" t="s">
        <v>143</v>
      </c>
      <c r="J274" t="s">
        <v>250</v>
      </c>
      <c r="K274" t="s">
        <v>251</v>
      </c>
      <c r="L274" t="s">
        <v>27</v>
      </c>
      <c r="M274" s="3">
        <v>2000</v>
      </c>
      <c r="N274" t="s">
        <v>27</v>
      </c>
      <c r="O274" s="3">
        <v>2000</v>
      </c>
      <c r="P274" s="3">
        <v>2000</v>
      </c>
      <c r="Q274" t="s">
        <v>30</v>
      </c>
      <c r="R274" s="2">
        <v>0.7</v>
      </c>
      <c r="S274" s="3">
        <v>1400</v>
      </c>
      <c r="T274" t="s">
        <v>27</v>
      </c>
      <c r="U274" s="3">
        <v>1400</v>
      </c>
      <c r="V274" s="7" t="s">
        <v>2557</v>
      </c>
      <c r="W274" s="7" t="s">
        <v>2557</v>
      </c>
    </row>
    <row r="275" spans="1:23" x14ac:dyDescent="0.4">
      <c r="A275" t="s">
        <v>262</v>
      </c>
      <c r="B275" t="s">
        <v>2075</v>
      </c>
      <c r="C275" t="s">
        <v>2154</v>
      </c>
      <c r="D275" t="s">
        <v>21</v>
      </c>
      <c r="E275" t="s">
        <v>22</v>
      </c>
      <c r="F275" t="s">
        <v>23</v>
      </c>
      <c r="G275">
        <v>1</v>
      </c>
      <c r="H275">
        <v>9791191562309</v>
      </c>
      <c r="I275" t="s">
        <v>143</v>
      </c>
      <c r="J275" t="s">
        <v>225</v>
      </c>
      <c r="K275" t="s">
        <v>226</v>
      </c>
      <c r="L275" t="s">
        <v>27</v>
      </c>
      <c r="M275" s="3">
        <v>2500</v>
      </c>
      <c r="N275" t="s">
        <v>27</v>
      </c>
      <c r="O275" s="3">
        <v>2500</v>
      </c>
      <c r="P275" s="3">
        <v>2500</v>
      </c>
      <c r="Q275" t="s">
        <v>30</v>
      </c>
      <c r="R275" s="2">
        <v>0.7</v>
      </c>
      <c r="S275" s="3">
        <v>1750</v>
      </c>
      <c r="T275" t="s">
        <v>27</v>
      </c>
      <c r="U275" s="3">
        <v>1750</v>
      </c>
      <c r="V275" s="7" t="s">
        <v>2557</v>
      </c>
      <c r="W275" s="7" t="s">
        <v>2557</v>
      </c>
    </row>
    <row r="276" spans="1:23" x14ac:dyDescent="0.4">
      <c r="A276" t="s">
        <v>262</v>
      </c>
      <c r="B276" t="s">
        <v>2159</v>
      </c>
      <c r="C276" t="s">
        <v>2164</v>
      </c>
      <c r="D276" t="s">
        <v>21</v>
      </c>
      <c r="E276" t="s">
        <v>22</v>
      </c>
      <c r="F276" t="s">
        <v>23</v>
      </c>
      <c r="G276">
        <v>1</v>
      </c>
      <c r="H276">
        <v>9791191562187</v>
      </c>
      <c r="I276" t="s">
        <v>143</v>
      </c>
      <c r="J276" t="s">
        <v>217</v>
      </c>
      <c r="K276" t="s">
        <v>218</v>
      </c>
      <c r="L276" t="s">
        <v>27</v>
      </c>
      <c r="M276" s="3">
        <v>2000</v>
      </c>
      <c r="N276" t="s">
        <v>27</v>
      </c>
      <c r="O276" s="3">
        <v>2000</v>
      </c>
      <c r="P276" s="3">
        <v>2000</v>
      </c>
      <c r="Q276" t="s">
        <v>30</v>
      </c>
      <c r="R276" s="2">
        <v>0.7</v>
      </c>
      <c r="S276" s="3">
        <v>1400</v>
      </c>
      <c r="T276" t="s">
        <v>27</v>
      </c>
      <c r="U276" s="3">
        <v>1400</v>
      </c>
      <c r="V276" s="7" t="s">
        <v>2557</v>
      </c>
      <c r="W276" s="7" t="s">
        <v>2557</v>
      </c>
    </row>
    <row r="277" spans="1:23" x14ac:dyDescent="0.4">
      <c r="A277" t="s">
        <v>262</v>
      </c>
      <c r="B277" t="s">
        <v>2159</v>
      </c>
      <c r="C277" t="s">
        <v>2169</v>
      </c>
      <c r="D277" t="s">
        <v>21</v>
      </c>
      <c r="E277" t="s">
        <v>22</v>
      </c>
      <c r="F277" t="s">
        <v>23</v>
      </c>
      <c r="G277">
        <v>1</v>
      </c>
      <c r="H277">
        <v>9791191562262</v>
      </c>
      <c r="I277" t="s">
        <v>143</v>
      </c>
      <c r="J277" t="s">
        <v>250</v>
      </c>
      <c r="K277" t="s">
        <v>251</v>
      </c>
      <c r="L277" t="s">
        <v>27</v>
      </c>
      <c r="M277" s="3">
        <v>2000</v>
      </c>
      <c r="N277" t="s">
        <v>27</v>
      </c>
      <c r="O277" s="3">
        <v>2000</v>
      </c>
      <c r="P277" s="3">
        <v>2000</v>
      </c>
      <c r="Q277" t="s">
        <v>30</v>
      </c>
      <c r="R277" s="2">
        <v>0.7</v>
      </c>
      <c r="S277" s="3">
        <v>1400</v>
      </c>
      <c r="T277" t="s">
        <v>27</v>
      </c>
      <c r="U277" s="3">
        <v>1400</v>
      </c>
      <c r="V277" s="7" t="s">
        <v>2557</v>
      </c>
      <c r="W277" s="7" t="s">
        <v>2557</v>
      </c>
    </row>
    <row r="278" spans="1:23" x14ac:dyDescent="0.4">
      <c r="A278" t="s">
        <v>262</v>
      </c>
      <c r="B278" t="s">
        <v>2159</v>
      </c>
      <c r="C278" t="s">
        <v>2179</v>
      </c>
      <c r="D278" t="s">
        <v>21</v>
      </c>
      <c r="E278" t="s">
        <v>22</v>
      </c>
      <c r="F278" t="s">
        <v>23</v>
      </c>
      <c r="G278">
        <v>1</v>
      </c>
      <c r="H278">
        <v>9791191562286</v>
      </c>
      <c r="I278" t="s">
        <v>143</v>
      </c>
      <c r="J278" t="s">
        <v>238</v>
      </c>
      <c r="K278" t="s">
        <v>239</v>
      </c>
      <c r="L278" t="s">
        <v>27</v>
      </c>
      <c r="M278" s="3">
        <v>2000</v>
      </c>
      <c r="N278" t="s">
        <v>27</v>
      </c>
      <c r="O278" s="3">
        <v>2000</v>
      </c>
      <c r="P278" s="3">
        <v>2000</v>
      </c>
      <c r="Q278" t="s">
        <v>30</v>
      </c>
      <c r="R278" s="2">
        <v>0.7</v>
      </c>
      <c r="S278" s="3">
        <v>1400</v>
      </c>
      <c r="T278" t="s">
        <v>27</v>
      </c>
      <c r="U278" s="3">
        <v>1400</v>
      </c>
      <c r="V278" s="7" t="s">
        <v>2557</v>
      </c>
      <c r="W278" s="7" t="s">
        <v>2557</v>
      </c>
    </row>
    <row r="279" spans="1:23" x14ac:dyDescent="0.4">
      <c r="A279" t="s">
        <v>262</v>
      </c>
      <c r="B279" t="s">
        <v>2159</v>
      </c>
      <c r="C279" t="s">
        <v>2187</v>
      </c>
      <c r="D279" t="s">
        <v>21</v>
      </c>
      <c r="E279" t="s">
        <v>22</v>
      </c>
      <c r="F279" t="s">
        <v>23</v>
      </c>
      <c r="G279">
        <v>1</v>
      </c>
      <c r="H279">
        <v>9791191562439</v>
      </c>
      <c r="I279" t="s">
        <v>143</v>
      </c>
      <c r="J279" t="s">
        <v>1661</v>
      </c>
      <c r="K279" t="s">
        <v>188</v>
      </c>
      <c r="L279" t="s">
        <v>27</v>
      </c>
      <c r="M279" s="3">
        <v>2500</v>
      </c>
      <c r="N279" t="s">
        <v>27</v>
      </c>
      <c r="O279" s="3">
        <v>2500</v>
      </c>
      <c r="P279" s="3">
        <v>2500</v>
      </c>
      <c r="Q279" t="s">
        <v>30</v>
      </c>
      <c r="R279" s="2">
        <v>0.7</v>
      </c>
      <c r="S279" s="3">
        <v>1750</v>
      </c>
      <c r="T279" t="s">
        <v>27</v>
      </c>
      <c r="U279" s="3">
        <v>1750</v>
      </c>
      <c r="V279" s="7" t="s">
        <v>2557</v>
      </c>
      <c r="W279" s="7" t="s">
        <v>2557</v>
      </c>
    </row>
    <row r="280" spans="1:23" x14ac:dyDescent="0.4">
      <c r="A280" t="s">
        <v>262</v>
      </c>
      <c r="B280" t="s">
        <v>2159</v>
      </c>
      <c r="C280" t="s">
        <v>2190</v>
      </c>
      <c r="D280" t="s">
        <v>21</v>
      </c>
      <c r="E280" t="s">
        <v>22</v>
      </c>
      <c r="F280" t="s">
        <v>23</v>
      </c>
      <c r="G280">
        <v>1</v>
      </c>
      <c r="H280">
        <v>9791191562286</v>
      </c>
      <c r="I280" t="s">
        <v>143</v>
      </c>
      <c r="J280" t="s">
        <v>238</v>
      </c>
      <c r="K280" t="s">
        <v>239</v>
      </c>
      <c r="L280" t="s">
        <v>27</v>
      </c>
      <c r="M280" s="3">
        <v>2000</v>
      </c>
      <c r="N280" t="s">
        <v>28</v>
      </c>
      <c r="O280">
        <v>1.65</v>
      </c>
      <c r="P280">
        <v>1.65</v>
      </c>
      <c r="Q280" t="s">
        <v>29</v>
      </c>
      <c r="R280" s="2">
        <v>0.7</v>
      </c>
      <c r="S280">
        <v>1.1499999999999999</v>
      </c>
      <c r="T280" t="s">
        <v>27</v>
      </c>
      <c r="U280" s="3">
        <v>1445</v>
      </c>
      <c r="V280" s="7" t="s">
        <v>2557</v>
      </c>
      <c r="W280" s="7" t="s">
        <v>2557</v>
      </c>
    </row>
    <row r="281" spans="1:23" x14ac:dyDescent="0.4">
      <c r="A281" t="s">
        <v>262</v>
      </c>
      <c r="B281" t="s">
        <v>2159</v>
      </c>
      <c r="C281" t="s">
        <v>2195</v>
      </c>
      <c r="D281" t="s">
        <v>21</v>
      </c>
      <c r="E281" t="s">
        <v>22</v>
      </c>
      <c r="F281" t="s">
        <v>23</v>
      </c>
      <c r="G281">
        <v>1</v>
      </c>
      <c r="H281">
        <v>9791191562361</v>
      </c>
      <c r="I281" t="s">
        <v>143</v>
      </c>
      <c r="J281" t="s">
        <v>916</v>
      </c>
      <c r="K281" t="s">
        <v>186</v>
      </c>
      <c r="L281" t="s">
        <v>27</v>
      </c>
      <c r="M281" s="3">
        <v>2000</v>
      </c>
      <c r="N281" t="s">
        <v>27</v>
      </c>
      <c r="O281" s="3">
        <v>2000</v>
      </c>
      <c r="P281" s="3">
        <v>2000</v>
      </c>
      <c r="Q281" t="s">
        <v>30</v>
      </c>
      <c r="R281" s="2">
        <v>0.7</v>
      </c>
      <c r="S281" s="3">
        <v>1400</v>
      </c>
      <c r="T281" t="s">
        <v>27</v>
      </c>
      <c r="U281" s="3">
        <v>1400</v>
      </c>
      <c r="V281" s="7" t="s">
        <v>2557</v>
      </c>
      <c r="W281" s="7" t="s">
        <v>2557</v>
      </c>
    </row>
    <row r="282" spans="1:23" x14ac:dyDescent="0.4">
      <c r="A282" t="s">
        <v>262</v>
      </c>
      <c r="B282" t="s">
        <v>2159</v>
      </c>
      <c r="C282" t="s">
        <v>2203</v>
      </c>
      <c r="D282" t="s">
        <v>21</v>
      </c>
      <c r="E282" t="s">
        <v>22</v>
      </c>
      <c r="F282" t="s">
        <v>23</v>
      </c>
      <c r="G282">
        <v>1</v>
      </c>
      <c r="H282">
        <v>9791191562361</v>
      </c>
      <c r="I282" t="s">
        <v>143</v>
      </c>
      <c r="J282" t="s">
        <v>916</v>
      </c>
      <c r="K282" t="s">
        <v>186</v>
      </c>
      <c r="L282" t="s">
        <v>27</v>
      </c>
      <c r="M282" s="3">
        <v>2000</v>
      </c>
      <c r="N282" t="s">
        <v>28</v>
      </c>
      <c r="O282">
        <v>1.65</v>
      </c>
      <c r="P282">
        <v>1.65</v>
      </c>
      <c r="Q282" t="s">
        <v>29</v>
      </c>
      <c r="R282" s="2">
        <v>0.7</v>
      </c>
      <c r="S282">
        <v>1.1499999999999999</v>
      </c>
      <c r="T282" t="s">
        <v>27</v>
      </c>
      <c r="U282" s="3">
        <v>1445</v>
      </c>
      <c r="V282" s="7" t="s">
        <v>2557</v>
      </c>
      <c r="W282" s="7" t="s">
        <v>2557</v>
      </c>
    </row>
    <row r="283" spans="1:23" x14ac:dyDescent="0.4">
      <c r="A283" t="s">
        <v>262</v>
      </c>
      <c r="B283" t="s">
        <v>2159</v>
      </c>
      <c r="C283" t="s">
        <v>2205</v>
      </c>
      <c r="D283" t="s">
        <v>21</v>
      </c>
      <c r="E283" t="s">
        <v>22</v>
      </c>
      <c r="F283" t="s">
        <v>23</v>
      </c>
      <c r="G283">
        <v>1</v>
      </c>
      <c r="H283">
        <v>9791191562439</v>
      </c>
      <c r="I283" t="s">
        <v>143</v>
      </c>
      <c r="J283" t="s">
        <v>1661</v>
      </c>
      <c r="K283" t="s">
        <v>188</v>
      </c>
      <c r="L283" t="s">
        <v>27</v>
      </c>
      <c r="M283" s="3">
        <v>2500</v>
      </c>
      <c r="N283" t="s">
        <v>27</v>
      </c>
      <c r="O283" s="3">
        <v>2500</v>
      </c>
      <c r="P283" s="3">
        <v>2500</v>
      </c>
      <c r="Q283" t="s">
        <v>30</v>
      </c>
      <c r="R283" s="2">
        <v>0.7</v>
      </c>
      <c r="S283" s="3">
        <v>1750</v>
      </c>
      <c r="T283" t="s">
        <v>27</v>
      </c>
      <c r="U283" s="3">
        <v>1750</v>
      </c>
      <c r="V283" s="7" t="s">
        <v>2557</v>
      </c>
      <c r="W283" s="7" t="s">
        <v>2557</v>
      </c>
    </row>
    <row r="284" spans="1:23" x14ac:dyDescent="0.4">
      <c r="A284" t="s">
        <v>262</v>
      </c>
      <c r="B284" t="s">
        <v>2159</v>
      </c>
      <c r="C284" t="s">
        <v>2206</v>
      </c>
      <c r="D284" t="s">
        <v>21</v>
      </c>
      <c r="E284" t="s">
        <v>22</v>
      </c>
      <c r="F284" t="s">
        <v>23</v>
      </c>
      <c r="G284">
        <v>1</v>
      </c>
      <c r="H284">
        <v>9791191562163</v>
      </c>
      <c r="I284" t="s">
        <v>143</v>
      </c>
      <c r="J284" t="s">
        <v>214</v>
      </c>
      <c r="K284" t="s">
        <v>215</v>
      </c>
      <c r="L284" t="s">
        <v>27</v>
      </c>
      <c r="M284" s="3">
        <v>2000</v>
      </c>
      <c r="N284" t="s">
        <v>27</v>
      </c>
      <c r="O284" s="3">
        <v>2000</v>
      </c>
      <c r="P284" s="3">
        <v>2000</v>
      </c>
      <c r="Q284" t="s">
        <v>30</v>
      </c>
      <c r="R284" s="2">
        <v>0.7</v>
      </c>
      <c r="S284" s="3">
        <v>1400</v>
      </c>
      <c r="T284" t="s">
        <v>27</v>
      </c>
      <c r="U284" s="3">
        <v>1400</v>
      </c>
      <c r="V284" s="7" t="s">
        <v>2557</v>
      </c>
      <c r="W284" s="7" t="s">
        <v>2557</v>
      </c>
    </row>
    <row r="285" spans="1:23" x14ac:dyDescent="0.4">
      <c r="A285" t="s">
        <v>262</v>
      </c>
      <c r="B285" t="s">
        <v>2159</v>
      </c>
      <c r="C285" t="s">
        <v>2214</v>
      </c>
      <c r="D285" t="s">
        <v>21</v>
      </c>
      <c r="E285" t="s">
        <v>22</v>
      </c>
      <c r="F285" t="s">
        <v>23</v>
      </c>
      <c r="G285">
        <v>1</v>
      </c>
      <c r="H285">
        <v>9791191562224</v>
      </c>
      <c r="I285" t="s">
        <v>143</v>
      </c>
      <c r="J285" t="s">
        <v>221</v>
      </c>
      <c r="K285" t="s">
        <v>222</v>
      </c>
      <c r="L285" t="s">
        <v>27</v>
      </c>
      <c r="M285" s="3">
        <v>2500</v>
      </c>
      <c r="N285" t="s">
        <v>27</v>
      </c>
      <c r="O285" s="3">
        <v>2500</v>
      </c>
      <c r="P285" s="3">
        <v>2500</v>
      </c>
      <c r="Q285" t="s">
        <v>30</v>
      </c>
      <c r="R285" s="2">
        <v>0.7</v>
      </c>
      <c r="S285" s="3">
        <v>1750</v>
      </c>
      <c r="T285" t="s">
        <v>27</v>
      </c>
      <c r="U285" s="3">
        <v>1750</v>
      </c>
      <c r="V285" s="7" t="s">
        <v>2557</v>
      </c>
      <c r="W285" s="7" t="s">
        <v>2557</v>
      </c>
    </row>
    <row r="286" spans="1:23" x14ac:dyDescent="0.4">
      <c r="A286" t="s">
        <v>262</v>
      </c>
      <c r="B286" t="s">
        <v>2159</v>
      </c>
      <c r="C286" t="s">
        <v>2232</v>
      </c>
      <c r="D286" t="s">
        <v>21</v>
      </c>
      <c r="E286" t="s">
        <v>22</v>
      </c>
      <c r="F286" t="s">
        <v>23</v>
      </c>
      <c r="G286">
        <v>1</v>
      </c>
      <c r="H286">
        <v>9791191562125</v>
      </c>
      <c r="I286" t="s">
        <v>143</v>
      </c>
      <c r="J286" t="s">
        <v>212</v>
      </c>
      <c r="K286" t="s">
        <v>213</v>
      </c>
      <c r="L286" t="s">
        <v>27</v>
      </c>
      <c r="M286" s="3">
        <v>2500</v>
      </c>
      <c r="N286" t="s">
        <v>27</v>
      </c>
      <c r="O286" s="3">
        <v>2500</v>
      </c>
      <c r="P286" s="3">
        <v>2500</v>
      </c>
      <c r="Q286" t="s">
        <v>30</v>
      </c>
      <c r="R286" s="2">
        <v>0.7</v>
      </c>
      <c r="S286" s="3">
        <v>1750</v>
      </c>
      <c r="T286" t="s">
        <v>27</v>
      </c>
      <c r="U286" s="3">
        <v>1750</v>
      </c>
      <c r="V286" s="7" t="s">
        <v>2557</v>
      </c>
      <c r="W286" s="7" t="s">
        <v>2557</v>
      </c>
    </row>
    <row r="287" spans="1:23" x14ac:dyDescent="0.4">
      <c r="A287" t="s">
        <v>262</v>
      </c>
      <c r="B287" t="s">
        <v>2236</v>
      </c>
      <c r="C287" t="s">
        <v>2241</v>
      </c>
      <c r="D287" t="s">
        <v>21</v>
      </c>
      <c r="E287" t="s">
        <v>22</v>
      </c>
      <c r="F287" t="s">
        <v>23</v>
      </c>
      <c r="G287">
        <v>1</v>
      </c>
      <c r="H287">
        <v>9791191562248</v>
      </c>
      <c r="I287" t="s">
        <v>143</v>
      </c>
      <c r="J287" t="s">
        <v>231</v>
      </c>
      <c r="K287" t="s">
        <v>232</v>
      </c>
      <c r="L287" t="s">
        <v>27</v>
      </c>
      <c r="M287" s="3">
        <v>2000</v>
      </c>
      <c r="N287" t="s">
        <v>27</v>
      </c>
      <c r="O287" s="3">
        <v>2000</v>
      </c>
      <c r="P287" s="3">
        <v>2000</v>
      </c>
      <c r="Q287" t="s">
        <v>30</v>
      </c>
      <c r="R287" s="2">
        <v>0.7</v>
      </c>
      <c r="S287" s="3">
        <v>1400</v>
      </c>
      <c r="T287" t="s">
        <v>27</v>
      </c>
      <c r="U287" s="3">
        <v>1400</v>
      </c>
      <c r="V287" s="7" t="s">
        <v>2557</v>
      </c>
      <c r="W287" s="7" t="s">
        <v>2557</v>
      </c>
    </row>
    <row r="288" spans="1:23" x14ac:dyDescent="0.4">
      <c r="A288" t="s">
        <v>262</v>
      </c>
      <c r="B288" t="s">
        <v>2236</v>
      </c>
      <c r="C288" t="s">
        <v>2249</v>
      </c>
      <c r="D288" t="s">
        <v>21</v>
      </c>
      <c r="E288" t="s">
        <v>22</v>
      </c>
      <c r="F288" t="s">
        <v>23</v>
      </c>
      <c r="G288">
        <v>1</v>
      </c>
      <c r="H288">
        <v>9791191562286</v>
      </c>
      <c r="I288" t="s">
        <v>143</v>
      </c>
      <c r="J288" t="s">
        <v>238</v>
      </c>
      <c r="K288" t="s">
        <v>239</v>
      </c>
      <c r="L288" t="s">
        <v>27</v>
      </c>
      <c r="M288" s="3">
        <v>2000</v>
      </c>
      <c r="N288" t="s">
        <v>27</v>
      </c>
      <c r="O288" s="3">
        <v>2000</v>
      </c>
      <c r="P288" s="3">
        <v>2000</v>
      </c>
      <c r="Q288" t="s">
        <v>30</v>
      </c>
      <c r="R288" s="2">
        <v>0.7</v>
      </c>
      <c r="S288" s="3">
        <v>1400</v>
      </c>
      <c r="T288" t="s">
        <v>27</v>
      </c>
      <c r="U288" s="3">
        <v>1400</v>
      </c>
      <c r="V288" s="7" t="s">
        <v>2557</v>
      </c>
      <c r="W288" s="7" t="s">
        <v>2557</v>
      </c>
    </row>
    <row r="289" spans="1:23" x14ac:dyDescent="0.4">
      <c r="A289" t="s">
        <v>262</v>
      </c>
      <c r="B289" t="s">
        <v>2236</v>
      </c>
      <c r="C289" t="s">
        <v>2269</v>
      </c>
      <c r="D289" t="s">
        <v>21</v>
      </c>
      <c r="E289" t="s">
        <v>22</v>
      </c>
      <c r="F289" t="s">
        <v>23</v>
      </c>
      <c r="G289">
        <v>1</v>
      </c>
      <c r="H289">
        <v>9791191562439</v>
      </c>
      <c r="I289" t="s">
        <v>143</v>
      </c>
      <c r="J289" t="s">
        <v>1661</v>
      </c>
      <c r="K289" t="s">
        <v>188</v>
      </c>
      <c r="L289" t="s">
        <v>27</v>
      </c>
      <c r="M289" s="3">
        <v>2500</v>
      </c>
      <c r="N289" t="s">
        <v>27</v>
      </c>
      <c r="O289" s="3">
        <v>2500</v>
      </c>
      <c r="P289" s="3">
        <v>2500</v>
      </c>
      <c r="Q289" t="s">
        <v>30</v>
      </c>
      <c r="R289" s="2">
        <v>0.7</v>
      </c>
      <c r="S289" s="3">
        <v>1750</v>
      </c>
      <c r="T289" t="s">
        <v>27</v>
      </c>
      <c r="U289" s="3">
        <v>1750</v>
      </c>
      <c r="V289" s="7" t="s">
        <v>2557</v>
      </c>
      <c r="W289" s="7" t="s">
        <v>2557</v>
      </c>
    </row>
    <row r="290" spans="1:23" x14ac:dyDescent="0.4">
      <c r="A290" t="s">
        <v>262</v>
      </c>
      <c r="B290" t="s">
        <v>2236</v>
      </c>
      <c r="C290" t="s">
        <v>2276</v>
      </c>
      <c r="D290" t="s">
        <v>21</v>
      </c>
      <c r="E290" t="s">
        <v>22</v>
      </c>
      <c r="F290" t="s">
        <v>23</v>
      </c>
      <c r="G290">
        <v>1</v>
      </c>
      <c r="H290">
        <v>9791191562019</v>
      </c>
      <c r="I290" t="s">
        <v>143</v>
      </c>
      <c r="J290" t="s">
        <v>194</v>
      </c>
      <c r="K290" t="s">
        <v>186</v>
      </c>
      <c r="L290" t="s">
        <v>27</v>
      </c>
      <c r="M290" s="3">
        <v>2000</v>
      </c>
      <c r="N290" t="s">
        <v>28</v>
      </c>
      <c r="O290">
        <v>1.65</v>
      </c>
      <c r="P290">
        <v>1.65</v>
      </c>
      <c r="Q290" t="s">
        <v>29</v>
      </c>
      <c r="R290" s="2">
        <v>0.7</v>
      </c>
      <c r="S290">
        <v>1.1499999999999999</v>
      </c>
      <c r="T290" t="s">
        <v>27</v>
      </c>
      <c r="U290" s="3">
        <v>1445</v>
      </c>
      <c r="V290" s="7" t="s">
        <v>2557</v>
      </c>
      <c r="W290" s="7" t="s">
        <v>2557</v>
      </c>
    </row>
    <row r="291" spans="1:23" x14ac:dyDescent="0.4">
      <c r="A291" t="s">
        <v>262</v>
      </c>
      <c r="B291" t="s">
        <v>2236</v>
      </c>
      <c r="C291" t="s">
        <v>2290</v>
      </c>
      <c r="D291" t="s">
        <v>21</v>
      </c>
      <c r="E291" t="s">
        <v>22</v>
      </c>
      <c r="F291" t="s">
        <v>23</v>
      </c>
      <c r="G291">
        <v>1</v>
      </c>
      <c r="H291">
        <v>9791191562248</v>
      </c>
      <c r="I291" t="s">
        <v>143</v>
      </c>
      <c r="J291" t="s">
        <v>231</v>
      </c>
      <c r="K291" t="s">
        <v>232</v>
      </c>
      <c r="L291" t="s">
        <v>27</v>
      </c>
      <c r="M291" s="3">
        <v>2000</v>
      </c>
      <c r="N291" t="s">
        <v>28</v>
      </c>
      <c r="O291">
        <v>1.65</v>
      </c>
      <c r="P291">
        <v>1.65</v>
      </c>
      <c r="Q291" t="s">
        <v>29</v>
      </c>
      <c r="R291" s="2">
        <v>0.7</v>
      </c>
      <c r="S291">
        <v>1.1499999999999999</v>
      </c>
      <c r="T291" t="s">
        <v>27</v>
      </c>
      <c r="U291" s="3">
        <v>1445</v>
      </c>
      <c r="V291" s="7" t="s">
        <v>2557</v>
      </c>
      <c r="W291" s="7" t="s">
        <v>2557</v>
      </c>
    </row>
    <row r="292" spans="1:23" x14ac:dyDescent="0.4">
      <c r="A292" t="s">
        <v>262</v>
      </c>
      <c r="B292" t="s">
        <v>2236</v>
      </c>
      <c r="C292" t="s">
        <v>2294</v>
      </c>
      <c r="D292" t="s">
        <v>21</v>
      </c>
      <c r="E292" t="s">
        <v>22</v>
      </c>
      <c r="F292" t="s">
        <v>23</v>
      </c>
      <c r="G292">
        <v>1</v>
      </c>
      <c r="H292">
        <v>9791191562262</v>
      </c>
      <c r="I292" t="s">
        <v>143</v>
      </c>
      <c r="J292" t="s">
        <v>250</v>
      </c>
      <c r="K292" t="s">
        <v>251</v>
      </c>
      <c r="L292" t="s">
        <v>27</v>
      </c>
      <c r="M292" s="3">
        <v>2000</v>
      </c>
      <c r="N292" t="s">
        <v>27</v>
      </c>
      <c r="O292" s="3">
        <v>2000</v>
      </c>
      <c r="P292" s="3">
        <v>2000</v>
      </c>
      <c r="Q292" t="s">
        <v>30</v>
      </c>
      <c r="R292" s="2">
        <v>0.7</v>
      </c>
      <c r="S292" s="3">
        <v>1400</v>
      </c>
      <c r="T292" t="s">
        <v>27</v>
      </c>
      <c r="U292" s="3">
        <v>1400</v>
      </c>
      <c r="V292" s="7" t="s">
        <v>2557</v>
      </c>
      <c r="W292" s="7" t="s">
        <v>2557</v>
      </c>
    </row>
    <row r="293" spans="1:23" x14ac:dyDescent="0.4">
      <c r="A293" t="s">
        <v>262</v>
      </c>
      <c r="B293" t="s">
        <v>2236</v>
      </c>
      <c r="C293" t="s">
        <v>2303</v>
      </c>
      <c r="D293" t="s">
        <v>21</v>
      </c>
      <c r="E293" t="s">
        <v>22</v>
      </c>
      <c r="F293" t="s">
        <v>23</v>
      </c>
      <c r="G293">
        <v>1</v>
      </c>
      <c r="H293">
        <v>9791191562361</v>
      </c>
      <c r="I293" t="s">
        <v>143</v>
      </c>
      <c r="J293" t="s">
        <v>916</v>
      </c>
      <c r="K293" t="s">
        <v>186</v>
      </c>
      <c r="L293" t="s">
        <v>27</v>
      </c>
      <c r="M293" s="3">
        <v>2000</v>
      </c>
      <c r="N293" t="s">
        <v>27</v>
      </c>
      <c r="O293" s="3">
        <v>2000</v>
      </c>
      <c r="P293" s="3">
        <v>2000</v>
      </c>
      <c r="Q293" t="s">
        <v>30</v>
      </c>
      <c r="R293" s="2">
        <v>0.7</v>
      </c>
      <c r="S293" s="3">
        <v>1400</v>
      </c>
      <c r="T293" t="s">
        <v>27</v>
      </c>
      <c r="U293" s="3">
        <v>1400</v>
      </c>
      <c r="V293" s="7" t="s">
        <v>2557</v>
      </c>
      <c r="W293" s="7" t="s">
        <v>2557</v>
      </c>
    </row>
    <row r="294" spans="1:23" x14ac:dyDescent="0.4">
      <c r="A294" t="s">
        <v>262</v>
      </c>
      <c r="B294" t="s">
        <v>2308</v>
      </c>
      <c r="C294" t="s">
        <v>2314</v>
      </c>
      <c r="D294" t="s">
        <v>21</v>
      </c>
      <c r="E294" t="s">
        <v>22</v>
      </c>
      <c r="F294" t="s">
        <v>23</v>
      </c>
      <c r="G294">
        <v>1</v>
      </c>
      <c r="H294">
        <v>9791191562361</v>
      </c>
      <c r="I294" t="s">
        <v>143</v>
      </c>
      <c r="J294" t="s">
        <v>916</v>
      </c>
      <c r="K294" t="s">
        <v>186</v>
      </c>
      <c r="L294" t="s">
        <v>27</v>
      </c>
      <c r="M294" s="3">
        <v>2000</v>
      </c>
      <c r="N294" t="s">
        <v>27</v>
      </c>
      <c r="O294" s="3">
        <v>2000</v>
      </c>
      <c r="P294" s="3">
        <v>2000</v>
      </c>
      <c r="Q294" t="s">
        <v>30</v>
      </c>
      <c r="R294" s="2">
        <v>0.7</v>
      </c>
      <c r="S294" s="3">
        <v>1400</v>
      </c>
      <c r="T294" t="s">
        <v>27</v>
      </c>
      <c r="U294" s="3">
        <v>1400</v>
      </c>
      <c r="V294" s="7" t="s">
        <v>2557</v>
      </c>
      <c r="W294" s="7" t="s">
        <v>2557</v>
      </c>
    </row>
    <row r="295" spans="1:23" x14ac:dyDescent="0.4">
      <c r="A295" t="s">
        <v>262</v>
      </c>
      <c r="B295" t="s">
        <v>2308</v>
      </c>
      <c r="C295" t="s">
        <v>2319</v>
      </c>
      <c r="D295" t="s">
        <v>21</v>
      </c>
      <c r="E295" t="s">
        <v>22</v>
      </c>
      <c r="F295" t="s">
        <v>23</v>
      </c>
      <c r="G295">
        <v>1</v>
      </c>
      <c r="H295">
        <v>9791191562415</v>
      </c>
      <c r="I295" t="s">
        <v>143</v>
      </c>
      <c r="J295" t="s">
        <v>1077</v>
      </c>
      <c r="K295" t="s">
        <v>1078</v>
      </c>
      <c r="L295" t="s">
        <v>27</v>
      </c>
      <c r="M295" s="3">
        <v>2000</v>
      </c>
      <c r="N295" t="s">
        <v>27</v>
      </c>
      <c r="O295" s="3">
        <v>2000</v>
      </c>
      <c r="P295" s="3">
        <v>2000</v>
      </c>
      <c r="Q295" t="s">
        <v>30</v>
      </c>
      <c r="R295" s="2">
        <v>0.7</v>
      </c>
      <c r="S295" s="3">
        <v>1400</v>
      </c>
      <c r="T295" t="s">
        <v>27</v>
      </c>
      <c r="U295" s="3">
        <v>1400</v>
      </c>
      <c r="V295" s="7" t="s">
        <v>2557</v>
      </c>
      <c r="W295" s="7" t="s">
        <v>2557</v>
      </c>
    </row>
    <row r="296" spans="1:23" x14ac:dyDescent="0.4">
      <c r="A296" t="s">
        <v>262</v>
      </c>
      <c r="B296" t="s">
        <v>2308</v>
      </c>
      <c r="C296" t="s">
        <v>2321</v>
      </c>
      <c r="D296" t="s">
        <v>21</v>
      </c>
      <c r="E296" t="s">
        <v>22</v>
      </c>
      <c r="F296" t="s">
        <v>23</v>
      </c>
      <c r="G296">
        <v>1</v>
      </c>
      <c r="H296">
        <v>9791191562286</v>
      </c>
      <c r="I296" t="s">
        <v>143</v>
      </c>
      <c r="J296" t="s">
        <v>238</v>
      </c>
      <c r="K296" t="s">
        <v>239</v>
      </c>
      <c r="L296" t="s">
        <v>27</v>
      </c>
      <c r="M296" s="3">
        <v>2000</v>
      </c>
      <c r="N296" t="s">
        <v>27</v>
      </c>
      <c r="O296" s="3">
        <v>2000</v>
      </c>
      <c r="P296" s="3">
        <v>2000</v>
      </c>
      <c r="Q296" t="s">
        <v>30</v>
      </c>
      <c r="R296" s="2">
        <v>0.7</v>
      </c>
      <c r="S296" s="3">
        <v>1400</v>
      </c>
      <c r="T296" t="s">
        <v>27</v>
      </c>
      <c r="U296" s="3">
        <v>1400</v>
      </c>
      <c r="V296" s="7" t="s">
        <v>2557</v>
      </c>
      <c r="W296" s="7" t="s">
        <v>2557</v>
      </c>
    </row>
    <row r="297" spans="1:23" x14ac:dyDescent="0.4">
      <c r="A297" t="s">
        <v>262</v>
      </c>
      <c r="B297" t="s">
        <v>2308</v>
      </c>
      <c r="C297" t="s">
        <v>2326</v>
      </c>
      <c r="D297" t="s">
        <v>21</v>
      </c>
      <c r="E297" t="s">
        <v>22</v>
      </c>
      <c r="F297" t="s">
        <v>23</v>
      </c>
      <c r="G297">
        <v>1</v>
      </c>
      <c r="H297">
        <v>9791191562149</v>
      </c>
      <c r="I297" t="s">
        <v>143</v>
      </c>
      <c r="J297" t="s">
        <v>1081</v>
      </c>
      <c r="K297" t="s">
        <v>1078</v>
      </c>
      <c r="L297" t="s">
        <v>27</v>
      </c>
      <c r="M297" s="3">
        <v>2000</v>
      </c>
      <c r="N297" t="s">
        <v>27</v>
      </c>
      <c r="O297" s="3">
        <v>2000</v>
      </c>
      <c r="P297" s="3">
        <v>2000</v>
      </c>
      <c r="Q297" t="s">
        <v>30</v>
      </c>
      <c r="R297" s="2">
        <v>0.7</v>
      </c>
      <c r="S297" s="3">
        <v>1400</v>
      </c>
      <c r="T297" t="s">
        <v>27</v>
      </c>
      <c r="U297" s="3">
        <v>1400</v>
      </c>
      <c r="V297" s="7" t="s">
        <v>2557</v>
      </c>
      <c r="W297" s="7" t="s">
        <v>2557</v>
      </c>
    </row>
    <row r="298" spans="1:23" x14ac:dyDescent="0.4">
      <c r="A298" t="s">
        <v>262</v>
      </c>
      <c r="B298" t="s">
        <v>2308</v>
      </c>
      <c r="C298" t="s">
        <v>2329</v>
      </c>
      <c r="D298" t="s">
        <v>21</v>
      </c>
      <c r="E298" t="s">
        <v>22</v>
      </c>
      <c r="F298" t="s">
        <v>23</v>
      </c>
      <c r="G298">
        <v>1</v>
      </c>
      <c r="H298">
        <v>9791191562361</v>
      </c>
      <c r="I298" t="s">
        <v>143</v>
      </c>
      <c r="J298" t="s">
        <v>916</v>
      </c>
      <c r="K298" t="s">
        <v>186</v>
      </c>
      <c r="L298" t="s">
        <v>27</v>
      </c>
      <c r="M298" s="3">
        <v>2000</v>
      </c>
      <c r="N298" t="s">
        <v>27</v>
      </c>
      <c r="O298" s="3">
        <v>2000</v>
      </c>
      <c r="P298" s="3">
        <v>2000</v>
      </c>
      <c r="Q298" t="s">
        <v>30</v>
      </c>
      <c r="R298" s="2">
        <v>0.7</v>
      </c>
      <c r="S298" s="3">
        <v>1400</v>
      </c>
      <c r="T298" t="s">
        <v>27</v>
      </c>
      <c r="U298" s="3">
        <v>1400</v>
      </c>
      <c r="V298" s="7" t="s">
        <v>2557</v>
      </c>
      <c r="W298" s="7" t="s">
        <v>2557</v>
      </c>
    </row>
    <row r="299" spans="1:23" x14ac:dyDescent="0.4">
      <c r="A299" t="s">
        <v>262</v>
      </c>
      <c r="B299" t="s">
        <v>2308</v>
      </c>
      <c r="C299" t="s">
        <v>2330</v>
      </c>
      <c r="D299" t="s">
        <v>21</v>
      </c>
      <c r="E299" t="s">
        <v>22</v>
      </c>
      <c r="F299" t="s">
        <v>23</v>
      </c>
      <c r="G299">
        <v>1</v>
      </c>
      <c r="H299">
        <v>9791196945299</v>
      </c>
      <c r="I299" t="s">
        <v>143</v>
      </c>
      <c r="J299" t="s">
        <v>2331</v>
      </c>
      <c r="K299" t="s">
        <v>2332</v>
      </c>
      <c r="L299" t="s">
        <v>27</v>
      </c>
      <c r="M299" s="3">
        <v>2000</v>
      </c>
      <c r="N299" t="s">
        <v>28</v>
      </c>
      <c r="O299">
        <v>1.65</v>
      </c>
      <c r="P299">
        <v>1.65</v>
      </c>
      <c r="Q299" t="s">
        <v>29</v>
      </c>
      <c r="R299" s="2">
        <v>0.7</v>
      </c>
      <c r="S299">
        <v>1.1499999999999999</v>
      </c>
      <c r="T299" t="s">
        <v>27</v>
      </c>
      <c r="U299" s="3">
        <v>1445</v>
      </c>
      <c r="V299" s="7" t="s">
        <v>2557</v>
      </c>
      <c r="W299" s="7" t="s">
        <v>2557</v>
      </c>
    </row>
    <row r="300" spans="1:23" x14ac:dyDescent="0.4">
      <c r="A300" t="s">
        <v>262</v>
      </c>
      <c r="B300" t="s">
        <v>2308</v>
      </c>
      <c r="C300" t="s">
        <v>2335</v>
      </c>
      <c r="D300" t="s">
        <v>21</v>
      </c>
      <c r="E300" t="s">
        <v>22</v>
      </c>
      <c r="F300" t="s">
        <v>23</v>
      </c>
      <c r="G300">
        <v>1</v>
      </c>
      <c r="H300">
        <v>9791191562415</v>
      </c>
      <c r="I300" t="s">
        <v>143</v>
      </c>
      <c r="J300" t="s">
        <v>1077</v>
      </c>
      <c r="K300" t="s">
        <v>1078</v>
      </c>
      <c r="L300" t="s">
        <v>27</v>
      </c>
      <c r="M300" s="3">
        <v>2000</v>
      </c>
      <c r="N300" t="s">
        <v>27</v>
      </c>
      <c r="O300" s="3">
        <v>2000</v>
      </c>
      <c r="P300" s="3">
        <v>2000</v>
      </c>
      <c r="Q300" t="s">
        <v>30</v>
      </c>
      <c r="R300" s="2">
        <v>0.7</v>
      </c>
      <c r="S300" s="3">
        <v>1400</v>
      </c>
      <c r="T300" t="s">
        <v>27</v>
      </c>
      <c r="U300" s="3">
        <v>1400</v>
      </c>
      <c r="V300" s="7" t="s">
        <v>2557</v>
      </c>
      <c r="W300" s="7" t="s">
        <v>2557</v>
      </c>
    </row>
    <row r="301" spans="1:23" x14ac:dyDescent="0.4">
      <c r="A301" t="s">
        <v>262</v>
      </c>
      <c r="B301" t="s">
        <v>2308</v>
      </c>
      <c r="C301" t="s">
        <v>2340</v>
      </c>
      <c r="D301" t="s">
        <v>21</v>
      </c>
      <c r="E301" t="s">
        <v>22</v>
      </c>
      <c r="F301" t="s">
        <v>23</v>
      </c>
      <c r="G301">
        <v>1</v>
      </c>
      <c r="H301">
        <v>9791191562439</v>
      </c>
      <c r="I301" t="s">
        <v>143</v>
      </c>
      <c r="J301" t="s">
        <v>1661</v>
      </c>
      <c r="K301" t="s">
        <v>188</v>
      </c>
      <c r="L301" t="s">
        <v>27</v>
      </c>
      <c r="M301" s="3">
        <v>2500</v>
      </c>
      <c r="N301" t="s">
        <v>27</v>
      </c>
      <c r="O301" s="3">
        <v>2500</v>
      </c>
      <c r="P301" s="3">
        <v>2500</v>
      </c>
      <c r="Q301" t="s">
        <v>30</v>
      </c>
      <c r="R301" s="2">
        <v>0.7</v>
      </c>
      <c r="S301" s="3">
        <v>1750</v>
      </c>
      <c r="T301" t="s">
        <v>27</v>
      </c>
      <c r="U301" s="3">
        <v>1750</v>
      </c>
      <c r="V301" s="7" t="s">
        <v>2557</v>
      </c>
      <c r="W301" s="7" t="s">
        <v>2557</v>
      </c>
    </row>
    <row r="302" spans="1:23" x14ac:dyDescent="0.4">
      <c r="A302" t="s">
        <v>262</v>
      </c>
      <c r="B302" t="s">
        <v>2308</v>
      </c>
      <c r="C302" t="s">
        <v>2343</v>
      </c>
      <c r="D302" t="s">
        <v>21</v>
      </c>
      <c r="E302" t="s">
        <v>22</v>
      </c>
      <c r="F302" t="s">
        <v>23</v>
      </c>
      <c r="G302">
        <v>1</v>
      </c>
      <c r="H302">
        <v>9791191562361</v>
      </c>
      <c r="I302" t="s">
        <v>143</v>
      </c>
      <c r="J302" t="s">
        <v>916</v>
      </c>
      <c r="K302" t="s">
        <v>186</v>
      </c>
      <c r="L302" t="s">
        <v>27</v>
      </c>
      <c r="M302" s="3">
        <v>2000</v>
      </c>
      <c r="N302" t="s">
        <v>27</v>
      </c>
      <c r="O302" s="3">
        <v>2000</v>
      </c>
      <c r="P302" s="3">
        <v>2000</v>
      </c>
      <c r="Q302" t="s">
        <v>30</v>
      </c>
      <c r="R302" s="2">
        <v>0.7</v>
      </c>
      <c r="S302" s="3">
        <v>1400</v>
      </c>
      <c r="T302" t="s">
        <v>27</v>
      </c>
      <c r="U302" s="3">
        <v>1400</v>
      </c>
      <c r="V302" s="7" t="s">
        <v>2557</v>
      </c>
      <c r="W302" s="7" t="s">
        <v>2557</v>
      </c>
    </row>
    <row r="303" spans="1:23" x14ac:dyDescent="0.4">
      <c r="A303" t="s">
        <v>262</v>
      </c>
      <c r="B303" t="s">
        <v>2308</v>
      </c>
      <c r="C303" t="s">
        <v>2344</v>
      </c>
      <c r="D303" t="s">
        <v>21</v>
      </c>
      <c r="E303" t="s">
        <v>22</v>
      </c>
      <c r="F303" t="s">
        <v>23</v>
      </c>
      <c r="G303">
        <v>1</v>
      </c>
      <c r="H303">
        <v>9791191562453</v>
      </c>
      <c r="I303" t="s">
        <v>143</v>
      </c>
      <c r="J303" t="s">
        <v>1900</v>
      </c>
      <c r="K303" t="s">
        <v>1901</v>
      </c>
      <c r="L303" t="s">
        <v>27</v>
      </c>
      <c r="M303" s="3">
        <v>2500</v>
      </c>
      <c r="N303" t="s">
        <v>27</v>
      </c>
      <c r="O303" s="3">
        <v>2500</v>
      </c>
      <c r="P303" s="3">
        <v>2500</v>
      </c>
      <c r="Q303" t="s">
        <v>30</v>
      </c>
      <c r="R303" s="2">
        <v>0.7</v>
      </c>
      <c r="S303" s="3">
        <v>1750</v>
      </c>
      <c r="T303" t="s">
        <v>27</v>
      </c>
      <c r="U303" s="3">
        <v>1750</v>
      </c>
      <c r="V303" s="7" t="s">
        <v>2557</v>
      </c>
      <c r="W303" s="7" t="s">
        <v>2557</v>
      </c>
    </row>
    <row r="304" spans="1:23" x14ac:dyDescent="0.4">
      <c r="A304" t="s">
        <v>262</v>
      </c>
      <c r="B304" t="s">
        <v>2308</v>
      </c>
      <c r="C304" t="s">
        <v>2348</v>
      </c>
      <c r="D304" t="s">
        <v>21</v>
      </c>
      <c r="E304" t="s">
        <v>22</v>
      </c>
      <c r="F304" t="s">
        <v>23</v>
      </c>
      <c r="G304">
        <v>1</v>
      </c>
      <c r="H304">
        <v>9791191562262</v>
      </c>
      <c r="I304" t="s">
        <v>143</v>
      </c>
      <c r="J304" t="s">
        <v>250</v>
      </c>
      <c r="K304" t="s">
        <v>251</v>
      </c>
      <c r="L304" t="s">
        <v>27</v>
      </c>
      <c r="M304" s="3">
        <v>2000</v>
      </c>
      <c r="N304" t="s">
        <v>27</v>
      </c>
      <c r="O304" s="3">
        <v>2000</v>
      </c>
      <c r="P304" s="3">
        <v>2000</v>
      </c>
      <c r="Q304" t="s">
        <v>30</v>
      </c>
      <c r="R304" s="2">
        <v>0.7</v>
      </c>
      <c r="S304" s="3">
        <v>1400</v>
      </c>
      <c r="T304" t="s">
        <v>27</v>
      </c>
      <c r="U304" s="3">
        <v>1400</v>
      </c>
      <c r="V304" s="7" t="s">
        <v>2557</v>
      </c>
      <c r="W304" s="7" t="s">
        <v>2557</v>
      </c>
    </row>
    <row r="305" spans="1:23" x14ac:dyDescent="0.4">
      <c r="A305" t="s">
        <v>262</v>
      </c>
      <c r="B305" t="s">
        <v>2308</v>
      </c>
      <c r="C305" t="s">
        <v>2359</v>
      </c>
      <c r="D305" t="s">
        <v>21</v>
      </c>
      <c r="E305" t="s">
        <v>22</v>
      </c>
      <c r="F305" t="s">
        <v>23</v>
      </c>
      <c r="G305">
        <v>1</v>
      </c>
      <c r="H305">
        <v>9791191562361</v>
      </c>
      <c r="I305" t="s">
        <v>143</v>
      </c>
      <c r="J305" t="s">
        <v>916</v>
      </c>
      <c r="K305" t="s">
        <v>186</v>
      </c>
      <c r="L305" t="s">
        <v>27</v>
      </c>
      <c r="M305" s="3">
        <v>2000</v>
      </c>
      <c r="N305" t="s">
        <v>27</v>
      </c>
      <c r="O305" s="3">
        <v>2000</v>
      </c>
      <c r="P305" s="3">
        <v>2000</v>
      </c>
      <c r="Q305" t="s">
        <v>30</v>
      </c>
      <c r="R305" s="2">
        <v>0.7</v>
      </c>
      <c r="S305" s="3">
        <v>1400</v>
      </c>
      <c r="T305" t="s">
        <v>27</v>
      </c>
      <c r="U305" s="3">
        <v>1400</v>
      </c>
      <c r="V305" s="7" t="s">
        <v>2557</v>
      </c>
      <c r="W305" s="7" t="s">
        <v>2557</v>
      </c>
    </row>
    <row r="306" spans="1:23" x14ac:dyDescent="0.4">
      <c r="A306" t="s">
        <v>262</v>
      </c>
      <c r="B306" t="s">
        <v>2308</v>
      </c>
      <c r="C306" t="s">
        <v>2385</v>
      </c>
      <c r="D306" t="s">
        <v>21</v>
      </c>
      <c r="E306" t="s">
        <v>22</v>
      </c>
      <c r="F306" t="s">
        <v>23</v>
      </c>
      <c r="G306">
        <v>1</v>
      </c>
      <c r="H306">
        <v>9791191562439</v>
      </c>
      <c r="I306" t="s">
        <v>143</v>
      </c>
      <c r="J306" t="s">
        <v>1661</v>
      </c>
      <c r="K306" t="s">
        <v>188</v>
      </c>
      <c r="L306" t="s">
        <v>27</v>
      </c>
      <c r="M306" s="3">
        <v>2500</v>
      </c>
      <c r="N306" t="s">
        <v>27</v>
      </c>
      <c r="O306" s="3">
        <v>2500</v>
      </c>
      <c r="P306" s="3">
        <v>2500</v>
      </c>
      <c r="Q306" t="s">
        <v>30</v>
      </c>
      <c r="R306" s="2">
        <v>0.7</v>
      </c>
      <c r="S306" s="3">
        <v>1750</v>
      </c>
      <c r="T306" t="s">
        <v>27</v>
      </c>
      <c r="U306" s="3">
        <v>1750</v>
      </c>
      <c r="V306" s="7" t="s">
        <v>2557</v>
      </c>
      <c r="W306" s="7" t="s">
        <v>2557</v>
      </c>
    </row>
    <row r="307" spans="1:23" x14ac:dyDescent="0.4">
      <c r="A307" t="s">
        <v>262</v>
      </c>
      <c r="B307" t="s">
        <v>2308</v>
      </c>
      <c r="C307" t="s">
        <v>2386</v>
      </c>
      <c r="D307" t="s">
        <v>21</v>
      </c>
      <c r="E307" t="s">
        <v>22</v>
      </c>
      <c r="F307" t="s">
        <v>23</v>
      </c>
      <c r="G307">
        <v>1</v>
      </c>
      <c r="H307">
        <v>9791191562415</v>
      </c>
      <c r="I307" t="s">
        <v>143</v>
      </c>
      <c r="J307" t="s">
        <v>1077</v>
      </c>
      <c r="K307" t="s">
        <v>1078</v>
      </c>
      <c r="L307" t="s">
        <v>27</v>
      </c>
      <c r="M307" s="3">
        <v>2000</v>
      </c>
      <c r="N307" t="s">
        <v>27</v>
      </c>
      <c r="O307" s="3">
        <v>2000</v>
      </c>
      <c r="P307" s="3">
        <v>2000</v>
      </c>
      <c r="Q307" t="s">
        <v>30</v>
      </c>
      <c r="R307" s="2">
        <v>0.7</v>
      </c>
      <c r="S307" s="3">
        <v>1400</v>
      </c>
      <c r="T307" t="s">
        <v>27</v>
      </c>
      <c r="U307" s="3">
        <v>1400</v>
      </c>
      <c r="V307" s="7" t="s">
        <v>2557</v>
      </c>
      <c r="W307" s="7" t="s">
        <v>2557</v>
      </c>
    </row>
    <row r="308" spans="1:23" x14ac:dyDescent="0.4">
      <c r="A308" t="s">
        <v>262</v>
      </c>
      <c r="B308" t="s">
        <v>2308</v>
      </c>
      <c r="C308" t="s">
        <v>2393</v>
      </c>
      <c r="D308" t="s">
        <v>21</v>
      </c>
      <c r="E308" t="s">
        <v>22</v>
      </c>
      <c r="F308" t="s">
        <v>23</v>
      </c>
      <c r="G308">
        <v>1</v>
      </c>
      <c r="H308">
        <v>9791191562262</v>
      </c>
      <c r="I308" t="s">
        <v>143</v>
      </c>
      <c r="J308" t="s">
        <v>250</v>
      </c>
      <c r="K308" t="s">
        <v>251</v>
      </c>
      <c r="L308" t="s">
        <v>27</v>
      </c>
      <c r="M308" s="3">
        <v>2000</v>
      </c>
      <c r="N308" t="s">
        <v>27</v>
      </c>
      <c r="O308" s="3">
        <v>2000</v>
      </c>
      <c r="P308" s="3">
        <v>2000</v>
      </c>
      <c r="Q308" t="s">
        <v>30</v>
      </c>
      <c r="R308" s="2">
        <v>0.7</v>
      </c>
      <c r="S308" s="3">
        <v>1400</v>
      </c>
      <c r="T308" t="s">
        <v>27</v>
      </c>
      <c r="U308" s="3">
        <v>1400</v>
      </c>
      <c r="V308" s="7" t="s">
        <v>2557</v>
      </c>
      <c r="W308" s="7" t="s">
        <v>2557</v>
      </c>
    </row>
    <row r="309" spans="1:23" x14ac:dyDescent="0.4">
      <c r="A309" t="s">
        <v>262</v>
      </c>
      <c r="B309" t="s">
        <v>2394</v>
      </c>
      <c r="C309" t="s">
        <v>2396</v>
      </c>
      <c r="D309" t="s">
        <v>21</v>
      </c>
      <c r="E309" t="s">
        <v>22</v>
      </c>
      <c r="F309" t="s">
        <v>23</v>
      </c>
      <c r="G309">
        <v>1</v>
      </c>
      <c r="H309">
        <v>9791191562286</v>
      </c>
      <c r="I309" t="s">
        <v>143</v>
      </c>
      <c r="J309" t="s">
        <v>238</v>
      </c>
      <c r="K309" t="s">
        <v>239</v>
      </c>
      <c r="L309" t="s">
        <v>27</v>
      </c>
      <c r="M309" s="3">
        <v>2000</v>
      </c>
      <c r="N309" t="s">
        <v>27</v>
      </c>
      <c r="O309" s="3">
        <v>2000</v>
      </c>
      <c r="P309" s="3">
        <v>2000</v>
      </c>
      <c r="Q309" t="s">
        <v>30</v>
      </c>
      <c r="R309" s="2">
        <v>0.7</v>
      </c>
      <c r="S309" s="3">
        <v>1400</v>
      </c>
      <c r="T309" t="s">
        <v>27</v>
      </c>
      <c r="U309" s="3">
        <v>1400</v>
      </c>
      <c r="V309" s="7" t="s">
        <v>2557</v>
      </c>
      <c r="W309" s="7" t="s">
        <v>2557</v>
      </c>
    </row>
    <row r="310" spans="1:23" x14ac:dyDescent="0.4">
      <c r="A310" t="s">
        <v>262</v>
      </c>
      <c r="B310" t="s">
        <v>2394</v>
      </c>
      <c r="C310" t="s">
        <v>2401</v>
      </c>
      <c r="D310" t="s">
        <v>21</v>
      </c>
      <c r="E310" t="s">
        <v>22</v>
      </c>
      <c r="F310" t="s">
        <v>23</v>
      </c>
      <c r="G310">
        <v>1</v>
      </c>
      <c r="H310">
        <v>9791191562248</v>
      </c>
      <c r="I310" t="s">
        <v>143</v>
      </c>
      <c r="J310" t="s">
        <v>231</v>
      </c>
      <c r="K310" t="s">
        <v>232</v>
      </c>
      <c r="L310" t="s">
        <v>27</v>
      </c>
      <c r="M310" s="3">
        <v>2000</v>
      </c>
      <c r="N310" t="s">
        <v>27</v>
      </c>
      <c r="O310" s="3">
        <v>2000</v>
      </c>
      <c r="P310" s="3">
        <v>2000</v>
      </c>
      <c r="Q310" t="s">
        <v>30</v>
      </c>
      <c r="R310" s="2">
        <v>0.7</v>
      </c>
      <c r="S310" s="3">
        <v>1400</v>
      </c>
      <c r="T310" t="s">
        <v>27</v>
      </c>
      <c r="U310" s="3">
        <v>1400</v>
      </c>
      <c r="V310" s="7" t="s">
        <v>2557</v>
      </c>
      <c r="W310" s="7" t="s">
        <v>2557</v>
      </c>
    </row>
    <row r="311" spans="1:23" x14ac:dyDescent="0.4">
      <c r="A311" t="s">
        <v>262</v>
      </c>
      <c r="B311" t="s">
        <v>2394</v>
      </c>
      <c r="C311" t="s">
        <v>2410</v>
      </c>
      <c r="D311" t="s">
        <v>21</v>
      </c>
      <c r="E311" t="s">
        <v>22</v>
      </c>
      <c r="F311" t="s">
        <v>23</v>
      </c>
      <c r="G311">
        <v>1</v>
      </c>
      <c r="H311">
        <v>9791191562439</v>
      </c>
      <c r="I311" t="s">
        <v>143</v>
      </c>
      <c r="J311" t="s">
        <v>1661</v>
      </c>
      <c r="K311" t="s">
        <v>188</v>
      </c>
      <c r="L311" t="s">
        <v>27</v>
      </c>
      <c r="M311" s="3">
        <v>2500</v>
      </c>
      <c r="N311" t="s">
        <v>27</v>
      </c>
      <c r="O311" s="3">
        <v>2500</v>
      </c>
      <c r="P311" s="3">
        <v>2500</v>
      </c>
      <c r="Q311" t="s">
        <v>30</v>
      </c>
      <c r="R311" s="2">
        <v>0.7</v>
      </c>
      <c r="S311" s="3">
        <v>1750</v>
      </c>
      <c r="T311" t="s">
        <v>27</v>
      </c>
      <c r="U311" s="3">
        <v>1750</v>
      </c>
      <c r="V311" s="7" t="s">
        <v>2557</v>
      </c>
      <c r="W311" s="7" t="s">
        <v>2557</v>
      </c>
    </row>
    <row r="312" spans="1:23" x14ac:dyDescent="0.4">
      <c r="A312" t="s">
        <v>262</v>
      </c>
      <c r="B312" t="s">
        <v>2394</v>
      </c>
      <c r="C312" t="s">
        <v>2411</v>
      </c>
      <c r="D312" t="s">
        <v>21</v>
      </c>
      <c r="E312" t="s">
        <v>22</v>
      </c>
      <c r="F312" t="s">
        <v>23</v>
      </c>
      <c r="G312">
        <v>1</v>
      </c>
      <c r="H312">
        <v>9791191562361</v>
      </c>
      <c r="I312" t="s">
        <v>143</v>
      </c>
      <c r="J312" t="s">
        <v>916</v>
      </c>
      <c r="K312" t="s">
        <v>186</v>
      </c>
      <c r="L312" t="s">
        <v>27</v>
      </c>
      <c r="M312" s="3">
        <v>2000</v>
      </c>
      <c r="N312" t="s">
        <v>27</v>
      </c>
      <c r="O312" s="3">
        <v>2000</v>
      </c>
      <c r="P312" s="3">
        <v>2000</v>
      </c>
      <c r="Q312" t="s">
        <v>30</v>
      </c>
      <c r="R312" s="2">
        <v>0.7</v>
      </c>
      <c r="S312" s="3">
        <v>1400</v>
      </c>
      <c r="T312" t="s">
        <v>27</v>
      </c>
      <c r="U312" s="3">
        <v>1400</v>
      </c>
      <c r="V312" s="7" t="s">
        <v>2557</v>
      </c>
      <c r="W312" s="7" t="s">
        <v>2557</v>
      </c>
    </row>
    <row r="313" spans="1:23" x14ac:dyDescent="0.4">
      <c r="A313" t="s">
        <v>262</v>
      </c>
      <c r="B313" t="s">
        <v>2394</v>
      </c>
      <c r="C313" t="s">
        <v>2412</v>
      </c>
      <c r="D313" t="s">
        <v>21</v>
      </c>
      <c r="E313" t="s">
        <v>22</v>
      </c>
      <c r="F313" t="s">
        <v>23</v>
      </c>
      <c r="G313">
        <v>1</v>
      </c>
      <c r="H313">
        <v>9791191562453</v>
      </c>
      <c r="I313" t="s">
        <v>143</v>
      </c>
      <c r="J313" t="s">
        <v>1900</v>
      </c>
      <c r="K313" t="s">
        <v>1901</v>
      </c>
      <c r="L313" t="s">
        <v>27</v>
      </c>
      <c r="M313" s="3">
        <v>2500</v>
      </c>
      <c r="N313" t="s">
        <v>27</v>
      </c>
      <c r="O313" s="3">
        <v>2500</v>
      </c>
      <c r="P313" s="3">
        <v>2500</v>
      </c>
      <c r="Q313" t="s">
        <v>30</v>
      </c>
      <c r="R313" s="2">
        <v>0.7</v>
      </c>
      <c r="S313" s="3">
        <v>1750</v>
      </c>
      <c r="T313" t="s">
        <v>27</v>
      </c>
      <c r="U313" s="3">
        <v>1750</v>
      </c>
      <c r="V313" s="7" t="s">
        <v>2557</v>
      </c>
      <c r="W313" s="7" t="s">
        <v>2557</v>
      </c>
    </row>
    <row r="314" spans="1:23" x14ac:dyDescent="0.4">
      <c r="A314" t="s">
        <v>262</v>
      </c>
      <c r="B314" t="s">
        <v>2394</v>
      </c>
      <c r="C314" t="s">
        <v>2416</v>
      </c>
      <c r="D314" t="s">
        <v>21</v>
      </c>
      <c r="E314" t="s">
        <v>22</v>
      </c>
      <c r="F314" t="s">
        <v>23</v>
      </c>
      <c r="G314">
        <v>1</v>
      </c>
      <c r="H314">
        <v>9791191562361</v>
      </c>
      <c r="I314" t="s">
        <v>143</v>
      </c>
      <c r="J314" t="s">
        <v>916</v>
      </c>
      <c r="K314" t="s">
        <v>186</v>
      </c>
      <c r="L314" t="s">
        <v>27</v>
      </c>
      <c r="M314" s="3">
        <v>2000</v>
      </c>
      <c r="N314" t="s">
        <v>27</v>
      </c>
      <c r="O314" s="3">
        <v>2000</v>
      </c>
      <c r="P314" s="3">
        <v>2000</v>
      </c>
      <c r="Q314" t="s">
        <v>30</v>
      </c>
      <c r="R314" s="2">
        <v>0.7</v>
      </c>
      <c r="S314" s="3">
        <v>1400</v>
      </c>
      <c r="T314" t="s">
        <v>27</v>
      </c>
      <c r="U314" s="3">
        <v>1400</v>
      </c>
      <c r="V314" s="7" t="s">
        <v>2557</v>
      </c>
      <c r="W314" s="7" t="s">
        <v>2557</v>
      </c>
    </row>
    <row r="315" spans="1:23" x14ac:dyDescent="0.4">
      <c r="A315" t="s">
        <v>262</v>
      </c>
      <c r="B315" t="s">
        <v>2394</v>
      </c>
      <c r="C315" t="s">
        <v>2417</v>
      </c>
      <c r="D315" t="s">
        <v>21</v>
      </c>
      <c r="E315" t="s">
        <v>22</v>
      </c>
      <c r="F315" t="s">
        <v>23</v>
      </c>
      <c r="G315">
        <v>1</v>
      </c>
      <c r="H315">
        <v>9791191562361</v>
      </c>
      <c r="I315" t="s">
        <v>143</v>
      </c>
      <c r="J315" t="s">
        <v>916</v>
      </c>
      <c r="K315" t="s">
        <v>186</v>
      </c>
      <c r="L315" t="s">
        <v>27</v>
      </c>
      <c r="M315" s="3">
        <v>2000</v>
      </c>
      <c r="N315" t="s">
        <v>27</v>
      </c>
      <c r="O315" s="3">
        <v>2000</v>
      </c>
      <c r="P315" s="3">
        <v>2000</v>
      </c>
      <c r="Q315" t="s">
        <v>30</v>
      </c>
      <c r="R315" s="2">
        <v>0.7</v>
      </c>
      <c r="S315" s="3">
        <v>1400</v>
      </c>
      <c r="T315" t="s">
        <v>27</v>
      </c>
      <c r="U315" s="3">
        <v>1400</v>
      </c>
      <c r="V315" s="7" t="s">
        <v>2557</v>
      </c>
      <c r="W315" s="7" t="s">
        <v>2557</v>
      </c>
    </row>
    <row r="316" spans="1:23" x14ac:dyDescent="0.4">
      <c r="A316" t="s">
        <v>262</v>
      </c>
      <c r="B316" t="s">
        <v>2394</v>
      </c>
      <c r="C316" t="s">
        <v>2419</v>
      </c>
      <c r="D316" t="s">
        <v>21</v>
      </c>
      <c r="E316" t="s">
        <v>22</v>
      </c>
      <c r="F316" t="s">
        <v>23</v>
      </c>
      <c r="G316">
        <v>1</v>
      </c>
      <c r="H316">
        <v>9791191562286</v>
      </c>
      <c r="I316" t="s">
        <v>143</v>
      </c>
      <c r="J316" t="s">
        <v>238</v>
      </c>
      <c r="K316" t="s">
        <v>239</v>
      </c>
      <c r="L316" t="s">
        <v>27</v>
      </c>
      <c r="M316" s="3">
        <v>2000</v>
      </c>
      <c r="N316" t="s">
        <v>27</v>
      </c>
      <c r="O316" s="3">
        <v>2000</v>
      </c>
      <c r="P316" s="3">
        <v>2000</v>
      </c>
      <c r="Q316" t="s">
        <v>30</v>
      </c>
      <c r="R316" s="2">
        <v>0.7</v>
      </c>
      <c r="S316" s="3">
        <v>1400</v>
      </c>
      <c r="T316" t="s">
        <v>27</v>
      </c>
      <c r="U316" s="3">
        <v>1400</v>
      </c>
      <c r="V316" s="7" t="s">
        <v>2557</v>
      </c>
      <c r="W316" s="7" t="s">
        <v>2557</v>
      </c>
    </row>
    <row r="317" spans="1:23" x14ac:dyDescent="0.4">
      <c r="A317" t="s">
        <v>262</v>
      </c>
      <c r="B317" t="s">
        <v>2394</v>
      </c>
      <c r="C317" t="s">
        <v>2420</v>
      </c>
      <c r="D317" t="s">
        <v>21</v>
      </c>
      <c r="E317" t="s">
        <v>22</v>
      </c>
      <c r="F317" t="s">
        <v>23</v>
      </c>
      <c r="G317">
        <v>1</v>
      </c>
      <c r="H317">
        <v>9791191562385</v>
      </c>
      <c r="I317" t="s">
        <v>143</v>
      </c>
      <c r="J317" t="s">
        <v>936</v>
      </c>
      <c r="K317" t="s">
        <v>937</v>
      </c>
      <c r="L317" t="s">
        <v>27</v>
      </c>
      <c r="M317" s="3">
        <v>2000</v>
      </c>
      <c r="N317" t="s">
        <v>27</v>
      </c>
      <c r="O317" s="3">
        <v>2000</v>
      </c>
      <c r="P317" s="3">
        <v>2000</v>
      </c>
      <c r="Q317" t="s">
        <v>30</v>
      </c>
      <c r="R317" s="2">
        <v>0.7</v>
      </c>
      <c r="S317" s="3">
        <v>1400</v>
      </c>
      <c r="T317" t="s">
        <v>27</v>
      </c>
      <c r="U317" s="3">
        <v>1400</v>
      </c>
      <c r="V317" s="7" t="s">
        <v>2557</v>
      </c>
      <c r="W317" s="7" t="s">
        <v>2557</v>
      </c>
    </row>
    <row r="318" spans="1:23" x14ac:dyDescent="0.4">
      <c r="A318" t="s">
        <v>262</v>
      </c>
      <c r="B318" t="s">
        <v>2394</v>
      </c>
      <c r="C318" t="s">
        <v>2428</v>
      </c>
      <c r="D318" t="s">
        <v>21</v>
      </c>
      <c r="E318" t="s">
        <v>22</v>
      </c>
      <c r="F318" t="s">
        <v>23</v>
      </c>
      <c r="G318">
        <v>1</v>
      </c>
      <c r="H318">
        <v>9791191562286</v>
      </c>
      <c r="I318" t="s">
        <v>143</v>
      </c>
      <c r="J318" t="s">
        <v>238</v>
      </c>
      <c r="K318" t="s">
        <v>239</v>
      </c>
      <c r="L318" t="s">
        <v>27</v>
      </c>
      <c r="M318" s="3">
        <v>2000</v>
      </c>
      <c r="N318" t="s">
        <v>28</v>
      </c>
      <c r="O318">
        <v>1.65</v>
      </c>
      <c r="P318">
        <v>1.65</v>
      </c>
      <c r="Q318" t="s">
        <v>29</v>
      </c>
      <c r="R318" s="2">
        <v>0.7</v>
      </c>
      <c r="S318">
        <v>1.1499999999999999</v>
      </c>
      <c r="T318" t="s">
        <v>27</v>
      </c>
      <c r="U318" s="3">
        <v>1425</v>
      </c>
      <c r="V318" s="7" t="s">
        <v>2557</v>
      </c>
      <c r="W318" s="7" t="s">
        <v>2557</v>
      </c>
    </row>
    <row r="319" spans="1:23" x14ac:dyDescent="0.4">
      <c r="A319" t="s">
        <v>262</v>
      </c>
      <c r="B319" t="s">
        <v>2394</v>
      </c>
      <c r="C319" t="s">
        <v>2438</v>
      </c>
      <c r="D319" t="s">
        <v>21</v>
      </c>
      <c r="E319" t="s">
        <v>22</v>
      </c>
      <c r="F319" t="s">
        <v>23</v>
      </c>
      <c r="G319">
        <v>1</v>
      </c>
      <c r="H319">
        <v>9791191562125</v>
      </c>
      <c r="I319" t="s">
        <v>143</v>
      </c>
      <c r="J319" t="s">
        <v>212</v>
      </c>
      <c r="K319" t="s">
        <v>213</v>
      </c>
      <c r="L319" t="s">
        <v>27</v>
      </c>
      <c r="M319" s="3">
        <v>2500</v>
      </c>
      <c r="N319" t="s">
        <v>27</v>
      </c>
      <c r="O319" s="3">
        <v>2500</v>
      </c>
      <c r="P319" s="3">
        <v>2500</v>
      </c>
      <c r="Q319" t="s">
        <v>30</v>
      </c>
      <c r="R319" s="2">
        <v>0.7</v>
      </c>
      <c r="S319" s="3">
        <v>1750</v>
      </c>
      <c r="T319" t="s">
        <v>27</v>
      </c>
      <c r="U319" s="3">
        <v>1750</v>
      </c>
      <c r="V319" s="7" t="s">
        <v>2557</v>
      </c>
      <c r="W319" s="7" t="s">
        <v>2557</v>
      </c>
    </row>
    <row r="320" spans="1:23" x14ac:dyDescent="0.4">
      <c r="A320" t="s">
        <v>262</v>
      </c>
      <c r="B320" t="s">
        <v>2394</v>
      </c>
      <c r="C320" t="s">
        <v>2439</v>
      </c>
      <c r="D320" t="s">
        <v>21</v>
      </c>
      <c r="E320" t="s">
        <v>22</v>
      </c>
      <c r="F320" t="s">
        <v>23</v>
      </c>
      <c r="G320">
        <v>1</v>
      </c>
      <c r="H320">
        <v>9791191562286</v>
      </c>
      <c r="I320" t="s">
        <v>143</v>
      </c>
      <c r="J320" t="s">
        <v>238</v>
      </c>
      <c r="K320" t="s">
        <v>239</v>
      </c>
      <c r="L320" t="s">
        <v>27</v>
      </c>
      <c r="M320" s="3">
        <v>2000</v>
      </c>
      <c r="N320" t="s">
        <v>27</v>
      </c>
      <c r="O320" s="3">
        <v>2000</v>
      </c>
      <c r="P320" s="3">
        <v>2000</v>
      </c>
      <c r="Q320" t="s">
        <v>30</v>
      </c>
      <c r="R320" s="2">
        <v>0.7</v>
      </c>
      <c r="S320" s="3">
        <v>1400</v>
      </c>
      <c r="T320" t="s">
        <v>27</v>
      </c>
      <c r="U320" s="3">
        <v>1400</v>
      </c>
      <c r="V320" s="7" t="s">
        <v>2557</v>
      </c>
      <c r="W320" s="7" t="s">
        <v>2557</v>
      </c>
    </row>
    <row r="321" spans="1:23" x14ac:dyDescent="0.4">
      <c r="A321" t="s">
        <v>262</v>
      </c>
      <c r="B321" t="s">
        <v>2394</v>
      </c>
      <c r="C321" t="s">
        <v>2462</v>
      </c>
      <c r="D321" t="s">
        <v>21</v>
      </c>
      <c r="E321" t="s">
        <v>22</v>
      </c>
      <c r="F321" t="s">
        <v>23</v>
      </c>
      <c r="G321">
        <v>1</v>
      </c>
      <c r="H321">
        <v>9791191562439</v>
      </c>
      <c r="I321" t="s">
        <v>143</v>
      </c>
      <c r="J321" t="s">
        <v>1661</v>
      </c>
      <c r="K321" t="s">
        <v>188</v>
      </c>
      <c r="L321" t="s">
        <v>27</v>
      </c>
      <c r="M321" s="3">
        <v>2500</v>
      </c>
      <c r="N321" t="s">
        <v>27</v>
      </c>
      <c r="O321" s="3">
        <v>2500</v>
      </c>
      <c r="P321" s="3">
        <v>2500</v>
      </c>
      <c r="Q321" t="s">
        <v>30</v>
      </c>
      <c r="R321" s="2">
        <v>0.7</v>
      </c>
      <c r="S321" s="3">
        <v>1750</v>
      </c>
      <c r="T321" t="s">
        <v>27</v>
      </c>
      <c r="U321" s="3">
        <v>1750</v>
      </c>
      <c r="V321" s="7" t="s">
        <v>2557</v>
      </c>
      <c r="W321" s="7" t="s">
        <v>2557</v>
      </c>
    </row>
    <row r="322" spans="1:23" x14ac:dyDescent="0.4">
      <c r="A322" t="s">
        <v>262</v>
      </c>
      <c r="B322" t="s">
        <v>262</v>
      </c>
      <c r="C322" t="s">
        <v>2477</v>
      </c>
      <c r="D322" t="s">
        <v>21</v>
      </c>
      <c r="E322" t="s">
        <v>22</v>
      </c>
      <c r="F322" t="s">
        <v>23</v>
      </c>
      <c r="G322">
        <v>1</v>
      </c>
      <c r="H322">
        <v>9791191562361</v>
      </c>
      <c r="I322" t="s">
        <v>143</v>
      </c>
      <c r="J322" t="s">
        <v>916</v>
      </c>
      <c r="K322" t="s">
        <v>186</v>
      </c>
      <c r="L322" t="s">
        <v>27</v>
      </c>
      <c r="M322" s="3">
        <v>2000</v>
      </c>
      <c r="N322" t="s">
        <v>27</v>
      </c>
      <c r="O322" s="3">
        <v>2000</v>
      </c>
      <c r="P322" s="3">
        <v>2000</v>
      </c>
      <c r="Q322" t="s">
        <v>30</v>
      </c>
      <c r="R322" s="2">
        <v>0.7</v>
      </c>
      <c r="S322" s="3">
        <v>1400</v>
      </c>
      <c r="T322" t="s">
        <v>27</v>
      </c>
      <c r="U322" s="3">
        <v>1400</v>
      </c>
      <c r="V322" s="7" t="s">
        <v>2557</v>
      </c>
      <c r="W322" s="7" t="s">
        <v>2557</v>
      </c>
    </row>
    <row r="323" spans="1:23" x14ac:dyDescent="0.4">
      <c r="A323" t="s">
        <v>262</v>
      </c>
      <c r="B323" t="s">
        <v>262</v>
      </c>
      <c r="C323" t="s">
        <v>2478</v>
      </c>
      <c r="D323" t="s">
        <v>21</v>
      </c>
      <c r="E323" t="s">
        <v>22</v>
      </c>
      <c r="F323" t="s">
        <v>23</v>
      </c>
      <c r="G323">
        <v>1</v>
      </c>
      <c r="H323">
        <v>9791191562415</v>
      </c>
      <c r="I323" t="s">
        <v>143</v>
      </c>
      <c r="J323" t="s">
        <v>1077</v>
      </c>
      <c r="K323" t="s">
        <v>1078</v>
      </c>
      <c r="L323" t="s">
        <v>27</v>
      </c>
      <c r="M323" s="3">
        <v>2000</v>
      </c>
      <c r="N323" t="s">
        <v>27</v>
      </c>
      <c r="O323" s="3">
        <v>2000</v>
      </c>
      <c r="P323" s="3">
        <v>2000</v>
      </c>
      <c r="Q323" t="s">
        <v>30</v>
      </c>
      <c r="R323" s="2">
        <v>0.7</v>
      </c>
      <c r="S323" s="3">
        <v>1400</v>
      </c>
      <c r="T323" t="s">
        <v>27</v>
      </c>
      <c r="U323" s="3">
        <v>1400</v>
      </c>
      <c r="V323" s="7" t="s">
        <v>2557</v>
      </c>
      <c r="W323" s="7" t="s">
        <v>2557</v>
      </c>
    </row>
    <row r="324" spans="1:23" x14ac:dyDescent="0.4">
      <c r="A324" t="s">
        <v>262</v>
      </c>
      <c r="B324" t="s">
        <v>262</v>
      </c>
      <c r="C324" t="s">
        <v>2488</v>
      </c>
      <c r="D324" t="s">
        <v>21</v>
      </c>
      <c r="E324" t="s">
        <v>22</v>
      </c>
      <c r="F324" t="s">
        <v>23</v>
      </c>
      <c r="G324">
        <v>1</v>
      </c>
      <c r="H324">
        <v>9791191562415</v>
      </c>
      <c r="I324" t="s">
        <v>143</v>
      </c>
      <c r="J324" t="s">
        <v>1077</v>
      </c>
      <c r="K324" t="s">
        <v>1078</v>
      </c>
      <c r="L324" t="s">
        <v>27</v>
      </c>
      <c r="M324" s="3">
        <v>2000</v>
      </c>
      <c r="N324" t="s">
        <v>27</v>
      </c>
      <c r="O324" s="3">
        <v>2000</v>
      </c>
      <c r="P324" s="3">
        <v>2000</v>
      </c>
      <c r="Q324" t="s">
        <v>30</v>
      </c>
      <c r="R324" s="2">
        <v>0.7</v>
      </c>
      <c r="S324" s="3">
        <v>1400</v>
      </c>
      <c r="T324" t="s">
        <v>27</v>
      </c>
      <c r="U324" s="3">
        <v>1400</v>
      </c>
      <c r="V324" s="7" t="s">
        <v>2557</v>
      </c>
      <c r="W324" s="7" t="s">
        <v>2557</v>
      </c>
    </row>
    <row r="325" spans="1:23" x14ac:dyDescent="0.4">
      <c r="A325" t="s">
        <v>262</v>
      </c>
      <c r="B325" t="s">
        <v>262</v>
      </c>
      <c r="C325" t="s">
        <v>2491</v>
      </c>
      <c r="D325" t="s">
        <v>21</v>
      </c>
      <c r="E325" t="s">
        <v>22</v>
      </c>
      <c r="F325" t="s">
        <v>23</v>
      </c>
      <c r="G325">
        <v>1</v>
      </c>
      <c r="H325">
        <v>9791191562439</v>
      </c>
      <c r="I325" t="s">
        <v>143</v>
      </c>
      <c r="J325" t="s">
        <v>1661</v>
      </c>
      <c r="K325" t="s">
        <v>188</v>
      </c>
      <c r="L325" t="s">
        <v>27</v>
      </c>
      <c r="M325" s="3">
        <v>2500</v>
      </c>
      <c r="N325" t="s">
        <v>27</v>
      </c>
      <c r="O325" s="3">
        <v>2500</v>
      </c>
      <c r="P325" s="3">
        <v>2500</v>
      </c>
      <c r="Q325" t="s">
        <v>30</v>
      </c>
      <c r="R325" s="2">
        <v>0.7</v>
      </c>
      <c r="S325" s="3">
        <v>1750</v>
      </c>
      <c r="T325" t="s">
        <v>27</v>
      </c>
      <c r="U325" s="3">
        <v>1750</v>
      </c>
      <c r="V325" s="7" t="s">
        <v>2557</v>
      </c>
      <c r="W325" s="7" t="s">
        <v>2557</v>
      </c>
    </row>
    <row r="326" spans="1:23" x14ac:dyDescent="0.4">
      <c r="A326" t="s">
        <v>262</v>
      </c>
      <c r="B326" t="s">
        <v>262</v>
      </c>
      <c r="C326" t="s">
        <v>2500</v>
      </c>
      <c r="D326" t="s">
        <v>21</v>
      </c>
      <c r="E326" t="s">
        <v>22</v>
      </c>
      <c r="F326" t="s">
        <v>23</v>
      </c>
      <c r="G326">
        <v>1</v>
      </c>
      <c r="H326">
        <v>9791191562361</v>
      </c>
      <c r="I326" t="s">
        <v>143</v>
      </c>
      <c r="J326" t="s">
        <v>916</v>
      </c>
      <c r="K326" t="s">
        <v>186</v>
      </c>
      <c r="L326" t="s">
        <v>27</v>
      </c>
      <c r="M326" s="3">
        <v>2000</v>
      </c>
      <c r="N326" t="s">
        <v>191</v>
      </c>
      <c r="O326">
        <v>2.4</v>
      </c>
      <c r="P326">
        <v>2.1800000000000002</v>
      </c>
      <c r="Q326" t="s">
        <v>190</v>
      </c>
      <c r="R326" s="2">
        <v>0.7</v>
      </c>
      <c r="S326">
        <v>1.53</v>
      </c>
      <c r="T326" t="s">
        <v>27</v>
      </c>
      <c r="U326" s="3">
        <v>1359</v>
      </c>
      <c r="V326" s="7" t="s">
        <v>2557</v>
      </c>
      <c r="W326" s="7" t="s">
        <v>2557</v>
      </c>
    </row>
    <row r="327" spans="1:23" x14ac:dyDescent="0.4">
      <c r="A327" t="s">
        <v>262</v>
      </c>
      <c r="B327" t="s">
        <v>262</v>
      </c>
      <c r="C327" t="s">
        <v>2501</v>
      </c>
      <c r="D327" t="s">
        <v>21</v>
      </c>
      <c r="E327" t="s">
        <v>22</v>
      </c>
      <c r="F327" t="s">
        <v>23</v>
      </c>
      <c r="G327">
        <v>1</v>
      </c>
      <c r="H327">
        <v>9791191562361</v>
      </c>
      <c r="I327" t="s">
        <v>143</v>
      </c>
      <c r="J327" t="s">
        <v>916</v>
      </c>
      <c r="K327" t="s">
        <v>186</v>
      </c>
      <c r="L327" t="s">
        <v>27</v>
      </c>
      <c r="M327" s="3">
        <v>2000</v>
      </c>
      <c r="N327" t="s">
        <v>27</v>
      </c>
      <c r="O327" s="3">
        <v>2000</v>
      </c>
      <c r="P327" s="3">
        <v>2000</v>
      </c>
      <c r="Q327" t="s">
        <v>30</v>
      </c>
      <c r="R327" s="2">
        <v>0.7</v>
      </c>
      <c r="S327" s="3">
        <v>1400</v>
      </c>
      <c r="T327" t="s">
        <v>27</v>
      </c>
      <c r="U327" s="3">
        <v>1400</v>
      </c>
      <c r="V327" s="7" t="s">
        <v>2557</v>
      </c>
      <c r="W327" s="7" t="s">
        <v>2557</v>
      </c>
    </row>
    <row r="328" spans="1:23" x14ac:dyDescent="0.4">
      <c r="A328" t="s">
        <v>262</v>
      </c>
      <c r="B328" t="s">
        <v>262</v>
      </c>
      <c r="C328" t="s">
        <v>2508</v>
      </c>
      <c r="D328" t="s">
        <v>21</v>
      </c>
      <c r="E328" t="s">
        <v>22</v>
      </c>
      <c r="F328" t="s">
        <v>23</v>
      </c>
      <c r="G328">
        <v>1</v>
      </c>
      <c r="H328">
        <v>9791191562286</v>
      </c>
      <c r="I328" t="s">
        <v>143</v>
      </c>
      <c r="J328" t="s">
        <v>238</v>
      </c>
      <c r="K328" t="s">
        <v>239</v>
      </c>
      <c r="L328" t="s">
        <v>27</v>
      </c>
      <c r="M328" s="3">
        <v>2000</v>
      </c>
      <c r="N328" t="s">
        <v>27</v>
      </c>
      <c r="O328" s="3">
        <v>2000</v>
      </c>
      <c r="P328" s="3">
        <v>2000</v>
      </c>
      <c r="Q328" t="s">
        <v>30</v>
      </c>
      <c r="R328" s="2">
        <v>0.7</v>
      </c>
      <c r="S328" s="3">
        <v>1400</v>
      </c>
      <c r="T328" t="s">
        <v>27</v>
      </c>
      <c r="U328" s="3">
        <v>1400</v>
      </c>
      <c r="V328" s="7" t="s">
        <v>2557</v>
      </c>
      <c r="W328" s="7" t="s">
        <v>2557</v>
      </c>
    </row>
    <row r="329" spans="1:23" x14ac:dyDescent="0.4">
      <c r="A329" t="s">
        <v>262</v>
      </c>
      <c r="B329" t="s">
        <v>262</v>
      </c>
      <c r="C329" t="s">
        <v>2510</v>
      </c>
      <c r="D329" t="s">
        <v>21</v>
      </c>
      <c r="E329" t="s">
        <v>22</v>
      </c>
      <c r="F329" t="s">
        <v>23</v>
      </c>
      <c r="G329">
        <v>1</v>
      </c>
      <c r="H329">
        <v>9791191562002</v>
      </c>
      <c r="I329" t="s">
        <v>143</v>
      </c>
      <c r="J329" t="s">
        <v>193</v>
      </c>
      <c r="K329" t="s">
        <v>192</v>
      </c>
      <c r="L329" t="s">
        <v>27</v>
      </c>
      <c r="M329" s="3">
        <v>2500</v>
      </c>
      <c r="N329" t="s">
        <v>27</v>
      </c>
      <c r="O329" s="3">
        <v>2500</v>
      </c>
      <c r="P329" s="3">
        <v>2500</v>
      </c>
      <c r="Q329" t="s">
        <v>30</v>
      </c>
      <c r="R329" s="2">
        <v>0.7</v>
      </c>
      <c r="S329" s="3">
        <v>1750</v>
      </c>
      <c r="T329" t="s">
        <v>27</v>
      </c>
      <c r="U329" s="3">
        <v>1750</v>
      </c>
      <c r="V329" s="7" t="s">
        <v>2557</v>
      </c>
      <c r="W329" s="7" t="s">
        <v>2557</v>
      </c>
    </row>
    <row r="330" spans="1:23" x14ac:dyDescent="0.4">
      <c r="A330" t="s">
        <v>262</v>
      </c>
      <c r="B330" t="s">
        <v>262</v>
      </c>
      <c r="C330" t="s">
        <v>2511</v>
      </c>
      <c r="D330" t="s">
        <v>21</v>
      </c>
      <c r="E330" t="s">
        <v>22</v>
      </c>
      <c r="F330" t="s">
        <v>23</v>
      </c>
      <c r="G330">
        <v>1</v>
      </c>
      <c r="H330">
        <v>9791191562439</v>
      </c>
      <c r="I330" t="s">
        <v>143</v>
      </c>
      <c r="J330" t="s">
        <v>1661</v>
      </c>
      <c r="K330" t="s">
        <v>188</v>
      </c>
      <c r="L330" t="s">
        <v>27</v>
      </c>
      <c r="M330" s="3">
        <v>2500</v>
      </c>
      <c r="N330" t="s">
        <v>27</v>
      </c>
      <c r="O330" s="3">
        <v>2500</v>
      </c>
      <c r="P330" s="3">
        <v>2500</v>
      </c>
      <c r="Q330" t="s">
        <v>30</v>
      </c>
      <c r="R330" s="2">
        <v>0.7</v>
      </c>
      <c r="S330" s="3">
        <v>1750</v>
      </c>
      <c r="T330" t="s">
        <v>27</v>
      </c>
      <c r="U330" s="3">
        <v>1750</v>
      </c>
      <c r="V330" s="7" t="s">
        <v>2557</v>
      </c>
      <c r="W330" s="7" t="s">
        <v>2557</v>
      </c>
    </row>
    <row r="331" spans="1:23" x14ac:dyDescent="0.4">
      <c r="A331" t="s">
        <v>262</v>
      </c>
      <c r="B331" t="s">
        <v>262</v>
      </c>
      <c r="C331" t="s">
        <v>2515</v>
      </c>
      <c r="D331" t="s">
        <v>21</v>
      </c>
      <c r="E331" t="s">
        <v>22</v>
      </c>
      <c r="F331" t="s">
        <v>23</v>
      </c>
      <c r="G331">
        <v>1</v>
      </c>
      <c r="H331">
        <v>9791191562439</v>
      </c>
      <c r="I331" t="s">
        <v>143</v>
      </c>
      <c r="J331" t="s">
        <v>1661</v>
      </c>
      <c r="K331" t="s">
        <v>188</v>
      </c>
      <c r="L331" t="s">
        <v>27</v>
      </c>
      <c r="M331" s="3">
        <v>2500</v>
      </c>
      <c r="N331" t="s">
        <v>27</v>
      </c>
      <c r="O331" s="3">
        <v>2500</v>
      </c>
      <c r="P331" s="3">
        <v>2500</v>
      </c>
      <c r="Q331" t="s">
        <v>30</v>
      </c>
      <c r="R331" s="2">
        <v>0.7</v>
      </c>
      <c r="S331" s="3">
        <v>1750</v>
      </c>
      <c r="T331" t="s">
        <v>27</v>
      </c>
      <c r="U331" s="3">
        <v>1750</v>
      </c>
      <c r="V331" s="7" t="s">
        <v>2557</v>
      </c>
      <c r="W331" s="7" t="s">
        <v>2557</v>
      </c>
    </row>
    <row r="332" spans="1:23" x14ac:dyDescent="0.4">
      <c r="A332" t="s">
        <v>262</v>
      </c>
      <c r="B332" t="s">
        <v>262</v>
      </c>
      <c r="C332" t="s">
        <v>2519</v>
      </c>
      <c r="D332" t="s">
        <v>21</v>
      </c>
      <c r="E332" t="s">
        <v>22</v>
      </c>
      <c r="F332" t="s">
        <v>23</v>
      </c>
      <c r="G332">
        <v>1</v>
      </c>
      <c r="H332">
        <v>9791191562262</v>
      </c>
      <c r="I332" t="s">
        <v>143</v>
      </c>
      <c r="J332" t="s">
        <v>250</v>
      </c>
      <c r="K332" t="s">
        <v>251</v>
      </c>
      <c r="L332" t="s">
        <v>27</v>
      </c>
      <c r="M332" s="3">
        <v>2000</v>
      </c>
      <c r="N332" t="s">
        <v>27</v>
      </c>
      <c r="O332" s="3">
        <v>2000</v>
      </c>
      <c r="P332" s="3">
        <v>2000</v>
      </c>
      <c r="Q332" t="s">
        <v>30</v>
      </c>
      <c r="R332" s="2">
        <v>0.7</v>
      </c>
      <c r="S332" s="3">
        <v>1400</v>
      </c>
      <c r="T332" t="s">
        <v>27</v>
      </c>
      <c r="U332" s="3">
        <v>1400</v>
      </c>
      <c r="V332" s="7" t="s">
        <v>2557</v>
      </c>
      <c r="W332" s="7" t="s">
        <v>2557</v>
      </c>
    </row>
    <row r="333" spans="1:23" x14ac:dyDescent="0.4">
      <c r="A333" t="s">
        <v>262</v>
      </c>
      <c r="B333" t="s">
        <v>262</v>
      </c>
      <c r="C333" t="s">
        <v>2521</v>
      </c>
      <c r="D333" t="s">
        <v>21</v>
      </c>
      <c r="E333" t="s">
        <v>22</v>
      </c>
      <c r="F333" t="s">
        <v>23</v>
      </c>
      <c r="G333">
        <v>1</v>
      </c>
      <c r="H333">
        <v>9791191562316</v>
      </c>
      <c r="I333" t="s">
        <v>143</v>
      </c>
      <c r="J333" t="s">
        <v>229</v>
      </c>
      <c r="K333" t="s">
        <v>230</v>
      </c>
      <c r="L333" t="s">
        <v>27</v>
      </c>
      <c r="M333" s="3">
        <v>2500</v>
      </c>
      <c r="N333" t="s">
        <v>27</v>
      </c>
      <c r="O333" s="3">
        <v>2500</v>
      </c>
      <c r="P333" s="3">
        <v>2500</v>
      </c>
      <c r="Q333" t="s">
        <v>30</v>
      </c>
      <c r="R333" s="2">
        <v>0.7</v>
      </c>
      <c r="S333" s="3">
        <v>1750</v>
      </c>
      <c r="T333" t="s">
        <v>27</v>
      </c>
      <c r="U333" s="3">
        <v>1750</v>
      </c>
      <c r="V333" s="7" t="s">
        <v>2557</v>
      </c>
      <c r="W333" s="7" t="s">
        <v>2557</v>
      </c>
    </row>
    <row r="334" spans="1:23" x14ac:dyDescent="0.4">
      <c r="A334" t="s">
        <v>262</v>
      </c>
      <c r="B334" t="s">
        <v>262</v>
      </c>
      <c r="C334" t="s">
        <v>2537</v>
      </c>
      <c r="D334" t="s">
        <v>21</v>
      </c>
      <c r="E334" t="s">
        <v>22</v>
      </c>
      <c r="F334" t="s">
        <v>23</v>
      </c>
      <c r="G334">
        <v>1</v>
      </c>
      <c r="H334">
        <v>9791191562262</v>
      </c>
      <c r="I334" t="s">
        <v>143</v>
      </c>
      <c r="J334" t="s">
        <v>250</v>
      </c>
      <c r="K334" t="s">
        <v>251</v>
      </c>
      <c r="L334" t="s">
        <v>27</v>
      </c>
      <c r="M334" s="3">
        <v>2000</v>
      </c>
      <c r="N334" t="s">
        <v>27</v>
      </c>
      <c r="O334" s="3">
        <v>2000</v>
      </c>
      <c r="P334" s="3">
        <v>2000</v>
      </c>
      <c r="Q334" t="s">
        <v>30</v>
      </c>
      <c r="R334" s="2">
        <v>0.7</v>
      </c>
      <c r="S334" s="3">
        <v>1400</v>
      </c>
      <c r="T334" t="s">
        <v>27</v>
      </c>
      <c r="U334" s="3">
        <v>1400</v>
      </c>
      <c r="V334" s="7" t="s">
        <v>2557</v>
      </c>
      <c r="W334" s="7" t="s">
        <v>2557</v>
      </c>
    </row>
    <row r="335" spans="1:23" x14ac:dyDescent="0.4">
      <c r="A335" t="s">
        <v>262</v>
      </c>
      <c r="B335" t="s">
        <v>262</v>
      </c>
      <c r="C335" t="s">
        <v>2545</v>
      </c>
      <c r="D335" t="s">
        <v>21</v>
      </c>
      <c r="E335" t="s">
        <v>22</v>
      </c>
      <c r="F335" t="s">
        <v>23</v>
      </c>
      <c r="G335">
        <v>1</v>
      </c>
      <c r="H335">
        <v>9791191562248</v>
      </c>
      <c r="I335" t="s">
        <v>143</v>
      </c>
      <c r="J335" t="s">
        <v>231</v>
      </c>
      <c r="K335" t="s">
        <v>232</v>
      </c>
      <c r="L335" t="s">
        <v>27</v>
      </c>
      <c r="M335" s="3">
        <v>2000</v>
      </c>
      <c r="N335" t="s">
        <v>27</v>
      </c>
      <c r="O335" s="3">
        <v>2000</v>
      </c>
      <c r="P335" s="3">
        <v>2000</v>
      </c>
      <c r="Q335" t="s">
        <v>30</v>
      </c>
      <c r="R335" s="2">
        <v>0.7</v>
      </c>
      <c r="S335" s="3">
        <v>1400</v>
      </c>
      <c r="T335" t="s">
        <v>27</v>
      </c>
      <c r="U335" s="3">
        <v>1400</v>
      </c>
      <c r="V335" s="7" t="s">
        <v>2557</v>
      </c>
      <c r="W335" s="7" t="s">
        <v>2557</v>
      </c>
    </row>
    <row r="336" spans="1:23" x14ac:dyDescent="0.4">
      <c r="A336" t="s">
        <v>262</v>
      </c>
      <c r="B336" t="s">
        <v>262</v>
      </c>
      <c r="C336" t="s">
        <v>2547</v>
      </c>
      <c r="D336" t="s">
        <v>21</v>
      </c>
      <c r="E336" t="s">
        <v>22</v>
      </c>
      <c r="F336" t="s">
        <v>23</v>
      </c>
      <c r="G336">
        <v>1</v>
      </c>
      <c r="H336">
        <v>9791191562477</v>
      </c>
      <c r="I336" t="s">
        <v>143</v>
      </c>
      <c r="J336" t="s">
        <v>2548</v>
      </c>
      <c r="K336" t="s">
        <v>2549</v>
      </c>
      <c r="L336" t="s">
        <v>27</v>
      </c>
      <c r="M336" s="3">
        <v>2000</v>
      </c>
      <c r="N336" t="s">
        <v>27</v>
      </c>
      <c r="O336" s="3">
        <v>2000</v>
      </c>
      <c r="P336" s="3">
        <v>2000</v>
      </c>
      <c r="Q336" t="s">
        <v>30</v>
      </c>
      <c r="R336" s="2">
        <v>0.7</v>
      </c>
      <c r="S336" s="3">
        <v>1400</v>
      </c>
      <c r="T336" t="s">
        <v>27</v>
      </c>
      <c r="U336" s="3">
        <v>1400</v>
      </c>
      <c r="V336" s="7" t="s">
        <v>2557</v>
      </c>
      <c r="W336" s="7" t="s">
        <v>2557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365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7.199218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2.3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263</v>
      </c>
      <c r="C2" t="s">
        <v>277</v>
      </c>
      <c r="D2" t="s">
        <v>64</v>
      </c>
      <c r="E2" t="s">
        <v>22</v>
      </c>
      <c r="F2" t="s">
        <v>23</v>
      </c>
      <c r="G2">
        <v>1</v>
      </c>
      <c r="H2">
        <v>9791166061103</v>
      </c>
      <c r="I2" t="s">
        <v>24</v>
      </c>
      <c r="J2" t="s">
        <v>96</v>
      </c>
      <c r="K2" t="s">
        <v>37</v>
      </c>
      <c r="L2" t="s">
        <v>27</v>
      </c>
      <c r="M2">
        <v>900</v>
      </c>
      <c r="N2" t="s">
        <v>27</v>
      </c>
      <c r="O2">
        <v>900</v>
      </c>
      <c r="P2">
        <v>900</v>
      </c>
      <c r="Q2" t="s">
        <v>30</v>
      </c>
      <c r="R2" s="2">
        <v>0.7</v>
      </c>
      <c r="S2">
        <v>630</v>
      </c>
      <c r="T2" t="s">
        <v>27</v>
      </c>
      <c r="U2">
        <v>630</v>
      </c>
      <c r="V2" s="7" t="s">
        <v>24</v>
      </c>
      <c r="W2" s="7" t="s">
        <v>37</v>
      </c>
    </row>
    <row r="3" spans="1:23" x14ac:dyDescent="0.4">
      <c r="A3" t="s">
        <v>262</v>
      </c>
      <c r="B3" t="s">
        <v>263</v>
      </c>
      <c r="C3" t="s">
        <v>279</v>
      </c>
      <c r="D3" t="s">
        <v>64</v>
      </c>
      <c r="E3" t="s">
        <v>22</v>
      </c>
      <c r="F3" t="s">
        <v>23</v>
      </c>
      <c r="G3">
        <v>1</v>
      </c>
      <c r="H3">
        <v>9791159283086</v>
      </c>
      <c r="I3" t="s">
        <v>24</v>
      </c>
      <c r="J3" t="s">
        <v>72</v>
      </c>
      <c r="K3" t="s">
        <v>37</v>
      </c>
      <c r="L3" t="s">
        <v>27</v>
      </c>
      <c r="M3">
        <v>900</v>
      </c>
      <c r="N3" t="s">
        <v>27</v>
      </c>
      <c r="O3">
        <v>900</v>
      </c>
      <c r="P3">
        <v>900</v>
      </c>
      <c r="Q3" t="s">
        <v>30</v>
      </c>
      <c r="R3" s="2">
        <v>0.7</v>
      </c>
      <c r="S3">
        <v>630</v>
      </c>
      <c r="T3" t="s">
        <v>27</v>
      </c>
      <c r="U3">
        <v>630</v>
      </c>
      <c r="V3" s="7" t="s">
        <v>24</v>
      </c>
      <c r="W3" s="7" t="s">
        <v>37</v>
      </c>
    </row>
    <row r="4" spans="1:23" x14ac:dyDescent="0.4">
      <c r="A4" t="s">
        <v>262</v>
      </c>
      <c r="B4" t="s">
        <v>263</v>
      </c>
      <c r="C4" t="s">
        <v>286</v>
      </c>
      <c r="D4" t="s">
        <v>21</v>
      </c>
      <c r="E4" t="s">
        <v>22</v>
      </c>
      <c r="F4" t="s">
        <v>23</v>
      </c>
      <c r="G4">
        <v>1</v>
      </c>
      <c r="H4">
        <v>9791197098444</v>
      </c>
      <c r="I4" t="s">
        <v>24</v>
      </c>
      <c r="J4" t="s">
        <v>259</v>
      </c>
      <c r="K4" t="s">
        <v>37</v>
      </c>
      <c r="L4" t="s">
        <v>27</v>
      </c>
      <c r="M4" s="3">
        <v>3200</v>
      </c>
      <c r="N4" t="s">
        <v>27</v>
      </c>
      <c r="O4" s="3">
        <v>3200</v>
      </c>
      <c r="P4" s="3">
        <v>3200</v>
      </c>
      <c r="Q4" t="s">
        <v>30</v>
      </c>
      <c r="R4" s="2">
        <v>0.7</v>
      </c>
      <c r="S4" s="3">
        <v>2240</v>
      </c>
      <c r="T4" t="s">
        <v>27</v>
      </c>
      <c r="U4" s="3">
        <v>2240</v>
      </c>
      <c r="V4" s="7" t="s">
        <v>24</v>
      </c>
      <c r="W4" s="7" t="s">
        <v>37</v>
      </c>
    </row>
    <row r="5" spans="1:23" x14ac:dyDescent="0.4">
      <c r="A5" t="s">
        <v>262</v>
      </c>
      <c r="B5" t="s">
        <v>263</v>
      </c>
      <c r="C5" t="s">
        <v>299</v>
      </c>
      <c r="D5" t="s">
        <v>21</v>
      </c>
      <c r="E5" t="s">
        <v>22</v>
      </c>
      <c r="F5" t="s">
        <v>23</v>
      </c>
      <c r="G5">
        <v>1</v>
      </c>
      <c r="H5">
        <v>9791197098451</v>
      </c>
      <c r="I5" t="s">
        <v>24</v>
      </c>
      <c r="J5" t="s">
        <v>260</v>
      </c>
      <c r="K5" t="s">
        <v>37</v>
      </c>
      <c r="L5" t="s">
        <v>27</v>
      </c>
      <c r="M5" s="3">
        <v>3200</v>
      </c>
      <c r="N5" t="s">
        <v>27</v>
      </c>
      <c r="O5" s="3">
        <v>3200</v>
      </c>
      <c r="P5" s="3">
        <v>3200</v>
      </c>
      <c r="Q5" t="s">
        <v>30</v>
      </c>
      <c r="R5" s="2">
        <v>0.7</v>
      </c>
      <c r="S5" s="3">
        <v>2240</v>
      </c>
      <c r="T5" t="s">
        <v>27</v>
      </c>
      <c r="U5" s="3">
        <v>2240</v>
      </c>
      <c r="V5" s="7" t="s">
        <v>24</v>
      </c>
      <c r="W5" s="7" t="s">
        <v>37</v>
      </c>
    </row>
    <row r="6" spans="1:23" x14ac:dyDescent="0.4">
      <c r="A6" t="s">
        <v>262</v>
      </c>
      <c r="B6" t="s">
        <v>263</v>
      </c>
      <c r="C6" t="s">
        <v>304</v>
      </c>
      <c r="D6" t="s">
        <v>64</v>
      </c>
      <c r="E6" t="s">
        <v>22</v>
      </c>
      <c r="F6" t="s">
        <v>23</v>
      </c>
      <c r="G6">
        <v>1</v>
      </c>
      <c r="H6">
        <v>9791159285912</v>
      </c>
      <c r="I6" t="s">
        <v>24</v>
      </c>
      <c r="J6" t="s">
        <v>63</v>
      </c>
      <c r="K6" t="s">
        <v>37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">
        <v>24</v>
      </c>
      <c r="W6" s="7" t="s">
        <v>37</v>
      </c>
    </row>
    <row r="7" spans="1:23" x14ac:dyDescent="0.4">
      <c r="A7" t="s">
        <v>262</v>
      </c>
      <c r="B7" t="s">
        <v>326</v>
      </c>
      <c r="C7" t="s">
        <v>330</v>
      </c>
      <c r="D7" t="s">
        <v>21</v>
      </c>
      <c r="E7" t="s">
        <v>22</v>
      </c>
      <c r="F7" t="s">
        <v>23</v>
      </c>
      <c r="G7">
        <v>1</v>
      </c>
      <c r="H7">
        <v>9791166064111</v>
      </c>
      <c r="I7" t="s">
        <v>24</v>
      </c>
      <c r="J7" t="s">
        <v>94</v>
      </c>
      <c r="K7" t="s">
        <v>37</v>
      </c>
      <c r="L7" t="s">
        <v>27</v>
      </c>
      <c r="M7" s="3">
        <v>3200</v>
      </c>
      <c r="N7" t="s">
        <v>219</v>
      </c>
      <c r="O7">
        <v>3.8</v>
      </c>
      <c r="P7">
        <v>3.3</v>
      </c>
      <c r="Q7" t="s">
        <v>220</v>
      </c>
      <c r="R7" s="2">
        <v>0.7</v>
      </c>
      <c r="S7">
        <v>2.31</v>
      </c>
      <c r="T7" t="s">
        <v>27</v>
      </c>
      <c r="U7" s="3">
        <v>1882</v>
      </c>
      <c r="V7" s="7" t="s">
        <v>24</v>
      </c>
      <c r="W7" s="7" t="s">
        <v>37</v>
      </c>
    </row>
    <row r="8" spans="1:23" x14ac:dyDescent="0.4">
      <c r="A8" t="s">
        <v>262</v>
      </c>
      <c r="B8" t="s">
        <v>326</v>
      </c>
      <c r="C8" t="s">
        <v>335</v>
      </c>
      <c r="D8" t="s">
        <v>64</v>
      </c>
      <c r="E8" t="s">
        <v>22</v>
      </c>
      <c r="F8" t="s">
        <v>23</v>
      </c>
      <c r="G8">
        <v>1</v>
      </c>
      <c r="H8">
        <v>9791166061080</v>
      </c>
      <c r="I8" t="s">
        <v>24</v>
      </c>
      <c r="J8" t="s">
        <v>74</v>
      </c>
      <c r="K8" t="s">
        <v>37</v>
      </c>
      <c r="L8" t="s">
        <v>27</v>
      </c>
      <c r="M8">
        <v>900</v>
      </c>
      <c r="N8" t="s">
        <v>27</v>
      </c>
      <c r="O8">
        <v>900</v>
      </c>
      <c r="P8">
        <v>900</v>
      </c>
      <c r="Q8" t="s">
        <v>30</v>
      </c>
      <c r="R8" s="2">
        <v>0.7</v>
      </c>
      <c r="S8">
        <v>630</v>
      </c>
      <c r="T8" t="s">
        <v>27</v>
      </c>
      <c r="U8">
        <v>630</v>
      </c>
      <c r="V8" s="7" t="s">
        <v>24</v>
      </c>
      <c r="W8" s="7" t="s">
        <v>37</v>
      </c>
    </row>
    <row r="9" spans="1:23" x14ac:dyDescent="0.4">
      <c r="A9" t="s">
        <v>262</v>
      </c>
      <c r="B9" t="s">
        <v>326</v>
      </c>
      <c r="C9" t="s">
        <v>346</v>
      </c>
      <c r="D9" t="s">
        <v>21</v>
      </c>
      <c r="E9" t="s">
        <v>22</v>
      </c>
      <c r="F9" t="s">
        <v>23</v>
      </c>
      <c r="G9">
        <v>1</v>
      </c>
      <c r="H9">
        <v>9791197098468</v>
      </c>
      <c r="I9" t="s">
        <v>24</v>
      </c>
      <c r="J9" t="s">
        <v>261</v>
      </c>
      <c r="K9" t="s">
        <v>37</v>
      </c>
      <c r="L9" t="s">
        <v>27</v>
      </c>
      <c r="M9" s="3">
        <v>3200</v>
      </c>
      <c r="N9" t="s">
        <v>27</v>
      </c>
      <c r="O9" s="3">
        <v>3200</v>
      </c>
      <c r="P9" s="3">
        <v>3200</v>
      </c>
      <c r="Q9" t="s">
        <v>30</v>
      </c>
      <c r="R9" s="2">
        <v>0.7</v>
      </c>
      <c r="S9" s="3">
        <v>2240</v>
      </c>
      <c r="T9" t="s">
        <v>27</v>
      </c>
      <c r="U9" s="3">
        <v>2240</v>
      </c>
      <c r="V9" s="7" t="s">
        <v>24</v>
      </c>
      <c r="W9" s="7" t="s">
        <v>37</v>
      </c>
    </row>
    <row r="10" spans="1:23" x14ac:dyDescent="0.4">
      <c r="A10" t="s">
        <v>262</v>
      </c>
      <c r="B10" t="s">
        <v>326</v>
      </c>
      <c r="C10" t="s">
        <v>358</v>
      </c>
      <c r="D10" t="s">
        <v>64</v>
      </c>
      <c r="E10" t="s">
        <v>22</v>
      </c>
      <c r="F10" t="s">
        <v>23</v>
      </c>
      <c r="G10">
        <v>1</v>
      </c>
      <c r="H10">
        <v>9791166061097</v>
      </c>
      <c r="I10" t="s">
        <v>24</v>
      </c>
      <c r="J10" t="s">
        <v>95</v>
      </c>
      <c r="K10" t="s">
        <v>37</v>
      </c>
      <c r="L10" t="s">
        <v>27</v>
      </c>
      <c r="M10">
        <v>900</v>
      </c>
      <c r="N10" t="s">
        <v>27</v>
      </c>
      <c r="O10">
        <v>900</v>
      </c>
      <c r="P10">
        <v>900</v>
      </c>
      <c r="Q10" t="s">
        <v>30</v>
      </c>
      <c r="R10" s="2">
        <v>0.7</v>
      </c>
      <c r="S10">
        <v>630</v>
      </c>
      <c r="T10" t="s">
        <v>27</v>
      </c>
      <c r="U10">
        <v>630</v>
      </c>
      <c r="V10" s="7" t="s">
        <v>24</v>
      </c>
      <c r="W10" s="7" t="s">
        <v>37</v>
      </c>
    </row>
    <row r="11" spans="1:23" x14ac:dyDescent="0.4">
      <c r="A11" t="s">
        <v>262</v>
      </c>
      <c r="B11" t="s">
        <v>326</v>
      </c>
      <c r="C11" t="s">
        <v>369</v>
      </c>
      <c r="D11" t="s">
        <v>64</v>
      </c>
      <c r="E11" t="s">
        <v>22</v>
      </c>
      <c r="F11" t="s">
        <v>23</v>
      </c>
      <c r="G11">
        <v>1</v>
      </c>
      <c r="H11">
        <v>9791166064135</v>
      </c>
      <c r="I11" t="s">
        <v>24</v>
      </c>
      <c r="J11" t="s">
        <v>77</v>
      </c>
      <c r="K11" t="s">
        <v>37</v>
      </c>
      <c r="L11" t="s">
        <v>27</v>
      </c>
      <c r="M11">
        <v>900</v>
      </c>
      <c r="N11" t="s">
        <v>27</v>
      </c>
      <c r="O11">
        <v>900</v>
      </c>
      <c r="P11">
        <v>900</v>
      </c>
      <c r="Q11" t="s">
        <v>30</v>
      </c>
      <c r="R11" s="2">
        <v>0.7</v>
      </c>
      <c r="S11">
        <v>630</v>
      </c>
      <c r="T11" t="s">
        <v>27</v>
      </c>
      <c r="U11">
        <v>630</v>
      </c>
      <c r="V11" s="7" t="s">
        <v>24</v>
      </c>
      <c r="W11" s="7" t="s">
        <v>37</v>
      </c>
    </row>
    <row r="12" spans="1:23" x14ac:dyDescent="0.4">
      <c r="A12" t="s">
        <v>262</v>
      </c>
      <c r="B12" t="s">
        <v>326</v>
      </c>
      <c r="C12" t="s">
        <v>370</v>
      </c>
      <c r="D12" t="s">
        <v>64</v>
      </c>
      <c r="E12" t="s">
        <v>22</v>
      </c>
      <c r="F12" t="s">
        <v>23</v>
      </c>
      <c r="G12">
        <v>1</v>
      </c>
      <c r="H12">
        <v>9791166064135</v>
      </c>
      <c r="I12" t="s">
        <v>24</v>
      </c>
      <c r="J12" t="s">
        <v>77</v>
      </c>
      <c r="K12" t="s">
        <v>37</v>
      </c>
      <c r="L12" t="s">
        <v>27</v>
      </c>
      <c r="M12">
        <v>900</v>
      </c>
      <c r="N12" t="s">
        <v>27</v>
      </c>
      <c r="O12">
        <v>900</v>
      </c>
      <c r="P12">
        <v>900</v>
      </c>
      <c r="Q12" t="s">
        <v>30</v>
      </c>
      <c r="R12" s="2">
        <v>0.7</v>
      </c>
      <c r="S12">
        <v>630</v>
      </c>
      <c r="T12" t="s">
        <v>27</v>
      </c>
      <c r="U12">
        <v>630</v>
      </c>
      <c r="V12" s="7" t="s">
        <v>24</v>
      </c>
      <c r="W12" s="7" t="s">
        <v>37</v>
      </c>
    </row>
    <row r="13" spans="1:23" x14ac:dyDescent="0.4">
      <c r="A13" t="s">
        <v>262</v>
      </c>
      <c r="B13" t="s">
        <v>326</v>
      </c>
      <c r="C13" t="s">
        <v>380</v>
      </c>
      <c r="D13" t="s">
        <v>64</v>
      </c>
      <c r="E13" t="s">
        <v>22</v>
      </c>
      <c r="F13" t="s">
        <v>23</v>
      </c>
      <c r="G13">
        <v>1</v>
      </c>
      <c r="H13">
        <v>9791159283086</v>
      </c>
      <c r="I13" t="s">
        <v>24</v>
      </c>
      <c r="J13" t="s">
        <v>72</v>
      </c>
      <c r="K13" t="s">
        <v>37</v>
      </c>
      <c r="L13" t="s">
        <v>27</v>
      </c>
      <c r="M13">
        <v>900</v>
      </c>
      <c r="N13" t="s">
        <v>27</v>
      </c>
      <c r="O13">
        <v>900</v>
      </c>
      <c r="P13">
        <v>900</v>
      </c>
      <c r="Q13" t="s">
        <v>30</v>
      </c>
      <c r="R13" s="2">
        <v>0.7</v>
      </c>
      <c r="S13">
        <v>630</v>
      </c>
      <c r="T13" t="s">
        <v>27</v>
      </c>
      <c r="U13">
        <v>630</v>
      </c>
      <c r="V13" s="7" t="s">
        <v>24</v>
      </c>
      <c r="W13" s="7" t="s">
        <v>37</v>
      </c>
    </row>
    <row r="14" spans="1:23" x14ac:dyDescent="0.4">
      <c r="A14" t="s">
        <v>262</v>
      </c>
      <c r="B14" t="s">
        <v>326</v>
      </c>
      <c r="C14" t="s">
        <v>382</v>
      </c>
      <c r="D14" t="s">
        <v>64</v>
      </c>
      <c r="E14" t="s">
        <v>22</v>
      </c>
      <c r="F14" t="s">
        <v>23</v>
      </c>
      <c r="G14">
        <v>1</v>
      </c>
      <c r="H14">
        <v>9791166064142</v>
      </c>
      <c r="I14" t="s">
        <v>24</v>
      </c>
      <c r="J14" t="s">
        <v>80</v>
      </c>
      <c r="K14" t="s">
        <v>37</v>
      </c>
      <c r="L14" t="s">
        <v>27</v>
      </c>
      <c r="M14">
        <v>900</v>
      </c>
      <c r="N14" t="s">
        <v>27</v>
      </c>
      <c r="O14">
        <v>900</v>
      </c>
      <c r="P14">
        <v>900</v>
      </c>
      <c r="Q14" t="s">
        <v>30</v>
      </c>
      <c r="R14" s="2">
        <v>0.7</v>
      </c>
      <c r="S14">
        <v>630</v>
      </c>
      <c r="T14" t="s">
        <v>27</v>
      </c>
      <c r="U14">
        <v>630</v>
      </c>
      <c r="V14" s="7" t="s">
        <v>24</v>
      </c>
      <c r="W14" s="7" t="s">
        <v>37</v>
      </c>
    </row>
    <row r="15" spans="1:23" x14ac:dyDescent="0.4">
      <c r="A15" t="s">
        <v>262</v>
      </c>
      <c r="B15" t="s">
        <v>326</v>
      </c>
      <c r="C15" t="s">
        <v>389</v>
      </c>
      <c r="D15" t="s">
        <v>64</v>
      </c>
      <c r="E15" t="s">
        <v>22</v>
      </c>
      <c r="F15" t="s">
        <v>23</v>
      </c>
      <c r="G15">
        <v>1</v>
      </c>
      <c r="H15">
        <v>9791166064159</v>
      </c>
      <c r="I15" t="s">
        <v>24</v>
      </c>
      <c r="J15" t="s">
        <v>86</v>
      </c>
      <c r="K15" t="s">
        <v>37</v>
      </c>
      <c r="L15" t="s">
        <v>27</v>
      </c>
      <c r="M15">
        <v>900</v>
      </c>
      <c r="N15" t="s">
        <v>27</v>
      </c>
      <c r="O15">
        <v>900</v>
      </c>
      <c r="P15">
        <v>900</v>
      </c>
      <c r="Q15" t="s">
        <v>30</v>
      </c>
      <c r="R15" s="2">
        <v>0.7</v>
      </c>
      <c r="S15">
        <v>630</v>
      </c>
      <c r="T15" t="s">
        <v>27</v>
      </c>
      <c r="U15">
        <v>630</v>
      </c>
      <c r="V15" s="7" t="s">
        <v>24</v>
      </c>
      <c r="W15" s="7" t="s">
        <v>37</v>
      </c>
    </row>
    <row r="16" spans="1:23" x14ac:dyDescent="0.4">
      <c r="A16" t="s">
        <v>262</v>
      </c>
      <c r="B16" t="s">
        <v>326</v>
      </c>
      <c r="C16" t="s">
        <v>398</v>
      </c>
      <c r="D16" t="s">
        <v>64</v>
      </c>
      <c r="E16" t="s">
        <v>22</v>
      </c>
      <c r="F16" t="s">
        <v>23</v>
      </c>
      <c r="G16">
        <v>1</v>
      </c>
      <c r="H16">
        <v>9791166064166</v>
      </c>
      <c r="I16" t="s">
        <v>24</v>
      </c>
      <c r="J16" t="s">
        <v>87</v>
      </c>
      <c r="K16" t="s">
        <v>37</v>
      </c>
      <c r="L16" t="s">
        <v>27</v>
      </c>
      <c r="M16">
        <v>900</v>
      </c>
      <c r="N16" t="s">
        <v>27</v>
      </c>
      <c r="O16">
        <v>900</v>
      </c>
      <c r="P16">
        <v>900</v>
      </c>
      <c r="Q16" t="s">
        <v>30</v>
      </c>
      <c r="R16" s="2">
        <v>0.7</v>
      </c>
      <c r="S16">
        <v>630</v>
      </c>
      <c r="T16" t="s">
        <v>27</v>
      </c>
      <c r="U16">
        <v>630</v>
      </c>
      <c r="V16" s="7" t="s">
        <v>24</v>
      </c>
      <c r="W16" s="7" t="s">
        <v>37</v>
      </c>
    </row>
    <row r="17" spans="1:23" x14ac:dyDescent="0.4">
      <c r="A17" t="s">
        <v>262</v>
      </c>
      <c r="B17" t="s">
        <v>401</v>
      </c>
      <c r="C17" t="s">
        <v>402</v>
      </c>
      <c r="D17" t="s">
        <v>21</v>
      </c>
      <c r="E17" t="s">
        <v>22</v>
      </c>
      <c r="F17" t="s">
        <v>23</v>
      </c>
      <c r="G17">
        <v>1</v>
      </c>
      <c r="H17">
        <v>9791197098413</v>
      </c>
      <c r="I17" t="s">
        <v>24</v>
      </c>
      <c r="J17" t="s">
        <v>233</v>
      </c>
      <c r="K17" t="s">
        <v>37</v>
      </c>
      <c r="L17" t="s">
        <v>27</v>
      </c>
      <c r="M17" s="3">
        <v>3200</v>
      </c>
      <c r="N17" t="s">
        <v>219</v>
      </c>
      <c r="O17">
        <v>3.8</v>
      </c>
      <c r="P17">
        <v>3.3</v>
      </c>
      <c r="Q17" t="s">
        <v>220</v>
      </c>
      <c r="R17" s="2">
        <v>0.7</v>
      </c>
      <c r="S17">
        <v>2.31</v>
      </c>
      <c r="T17" t="s">
        <v>27</v>
      </c>
      <c r="U17" s="3">
        <v>1881</v>
      </c>
      <c r="V17" s="7" t="s">
        <v>24</v>
      </c>
      <c r="W17" s="7" t="s">
        <v>37</v>
      </c>
    </row>
    <row r="18" spans="1:23" x14ac:dyDescent="0.4">
      <c r="A18" t="s">
        <v>262</v>
      </c>
      <c r="B18" t="s">
        <v>401</v>
      </c>
      <c r="C18" t="s">
        <v>406</v>
      </c>
      <c r="D18" t="s">
        <v>64</v>
      </c>
      <c r="E18" t="s">
        <v>22</v>
      </c>
      <c r="F18" t="s">
        <v>23</v>
      </c>
      <c r="G18">
        <v>1</v>
      </c>
      <c r="H18">
        <v>9791166064173</v>
      </c>
      <c r="I18" t="s">
        <v>24</v>
      </c>
      <c r="J18" t="s">
        <v>209</v>
      </c>
      <c r="K18" t="s">
        <v>37</v>
      </c>
      <c r="L18" t="s">
        <v>27</v>
      </c>
      <c r="M18">
        <v>900</v>
      </c>
      <c r="N18" t="s">
        <v>27</v>
      </c>
      <c r="O18">
        <v>900</v>
      </c>
      <c r="P18">
        <v>900</v>
      </c>
      <c r="Q18" t="s">
        <v>30</v>
      </c>
      <c r="R18" s="2">
        <v>0.7</v>
      </c>
      <c r="S18">
        <v>630</v>
      </c>
      <c r="T18" t="s">
        <v>27</v>
      </c>
      <c r="U18">
        <v>630</v>
      </c>
      <c r="V18" s="7" t="s">
        <v>24</v>
      </c>
      <c r="W18" s="7" t="s">
        <v>37</v>
      </c>
    </row>
    <row r="19" spans="1:23" x14ac:dyDescent="0.4">
      <c r="A19" t="s">
        <v>262</v>
      </c>
      <c r="B19" t="s">
        <v>401</v>
      </c>
      <c r="C19" t="s">
        <v>416</v>
      </c>
      <c r="D19" t="s">
        <v>64</v>
      </c>
      <c r="E19" t="s">
        <v>22</v>
      </c>
      <c r="F19" t="s">
        <v>23</v>
      </c>
      <c r="G19">
        <v>1</v>
      </c>
      <c r="H19">
        <v>9791159282256</v>
      </c>
      <c r="I19" t="s">
        <v>24</v>
      </c>
      <c r="J19" t="s">
        <v>117</v>
      </c>
      <c r="K19" t="s">
        <v>37</v>
      </c>
      <c r="L19" t="s">
        <v>27</v>
      </c>
      <c r="M19">
        <v>900</v>
      </c>
      <c r="N19" t="s">
        <v>27</v>
      </c>
      <c r="O19">
        <v>900</v>
      </c>
      <c r="P19">
        <v>900</v>
      </c>
      <c r="Q19" t="s">
        <v>30</v>
      </c>
      <c r="R19" s="2">
        <v>0.7</v>
      </c>
      <c r="S19">
        <v>630</v>
      </c>
      <c r="T19" t="s">
        <v>27</v>
      </c>
      <c r="U19">
        <v>630</v>
      </c>
      <c r="V19" s="7" t="s">
        <v>24</v>
      </c>
      <c r="W19" s="7" t="s">
        <v>37</v>
      </c>
    </row>
    <row r="20" spans="1:23" x14ac:dyDescent="0.4">
      <c r="A20" t="s">
        <v>262</v>
      </c>
      <c r="B20" t="s">
        <v>401</v>
      </c>
      <c r="C20" t="s">
        <v>420</v>
      </c>
      <c r="D20" t="s">
        <v>64</v>
      </c>
      <c r="E20" t="s">
        <v>22</v>
      </c>
      <c r="F20" t="s">
        <v>23</v>
      </c>
      <c r="G20">
        <v>1</v>
      </c>
      <c r="H20">
        <v>9791166064180</v>
      </c>
      <c r="I20" t="s">
        <v>24</v>
      </c>
      <c r="J20" t="s">
        <v>211</v>
      </c>
      <c r="K20" t="s">
        <v>37</v>
      </c>
      <c r="L20" t="s">
        <v>27</v>
      </c>
      <c r="M20">
        <v>900</v>
      </c>
      <c r="N20" t="s">
        <v>27</v>
      </c>
      <c r="O20">
        <v>900</v>
      </c>
      <c r="P20">
        <v>900</v>
      </c>
      <c r="Q20" t="s">
        <v>30</v>
      </c>
      <c r="R20" s="2">
        <v>0.7</v>
      </c>
      <c r="S20">
        <v>630</v>
      </c>
      <c r="T20" t="s">
        <v>27</v>
      </c>
      <c r="U20">
        <v>630</v>
      </c>
      <c r="V20" s="7" t="s">
        <v>24</v>
      </c>
      <c r="W20" s="7" t="s">
        <v>37</v>
      </c>
    </row>
    <row r="21" spans="1:23" x14ac:dyDescent="0.4">
      <c r="A21" t="s">
        <v>262</v>
      </c>
      <c r="B21" t="s">
        <v>401</v>
      </c>
      <c r="C21" t="s">
        <v>423</v>
      </c>
      <c r="D21" t="s">
        <v>21</v>
      </c>
      <c r="E21" t="s">
        <v>22</v>
      </c>
      <c r="F21" t="s">
        <v>23</v>
      </c>
      <c r="G21">
        <v>1</v>
      </c>
      <c r="H21">
        <v>9791197098420</v>
      </c>
      <c r="I21" t="s">
        <v>24</v>
      </c>
      <c r="J21" t="s">
        <v>236</v>
      </c>
      <c r="K21" t="s">
        <v>37</v>
      </c>
      <c r="L21" t="s">
        <v>27</v>
      </c>
      <c r="M21" s="3">
        <v>3200</v>
      </c>
      <c r="N21" t="s">
        <v>219</v>
      </c>
      <c r="O21">
        <v>3.8</v>
      </c>
      <c r="P21">
        <v>3.3</v>
      </c>
      <c r="Q21" t="s">
        <v>220</v>
      </c>
      <c r="R21" s="2">
        <v>0.7</v>
      </c>
      <c r="S21">
        <v>2.31</v>
      </c>
      <c r="T21" t="s">
        <v>27</v>
      </c>
      <c r="U21" s="3">
        <v>1885</v>
      </c>
      <c r="V21" s="7" t="s">
        <v>24</v>
      </c>
      <c r="W21" s="7" t="s">
        <v>37</v>
      </c>
    </row>
    <row r="22" spans="1:23" x14ac:dyDescent="0.4">
      <c r="A22" t="s">
        <v>262</v>
      </c>
      <c r="B22" t="s">
        <v>401</v>
      </c>
      <c r="C22" t="s">
        <v>426</v>
      </c>
      <c r="D22" t="s">
        <v>64</v>
      </c>
      <c r="E22" t="s">
        <v>22</v>
      </c>
      <c r="F22" t="s">
        <v>23</v>
      </c>
      <c r="G22">
        <v>1</v>
      </c>
      <c r="H22">
        <v>9791166064142</v>
      </c>
      <c r="I22" t="s">
        <v>24</v>
      </c>
      <c r="J22" t="s">
        <v>80</v>
      </c>
      <c r="K22" t="s">
        <v>37</v>
      </c>
      <c r="L22" t="s">
        <v>27</v>
      </c>
      <c r="M22">
        <v>900</v>
      </c>
      <c r="N22" t="s">
        <v>27</v>
      </c>
      <c r="O22">
        <v>900</v>
      </c>
      <c r="P22">
        <v>900</v>
      </c>
      <c r="Q22" t="s">
        <v>30</v>
      </c>
      <c r="R22" s="2">
        <v>0.7</v>
      </c>
      <c r="S22">
        <v>630</v>
      </c>
      <c r="T22" t="s">
        <v>27</v>
      </c>
      <c r="U22">
        <v>630</v>
      </c>
      <c r="V22" s="7" t="s">
        <v>24</v>
      </c>
      <c r="W22" s="7" t="s">
        <v>37</v>
      </c>
    </row>
    <row r="23" spans="1:23" x14ac:dyDescent="0.4">
      <c r="A23" t="s">
        <v>262</v>
      </c>
      <c r="B23" t="s">
        <v>401</v>
      </c>
      <c r="C23" t="s">
        <v>432</v>
      </c>
      <c r="D23" t="s">
        <v>64</v>
      </c>
      <c r="E23" t="s">
        <v>22</v>
      </c>
      <c r="F23" t="s">
        <v>23</v>
      </c>
      <c r="G23">
        <v>1</v>
      </c>
      <c r="H23">
        <v>9791159282218</v>
      </c>
      <c r="I23" t="s">
        <v>24</v>
      </c>
      <c r="J23" t="s">
        <v>107</v>
      </c>
      <c r="K23" t="s">
        <v>37</v>
      </c>
      <c r="L23" t="s">
        <v>27</v>
      </c>
      <c r="M23">
        <v>900</v>
      </c>
      <c r="N23" t="s">
        <v>27</v>
      </c>
      <c r="O23">
        <v>900</v>
      </c>
      <c r="P23">
        <v>900</v>
      </c>
      <c r="Q23" t="s">
        <v>30</v>
      </c>
      <c r="R23" s="2">
        <v>0.7</v>
      </c>
      <c r="S23">
        <v>630</v>
      </c>
      <c r="T23" t="s">
        <v>27</v>
      </c>
      <c r="U23">
        <v>630</v>
      </c>
      <c r="V23" s="7" t="s">
        <v>24</v>
      </c>
      <c r="W23" s="7" t="s">
        <v>37</v>
      </c>
    </row>
    <row r="24" spans="1:23" x14ac:dyDescent="0.4">
      <c r="A24" t="s">
        <v>262</v>
      </c>
      <c r="B24" t="s">
        <v>401</v>
      </c>
      <c r="C24" t="s">
        <v>458</v>
      </c>
      <c r="D24" t="s">
        <v>64</v>
      </c>
      <c r="E24" t="s">
        <v>22</v>
      </c>
      <c r="F24" t="s">
        <v>23</v>
      </c>
      <c r="G24">
        <v>1</v>
      </c>
      <c r="H24">
        <v>9791166064159</v>
      </c>
      <c r="I24" t="s">
        <v>24</v>
      </c>
      <c r="J24" t="s">
        <v>86</v>
      </c>
      <c r="K24" t="s">
        <v>37</v>
      </c>
      <c r="L24" t="s">
        <v>27</v>
      </c>
      <c r="M24">
        <v>900</v>
      </c>
      <c r="N24" t="s">
        <v>27</v>
      </c>
      <c r="O24">
        <v>900</v>
      </c>
      <c r="P24">
        <v>900</v>
      </c>
      <c r="Q24" t="s">
        <v>30</v>
      </c>
      <c r="R24" s="2">
        <v>0.7</v>
      </c>
      <c r="S24">
        <v>630</v>
      </c>
      <c r="T24" t="s">
        <v>27</v>
      </c>
      <c r="U24">
        <v>630</v>
      </c>
      <c r="V24" s="7" t="s">
        <v>24</v>
      </c>
      <c r="W24" s="7" t="s">
        <v>37</v>
      </c>
    </row>
    <row r="25" spans="1:23" x14ac:dyDescent="0.4">
      <c r="A25" t="s">
        <v>262</v>
      </c>
      <c r="B25" t="s">
        <v>401</v>
      </c>
      <c r="C25" t="s">
        <v>462</v>
      </c>
      <c r="D25" t="s">
        <v>64</v>
      </c>
      <c r="E25" t="s">
        <v>22</v>
      </c>
      <c r="F25" t="s">
        <v>23</v>
      </c>
      <c r="G25">
        <v>1</v>
      </c>
      <c r="H25">
        <v>9791166064050</v>
      </c>
      <c r="I25" t="s">
        <v>24</v>
      </c>
      <c r="J25" t="s">
        <v>79</v>
      </c>
      <c r="K25" t="s">
        <v>37</v>
      </c>
      <c r="L25" t="s">
        <v>27</v>
      </c>
      <c r="M25">
        <v>900</v>
      </c>
      <c r="N25" t="s">
        <v>27</v>
      </c>
      <c r="O25">
        <v>900</v>
      </c>
      <c r="P25">
        <v>900</v>
      </c>
      <c r="Q25" t="s">
        <v>30</v>
      </c>
      <c r="R25" s="2">
        <v>0.7</v>
      </c>
      <c r="S25">
        <v>630</v>
      </c>
      <c r="T25" t="s">
        <v>27</v>
      </c>
      <c r="U25">
        <v>630</v>
      </c>
      <c r="V25" s="7" t="s">
        <v>24</v>
      </c>
      <c r="W25" s="7" t="s">
        <v>37</v>
      </c>
    </row>
    <row r="26" spans="1:23" x14ac:dyDescent="0.4">
      <c r="A26" t="s">
        <v>262</v>
      </c>
      <c r="B26" t="s">
        <v>401</v>
      </c>
      <c r="C26" t="s">
        <v>464</v>
      </c>
      <c r="D26" t="s">
        <v>64</v>
      </c>
      <c r="E26" t="s">
        <v>22</v>
      </c>
      <c r="F26" t="s">
        <v>23</v>
      </c>
      <c r="G26">
        <v>1</v>
      </c>
      <c r="H26">
        <v>9791166061103</v>
      </c>
      <c r="I26" t="s">
        <v>24</v>
      </c>
      <c r="J26" t="s">
        <v>96</v>
      </c>
      <c r="K26" t="s">
        <v>37</v>
      </c>
      <c r="L26" t="s">
        <v>27</v>
      </c>
      <c r="M26">
        <v>900</v>
      </c>
      <c r="N26" t="s">
        <v>27</v>
      </c>
      <c r="O26">
        <v>900</v>
      </c>
      <c r="P26">
        <v>900</v>
      </c>
      <c r="Q26" t="s">
        <v>30</v>
      </c>
      <c r="R26" s="2">
        <v>0.7</v>
      </c>
      <c r="S26">
        <v>630</v>
      </c>
      <c r="T26" t="s">
        <v>27</v>
      </c>
      <c r="U26">
        <v>630</v>
      </c>
      <c r="V26" s="7" t="s">
        <v>24</v>
      </c>
      <c r="W26" s="7" t="s">
        <v>37</v>
      </c>
    </row>
    <row r="27" spans="1:23" x14ac:dyDescent="0.4">
      <c r="A27" t="s">
        <v>262</v>
      </c>
      <c r="B27" t="s">
        <v>401</v>
      </c>
      <c r="C27" t="s">
        <v>470</v>
      </c>
      <c r="D27" t="s">
        <v>64</v>
      </c>
      <c r="E27" t="s">
        <v>22</v>
      </c>
      <c r="F27" t="s">
        <v>23</v>
      </c>
      <c r="G27">
        <v>1</v>
      </c>
      <c r="H27">
        <v>9791166064067</v>
      </c>
      <c r="I27" t="s">
        <v>24</v>
      </c>
      <c r="J27" t="s">
        <v>81</v>
      </c>
      <c r="K27" t="s">
        <v>37</v>
      </c>
      <c r="L27" t="s">
        <v>27</v>
      </c>
      <c r="M27">
        <v>900</v>
      </c>
      <c r="N27" t="s">
        <v>27</v>
      </c>
      <c r="O27">
        <v>900</v>
      </c>
      <c r="P27">
        <v>900</v>
      </c>
      <c r="Q27" t="s">
        <v>30</v>
      </c>
      <c r="R27" s="2">
        <v>0.7</v>
      </c>
      <c r="S27">
        <v>630</v>
      </c>
      <c r="T27" t="s">
        <v>27</v>
      </c>
      <c r="U27">
        <v>630</v>
      </c>
      <c r="V27" s="7" t="s">
        <v>24</v>
      </c>
      <c r="W27" s="7" t="s">
        <v>37</v>
      </c>
    </row>
    <row r="28" spans="1:23" x14ac:dyDescent="0.4">
      <c r="A28" t="s">
        <v>262</v>
      </c>
      <c r="B28" t="s">
        <v>481</v>
      </c>
      <c r="C28" t="s">
        <v>489</v>
      </c>
      <c r="D28" t="s">
        <v>64</v>
      </c>
      <c r="E28" t="s">
        <v>22</v>
      </c>
      <c r="F28" t="s">
        <v>23</v>
      </c>
      <c r="G28">
        <v>1</v>
      </c>
      <c r="H28">
        <v>9791166064074</v>
      </c>
      <c r="I28" t="s">
        <v>24</v>
      </c>
      <c r="J28" t="s">
        <v>90</v>
      </c>
      <c r="K28" t="s">
        <v>37</v>
      </c>
      <c r="L28" t="s">
        <v>27</v>
      </c>
      <c r="M28">
        <v>900</v>
      </c>
      <c r="N28" t="s">
        <v>27</v>
      </c>
      <c r="O28">
        <v>900</v>
      </c>
      <c r="P28">
        <v>900</v>
      </c>
      <c r="Q28" t="s">
        <v>30</v>
      </c>
      <c r="R28" s="2">
        <v>0.7</v>
      </c>
      <c r="S28">
        <v>630</v>
      </c>
      <c r="T28" t="s">
        <v>27</v>
      </c>
      <c r="U28">
        <v>630</v>
      </c>
      <c r="V28" s="7" t="s">
        <v>24</v>
      </c>
      <c r="W28" s="7" t="s">
        <v>37</v>
      </c>
    </row>
    <row r="29" spans="1:23" x14ac:dyDescent="0.4">
      <c r="A29" t="s">
        <v>262</v>
      </c>
      <c r="B29" t="s">
        <v>481</v>
      </c>
      <c r="C29" t="s">
        <v>499</v>
      </c>
      <c r="D29" t="s">
        <v>64</v>
      </c>
      <c r="E29" t="s">
        <v>22</v>
      </c>
      <c r="F29" t="s">
        <v>23</v>
      </c>
      <c r="G29">
        <v>1</v>
      </c>
      <c r="H29">
        <v>9791166064166</v>
      </c>
      <c r="I29" t="s">
        <v>24</v>
      </c>
      <c r="J29" t="s">
        <v>87</v>
      </c>
      <c r="K29" t="s">
        <v>37</v>
      </c>
      <c r="L29" t="s">
        <v>27</v>
      </c>
      <c r="M29">
        <v>900</v>
      </c>
      <c r="N29" t="s">
        <v>27</v>
      </c>
      <c r="O29">
        <v>900</v>
      </c>
      <c r="P29">
        <v>900</v>
      </c>
      <c r="Q29" t="s">
        <v>30</v>
      </c>
      <c r="R29" s="2">
        <v>0.7</v>
      </c>
      <c r="S29">
        <v>630</v>
      </c>
      <c r="T29" t="s">
        <v>27</v>
      </c>
      <c r="U29">
        <v>630</v>
      </c>
      <c r="V29" s="7" t="s">
        <v>24</v>
      </c>
      <c r="W29" s="7" t="s">
        <v>37</v>
      </c>
    </row>
    <row r="30" spans="1:23" x14ac:dyDescent="0.4">
      <c r="A30" t="s">
        <v>262</v>
      </c>
      <c r="B30" t="s">
        <v>481</v>
      </c>
      <c r="C30" t="s">
        <v>503</v>
      </c>
      <c r="D30" t="s">
        <v>64</v>
      </c>
      <c r="E30" t="s">
        <v>22</v>
      </c>
      <c r="F30" t="s">
        <v>23</v>
      </c>
      <c r="G30">
        <v>1</v>
      </c>
      <c r="H30">
        <v>9791166064081</v>
      </c>
      <c r="I30" t="s">
        <v>24</v>
      </c>
      <c r="J30" t="s">
        <v>91</v>
      </c>
      <c r="K30" t="s">
        <v>37</v>
      </c>
      <c r="L30" t="s">
        <v>27</v>
      </c>
      <c r="M30">
        <v>900</v>
      </c>
      <c r="N30" t="s">
        <v>27</v>
      </c>
      <c r="O30">
        <v>900</v>
      </c>
      <c r="P30">
        <v>900</v>
      </c>
      <c r="Q30" t="s">
        <v>30</v>
      </c>
      <c r="R30" s="2">
        <v>0.7</v>
      </c>
      <c r="S30">
        <v>630</v>
      </c>
      <c r="T30" t="s">
        <v>27</v>
      </c>
      <c r="U30">
        <v>630</v>
      </c>
      <c r="V30" s="7" t="s">
        <v>24</v>
      </c>
      <c r="W30" s="7" t="s">
        <v>37</v>
      </c>
    </row>
    <row r="31" spans="1:23" x14ac:dyDescent="0.4">
      <c r="A31" t="s">
        <v>262</v>
      </c>
      <c r="B31" t="s">
        <v>481</v>
      </c>
      <c r="C31" t="s">
        <v>508</v>
      </c>
      <c r="D31" t="s">
        <v>64</v>
      </c>
      <c r="E31" t="s">
        <v>22</v>
      </c>
      <c r="F31" t="s">
        <v>23</v>
      </c>
      <c r="G31">
        <v>1</v>
      </c>
      <c r="H31">
        <v>9791166064050</v>
      </c>
      <c r="I31" t="s">
        <v>24</v>
      </c>
      <c r="J31" t="s">
        <v>79</v>
      </c>
      <c r="K31" t="s">
        <v>37</v>
      </c>
      <c r="L31" t="s">
        <v>27</v>
      </c>
      <c r="M31">
        <v>900</v>
      </c>
      <c r="N31" t="s">
        <v>27</v>
      </c>
      <c r="O31">
        <v>900</v>
      </c>
      <c r="P31">
        <v>900</v>
      </c>
      <c r="Q31" t="s">
        <v>30</v>
      </c>
      <c r="R31" s="2">
        <v>0.7</v>
      </c>
      <c r="S31">
        <v>630</v>
      </c>
      <c r="T31" t="s">
        <v>27</v>
      </c>
      <c r="U31">
        <v>630</v>
      </c>
      <c r="V31" s="7" t="s">
        <v>24</v>
      </c>
      <c r="W31" s="7" t="s">
        <v>37</v>
      </c>
    </row>
    <row r="32" spans="1:23" x14ac:dyDescent="0.4">
      <c r="A32" t="s">
        <v>262</v>
      </c>
      <c r="B32" t="s">
        <v>481</v>
      </c>
      <c r="C32" t="s">
        <v>510</v>
      </c>
      <c r="D32" t="s">
        <v>21</v>
      </c>
      <c r="E32" t="s">
        <v>22</v>
      </c>
      <c r="F32" t="s">
        <v>23</v>
      </c>
      <c r="G32">
        <v>1</v>
      </c>
      <c r="H32">
        <v>9791159282218</v>
      </c>
      <c r="I32" t="s">
        <v>24</v>
      </c>
      <c r="J32" t="s">
        <v>107</v>
      </c>
      <c r="K32" t="s">
        <v>37</v>
      </c>
      <c r="L32" t="s">
        <v>27</v>
      </c>
      <c r="M32" s="3">
        <v>3200</v>
      </c>
      <c r="N32" t="s">
        <v>27</v>
      </c>
      <c r="O32" s="3">
        <v>3200</v>
      </c>
      <c r="P32" s="3">
        <v>3200</v>
      </c>
      <c r="Q32" t="s">
        <v>30</v>
      </c>
      <c r="R32" s="2">
        <v>0.7</v>
      </c>
      <c r="S32" s="3">
        <v>2240</v>
      </c>
      <c r="T32" t="s">
        <v>27</v>
      </c>
      <c r="U32" s="3">
        <v>2240</v>
      </c>
      <c r="V32" s="7" t="s">
        <v>24</v>
      </c>
      <c r="W32" s="7" t="s">
        <v>37</v>
      </c>
    </row>
    <row r="33" spans="1:23" x14ac:dyDescent="0.4">
      <c r="A33" t="s">
        <v>262</v>
      </c>
      <c r="B33" t="s">
        <v>481</v>
      </c>
      <c r="C33" t="s">
        <v>521</v>
      </c>
      <c r="D33" t="s">
        <v>64</v>
      </c>
      <c r="E33" t="s">
        <v>22</v>
      </c>
      <c r="F33" t="s">
        <v>23</v>
      </c>
      <c r="G33">
        <v>1</v>
      </c>
      <c r="H33">
        <v>9791166064050</v>
      </c>
      <c r="I33" t="s">
        <v>24</v>
      </c>
      <c r="J33" t="s">
        <v>79</v>
      </c>
      <c r="K33" t="s">
        <v>37</v>
      </c>
      <c r="L33" t="s">
        <v>27</v>
      </c>
      <c r="M33">
        <v>900</v>
      </c>
      <c r="N33" t="s">
        <v>27</v>
      </c>
      <c r="O33">
        <v>900</v>
      </c>
      <c r="P33">
        <v>900</v>
      </c>
      <c r="Q33" t="s">
        <v>30</v>
      </c>
      <c r="R33" s="2">
        <v>0.7</v>
      </c>
      <c r="S33">
        <v>630</v>
      </c>
      <c r="T33" t="s">
        <v>27</v>
      </c>
      <c r="U33">
        <v>630</v>
      </c>
      <c r="V33" s="7" t="s">
        <v>24</v>
      </c>
      <c r="W33" s="7" t="s">
        <v>37</v>
      </c>
    </row>
    <row r="34" spans="1:23" x14ac:dyDescent="0.4">
      <c r="A34" t="s">
        <v>262</v>
      </c>
      <c r="B34" t="s">
        <v>481</v>
      </c>
      <c r="C34" t="s">
        <v>526</v>
      </c>
      <c r="D34" t="s">
        <v>64</v>
      </c>
      <c r="E34" t="s">
        <v>22</v>
      </c>
      <c r="F34" t="s">
        <v>23</v>
      </c>
      <c r="G34">
        <v>1</v>
      </c>
      <c r="H34">
        <v>9791166061110</v>
      </c>
      <c r="I34" t="s">
        <v>24</v>
      </c>
      <c r="J34" t="s">
        <v>97</v>
      </c>
      <c r="K34" t="s">
        <v>37</v>
      </c>
      <c r="L34" t="s">
        <v>27</v>
      </c>
      <c r="M34">
        <v>900</v>
      </c>
      <c r="N34" t="s">
        <v>27</v>
      </c>
      <c r="O34">
        <v>900</v>
      </c>
      <c r="P34">
        <v>900</v>
      </c>
      <c r="Q34" t="s">
        <v>30</v>
      </c>
      <c r="R34" s="2">
        <v>0.7</v>
      </c>
      <c r="S34">
        <v>630</v>
      </c>
      <c r="T34" t="s">
        <v>27</v>
      </c>
      <c r="U34">
        <v>630</v>
      </c>
      <c r="V34" s="7" t="s">
        <v>24</v>
      </c>
      <c r="W34" s="7" t="s">
        <v>37</v>
      </c>
    </row>
    <row r="35" spans="1:23" x14ac:dyDescent="0.4">
      <c r="A35" t="s">
        <v>262</v>
      </c>
      <c r="B35" t="s">
        <v>481</v>
      </c>
      <c r="C35" t="s">
        <v>527</v>
      </c>
      <c r="D35" t="s">
        <v>64</v>
      </c>
      <c r="E35" t="s">
        <v>22</v>
      </c>
      <c r="F35" t="s">
        <v>23</v>
      </c>
      <c r="G35">
        <v>1</v>
      </c>
      <c r="H35">
        <v>9791166064135</v>
      </c>
      <c r="I35" t="s">
        <v>24</v>
      </c>
      <c r="J35" t="s">
        <v>77</v>
      </c>
      <c r="K35" t="s">
        <v>37</v>
      </c>
      <c r="L35" t="s">
        <v>27</v>
      </c>
      <c r="M35">
        <v>900</v>
      </c>
      <c r="N35" t="s">
        <v>27</v>
      </c>
      <c r="O35">
        <v>900</v>
      </c>
      <c r="P35">
        <v>900</v>
      </c>
      <c r="Q35" t="s">
        <v>30</v>
      </c>
      <c r="R35" s="2">
        <v>0.7</v>
      </c>
      <c r="S35">
        <v>630</v>
      </c>
      <c r="T35" t="s">
        <v>27</v>
      </c>
      <c r="U35">
        <v>630</v>
      </c>
      <c r="V35" s="7" t="s">
        <v>24</v>
      </c>
      <c r="W35" s="7" t="s">
        <v>37</v>
      </c>
    </row>
    <row r="36" spans="1:23" x14ac:dyDescent="0.4">
      <c r="A36" t="s">
        <v>262</v>
      </c>
      <c r="B36" t="s">
        <v>481</v>
      </c>
      <c r="C36" t="s">
        <v>530</v>
      </c>
      <c r="D36" t="s">
        <v>64</v>
      </c>
      <c r="E36" t="s">
        <v>22</v>
      </c>
      <c r="F36" t="s">
        <v>23</v>
      </c>
      <c r="G36">
        <v>1</v>
      </c>
      <c r="H36">
        <v>9791166064098</v>
      </c>
      <c r="I36" t="s">
        <v>24</v>
      </c>
      <c r="J36" t="s">
        <v>92</v>
      </c>
      <c r="K36" t="s">
        <v>37</v>
      </c>
      <c r="L36" t="s">
        <v>27</v>
      </c>
      <c r="M36">
        <v>900</v>
      </c>
      <c r="N36" t="s">
        <v>27</v>
      </c>
      <c r="O36">
        <v>900</v>
      </c>
      <c r="P36">
        <v>900</v>
      </c>
      <c r="Q36" t="s">
        <v>30</v>
      </c>
      <c r="R36" s="2">
        <v>0.7</v>
      </c>
      <c r="S36">
        <v>630</v>
      </c>
      <c r="T36" t="s">
        <v>27</v>
      </c>
      <c r="U36">
        <v>630</v>
      </c>
      <c r="V36" s="7" t="s">
        <v>24</v>
      </c>
      <c r="W36" s="7" t="s">
        <v>37</v>
      </c>
    </row>
    <row r="37" spans="1:23" x14ac:dyDescent="0.4">
      <c r="A37" t="s">
        <v>262</v>
      </c>
      <c r="B37" t="s">
        <v>481</v>
      </c>
      <c r="C37" t="s">
        <v>536</v>
      </c>
      <c r="D37" t="s">
        <v>64</v>
      </c>
      <c r="E37" t="s">
        <v>22</v>
      </c>
      <c r="F37" t="s">
        <v>23</v>
      </c>
      <c r="G37">
        <v>1</v>
      </c>
      <c r="H37">
        <v>9791166061127</v>
      </c>
      <c r="I37" t="s">
        <v>24</v>
      </c>
      <c r="J37" t="s">
        <v>100</v>
      </c>
      <c r="K37" t="s">
        <v>37</v>
      </c>
      <c r="L37" t="s">
        <v>27</v>
      </c>
      <c r="M37">
        <v>900</v>
      </c>
      <c r="N37" t="s">
        <v>27</v>
      </c>
      <c r="O37">
        <v>900</v>
      </c>
      <c r="P37">
        <v>900</v>
      </c>
      <c r="Q37" t="s">
        <v>30</v>
      </c>
      <c r="R37" s="2">
        <v>0.7</v>
      </c>
      <c r="S37">
        <v>630</v>
      </c>
      <c r="T37" t="s">
        <v>27</v>
      </c>
      <c r="U37">
        <v>630</v>
      </c>
      <c r="V37" s="7" t="s">
        <v>24</v>
      </c>
      <c r="W37" s="7" t="s">
        <v>37</v>
      </c>
    </row>
    <row r="38" spans="1:23" x14ac:dyDescent="0.4">
      <c r="A38" t="s">
        <v>262</v>
      </c>
      <c r="B38" t="s">
        <v>481</v>
      </c>
      <c r="C38" t="s">
        <v>538</v>
      </c>
      <c r="D38" t="s">
        <v>64</v>
      </c>
      <c r="E38" t="s">
        <v>22</v>
      </c>
      <c r="F38" t="s">
        <v>23</v>
      </c>
      <c r="G38">
        <v>1</v>
      </c>
      <c r="H38">
        <v>9791166064067</v>
      </c>
      <c r="I38" t="s">
        <v>24</v>
      </c>
      <c r="J38" t="s">
        <v>81</v>
      </c>
      <c r="K38" t="s">
        <v>37</v>
      </c>
      <c r="L38" t="s">
        <v>27</v>
      </c>
      <c r="M38">
        <v>900</v>
      </c>
      <c r="N38" t="s">
        <v>27</v>
      </c>
      <c r="O38">
        <v>900</v>
      </c>
      <c r="P38">
        <v>900</v>
      </c>
      <c r="Q38" t="s">
        <v>30</v>
      </c>
      <c r="R38" s="2">
        <v>0.7</v>
      </c>
      <c r="S38">
        <v>630</v>
      </c>
      <c r="T38" t="s">
        <v>27</v>
      </c>
      <c r="U38">
        <v>630</v>
      </c>
      <c r="V38" s="7" t="s">
        <v>24</v>
      </c>
      <c r="W38" s="7" t="s">
        <v>37</v>
      </c>
    </row>
    <row r="39" spans="1:23" x14ac:dyDescent="0.4">
      <c r="A39" t="s">
        <v>262</v>
      </c>
      <c r="B39" t="s">
        <v>481</v>
      </c>
      <c r="C39" t="s">
        <v>542</v>
      </c>
      <c r="D39" t="s">
        <v>64</v>
      </c>
      <c r="E39" t="s">
        <v>22</v>
      </c>
      <c r="F39" t="s">
        <v>23</v>
      </c>
      <c r="G39">
        <v>1</v>
      </c>
      <c r="H39">
        <v>9791166064104</v>
      </c>
      <c r="I39" t="s">
        <v>24</v>
      </c>
      <c r="J39" t="s">
        <v>93</v>
      </c>
      <c r="K39" t="s">
        <v>37</v>
      </c>
      <c r="L39" t="s">
        <v>27</v>
      </c>
      <c r="M39">
        <v>900</v>
      </c>
      <c r="N39" t="s">
        <v>27</v>
      </c>
      <c r="O39">
        <v>900</v>
      </c>
      <c r="P39">
        <v>900</v>
      </c>
      <c r="Q39" t="s">
        <v>30</v>
      </c>
      <c r="R39" s="2">
        <v>0.7</v>
      </c>
      <c r="S39">
        <v>630</v>
      </c>
      <c r="T39" t="s">
        <v>27</v>
      </c>
      <c r="U39">
        <v>630</v>
      </c>
      <c r="V39" s="7" t="s">
        <v>24</v>
      </c>
      <c r="W39" s="7" t="s">
        <v>37</v>
      </c>
    </row>
    <row r="40" spans="1:23" x14ac:dyDescent="0.4">
      <c r="A40" t="s">
        <v>262</v>
      </c>
      <c r="B40" t="s">
        <v>481</v>
      </c>
      <c r="C40" t="s">
        <v>552</v>
      </c>
      <c r="D40" t="s">
        <v>64</v>
      </c>
      <c r="E40" t="s">
        <v>22</v>
      </c>
      <c r="F40" t="s">
        <v>23</v>
      </c>
      <c r="G40">
        <v>1</v>
      </c>
      <c r="H40">
        <v>9791166064111</v>
      </c>
      <c r="I40" t="s">
        <v>24</v>
      </c>
      <c r="J40" t="s">
        <v>94</v>
      </c>
      <c r="K40" t="s">
        <v>37</v>
      </c>
      <c r="L40" t="s">
        <v>27</v>
      </c>
      <c r="M40">
        <v>900</v>
      </c>
      <c r="N40" t="s">
        <v>27</v>
      </c>
      <c r="O40">
        <v>900</v>
      </c>
      <c r="P40">
        <v>900</v>
      </c>
      <c r="Q40" t="s">
        <v>30</v>
      </c>
      <c r="R40" s="2">
        <v>0.7</v>
      </c>
      <c r="S40">
        <v>630</v>
      </c>
      <c r="T40" t="s">
        <v>27</v>
      </c>
      <c r="U40">
        <v>630</v>
      </c>
      <c r="V40" s="7" t="s">
        <v>24</v>
      </c>
      <c r="W40" s="7" t="s">
        <v>37</v>
      </c>
    </row>
    <row r="41" spans="1:23" x14ac:dyDescent="0.4">
      <c r="A41" t="s">
        <v>262</v>
      </c>
      <c r="B41" t="s">
        <v>481</v>
      </c>
      <c r="C41" t="s">
        <v>555</v>
      </c>
      <c r="D41" t="s">
        <v>64</v>
      </c>
      <c r="E41" t="s">
        <v>22</v>
      </c>
      <c r="F41" t="s">
        <v>23</v>
      </c>
      <c r="G41">
        <v>1</v>
      </c>
      <c r="H41">
        <v>9791166064074</v>
      </c>
      <c r="I41" t="s">
        <v>24</v>
      </c>
      <c r="J41" t="s">
        <v>90</v>
      </c>
      <c r="K41" t="s">
        <v>37</v>
      </c>
      <c r="L41" t="s">
        <v>27</v>
      </c>
      <c r="M41">
        <v>900</v>
      </c>
      <c r="N41" t="s">
        <v>27</v>
      </c>
      <c r="O41">
        <v>900</v>
      </c>
      <c r="P41">
        <v>900</v>
      </c>
      <c r="Q41" t="s">
        <v>30</v>
      </c>
      <c r="R41" s="2">
        <v>0.7</v>
      </c>
      <c r="S41">
        <v>630</v>
      </c>
      <c r="T41" t="s">
        <v>27</v>
      </c>
      <c r="U41">
        <v>630</v>
      </c>
      <c r="V41" s="7" t="s">
        <v>24</v>
      </c>
      <c r="W41" s="7" t="s">
        <v>37</v>
      </c>
    </row>
    <row r="42" spans="1:23" x14ac:dyDescent="0.4">
      <c r="A42" t="s">
        <v>262</v>
      </c>
      <c r="B42" t="s">
        <v>566</v>
      </c>
      <c r="C42" t="s">
        <v>567</v>
      </c>
      <c r="D42" t="s">
        <v>64</v>
      </c>
      <c r="E42" t="s">
        <v>22</v>
      </c>
      <c r="F42" t="s">
        <v>23</v>
      </c>
      <c r="G42">
        <v>1</v>
      </c>
      <c r="H42">
        <v>9791166064173</v>
      </c>
      <c r="I42" t="s">
        <v>24</v>
      </c>
      <c r="J42" t="s">
        <v>209</v>
      </c>
      <c r="K42" t="s">
        <v>37</v>
      </c>
      <c r="L42" t="s">
        <v>27</v>
      </c>
      <c r="M42">
        <v>900</v>
      </c>
      <c r="N42" t="s">
        <v>27</v>
      </c>
      <c r="O42">
        <v>900</v>
      </c>
      <c r="P42">
        <v>900</v>
      </c>
      <c r="Q42" t="s">
        <v>30</v>
      </c>
      <c r="R42" s="2">
        <v>0.7</v>
      </c>
      <c r="S42">
        <v>630</v>
      </c>
      <c r="T42" t="s">
        <v>27</v>
      </c>
      <c r="U42">
        <v>630</v>
      </c>
      <c r="V42" s="7" t="s">
        <v>24</v>
      </c>
      <c r="W42" s="7" t="s">
        <v>37</v>
      </c>
    </row>
    <row r="43" spans="1:23" x14ac:dyDescent="0.4">
      <c r="A43" t="s">
        <v>262</v>
      </c>
      <c r="B43" t="s">
        <v>566</v>
      </c>
      <c r="C43" t="s">
        <v>570</v>
      </c>
      <c r="D43" t="s">
        <v>64</v>
      </c>
      <c r="E43" t="s">
        <v>22</v>
      </c>
      <c r="F43" t="s">
        <v>23</v>
      </c>
      <c r="G43">
        <v>1</v>
      </c>
      <c r="H43">
        <v>9791166064067</v>
      </c>
      <c r="I43" t="s">
        <v>24</v>
      </c>
      <c r="J43" t="s">
        <v>81</v>
      </c>
      <c r="K43" t="s">
        <v>37</v>
      </c>
      <c r="L43" t="s">
        <v>27</v>
      </c>
      <c r="M43">
        <v>900</v>
      </c>
      <c r="N43" t="s">
        <v>27</v>
      </c>
      <c r="O43">
        <v>900</v>
      </c>
      <c r="P43">
        <v>900</v>
      </c>
      <c r="Q43" t="s">
        <v>30</v>
      </c>
      <c r="R43" s="2">
        <v>0.7</v>
      </c>
      <c r="S43">
        <v>630</v>
      </c>
      <c r="T43" t="s">
        <v>27</v>
      </c>
      <c r="U43">
        <v>630</v>
      </c>
      <c r="V43" s="7" t="s">
        <v>24</v>
      </c>
      <c r="W43" s="7" t="s">
        <v>37</v>
      </c>
    </row>
    <row r="44" spans="1:23" x14ac:dyDescent="0.4">
      <c r="A44" t="s">
        <v>262</v>
      </c>
      <c r="B44" t="s">
        <v>566</v>
      </c>
      <c r="C44" t="s">
        <v>572</v>
      </c>
      <c r="D44" t="s">
        <v>64</v>
      </c>
      <c r="E44" t="s">
        <v>22</v>
      </c>
      <c r="F44" t="s">
        <v>23</v>
      </c>
      <c r="G44">
        <v>1</v>
      </c>
      <c r="H44">
        <v>9791166064050</v>
      </c>
      <c r="I44" t="s">
        <v>24</v>
      </c>
      <c r="J44" t="s">
        <v>79</v>
      </c>
      <c r="K44" t="s">
        <v>37</v>
      </c>
      <c r="L44" t="s">
        <v>27</v>
      </c>
      <c r="M44">
        <v>900</v>
      </c>
      <c r="N44" t="s">
        <v>27</v>
      </c>
      <c r="O44">
        <v>900</v>
      </c>
      <c r="P44">
        <v>900</v>
      </c>
      <c r="Q44" t="s">
        <v>30</v>
      </c>
      <c r="R44" s="2">
        <v>0.7</v>
      </c>
      <c r="S44">
        <v>630</v>
      </c>
      <c r="T44" t="s">
        <v>27</v>
      </c>
      <c r="U44">
        <v>630</v>
      </c>
      <c r="V44" s="7" t="s">
        <v>24</v>
      </c>
      <c r="W44" s="7" t="s">
        <v>37</v>
      </c>
    </row>
    <row r="45" spans="1:23" x14ac:dyDescent="0.4">
      <c r="A45" t="s">
        <v>262</v>
      </c>
      <c r="B45" t="s">
        <v>566</v>
      </c>
      <c r="C45" t="s">
        <v>574</v>
      </c>
      <c r="D45" t="s">
        <v>64</v>
      </c>
      <c r="E45" t="s">
        <v>22</v>
      </c>
      <c r="F45" t="s">
        <v>23</v>
      </c>
      <c r="G45">
        <v>1</v>
      </c>
      <c r="H45">
        <v>9791166061134</v>
      </c>
      <c r="I45" t="s">
        <v>24</v>
      </c>
      <c r="J45" t="s">
        <v>98</v>
      </c>
      <c r="K45" t="s">
        <v>37</v>
      </c>
      <c r="L45" t="s">
        <v>27</v>
      </c>
      <c r="M45">
        <v>900</v>
      </c>
      <c r="N45" t="s">
        <v>27</v>
      </c>
      <c r="O45">
        <v>900</v>
      </c>
      <c r="P45">
        <v>900</v>
      </c>
      <c r="Q45" t="s">
        <v>30</v>
      </c>
      <c r="R45" s="2">
        <v>0.7</v>
      </c>
      <c r="S45">
        <v>630</v>
      </c>
      <c r="T45" t="s">
        <v>27</v>
      </c>
      <c r="U45">
        <v>630</v>
      </c>
      <c r="V45" s="7" t="s">
        <v>24</v>
      </c>
      <c r="W45" s="7" t="s">
        <v>37</v>
      </c>
    </row>
    <row r="46" spans="1:23" x14ac:dyDescent="0.4">
      <c r="A46" t="s">
        <v>262</v>
      </c>
      <c r="B46" t="s">
        <v>566</v>
      </c>
      <c r="C46" t="s">
        <v>575</v>
      </c>
      <c r="D46" t="s">
        <v>64</v>
      </c>
      <c r="E46" t="s">
        <v>22</v>
      </c>
      <c r="F46" t="s">
        <v>23</v>
      </c>
      <c r="G46">
        <v>1</v>
      </c>
      <c r="H46">
        <v>9791159283208</v>
      </c>
      <c r="I46" t="s">
        <v>24</v>
      </c>
      <c r="J46" t="s">
        <v>105</v>
      </c>
      <c r="K46" t="s">
        <v>37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  <c r="V46" s="7" t="s">
        <v>24</v>
      </c>
      <c r="W46" s="7" t="s">
        <v>37</v>
      </c>
    </row>
    <row r="47" spans="1:23" x14ac:dyDescent="0.4">
      <c r="A47" t="s">
        <v>262</v>
      </c>
      <c r="B47" t="s">
        <v>566</v>
      </c>
      <c r="C47" t="s">
        <v>584</v>
      </c>
      <c r="D47" t="s">
        <v>64</v>
      </c>
      <c r="E47" t="s">
        <v>22</v>
      </c>
      <c r="F47" t="s">
        <v>23</v>
      </c>
      <c r="G47">
        <v>1</v>
      </c>
      <c r="H47">
        <v>9791159283086</v>
      </c>
      <c r="I47" t="s">
        <v>24</v>
      </c>
      <c r="J47" t="s">
        <v>72</v>
      </c>
      <c r="K47" t="s">
        <v>37</v>
      </c>
      <c r="L47" t="s">
        <v>27</v>
      </c>
      <c r="M47">
        <v>900</v>
      </c>
      <c r="N47" t="s">
        <v>27</v>
      </c>
      <c r="O47">
        <v>900</v>
      </c>
      <c r="P47">
        <v>900</v>
      </c>
      <c r="Q47" t="s">
        <v>30</v>
      </c>
      <c r="R47" s="2">
        <v>0.7</v>
      </c>
      <c r="S47">
        <v>630</v>
      </c>
      <c r="T47" t="s">
        <v>27</v>
      </c>
      <c r="U47">
        <v>630</v>
      </c>
      <c r="V47" s="7" t="s">
        <v>24</v>
      </c>
      <c r="W47" s="7" t="s">
        <v>37</v>
      </c>
    </row>
    <row r="48" spans="1:23" x14ac:dyDescent="0.4">
      <c r="A48" t="s">
        <v>262</v>
      </c>
      <c r="B48" t="s">
        <v>566</v>
      </c>
      <c r="C48" t="s">
        <v>586</v>
      </c>
      <c r="D48" t="s">
        <v>64</v>
      </c>
      <c r="E48" t="s">
        <v>22</v>
      </c>
      <c r="F48" t="s">
        <v>23</v>
      </c>
      <c r="G48">
        <v>1</v>
      </c>
      <c r="H48">
        <v>9791166064081</v>
      </c>
      <c r="I48" t="s">
        <v>24</v>
      </c>
      <c r="J48" t="s">
        <v>91</v>
      </c>
      <c r="K48" t="s">
        <v>37</v>
      </c>
      <c r="L48" t="s">
        <v>27</v>
      </c>
      <c r="M48">
        <v>900</v>
      </c>
      <c r="N48" t="s">
        <v>27</v>
      </c>
      <c r="O48">
        <v>900</v>
      </c>
      <c r="P48">
        <v>900</v>
      </c>
      <c r="Q48" t="s">
        <v>30</v>
      </c>
      <c r="R48" s="2">
        <v>0.7</v>
      </c>
      <c r="S48">
        <v>630</v>
      </c>
      <c r="T48" t="s">
        <v>27</v>
      </c>
      <c r="U48">
        <v>630</v>
      </c>
      <c r="V48" s="7" t="s">
        <v>24</v>
      </c>
      <c r="W48" s="7" t="s">
        <v>37</v>
      </c>
    </row>
    <row r="49" spans="1:23" x14ac:dyDescent="0.4">
      <c r="A49" t="s">
        <v>262</v>
      </c>
      <c r="B49" t="s">
        <v>566</v>
      </c>
      <c r="C49" t="s">
        <v>590</v>
      </c>
      <c r="D49" t="s">
        <v>21</v>
      </c>
      <c r="E49" t="s">
        <v>22</v>
      </c>
      <c r="F49" t="s">
        <v>23</v>
      </c>
      <c r="G49">
        <v>1</v>
      </c>
      <c r="H49">
        <v>9791197098437</v>
      </c>
      <c r="I49" t="s">
        <v>24</v>
      </c>
      <c r="J49" t="s">
        <v>258</v>
      </c>
      <c r="K49" t="s">
        <v>37</v>
      </c>
      <c r="L49" t="s">
        <v>27</v>
      </c>
      <c r="M49" s="3">
        <v>3200</v>
      </c>
      <c r="N49" t="s">
        <v>219</v>
      </c>
      <c r="O49">
        <v>3.8</v>
      </c>
      <c r="P49">
        <v>3.3</v>
      </c>
      <c r="Q49" t="s">
        <v>220</v>
      </c>
      <c r="R49" s="2">
        <v>0.7</v>
      </c>
      <c r="S49">
        <v>2.31</v>
      </c>
      <c r="T49" t="s">
        <v>27</v>
      </c>
      <c r="U49" s="3">
        <v>1889</v>
      </c>
      <c r="V49" s="7" t="s">
        <v>24</v>
      </c>
      <c r="W49" s="7" t="s">
        <v>37</v>
      </c>
    </row>
    <row r="50" spans="1:23" x14ac:dyDescent="0.4">
      <c r="A50" t="s">
        <v>262</v>
      </c>
      <c r="B50" t="s">
        <v>566</v>
      </c>
      <c r="C50" t="s">
        <v>599</v>
      </c>
      <c r="D50" t="s">
        <v>64</v>
      </c>
      <c r="E50" t="s">
        <v>22</v>
      </c>
      <c r="F50" t="s">
        <v>23</v>
      </c>
      <c r="G50">
        <v>1</v>
      </c>
      <c r="H50">
        <v>9791159283093</v>
      </c>
      <c r="I50" t="s">
        <v>24</v>
      </c>
      <c r="J50" t="s">
        <v>73</v>
      </c>
      <c r="K50" t="s">
        <v>37</v>
      </c>
      <c r="L50" t="s">
        <v>27</v>
      </c>
      <c r="M50">
        <v>900</v>
      </c>
      <c r="N50" t="s">
        <v>27</v>
      </c>
      <c r="O50">
        <v>900</v>
      </c>
      <c r="P50">
        <v>900</v>
      </c>
      <c r="Q50" t="s">
        <v>30</v>
      </c>
      <c r="R50" s="2">
        <v>0.7</v>
      </c>
      <c r="S50">
        <v>630</v>
      </c>
      <c r="T50" t="s">
        <v>27</v>
      </c>
      <c r="U50">
        <v>630</v>
      </c>
      <c r="V50" s="7" t="s">
        <v>24</v>
      </c>
      <c r="W50" s="7" t="s">
        <v>37</v>
      </c>
    </row>
    <row r="51" spans="1:23" x14ac:dyDescent="0.4">
      <c r="A51" t="s">
        <v>262</v>
      </c>
      <c r="B51" t="s">
        <v>566</v>
      </c>
      <c r="C51" t="s">
        <v>601</v>
      </c>
      <c r="D51" t="s">
        <v>64</v>
      </c>
      <c r="E51" t="s">
        <v>22</v>
      </c>
      <c r="F51" t="s">
        <v>23</v>
      </c>
      <c r="G51">
        <v>1</v>
      </c>
      <c r="H51">
        <v>9791166064050</v>
      </c>
      <c r="I51" t="s">
        <v>24</v>
      </c>
      <c r="J51" t="s">
        <v>79</v>
      </c>
      <c r="K51" t="s">
        <v>37</v>
      </c>
      <c r="L51" t="s">
        <v>27</v>
      </c>
      <c r="M51">
        <v>900</v>
      </c>
      <c r="N51" t="s">
        <v>27</v>
      </c>
      <c r="O51">
        <v>900</v>
      </c>
      <c r="P51">
        <v>900</v>
      </c>
      <c r="Q51" t="s">
        <v>30</v>
      </c>
      <c r="R51" s="2">
        <v>0.7</v>
      </c>
      <c r="S51">
        <v>630</v>
      </c>
      <c r="T51" t="s">
        <v>27</v>
      </c>
      <c r="U51">
        <v>630</v>
      </c>
      <c r="V51" s="7" t="s">
        <v>24</v>
      </c>
      <c r="W51" s="7" t="s">
        <v>37</v>
      </c>
    </row>
    <row r="52" spans="1:23" x14ac:dyDescent="0.4">
      <c r="A52" t="s">
        <v>262</v>
      </c>
      <c r="B52" t="s">
        <v>566</v>
      </c>
      <c r="C52" t="s">
        <v>602</v>
      </c>
      <c r="D52" t="s">
        <v>64</v>
      </c>
      <c r="E52" t="s">
        <v>22</v>
      </c>
      <c r="F52" t="s">
        <v>23</v>
      </c>
      <c r="G52">
        <v>1</v>
      </c>
      <c r="H52">
        <v>9791166064142</v>
      </c>
      <c r="I52" t="s">
        <v>24</v>
      </c>
      <c r="J52" t="s">
        <v>80</v>
      </c>
      <c r="K52" t="s">
        <v>37</v>
      </c>
      <c r="L52" t="s">
        <v>27</v>
      </c>
      <c r="M52">
        <v>900</v>
      </c>
      <c r="N52" t="s">
        <v>27</v>
      </c>
      <c r="O52">
        <v>900</v>
      </c>
      <c r="P52">
        <v>900</v>
      </c>
      <c r="Q52" t="s">
        <v>30</v>
      </c>
      <c r="R52" s="2">
        <v>0.7</v>
      </c>
      <c r="S52">
        <v>630</v>
      </c>
      <c r="T52" t="s">
        <v>27</v>
      </c>
      <c r="U52">
        <v>630</v>
      </c>
      <c r="V52" s="7" t="s">
        <v>24</v>
      </c>
      <c r="W52" s="7" t="s">
        <v>37</v>
      </c>
    </row>
    <row r="53" spans="1:23" x14ac:dyDescent="0.4">
      <c r="A53" t="s">
        <v>262</v>
      </c>
      <c r="B53" t="s">
        <v>566</v>
      </c>
      <c r="C53" t="s">
        <v>603</v>
      </c>
      <c r="D53" t="s">
        <v>64</v>
      </c>
      <c r="E53" t="s">
        <v>22</v>
      </c>
      <c r="F53" t="s">
        <v>23</v>
      </c>
      <c r="G53">
        <v>1</v>
      </c>
      <c r="H53">
        <v>9791166061141</v>
      </c>
      <c r="I53" t="s">
        <v>24</v>
      </c>
      <c r="J53" t="s">
        <v>99</v>
      </c>
      <c r="K53" t="s">
        <v>37</v>
      </c>
      <c r="L53" t="s">
        <v>27</v>
      </c>
      <c r="M53">
        <v>900</v>
      </c>
      <c r="N53" t="s">
        <v>27</v>
      </c>
      <c r="O53">
        <v>900</v>
      </c>
      <c r="P53">
        <v>900</v>
      </c>
      <c r="Q53" t="s">
        <v>30</v>
      </c>
      <c r="R53" s="2">
        <v>0.7</v>
      </c>
      <c r="S53">
        <v>630</v>
      </c>
      <c r="T53" t="s">
        <v>27</v>
      </c>
      <c r="U53">
        <v>630</v>
      </c>
      <c r="V53" s="7" t="s">
        <v>24</v>
      </c>
      <c r="W53" s="7" t="s">
        <v>37</v>
      </c>
    </row>
    <row r="54" spans="1:23" x14ac:dyDescent="0.4">
      <c r="A54" t="s">
        <v>262</v>
      </c>
      <c r="B54" t="s">
        <v>566</v>
      </c>
      <c r="C54" t="s">
        <v>620</v>
      </c>
      <c r="D54" t="s">
        <v>64</v>
      </c>
      <c r="E54" t="s">
        <v>22</v>
      </c>
      <c r="F54" t="s">
        <v>23</v>
      </c>
      <c r="G54">
        <v>1</v>
      </c>
      <c r="H54">
        <v>9791166064098</v>
      </c>
      <c r="I54" t="s">
        <v>24</v>
      </c>
      <c r="J54" t="s">
        <v>92</v>
      </c>
      <c r="K54" t="s">
        <v>37</v>
      </c>
      <c r="L54" t="s">
        <v>27</v>
      </c>
      <c r="M54">
        <v>900</v>
      </c>
      <c r="N54" t="s">
        <v>27</v>
      </c>
      <c r="O54">
        <v>900</v>
      </c>
      <c r="P54">
        <v>900</v>
      </c>
      <c r="Q54" t="s">
        <v>30</v>
      </c>
      <c r="R54" s="2">
        <v>0.7</v>
      </c>
      <c r="S54">
        <v>630</v>
      </c>
      <c r="T54" t="s">
        <v>27</v>
      </c>
      <c r="U54">
        <v>630</v>
      </c>
      <c r="V54" s="7" t="s">
        <v>24</v>
      </c>
      <c r="W54" s="7" t="s">
        <v>37</v>
      </c>
    </row>
    <row r="55" spans="1:23" x14ac:dyDescent="0.4">
      <c r="A55" t="s">
        <v>262</v>
      </c>
      <c r="B55" t="s">
        <v>566</v>
      </c>
      <c r="C55" t="s">
        <v>621</v>
      </c>
      <c r="D55" t="s">
        <v>64</v>
      </c>
      <c r="E55" t="s">
        <v>22</v>
      </c>
      <c r="F55" t="s">
        <v>23</v>
      </c>
      <c r="G55">
        <v>1</v>
      </c>
      <c r="H55">
        <v>9791166064074</v>
      </c>
      <c r="I55" t="s">
        <v>24</v>
      </c>
      <c r="J55" t="s">
        <v>90</v>
      </c>
      <c r="K55" t="s">
        <v>37</v>
      </c>
      <c r="L55" t="s">
        <v>27</v>
      </c>
      <c r="M55">
        <v>900</v>
      </c>
      <c r="N55" t="s">
        <v>27</v>
      </c>
      <c r="O55">
        <v>900</v>
      </c>
      <c r="P55">
        <v>900</v>
      </c>
      <c r="Q55" t="s">
        <v>30</v>
      </c>
      <c r="R55" s="2">
        <v>0.7</v>
      </c>
      <c r="S55">
        <v>630</v>
      </c>
      <c r="T55" t="s">
        <v>27</v>
      </c>
      <c r="U55">
        <v>630</v>
      </c>
      <c r="V55" s="7" t="s">
        <v>24</v>
      </c>
      <c r="W55" s="7" t="s">
        <v>37</v>
      </c>
    </row>
    <row r="56" spans="1:23" x14ac:dyDescent="0.4">
      <c r="A56" t="s">
        <v>262</v>
      </c>
      <c r="B56" t="s">
        <v>566</v>
      </c>
      <c r="C56" t="s">
        <v>626</v>
      </c>
      <c r="D56" t="s">
        <v>64</v>
      </c>
      <c r="E56" t="s">
        <v>22</v>
      </c>
      <c r="F56" t="s">
        <v>23</v>
      </c>
      <c r="G56">
        <v>1</v>
      </c>
      <c r="H56">
        <v>9791159283109</v>
      </c>
      <c r="I56" t="s">
        <v>24</v>
      </c>
      <c r="J56" t="s">
        <v>75</v>
      </c>
      <c r="K56" t="s">
        <v>37</v>
      </c>
      <c r="L56" t="s">
        <v>27</v>
      </c>
      <c r="M56">
        <v>900</v>
      </c>
      <c r="N56" t="s">
        <v>27</v>
      </c>
      <c r="O56">
        <v>900</v>
      </c>
      <c r="P56">
        <v>900</v>
      </c>
      <c r="Q56" t="s">
        <v>30</v>
      </c>
      <c r="R56" s="2">
        <v>0.7</v>
      </c>
      <c r="S56">
        <v>630</v>
      </c>
      <c r="T56" t="s">
        <v>27</v>
      </c>
      <c r="U56">
        <v>630</v>
      </c>
      <c r="V56" s="7" t="s">
        <v>24</v>
      </c>
      <c r="W56" s="7" t="s">
        <v>37</v>
      </c>
    </row>
    <row r="57" spans="1:23" x14ac:dyDescent="0.4">
      <c r="A57" t="s">
        <v>262</v>
      </c>
      <c r="B57" t="s">
        <v>566</v>
      </c>
      <c r="C57" t="s">
        <v>630</v>
      </c>
      <c r="D57" t="s">
        <v>21</v>
      </c>
      <c r="E57" t="s">
        <v>22</v>
      </c>
      <c r="F57" t="s">
        <v>23</v>
      </c>
      <c r="G57">
        <v>1</v>
      </c>
      <c r="H57">
        <v>9791197098444</v>
      </c>
      <c r="I57" t="s">
        <v>24</v>
      </c>
      <c r="J57" t="s">
        <v>259</v>
      </c>
      <c r="K57" t="s">
        <v>37</v>
      </c>
      <c r="L57" t="s">
        <v>27</v>
      </c>
      <c r="M57" s="3">
        <v>3200</v>
      </c>
      <c r="N57" t="s">
        <v>219</v>
      </c>
      <c r="O57">
        <v>3.8</v>
      </c>
      <c r="P57">
        <v>3.3</v>
      </c>
      <c r="Q57" t="s">
        <v>220</v>
      </c>
      <c r="R57" s="2">
        <v>0.7</v>
      </c>
      <c r="S57">
        <v>2.31</v>
      </c>
      <c r="T57" t="s">
        <v>27</v>
      </c>
      <c r="U57" s="3">
        <v>1891</v>
      </c>
      <c r="V57" s="7" t="s">
        <v>24</v>
      </c>
      <c r="W57" s="7" t="s">
        <v>37</v>
      </c>
    </row>
    <row r="58" spans="1:23" x14ac:dyDescent="0.4">
      <c r="A58" t="s">
        <v>262</v>
      </c>
      <c r="B58" t="s">
        <v>566</v>
      </c>
      <c r="C58" t="s">
        <v>632</v>
      </c>
      <c r="D58" t="s">
        <v>64</v>
      </c>
      <c r="E58" t="s">
        <v>22</v>
      </c>
      <c r="F58" t="s">
        <v>23</v>
      </c>
      <c r="G58">
        <v>1</v>
      </c>
      <c r="H58">
        <v>9791159283086</v>
      </c>
      <c r="I58" t="s">
        <v>24</v>
      </c>
      <c r="J58" t="s">
        <v>72</v>
      </c>
      <c r="K58" t="s">
        <v>37</v>
      </c>
      <c r="L58" t="s">
        <v>27</v>
      </c>
      <c r="M58">
        <v>900</v>
      </c>
      <c r="N58" t="s">
        <v>27</v>
      </c>
      <c r="O58">
        <v>900</v>
      </c>
      <c r="P58">
        <v>900</v>
      </c>
      <c r="Q58" t="s">
        <v>30</v>
      </c>
      <c r="R58" s="2">
        <v>0.7</v>
      </c>
      <c r="S58">
        <v>630</v>
      </c>
      <c r="T58" t="s">
        <v>27</v>
      </c>
      <c r="U58">
        <v>630</v>
      </c>
      <c r="V58" s="7" t="s">
        <v>24</v>
      </c>
      <c r="W58" s="7" t="s">
        <v>37</v>
      </c>
    </row>
    <row r="59" spans="1:23" x14ac:dyDescent="0.4">
      <c r="A59" t="s">
        <v>262</v>
      </c>
      <c r="B59" t="s">
        <v>566</v>
      </c>
      <c r="C59" t="s">
        <v>633</v>
      </c>
      <c r="D59" t="s">
        <v>64</v>
      </c>
      <c r="E59" t="s">
        <v>22</v>
      </c>
      <c r="F59" t="s">
        <v>23</v>
      </c>
      <c r="G59">
        <v>1</v>
      </c>
      <c r="H59">
        <v>9791166064067</v>
      </c>
      <c r="I59" t="s">
        <v>24</v>
      </c>
      <c r="J59" t="s">
        <v>81</v>
      </c>
      <c r="K59" t="s">
        <v>37</v>
      </c>
      <c r="L59" t="s">
        <v>27</v>
      </c>
      <c r="M59">
        <v>900</v>
      </c>
      <c r="N59" t="s">
        <v>27</v>
      </c>
      <c r="O59">
        <v>900</v>
      </c>
      <c r="P59">
        <v>900</v>
      </c>
      <c r="Q59" t="s">
        <v>30</v>
      </c>
      <c r="R59" s="2">
        <v>0.7</v>
      </c>
      <c r="S59">
        <v>630</v>
      </c>
      <c r="T59" t="s">
        <v>27</v>
      </c>
      <c r="U59">
        <v>630</v>
      </c>
      <c r="V59" s="7" t="s">
        <v>24</v>
      </c>
      <c r="W59" s="7" t="s">
        <v>37</v>
      </c>
    </row>
    <row r="60" spans="1:23" x14ac:dyDescent="0.4">
      <c r="A60" t="s">
        <v>262</v>
      </c>
      <c r="B60" t="s">
        <v>566</v>
      </c>
      <c r="C60" t="s">
        <v>635</v>
      </c>
      <c r="D60" t="s">
        <v>64</v>
      </c>
      <c r="E60" t="s">
        <v>22</v>
      </c>
      <c r="F60" t="s">
        <v>23</v>
      </c>
      <c r="G60">
        <v>1</v>
      </c>
      <c r="H60">
        <v>9791159283215</v>
      </c>
      <c r="I60" t="s">
        <v>24</v>
      </c>
      <c r="J60" t="s">
        <v>103</v>
      </c>
      <c r="K60" t="s">
        <v>37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  <c r="V60" s="7" t="s">
        <v>24</v>
      </c>
      <c r="W60" s="7" t="s">
        <v>37</v>
      </c>
    </row>
    <row r="61" spans="1:23" x14ac:dyDescent="0.4">
      <c r="A61" t="s">
        <v>262</v>
      </c>
      <c r="B61" t="s">
        <v>566</v>
      </c>
      <c r="C61" t="s">
        <v>637</v>
      </c>
      <c r="D61" t="s">
        <v>64</v>
      </c>
      <c r="E61" t="s">
        <v>22</v>
      </c>
      <c r="F61" t="s">
        <v>23</v>
      </c>
      <c r="G61">
        <v>1</v>
      </c>
      <c r="H61">
        <v>9791159282218</v>
      </c>
      <c r="I61" t="s">
        <v>24</v>
      </c>
      <c r="J61" t="s">
        <v>107</v>
      </c>
      <c r="K61" t="s">
        <v>37</v>
      </c>
      <c r="L61" t="s">
        <v>27</v>
      </c>
      <c r="M61">
        <v>900</v>
      </c>
      <c r="N61" t="s">
        <v>27</v>
      </c>
      <c r="O61">
        <v>900</v>
      </c>
      <c r="P61">
        <v>900</v>
      </c>
      <c r="Q61" t="s">
        <v>30</v>
      </c>
      <c r="R61" s="2">
        <v>0.7</v>
      </c>
      <c r="S61">
        <v>630</v>
      </c>
      <c r="T61" t="s">
        <v>27</v>
      </c>
      <c r="U61">
        <v>630</v>
      </c>
      <c r="V61" s="7" t="s">
        <v>24</v>
      </c>
      <c r="W61" s="7" t="s">
        <v>37</v>
      </c>
    </row>
    <row r="62" spans="1:23" x14ac:dyDescent="0.4">
      <c r="A62" t="s">
        <v>262</v>
      </c>
      <c r="B62" t="s">
        <v>566</v>
      </c>
      <c r="C62" t="s">
        <v>640</v>
      </c>
      <c r="D62" t="s">
        <v>64</v>
      </c>
      <c r="E62" t="s">
        <v>22</v>
      </c>
      <c r="F62" t="s">
        <v>23</v>
      </c>
      <c r="G62">
        <v>1</v>
      </c>
      <c r="H62">
        <v>9791159285318</v>
      </c>
      <c r="I62" t="s">
        <v>24</v>
      </c>
      <c r="J62" t="s">
        <v>36</v>
      </c>
      <c r="K62" t="s">
        <v>37</v>
      </c>
      <c r="L62" t="s">
        <v>27</v>
      </c>
      <c r="M62">
        <v>630</v>
      </c>
      <c r="N62" t="s">
        <v>28</v>
      </c>
      <c r="O62">
        <v>0.52</v>
      </c>
      <c r="P62">
        <v>0.52</v>
      </c>
      <c r="Q62" t="s">
        <v>29</v>
      </c>
      <c r="R62" s="2">
        <v>0.7</v>
      </c>
      <c r="S62">
        <v>0.36</v>
      </c>
      <c r="T62" t="s">
        <v>27</v>
      </c>
      <c r="U62">
        <v>459</v>
      </c>
      <c r="V62" s="7" t="s">
        <v>24</v>
      </c>
      <c r="W62" s="7" t="s">
        <v>37</v>
      </c>
    </row>
    <row r="63" spans="1:23" x14ac:dyDescent="0.4">
      <c r="A63" t="s">
        <v>262</v>
      </c>
      <c r="B63" t="s">
        <v>566</v>
      </c>
      <c r="C63" t="s">
        <v>641</v>
      </c>
      <c r="D63" t="s">
        <v>64</v>
      </c>
      <c r="E63" t="s">
        <v>22</v>
      </c>
      <c r="F63" t="s">
        <v>23</v>
      </c>
      <c r="G63">
        <v>1</v>
      </c>
      <c r="H63">
        <v>9791159283116</v>
      </c>
      <c r="I63" t="s">
        <v>24</v>
      </c>
      <c r="J63" t="s">
        <v>76</v>
      </c>
      <c r="K63" t="s">
        <v>37</v>
      </c>
      <c r="L63" t="s">
        <v>27</v>
      </c>
      <c r="M63">
        <v>900</v>
      </c>
      <c r="N63" t="s">
        <v>27</v>
      </c>
      <c r="O63">
        <v>900</v>
      </c>
      <c r="P63">
        <v>900</v>
      </c>
      <c r="Q63" t="s">
        <v>30</v>
      </c>
      <c r="R63" s="2">
        <v>0.7</v>
      </c>
      <c r="S63">
        <v>630</v>
      </c>
      <c r="T63" t="s">
        <v>27</v>
      </c>
      <c r="U63">
        <v>630</v>
      </c>
      <c r="V63" s="7" t="s">
        <v>24</v>
      </c>
      <c r="W63" s="7" t="s">
        <v>37</v>
      </c>
    </row>
    <row r="64" spans="1:23" x14ac:dyDescent="0.4">
      <c r="A64" t="s">
        <v>262</v>
      </c>
      <c r="B64" t="s">
        <v>647</v>
      </c>
      <c r="C64" t="s">
        <v>649</v>
      </c>
      <c r="D64" t="s">
        <v>64</v>
      </c>
      <c r="E64" t="s">
        <v>22</v>
      </c>
      <c r="F64" t="s">
        <v>23</v>
      </c>
      <c r="G64">
        <v>1</v>
      </c>
      <c r="H64">
        <v>9791166064173</v>
      </c>
      <c r="I64" t="s">
        <v>24</v>
      </c>
      <c r="J64" t="s">
        <v>209</v>
      </c>
      <c r="K64" t="s">
        <v>37</v>
      </c>
      <c r="L64" t="s">
        <v>27</v>
      </c>
      <c r="M64">
        <v>900</v>
      </c>
      <c r="N64" t="s">
        <v>27</v>
      </c>
      <c r="O64">
        <v>900</v>
      </c>
      <c r="P64">
        <v>900</v>
      </c>
      <c r="Q64" t="s">
        <v>30</v>
      </c>
      <c r="R64" s="2">
        <v>0.7</v>
      </c>
      <c r="S64">
        <v>630</v>
      </c>
      <c r="T64" t="s">
        <v>27</v>
      </c>
      <c r="U64">
        <v>630</v>
      </c>
      <c r="V64" s="7" t="s">
        <v>24</v>
      </c>
      <c r="W64" s="7" t="s">
        <v>37</v>
      </c>
    </row>
    <row r="65" spans="1:23" x14ac:dyDescent="0.4">
      <c r="A65" t="s">
        <v>262</v>
      </c>
      <c r="B65" t="s">
        <v>647</v>
      </c>
      <c r="C65" t="s">
        <v>651</v>
      </c>
      <c r="D65" t="s">
        <v>64</v>
      </c>
      <c r="E65" t="s">
        <v>22</v>
      </c>
      <c r="F65" t="s">
        <v>23</v>
      </c>
      <c r="G65">
        <v>1</v>
      </c>
      <c r="H65">
        <v>9791166064104</v>
      </c>
      <c r="I65" t="s">
        <v>24</v>
      </c>
      <c r="J65" t="s">
        <v>93</v>
      </c>
      <c r="K65" t="s">
        <v>37</v>
      </c>
      <c r="L65" t="s">
        <v>27</v>
      </c>
      <c r="M65">
        <v>900</v>
      </c>
      <c r="N65" t="s">
        <v>27</v>
      </c>
      <c r="O65">
        <v>900</v>
      </c>
      <c r="P65">
        <v>900</v>
      </c>
      <c r="Q65" t="s">
        <v>30</v>
      </c>
      <c r="R65" s="2">
        <v>0.7</v>
      </c>
      <c r="S65">
        <v>630</v>
      </c>
      <c r="T65" t="s">
        <v>27</v>
      </c>
      <c r="U65">
        <v>630</v>
      </c>
      <c r="V65" s="7" t="s">
        <v>24</v>
      </c>
      <c r="W65" s="7" t="s">
        <v>37</v>
      </c>
    </row>
    <row r="66" spans="1:23" x14ac:dyDescent="0.4">
      <c r="A66" t="s">
        <v>262</v>
      </c>
      <c r="B66" t="s">
        <v>647</v>
      </c>
      <c r="C66" t="s">
        <v>654</v>
      </c>
      <c r="D66" t="s">
        <v>64</v>
      </c>
      <c r="E66" t="s">
        <v>22</v>
      </c>
      <c r="F66" t="s">
        <v>23</v>
      </c>
      <c r="G66">
        <v>1</v>
      </c>
      <c r="H66">
        <v>9791166064180</v>
      </c>
      <c r="I66" t="s">
        <v>24</v>
      </c>
      <c r="J66" t="s">
        <v>211</v>
      </c>
      <c r="K66" t="s">
        <v>37</v>
      </c>
      <c r="L66" t="s">
        <v>27</v>
      </c>
      <c r="M66">
        <v>900</v>
      </c>
      <c r="N66" t="s">
        <v>27</v>
      </c>
      <c r="O66">
        <v>900</v>
      </c>
      <c r="P66">
        <v>900</v>
      </c>
      <c r="Q66" t="s">
        <v>30</v>
      </c>
      <c r="R66" s="2">
        <v>0.7</v>
      </c>
      <c r="S66">
        <v>630</v>
      </c>
      <c r="T66" t="s">
        <v>27</v>
      </c>
      <c r="U66">
        <v>630</v>
      </c>
      <c r="V66" s="7" t="s">
        <v>24</v>
      </c>
      <c r="W66" s="7" t="s">
        <v>37</v>
      </c>
    </row>
    <row r="67" spans="1:23" x14ac:dyDescent="0.4">
      <c r="A67" t="s">
        <v>262</v>
      </c>
      <c r="B67" t="s">
        <v>647</v>
      </c>
      <c r="C67" t="s">
        <v>655</v>
      </c>
      <c r="D67" t="s">
        <v>64</v>
      </c>
      <c r="E67" t="s">
        <v>22</v>
      </c>
      <c r="F67" t="s">
        <v>23</v>
      </c>
      <c r="G67">
        <v>1</v>
      </c>
      <c r="H67">
        <v>9791159283123</v>
      </c>
      <c r="I67" t="s">
        <v>24</v>
      </c>
      <c r="J67" t="s">
        <v>78</v>
      </c>
      <c r="K67" t="s">
        <v>37</v>
      </c>
      <c r="L67" t="s">
        <v>27</v>
      </c>
      <c r="M67">
        <v>900</v>
      </c>
      <c r="N67" t="s">
        <v>27</v>
      </c>
      <c r="O67">
        <v>900</v>
      </c>
      <c r="P67">
        <v>900</v>
      </c>
      <c r="Q67" t="s">
        <v>30</v>
      </c>
      <c r="R67" s="2">
        <v>0.7</v>
      </c>
      <c r="S67">
        <v>630</v>
      </c>
      <c r="T67" t="s">
        <v>27</v>
      </c>
      <c r="U67">
        <v>630</v>
      </c>
      <c r="V67" s="7" t="s">
        <v>24</v>
      </c>
      <c r="W67" s="7" t="s">
        <v>37</v>
      </c>
    </row>
    <row r="68" spans="1:23" x14ac:dyDescent="0.4">
      <c r="A68" t="s">
        <v>262</v>
      </c>
      <c r="B68" t="s">
        <v>647</v>
      </c>
      <c r="C68" t="s">
        <v>664</v>
      </c>
      <c r="D68" t="s">
        <v>64</v>
      </c>
      <c r="E68" t="s">
        <v>22</v>
      </c>
      <c r="F68" t="s">
        <v>23</v>
      </c>
      <c r="G68">
        <v>1</v>
      </c>
      <c r="H68">
        <v>9791159282218</v>
      </c>
      <c r="I68" t="s">
        <v>24</v>
      </c>
      <c r="J68" t="s">
        <v>107</v>
      </c>
      <c r="K68" t="s">
        <v>37</v>
      </c>
      <c r="L68" t="s">
        <v>27</v>
      </c>
      <c r="M68">
        <v>900</v>
      </c>
      <c r="N68" t="s">
        <v>27</v>
      </c>
      <c r="O68">
        <v>900</v>
      </c>
      <c r="P68">
        <v>900</v>
      </c>
      <c r="Q68" t="s">
        <v>30</v>
      </c>
      <c r="R68" s="2">
        <v>0.7</v>
      </c>
      <c r="S68">
        <v>630</v>
      </c>
      <c r="T68" t="s">
        <v>27</v>
      </c>
      <c r="U68">
        <v>630</v>
      </c>
      <c r="V68" s="7" t="s">
        <v>24</v>
      </c>
      <c r="W68" s="7" t="s">
        <v>37</v>
      </c>
    </row>
    <row r="69" spans="1:23" x14ac:dyDescent="0.4">
      <c r="A69" t="s">
        <v>262</v>
      </c>
      <c r="B69" t="s">
        <v>647</v>
      </c>
      <c r="C69" t="s">
        <v>666</v>
      </c>
      <c r="D69" t="s">
        <v>64</v>
      </c>
      <c r="E69" t="s">
        <v>22</v>
      </c>
      <c r="F69" t="s">
        <v>23</v>
      </c>
      <c r="G69">
        <v>1</v>
      </c>
      <c r="H69">
        <v>9791166061158</v>
      </c>
      <c r="I69" t="s">
        <v>24</v>
      </c>
      <c r="J69" t="s">
        <v>101</v>
      </c>
      <c r="K69" t="s">
        <v>37</v>
      </c>
      <c r="L69" t="s">
        <v>27</v>
      </c>
      <c r="M69">
        <v>900</v>
      </c>
      <c r="N69" t="s">
        <v>27</v>
      </c>
      <c r="O69">
        <v>900</v>
      </c>
      <c r="P69">
        <v>900</v>
      </c>
      <c r="Q69" t="s">
        <v>30</v>
      </c>
      <c r="R69" s="2">
        <v>0.7</v>
      </c>
      <c r="S69">
        <v>630</v>
      </c>
      <c r="T69" t="s">
        <v>27</v>
      </c>
      <c r="U69">
        <v>630</v>
      </c>
      <c r="V69" s="7" t="s">
        <v>24</v>
      </c>
      <c r="W69" s="7" t="s">
        <v>37</v>
      </c>
    </row>
    <row r="70" spans="1:23" x14ac:dyDescent="0.4">
      <c r="A70" t="s">
        <v>262</v>
      </c>
      <c r="B70" t="s">
        <v>647</v>
      </c>
      <c r="C70" t="s">
        <v>671</v>
      </c>
      <c r="D70" t="s">
        <v>64</v>
      </c>
      <c r="E70" t="s">
        <v>22</v>
      </c>
      <c r="F70" t="s">
        <v>23</v>
      </c>
      <c r="G70">
        <v>1</v>
      </c>
      <c r="H70">
        <v>9791159283222</v>
      </c>
      <c r="I70" t="s">
        <v>24</v>
      </c>
      <c r="J70" t="s">
        <v>65</v>
      </c>
      <c r="K70" t="s">
        <v>37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2">
        <v>0.7</v>
      </c>
      <c r="S70">
        <v>441</v>
      </c>
      <c r="T70" t="s">
        <v>27</v>
      </c>
      <c r="U70">
        <v>441</v>
      </c>
      <c r="V70" s="7" t="s">
        <v>24</v>
      </c>
      <c r="W70" s="7" t="s">
        <v>37</v>
      </c>
    </row>
    <row r="71" spans="1:23" x14ac:dyDescent="0.4">
      <c r="A71" t="s">
        <v>262</v>
      </c>
      <c r="B71" t="s">
        <v>647</v>
      </c>
      <c r="C71" t="s">
        <v>673</v>
      </c>
      <c r="D71" t="s">
        <v>64</v>
      </c>
      <c r="E71" t="s">
        <v>22</v>
      </c>
      <c r="F71" t="s">
        <v>23</v>
      </c>
      <c r="G71">
        <v>1</v>
      </c>
      <c r="H71">
        <v>9791166064050</v>
      </c>
      <c r="I71" t="s">
        <v>24</v>
      </c>
      <c r="J71" t="s">
        <v>79</v>
      </c>
      <c r="K71" t="s">
        <v>37</v>
      </c>
      <c r="L71" t="s">
        <v>27</v>
      </c>
      <c r="M71">
        <v>900</v>
      </c>
      <c r="N71" t="s">
        <v>27</v>
      </c>
      <c r="O71">
        <v>900</v>
      </c>
      <c r="P71">
        <v>900</v>
      </c>
      <c r="Q71" t="s">
        <v>30</v>
      </c>
      <c r="R71" s="2">
        <v>0.7</v>
      </c>
      <c r="S71">
        <v>630</v>
      </c>
      <c r="T71" t="s">
        <v>27</v>
      </c>
      <c r="U71">
        <v>630</v>
      </c>
      <c r="V71" s="7" t="s">
        <v>24</v>
      </c>
      <c r="W71" s="7" t="s">
        <v>37</v>
      </c>
    </row>
    <row r="72" spans="1:23" x14ac:dyDescent="0.4">
      <c r="A72" t="s">
        <v>262</v>
      </c>
      <c r="B72" t="s">
        <v>647</v>
      </c>
      <c r="C72" t="s">
        <v>674</v>
      </c>
      <c r="D72" t="s">
        <v>64</v>
      </c>
      <c r="E72" t="s">
        <v>22</v>
      </c>
      <c r="F72" t="s">
        <v>23</v>
      </c>
      <c r="G72">
        <v>1</v>
      </c>
      <c r="H72">
        <v>9791159283130</v>
      </c>
      <c r="I72" t="s">
        <v>24</v>
      </c>
      <c r="J72" t="s">
        <v>82</v>
      </c>
      <c r="K72" t="s">
        <v>37</v>
      </c>
      <c r="L72" t="s">
        <v>27</v>
      </c>
      <c r="M72">
        <v>900</v>
      </c>
      <c r="N72" t="s">
        <v>27</v>
      </c>
      <c r="O72">
        <v>900</v>
      </c>
      <c r="P72">
        <v>900</v>
      </c>
      <c r="Q72" t="s">
        <v>30</v>
      </c>
      <c r="R72" s="2">
        <v>0.7</v>
      </c>
      <c r="S72">
        <v>630</v>
      </c>
      <c r="T72" t="s">
        <v>27</v>
      </c>
      <c r="U72">
        <v>630</v>
      </c>
      <c r="V72" s="7" t="s">
        <v>24</v>
      </c>
      <c r="W72" s="7" t="s">
        <v>37</v>
      </c>
    </row>
    <row r="73" spans="1:23" x14ac:dyDescent="0.4">
      <c r="A73" t="s">
        <v>262</v>
      </c>
      <c r="B73" t="s">
        <v>647</v>
      </c>
      <c r="C73" t="s">
        <v>679</v>
      </c>
      <c r="D73" t="s">
        <v>64</v>
      </c>
      <c r="E73" t="s">
        <v>22</v>
      </c>
      <c r="F73" t="s">
        <v>23</v>
      </c>
      <c r="G73">
        <v>1</v>
      </c>
      <c r="H73">
        <v>9791159282225</v>
      </c>
      <c r="I73" t="s">
        <v>24</v>
      </c>
      <c r="J73" t="s">
        <v>108</v>
      </c>
      <c r="K73" t="s">
        <v>37</v>
      </c>
      <c r="L73" t="s">
        <v>27</v>
      </c>
      <c r="M73">
        <v>900</v>
      </c>
      <c r="N73" t="s">
        <v>27</v>
      </c>
      <c r="O73">
        <v>900</v>
      </c>
      <c r="P73">
        <v>900</v>
      </c>
      <c r="Q73" t="s">
        <v>30</v>
      </c>
      <c r="R73" s="2">
        <v>0.7</v>
      </c>
      <c r="S73">
        <v>630</v>
      </c>
      <c r="T73" t="s">
        <v>27</v>
      </c>
      <c r="U73">
        <v>630</v>
      </c>
      <c r="V73" s="7" t="s">
        <v>24</v>
      </c>
      <c r="W73" s="7" t="s">
        <v>37</v>
      </c>
    </row>
    <row r="74" spans="1:23" x14ac:dyDescent="0.4">
      <c r="A74" t="s">
        <v>262</v>
      </c>
      <c r="B74" t="s">
        <v>647</v>
      </c>
      <c r="C74" t="s">
        <v>683</v>
      </c>
      <c r="D74" t="s">
        <v>64</v>
      </c>
      <c r="E74" t="s">
        <v>22</v>
      </c>
      <c r="F74" t="s">
        <v>23</v>
      </c>
      <c r="G74">
        <v>1</v>
      </c>
      <c r="H74">
        <v>9791159283147</v>
      </c>
      <c r="I74" t="s">
        <v>24</v>
      </c>
      <c r="J74" t="s">
        <v>83</v>
      </c>
      <c r="K74" t="s">
        <v>37</v>
      </c>
      <c r="L74" t="s">
        <v>27</v>
      </c>
      <c r="M74">
        <v>900</v>
      </c>
      <c r="N74" t="s">
        <v>27</v>
      </c>
      <c r="O74">
        <v>900</v>
      </c>
      <c r="P74">
        <v>900</v>
      </c>
      <c r="Q74" t="s">
        <v>30</v>
      </c>
      <c r="R74" s="2">
        <v>0.7</v>
      </c>
      <c r="S74">
        <v>630</v>
      </c>
      <c r="T74" t="s">
        <v>27</v>
      </c>
      <c r="U74">
        <v>630</v>
      </c>
      <c r="V74" s="7" t="s">
        <v>24</v>
      </c>
      <c r="W74" s="7" t="s">
        <v>37</v>
      </c>
    </row>
    <row r="75" spans="1:23" x14ac:dyDescent="0.4">
      <c r="A75" t="s">
        <v>262</v>
      </c>
      <c r="B75" t="s">
        <v>647</v>
      </c>
      <c r="C75" t="s">
        <v>684</v>
      </c>
      <c r="D75" t="s">
        <v>21</v>
      </c>
      <c r="E75" t="s">
        <v>22</v>
      </c>
      <c r="F75" t="s">
        <v>23</v>
      </c>
      <c r="G75">
        <v>1</v>
      </c>
      <c r="H75">
        <v>9791166064135</v>
      </c>
      <c r="I75" t="s">
        <v>24</v>
      </c>
      <c r="J75" t="s">
        <v>77</v>
      </c>
      <c r="K75" t="s">
        <v>37</v>
      </c>
      <c r="L75" t="s">
        <v>27</v>
      </c>
      <c r="M75" s="3">
        <v>3200</v>
      </c>
      <c r="N75" t="s">
        <v>27</v>
      </c>
      <c r="O75" s="3">
        <v>3200</v>
      </c>
      <c r="P75" s="3">
        <v>3200</v>
      </c>
      <c r="Q75" t="s">
        <v>30</v>
      </c>
      <c r="R75" s="2">
        <v>0.7</v>
      </c>
      <c r="S75" s="3">
        <v>2240</v>
      </c>
      <c r="T75" t="s">
        <v>27</v>
      </c>
      <c r="U75" s="3">
        <v>2240</v>
      </c>
      <c r="V75" s="7" t="s">
        <v>24</v>
      </c>
      <c r="W75" s="7" t="s">
        <v>37</v>
      </c>
    </row>
    <row r="76" spans="1:23" x14ac:dyDescent="0.4">
      <c r="A76" t="s">
        <v>262</v>
      </c>
      <c r="B76" t="s">
        <v>647</v>
      </c>
      <c r="C76" t="s">
        <v>687</v>
      </c>
      <c r="D76" t="s">
        <v>64</v>
      </c>
      <c r="E76" t="s">
        <v>22</v>
      </c>
      <c r="F76" t="s">
        <v>23</v>
      </c>
      <c r="G76">
        <v>1</v>
      </c>
      <c r="H76">
        <v>9791159283208</v>
      </c>
      <c r="I76" t="s">
        <v>24</v>
      </c>
      <c r="J76" t="s">
        <v>105</v>
      </c>
      <c r="K76" t="s">
        <v>37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  <c r="V76" s="7" t="s">
        <v>24</v>
      </c>
      <c r="W76" s="7" t="s">
        <v>37</v>
      </c>
    </row>
    <row r="77" spans="1:23" x14ac:dyDescent="0.4">
      <c r="A77" t="s">
        <v>262</v>
      </c>
      <c r="B77" t="s">
        <v>647</v>
      </c>
      <c r="C77" t="s">
        <v>692</v>
      </c>
      <c r="D77" t="s">
        <v>64</v>
      </c>
      <c r="E77" t="s">
        <v>22</v>
      </c>
      <c r="F77" t="s">
        <v>23</v>
      </c>
      <c r="G77">
        <v>1</v>
      </c>
      <c r="H77">
        <v>9791166064081</v>
      </c>
      <c r="I77" t="s">
        <v>24</v>
      </c>
      <c r="J77" t="s">
        <v>91</v>
      </c>
      <c r="K77" t="s">
        <v>37</v>
      </c>
      <c r="L77" t="s">
        <v>27</v>
      </c>
      <c r="M77">
        <v>900</v>
      </c>
      <c r="N77" t="s">
        <v>27</v>
      </c>
      <c r="O77">
        <v>900</v>
      </c>
      <c r="P77">
        <v>900</v>
      </c>
      <c r="Q77" t="s">
        <v>30</v>
      </c>
      <c r="R77" s="2">
        <v>0.7</v>
      </c>
      <c r="S77">
        <v>630</v>
      </c>
      <c r="T77" t="s">
        <v>27</v>
      </c>
      <c r="U77">
        <v>630</v>
      </c>
      <c r="V77" s="7" t="s">
        <v>24</v>
      </c>
      <c r="W77" s="7" t="s">
        <v>37</v>
      </c>
    </row>
    <row r="78" spans="1:23" x14ac:dyDescent="0.4">
      <c r="A78" t="s">
        <v>262</v>
      </c>
      <c r="B78" t="s">
        <v>647</v>
      </c>
      <c r="C78" t="s">
        <v>693</v>
      </c>
      <c r="D78" t="s">
        <v>21</v>
      </c>
      <c r="E78" t="s">
        <v>22</v>
      </c>
      <c r="F78" t="s">
        <v>23</v>
      </c>
      <c r="G78">
        <v>1</v>
      </c>
      <c r="H78">
        <v>9791197098451</v>
      </c>
      <c r="I78" t="s">
        <v>24</v>
      </c>
      <c r="J78" t="s">
        <v>260</v>
      </c>
      <c r="K78" t="s">
        <v>37</v>
      </c>
      <c r="L78" t="s">
        <v>27</v>
      </c>
      <c r="M78" s="3">
        <v>3200</v>
      </c>
      <c r="N78" t="s">
        <v>219</v>
      </c>
      <c r="O78">
        <v>3.8</v>
      </c>
      <c r="P78">
        <v>3.3</v>
      </c>
      <c r="Q78" t="s">
        <v>220</v>
      </c>
      <c r="R78" s="2">
        <v>0.7</v>
      </c>
      <c r="S78">
        <v>2.31</v>
      </c>
      <c r="T78" t="s">
        <v>27</v>
      </c>
      <c r="U78" s="3">
        <v>1884</v>
      </c>
      <c r="V78" s="7" t="s">
        <v>24</v>
      </c>
      <c r="W78" s="7" t="s">
        <v>37</v>
      </c>
    </row>
    <row r="79" spans="1:23" x14ac:dyDescent="0.4">
      <c r="A79" t="s">
        <v>262</v>
      </c>
      <c r="B79" t="s">
        <v>647</v>
      </c>
      <c r="C79" t="s">
        <v>700</v>
      </c>
      <c r="D79" t="s">
        <v>64</v>
      </c>
      <c r="E79" t="s">
        <v>22</v>
      </c>
      <c r="F79" t="s">
        <v>23</v>
      </c>
      <c r="G79">
        <v>1</v>
      </c>
      <c r="H79">
        <v>9791166064111</v>
      </c>
      <c r="I79" t="s">
        <v>24</v>
      </c>
      <c r="J79" t="s">
        <v>94</v>
      </c>
      <c r="K79" t="s">
        <v>37</v>
      </c>
      <c r="L79" t="s">
        <v>27</v>
      </c>
      <c r="M79">
        <v>900</v>
      </c>
      <c r="N79" t="s">
        <v>27</v>
      </c>
      <c r="O79">
        <v>900</v>
      </c>
      <c r="P79">
        <v>900</v>
      </c>
      <c r="Q79" t="s">
        <v>30</v>
      </c>
      <c r="R79" s="2">
        <v>0.7</v>
      </c>
      <c r="S79">
        <v>630</v>
      </c>
      <c r="T79" t="s">
        <v>27</v>
      </c>
      <c r="U79">
        <v>630</v>
      </c>
      <c r="V79" s="7" t="s">
        <v>24</v>
      </c>
      <c r="W79" s="7" t="s">
        <v>37</v>
      </c>
    </row>
    <row r="80" spans="1:23" x14ac:dyDescent="0.4">
      <c r="A80" t="s">
        <v>262</v>
      </c>
      <c r="B80" t="s">
        <v>647</v>
      </c>
      <c r="C80" t="s">
        <v>701</v>
      </c>
      <c r="D80" t="s">
        <v>64</v>
      </c>
      <c r="E80" t="s">
        <v>22</v>
      </c>
      <c r="F80" t="s">
        <v>23</v>
      </c>
      <c r="G80">
        <v>1</v>
      </c>
      <c r="H80">
        <v>9791166064074</v>
      </c>
      <c r="I80" t="s">
        <v>24</v>
      </c>
      <c r="J80" t="s">
        <v>90</v>
      </c>
      <c r="K80" t="s">
        <v>37</v>
      </c>
      <c r="L80" t="s">
        <v>27</v>
      </c>
      <c r="M80">
        <v>900</v>
      </c>
      <c r="N80" t="s">
        <v>27</v>
      </c>
      <c r="O80">
        <v>900</v>
      </c>
      <c r="P80">
        <v>900</v>
      </c>
      <c r="Q80" t="s">
        <v>30</v>
      </c>
      <c r="R80" s="2">
        <v>0.7</v>
      </c>
      <c r="S80">
        <v>630</v>
      </c>
      <c r="T80" t="s">
        <v>27</v>
      </c>
      <c r="U80">
        <v>630</v>
      </c>
      <c r="V80" s="7" t="s">
        <v>24</v>
      </c>
      <c r="W80" s="7" t="s">
        <v>37</v>
      </c>
    </row>
    <row r="81" spans="1:23" x14ac:dyDescent="0.4">
      <c r="A81" t="s">
        <v>262</v>
      </c>
      <c r="B81" t="s">
        <v>647</v>
      </c>
      <c r="C81" t="s">
        <v>705</v>
      </c>
      <c r="D81" t="s">
        <v>64</v>
      </c>
      <c r="E81" t="s">
        <v>22</v>
      </c>
      <c r="F81" t="s">
        <v>23</v>
      </c>
      <c r="G81">
        <v>1</v>
      </c>
      <c r="H81">
        <v>9791159283154</v>
      </c>
      <c r="I81" t="s">
        <v>24</v>
      </c>
      <c r="J81" t="s">
        <v>84</v>
      </c>
      <c r="K81" t="s">
        <v>37</v>
      </c>
      <c r="L81" t="s">
        <v>27</v>
      </c>
      <c r="M81">
        <v>900</v>
      </c>
      <c r="N81" t="s">
        <v>27</v>
      </c>
      <c r="O81">
        <v>900</v>
      </c>
      <c r="P81">
        <v>900</v>
      </c>
      <c r="Q81" t="s">
        <v>30</v>
      </c>
      <c r="R81" s="2">
        <v>0.7</v>
      </c>
      <c r="S81">
        <v>630</v>
      </c>
      <c r="T81" t="s">
        <v>27</v>
      </c>
      <c r="U81">
        <v>630</v>
      </c>
      <c r="V81" s="7" t="s">
        <v>24</v>
      </c>
      <c r="W81" s="7" t="s">
        <v>37</v>
      </c>
    </row>
    <row r="82" spans="1:23" x14ac:dyDescent="0.4">
      <c r="A82" t="s">
        <v>262</v>
      </c>
      <c r="B82" t="s">
        <v>647</v>
      </c>
      <c r="C82" t="s">
        <v>707</v>
      </c>
      <c r="D82" t="s">
        <v>64</v>
      </c>
      <c r="E82" t="s">
        <v>22</v>
      </c>
      <c r="F82" t="s">
        <v>23</v>
      </c>
      <c r="G82">
        <v>1</v>
      </c>
      <c r="H82">
        <v>9791159283239</v>
      </c>
      <c r="I82" t="s">
        <v>24</v>
      </c>
      <c r="J82" t="s">
        <v>66</v>
      </c>
      <c r="K82" t="s">
        <v>37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  <c r="V82" s="7" t="s">
        <v>24</v>
      </c>
      <c r="W82" s="7" t="s">
        <v>37</v>
      </c>
    </row>
    <row r="83" spans="1:23" x14ac:dyDescent="0.4">
      <c r="A83" t="s">
        <v>262</v>
      </c>
      <c r="B83" t="s">
        <v>647</v>
      </c>
      <c r="C83" t="s">
        <v>713</v>
      </c>
      <c r="D83" t="s">
        <v>64</v>
      </c>
      <c r="E83" t="s">
        <v>22</v>
      </c>
      <c r="F83" t="s">
        <v>23</v>
      </c>
      <c r="G83">
        <v>1</v>
      </c>
      <c r="H83">
        <v>9791159283161</v>
      </c>
      <c r="I83" t="s">
        <v>24</v>
      </c>
      <c r="J83" t="s">
        <v>85</v>
      </c>
      <c r="K83" t="s">
        <v>37</v>
      </c>
      <c r="L83" t="s">
        <v>27</v>
      </c>
      <c r="M83">
        <v>900</v>
      </c>
      <c r="N83" t="s">
        <v>27</v>
      </c>
      <c r="O83">
        <v>900</v>
      </c>
      <c r="P83">
        <v>900</v>
      </c>
      <c r="Q83" t="s">
        <v>30</v>
      </c>
      <c r="R83" s="2">
        <v>0.7</v>
      </c>
      <c r="S83">
        <v>630</v>
      </c>
      <c r="T83" t="s">
        <v>27</v>
      </c>
      <c r="U83">
        <v>630</v>
      </c>
      <c r="V83" s="7" t="s">
        <v>24</v>
      </c>
      <c r="W83" s="7" t="s">
        <v>37</v>
      </c>
    </row>
    <row r="84" spans="1:23" x14ac:dyDescent="0.4">
      <c r="A84" t="s">
        <v>262</v>
      </c>
      <c r="B84" t="s">
        <v>647</v>
      </c>
      <c r="C84" t="s">
        <v>717</v>
      </c>
      <c r="D84" t="s">
        <v>64</v>
      </c>
      <c r="E84" t="s">
        <v>22</v>
      </c>
      <c r="F84" t="s">
        <v>23</v>
      </c>
      <c r="G84">
        <v>1</v>
      </c>
      <c r="H84">
        <v>9791159282232</v>
      </c>
      <c r="I84" t="s">
        <v>24</v>
      </c>
      <c r="J84" t="s">
        <v>109</v>
      </c>
      <c r="K84" t="s">
        <v>37</v>
      </c>
      <c r="L84" t="s">
        <v>27</v>
      </c>
      <c r="M84">
        <v>900</v>
      </c>
      <c r="N84" t="s">
        <v>27</v>
      </c>
      <c r="O84">
        <v>900</v>
      </c>
      <c r="P84">
        <v>900</v>
      </c>
      <c r="Q84" t="s">
        <v>30</v>
      </c>
      <c r="R84" s="2">
        <v>0.7</v>
      </c>
      <c r="S84">
        <v>630</v>
      </c>
      <c r="T84" t="s">
        <v>27</v>
      </c>
      <c r="U84">
        <v>630</v>
      </c>
      <c r="V84" s="7" t="s">
        <v>24</v>
      </c>
      <c r="W84" s="7" t="s">
        <v>37</v>
      </c>
    </row>
    <row r="85" spans="1:23" x14ac:dyDescent="0.4">
      <c r="A85" t="s">
        <v>262</v>
      </c>
      <c r="B85" t="s">
        <v>647</v>
      </c>
      <c r="C85" t="s">
        <v>719</v>
      </c>
      <c r="D85" t="s">
        <v>64</v>
      </c>
      <c r="E85" t="s">
        <v>22</v>
      </c>
      <c r="F85" t="s">
        <v>23</v>
      </c>
      <c r="G85">
        <v>1</v>
      </c>
      <c r="H85">
        <v>9791159283246</v>
      </c>
      <c r="I85" t="s">
        <v>24</v>
      </c>
      <c r="J85" t="s">
        <v>67</v>
      </c>
      <c r="K85" t="s">
        <v>37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  <c r="V85" s="7" t="s">
        <v>24</v>
      </c>
      <c r="W85" s="7" t="s">
        <v>37</v>
      </c>
    </row>
    <row r="86" spans="1:23" x14ac:dyDescent="0.4">
      <c r="A86" t="s">
        <v>262</v>
      </c>
      <c r="B86" t="s">
        <v>647</v>
      </c>
      <c r="C86" t="s">
        <v>720</v>
      </c>
      <c r="D86" t="s">
        <v>64</v>
      </c>
      <c r="E86" t="s">
        <v>22</v>
      </c>
      <c r="F86" t="s">
        <v>23</v>
      </c>
      <c r="G86">
        <v>1</v>
      </c>
      <c r="H86">
        <v>9791159283178</v>
      </c>
      <c r="I86" t="s">
        <v>24</v>
      </c>
      <c r="J86" t="s">
        <v>88</v>
      </c>
      <c r="K86" t="s">
        <v>37</v>
      </c>
      <c r="L86" t="s">
        <v>27</v>
      </c>
      <c r="M86">
        <v>900</v>
      </c>
      <c r="N86" t="s">
        <v>27</v>
      </c>
      <c r="O86">
        <v>900</v>
      </c>
      <c r="P86">
        <v>900</v>
      </c>
      <c r="Q86" t="s">
        <v>30</v>
      </c>
      <c r="R86" s="2">
        <v>0.7</v>
      </c>
      <c r="S86">
        <v>630</v>
      </c>
      <c r="T86" t="s">
        <v>27</v>
      </c>
      <c r="U86">
        <v>630</v>
      </c>
      <c r="V86" s="7" t="s">
        <v>24</v>
      </c>
      <c r="W86" s="7" t="s">
        <v>37</v>
      </c>
    </row>
    <row r="87" spans="1:23" x14ac:dyDescent="0.4">
      <c r="A87" t="s">
        <v>262</v>
      </c>
      <c r="B87" t="s">
        <v>722</v>
      </c>
      <c r="C87" t="s">
        <v>724</v>
      </c>
      <c r="D87" t="s">
        <v>64</v>
      </c>
      <c r="E87" t="s">
        <v>22</v>
      </c>
      <c r="F87" t="s">
        <v>23</v>
      </c>
      <c r="G87">
        <v>1</v>
      </c>
      <c r="H87">
        <v>9791159283253</v>
      </c>
      <c r="I87" t="s">
        <v>24</v>
      </c>
      <c r="J87" t="s">
        <v>68</v>
      </c>
      <c r="K87" t="s">
        <v>37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  <c r="V87" s="7" t="s">
        <v>24</v>
      </c>
      <c r="W87" s="7" t="s">
        <v>37</v>
      </c>
    </row>
    <row r="88" spans="1:23" x14ac:dyDescent="0.4">
      <c r="A88" t="s">
        <v>262</v>
      </c>
      <c r="B88" t="s">
        <v>722</v>
      </c>
      <c r="C88" t="s">
        <v>730</v>
      </c>
      <c r="D88" t="s">
        <v>64</v>
      </c>
      <c r="E88" t="s">
        <v>22</v>
      </c>
      <c r="F88" t="s">
        <v>23</v>
      </c>
      <c r="G88">
        <v>1</v>
      </c>
      <c r="H88">
        <v>9791159283185</v>
      </c>
      <c r="I88" t="s">
        <v>24</v>
      </c>
      <c r="J88" t="s">
        <v>89</v>
      </c>
      <c r="K88" t="s">
        <v>37</v>
      </c>
      <c r="L88" t="s">
        <v>27</v>
      </c>
      <c r="M88">
        <v>900</v>
      </c>
      <c r="N88" t="s">
        <v>27</v>
      </c>
      <c r="O88">
        <v>900</v>
      </c>
      <c r="P88">
        <v>900</v>
      </c>
      <c r="Q88" t="s">
        <v>30</v>
      </c>
      <c r="R88" s="2">
        <v>0.7</v>
      </c>
      <c r="S88">
        <v>630</v>
      </c>
      <c r="T88" t="s">
        <v>27</v>
      </c>
      <c r="U88">
        <v>630</v>
      </c>
      <c r="V88" s="7" t="s">
        <v>24</v>
      </c>
      <c r="W88" s="7" t="s">
        <v>37</v>
      </c>
    </row>
    <row r="89" spans="1:23" x14ac:dyDescent="0.4">
      <c r="A89" t="s">
        <v>262</v>
      </c>
      <c r="B89" t="s">
        <v>722</v>
      </c>
      <c r="C89" t="s">
        <v>732</v>
      </c>
      <c r="D89" t="s">
        <v>64</v>
      </c>
      <c r="E89" t="s">
        <v>22</v>
      </c>
      <c r="F89" t="s">
        <v>23</v>
      </c>
      <c r="G89">
        <v>1</v>
      </c>
      <c r="H89">
        <v>9791166064081</v>
      </c>
      <c r="I89" t="s">
        <v>24</v>
      </c>
      <c r="J89" t="s">
        <v>91</v>
      </c>
      <c r="K89" t="s">
        <v>37</v>
      </c>
      <c r="L89" t="s">
        <v>27</v>
      </c>
      <c r="M89">
        <v>900</v>
      </c>
      <c r="N89" t="s">
        <v>27</v>
      </c>
      <c r="O89">
        <v>900</v>
      </c>
      <c r="P89">
        <v>900</v>
      </c>
      <c r="Q89" t="s">
        <v>30</v>
      </c>
      <c r="R89" s="2">
        <v>0.7</v>
      </c>
      <c r="S89">
        <v>630</v>
      </c>
      <c r="T89" t="s">
        <v>27</v>
      </c>
      <c r="U89">
        <v>630</v>
      </c>
      <c r="V89" s="7" t="s">
        <v>24</v>
      </c>
      <c r="W89" s="7" t="s">
        <v>37</v>
      </c>
    </row>
    <row r="90" spans="1:23" x14ac:dyDescent="0.4">
      <c r="A90" t="s">
        <v>262</v>
      </c>
      <c r="B90" t="s">
        <v>722</v>
      </c>
      <c r="C90" t="s">
        <v>733</v>
      </c>
      <c r="D90" t="s">
        <v>64</v>
      </c>
      <c r="E90" t="s">
        <v>22</v>
      </c>
      <c r="F90" t="s">
        <v>23</v>
      </c>
      <c r="G90">
        <v>1</v>
      </c>
      <c r="H90">
        <v>9791159282218</v>
      </c>
      <c r="I90" t="s">
        <v>24</v>
      </c>
      <c r="J90" t="s">
        <v>107</v>
      </c>
      <c r="K90" t="s">
        <v>37</v>
      </c>
      <c r="L90" t="s">
        <v>27</v>
      </c>
      <c r="M90">
        <v>900</v>
      </c>
      <c r="N90" t="s">
        <v>27</v>
      </c>
      <c r="O90">
        <v>900</v>
      </c>
      <c r="P90">
        <v>900</v>
      </c>
      <c r="Q90" t="s">
        <v>30</v>
      </c>
      <c r="R90" s="2">
        <v>0.7</v>
      </c>
      <c r="S90">
        <v>630</v>
      </c>
      <c r="T90" t="s">
        <v>27</v>
      </c>
      <c r="U90">
        <v>630</v>
      </c>
      <c r="V90" s="7" t="s">
        <v>24</v>
      </c>
      <c r="W90" s="7" t="s">
        <v>37</v>
      </c>
    </row>
    <row r="91" spans="1:23" x14ac:dyDescent="0.4">
      <c r="A91" t="s">
        <v>262</v>
      </c>
      <c r="B91" t="s">
        <v>722</v>
      </c>
      <c r="C91" t="s">
        <v>741</v>
      </c>
      <c r="D91" t="s">
        <v>64</v>
      </c>
      <c r="E91" t="s">
        <v>22</v>
      </c>
      <c r="F91" t="s">
        <v>23</v>
      </c>
      <c r="G91">
        <v>1</v>
      </c>
      <c r="H91">
        <v>9791159282249</v>
      </c>
      <c r="I91" t="s">
        <v>24</v>
      </c>
      <c r="J91" t="s">
        <v>110</v>
      </c>
      <c r="K91" t="s">
        <v>37</v>
      </c>
      <c r="L91" t="s">
        <v>27</v>
      </c>
      <c r="M91">
        <v>900</v>
      </c>
      <c r="N91" t="s">
        <v>27</v>
      </c>
      <c r="O91">
        <v>900</v>
      </c>
      <c r="P91">
        <v>900</v>
      </c>
      <c r="Q91" t="s">
        <v>30</v>
      </c>
      <c r="R91" s="2">
        <v>0.7</v>
      </c>
      <c r="S91">
        <v>630</v>
      </c>
      <c r="T91" t="s">
        <v>27</v>
      </c>
      <c r="U91">
        <v>630</v>
      </c>
      <c r="V91" s="7" t="s">
        <v>24</v>
      </c>
      <c r="W91" s="7" t="s">
        <v>37</v>
      </c>
    </row>
    <row r="92" spans="1:23" x14ac:dyDescent="0.4">
      <c r="A92" t="s">
        <v>262</v>
      </c>
      <c r="B92" t="s">
        <v>722</v>
      </c>
      <c r="C92" t="s">
        <v>751</v>
      </c>
      <c r="D92" t="s">
        <v>64</v>
      </c>
      <c r="E92" t="s">
        <v>22</v>
      </c>
      <c r="F92" t="s">
        <v>23</v>
      </c>
      <c r="G92">
        <v>1</v>
      </c>
      <c r="H92">
        <v>9791159283086</v>
      </c>
      <c r="I92" t="s">
        <v>24</v>
      </c>
      <c r="J92" t="s">
        <v>72</v>
      </c>
      <c r="K92" t="s">
        <v>37</v>
      </c>
      <c r="L92" t="s">
        <v>27</v>
      </c>
      <c r="M92">
        <v>900</v>
      </c>
      <c r="N92" t="s">
        <v>27</v>
      </c>
      <c r="O92">
        <v>900</v>
      </c>
      <c r="P92">
        <v>900</v>
      </c>
      <c r="Q92" t="s">
        <v>30</v>
      </c>
      <c r="R92" s="2">
        <v>0.7</v>
      </c>
      <c r="S92">
        <v>630</v>
      </c>
      <c r="T92" t="s">
        <v>27</v>
      </c>
      <c r="U92">
        <v>630</v>
      </c>
      <c r="V92" s="7" t="s">
        <v>24</v>
      </c>
      <c r="W92" s="7" t="s">
        <v>37</v>
      </c>
    </row>
    <row r="93" spans="1:23" x14ac:dyDescent="0.4">
      <c r="A93" t="s">
        <v>262</v>
      </c>
      <c r="B93" t="s">
        <v>722</v>
      </c>
      <c r="C93" t="s">
        <v>752</v>
      </c>
      <c r="D93" t="s">
        <v>64</v>
      </c>
      <c r="E93" t="s">
        <v>22</v>
      </c>
      <c r="F93" t="s">
        <v>23</v>
      </c>
      <c r="G93">
        <v>1</v>
      </c>
      <c r="H93">
        <v>9791166061080</v>
      </c>
      <c r="I93" t="s">
        <v>24</v>
      </c>
      <c r="J93" t="s">
        <v>74</v>
      </c>
      <c r="K93" t="s">
        <v>37</v>
      </c>
      <c r="L93" t="s">
        <v>27</v>
      </c>
      <c r="M93">
        <v>900</v>
      </c>
      <c r="N93" t="s">
        <v>27</v>
      </c>
      <c r="O93">
        <v>900</v>
      </c>
      <c r="P93">
        <v>900</v>
      </c>
      <c r="Q93" t="s">
        <v>30</v>
      </c>
      <c r="R93" s="2">
        <v>0.7</v>
      </c>
      <c r="S93">
        <v>630</v>
      </c>
      <c r="T93" t="s">
        <v>27</v>
      </c>
      <c r="U93">
        <v>630</v>
      </c>
      <c r="V93" s="7" t="s">
        <v>24</v>
      </c>
      <c r="W93" s="7" t="s">
        <v>37</v>
      </c>
    </row>
    <row r="94" spans="1:23" x14ac:dyDescent="0.4">
      <c r="A94" t="s">
        <v>262</v>
      </c>
      <c r="B94" t="s">
        <v>722</v>
      </c>
      <c r="C94" t="s">
        <v>765</v>
      </c>
      <c r="D94" t="s">
        <v>64</v>
      </c>
      <c r="E94" t="s">
        <v>22</v>
      </c>
      <c r="F94" t="s">
        <v>23</v>
      </c>
      <c r="G94">
        <v>1</v>
      </c>
      <c r="H94">
        <v>9791159282225</v>
      </c>
      <c r="I94" t="s">
        <v>24</v>
      </c>
      <c r="J94" t="s">
        <v>108</v>
      </c>
      <c r="K94" t="s">
        <v>37</v>
      </c>
      <c r="L94" t="s">
        <v>27</v>
      </c>
      <c r="M94">
        <v>900</v>
      </c>
      <c r="N94" t="s">
        <v>27</v>
      </c>
      <c r="O94">
        <v>900</v>
      </c>
      <c r="P94">
        <v>900</v>
      </c>
      <c r="Q94" t="s">
        <v>30</v>
      </c>
      <c r="R94" s="2">
        <v>0.7</v>
      </c>
      <c r="S94">
        <v>630</v>
      </c>
      <c r="T94" t="s">
        <v>27</v>
      </c>
      <c r="U94">
        <v>630</v>
      </c>
      <c r="V94" s="7" t="s">
        <v>24</v>
      </c>
      <c r="W94" s="7" t="s">
        <v>37</v>
      </c>
    </row>
    <row r="95" spans="1:23" x14ac:dyDescent="0.4">
      <c r="A95" t="s">
        <v>262</v>
      </c>
      <c r="B95" t="s">
        <v>722</v>
      </c>
      <c r="C95" t="s">
        <v>768</v>
      </c>
      <c r="D95" t="s">
        <v>64</v>
      </c>
      <c r="E95" t="s">
        <v>22</v>
      </c>
      <c r="F95" t="s">
        <v>23</v>
      </c>
      <c r="G95">
        <v>1</v>
      </c>
      <c r="H95">
        <v>9791159283260</v>
      </c>
      <c r="I95" t="s">
        <v>24</v>
      </c>
      <c r="J95" t="s">
        <v>69</v>
      </c>
      <c r="K95" t="s">
        <v>37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  <c r="V95" s="7" t="s">
        <v>24</v>
      </c>
      <c r="W95" s="7" t="s">
        <v>37</v>
      </c>
    </row>
    <row r="96" spans="1:23" x14ac:dyDescent="0.4">
      <c r="A96" t="s">
        <v>262</v>
      </c>
      <c r="B96" t="s">
        <v>722</v>
      </c>
      <c r="C96" t="s">
        <v>769</v>
      </c>
      <c r="D96" t="s">
        <v>64</v>
      </c>
      <c r="E96" t="s">
        <v>22</v>
      </c>
      <c r="F96" t="s">
        <v>23</v>
      </c>
      <c r="G96">
        <v>1</v>
      </c>
      <c r="H96">
        <v>9791166061097</v>
      </c>
      <c r="I96" t="s">
        <v>24</v>
      </c>
      <c r="J96" t="s">
        <v>95</v>
      </c>
      <c r="K96" t="s">
        <v>37</v>
      </c>
      <c r="L96" t="s">
        <v>27</v>
      </c>
      <c r="M96">
        <v>900</v>
      </c>
      <c r="N96" t="s">
        <v>27</v>
      </c>
      <c r="O96">
        <v>900</v>
      </c>
      <c r="P96">
        <v>900</v>
      </c>
      <c r="Q96" t="s">
        <v>30</v>
      </c>
      <c r="R96" s="2">
        <v>0.7</v>
      </c>
      <c r="S96">
        <v>630</v>
      </c>
      <c r="T96" t="s">
        <v>27</v>
      </c>
      <c r="U96">
        <v>630</v>
      </c>
      <c r="V96" s="7" t="s">
        <v>24</v>
      </c>
      <c r="W96" s="7" t="s">
        <v>37</v>
      </c>
    </row>
    <row r="97" spans="1:23" x14ac:dyDescent="0.4">
      <c r="A97" t="s">
        <v>262</v>
      </c>
      <c r="B97" t="s">
        <v>722</v>
      </c>
      <c r="C97" t="s">
        <v>775</v>
      </c>
      <c r="D97" t="s">
        <v>64</v>
      </c>
      <c r="E97" t="s">
        <v>22</v>
      </c>
      <c r="F97" t="s">
        <v>23</v>
      </c>
      <c r="G97">
        <v>1</v>
      </c>
      <c r="H97">
        <v>9791159283086</v>
      </c>
      <c r="I97" t="s">
        <v>24</v>
      </c>
      <c r="J97" t="s">
        <v>72</v>
      </c>
      <c r="K97" t="s">
        <v>37</v>
      </c>
      <c r="L97" t="s">
        <v>27</v>
      </c>
      <c r="M97">
        <v>900</v>
      </c>
      <c r="N97" t="s">
        <v>27</v>
      </c>
      <c r="O97">
        <v>900</v>
      </c>
      <c r="P97">
        <v>900</v>
      </c>
      <c r="Q97" t="s">
        <v>30</v>
      </c>
      <c r="R97" s="2">
        <v>0.7</v>
      </c>
      <c r="S97">
        <v>630</v>
      </c>
      <c r="T97" t="s">
        <v>27</v>
      </c>
      <c r="U97">
        <v>630</v>
      </c>
      <c r="V97" s="7" t="s">
        <v>24</v>
      </c>
      <c r="W97" s="7" t="s">
        <v>37</v>
      </c>
    </row>
    <row r="98" spans="1:23" x14ac:dyDescent="0.4">
      <c r="A98" t="s">
        <v>262</v>
      </c>
      <c r="B98" t="s">
        <v>722</v>
      </c>
      <c r="C98" t="s">
        <v>776</v>
      </c>
      <c r="D98" t="s">
        <v>64</v>
      </c>
      <c r="E98" t="s">
        <v>22</v>
      </c>
      <c r="F98" t="s">
        <v>23</v>
      </c>
      <c r="G98">
        <v>1</v>
      </c>
      <c r="H98">
        <v>9791166061103</v>
      </c>
      <c r="I98" t="s">
        <v>24</v>
      </c>
      <c r="J98" t="s">
        <v>96</v>
      </c>
      <c r="K98" t="s">
        <v>37</v>
      </c>
      <c r="L98" t="s">
        <v>27</v>
      </c>
      <c r="M98">
        <v>900</v>
      </c>
      <c r="N98" t="s">
        <v>27</v>
      </c>
      <c r="O98">
        <v>900</v>
      </c>
      <c r="P98">
        <v>900</v>
      </c>
      <c r="Q98" t="s">
        <v>30</v>
      </c>
      <c r="R98" s="2">
        <v>0.7</v>
      </c>
      <c r="S98">
        <v>630</v>
      </c>
      <c r="T98" t="s">
        <v>27</v>
      </c>
      <c r="U98">
        <v>630</v>
      </c>
      <c r="V98" s="7" t="s">
        <v>24</v>
      </c>
      <c r="W98" s="7" t="s">
        <v>37</v>
      </c>
    </row>
    <row r="99" spans="1:23" x14ac:dyDescent="0.4">
      <c r="A99" t="s">
        <v>262</v>
      </c>
      <c r="B99" t="s">
        <v>722</v>
      </c>
      <c r="C99" t="s">
        <v>786</v>
      </c>
      <c r="D99" t="s">
        <v>64</v>
      </c>
      <c r="E99" t="s">
        <v>22</v>
      </c>
      <c r="F99" t="s">
        <v>23</v>
      </c>
      <c r="G99">
        <v>1</v>
      </c>
      <c r="H99">
        <v>9791166061110</v>
      </c>
      <c r="I99" t="s">
        <v>24</v>
      </c>
      <c r="J99" t="s">
        <v>97</v>
      </c>
      <c r="K99" t="s">
        <v>37</v>
      </c>
      <c r="L99" t="s">
        <v>27</v>
      </c>
      <c r="M99">
        <v>900</v>
      </c>
      <c r="N99" t="s">
        <v>27</v>
      </c>
      <c r="O99">
        <v>900</v>
      </c>
      <c r="P99">
        <v>900</v>
      </c>
      <c r="Q99" t="s">
        <v>30</v>
      </c>
      <c r="R99" s="2">
        <v>0.7</v>
      </c>
      <c r="S99">
        <v>630</v>
      </c>
      <c r="T99" t="s">
        <v>27</v>
      </c>
      <c r="U99">
        <v>630</v>
      </c>
      <c r="V99" s="7" t="s">
        <v>24</v>
      </c>
      <c r="W99" s="7" t="s">
        <v>37</v>
      </c>
    </row>
    <row r="100" spans="1:23" x14ac:dyDescent="0.4">
      <c r="A100" t="s">
        <v>262</v>
      </c>
      <c r="B100" t="s">
        <v>722</v>
      </c>
      <c r="C100" t="s">
        <v>787</v>
      </c>
      <c r="D100" t="s">
        <v>64</v>
      </c>
      <c r="E100" t="s">
        <v>22</v>
      </c>
      <c r="F100" t="s">
        <v>23</v>
      </c>
      <c r="G100">
        <v>1</v>
      </c>
      <c r="H100">
        <v>9791159283093</v>
      </c>
      <c r="I100" t="s">
        <v>24</v>
      </c>
      <c r="J100" t="s">
        <v>73</v>
      </c>
      <c r="K100" t="s">
        <v>37</v>
      </c>
      <c r="L100" t="s">
        <v>27</v>
      </c>
      <c r="M100">
        <v>900</v>
      </c>
      <c r="N100" t="s">
        <v>27</v>
      </c>
      <c r="O100">
        <v>900</v>
      </c>
      <c r="P100">
        <v>900</v>
      </c>
      <c r="Q100" t="s">
        <v>30</v>
      </c>
      <c r="R100" s="2">
        <v>0.7</v>
      </c>
      <c r="S100">
        <v>630</v>
      </c>
      <c r="T100" t="s">
        <v>27</v>
      </c>
      <c r="U100">
        <v>630</v>
      </c>
      <c r="V100" s="7" t="s">
        <v>24</v>
      </c>
      <c r="W100" s="7" t="s">
        <v>37</v>
      </c>
    </row>
    <row r="101" spans="1:23" x14ac:dyDescent="0.4">
      <c r="A101" t="s">
        <v>262</v>
      </c>
      <c r="B101" t="s">
        <v>722</v>
      </c>
      <c r="C101" t="s">
        <v>792</v>
      </c>
      <c r="D101" t="s">
        <v>64</v>
      </c>
      <c r="E101" t="s">
        <v>22</v>
      </c>
      <c r="F101" t="s">
        <v>23</v>
      </c>
      <c r="G101">
        <v>1</v>
      </c>
      <c r="H101">
        <v>9791166064098</v>
      </c>
      <c r="I101" t="s">
        <v>24</v>
      </c>
      <c r="J101" t="s">
        <v>92</v>
      </c>
      <c r="K101" t="s">
        <v>37</v>
      </c>
      <c r="L101" t="s">
        <v>27</v>
      </c>
      <c r="M101">
        <v>900</v>
      </c>
      <c r="N101" t="s">
        <v>27</v>
      </c>
      <c r="O101">
        <v>900</v>
      </c>
      <c r="P101">
        <v>900</v>
      </c>
      <c r="Q101" t="s">
        <v>30</v>
      </c>
      <c r="R101" s="2">
        <v>0.7</v>
      </c>
      <c r="S101">
        <v>630</v>
      </c>
      <c r="T101" t="s">
        <v>27</v>
      </c>
      <c r="U101">
        <v>630</v>
      </c>
      <c r="V101" s="7" t="s">
        <v>24</v>
      </c>
      <c r="W101" s="7" t="s">
        <v>37</v>
      </c>
    </row>
    <row r="102" spans="1:23" x14ac:dyDescent="0.4">
      <c r="A102" t="s">
        <v>262</v>
      </c>
      <c r="B102" t="s">
        <v>722</v>
      </c>
      <c r="C102" t="s">
        <v>794</v>
      </c>
      <c r="D102" t="s">
        <v>64</v>
      </c>
      <c r="E102" t="s">
        <v>22</v>
      </c>
      <c r="F102" t="s">
        <v>23</v>
      </c>
      <c r="G102">
        <v>1</v>
      </c>
      <c r="H102">
        <v>9791159282232</v>
      </c>
      <c r="I102" t="s">
        <v>24</v>
      </c>
      <c r="J102" t="s">
        <v>109</v>
      </c>
      <c r="K102" t="s">
        <v>37</v>
      </c>
      <c r="L102" t="s">
        <v>27</v>
      </c>
      <c r="M102">
        <v>900</v>
      </c>
      <c r="N102" t="s">
        <v>27</v>
      </c>
      <c r="O102">
        <v>900</v>
      </c>
      <c r="P102">
        <v>900</v>
      </c>
      <c r="Q102" t="s">
        <v>30</v>
      </c>
      <c r="R102" s="2">
        <v>0.7</v>
      </c>
      <c r="S102">
        <v>630</v>
      </c>
      <c r="T102" t="s">
        <v>27</v>
      </c>
      <c r="U102">
        <v>630</v>
      </c>
      <c r="V102" s="7" t="s">
        <v>24</v>
      </c>
      <c r="W102" s="7" t="s">
        <v>37</v>
      </c>
    </row>
    <row r="103" spans="1:23" x14ac:dyDescent="0.4">
      <c r="A103" t="s">
        <v>262</v>
      </c>
      <c r="B103" t="s">
        <v>722</v>
      </c>
      <c r="C103" t="s">
        <v>797</v>
      </c>
      <c r="D103" t="s">
        <v>64</v>
      </c>
      <c r="E103" t="s">
        <v>22</v>
      </c>
      <c r="F103" t="s">
        <v>23</v>
      </c>
      <c r="G103">
        <v>1</v>
      </c>
      <c r="H103">
        <v>9791159283277</v>
      </c>
      <c r="I103" t="s">
        <v>24</v>
      </c>
      <c r="J103" t="s">
        <v>118</v>
      </c>
      <c r="K103" t="s">
        <v>37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2">
        <v>0.7</v>
      </c>
      <c r="S103">
        <v>441</v>
      </c>
      <c r="T103" t="s">
        <v>27</v>
      </c>
      <c r="U103">
        <v>441</v>
      </c>
      <c r="V103" s="7" t="s">
        <v>24</v>
      </c>
      <c r="W103" s="7" t="s">
        <v>37</v>
      </c>
    </row>
    <row r="104" spans="1:23" x14ac:dyDescent="0.4">
      <c r="A104" t="s">
        <v>262</v>
      </c>
      <c r="B104" t="s">
        <v>722</v>
      </c>
      <c r="C104" t="s">
        <v>798</v>
      </c>
      <c r="D104" t="s">
        <v>64</v>
      </c>
      <c r="E104" t="s">
        <v>22</v>
      </c>
      <c r="F104" t="s">
        <v>23</v>
      </c>
      <c r="G104">
        <v>1</v>
      </c>
      <c r="H104">
        <v>9791159283215</v>
      </c>
      <c r="I104" t="s">
        <v>24</v>
      </c>
      <c r="J104" t="s">
        <v>103</v>
      </c>
      <c r="K104" t="s">
        <v>37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2">
        <v>0.7</v>
      </c>
      <c r="S104">
        <v>441</v>
      </c>
      <c r="T104" t="s">
        <v>27</v>
      </c>
      <c r="U104">
        <v>441</v>
      </c>
      <c r="V104" s="7" t="s">
        <v>24</v>
      </c>
      <c r="W104" s="7" t="s">
        <v>37</v>
      </c>
    </row>
    <row r="105" spans="1:23" x14ac:dyDescent="0.4">
      <c r="A105" t="s">
        <v>262</v>
      </c>
      <c r="B105" t="s">
        <v>722</v>
      </c>
      <c r="C105" t="s">
        <v>808</v>
      </c>
      <c r="D105" t="s">
        <v>64</v>
      </c>
      <c r="E105" t="s">
        <v>22</v>
      </c>
      <c r="F105" t="s">
        <v>23</v>
      </c>
      <c r="G105">
        <v>1</v>
      </c>
      <c r="H105">
        <v>9791166061127</v>
      </c>
      <c r="I105" t="s">
        <v>24</v>
      </c>
      <c r="J105" t="s">
        <v>100</v>
      </c>
      <c r="K105" t="s">
        <v>37</v>
      </c>
      <c r="L105" t="s">
        <v>27</v>
      </c>
      <c r="M105">
        <v>900</v>
      </c>
      <c r="N105" t="s">
        <v>27</v>
      </c>
      <c r="O105">
        <v>900</v>
      </c>
      <c r="P105">
        <v>900</v>
      </c>
      <c r="Q105" t="s">
        <v>30</v>
      </c>
      <c r="R105" s="2">
        <v>0.7</v>
      </c>
      <c r="S105">
        <v>630</v>
      </c>
      <c r="T105" t="s">
        <v>27</v>
      </c>
      <c r="U105">
        <v>630</v>
      </c>
      <c r="V105" s="7" t="s">
        <v>24</v>
      </c>
      <c r="W105" s="7" t="s">
        <v>37</v>
      </c>
    </row>
    <row r="106" spans="1:23" x14ac:dyDescent="0.4">
      <c r="A106" t="s">
        <v>262</v>
      </c>
      <c r="B106" t="s">
        <v>810</v>
      </c>
      <c r="C106" t="s">
        <v>811</v>
      </c>
      <c r="D106" t="s">
        <v>64</v>
      </c>
      <c r="E106" t="s">
        <v>22</v>
      </c>
      <c r="F106" t="s">
        <v>23</v>
      </c>
      <c r="G106">
        <v>1</v>
      </c>
      <c r="H106">
        <v>9791159283093</v>
      </c>
      <c r="I106" t="s">
        <v>24</v>
      </c>
      <c r="J106" t="s">
        <v>73</v>
      </c>
      <c r="K106" t="s">
        <v>37</v>
      </c>
      <c r="L106" t="s">
        <v>27</v>
      </c>
      <c r="M106">
        <v>900</v>
      </c>
      <c r="N106" t="s">
        <v>27</v>
      </c>
      <c r="O106">
        <v>900</v>
      </c>
      <c r="P106">
        <v>900</v>
      </c>
      <c r="Q106" t="s">
        <v>30</v>
      </c>
      <c r="R106" s="2">
        <v>0.7</v>
      </c>
      <c r="S106">
        <v>630</v>
      </c>
      <c r="T106" t="s">
        <v>27</v>
      </c>
      <c r="U106">
        <v>630</v>
      </c>
      <c r="V106" s="7" t="s">
        <v>24</v>
      </c>
      <c r="W106" s="7" t="s">
        <v>37</v>
      </c>
    </row>
    <row r="107" spans="1:23" x14ac:dyDescent="0.4">
      <c r="A107" t="s">
        <v>262</v>
      </c>
      <c r="B107" t="s">
        <v>810</v>
      </c>
      <c r="C107" t="s">
        <v>821</v>
      </c>
      <c r="D107" t="s">
        <v>21</v>
      </c>
      <c r="E107" t="s">
        <v>22</v>
      </c>
      <c r="F107" t="s">
        <v>23</v>
      </c>
      <c r="G107">
        <v>1</v>
      </c>
      <c r="H107">
        <v>9791197098468</v>
      </c>
      <c r="I107" t="s">
        <v>24</v>
      </c>
      <c r="J107" t="s">
        <v>261</v>
      </c>
      <c r="K107" t="s">
        <v>37</v>
      </c>
      <c r="L107" t="s">
        <v>27</v>
      </c>
      <c r="M107" s="3">
        <v>3200</v>
      </c>
      <c r="N107" t="s">
        <v>219</v>
      </c>
      <c r="O107">
        <v>3.8</v>
      </c>
      <c r="P107">
        <v>3.3</v>
      </c>
      <c r="Q107" t="s">
        <v>220</v>
      </c>
      <c r="R107" s="2">
        <v>0.7</v>
      </c>
      <c r="S107">
        <v>2.31</v>
      </c>
      <c r="T107" t="s">
        <v>27</v>
      </c>
      <c r="U107" s="3">
        <v>1883</v>
      </c>
      <c r="V107" s="7" t="s">
        <v>24</v>
      </c>
      <c r="W107" s="7" t="s">
        <v>37</v>
      </c>
    </row>
    <row r="108" spans="1:23" x14ac:dyDescent="0.4">
      <c r="A108" t="s">
        <v>262</v>
      </c>
      <c r="B108" t="s">
        <v>810</v>
      </c>
      <c r="C108" t="s">
        <v>826</v>
      </c>
      <c r="D108" t="s">
        <v>64</v>
      </c>
      <c r="E108" t="s">
        <v>22</v>
      </c>
      <c r="F108" t="s">
        <v>23</v>
      </c>
      <c r="G108">
        <v>1</v>
      </c>
      <c r="H108">
        <v>9791159282256</v>
      </c>
      <c r="I108" t="s">
        <v>24</v>
      </c>
      <c r="J108" t="s">
        <v>117</v>
      </c>
      <c r="K108" t="s">
        <v>37</v>
      </c>
      <c r="L108" t="s">
        <v>27</v>
      </c>
      <c r="M108">
        <v>900</v>
      </c>
      <c r="N108" t="s">
        <v>27</v>
      </c>
      <c r="O108">
        <v>900</v>
      </c>
      <c r="P108">
        <v>900</v>
      </c>
      <c r="Q108" t="s">
        <v>30</v>
      </c>
      <c r="R108" s="2">
        <v>0.7</v>
      </c>
      <c r="S108">
        <v>630</v>
      </c>
      <c r="T108" t="s">
        <v>27</v>
      </c>
      <c r="U108">
        <v>630</v>
      </c>
      <c r="V108" s="7" t="s">
        <v>24</v>
      </c>
      <c r="W108" s="7" t="s">
        <v>37</v>
      </c>
    </row>
    <row r="109" spans="1:23" x14ac:dyDescent="0.4">
      <c r="A109" t="s">
        <v>262</v>
      </c>
      <c r="B109" t="s">
        <v>810</v>
      </c>
      <c r="C109" t="s">
        <v>834</v>
      </c>
      <c r="D109" t="s">
        <v>64</v>
      </c>
      <c r="E109" t="s">
        <v>22</v>
      </c>
      <c r="F109" t="s">
        <v>23</v>
      </c>
      <c r="G109">
        <v>1</v>
      </c>
      <c r="H109">
        <v>9791166061134</v>
      </c>
      <c r="I109" t="s">
        <v>24</v>
      </c>
      <c r="J109" t="s">
        <v>98</v>
      </c>
      <c r="K109" t="s">
        <v>37</v>
      </c>
      <c r="L109" t="s">
        <v>27</v>
      </c>
      <c r="M109">
        <v>900</v>
      </c>
      <c r="N109" t="s">
        <v>27</v>
      </c>
      <c r="O109">
        <v>900</v>
      </c>
      <c r="P109">
        <v>900</v>
      </c>
      <c r="Q109" t="s">
        <v>30</v>
      </c>
      <c r="R109" s="2">
        <v>0.7</v>
      </c>
      <c r="S109">
        <v>630</v>
      </c>
      <c r="T109" t="s">
        <v>27</v>
      </c>
      <c r="U109">
        <v>630</v>
      </c>
      <c r="V109" s="7" t="s">
        <v>24</v>
      </c>
      <c r="W109" s="7" t="s">
        <v>37</v>
      </c>
    </row>
    <row r="110" spans="1:23" x14ac:dyDescent="0.4">
      <c r="A110" t="s">
        <v>262</v>
      </c>
      <c r="B110" t="s">
        <v>810</v>
      </c>
      <c r="C110" t="s">
        <v>835</v>
      </c>
      <c r="D110" t="s">
        <v>64</v>
      </c>
      <c r="E110" t="s">
        <v>22</v>
      </c>
      <c r="F110" t="s">
        <v>23</v>
      </c>
      <c r="G110">
        <v>1</v>
      </c>
      <c r="H110">
        <v>9791159283109</v>
      </c>
      <c r="I110" t="s">
        <v>24</v>
      </c>
      <c r="J110" t="s">
        <v>75</v>
      </c>
      <c r="K110" t="s">
        <v>37</v>
      </c>
      <c r="L110" t="s">
        <v>27</v>
      </c>
      <c r="M110">
        <v>900</v>
      </c>
      <c r="N110" t="s">
        <v>27</v>
      </c>
      <c r="O110">
        <v>900</v>
      </c>
      <c r="P110">
        <v>900</v>
      </c>
      <c r="Q110" t="s">
        <v>30</v>
      </c>
      <c r="R110" s="2">
        <v>0.7</v>
      </c>
      <c r="S110">
        <v>630</v>
      </c>
      <c r="T110" t="s">
        <v>27</v>
      </c>
      <c r="U110">
        <v>630</v>
      </c>
      <c r="V110" s="7" t="s">
        <v>24</v>
      </c>
      <c r="W110" s="7" t="s">
        <v>37</v>
      </c>
    </row>
    <row r="111" spans="1:23" x14ac:dyDescent="0.4">
      <c r="A111" t="s">
        <v>262</v>
      </c>
      <c r="B111" t="s">
        <v>810</v>
      </c>
      <c r="C111" t="s">
        <v>839</v>
      </c>
      <c r="D111" t="s">
        <v>21</v>
      </c>
      <c r="E111" t="s">
        <v>22</v>
      </c>
      <c r="F111" t="s">
        <v>23</v>
      </c>
      <c r="G111">
        <v>1</v>
      </c>
      <c r="H111">
        <v>9791159283086</v>
      </c>
      <c r="I111" t="s">
        <v>24</v>
      </c>
      <c r="J111" t="s">
        <v>72</v>
      </c>
      <c r="K111" t="s">
        <v>37</v>
      </c>
      <c r="L111" t="s">
        <v>27</v>
      </c>
      <c r="M111" s="3">
        <v>3200</v>
      </c>
      <c r="N111" t="s">
        <v>27</v>
      </c>
      <c r="O111" s="3">
        <v>3200</v>
      </c>
      <c r="P111" s="3">
        <v>3200</v>
      </c>
      <c r="Q111" t="s">
        <v>30</v>
      </c>
      <c r="R111" s="2">
        <v>0.7</v>
      </c>
      <c r="S111" s="3">
        <v>2240</v>
      </c>
      <c r="T111" t="s">
        <v>27</v>
      </c>
      <c r="U111" s="3">
        <v>2240</v>
      </c>
      <c r="V111" s="7" t="s">
        <v>24</v>
      </c>
      <c r="W111" s="7" t="s">
        <v>37</v>
      </c>
    </row>
    <row r="112" spans="1:23" x14ac:dyDescent="0.4">
      <c r="A112" t="s">
        <v>262</v>
      </c>
      <c r="B112" t="s">
        <v>810</v>
      </c>
      <c r="C112" t="s">
        <v>845</v>
      </c>
      <c r="D112" t="s">
        <v>64</v>
      </c>
      <c r="E112" t="s">
        <v>22</v>
      </c>
      <c r="F112" t="s">
        <v>23</v>
      </c>
      <c r="G112">
        <v>1</v>
      </c>
      <c r="H112">
        <v>9791166064135</v>
      </c>
      <c r="I112" t="s">
        <v>24</v>
      </c>
      <c r="J112" t="s">
        <v>77</v>
      </c>
      <c r="K112" t="s">
        <v>37</v>
      </c>
      <c r="L112" t="s">
        <v>27</v>
      </c>
      <c r="M112">
        <v>900</v>
      </c>
      <c r="N112" t="s">
        <v>27</v>
      </c>
      <c r="O112">
        <v>900</v>
      </c>
      <c r="P112">
        <v>900</v>
      </c>
      <c r="Q112" t="s">
        <v>30</v>
      </c>
      <c r="R112" s="2">
        <v>0.7</v>
      </c>
      <c r="S112">
        <v>630</v>
      </c>
      <c r="T112" t="s">
        <v>27</v>
      </c>
      <c r="U112">
        <v>630</v>
      </c>
      <c r="V112" s="7" t="s">
        <v>24</v>
      </c>
      <c r="W112" s="7" t="s">
        <v>37</v>
      </c>
    </row>
    <row r="113" spans="1:23" x14ac:dyDescent="0.4">
      <c r="A113" t="s">
        <v>262</v>
      </c>
      <c r="B113" t="s">
        <v>810</v>
      </c>
      <c r="C113" t="s">
        <v>857</v>
      </c>
      <c r="D113" t="s">
        <v>64</v>
      </c>
      <c r="E113" t="s">
        <v>22</v>
      </c>
      <c r="F113" t="s">
        <v>23</v>
      </c>
      <c r="G113">
        <v>1</v>
      </c>
      <c r="H113">
        <v>9791166061141</v>
      </c>
      <c r="I113" t="s">
        <v>24</v>
      </c>
      <c r="J113" t="s">
        <v>99</v>
      </c>
      <c r="K113" t="s">
        <v>37</v>
      </c>
      <c r="L113" t="s">
        <v>27</v>
      </c>
      <c r="M113">
        <v>900</v>
      </c>
      <c r="N113" t="s">
        <v>27</v>
      </c>
      <c r="O113">
        <v>900</v>
      </c>
      <c r="P113">
        <v>900</v>
      </c>
      <c r="Q113" t="s">
        <v>30</v>
      </c>
      <c r="R113" s="2">
        <v>0.7</v>
      </c>
      <c r="S113">
        <v>630</v>
      </c>
      <c r="T113" t="s">
        <v>27</v>
      </c>
      <c r="U113">
        <v>630</v>
      </c>
      <c r="V113" s="7" t="s">
        <v>24</v>
      </c>
      <c r="W113" s="7" t="s">
        <v>37</v>
      </c>
    </row>
    <row r="114" spans="1:23" x14ac:dyDescent="0.4">
      <c r="A114" t="s">
        <v>262</v>
      </c>
      <c r="B114" t="s">
        <v>810</v>
      </c>
      <c r="C114" t="s">
        <v>868</v>
      </c>
      <c r="D114" t="s">
        <v>64</v>
      </c>
      <c r="E114" t="s">
        <v>22</v>
      </c>
      <c r="F114" t="s">
        <v>23</v>
      </c>
      <c r="G114">
        <v>1</v>
      </c>
      <c r="H114">
        <v>9791159283116</v>
      </c>
      <c r="I114" t="s">
        <v>24</v>
      </c>
      <c r="J114" t="s">
        <v>76</v>
      </c>
      <c r="K114" t="s">
        <v>37</v>
      </c>
      <c r="L114" t="s">
        <v>27</v>
      </c>
      <c r="M114">
        <v>900</v>
      </c>
      <c r="N114" t="s">
        <v>27</v>
      </c>
      <c r="O114">
        <v>900</v>
      </c>
      <c r="P114">
        <v>900</v>
      </c>
      <c r="Q114" t="s">
        <v>30</v>
      </c>
      <c r="R114" s="2">
        <v>0.7</v>
      </c>
      <c r="S114">
        <v>630</v>
      </c>
      <c r="T114" t="s">
        <v>27</v>
      </c>
      <c r="U114">
        <v>630</v>
      </c>
      <c r="V114" s="7" t="s">
        <v>24</v>
      </c>
      <c r="W114" s="7" t="s">
        <v>37</v>
      </c>
    </row>
    <row r="115" spans="1:23" x14ac:dyDescent="0.4">
      <c r="A115" t="s">
        <v>262</v>
      </c>
      <c r="B115" t="s">
        <v>810</v>
      </c>
      <c r="C115" t="s">
        <v>876</v>
      </c>
      <c r="D115" t="s">
        <v>64</v>
      </c>
      <c r="E115" t="s">
        <v>22</v>
      </c>
      <c r="F115" t="s">
        <v>23</v>
      </c>
      <c r="G115">
        <v>1</v>
      </c>
      <c r="H115">
        <v>9791159283123</v>
      </c>
      <c r="I115" t="s">
        <v>24</v>
      </c>
      <c r="J115" t="s">
        <v>78</v>
      </c>
      <c r="K115" t="s">
        <v>37</v>
      </c>
      <c r="L115" t="s">
        <v>27</v>
      </c>
      <c r="M115">
        <v>900</v>
      </c>
      <c r="N115" t="s">
        <v>27</v>
      </c>
      <c r="O115">
        <v>900</v>
      </c>
      <c r="P115">
        <v>900</v>
      </c>
      <c r="Q115" t="s">
        <v>30</v>
      </c>
      <c r="R115" s="2">
        <v>0.7</v>
      </c>
      <c r="S115">
        <v>630</v>
      </c>
      <c r="T115" t="s">
        <v>27</v>
      </c>
      <c r="U115">
        <v>630</v>
      </c>
      <c r="V115" s="7" t="s">
        <v>24</v>
      </c>
      <c r="W115" s="7" t="s">
        <v>37</v>
      </c>
    </row>
    <row r="116" spans="1:23" x14ac:dyDescent="0.4">
      <c r="A116" t="s">
        <v>262</v>
      </c>
      <c r="B116" t="s">
        <v>810</v>
      </c>
      <c r="C116" t="s">
        <v>879</v>
      </c>
      <c r="D116" t="s">
        <v>64</v>
      </c>
      <c r="E116" t="s">
        <v>22</v>
      </c>
      <c r="F116" t="s">
        <v>23</v>
      </c>
      <c r="G116">
        <v>1</v>
      </c>
      <c r="H116">
        <v>9791166061158</v>
      </c>
      <c r="I116" t="s">
        <v>24</v>
      </c>
      <c r="J116" t="s">
        <v>101</v>
      </c>
      <c r="K116" t="s">
        <v>37</v>
      </c>
      <c r="L116" t="s">
        <v>27</v>
      </c>
      <c r="M116">
        <v>900</v>
      </c>
      <c r="N116" t="s">
        <v>27</v>
      </c>
      <c r="O116">
        <v>900</v>
      </c>
      <c r="P116">
        <v>900</v>
      </c>
      <c r="Q116" t="s">
        <v>30</v>
      </c>
      <c r="R116" s="2">
        <v>0.7</v>
      </c>
      <c r="S116">
        <v>630</v>
      </c>
      <c r="T116" t="s">
        <v>27</v>
      </c>
      <c r="U116">
        <v>630</v>
      </c>
      <c r="V116" s="7" t="s">
        <v>24</v>
      </c>
      <c r="W116" s="7" t="s">
        <v>37</v>
      </c>
    </row>
    <row r="117" spans="1:23" x14ac:dyDescent="0.4">
      <c r="A117" t="s">
        <v>262</v>
      </c>
      <c r="B117" t="s">
        <v>810</v>
      </c>
      <c r="C117" t="s">
        <v>883</v>
      </c>
      <c r="D117" t="s">
        <v>21</v>
      </c>
      <c r="E117" t="s">
        <v>22</v>
      </c>
      <c r="F117" t="s">
        <v>23</v>
      </c>
      <c r="G117">
        <v>1</v>
      </c>
      <c r="H117">
        <v>9791197098413</v>
      </c>
      <c r="I117" t="s">
        <v>24</v>
      </c>
      <c r="J117" t="s">
        <v>233</v>
      </c>
      <c r="K117" t="s">
        <v>37</v>
      </c>
      <c r="L117" t="s">
        <v>27</v>
      </c>
      <c r="M117" s="3">
        <v>3200</v>
      </c>
      <c r="N117" t="s">
        <v>27</v>
      </c>
      <c r="O117" s="3">
        <v>3200</v>
      </c>
      <c r="P117" s="3">
        <v>3200</v>
      </c>
      <c r="Q117" t="s">
        <v>30</v>
      </c>
      <c r="R117" s="2">
        <v>0.7</v>
      </c>
      <c r="S117" s="3">
        <v>2240</v>
      </c>
      <c r="T117" t="s">
        <v>27</v>
      </c>
      <c r="U117" s="3">
        <v>2240</v>
      </c>
      <c r="V117" s="7" t="s">
        <v>24</v>
      </c>
      <c r="W117" s="7" t="s">
        <v>37</v>
      </c>
    </row>
    <row r="118" spans="1:23" x14ac:dyDescent="0.4">
      <c r="A118" t="s">
        <v>262</v>
      </c>
      <c r="B118" t="s">
        <v>810</v>
      </c>
      <c r="C118" t="s">
        <v>898</v>
      </c>
      <c r="D118" t="s">
        <v>64</v>
      </c>
      <c r="E118" t="s">
        <v>22</v>
      </c>
      <c r="F118" t="s">
        <v>23</v>
      </c>
      <c r="G118">
        <v>1</v>
      </c>
      <c r="H118">
        <v>9791166064104</v>
      </c>
      <c r="I118" t="s">
        <v>24</v>
      </c>
      <c r="J118" t="s">
        <v>93</v>
      </c>
      <c r="K118" t="s">
        <v>37</v>
      </c>
      <c r="L118" t="s">
        <v>27</v>
      </c>
      <c r="M118">
        <v>900</v>
      </c>
      <c r="N118" t="s">
        <v>27</v>
      </c>
      <c r="O118">
        <v>900</v>
      </c>
      <c r="P118">
        <v>900</v>
      </c>
      <c r="Q118" t="s">
        <v>30</v>
      </c>
      <c r="R118" s="2">
        <v>0.7</v>
      </c>
      <c r="S118">
        <v>630</v>
      </c>
      <c r="T118" t="s">
        <v>27</v>
      </c>
      <c r="U118">
        <v>630</v>
      </c>
      <c r="V118" s="7" t="s">
        <v>24</v>
      </c>
      <c r="W118" s="7" t="s">
        <v>37</v>
      </c>
    </row>
    <row r="119" spans="1:23" x14ac:dyDescent="0.4">
      <c r="A119" t="s">
        <v>262</v>
      </c>
      <c r="B119" t="s">
        <v>899</v>
      </c>
      <c r="C119" t="s">
        <v>901</v>
      </c>
      <c r="D119" t="s">
        <v>64</v>
      </c>
      <c r="E119" t="s">
        <v>22</v>
      </c>
      <c r="F119" t="s">
        <v>23</v>
      </c>
      <c r="G119">
        <v>1</v>
      </c>
      <c r="H119">
        <v>9791159283130</v>
      </c>
      <c r="I119" t="s">
        <v>24</v>
      </c>
      <c r="J119" t="s">
        <v>82</v>
      </c>
      <c r="K119" t="s">
        <v>37</v>
      </c>
      <c r="L119" t="s">
        <v>27</v>
      </c>
      <c r="M119">
        <v>900</v>
      </c>
      <c r="N119" t="s">
        <v>27</v>
      </c>
      <c r="O119">
        <v>900</v>
      </c>
      <c r="P119">
        <v>900</v>
      </c>
      <c r="Q119" t="s">
        <v>30</v>
      </c>
      <c r="R119" s="2">
        <v>0.7</v>
      </c>
      <c r="S119">
        <v>630</v>
      </c>
      <c r="T119" t="s">
        <v>27</v>
      </c>
      <c r="U119">
        <v>630</v>
      </c>
      <c r="V119" s="7" t="s">
        <v>24</v>
      </c>
      <c r="W119" s="7" t="s">
        <v>37</v>
      </c>
    </row>
    <row r="120" spans="1:23" x14ac:dyDescent="0.4">
      <c r="A120" t="s">
        <v>262</v>
      </c>
      <c r="B120" t="s">
        <v>899</v>
      </c>
      <c r="C120" t="s">
        <v>905</v>
      </c>
      <c r="D120" t="s">
        <v>64</v>
      </c>
      <c r="E120" t="s">
        <v>22</v>
      </c>
      <c r="F120" t="s">
        <v>23</v>
      </c>
      <c r="G120">
        <v>1</v>
      </c>
      <c r="H120">
        <v>9791159283208</v>
      </c>
      <c r="I120" t="s">
        <v>24</v>
      </c>
      <c r="J120" t="s">
        <v>105</v>
      </c>
      <c r="K120" t="s">
        <v>37</v>
      </c>
      <c r="L120" t="s">
        <v>27</v>
      </c>
      <c r="M120">
        <v>630</v>
      </c>
      <c r="N120" t="s">
        <v>27</v>
      </c>
      <c r="O120">
        <v>630</v>
      </c>
      <c r="P120">
        <v>630</v>
      </c>
      <c r="Q120" t="s">
        <v>30</v>
      </c>
      <c r="R120" s="2">
        <v>0.7</v>
      </c>
      <c r="S120">
        <v>441</v>
      </c>
      <c r="T120" t="s">
        <v>27</v>
      </c>
      <c r="U120">
        <v>441</v>
      </c>
      <c r="V120" s="7" t="s">
        <v>24</v>
      </c>
      <c r="W120" s="7" t="s">
        <v>37</v>
      </c>
    </row>
    <row r="121" spans="1:23" x14ac:dyDescent="0.4">
      <c r="A121" t="s">
        <v>262</v>
      </c>
      <c r="B121" t="s">
        <v>899</v>
      </c>
      <c r="C121" t="s">
        <v>906</v>
      </c>
      <c r="D121" t="s">
        <v>64</v>
      </c>
      <c r="E121" t="s">
        <v>22</v>
      </c>
      <c r="F121" t="s">
        <v>23</v>
      </c>
      <c r="G121">
        <v>1</v>
      </c>
      <c r="H121">
        <v>9791159283215</v>
      </c>
      <c r="I121" t="s">
        <v>24</v>
      </c>
      <c r="J121" t="s">
        <v>103</v>
      </c>
      <c r="K121" t="s">
        <v>37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  <c r="V121" s="7" t="s">
        <v>24</v>
      </c>
      <c r="W121" s="7" t="s">
        <v>37</v>
      </c>
    </row>
    <row r="122" spans="1:23" x14ac:dyDescent="0.4">
      <c r="A122" t="s">
        <v>262</v>
      </c>
      <c r="B122" t="s">
        <v>899</v>
      </c>
      <c r="C122" t="s">
        <v>907</v>
      </c>
      <c r="D122" t="s">
        <v>64</v>
      </c>
      <c r="E122" t="s">
        <v>22</v>
      </c>
      <c r="F122" t="s">
        <v>23</v>
      </c>
      <c r="G122">
        <v>1</v>
      </c>
      <c r="H122">
        <v>9791159282232</v>
      </c>
      <c r="I122" t="s">
        <v>24</v>
      </c>
      <c r="J122" t="s">
        <v>109</v>
      </c>
      <c r="K122" t="s">
        <v>37</v>
      </c>
      <c r="L122" t="s">
        <v>27</v>
      </c>
      <c r="M122">
        <v>900</v>
      </c>
      <c r="N122" t="s">
        <v>27</v>
      </c>
      <c r="O122">
        <v>900</v>
      </c>
      <c r="P122">
        <v>900</v>
      </c>
      <c r="Q122" t="s">
        <v>30</v>
      </c>
      <c r="R122" s="2">
        <v>0.7</v>
      </c>
      <c r="S122">
        <v>630</v>
      </c>
      <c r="T122" t="s">
        <v>27</v>
      </c>
      <c r="U122">
        <v>630</v>
      </c>
      <c r="V122" s="7" t="s">
        <v>24</v>
      </c>
      <c r="W122" s="7" t="s">
        <v>37</v>
      </c>
    </row>
    <row r="123" spans="1:23" x14ac:dyDescent="0.4">
      <c r="A123" t="s">
        <v>262</v>
      </c>
      <c r="B123" t="s">
        <v>899</v>
      </c>
      <c r="C123" t="s">
        <v>912</v>
      </c>
      <c r="D123" t="s">
        <v>64</v>
      </c>
      <c r="E123" t="s">
        <v>22</v>
      </c>
      <c r="F123" t="s">
        <v>23</v>
      </c>
      <c r="G123">
        <v>1</v>
      </c>
      <c r="H123">
        <v>9791159282249</v>
      </c>
      <c r="I123" t="s">
        <v>24</v>
      </c>
      <c r="J123" t="s">
        <v>110</v>
      </c>
      <c r="K123" t="s">
        <v>37</v>
      </c>
      <c r="L123" t="s">
        <v>27</v>
      </c>
      <c r="M123">
        <v>900</v>
      </c>
      <c r="N123" t="s">
        <v>27</v>
      </c>
      <c r="O123">
        <v>900</v>
      </c>
      <c r="P123">
        <v>900</v>
      </c>
      <c r="Q123" t="s">
        <v>30</v>
      </c>
      <c r="R123" s="2">
        <v>0.7</v>
      </c>
      <c r="S123">
        <v>630</v>
      </c>
      <c r="T123" t="s">
        <v>27</v>
      </c>
      <c r="U123">
        <v>630</v>
      </c>
      <c r="V123" s="7" t="s">
        <v>24</v>
      </c>
      <c r="W123" s="7" t="s">
        <v>37</v>
      </c>
    </row>
    <row r="124" spans="1:23" x14ac:dyDescent="0.4">
      <c r="A124" t="s">
        <v>262</v>
      </c>
      <c r="B124" t="s">
        <v>899</v>
      </c>
      <c r="C124" t="s">
        <v>924</v>
      </c>
      <c r="D124" t="s">
        <v>64</v>
      </c>
      <c r="E124" t="s">
        <v>22</v>
      </c>
      <c r="F124" t="s">
        <v>23</v>
      </c>
      <c r="G124">
        <v>1</v>
      </c>
      <c r="H124">
        <v>9791159283215</v>
      </c>
      <c r="I124" t="s">
        <v>24</v>
      </c>
      <c r="J124" t="s">
        <v>103</v>
      </c>
      <c r="K124" t="s">
        <v>37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  <c r="V124" s="7" t="s">
        <v>24</v>
      </c>
      <c r="W124" s="7" t="s">
        <v>37</v>
      </c>
    </row>
    <row r="125" spans="1:23" x14ac:dyDescent="0.4">
      <c r="A125" t="s">
        <v>262</v>
      </c>
      <c r="B125" t="s">
        <v>899</v>
      </c>
      <c r="C125" t="s">
        <v>929</v>
      </c>
      <c r="D125" t="s">
        <v>21</v>
      </c>
      <c r="E125" t="s">
        <v>22</v>
      </c>
      <c r="F125" t="s">
        <v>23</v>
      </c>
      <c r="G125">
        <v>1</v>
      </c>
      <c r="H125">
        <v>9791197098420</v>
      </c>
      <c r="I125" t="s">
        <v>24</v>
      </c>
      <c r="J125" t="s">
        <v>236</v>
      </c>
      <c r="K125" t="s">
        <v>37</v>
      </c>
      <c r="L125" t="s">
        <v>27</v>
      </c>
      <c r="M125" s="3">
        <v>3200</v>
      </c>
      <c r="N125" t="s">
        <v>27</v>
      </c>
      <c r="O125" s="3">
        <v>3200</v>
      </c>
      <c r="P125" s="3">
        <v>3200</v>
      </c>
      <c r="Q125" t="s">
        <v>30</v>
      </c>
      <c r="R125" s="2">
        <v>0.7</v>
      </c>
      <c r="S125" s="3">
        <v>2240</v>
      </c>
      <c r="T125" t="s">
        <v>27</v>
      </c>
      <c r="U125" s="3">
        <v>2240</v>
      </c>
      <c r="V125" s="7" t="s">
        <v>24</v>
      </c>
      <c r="W125" s="7" t="s">
        <v>37</v>
      </c>
    </row>
    <row r="126" spans="1:23" x14ac:dyDescent="0.4">
      <c r="A126" t="s">
        <v>262</v>
      </c>
      <c r="B126" t="s">
        <v>899</v>
      </c>
      <c r="C126" t="s">
        <v>938</v>
      </c>
      <c r="D126" t="s">
        <v>64</v>
      </c>
      <c r="E126" t="s">
        <v>22</v>
      </c>
      <c r="F126" t="s">
        <v>23</v>
      </c>
      <c r="G126">
        <v>1</v>
      </c>
      <c r="H126">
        <v>9791159283222</v>
      </c>
      <c r="I126" t="s">
        <v>24</v>
      </c>
      <c r="J126" t="s">
        <v>65</v>
      </c>
      <c r="K126" t="s">
        <v>37</v>
      </c>
      <c r="L126" t="s">
        <v>27</v>
      </c>
      <c r="M126">
        <v>630</v>
      </c>
      <c r="N126" t="s">
        <v>27</v>
      </c>
      <c r="O126">
        <v>630</v>
      </c>
      <c r="P126">
        <v>630</v>
      </c>
      <c r="Q126" t="s">
        <v>30</v>
      </c>
      <c r="R126" s="2">
        <v>0.7</v>
      </c>
      <c r="S126">
        <v>441</v>
      </c>
      <c r="T126" t="s">
        <v>27</v>
      </c>
      <c r="U126">
        <v>441</v>
      </c>
      <c r="V126" s="7" t="s">
        <v>24</v>
      </c>
      <c r="W126" s="7" t="s">
        <v>37</v>
      </c>
    </row>
    <row r="127" spans="1:23" x14ac:dyDescent="0.4">
      <c r="A127" t="s">
        <v>262</v>
      </c>
      <c r="B127" t="s">
        <v>899</v>
      </c>
      <c r="C127" t="s">
        <v>951</v>
      </c>
      <c r="D127" t="s">
        <v>64</v>
      </c>
      <c r="E127" t="s">
        <v>22</v>
      </c>
      <c r="F127" t="s">
        <v>23</v>
      </c>
      <c r="G127">
        <v>1</v>
      </c>
      <c r="H127">
        <v>9791159283147</v>
      </c>
      <c r="I127" t="s">
        <v>24</v>
      </c>
      <c r="J127" t="s">
        <v>83</v>
      </c>
      <c r="K127" t="s">
        <v>37</v>
      </c>
      <c r="L127" t="s">
        <v>27</v>
      </c>
      <c r="M127">
        <v>900</v>
      </c>
      <c r="N127" t="s">
        <v>27</v>
      </c>
      <c r="O127">
        <v>900</v>
      </c>
      <c r="P127">
        <v>900</v>
      </c>
      <c r="Q127" t="s">
        <v>30</v>
      </c>
      <c r="R127" s="2">
        <v>0.7</v>
      </c>
      <c r="S127">
        <v>630</v>
      </c>
      <c r="T127" t="s">
        <v>27</v>
      </c>
      <c r="U127">
        <v>630</v>
      </c>
      <c r="V127" s="7" t="s">
        <v>24</v>
      </c>
      <c r="W127" s="7" t="s">
        <v>37</v>
      </c>
    </row>
    <row r="128" spans="1:23" x14ac:dyDescent="0.4">
      <c r="A128" t="s">
        <v>262</v>
      </c>
      <c r="B128" t="s">
        <v>899</v>
      </c>
      <c r="C128" t="s">
        <v>952</v>
      </c>
      <c r="D128" t="s">
        <v>64</v>
      </c>
      <c r="E128" t="s">
        <v>22</v>
      </c>
      <c r="F128" t="s">
        <v>23</v>
      </c>
      <c r="G128">
        <v>1</v>
      </c>
      <c r="H128">
        <v>9791159283239</v>
      </c>
      <c r="I128" t="s">
        <v>24</v>
      </c>
      <c r="J128" t="s">
        <v>66</v>
      </c>
      <c r="K128" t="s">
        <v>37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2">
        <v>0.7</v>
      </c>
      <c r="S128">
        <v>441</v>
      </c>
      <c r="T128" t="s">
        <v>27</v>
      </c>
      <c r="U128">
        <v>441</v>
      </c>
      <c r="V128" s="7" t="s">
        <v>24</v>
      </c>
      <c r="W128" s="7" t="s">
        <v>37</v>
      </c>
    </row>
    <row r="129" spans="1:23" x14ac:dyDescent="0.4">
      <c r="A129" t="s">
        <v>262</v>
      </c>
      <c r="B129" t="s">
        <v>899</v>
      </c>
      <c r="C129" t="s">
        <v>954</v>
      </c>
      <c r="D129" t="s">
        <v>64</v>
      </c>
      <c r="E129" t="s">
        <v>22</v>
      </c>
      <c r="F129" t="s">
        <v>23</v>
      </c>
      <c r="G129">
        <v>1</v>
      </c>
      <c r="H129">
        <v>9791159283208</v>
      </c>
      <c r="I129" t="s">
        <v>24</v>
      </c>
      <c r="J129" t="s">
        <v>105</v>
      </c>
      <c r="K129" t="s">
        <v>37</v>
      </c>
      <c r="L129" t="s">
        <v>27</v>
      </c>
      <c r="M129">
        <v>630</v>
      </c>
      <c r="N129" t="s">
        <v>27</v>
      </c>
      <c r="O129">
        <v>630</v>
      </c>
      <c r="P129">
        <v>630</v>
      </c>
      <c r="Q129" t="s">
        <v>30</v>
      </c>
      <c r="R129" s="2">
        <v>0.7</v>
      </c>
      <c r="S129">
        <v>441</v>
      </c>
      <c r="T129" t="s">
        <v>27</v>
      </c>
      <c r="U129">
        <v>441</v>
      </c>
      <c r="V129" s="7" t="s">
        <v>24</v>
      </c>
      <c r="W129" s="7" t="s">
        <v>37</v>
      </c>
    </row>
    <row r="130" spans="1:23" x14ac:dyDescent="0.4">
      <c r="A130" t="s">
        <v>262</v>
      </c>
      <c r="B130" t="s">
        <v>899</v>
      </c>
      <c r="C130" t="s">
        <v>962</v>
      </c>
      <c r="D130" t="s">
        <v>64</v>
      </c>
      <c r="E130" t="s">
        <v>22</v>
      </c>
      <c r="F130" t="s">
        <v>23</v>
      </c>
      <c r="G130">
        <v>1</v>
      </c>
      <c r="H130">
        <v>9791159283246</v>
      </c>
      <c r="I130" t="s">
        <v>24</v>
      </c>
      <c r="J130" t="s">
        <v>67</v>
      </c>
      <c r="K130" t="s">
        <v>37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  <c r="V130" s="7" t="s">
        <v>24</v>
      </c>
      <c r="W130" s="7" t="s">
        <v>37</v>
      </c>
    </row>
    <row r="131" spans="1:23" x14ac:dyDescent="0.4">
      <c r="A131" t="s">
        <v>262</v>
      </c>
      <c r="B131" t="s">
        <v>899</v>
      </c>
      <c r="C131" t="s">
        <v>969</v>
      </c>
      <c r="D131" t="s">
        <v>64</v>
      </c>
      <c r="E131" t="s">
        <v>22</v>
      </c>
      <c r="F131" t="s">
        <v>23</v>
      </c>
      <c r="G131">
        <v>1</v>
      </c>
      <c r="H131">
        <v>9791159283086</v>
      </c>
      <c r="I131" t="s">
        <v>24</v>
      </c>
      <c r="J131" t="s">
        <v>72</v>
      </c>
      <c r="K131" t="s">
        <v>37</v>
      </c>
      <c r="L131" t="s">
        <v>27</v>
      </c>
      <c r="M131">
        <v>900</v>
      </c>
      <c r="N131" t="s">
        <v>27</v>
      </c>
      <c r="O131">
        <v>900</v>
      </c>
      <c r="P131">
        <v>900</v>
      </c>
      <c r="Q131" t="s">
        <v>30</v>
      </c>
      <c r="R131" s="2">
        <v>0.7</v>
      </c>
      <c r="S131">
        <v>630</v>
      </c>
      <c r="T131" t="s">
        <v>27</v>
      </c>
      <c r="U131">
        <v>630</v>
      </c>
      <c r="V131" s="7" t="s">
        <v>24</v>
      </c>
      <c r="W131" s="7" t="s">
        <v>37</v>
      </c>
    </row>
    <row r="132" spans="1:23" x14ac:dyDescent="0.4">
      <c r="A132" t="s">
        <v>262</v>
      </c>
      <c r="B132" t="s">
        <v>899</v>
      </c>
      <c r="C132" t="s">
        <v>970</v>
      </c>
      <c r="D132" t="s">
        <v>64</v>
      </c>
      <c r="E132" t="s">
        <v>22</v>
      </c>
      <c r="F132" t="s">
        <v>23</v>
      </c>
      <c r="G132">
        <v>1</v>
      </c>
      <c r="H132">
        <v>9791159283253</v>
      </c>
      <c r="I132" t="s">
        <v>24</v>
      </c>
      <c r="J132" t="s">
        <v>68</v>
      </c>
      <c r="K132" t="s">
        <v>37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  <c r="V132" s="7" t="s">
        <v>24</v>
      </c>
      <c r="W132" s="7" t="s">
        <v>37</v>
      </c>
    </row>
    <row r="133" spans="1:23" x14ac:dyDescent="0.4">
      <c r="A133" t="s">
        <v>262</v>
      </c>
      <c r="B133" t="s">
        <v>899</v>
      </c>
      <c r="C133" t="s">
        <v>976</v>
      </c>
      <c r="D133" t="s">
        <v>64</v>
      </c>
      <c r="E133" t="s">
        <v>22</v>
      </c>
      <c r="F133" t="s">
        <v>23</v>
      </c>
      <c r="G133">
        <v>1</v>
      </c>
      <c r="H133">
        <v>9791159283260</v>
      </c>
      <c r="I133" t="s">
        <v>24</v>
      </c>
      <c r="J133" t="s">
        <v>69</v>
      </c>
      <c r="K133" t="s">
        <v>37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  <c r="V133" s="7" t="s">
        <v>24</v>
      </c>
      <c r="W133" s="7" t="s">
        <v>37</v>
      </c>
    </row>
    <row r="134" spans="1:23" x14ac:dyDescent="0.4">
      <c r="A134" t="s">
        <v>262</v>
      </c>
      <c r="B134" t="s">
        <v>984</v>
      </c>
      <c r="C134" t="s">
        <v>993</v>
      </c>
      <c r="D134" t="s">
        <v>64</v>
      </c>
      <c r="E134" t="s">
        <v>22</v>
      </c>
      <c r="F134" t="s">
        <v>23</v>
      </c>
      <c r="G134">
        <v>1</v>
      </c>
      <c r="H134">
        <v>9791159283222</v>
      </c>
      <c r="I134" t="s">
        <v>24</v>
      </c>
      <c r="J134" t="s">
        <v>65</v>
      </c>
      <c r="K134" t="s">
        <v>37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  <c r="V134" s="7" t="s">
        <v>24</v>
      </c>
      <c r="W134" s="7" t="s">
        <v>37</v>
      </c>
    </row>
    <row r="135" spans="1:23" x14ac:dyDescent="0.4">
      <c r="A135" t="s">
        <v>262</v>
      </c>
      <c r="B135" t="s">
        <v>984</v>
      </c>
      <c r="C135" t="s">
        <v>995</v>
      </c>
      <c r="D135" t="s">
        <v>64</v>
      </c>
      <c r="E135" t="s">
        <v>22</v>
      </c>
      <c r="F135" t="s">
        <v>23</v>
      </c>
      <c r="G135">
        <v>1</v>
      </c>
      <c r="H135">
        <v>9791166064111</v>
      </c>
      <c r="I135" t="s">
        <v>24</v>
      </c>
      <c r="J135" t="s">
        <v>94</v>
      </c>
      <c r="K135" t="s">
        <v>37</v>
      </c>
      <c r="L135" t="s">
        <v>27</v>
      </c>
      <c r="M135">
        <v>900</v>
      </c>
      <c r="N135" t="s">
        <v>27</v>
      </c>
      <c r="O135">
        <v>900</v>
      </c>
      <c r="P135">
        <v>900</v>
      </c>
      <c r="Q135" t="s">
        <v>30</v>
      </c>
      <c r="R135" s="2">
        <v>0.7</v>
      </c>
      <c r="S135">
        <v>630</v>
      </c>
      <c r="T135" t="s">
        <v>27</v>
      </c>
      <c r="U135">
        <v>630</v>
      </c>
      <c r="V135" s="7" t="s">
        <v>24</v>
      </c>
      <c r="W135" s="7" t="s">
        <v>37</v>
      </c>
    </row>
    <row r="136" spans="1:23" x14ac:dyDescent="0.4">
      <c r="A136" t="s">
        <v>262</v>
      </c>
      <c r="B136" t="s">
        <v>984</v>
      </c>
      <c r="C136" t="s">
        <v>996</v>
      </c>
      <c r="D136" t="s">
        <v>64</v>
      </c>
      <c r="E136" t="s">
        <v>22</v>
      </c>
      <c r="F136" t="s">
        <v>23</v>
      </c>
      <c r="G136">
        <v>1</v>
      </c>
      <c r="H136">
        <v>9791159283154</v>
      </c>
      <c r="I136" t="s">
        <v>24</v>
      </c>
      <c r="J136" t="s">
        <v>84</v>
      </c>
      <c r="K136" t="s">
        <v>37</v>
      </c>
      <c r="L136" t="s">
        <v>27</v>
      </c>
      <c r="M136">
        <v>900</v>
      </c>
      <c r="N136" t="s">
        <v>27</v>
      </c>
      <c r="O136">
        <v>900</v>
      </c>
      <c r="P136">
        <v>900</v>
      </c>
      <c r="Q136" t="s">
        <v>30</v>
      </c>
      <c r="R136" s="2">
        <v>0.7</v>
      </c>
      <c r="S136">
        <v>630</v>
      </c>
      <c r="T136" t="s">
        <v>27</v>
      </c>
      <c r="U136">
        <v>630</v>
      </c>
      <c r="V136" s="7" t="s">
        <v>24</v>
      </c>
      <c r="W136" s="7" t="s">
        <v>37</v>
      </c>
    </row>
    <row r="137" spans="1:23" x14ac:dyDescent="0.4">
      <c r="A137" t="s">
        <v>262</v>
      </c>
      <c r="B137" t="s">
        <v>984</v>
      </c>
      <c r="C137" t="s">
        <v>998</v>
      </c>
      <c r="D137" t="s">
        <v>64</v>
      </c>
      <c r="E137" t="s">
        <v>22</v>
      </c>
      <c r="F137" t="s">
        <v>23</v>
      </c>
      <c r="G137">
        <v>1</v>
      </c>
      <c r="H137">
        <v>9791159282249</v>
      </c>
      <c r="I137" t="s">
        <v>24</v>
      </c>
      <c r="J137" t="s">
        <v>110</v>
      </c>
      <c r="K137" t="s">
        <v>37</v>
      </c>
      <c r="L137" t="s">
        <v>27</v>
      </c>
      <c r="M137">
        <v>900</v>
      </c>
      <c r="N137" t="s">
        <v>27</v>
      </c>
      <c r="O137">
        <v>900</v>
      </c>
      <c r="P137">
        <v>900</v>
      </c>
      <c r="Q137" t="s">
        <v>30</v>
      </c>
      <c r="R137" s="2">
        <v>0.7</v>
      </c>
      <c r="S137">
        <v>630</v>
      </c>
      <c r="T137" t="s">
        <v>27</v>
      </c>
      <c r="U137">
        <v>630</v>
      </c>
      <c r="V137" s="7" t="s">
        <v>24</v>
      </c>
      <c r="W137" s="7" t="s">
        <v>37</v>
      </c>
    </row>
    <row r="138" spans="1:23" x14ac:dyDescent="0.4">
      <c r="A138" t="s">
        <v>262</v>
      </c>
      <c r="B138" t="s">
        <v>984</v>
      </c>
      <c r="C138" t="s">
        <v>1002</v>
      </c>
      <c r="D138" t="s">
        <v>64</v>
      </c>
      <c r="E138" t="s">
        <v>22</v>
      </c>
      <c r="F138" t="s">
        <v>23</v>
      </c>
      <c r="G138">
        <v>1</v>
      </c>
      <c r="H138">
        <v>9791159283277</v>
      </c>
      <c r="I138" t="s">
        <v>24</v>
      </c>
      <c r="J138" t="s">
        <v>118</v>
      </c>
      <c r="K138" t="s">
        <v>37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  <c r="V138" s="7" t="s">
        <v>24</v>
      </c>
      <c r="W138" s="7" t="s">
        <v>37</v>
      </c>
    </row>
    <row r="139" spans="1:23" x14ac:dyDescent="0.4">
      <c r="A139" t="s">
        <v>262</v>
      </c>
      <c r="B139" t="s">
        <v>984</v>
      </c>
      <c r="C139" t="s">
        <v>1003</v>
      </c>
      <c r="D139" t="s">
        <v>64</v>
      </c>
      <c r="E139" t="s">
        <v>22</v>
      </c>
      <c r="F139" t="s">
        <v>23</v>
      </c>
      <c r="G139">
        <v>1</v>
      </c>
      <c r="H139">
        <v>9791166064135</v>
      </c>
      <c r="I139" t="s">
        <v>24</v>
      </c>
      <c r="J139" t="s">
        <v>77</v>
      </c>
      <c r="K139" t="s">
        <v>37</v>
      </c>
      <c r="L139" t="s">
        <v>27</v>
      </c>
      <c r="M139">
        <v>900</v>
      </c>
      <c r="N139" t="s">
        <v>27</v>
      </c>
      <c r="O139">
        <v>900</v>
      </c>
      <c r="P139">
        <v>900</v>
      </c>
      <c r="Q139" t="s">
        <v>30</v>
      </c>
      <c r="R139" s="2">
        <v>0.7</v>
      </c>
      <c r="S139">
        <v>630</v>
      </c>
      <c r="T139" t="s">
        <v>27</v>
      </c>
      <c r="U139">
        <v>630</v>
      </c>
      <c r="V139" s="7" t="s">
        <v>24</v>
      </c>
      <c r="W139" s="7" t="s">
        <v>37</v>
      </c>
    </row>
    <row r="140" spans="1:23" x14ac:dyDescent="0.4">
      <c r="A140" t="s">
        <v>262</v>
      </c>
      <c r="B140" t="s">
        <v>984</v>
      </c>
      <c r="C140" t="s">
        <v>1006</v>
      </c>
      <c r="D140" t="s">
        <v>64</v>
      </c>
      <c r="E140" t="s">
        <v>22</v>
      </c>
      <c r="F140" t="s">
        <v>23</v>
      </c>
      <c r="G140">
        <v>1</v>
      </c>
      <c r="H140">
        <v>9791159283093</v>
      </c>
      <c r="I140" t="s">
        <v>24</v>
      </c>
      <c r="J140" t="s">
        <v>73</v>
      </c>
      <c r="K140" t="s">
        <v>37</v>
      </c>
      <c r="L140" t="s">
        <v>27</v>
      </c>
      <c r="M140">
        <v>900</v>
      </c>
      <c r="N140" t="s">
        <v>27</v>
      </c>
      <c r="O140">
        <v>900</v>
      </c>
      <c r="P140">
        <v>900</v>
      </c>
      <c r="Q140" t="s">
        <v>30</v>
      </c>
      <c r="R140" s="2">
        <v>0.7</v>
      </c>
      <c r="S140">
        <v>630</v>
      </c>
      <c r="T140" t="s">
        <v>27</v>
      </c>
      <c r="U140">
        <v>630</v>
      </c>
      <c r="V140" s="7" t="s">
        <v>24</v>
      </c>
      <c r="W140" s="7" t="s">
        <v>37</v>
      </c>
    </row>
    <row r="141" spans="1:23" x14ac:dyDescent="0.4">
      <c r="A141" t="s">
        <v>262</v>
      </c>
      <c r="B141" t="s">
        <v>984</v>
      </c>
      <c r="C141" t="s">
        <v>1011</v>
      </c>
      <c r="D141" t="s">
        <v>64</v>
      </c>
      <c r="E141" t="s">
        <v>22</v>
      </c>
      <c r="F141" t="s">
        <v>23</v>
      </c>
      <c r="G141">
        <v>1</v>
      </c>
      <c r="H141">
        <v>9791159283215</v>
      </c>
      <c r="I141" t="s">
        <v>24</v>
      </c>
      <c r="J141" t="s">
        <v>103</v>
      </c>
      <c r="K141" t="s">
        <v>37</v>
      </c>
      <c r="L141" t="s">
        <v>27</v>
      </c>
      <c r="M141">
        <v>630</v>
      </c>
      <c r="N141" t="s">
        <v>27</v>
      </c>
      <c r="O141">
        <v>630</v>
      </c>
      <c r="P141">
        <v>630</v>
      </c>
      <c r="Q141" t="s">
        <v>30</v>
      </c>
      <c r="R141" s="2">
        <v>0.7</v>
      </c>
      <c r="S141">
        <v>441</v>
      </c>
      <c r="T141" t="s">
        <v>27</v>
      </c>
      <c r="U141">
        <v>441</v>
      </c>
      <c r="V141" s="7" t="s">
        <v>24</v>
      </c>
      <c r="W141" s="7" t="s">
        <v>37</v>
      </c>
    </row>
    <row r="142" spans="1:23" x14ac:dyDescent="0.4">
      <c r="A142" t="s">
        <v>262</v>
      </c>
      <c r="B142" t="s">
        <v>984</v>
      </c>
      <c r="C142" t="s">
        <v>1038</v>
      </c>
      <c r="D142" t="s">
        <v>64</v>
      </c>
      <c r="E142" t="s">
        <v>22</v>
      </c>
      <c r="F142" t="s">
        <v>23</v>
      </c>
      <c r="G142">
        <v>1</v>
      </c>
      <c r="H142">
        <v>9791159283222</v>
      </c>
      <c r="I142" t="s">
        <v>24</v>
      </c>
      <c r="J142" t="s">
        <v>65</v>
      </c>
      <c r="K142" t="s">
        <v>37</v>
      </c>
      <c r="L142" t="s">
        <v>27</v>
      </c>
      <c r="M142">
        <v>630</v>
      </c>
      <c r="N142" t="s">
        <v>27</v>
      </c>
      <c r="O142">
        <v>630</v>
      </c>
      <c r="P142">
        <v>630</v>
      </c>
      <c r="Q142" t="s">
        <v>30</v>
      </c>
      <c r="R142" s="2">
        <v>0.7</v>
      </c>
      <c r="S142">
        <v>441</v>
      </c>
      <c r="T142" t="s">
        <v>27</v>
      </c>
      <c r="U142">
        <v>441</v>
      </c>
      <c r="V142" s="7" t="s">
        <v>24</v>
      </c>
      <c r="W142" s="7" t="s">
        <v>37</v>
      </c>
    </row>
    <row r="143" spans="1:23" x14ac:dyDescent="0.4">
      <c r="A143" t="s">
        <v>262</v>
      </c>
      <c r="B143" t="s">
        <v>984</v>
      </c>
      <c r="C143" t="s">
        <v>1044</v>
      </c>
      <c r="D143" t="s">
        <v>64</v>
      </c>
      <c r="E143" t="s">
        <v>22</v>
      </c>
      <c r="F143" t="s">
        <v>23</v>
      </c>
      <c r="G143">
        <v>1</v>
      </c>
      <c r="H143">
        <v>9791159283161</v>
      </c>
      <c r="I143" t="s">
        <v>24</v>
      </c>
      <c r="J143" t="s">
        <v>85</v>
      </c>
      <c r="K143" t="s">
        <v>37</v>
      </c>
      <c r="L143" t="s">
        <v>27</v>
      </c>
      <c r="M143">
        <v>900</v>
      </c>
      <c r="N143" t="s">
        <v>27</v>
      </c>
      <c r="O143">
        <v>900</v>
      </c>
      <c r="P143">
        <v>900</v>
      </c>
      <c r="Q143" t="s">
        <v>30</v>
      </c>
      <c r="R143" s="2">
        <v>0.7</v>
      </c>
      <c r="S143">
        <v>630</v>
      </c>
      <c r="T143" t="s">
        <v>27</v>
      </c>
      <c r="U143">
        <v>630</v>
      </c>
      <c r="V143" s="7" t="s">
        <v>24</v>
      </c>
      <c r="W143" s="7" t="s">
        <v>37</v>
      </c>
    </row>
    <row r="144" spans="1:23" x14ac:dyDescent="0.4">
      <c r="A144" t="s">
        <v>262</v>
      </c>
      <c r="B144" t="s">
        <v>1058</v>
      </c>
      <c r="C144" t="s">
        <v>1064</v>
      </c>
      <c r="D144" t="s">
        <v>64</v>
      </c>
      <c r="E144" t="s">
        <v>22</v>
      </c>
      <c r="F144" t="s">
        <v>23</v>
      </c>
      <c r="G144">
        <v>1</v>
      </c>
      <c r="H144">
        <v>9791159283086</v>
      </c>
      <c r="I144" t="s">
        <v>24</v>
      </c>
      <c r="J144" t="s">
        <v>72</v>
      </c>
      <c r="K144" t="s">
        <v>37</v>
      </c>
      <c r="L144" t="s">
        <v>27</v>
      </c>
      <c r="M144">
        <v>900</v>
      </c>
      <c r="N144" t="s">
        <v>27</v>
      </c>
      <c r="O144">
        <v>900</v>
      </c>
      <c r="P144">
        <v>900</v>
      </c>
      <c r="Q144" t="s">
        <v>30</v>
      </c>
      <c r="R144" s="2">
        <v>0.7</v>
      </c>
      <c r="S144">
        <v>630</v>
      </c>
      <c r="T144" t="s">
        <v>27</v>
      </c>
      <c r="U144">
        <v>630</v>
      </c>
      <c r="V144" s="7" t="s">
        <v>24</v>
      </c>
      <c r="W144" s="7" t="s">
        <v>37</v>
      </c>
    </row>
    <row r="145" spans="1:23" x14ac:dyDescent="0.4">
      <c r="A145" t="s">
        <v>262</v>
      </c>
      <c r="B145" t="s">
        <v>1058</v>
      </c>
      <c r="C145" t="s">
        <v>1068</v>
      </c>
      <c r="D145" t="s">
        <v>64</v>
      </c>
      <c r="E145" t="s">
        <v>22</v>
      </c>
      <c r="F145" t="s">
        <v>23</v>
      </c>
      <c r="G145">
        <v>1</v>
      </c>
      <c r="H145">
        <v>9791159282256</v>
      </c>
      <c r="I145" t="s">
        <v>24</v>
      </c>
      <c r="J145" t="s">
        <v>117</v>
      </c>
      <c r="K145" t="s">
        <v>37</v>
      </c>
      <c r="L145" t="s">
        <v>27</v>
      </c>
      <c r="M145">
        <v>900</v>
      </c>
      <c r="N145" t="s">
        <v>27</v>
      </c>
      <c r="O145">
        <v>900</v>
      </c>
      <c r="P145">
        <v>900</v>
      </c>
      <c r="Q145" t="s">
        <v>30</v>
      </c>
      <c r="R145" s="2">
        <v>0.7</v>
      </c>
      <c r="S145">
        <v>630</v>
      </c>
      <c r="T145" t="s">
        <v>27</v>
      </c>
      <c r="U145">
        <v>630</v>
      </c>
      <c r="V145" s="7" t="s">
        <v>24</v>
      </c>
      <c r="W145" s="7" t="s">
        <v>37</v>
      </c>
    </row>
    <row r="146" spans="1:23" x14ac:dyDescent="0.4">
      <c r="A146" t="s">
        <v>262</v>
      </c>
      <c r="B146" t="s">
        <v>1058</v>
      </c>
      <c r="C146" t="s">
        <v>1082</v>
      </c>
      <c r="D146" t="s">
        <v>64</v>
      </c>
      <c r="E146" t="s">
        <v>22</v>
      </c>
      <c r="F146" t="s">
        <v>23</v>
      </c>
      <c r="G146">
        <v>1</v>
      </c>
      <c r="H146">
        <v>9791166064050</v>
      </c>
      <c r="I146" t="s">
        <v>24</v>
      </c>
      <c r="J146" t="s">
        <v>79</v>
      </c>
      <c r="K146" t="s">
        <v>37</v>
      </c>
      <c r="L146" t="s">
        <v>27</v>
      </c>
      <c r="M146">
        <v>900</v>
      </c>
      <c r="N146" t="s">
        <v>27</v>
      </c>
      <c r="O146">
        <v>900</v>
      </c>
      <c r="P146">
        <v>900</v>
      </c>
      <c r="Q146" t="s">
        <v>30</v>
      </c>
      <c r="R146" s="2">
        <v>0.7</v>
      </c>
      <c r="S146">
        <v>630</v>
      </c>
      <c r="T146" t="s">
        <v>27</v>
      </c>
      <c r="U146">
        <v>630</v>
      </c>
      <c r="V146" s="7" t="s">
        <v>24</v>
      </c>
      <c r="W146" s="7" t="s">
        <v>37</v>
      </c>
    </row>
    <row r="147" spans="1:23" x14ac:dyDescent="0.4">
      <c r="A147" t="s">
        <v>262</v>
      </c>
      <c r="B147" t="s">
        <v>1058</v>
      </c>
      <c r="C147" t="s">
        <v>1087</v>
      </c>
      <c r="D147" t="s">
        <v>64</v>
      </c>
      <c r="E147" t="s">
        <v>22</v>
      </c>
      <c r="F147" t="s">
        <v>23</v>
      </c>
      <c r="G147">
        <v>1</v>
      </c>
      <c r="H147">
        <v>9791159283222</v>
      </c>
      <c r="I147" t="s">
        <v>24</v>
      </c>
      <c r="J147" t="s">
        <v>65</v>
      </c>
      <c r="K147" t="s">
        <v>37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2">
        <v>0.7</v>
      </c>
      <c r="S147">
        <v>441</v>
      </c>
      <c r="T147" t="s">
        <v>27</v>
      </c>
      <c r="U147">
        <v>441</v>
      </c>
      <c r="V147" s="7" t="s">
        <v>24</v>
      </c>
      <c r="W147" s="7" t="s">
        <v>37</v>
      </c>
    </row>
    <row r="148" spans="1:23" x14ac:dyDescent="0.4">
      <c r="A148" t="s">
        <v>262</v>
      </c>
      <c r="B148" t="s">
        <v>1058</v>
      </c>
      <c r="C148" t="s">
        <v>1088</v>
      </c>
      <c r="D148" t="s">
        <v>64</v>
      </c>
      <c r="E148" t="s">
        <v>22</v>
      </c>
      <c r="F148" t="s">
        <v>23</v>
      </c>
      <c r="G148">
        <v>1</v>
      </c>
      <c r="H148">
        <v>9791159283178</v>
      </c>
      <c r="I148" t="s">
        <v>24</v>
      </c>
      <c r="J148" t="s">
        <v>88</v>
      </c>
      <c r="K148" t="s">
        <v>37</v>
      </c>
      <c r="L148" t="s">
        <v>27</v>
      </c>
      <c r="M148">
        <v>900</v>
      </c>
      <c r="N148" t="s">
        <v>27</v>
      </c>
      <c r="O148">
        <v>900</v>
      </c>
      <c r="P148">
        <v>900</v>
      </c>
      <c r="Q148" t="s">
        <v>30</v>
      </c>
      <c r="R148" s="2">
        <v>0.7</v>
      </c>
      <c r="S148">
        <v>630</v>
      </c>
      <c r="T148" t="s">
        <v>27</v>
      </c>
      <c r="U148">
        <v>630</v>
      </c>
      <c r="V148" s="7" t="s">
        <v>24</v>
      </c>
      <c r="W148" s="7" t="s">
        <v>37</v>
      </c>
    </row>
    <row r="149" spans="1:23" x14ac:dyDescent="0.4">
      <c r="A149" t="s">
        <v>262</v>
      </c>
      <c r="B149" t="s">
        <v>1058</v>
      </c>
      <c r="C149" t="s">
        <v>1102</v>
      </c>
      <c r="D149" t="s">
        <v>64</v>
      </c>
      <c r="E149" t="s">
        <v>22</v>
      </c>
      <c r="F149" t="s">
        <v>23</v>
      </c>
      <c r="G149">
        <v>1</v>
      </c>
      <c r="H149">
        <v>9791159283239</v>
      </c>
      <c r="I149" t="s">
        <v>24</v>
      </c>
      <c r="J149" t="s">
        <v>66</v>
      </c>
      <c r="K149" t="s">
        <v>37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  <c r="V149" s="7" t="s">
        <v>24</v>
      </c>
      <c r="W149" s="7" t="s">
        <v>37</v>
      </c>
    </row>
    <row r="150" spans="1:23" x14ac:dyDescent="0.4">
      <c r="A150" t="s">
        <v>262</v>
      </c>
      <c r="B150" t="s">
        <v>1121</v>
      </c>
      <c r="C150" t="s">
        <v>1133</v>
      </c>
      <c r="D150" t="s">
        <v>64</v>
      </c>
      <c r="E150" t="s">
        <v>22</v>
      </c>
      <c r="F150" t="s">
        <v>23</v>
      </c>
      <c r="G150">
        <v>1</v>
      </c>
      <c r="H150">
        <v>9791159285844</v>
      </c>
      <c r="I150" t="s">
        <v>24</v>
      </c>
      <c r="J150" t="s">
        <v>52</v>
      </c>
      <c r="K150" t="s">
        <v>37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  <c r="V150" s="7" t="s">
        <v>24</v>
      </c>
      <c r="W150" s="7" t="s">
        <v>37</v>
      </c>
    </row>
    <row r="151" spans="1:23" x14ac:dyDescent="0.4">
      <c r="A151" t="s">
        <v>262</v>
      </c>
      <c r="B151" t="s">
        <v>1121</v>
      </c>
      <c r="C151" t="s">
        <v>1150</v>
      </c>
      <c r="D151" t="s">
        <v>64</v>
      </c>
      <c r="E151" t="s">
        <v>22</v>
      </c>
      <c r="F151" t="s">
        <v>23</v>
      </c>
      <c r="G151">
        <v>1</v>
      </c>
      <c r="H151">
        <v>9791159283185</v>
      </c>
      <c r="I151" t="s">
        <v>24</v>
      </c>
      <c r="J151" t="s">
        <v>89</v>
      </c>
      <c r="K151" t="s">
        <v>37</v>
      </c>
      <c r="L151" t="s">
        <v>27</v>
      </c>
      <c r="M151">
        <v>900</v>
      </c>
      <c r="N151" t="s">
        <v>27</v>
      </c>
      <c r="O151">
        <v>900</v>
      </c>
      <c r="P151">
        <v>900</v>
      </c>
      <c r="Q151" t="s">
        <v>30</v>
      </c>
      <c r="R151" s="2">
        <v>0.7</v>
      </c>
      <c r="S151">
        <v>630</v>
      </c>
      <c r="T151" t="s">
        <v>27</v>
      </c>
      <c r="U151">
        <v>630</v>
      </c>
      <c r="V151" s="7" t="s">
        <v>24</v>
      </c>
      <c r="W151" s="7" t="s">
        <v>37</v>
      </c>
    </row>
    <row r="152" spans="1:23" x14ac:dyDescent="0.4">
      <c r="A152" t="s">
        <v>262</v>
      </c>
      <c r="B152" t="s">
        <v>1121</v>
      </c>
      <c r="C152" t="s">
        <v>1153</v>
      </c>
      <c r="D152" t="s">
        <v>64</v>
      </c>
      <c r="E152" t="s">
        <v>22</v>
      </c>
      <c r="F152" t="s">
        <v>23</v>
      </c>
      <c r="G152">
        <v>1</v>
      </c>
      <c r="H152">
        <v>9791166064067</v>
      </c>
      <c r="I152" t="s">
        <v>24</v>
      </c>
      <c r="J152" t="s">
        <v>81</v>
      </c>
      <c r="K152" t="s">
        <v>37</v>
      </c>
      <c r="L152" t="s">
        <v>27</v>
      </c>
      <c r="M152">
        <v>900</v>
      </c>
      <c r="N152" t="s">
        <v>27</v>
      </c>
      <c r="O152">
        <v>900</v>
      </c>
      <c r="P152">
        <v>900</v>
      </c>
      <c r="Q152" t="s">
        <v>30</v>
      </c>
      <c r="R152" s="2">
        <v>0.7</v>
      </c>
      <c r="S152">
        <v>630</v>
      </c>
      <c r="T152" t="s">
        <v>27</v>
      </c>
      <c r="U152">
        <v>630</v>
      </c>
      <c r="V152" s="7" t="s">
        <v>24</v>
      </c>
      <c r="W152" s="7" t="s">
        <v>37</v>
      </c>
    </row>
    <row r="153" spans="1:23" x14ac:dyDescent="0.4">
      <c r="A153" t="s">
        <v>262</v>
      </c>
      <c r="B153" t="s">
        <v>1121</v>
      </c>
      <c r="C153" t="s">
        <v>1154</v>
      </c>
      <c r="D153" t="s">
        <v>64</v>
      </c>
      <c r="E153" t="s">
        <v>22</v>
      </c>
      <c r="F153" t="s">
        <v>23</v>
      </c>
      <c r="G153">
        <v>1</v>
      </c>
      <c r="H153">
        <v>9791159283246</v>
      </c>
      <c r="I153" t="s">
        <v>24</v>
      </c>
      <c r="J153" t="s">
        <v>67</v>
      </c>
      <c r="K153" t="s">
        <v>37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  <c r="V153" s="7" t="s">
        <v>24</v>
      </c>
      <c r="W153" s="7" t="s">
        <v>37</v>
      </c>
    </row>
    <row r="154" spans="1:23" x14ac:dyDescent="0.4">
      <c r="A154" t="s">
        <v>262</v>
      </c>
      <c r="B154" t="s">
        <v>1121</v>
      </c>
      <c r="C154" t="s">
        <v>1161</v>
      </c>
      <c r="D154" t="s">
        <v>64</v>
      </c>
      <c r="E154" t="s">
        <v>22</v>
      </c>
      <c r="F154" t="s">
        <v>23</v>
      </c>
      <c r="G154">
        <v>1</v>
      </c>
      <c r="H154">
        <v>9791166061080</v>
      </c>
      <c r="I154" t="s">
        <v>24</v>
      </c>
      <c r="J154" t="s">
        <v>74</v>
      </c>
      <c r="K154" t="s">
        <v>37</v>
      </c>
      <c r="L154" t="s">
        <v>27</v>
      </c>
      <c r="M154">
        <v>900</v>
      </c>
      <c r="N154" t="s">
        <v>27</v>
      </c>
      <c r="O154">
        <v>900</v>
      </c>
      <c r="P154">
        <v>900</v>
      </c>
      <c r="Q154" t="s">
        <v>30</v>
      </c>
      <c r="R154" s="2">
        <v>0.7</v>
      </c>
      <c r="S154">
        <v>630</v>
      </c>
      <c r="T154" t="s">
        <v>27</v>
      </c>
      <c r="U154">
        <v>630</v>
      </c>
      <c r="V154" s="7" t="s">
        <v>24</v>
      </c>
      <c r="W154" s="7" t="s">
        <v>37</v>
      </c>
    </row>
    <row r="155" spans="1:23" x14ac:dyDescent="0.4">
      <c r="A155" t="s">
        <v>262</v>
      </c>
      <c r="B155" t="s">
        <v>1121</v>
      </c>
      <c r="C155" t="s">
        <v>1162</v>
      </c>
      <c r="D155" t="s">
        <v>64</v>
      </c>
      <c r="E155" t="s">
        <v>22</v>
      </c>
      <c r="F155" t="s">
        <v>23</v>
      </c>
      <c r="G155">
        <v>1</v>
      </c>
      <c r="H155">
        <v>9791159283239</v>
      </c>
      <c r="I155" t="s">
        <v>24</v>
      </c>
      <c r="J155" t="s">
        <v>66</v>
      </c>
      <c r="K155" t="s">
        <v>37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  <c r="V155" s="7" t="s">
        <v>24</v>
      </c>
      <c r="W155" s="7" t="s">
        <v>37</v>
      </c>
    </row>
    <row r="156" spans="1:23" x14ac:dyDescent="0.4">
      <c r="A156" t="s">
        <v>262</v>
      </c>
      <c r="B156" t="s">
        <v>1121</v>
      </c>
      <c r="C156" t="s">
        <v>1179</v>
      </c>
      <c r="D156" t="s">
        <v>64</v>
      </c>
      <c r="E156" t="s">
        <v>22</v>
      </c>
      <c r="F156" t="s">
        <v>23</v>
      </c>
      <c r="G156">
        <v>1</v>
      </c>
      <c r="H156">
        <v>9791159285851</v>
      </c>
      <c r="I156" t="s">
        <v>24</v>
      </c>
      <c r="J156" t="s">
        <v>55</v>
      </c>
      <c r="K156" t="s">
        <v>37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2">
        <v>0.7</v>
      </c>
      <c r="S156">
        <v>441</v>
      </c>
      <c r="T156" t="s">
        <v>27</v>
      </c>
      <c r="U156">
        <v>441</v>
      </c>
      <c r="V156" s="7" t="s">
        <v>24</v>
      </c>
      <c r="W156" s="7" t="s">
        <v>37</v>
      </c>
    </row>
    <row r="157" spans="1:23" x14ac:dyDescent="0.4">
      <c r="A157" t="s">
        <v>262</v>
      </c>
      <c r="B157" t="s">
        <v>1121</v>
      </c>
      <c r="C157" t="s">
        <v>1182</v>
      </c>
      <c r="D157" t="s">
        <v>64</v>
      </c>
      <c r="E157" t="s">
        <v>22</v>
      </c>
      <c r="F157" t="s">
        <v>23</v>
      </c>
      <c r="G157">
        <v>1</v>
      </c>
      <c r="H157">
        <v>9791166064180</v>
      </c>
      <c r="I157" t="s">
        <v>24</v>
      </c>
      <c r="J157" t="s">
        <v>211</v>
      </c>
      <c r="K157" t="s">
        <v>37</v>
      </c>
      <c r="L157" t="s">
        <v>27</v>
      </c>
      <c r="M157">
        <v>900</v>
      </c>
      <c r="N157" t="s">
        <v>27</v>
      </c>
      <c r="O157">
        <v>900</v>
      </c>
      <c r="P157">
        <v>900</v>
      </c>
      <c r="Q157" t="s">
        <v>30</v>
      </c>
      <c r="R157" s="2">
        <v>0.7</v>
      </c>
      <c r="S157">
        <v>630</v>
      </c>
      <c r="T157" t="s">
        <v>27</v>
      </c>
      <c r="U157">
        <v>630</v>
      </c>
      <c r="V157" s="7" t="s">
        <v>24</v>
      </c>
      <c r="W157" s="7" t="s">
        <v>37</v>
      </c>
    </row>
    <row r="158" spans="1:23" x14ac:dyDescent="0.4">
      <c r="A158" t="s">
        <v>262</v>
      </c>
      <c r="B158" t="s">
        <v>1121</v>
      </c>
      <c r="C158" t="s">
        <v>1187</v>
      </c>
      <c r="D158" t="s">
        <v>64</v>
      </c>
      <c r="E158" t="s">
        <v>22</v>
      </c>
      <c r="F158" t="s">
        <v>23</v>
      </c>
      <c r="G158">
        <v>1</v>
      </c>
      <c r="H158">
        <v>9791159283253</v>
      </c>
      <c r="I158" t="s">
        <v>24</v>
      </c>
      <c r="J158" t="s">
        <v>68</v>
      </c>
      <c r="K158" t="s">
        <v>37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  <c r="V158" s="7" t="s">
        <v>24</v>
      </c>
      <c r="W158" s="7" t="s">
        <v>37</v>
      </c>
    </row>
    <row r="159" spans="1:23" x14ac:dyDescent="0.4">
      <c r="A159" t="s">
        <v>262</v>
      </c>
      <c r="B159" t="s">
        <v>1121</v>
      </c>
      <c r="C159" t="s">
        <v>1190</v>
      </c>
      <c r="D159" t="s">
        <v>64</v>
      </c>
      <c r="E159" t="s">
        <v>22</v>
      </c>
      <c r="F159" t="s">
        <v>23</v>
      </c>
      <c r="G159">
        <v>1</v>
      </c>
      <c r="H159">
        <v>9791159285868</v>
      </c>
      <c r="I159" t="s">
        <v>24</v>
      </c>
      <c r="J159" t="s">
        <v>57</v>
      </c>
      <c r="K159" t="s">
        <v>37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2">
        <v>0.7</v>
      </c>
      <c r="S159">
        <v>441</v>
      </c>
      <c r="T159" t="s">
        <v>27</v>
      </c>
      <c r="U159">
        <v>441</v>
      </c>
      <c r="V159" s="7" t="s">
        <v>24</v>
      </c>
      <c r="W159" s="7" t="s">
        <v>37</v>
      </c>
    </row>
    <row r="160" spans="1:23" x14ac:dyDescent="0.4">
      <c r="A160" t="s">
        <v>262</v>
      </c>
      <c r="B160" t="s">
        <v>1121</v>
      </c>
      <c r="C160" t="s">
        <v>1194</v>
      </c>
      <c r="D160" t="s">
        <v>64</v>
      </c>
      <c r="E160" t="s">
        <v>22</v>
      </c>
      <c r="F160" t="s">
        <v>23</v>
      </c>
      <c r="G160">
        <v>1</v>
      </c>
      <c r="H160">
        <v>9791159285875</v>
      </c>
      <c r="I160" t="s">
        <v>24</v>
      </c>
      <c r="J160" t="s">
        <v>58</v>
      </c>
      <c r="K160" t="s">
        <v>37</v>
      </c>
      <c r="L160" t="s">
        <v>27</v>
      </c>
      <c r="M160">
        <v>630</v>
      </c>
      <c r="N160" t="s">
        <v>27</v>
      </c>
      <c r="O160">
        <v>630</v>
      </c>
      <c r="P160">
        <v>630</v>
      </c>
      <c r="Q160" t="s">
        <v>30</v>
      </c>
      <c r="R160" s="2">
        <v>0.7</v>
      </c>
      <c r="S160">
        <v>441</v>
      </c>
      <c r="T160" t="s">
        <v>27</v>
      </c>
      <c r="U160">
        <v>441</v>
      </c>
      <c r="V160" s="7" t="s">
        <v>24</v>
      </c>
      <c r="W160" s="7" t="s">
        <v>37</v>
      </c>
    </row>
    <row r="161" spans="1:23" x14ac:dyDescent="0.4">
      <c r="A161" t="s">
        <v>262</v>
      </c>
      <c r="B161" t="s">
        <v>1198</v>
      </c>
      <c r="C161" t="s">
        <v>1212</v>
      </c>
      <c r="D161" t="s">
        <v>64</v>
      </c>
      <c r="E161" t="s">
        <v>22</v>
      </c>
      <c r="F161" t="s">
        <v>23</v>
      </c>
      <c r="G161">
        <v>1</v>
      </c>
      <c r="H161">
        <v>9791166064135</v>
      </c>
      <c r="I161" t="s">
        <v>24</v>
      </c>
      <c r="J161" t="s">
        <v>77</v>
      </c>
      <c r="K161" t="s">
        <v>37</v>
      </c>
      <c r="L161" t="s">
        <v>27</v>
      </c>
      <c r="M161">
        <v>900</v>
      </c>
      <c r="N161" t="s">
        <v>27</v>
      </c>
      <c r="O161">
        <v>900</v>
      </c>
      <c r="P161">
        <v>900</v>
      </c>
      <c r="Q161" t="s">
        <v>30</v>
      </c>
      <c r="R161" s="2">
        <v>0.7</v>
      </c>
      <c r="S161">
        <v>630</v>
      </c>
      <c r="T161" t="s">
        <v>27</v>
      </c>
      <c r="U161">
        <v>630</v>
      </c>
      <c r="V161" s="7" t="s">
        <v>24</v>
      </c>
      <c r="W161" s="7" t="s">
        <v>37</v>
      </c>
    </row>
    <row r="162" spans="1:23" x14ac:dyDescent="0.4">
      <c r="A162" t="s">
        <v>262</v>
      </c>
      <c r="B162" t="s">
        <v>1198</v>
      </c>
      <c r="C162" t="s">
        <v>1213</v>
      </c>
      <c r="D162" t="s">
        <v>64</v>
      </c>
      <c r="E162" t="s">
        <v>22</v>
      </c>
      <c r="F162" t="s">
        <v>23</v>
      </c>
      <c r="G162">
        <v>1</v>
      </c>
      <c r="H162">
        <v>9791159285882</v>
      </c>
      <c r="I162" t="s">
        <v>24</v>
      </c>
      <c r="J162" t="s">
        <v>60</v>
      </c>
      <c r="K162" t="s">
        <v>37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2">
        <v>0.7</v>
      </c>
      <c r="S162">
        <v>441</v>
      </c>
      <c r="T162" t="s">
        <v>27</v>
      </c>
      <c r="U162">
        <v>441</v>
      </c>
      <c r="V162" s="7" t="s">
        <v>24</v>
      </c>
      <c r="W162" s="7" t="s">
        <v>37</v>
      </c>
    </row>
    <row r="163" spans="1:23" x14ac:dyDescent="0.4">
      <c r="A163" t="s">
        <v>262</v>
      </c>
      <c r="B163" t="s">
        <v>1198</v>
      </c>
      <c r="C163" t="s">
        <v>1224</v>
      </c>
      <c r="D163" t="s">
        <v>64</v>
      </c>
      <c r="E163" t="s">
        <v>22</v>
      </c>
      <c r="F163" t="s">
        <v>23</v>
      </c>
      <c r="G163">
        <v>1</v>
      </c>
      <c r="H163">
        <v>9791159285899</v>
      </c>
      <c r="I163" t="s">
        <v>24</v>
      </c>
      <c r="J163" t="s">
        <v>61</v>
      </c>
      <c r="K163" t="s">
        <v>37</v>
      </c>
      <c r="L163" t="s">
        <v>27</v>
      </c>
      <c r="M163">
        <v>630</v>
      </c>
      <c r="N163" t="s">
        <v>27</v>
      </c>
      <c r="O163">
        <v>630</v>
      </c>
      <c r="P163">
        <v>630</v>
      </c>
      <c r="Q163" t="s">
        <v>30</v>
      </c>
      <c r="R163" s="2">
        <v>0.7</v>
      </c>
      <c r="S163">
        <v>441</v>
      </c>
      <c r="T163" t="s">
        <v>27</v>
      </c>
      <c r="U163">
        <v>441</v>
      </c>
      <c r="V163" s="7" t="s">
        <v>24</v>
      </c>
      <c r="W163" s="7" t="s">
        <v>37</v>
      </c>
    </row>
    <row r="164" spans="1:23" x14ac:dyDescent="0.4">
      <c r="A164" t="s">
        <v>262</v>
      </c>
      <c r="B164" t="s">
        <v>1198</v>
      </c>
      <c r="C164" t="s">
        <v>1229</v>
      </c>
      <c r="D164" t="s">
        <v>64</v>
      </c>
      <c r="E164" t="s">
        <v>22</v>
      </c>
      <c r="F164" t="s">
        <v>23</v>
      </c>
      <c r="G164">
        <v>1</v>
      </c>
      <c r="H164">
        <v>9791159283086</v>
      </c>
      <c r="I164" t="s">
        <v>24</v>
      </c>
      <c r="J164" t="s">
        <v>72</v>
      </c>
      <c r="K164" t="s">
        <v>37</v>
      </c>
      <c r="L164" t="s">
        <v>27</v>
      </c>
      <c r="M164">
        <v>900</v>
      </c>
      <c r="N164" t="s">
        <v>27</v>
      </c>
      <c r="O164">
        <v>900</v>
      </c>
      <c r="P164">
        <v>900</v>
      </c>
      <c r="Q164" t="s">
        <v>30</v>
      </c>
      <c r="R164" s="2">
        <v>0.7</v>
      </c>
      <c r="S164">
        <v>630</v>
      </c>
      <c r="T164" t="s">
        <v>27</v>
      </c>
      <c r="U164">
        <v>630</v>
      </c>
      <c r="V164" s="7" t="s">
        <v>24</v>
      </c>
      <c r="W164" s="7" t="s">
        <v>37</v>
      </c>
    </row>
    <row r="165" spans="1:23" x14ac:dyDescent="0.4">
      <c r="A165" t="s">
        <v>262</v>
      </c>
      <c r="B165" t="s">
        <v>1198</v>
      </c>
      <c r="C165" t="s">
        <v>1240</v>
      </c>
      <c r="D165" t="s">
        <v>64</v>
      </c>
      <c r="E165" t="s">
        <v>22</v>
      </c>
      <c r="F165" t="s">
        <v>23</v>
      </c>
      <c r="G165">
        <v>1</v>
      </c>
      <c r="H165">
        <v>9791159285905</v>
      </c>
      <c r="I165" t="s">
        <v>24</v>
      </c>
      <c r="J165" t="s">
        <v>62</v>
      </c>
      <c r="K165" t="s">
        <v>37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  <c r="V165" s="7" t="s">
        <v>24</v>
      </c>
      <c r="W165" s="7" t="s">
        <v>37</v>
      </c>
    </row>
    <row r="166" spans="1:23" x14ac:dyDescent="0.4">
      <c r="A166" t="s">
        <v>262</v>
      </c>
      <c r="B166" t="s">
        <v>1198</v>
      </c>
      <c r="C166" t="s">
        <v>1243</v>
      </c>
      <c r="D166" t="s">
        <v>64</v>
      </c>
      <c r="E166" t="s">
        <v>22</v>
      </c>
      <c r="F166" t="s">
        <v>23</v>
      </c>
      <c r="G166">
        <v>1</v>
      </c>
      <c r="H166">
        <v>9791159283093</v>
      </c>
      <c r="I166" t="s">
        <v>24</v>
      </c>
      <c r="J166" t="s">
        <v>73</v>
      </c>
      <c r="K166" t="s">
        <v>37</v>
      </c>
      <c r="L166" t="s">
        <v>27</v>
      </c>
      <c r="M166">
        <v>900</v>
      </c>
      <c r="N166" t="s">
        <v>27</v>
      </c>
      <c r="O166">
        <v>900</v>
      </c>
      <c r="P166">
        <v>900</v>
      </c>
      <c r="Q166" t="s">
        <v>30</v>
      </c>
      <c r="R166" s="2">
        <v>0.7</v>
      </c>
      <c r="S166">
        <v>630</v>
      </c>
      <c r="T166" t="s">
        <v>27</v>
      </c>
      <c r="U166">
        <v>630</v>
      </c>
      <c r="V166" s="7" t="s">
        <v>24</v>
      </c>
      <c r="W166" s="7" t="s">
        <v>37</v>
      </c>
    </row>
    <row r="167" spans="1:23" x14ac:dyDescent="0.4">
      <c r="A167" t="s">
        <v>262</v>
      </c>
      <c r="B167" t="s">
        <v>1198</v>
      </c>
      <c r="C167" t="s">
        <v>1246</v>
      </c>
      <c r="D167" t="s">
        <v>64</v>
      </c>
      <c r="E167" t="s">
        <v>22</v>
      </c>
      <c r="F167" t="s">
        <v>23</v>
      </c>
      <c r="G167">
        <v>1</v>
      </c>
      <c r="H167">
        <v>9791159283260</v>
      </c>
      <c r="I167" t="s">
        <v>24</v>
      </c>
      <c r="J167" t="s">
        <v>69</v>
      </c>
      <c r="K167" t="s">
        <v>37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  <c r="V167" s="7" t="s">
        <v>24</v>
      </c>
      <c r="W167" s="7" t="s">
        <v>37</v>
      </c>
    </row>
    <row r="168" spans="1:23" x14ac:dyDescent="0.4">
      <c r="A168" t="s">
        <v>262</v>
      </c>
      <c r="B168" t="s">
        <v>1198</v>
      </c>
      <c r="C168" t="s">
        <v>1248</v>
      </c>
      <c r="D168" t="s">
        <v>64</v>
      </c>
      <c r="E168" t="s">
        <v>22</v>
      </c>
      <c r="F168" t="s">
        <v>23</v>
      </c>
      <c r="G168">
        <v>1</v>
      </c>
      <c r="H168">
        <v>9791159285912</v>
      </c>
      <c r="I168" t="s">
        <v>24</v>
      </c>
      <c r="J168" t="s">
        <v>63</v>
      </c>
      <c r="K168" t="s">
        <v>37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  <c r="V168" s="7" t="s">
        <v>24</v>
      </c>
      <c r="W168" s="7" t="s">
        <v>37</v>
      </c>
    </row>
    <row r="169" spans="1:23" x14ac:dyDescent="0.4">
      <c r="A169" t="s">
        <v>262</v>
      </c>
      <c r="B169" t="s">
        <v>1198</v>
      </c>
      <c r="C169" t="s">
        <v>1255</v>
      </c>
      <c r="D169" t="s">
        <v>64</v>
      </c>
      <c r="E169" t="s">
        <v>22</v>
      </c>
      <c r="F169" t="s">
        <v>23</v>
      </c>
      <c r="G169">
        <v>1</v>
      </c>
      <c r="H169">
        <v>9791159282218</v>
      </c>
      <c r="I169" t="s">
        <v>24</v>
      </c>
      <c r="J169" t="s">
        <v>107</v>
      </c>
      <c r="K169" t="s">
        <v>37</v>
      </c>
      <c r="L169" t="s">
        <v>27</v>
      </c>
      <c r="M169">
        <v>900</v>
      </c>
      <c r="N169" t="s">
        <v>27</v>
      </c>
      <c r="O169">
        <v>900</v>
      </c>
      <c r="P169">
        <v>900</v>
      </c>
      <c r="Q169" t="s">
        <v>30</v>
      </c>
      <c r="R169" s="2">
        <v>0.7</v>
      </c>
      <c r="S169">
        <v>630</v>
      </c>
      <c r="T169" t="s">
        <v>27</v>
      </c>
      <c r="U169">
        <v>630</v>
      </c>
      <c r="V169" s="7" t="s">
        <v>24</v>
      </c>
      <c r="W169" s="7" t="s">
        <v>37</v>
      </c>
    </row>
    <row r="170" spans="1:23" x14ac:dyDescent="0.4">
      <c r="A170" t="s">
        <v>262</v>
      </c>
      <c r="B170" t="s">
        <v>1198</v>
      </c>
      <c r="C170" t="s">
        <v>1261</v>
      </c>
      <c r="D170" t="s">
        <v>64</v>
      </c>
      <c r="E170" t="s">
        <v>22</v>
      </c>
      <c r="F170" t="s">
        <v>23</v>
      </c>
      <c r="G170">
        <v>1</v>
      </c>
      <c r="H170">
        <v>9791159283109</v>
      </c>
      <c r="I170" t="s">
        <v>24</v>
      </c>
      <c r="J170" t="s">
        <v>75</v>
      </c>
      <c r="K170" t="s">
        <v>37</v>
      </c>
      <c r="L170" t="s">
        <v>27</v>
      </c>
      <c r="M170">
        <v>900</v>
      </c>
      <c r="N170" t="s">
        <v>27</v>
      </c>
      <c r="O170">
        <v>900</v>
      </c>
      <c r="P170">
        <v>900</v>
      </c>
      <c r="Q170" t="s">
        <v>30</v>
      </c>
      <c r="R170" s="2">
        <v>0.7</v>
      </c>
      <c r="S170">
        <v>630</v>
      </c>
      <c r="T170" t="s">
        <v>27</v>
      </c>
      <c r="U170">
        <v>630</v>
      </c>
      <c r="V170" s="7" t="s">
        <v>24</v>
      </c>
      <c r="W170" s="7" t="s">
        <v>37</v>
      </c>
    </row>
    <row r="171" spans="1:23" x14ac:dyDescent="0.4">
      <c r="A171" t="s">
        <v>262</v>
      </c>
      <c r="B171" t="s">
        <v>1198</v>
      </c>
      <c r="C171" t="s">
        <v>1267</v>
      </c>
      <c r="D171" t="s">
        <v>64</v>
      </c>
      <c r="E171" t="s">
        <v>22</v>
      </c>
      <c r="F171" t="s">
        <v>23</v>
      </c>
      <c r="G171">
        <v>1</v>
      </c>
      <c r="H171">
        <v>9791166061097</v>
      </c>
      <c r="I171" t="s">
        <v>24</v>
      </c>
      <c r="J171" t="s">
        <v>95</v>
      </c>
      <c r="K171" t="s">
        <v>37</v>
      </c>
      <c r="L171" t="s">
        <v>27</v>
      </c>
      <c r="M171">
        <v>900</v>
      </c>
      <c r="N171" t="s">
        <v>27</v>
      </c>
      <c r="O171">
        <v>900</v>
      </c>
      <c r="P171">
        <v>900</v>
      </c>
      <c r="Q171" t="s">
        <v>30</v>
      </c>
      <c r="R171" s="2">
        <v>0.7</v>
      </c>
      <c r="S171">
        <v>630</v>
      </c>
      <c r="T171" t="s">
        <v>27</v>
      </c>
      <c r="U171">
        <v>630</v>
      </c>
      <c r="V171" s="7" t="s">
        <v>24</v>
      </c>
      <c r="W171" s="7" t="s">
        <v>37</v>
      </c>
    </row>
    <row r="172" spans="1:23" x14ac:dyDescent="0.4">
      <c r="A172" t="s">
        <v>262</v>
      </c>
      <c r="B172" t="s">
        <v>1270</v>
      </c>
      <c r="C172" t="s">
        <v>1275</v>
      </c>
      <c r="D172" t="s">
        <v>64</v>
      </c>
      <c r="E172" t="s">
        <v>22</v>
      </c>
      <c r="F172" t="s">
        <v>23</v>
      </c>
      <c r="G172">
        <v>1</v>
      </c>
      <c r="H172">
        <v>9791159283116</v>
      </c>
      <c r="I172" t="s">
        <v>24</v>
      </c>
      <c r="J172" t="s">
        <v>76</v>
      </c>
      <c r="K172" t="s">
        <v>37</v>
      </c>
      <c r="L172" t="s">
        <v>27</v>
      </c>
      <c r="M172">
        <v>900</v>
      </c>
      <c r="N172" t="s">
        <v>27</v>
      </c>
      <c r="O172">
        <v>900</v>
      </c>
      <c r="P172">
        <v>900</v>
      </c>
      <c r="Q172" t="s">
        <v>30</v>
      </c>
      <c r="R172" s="2">
        <v>0.7</v>
      </c>
      <c r="S172">
        <v>630</v>
      </c>
      <c r="T172" t="s">
        <v>27</v>
      </c>
      <c r="U172">
        <v>630</v>
      </c>
      <c r="V172" s="7" t="s">
        <v>24</v>
      </c>
      <c r="W172" s="7" t="s">
        <v>37</v>
      </c>
    </row>
    <row r="173" spans="1:23" x14ac:dyDescent="0.4">
      <c r="A173" t="s">
        <v>262</v>
      </c>
      <c r="B173" t="s">
        <v>1270</v>
      </c>
      <c r="C173" t="s">
        <v>1289</v>
      </c>
      <c r="D173" t="s">
        <v>64</v>
      </c>
      <c r="E173" t="s">
        <v>22</v>
      </c>
      <c r="F173" t="s">
        <v>23</v>
      </c>
      <c r="G173">
        <v>1</v>
      </c>
      <c r="H173">
        <v>9791166064135</v>
      </c>
      <c r="I173" t="s">
        <v>24</v>
      </c>
      <c r="J173" t="s">
        <v>77</v>
      </c>
      <c r="K173" t="s">
        <v>37</v>
      </c>
      <c r="L173" t="s">
        <v>27</v>
      </c>
      <c r="M173">
        <v>900</v>
      </c>
      <c r="N173" t="s">
        <v>27</v>
      </c>
      <c r="O173">
        <v>900</v>
      </c>
      <c r="P173">
        <v>900</v>
      </c>
      <c r="Q173" t="s">
        <v>30</v>
      </c>
      <c r="R173" s="2">
        <v>0.7</v>
      </c>
      <c r="S173">
        <v>630</v>
      </c>
      <c r="T173" t="s">
        <v>27</v>
      </c>
      <c r="U173">
        <v>630</v>
      </c>
      <c r="V173" s="7" t="s">
        <v>24</v>
      </c>
      <c r="W173" s="7" t="s">
        <v>37</v>
      </c>
    </row>
    <row r="174" spans="1:23" x14ac:dyDescent="0.4">
      <c r="A174" t="s">
        <v>262</v>
      </c>
      <c r="B174" t="s">
        <v>1270</v>
      </c>
      <c r="C174" t="s">
        <v>1297</v>
      </c>
      <c r="D174" t="s">
        <v>64</v>
      </c>
      <c r="E174" t="s">
        <v>22</v>
      </c>
      <c r="F174" t="s">
        <v>23</v>
      </c>
      <c r="G174">
        <v>1</v>
      </c>
      <c r="H174">
        <v>9791159283123</v>
      </c>
      <c r="I174" t="s">
        <v>24</v>
      </c>
      <c r="J174" t="s">
        <v>78</v>
      </c>
      <c r="K174" t="s">
        <v>37</v>
      </c>
      <c r="L174" t="s">
        <v>27</v>
      </c>
      <c r="M174">
        <v>900</v>
      </c>
      <c r="N174" t="s">
        <v>27</v>
      </c>
      <c r="O174">
        <v>900</v>
      </c>
      <c r="P174">
        <v>900</v>
      </c>
      <c r="Q174" t="s">
        <v>30</v>
      </c>
      <c r="R174" s="2">
        <v>0.7</v>
      </c>
      <c r="S174">
        <v>630</v>
      </c>
      <c r="T174" t="s">
        <v>27</v>
      </c>
      <c r="U174">
        <v>630</v>
      </c>
      <c r="V174" s="7" t="s">
        <v>24</v>
      </c>
      <c r="W174" s="7" t="s">
        <v>37</v>
      </c>
    </row>
    <row r="175" spans="1:23" x14ac:dyDescent="0.4">
      <c r="A175" t="s">
        <v>262</v>
      </c>
      <c r="B175" t="s">
        <v>1270</v>
      </c>
      <c r="C175" t="s">
        <v>1307</v>
      </c>
      <c r="D175" t="s">
        <v>64</v>
      </c>
      <c r="E175" t="s">
        <v>22</v>
      </c>
      <c r="F175" t="s">
        <v>23</v>
      </c>
      <c r="G175">
        <v>1</v>
      </c>
      <c r="H175">
        <v>9791159283277</v>
      </c>
      <c r="I175" t="s">
        <v>24</v>
      </c>
      <c r="J175" t="s">
        <v>118</v>
      </c>
      <c r="K175" t="s">
        <v>37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  <c r="V175" s="7" t="s">
        <v>24</v>
      </c>
      <c r="W175" s="7" t="s">
        <v>37</v>
      </c>
    </row>
    <row r="176" spans="1:23" x14ac:dyDescent="0.4">
      <c r="A176" t="s">
        <v>262</v>
      </c>
      <c r="B176" t="s">
        <v>1270</v>
      </c>
      <c r="C176" t="s">
        <v>1318</v>
      </c>
      <c r="D176" t="s">
        <v>64</v>
      </c>
      <c r="E176" t="s">
        <v>22</v>
      </c>
      <c r="F176" t="s">
        <v>23</v>
      </c>
      <c r="G176">
        <v>1</v>
      </c>
      <c r="H176">
        <v>9791166061080</v>
      </c>
      <c r="I176" t="s">
        <v>24</v>
      </c>
      <c r="J176" t="s">
        <v>74</v>
      </c>
      <c r="K176" t="s">
        <v>37</v>
      </c>
      <c r="L176" t="s">
        <v>27</v>
      </c>
      <c r="M176">
        <v>900</v>
      </c>
      <c r="N176" t="s">
        <v>27</v>
      </c>
      <c r="O176">
        <v>900</v>
      </c>
      <c r="P176">
        <v>900</v>
      </c>
      <c r="Q176" t="s">
        <v>30</v>
      </c>
      <c r="R176" s="2">
        <v>0.7</v>
      </c>
      <c r="S176">
        <v>630</v>
      </c>
      <c r="T176" t="s">
        <v>27</v>
      </c>
      <c r="U176">
        <v>630</v>
      </c>
      <c r="V176" s="7" t="s">
        <v>24</v>
      </c>
      <c r="W176" s="7" t="s">
        <v>37</v>
      </c>
    </row>
    <row r="177" spans="1:23" x14ac:dyDescent="0.4">
      <c r="A177" t="s">
        <v>262</v>
      </c>
      <c r="B177" t="s">
        <v>1270</v>
      </c>
      <c r="C177" t="s">
        <v>1324</v>
      </c>
      <c r="D177" t="s">
        <v>64</v>
      </c>
      <c r="E177" t="s">
        <v>22</v>
      </c>
      <c r="F177" t="s">
        <v>23</v>
      </c>
      <c r="G177">
        <v>1</v>
      </c>
      <c r="H177">
        <v>9791159282232</v>
      </c>
      <c r="I177" t="s">
        <v>24</v>
      </c>
      <c r="J177" t="s">
        <v>109</v>
      </c>
      <c r="K177" t="s">
        <v>37</v>
      </c>
      <c r="L177" t="s">
        <v>27</v>
      </c>
      <c r="M177">
        <v>900</v>
      </c>
      <c r="N177" t="s">
        <v>27</v>
      </c>
      <c r="O177">
        <v>900</v>
      </c>
      <c r="P177">
        <v>900</v>
      </c>
      <c r="Q177" t="s">
        <v>30</v>
      </c>
      <c r="R177" s="2">
        <v>0.7</v>
      </c>
      <c r="S177">
        <v>630</v>
      </c>
      <c r="T177" t="s">
        <v>27</v>
      </c>
      <c r="U177">
        <v>630</v>
      </c>
      <c r="V177" s="7" t="s">
        <v>24</v>
      </c>
      <c r="W177" s="7" t="s">
        <v>37</v>
      </c>
    </row>
    <row r="178" spans="1:23" x14ac:dyDescent="0.4">
      <c r="A178" t="s">
        <v>262</v>
      </c>
      <c r="B178" t="s">
        <v>1270</v>
      </c>
      <c r="C178" t="s">
        <v>1336</v>
      </c>
      <c r="D178" t="s">
        <v>64</v>
      </c>
      <c r="E178" t="s">
        <v>22</v>
      </c>
      <c r="F178" t="s">
        <v>23</v>
      </c>
      <c r="G178">
        <v>1</v>
      </c>
      <c r="H178">
        <v>9791166064050</v>
      </c>
      <c r="I178" t="s">
        <v>24</v>
      </c>
      <c r="J178" t="s">
        <v>79</v>
      </c>
      <c r="K178" t="s">
        <v>37</v>
      </c>
      <c r="L178" t="s">
        <v>27</v>
      </c>
      <c r="M178">
        <v>900</v>
      </c>
      <c r="N178" t="s">
        <v>27</v>
      </c>
      <c r="O178">
        <v>900</v>
      </c>
      <c r="P178">
        <v>900</v>
      </c>
      <c r="Q178" t="s">
        <v>30</v>
      </c>
      <c r="R178" s="2">
        <v>0.7</v>
      </c>
      <c r="S178">
        <v>630</v>
      </c>
      <c r="T178" t="s">
        <v>27</v>
      </c>
      <c r="U178">
        <v>630</v>
      </c>
      <c r="V178" s="7" t="s">
        <v>24</v>
      </c>
      <c r="W178" s="7" t="s">
        <v>37</v>
      </c>
    </row>
    <row r="179" spans="1:23" x14ac:dyDescent="0.4">
      <c r="A179" t="s">
        <v>262</v>
      </c>
      <c r="B179" t="s">
        <v>1270</v>
      </c>
      <c r="C179" t="s">
        <v>1338</v>
      </c>
      <c r="D179" t="s">
        <v>64</v>
      </c>
      <c r="E179" t="s">
        <v>22</v>
      </c>
      <c r="F179" t="s">
        <v>23</v>
      </c>
      <c r="G179">
        <v>1</v>
      </c>
      <c r="H179">
        <v>9791166061097</v>
      </c>
      <c r="I179" t="s">
        <v>24</v>
      </c>
      <c r="J179" t="s">
        <v>95</v>
      </c>
      <c r="K179" t="s">
        <v>37</v>
      </c>
      <c r="L179" t="s">
        <v>27</v>
      </c>
      <c r="M179">
        <v>900</v>
      </c>
      <c r="N179" t="s">
        <v>27</v>
      </c>
      <c r="O179">
        <v>900</v>
      </c>
      <c r="P179">
        <v>900</v>
      </c>
      <c r="Q179" t="s">
        <v>30</v>
      </c>
      <c r="R179" s="2">
        <v>0.7</v>
      </c>
      <c r="S179">
        <v>630</v>
      </c>
      <c r="T179" t="s">
        <v>27</v>
      </c>
      <c r="U179">
        <v>630</v>
      </c>
      <c r="V179" s="7" t="s">
        <v>24</v>
      </c>
      <c r="W179" s="7" t="s">
        <v>37</v>
      </c>
    </row>
    <row r="180" spans="1:23" x14ac:dyDescent="0.4">
      <c r="A180" t="s">
        <v>262</v>
      </c>
      <c r="B180" t="s">
        <v>1340</v>
      </c>
      <c r="C180" t="s">
        <v>1350</v>
      </c>
      <c r="D180" t="s">
        <v>64</v>
      </c>
      <c r="E180" t="s">
        <v>22</v>
      </c>
      <c r="F180" t="s">
        <v>23</v>
      </c>
      <c r="G180">
        <v>1</v>
      </c>
      <c r="H180">
        <v>9791159283130</v>
      </c>
      <c r="I180" t="s">
        <v>24</v>
      </c>
      <c r="J180" t="s">
        <v>82</v>
      </c>
      <c r="K180" t="s">
        <v>37</v>
      </c>
      <c r="L180" t="s">
        <v>27</v>
      </c>
      <c r="M180">
        <v>900</v>
      </c>
      <c r="N180" t="s">
        <v>27</v>
      </c>
      <c r="O180">
        <v>900</v>
      </c>
      <c r="P180">
        <v>900</v>
      </c>
      <c r="Q180" t="s">
        <v>30</v>
      </c>
      <c r="R180" s="2">
        <v>0.7</v>
      </c>
      <c r="S180">
        <v>630</v>
      </c>
      <c r="T180" t="s">
        <v>27</v>
      </c>
      <c r="U180">
        <v>630</v>
      </c>
      <c r="V180" s="7" t="s">
        <v>24</v>
      </c>
      <c r="W180" s="7" t="s">
        <v>37</v>
      </c>
    </row>
    <row r="181" spans="1:23" x14ac:dyDescent="0.4">
      <c r="A181" t="s">
        <v>262</v>
      </c>
      <c r="B181" t="s">
        <v>1340</v>
      </c>
      <c r="C181" t="s">
        <v>1358</v>
      </c>
      <c r="D181" t="s">
        <v>64</v>
      </c>
      <c r="E181" t="s">
        <v>22</v>
      </c>
      <c r="F181" t="s">
        <v>23</v>
      </c>
      <c r="G181">
        <v>1</v>
      </c>
      <c r="H181">
        <v>9791166064142</v>
      </c>
      <c r="I181" t="s">
        <v>24</v>
      </c>
      <c r="J181" t="s">
        <v>80</v>
      </c>
      <c r="K181" t="s">
        <v>37</v>
      </c>
      <c r="L181" t="s">
        <v>27</v>
      </c>
      <c r="M181">
        <v>900</v>
      </c>
      <c r="N181" t="s">
        <v>27</v>
      </c>
      <c r="O181">
        <v>900</v>
      </c>
      <c r="P181">
        <v>900</v>
      </c>
      <c r="Q181" t="s">
        <v>30</v>
      </c>
      <c r="R181" s="2">
        <v>0.7</v>
      </c>
      <c r="S181">
        <v>630</v>
      </c>
      <c r="T181" t="s">
        <v>27</v>
      </c>
      <c r="U181">
        <v>630</v>
      </c>
      <c r="V181" s="7" t="s">
        <v>24</v>
      </c>
      <c r="W181" s="7" t="s">
        <v>37</v>
      </c>
    </row>
    <row r="182" spans="1:23" x14ac:dyDescent="0.4">
      <c r="A182" t="s">
        <v>262</v>
      </c>
      <c r="B182" t="s">
        <v>1340</v>
      </c>
      <c r="C182" t="s">
        <v>1362</v>
      </c>
      <c r="D182" t="s">
        <v>64</v>
      </c>
      <c r="E182" t="s">
        <v>22</v>
      </c>
      <c r="F182" t="s">
        <v>23</v>
      </c>
      <c r="G182">
        <v>1</v>
      </c>
      <c r="H182">
        <v>9791159283215</v>
      </c>
      <c r="I182" t="s">
        <v>24</v>
      </c>
      <c r="J182" t="s">
        <v>103</v>
      </c>
      <c r="K182" t="s">
        <v>37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  <c r="V182" s="7" t="s">
        <v>24</v>
      </c>
      <c r="W182" s="7" t="s">
        <v>37</v>
      </c>
    </row>
    <row r="183" spans="1:23" x14ac:dyDescent="0.4">
      <c r="A183" t="s">
        <v>262</v>
      </c>
      <c r="B183" t="s">
        <v>1340</v>
      </c>
      <c r="C183" t="s">
        <v>1380</v>
      </c>
      <c r="D183" t="s">
        <v>64</v>
      </c>
      <c r="E183" t="s">
        <v>22</v>
      </c>
      <c r="F183" t="s">
        <v>23</v>
      </c>
      <c r="G183">
        <v>1</v>
      </c>
      <c r="H183">
        <v>9791159283093</v>
      </c>
      <c r="I183" t="s">
        <v>24</v>
      </c>
      <c r="J183" t="s">
        <v>73</v>
      </c>
      <c r="K183" t="s">
        <v>37</v>
      </c>
      <c r="L183" t="s">
        <v>27</v>
      </c>
      <c r="M183">
        <v>900</v>
      </c>
      <c r="N183" t="s">
        <v>27</v>
      </c>
      <c r="O183">
        <v>900</v>
      </c>
      <c r="P183">
        <v>900</v>
      </c>
      <c r="Q183" t="s">
        <v>30</v>
      </c>
      <c r="R183" s="2">
        <v>0.7</v>
      </c>
      <c r="S183">
        <v>630</v>
      </c>
      <c r="T183" t="s">
        <v>27</v>
      </c>
      <c r="U183">
        <v>630</v>
      </c>
      <c r="V183" s="7" t="s">
        <v>24</v>
      </c>
      <c r="W183" s="7" t="s">
        <v>37</v>
      </c>
    </row>
    <row r="184" spans="1:23" x14ac:dyDescent="0.4">
      <c r="A184" t="s">
        <v>262</v>
      </c>
      <c r="B184" t="s">
        <v>1340</v>
      </c>
      <c r="C184" t="s">
        <v>1384</v>
      </c>
      <c r="D184" t="s">
        <v>64</v>
      </c>
      <c r="E184" t="s">
        <v>22</v>
      </c>
      <c r="F184" t="s">
        <v>23</v>
      </c>
      <c r="G184">
        <v>1</v>
      </c>
      <c r="H184">
        <v>9791159283222</v>
      </c>
      <c r="I184" t="s">
        <v>24</v>
      </c>
      <c r="J184" t="s">
        <v>65</v>
      </c>
      <c r="K184" t="s">
        <v>37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  <c r="V184" s="7" t="s">
        <v>24</v>
      </c>
      <c r="W184" s="7" t="s">
        <v>37</v>
      </c>
    </row>
    <row r="185" spans="1:23" x14ac:dyDescent="0.4">
      <c r="A185" t="s">
        <v>262</v>
      </c>
      <c r="B185" t="s">
        <v>1340</v>
      </c>
      <c r="C185" t="s">
        <v>1390</v>
      </c>
      <c r="D185" t="s">
        <v>64</v>
      </c>
      <c r="E185" t="s">
        <v>22</v>
      </c>
      <c r="F185" t="s">
        <v>23</v>
      </c>
      <c r="G185">
        <v>1</v>
      </c>
      <c r="H185">
        <v>9791159282256</v>
      </c>
      <c r="I185" t="s">
        <v>24</v>
      </c>
      <c r="J185" t="s">
        <v>117</v>
      </c>
      <c r="K185" t="s">
        <v>37</v>
      </c>
      <c r="L185" t="s">
        <v>27</v>
      </c>
      <c r="M185">
        <v>900</v>
      </c>
      <c r="N185" t="s">
        <v>27</v>
      </c>
      <c r="O185">
        <v>900</v>
      </c>
      <c r="P185">
        <v>900</v>
      </c>
      <c r="Q185" t="s">
        <v>30</v>
      </c>
      <c r="R185" s="2">
        <v>0.7</v>
      </c>
      <c r="S185">
        <v>630</v>
      </c>
      <c r="T185" t="s">
        <v>27</v>
      </c>
      <c r="U185">
        <v>630</v>
      </c>
      <c r="V185" s="7" t="s">
        <v>24</v>
      </c>
      <c r="W185" s="7" t="s">
        <v>37</v>
      </c>
    </row>
    <row r="186" spans="1:23" x14ac:dyDescent="0.4">
      <c r="A186" t="s">
        <v>262</v>
      </c>
      <c r="B186" t="s">
        <v>1340</v>
      </c>
      <c r="C186" t="s">
        <v>1394</v>
      </c>
      <c r="D186" t="s">
        <v>64</v>
      </c>
      <c r="E186" t="s">
        <v>22</v>
      </c>
      <c r="F186" t="s">
        <v>23</v>
      </c>
      <c r="G186">
        <v>1</v>
      </c>
      <c r="H186">
        <v>9791166061080</v>
      </c>
      <c r="I186" t="s">
        <v>24</v>
      </c>
      <c r="J186" t="s">
        <v>74</v>
      </c>
      <c r="K186" t="s">
        <v>37</v>
      </c>
      <c r="L186" t="s">
        <v>27</v>
      </c>
      <c r="M186">
        <v>900</v>
      </c>
      <c r="N186" t="s">
        <v>27</v>
      </c>
      <c r="O186">
        <v>900</v>
      </c>
      <c r="P186">
        <v>900</v>
      </c>
      <c r="Q186" t="s">
        <v>30</v>
      </c>
      <c r="R186" s="2">
        <v>0.7</v>
      </c>
      <c r="S186">
        <v>630</v>
      </c>
      <c r="T186" t="s">
        <v>27</v>
      </c>
      <c r="U186">
        <v>630</v>
      </c>
      <c r="V186" s="7" t="s">
        <v>24</v>
      </c>
      <c r="W186" s="7" t="s">
        <v>37</v>
      </c>
    </row>
    <row r="187" spans="1:23" x14ac:dyDescent="0.4">
      <c r="A187" t="s">
        <v>262</v>
      </c>
      <c r="B187" t="s">
        <v>1340</v>
      </c>
      <c r="C187" t="s">
        <v>1395</v>
      </c>
      <c r="D187" t="s">
        <v>64</v>
      </c>
      <c r="E187" t="s">
        <v>22</v>
      </c>
      <c r="F187" t="s">
        <v>23</v>
      </c>
      <c r="G187">
        <v>1</v>
      </c>
      <c r="H187">
        <v>9791159283239</v>
      </c>
      <c r="I187" t="s">
        <v>24</v>
      </c>
      <c r="J187" t="s">
        <v>66</v>
      </c>
      <c r="K187" t="s">
        <v>37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  <c r="V187" s="7" t="s">
        <v>24</v>
      </c>
      <c r="W187" s="7" t="s">
        <v>37</v>
      </c>
    </row>
    <row r="188" spans="1:23" x14ac:dyDescent="0.4">
      <c r="A188" t="s">
        <v>262</v>
      </c>
      <c r="B188" t="s">
        <v>1340</v>
      </c>
      <c r="C188" t="s">
        <v>1405</v>
      </c>
      <c r="D188" t="s">
        <v>64</v>
      </c>
      <c r="E188" t="s">
        <v>22</v>
      </c>
      <c r="F188" t="s">
        <v>23</v>
      </c>
      <c r="G188">
        <v>1</v>
      </c>
      <c r="H188">
        <v>9791159283239</v>
      </c>
      <c r="I188" t="s">
        <v>24</v>
      </c>
      <c r="J188" t="s">
        <v>66</v>
      </c>
      <c r="K188" t="s">
        <v>37</v>
      </c>
      <c r="L188" t="s">
        <v>27</v>
      </c>
      <c r="M188">
        <v>630</v>
      </c>
      <c r="N188" t="s">
        <v>27</v>
      </c>
      <c r="O188">
        <v>630</v>
      </c>
      <c r="P188">
        <v>630</v>
      </c>
      <c r="Q188" t="s">
        <v>30</v>
      </c>
      <c r="R188" s="2">
        <v>0.7</v>
      </c>
      <c r="S188">
        <v>441</v>
      </c>
      <c r="T188" t="s">
        <v>27</v>
      </c>
      <c r="U188">
        <v>441</v>
      </c>
      <c r="V188" s="7" t="s">
        <v>24</v>
      </c>
      <c r="W188" s="7" t="s">
        <v>37</v>
      </c>
    </row>
    <row r="189" spans="1:23" x14ac:dyDescent="0.4">
      <c r="A189" t="s">
        <v>262</v>
      </c>
      <c r="B189" t="s">
        <v>1340</v>
      </c>
      <c r="C189" t="s">
        <v>1408</v>
      </c>
      <c r="D189" t="s">
        <v>64</v>
      </c>
      <c r="E189" t="s">
        <v>22</v>
      </c>
      <c r="F189" t="s">
        <v>23</v>
      </c>
      <c r="G189">
        <v>1</v>
      </c>
      <c r="H189">
        <v>9791166061097</v>
      </c>
      <c r="I189" t="s">
        <v>24</v>
      </c>
      <c r="J189" t="s">
        <v>95</v>
      </c>
      <c r="K189" t="s">
        <v>37</v>
      </c>
      <c r="L189" t="s">
        <v>27</v>
      </c>
      <c r="M189">
        <v>900</v>
      </c>
      <c r="N189" t="s">
        <v>27</v>
      </c>
      <c r="O189">
        <v>900</v>
      </c>
      <c r="P189">
        <v>900</v>
      </c>
      <c r="Q189" t="s">
        <v>30</v>
      </c>
      <c r="R189" s="2">
        <v>0.7</v>
      </c>
      <c r="S189">
        <v>630</v>
      </c>
      <c r="T189" t="s">
        <v>27</v>
      </c>
      <c r="U189">
        <v>630</v>
      </c>
      <c r="V189" s="7" t="s">
        <v>24</v>
      </c>
      <c r="W189" s="7" t="s">
        <v>37</v>
      </c>
    </row>
    <row r="190" spans="1:23" x14ac:dyDescent="0.4">
      <c r="A190" t="s">
        <v>262</v>
      </c>
      <c r="B190" t="s">
        <v>1340</v>
      </c>
      <c r="C190" t="s">
        <v>1410</v>
      </c>
      <c r="D190" t="s">
        <v>64</v>
      </c>
      <c r="E190" t="s">
        <v>22</v>
      </c>
      <c r="F190" t="s">
        <v>23</v>
      </c>
      <c r="G190">
        <v>1</v>
      </c>
      <c r="H190">
        <v>9791159282256</v>
      </c>
      <c r="I190" t="s">
        <v>24</v>
      </c>
      <c r="J190" t="s">
        <v>117</v>
      </c>
      <c r="K190" t="s">
        <v>37</v>
      </c>
      <c r="L190" t="s">
        <v>27</v>
      </c>
      <c r="M190">
        <v>900</v>
      </c>
      <c r="N190" t="s">
        <v>27</v>
      </c>
      <c r="O190">
        <v>900</v>
      </c>
      <c r="P190">
        <v>900</v>
      </c>
      <c r="Q190" t="s">
        <v>30</v>
      </c>
      <c r="R190" s="2">
        <v>0.7</v>
      </c>
      <c r="S190">
        <v>630</v>
      </c>
      <c r="T190" t="s">
        <v>27</v>
      </c>
      <c r="U190">
        <v>630</v>
      </c>
      <c r="V190" s="7" t="s">
        <v>24</v>
      </c>
      <c r="W190" s="7" t="s">
        <v>37</v>
      </c>
    </row>
    <row r="191" spans="1:23" x14ac:dyDescent="0.4">
      <c r="A191" t="s">
        <v>262</v>
      </c>
      <c r="B191" t="s">
        <v>1411</v>
      </c>
      <c r="C191" t="s">
        <v>1415</v>
      </c>
      <c r="D191" t="s">
        <v>64</v>
      </c>
      <c r="E191" t="s">
        <v>22</v>
      </c>
      <c r="F191" t="s">
        <v>23</v>
      </c>
      <c r="G191">
        <v>1</v>
      </c>
      <c r="H191">
        <v>9791166064159</v>
      </c>
      <c r="I191" t="s">
        <v>24</v>
      </c>
      <c r="J191" t="s">
        <v>86</v>
      </c>
      <c r="K191" t="s">
        <v>37</v>
      </c>
      <c r="L191" t="s">
        <v>27</v>
      </c>
      <c r="M191">
        <v>900</v>
      </c>
      <c r="N191" t="s">
        <v>27</v>
      </c>
      <c r="O191">
        <v>900</v>
      </c>
      <c r="P191">
        <v>900</v>
      </c>
      <c r="Q191" t="s">
        <v>30</v>
      </c>
      <c r="R191" s="2">
        <v>0.7</v>
      </c>
      <c r="S191">
        <v>630</v>
      </c>
      <c r="T191" t="s">
        <v>27</v>
      </c>
      <c r="U191">
        <v>630</v>
      </c>
      <c r="V191" s="7" t="s">
        <v>24</v>
      </c>
      <c r="W191" s="7" t="s">
        <v>37</v>
      </c>
    </row>
    <row r="192" spans="1:23" x14ac:dyDescent="0.4">
      <c r="A192" t="s">
        <v>262</v>
      </c>
      <c r="B192" t="s">
        <v>1411</v>
      </c>
      <c r="C192" t="s">
        <v>1421</v>
      </c>
      <c r="D192" t="s">
        <v>64</v>
      </c>
      <c r="E192" t="s">
        <v>22</v>
      </c>
      <c r="F192" t="s">
        <v>23</v>
      </c>
      <c r="G192">
        <v>1</v>
      </c>
      <c r="H192">
        <v>9791166061080</v>
      </c>
      <c r="I192" t="s">
        <v>24</v>
      </c>
      <c r="J192" t="s">
        <v>74</v>
      </c>
      <c r="K192" t="s">
        <v>37</v>
      </c>
      <c r="L192" t="s">
        <v>27</v>
      </c>
      <c r="M192">
        <v>900</v>
      </c>
      <c r="N192" t="s">
        <v>27</v>
      </c>
      <c r="O192">
        <v>900</v>
      </c>
      <c r="P192">
        <v>900</v>
      </c>
      <c r="Q192" t="s">
        <v>30</v>
      </c>
      <c r="R192" s="2">
        <v>0.7</v>
      </c>
      <c r="S192">
        <v>630</v>
      </c>
      <c r="T192" t="s">
        <v>27</v>
      </c>
      <c r="U192">
        <v>630</v>
      </c>
      <c r="V192" s="7" t="s">
        <v>24</v>
      </c>
      <c r="W192" s="7" t="s">
        <v>37</v>
      </c>
    </row>
    <row r="193" spans="1:23" x14ac:dyDescent="0.4">
      <c r="A193" t="s">
        <v>262</v>
      </c>
      <c r="B193" t="s">
        <v>1411</v>
      </c>
      <c r="C193" t="s">
        <v>1425</v>
      </c>
      <c r="D193" t="s">
        <v>64</v>
      </c>
      <c r="E193" t="s">
        <v>22</v>
      </c>
      <c r="F193" t="s">
        <v>23</v>
      </c>
      <c r="G193">
        <v>1</v>
      </c>
      <c r="H193">
        <v>9791166061103</v>
      </c>
      <c r="I193" t="s">
        <v>24</v>
      </c>
      <c r="J193" t="s">
        <v>96</v>
      </c>
      <c r="K193" t="s">
        <v>37</v>
      </c>
      <c r="L193" t="s">
        <v>27</v>
      </c>
      <c r="M193">
        <v>900</v>
      </c>
      <c r="N193" t="s">
        <v>27</v>
      </c>
      <c r="O193">
        <v>900</v>
      </c>
      <c r="P193">
        <v>900</v>
      </c>
      <c r="Q193" t="s">
        <v>30</v>
      </c>
      <c r="R193" s="2">
        <v>0.7</v>
      </c>
      <c r="S193">
        <v>630</v>
      </c>
      <c r="T193" t="s">
        <v>27</v>
      </c>
      <c r="U193">
        <v>630</v>
      </c>
      <c r="V193" s="7" t="s">
        <v>24</v>
      </c>
      <c r="W193" s="7" t="s">
        <v>37</v>
      </c>
    </row>
    <row r="194" spans="1:23" x14ac:dyDescent="0.4">
      <c r="A194" t="s">
        <v>262</v>
      </c>
      <c r="B194" t="s">
        <v>1411</v>
      </c>
      <c r="C194" t="s">
        <v>1426</v>
      </c>
      <c r="D194" t="s">
        <v>64</v>
      </c>
      <c r="E194" t="s">
        <v>22</v>
      </c>
      <c r="F194" t="s">
        <v>23</v>
      </c>
      <c r="G194">
        <v>1</v>
      </c>
      <c r="H194">
        <v>9791159283147</v>
      </c>
      <c r="I194" t="s">
        <v>24</v>
      </c>
      <c r="J194" t="s">
        <v>83</v>
      </c>
      <c r="K194" t="s">
        <v>37</v>
      </c>
      <c r="L194" t="s">
        <v>27</v>
      </c>
      <c r="M194">
        <v>900</v>
      </c>
      <c r="N194" t="s">
        <v>27</v>
      </c>
      <c r="O194">
        <v>900</v>
      </c>
      <c r="P194">
        <v>900</v>
      </c>
      <c r="Q194" t="s">
        <v>30</v>
      </c>
      <c r="R194" s="2">
        <v>0.7</v>
      </c>
      <c r="S194">
        <v>630</v>
      </c>
      <c r="T194" t="s">
        <v>27</v>
      </c>
      <c r="U194">
        <v>630</v>
      </c>
      <c r="V194" s="7" t="s">
        <v>24</v>
      </c>
      <c r="W194" s="7" t="s">
        <v>37</v>
      </c>
    </row>
    <row r="195" spans="1:23" x14ac:dyDescent="0.4">
      <c r="A195" t="s">
        <v>262</v>
      </c>
      <c r="B195" t="s">
        <v>1411</v>
      </c>
      <c r="C195" t="s">
        <v>1427</v>
      </c>
      <c r="D195" t="s">
        <v>21</v>
      </c>
      <c r="E195" t="s">
        <v>22</v>
      </c>
      <c r="F195" t="s">
        <v>23</v>
      </c>
      <c r="G195">
        <v>1</v>
      </c>
      <c r="H195">
        <v>9791166061080</v>
      </c>
      <c r="I195" t="s">
        <v>24</v>
      </c>
      <c r="J195" t="s">
        <v>74</v>
      </c>
      <c r="K195" t="s">
        <v>37</v>
      </c>
      <c r="L195" t="s">
        <v>27</v>
      </c>
      <c r="M195" s="3">
        <v>3200</v>
      </c>
      <c r="N195" t="s">
        <v>27</v>
      </c>
      <c r="O195" s="3">
        <v>3200</v>
      </c>
      <c r="P195" s="3">
        <v>3200</v>
      </c>
      <c r="Q195" t="s">
        <v>30</v>
      </c>
      <c r="R195" s="2">
        <v>0.7</v>
      </c>
      <c r="S195" s="3">
        <v>2240</v>
      </c>
      <c r="T195" t="s">
        <v>27</v>
      </c>
      <c r="U195" s="3">
        <v>2240</v>
      </c>
      <c r="V195" s="7" t="s">
        <v>24</v>
      </c>
      <c r="W195" s="7" t="s">
        <v>37</v>
      </c>
    </row>
    <row r="196" spans="1:23" x14ac:dyDescent="0.4">
      <c r="A196" t="s">
        <v>262</v>
      </c>
      <c r="B196" t="s">
        <v>1411</v>
      </c>
      <c r="C196" t="s">
        <v>1434</v>
      </c>
      <c r="D196" t="s">
        <v>64</v>
      </c>
      <c r="E196" t="s">
        <v>22</v>
      </c>
      <c r="F196" t="s">
        <v>23</v>
      </c>
      <c r="G196">
        <v>1</v>
      </c>
      <c r="H196">
        <v>9791159283246</v>
      </c>
      <c r="I196" t="s">
        <v>24</v>
      </c>
      <c r="J196" t="s">
        <v>67</v>
      </c>
      <c r="K196" t="s">
        <v>37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  <c r="V196" s="7" t="s">
        <v>24</v>
      </c>
      <c r="W196" s="7" t="s">
        <v>37</v>
      </c>
    </row>
    <row r="197" spans="1:23" x14ac:dyDescent="0.4">
      <c r="A197" t="s">
        <v>262</v>
      </c>
      <c r="B197" t="s">
        <v>1411</v>
      </c>
      <c r="C197" t="s">
        <v>1462</v>
      </c>
      <c r="D197" t="s">
        <v>64</v>
      </c>
      <c r="E197" t="s">
        <v>22</v>
      </c>
      <c r="F197" t="s">
        <v>23</v>
      </c>
      <c r="G197">
        <v>1</v>
      </c>
      <c r="H197">
        <v>9791159283208</v>
      </c>
      <c r="I197" t="s">
        <v>24</v>
      </c>
      <c r="J197" t="s">
        <v>105</v>
      </c>
      <c r="K197" t="s">
        <v>37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  <c r="V197" s="7" t="s">
        <v>24</v>
      </c>
      <c r="W197" s="7" t="s">
        <v>37</v>
      </c>
    </row>
    <row r="198" spans="1:23" x14ac:dyDescent="0.4">
      <c r="A198" t="s">
        <v>262</v>
      </c>
      <c r="B198" t="s">
        <v>1411</v>
      </c>
      <c r="C198" t="s">
        <v>1471</v>
      </c>
      <c r="D198" t="s">
        <v>64</v>
      </c>
      <c r="E198" t="s">
        <v>22</v>
      </c>
      <c r="F198" t="s">
        <v>23</v>
      </c>
      <c r="G198">
        <v>1</v>
      </c>
      <c r="H198">
        <v>9791166061080</v>
      </c>
      <c r="I198" t="s">
        <v>24</v>
      </c>
      <c r="J198" t="s">
        <v>74</v>
      </c>
      <c r="K198" t="s">
        <v>37</v>
      </c>
      <c r="L198" t="s">
        <v>27</v>
      </c>
      <c r="M198">
        <v>900</v>
      </c>
      <c r="N198" t="s">
        <v>27</v>
      </c>
      <c r="O198">
        <v>900</v>
      </c>
      <c r="P198">
        <v>900</v>
      </c>
      <c r="Q198" t="s">
        <v>30</v>
      </c>
      <c r="R198" s="2">
        <v>0.7</v>
      </c>
      <c r="S198">
        <v>630</v>
      </c>
      <c r="T198" t="s">
        <v>27</v>
      </c>
      <c r="U198">
        <v>630</v>
      </c>
      <c r="V198" s="7" t="s">
        <v>24</v>
      </c>
      <c r="W198" s="7" t="s">
        <v>37</v>
      </c>
    </row>
    <row r="199" spans="1:23" x14ac:dyDescent="0.4">
      <c r="A199" t="s">
        <v>262</v>
      </c>
      <c r="B199" t="s">
        <v>1411</v>
      </c>
      <c r="C199" t="s">
        <v>1473</v>
      </c>
      <c r="D199" t="s">
        <v>64</v>
      </c>
      <c r="E199" t="s">
        <v>22</v>
      </c>
      <c r="F199" t="s">
        <v>23</v>
      </c>
      <c r="G199">
        <v>1</v>
      </c>
      <c r="H199">
        <v>9791159283154</v>
      </c>
      <c r="I199" t="s">
        <v>24</v>
      </c>
      <c r="J199" t="s">
        <v>84</v>
      </c>
      <c r="K199" t="s">
        <v>37</v>
      </c>
      <c r="L199" t="s">
        <v>27</v>
      </c>
      <c r="M199">
        <v>900</v>
      </c>
      <c r="N199" t="s">
        <v>27</v>
      </c>
      <c r="O199">
        <v>900</v>
      </c>
      <c r="P199">
        <v>900</v>
      </c>
      <c r="Q199" t="s">
        <v>30</v>
      </c>
      <c r="R199" s="2">
        <v>0.7</v>
      </c>
      <c r="S199">
        <v>630</v>
      </c>
      <c r="T199" t="s">
        <v>27</v>
      </c>
      <c r="U199">
        <v>630</v>
      </c>
      <c r="V199" s="7" t="s">
        <v>24</v>
      </c>
      <c r="W199" s="7" t="s">
        <v>37</v>
      </c>
    </row>
    <row r="200" spans="1:23" x14ac:dyDescent="0.4">
      <c r="A200" t="s">
        <v>262</v>
      </c>
      <c r="B200" t="s">
        <v>1411</v>
      </c>
      <c r="C200" t="s">
        <v>1486</v>
      </c>
      <c r="D200" t="s">
        <v>64</v>
      </c>
      <c r="E200" t="s">
        <v>22</v>
      </c>
      <c r="F200" t="s">
        <v>23</v>
      </c>
      <c r="G200">
        <v>1</v>
      </c>
      <c r="H200">
        <v>9791166064166</v>
      </c>
      <c r="I200" t="s">
        <v>24</v>
      </c>
      <c r="J200" t="s">
        <v>87</v>
      </c>
      <c r="K200" t="s">
        <v>37</v>
      </c>
      <c r="L200" t="s">
        <v>27</v>
      </c>
      <c r="M200">
        <v>900</v>
      </c>
      <c r="N200" t="s">
        <v>27</v>
      </c>
      <c r="O200">
        <v>900</v>
      </c>
      <c r="P200">
        <v>900</v>
      </c>
      <c r="Q200" t="s">
        <v>30</v>
      </c>
      <c r="R200" s="2">
        <v>0.7</v>
      </c>
      <c r="S200">
        <v>630</v>
      </c>
      <c r="T200" t="s">
        <v>27</v>
      </c>
      <c r="U200">
        <v>630</v>
      </c>
      <c r="V200" s="7" t="s">
        <v>24</v>
      </c>
      <c r="W200" s="7" t="s">
        <v>37</v>
      </c>
    </row>
    <row r="201" spans="1:23" x14ac:dyDescent="0.4">
      <c r="A201" t="s">
        <v>262</v>
      </c>
      <c r="B201" t="s">
        <v>1411</v>
      </c>
      <c r="C201" t="s">
        <v>1491</v>
      </c>
      <c r="D201" t="s">
        <v>64</v>
      </c>
      <c r="E201" t="s">
        <v>22</v>
      </c>
      <c r="F201" t="s">
        <v>23</v>
      </c>
      <c r="G201">
        <v>1</v>
      </c>
      <c r="H201">
        <v>9791159283246</v>
      </c>
      <c r="I201" t="s">
        <v>24</v>
      </c>
      <c r="J201" t="s">
        <v>67</v>
      </c>
      <c r="K201" t="s">
        <v>37</v>
      </c>
      <c r="L201" t="s">
        <v>27</v>
      </c>
      <c r="M201">
        <v>630</v>
      </c>
      <c r="N201" t="s">
        <v>27</v>
      </c>
      <c r="O201">
        <v>630</v>
      </c>
      <c r="P201">
        <v>630</v>
      </c>
      <c r="Q201" t="s">
        <v>30</v>
      </c>
      <c r="R201" s="2">
        <v>0.7</v>
      </c>
      <c r="S201">
        <v>441</v>
      </c>
      <c r="T201" t="s">
        <v>27</v>
      </c>
      <c r="U201">
        <v>441</v>
      </c>
      <c r="V201" s="7" t="s">
        <v>24</v>
      </c>
      <c r="W201" s="7" t="s">
        <v>37</v>
      </c>
    </row>
    <row r="202" spans="1:23" x14ac:dyDescent="0.4">
      <c r="A202" t="s">
        <v>262</v>
      </c>
      <c r="B202" t="s">
        <v>1411</v>
      </c>
      <c r="C202" t="s">
        <v>1495</v>
      </c>
      <c r="D202" t="s">
        <v>64</v>
      </c>
      <c r="E202" t="s">
        <v>22</v>
      </c>
      <c r="F202" t="s">
        <v>23</v>
      </c>
      <c r="G202">
        <v>1</v>
      </c>
      <c r="H202">
        <v>9791166061080</v>
      </c>
      <c r="I202" t="s">
        <v>24</v>
      </c>
      <c r="J202" t="s">
        <v>74</v>
      </c>
      <c r="K202" t="s">
        <v>37</v>
      </c>
      <c r="L202" t="s">
        <v>27</v>
      </c>
      <c r="M202">
        <v>900</v>
      </c>
      <c r="N202" t="s">
        <v>27</v>
      </c>
      <c r="O202">
        <v>900</v>
      </c>
      <c r="P202">
        <v>900</v>
      </c>
      <c r="Q202" t="s">
        <v>30</v>
      </c>
      <c r="R202" s="2">
        <v>0.7</v>
      </c>
      <c r="S202">
        <v>630</v>
      </c>
      <c r="T202" t="s">
        <v>27</v>
      </c>
      <c r="U202">
        <v>630</v>
      </c>
      <c r="V202" s="7" t="s">
        <v>24</v>
      </c>
      <c r="W202" s="7" t="s">
        <v>37</v>
      </c>
    </row>
    <row r="203" spans="1:23" x14ac:dyDescent="0.4">
      <c r="A203" t="s">
        <v>262</v>
      </c>
      <c r="B203" t="s">
        <v>1514</v>
      </c>
      <c r="C203" t="s">
        <v>1518</v>
      </c>
      <c r="D203" t="s">
        <v>64</v>
      </c>
      <c r="E203" t="s">
        <v>22</v>
      </c>
      <c r="F203" t="s">
        <v>23</v>
      </c>
      <c r="G203">
        <v>1</v>
      </c>
      <c r="H203">
        <v>9791166061103</v>
      </c>
      <c r="I203" t="s">
        <v>24</v>
      </c>
      <c r="J203" t="s">
        <v>96</v>
      </c>
      <c r="K203" t="s">
        <v>37</v>
      </c>
      <c r="L203" t="s">
        <v>27</v>
      </c>
      <c r="M203">
        <v>900</v>
      </c>
      <c r="N203" t="s">
        <v>27</v>
      </c>
      <c r="O203">
        <v>900</v>
      </c>
      <c r="P203">
        <v>900</v>
      </c>
      <c r="Q203" t="s">
        <v>30</v>
      </c>
      <c r="R203" s="2">
        <v>0.7</v>
      </c>
      <c r="S203">
        <v>630</v>
      </c>
      <c r="T203" t="s">
        <v>27</v>
      </c>
      <c r="U203">
        <v>630</v>
      </c>
      <c r="V203" s="7" t="s">
        <v>24</v>
      </c>
      <c r="W203" s="7" t="s">
        <v>37</v>
      </c>
    </row>
    <row r="204" spans="1:23" x14ac:dyDescent="0.4">
      <c r="A204" t="s">
        <v>262</v>
      </c>
      <c r="B204" t="s">
        <v>1514</v>
      </c>
      <c r="C204" t="s">
        <v>1539</v>
      </c>
      <c r="D204" t="s">
        <v>64</v>
      </c>
      <c r="E204" t="s">
        <v>22</v>
      </c>
      <c r="F204" t="s">
        <v>23</v>
      </c>
      <c r="G204">
        <v>1</v>
      </c>
      <c r="H204">
        <v>9791166061097</v>
      </c>
      <c r="I204" t="s">
        <v>24</v>
      </c>
      <c r="J204" t="s">
        <v>95</v>
      </c>
      <c r="K204" t="s">
        <v>37</v>
      </c>
      <c r="L204" t="s">
        <v>27</v>
      </c>
      <c r="M204">
        <v>900</v>
      </c>
      <c r="N204" t="s">
        <v>27</v>
      </c>
      <c r="O204">
        <v>900</v>
      </c>
      <c r="P204">
        <v>900</v>
      </c>
      <c r="Q204" t="s">
        <v>30</v>
      </c>
      <c r="R204" s="2">
        <v>0.7</v>
      </c>
      <c r="S204">
        <v>630</v>
      </c>
      <c r="T204" t="s">
        <v>27</v>
      </c>
      <c r="U204">
        <v>630</v>
      </c>
      <c r="V204" s="7" t="s">
        <v>24</v>
      </c>
      <c r="W204" s="7" t="s">
        <v>37</v>
      </c>
    </row>
    <row r="205" spans="1:23" x14ac:dyDescent="0.4">
      <c r="A205" t="s">
        <v>262</v>
      </c>
      <c r="B205" t="s">
        <v>1514</v>
      </c>
      <c r="C205" t="s">
        <v>1557</v>
      </c>
      <c r="D205" t="s">
        <v>64</v>
      </c>
      <c r="E205" t="s">
        <v>22</v>
      </c>
      <c r="F205" t="s">
        <v>23</v>
      </c>
      <c r="G205">
        <v>1</v>
      </c>
      <c r="H205">
        <v>9791166061080</v>
      </c>
      <c r="I205" t="s">
        <v>24</v>
      </c>
      <c r="J205" t="s">
        <v>74</v>
      </c>
      <c r="K205" t="s">
        <v>37</v>
      </c>
      <c r="L205" t="s">
        <v>27</v>
      </c>
      <c r="M205">
        <v>900</v>
      </c>
      <c r="N205" t="s">
        <v>27</v>
      </c>
      <c r="O205">
        <v>900</v>
      </c>
      <c r="P205">
        <v>900</v>
      </c>
      <c r="Q205" t="s">
        <v>30</v>
      </c>
      <c r="R205" s="2">
        <v>0.7</v>
      </c>
      <c r="S205">
        <v>630</v>
      </c>
      <c r="T205" t="s">
        <v>27</v>
      </c>
      <c r="U205">
        <v>630</v>
      </c>
      <c r="V205" s="7" t="s">
        <v>24</v>
      </c>
      <c r="W205" s="7" t="s">
        <v>37</v>
      </c>
    </row>
    <row r="206" spans="1:23" x14ac:dyDescent="0.4">
      <c r="A206" t="s">
        <v>262</v>
      </c>
      <c r="B206" t="s">
        <v>1514</v>
      </c>
      <c r="C206" t="s">
        <v>1566</v>
      </c>
      <c r="D206" t="s">
        <v>64</v>
      </c>
      <c r="E206" t="s">
        <v>22</v>
      </c>
      <c r="F206" t="s">
        <v>23</v>
      </c>
      <c r="G206">
        <v>1</v>
      </c>
      <c r="H206">
        <v>9791166061097</v>
      </c>
      <c r="I206" t="s">
        <v>24</v>
      </c>
      <c r="J206" t="s">
        <v>95</v>
      </c>
      <c r="K206" t="s">
        <v>37</v>
      </c>
      <c r="L206" t="s">
        <v>27</v>
      </c>
      <c r="M206">
        <v>900</v>
      </c>
      <c r="N206" t="s">
        <v>27</v>
      </c>
      <c r="O206">
        <v>900</v>
      </c>
      <c r="P206">
        <v>900</v>
      </c>
      <c r="Q206" t="s">
        <v>30</v>
      </c>
      <c r="R206" s="2">
        <v>0.7</v>
      </c>
      <c r="S206">
        <v>630</v>
      </c>
      <c r="T206" t="s">
        <v>27</v>
      </c>
      <c r="U206">
        <v>630</v>
      </c>
      <c r="V206" s="7" t="s">
        <v>24</v>
      </c>
      <c r="W206" s="7" t="s">
        <v>37</v>
      </c>
    </row>
    <row r="207" spans="1:23" x14ac:dyDescent="0.4">
      <c r="A207" t="s">
        <v>262</v>
      </c>
      <c r="B207" t="s">
        <v>1514</v>
      </c>
      <c r="C207" t="s">
        <v>1568</v>
      </c>
      <c r="D207" t="s">
        <v>64</v>
      </c>
      <c r="E207" t="s">
        <v>22</v>
      </c>
      <c r="F207" t="s">
        <v>23</v>
      </c>
      <c r="G207">
        <v>1</v>
      </c>
      <c r="H207">
        <v>9791159283246</v>
      </c>
      <c r="I207" t="s">
        <v>24</v>
      </c>
      <c r="J207" t="s">
        <v>67</v>
      </c>
      <c r="K207" t="s">
        <v>37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  <c r="V207" s="7" t="s">
        <v>24</v>
      </c>
      <c r="W207" s="7" t="s">
        <v>37</v>
      </c>
    </row>
    <row r="208" spans="1:23" x14ac:dyDescent="0.4">
      <c r="A208" t="s">
        <v>262</v>
      </c>
      <c r="B208" t="s">
        <v>1514</v>
      </c>
      <c r="C208" t="s">
        <v>1577</v>
      </c>
      <c r="D208" t="s">
        <v>64</v>
      </c>
      <c r="E208" t="s">
        <v>22</v>
      </c>
      <c r="F208" t="s">
        <v>23</v>
      </c>
      <c r="G208">
        <v>1</v>
      </c>
      <c r="H208">
        <v>9791159283215</v>
      </c>
      <c r="I208" t="s">
        <v>24</v>
      </c>
      <c r="J208" t="s">
        <v>103</v>
      </c>
      <c r="K208" t="s">
        <v>37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  <c r="V208" s="7" t="s">
        <v>24</v>
      </c>
      <c r="W208" s="7" t="s">
        <v>37</v>
      </c>
    </row>
    <row r="209" spans="1:23" x14ac:dyDescent="0.4">
      <c r="A209" t="s">
        <v>262</v>
      </c>
      <c r="B209" t="s">
        <v>1579</v>
      </c>
      <c r="C209" t="s">
        <v>1580</v>
      </c>
      <c r="D209" t="s">
        <v>64</v>
      </c>
      <c r="E209" t="s">
        <v>22</v>
      </c>
      <c r="F209" t="s">
        <v>23</v>
      </c>
      <c r="G209">
        <v>1</v>
      </c>
      <c r="H209">
        <v>9791159283093</v>
      </c>
      <c r="I209" t="s">
        <v>24</v>
      </c>
      <c r="J209" t="s">
        <v>73</v>
      </c>
      <c r="K209" t="s">
        <v>37</v>
      </c>
      <c r="L209" t="s">
        <v>27</v>
      </c>
      <c r="M209">
        <v>900</v>
      </c>
      <c r="N209" t="s">
        <v>27</v>
      </c>
      <c r="O209">
        <v>900</v>
      </c>
      <c r="P209">
        <v>900</v>
      </c>
      <c r="Q209" t="s">
        <v>30</v>
      </c>
      <c r="R209" s="2">
        <v>0.7</v>
      </c>
      <c r="S209">
        <v>630</v>
      </c>
      <c r="T209" t="s">
        <v>27</v>
      </c>
      <c r="U209">
        <v>630</v>
      </c>
      <c r="V209" s="7" t="s">
        <v>24</v>
      </c>
      <c r="W209" s="7" t="s">
        <v>37</v>
      </c>
    </row>
    <row r="210" spans="1:23" x14ac:dyDescent="0.4">
      <c r="A210" t="s">
        <v>262</v>
      </c>
      <c r="B210" t="s">
        <v>1579</v>
      </c>
      <c r="C210" t="s">
        <v>1581</v>
      </c>
      <c r="D210" t="s">
        <v>64</v>
      </c>
      <c r="E210" t="s">
        <v>22</v>
      </c>
      <c r="F210" t="s">
        <v>23</v>
      </c>
      <c r="G210">
        <v>1</v>
      </c>
      <c r="H210">
        <v>9791166061103</v>
      </c>
      <c r="I210" t="s">
        <v>24</v>
      </c>
      <c r="J210" t="s">
        <v>96</v>
      </c>
      <c r="K210" t="s">
        <v>37</v>
      </c>
      <c r="L210" t="s">
        <v>27</v>
      </c>
      <c r="M210">
        <v>900</v>
      </c>
      <c r="N210" t="s">
        <v>27</v>
      </c>
      <c r="O210">
        <v>900</v>
      </c>
      <c r="P210">
        <v>900</v>
      </c>
      <c r="Q210" t="s">
        <v>30</v>
      </c>
      <c r="R210" s="2">
        <v>0.7</v>
      </c>
      <c r="S210">
        <v>630</v>
      </c>
      <c r="T210" t="s">
        <v>27</v>
      </c>
      <c r="U210">
        <v>630</v>
      </c>
      <c r="V210" s="7" t="s">
        <v>24</v>
      </c>
      <c r="W210" s="7" t="s">
        <v>37</v>
      </c>
    </row>
    <row r="211" spans="1:23" x14ac:dyDescent="0.4">
      <c r="A211" t="s">
        <v>262</v>
      </c>
      <c r="B211" t="s">
        <v>1579</v>
      </c>
      <c r="C211" t="s">
        <v>1588</v>
      </c>
      <c r="D211" t="s">
        <v>64</v>
      </c>
      <c r="E211" t="s">
        <v>22</v>
      </c>
      <c r="F211" t="s">
        <v>23</v>
      </c>
      <c r="G211">
        <v>1</v>
      </c>
      <c r="H211">
        <v>9791166061103</v>
      </c>
      <c r="I211" t="s">
        <v>24</v>
      </c>
      <c r="J211" t="s">
        <v>96</v>
      </c>
      <c r="K211" t="s">
        <v>37</v>
      </c>
      <c r="L211" t="s">
        <v>27</v>
      </c>
      <c r="M211">
        <v>900</v>
      </c>
      <c r="N211" t="s">
        <v>27</v>
      </c>
      <c r="O211">
        <v>900</v>
      </c>
      <c r="P211">
        <v>900</v>
      </c>
      <c r="Q211" t="s">
        <v>30</v>
      </c>
      <c r="R211" s="2">
        <v>0.7</v>
      </c>
      <c r="S211">
        <v>630</v>
      </c>
      <c r="T211" t="s">
        <v>27</v>
      </c>
      <c r="U211">
        <v>630</v>
      </c>
      <c r="V211" s="7" t="s">
        <v>24</v>
      </c>
      <c r="W211" s="7" t="s">
        <v>37</v>
      </c>
    </row>
    <row r="212" spans="1:23" x14ac:dyDescent="0.4">
      <c r="A212" t="s">
        <v>262</v>
      </c>
      <c r="B212" t="s">
        <v>1579</v>
      </c>
      <c r="C212" t="s">
        <v>1601</v>
      </c>
      <c r="D212" t="s">
        <v>64</v>
      </c>
      <c r="E212" t="s">
        <v>22</v>
      </c>
      <c r="F212" t="s">
        <v>23</v>
      </c>
      <c r="G212">
        <v>1</v>
      </c>
      <c r="H212">
        <v>9791166061103</v>
      </c>
      <c r="I212" t="s">
        <v>24</v>
      </c>
      <c r="J212" t="s">
        <v>96</v>
      </c>
      <c r="K212" t="s">
        <v>37</v>
      </c>
      <c r="L212" t="s">
        <v>27</v>
      </c>
      <c r="M212">
        <v>900</v>
      </c>
      <c r="N212" t="s">
        <v>27</v>
      </c>
      <c r="O212">
        <v>900</v>
      </c>
      <c r="P212">
        <v>900</v>
      </c>
      <c r="Q212" t="s">
        <v>30</v>
      </c>
      <c r="R212" s="2">
        <v>0.7</v>
      </c>
      <c r="S212">
        <v>630</v>
      </c>
      <c r="T212" t="s">
        <v>27</v>
      </c>
      <c r="U212">
        <v>630</v>
      </c>
      <c r="V212" s="7" t="s">
        <v>24</v>
      </c>
      <c r="W212" s="7" t="s">
        <v>37</v>
      </c>
    </row>
    <row r="213" spans="1:23" x14ac:dyDescent="0.4">
      <c r="A213" t="s">
        <v>262</v>
      </c>
      <c r="B213" t="s">
        <v>1579</v>
      </c>
      <c r="C213" t="s">
        <v>1602</v>
      </c>
      <c r="D213" t="s">
        <v>64</v>
      </c>
      <c r="E213" t="s">
        <v>22</v>
      </c>
      <c r="F213" t="s">
        <v>23</v>
      </c>
      <c r="G213">
        <v>1</v>
      </c>
      <c r="H213">
        <v>9791159283253</v>
      </c>
      <c r="I213" t="s">
        <v>24</v>
      </c>
      <c r="J213" t="s">
        <v>68</v>
      </c>
      <c r="K213" t="s">
        <v>37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  <c r="V213" s="7" t="s">
        <v>24</v>
      </c>
      <c r="W213" s="7" t="s">
        <v>37</v>
      </c>
    </row>
    <row r="214" spans="1:23" x14ac:dyDescent="0.4">
      <c r="A214" t="s">
        <v>262</v>
      </c>
      <c r="B214" t="s">
        <v>1579</v>
      </c>
      <c r="C214" t="s">
        <v>1623</v>
      </c>
      <c r="D214" t="s">
        <v>64</v>
      </c>
      <c r="E214" t="s">
        <v>22</v>
      </c>
      <c r="F214" t="s">
        <v>23</v>
      </c>
      <c r="G214">
        <v>1</v>
      </c>
      <c r="H214">
        <v>9791166061110</v>
      </c>
      <c r="I214" t="s">
        <v>24</v>
      </c>
      <c r="J214" t="s">
        <v>97</v>
      </c>
      <c r="K214" t="s">
        <v>37</v>
      </c>
      <c r="L214" t="s">
        <v>27</v>
      </c>
      <c r="M214">
        <v>900</v>
      </c>
      <c r="N214" t="s">
        <v>27</v>
      </c>
      <c r="O214">
        <v>900</v>
      </c>
      <c r="P214">
        <v>900</v>
      </c>
      <c r="Q214" t="s">
        <v>30</v>
      </c>
      <c r="R214" s="2">
        <v>0.7</v>
      </c>
      <c r="S214">
        <v>630</v>
      </c>
      <c r="T214" t="s">
        <v>27</v>
      </c>
      <c r="U214">
        <v>630</v>
      </c>
      <c r="V214" s="7" t="s">
        <v>24</v>
      </c>
      <c r="W214" s="7" t="s">
        <v>37</v>
      </c>
    </row>
    <row r="215" spans="1:23" x14ac:dyDescent="0.4">
      <c r="A215" t="s">
        <v>262</v>
      </c>
      <c r="B215" t="s">
        <v>1579</v>
      </c>
      <c r="C215" t="s">
        <v>1633</v>
      </c>
      <c r="D215" t="s">
        <v>64</v>
      </c>
      <c r="E215" t="s">
        <v>22</v>
      </c>
      <c r="F215" t="s">
        <v>23</v>
      </c>
      <c r="G215">
        <v>1</v>
      </c>
      <c r="H215">
        <v>9791159285844</v>
      </c>
      <c r="I215" t="s">
        <v>24</v>
      </c>
      <c r="J215" t="s">
        <v>52</v>
      </c>
      <c r="K215" t="s">
        <v>37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  <c r="V215" s="7" t="s">
        <v>24</v>
      </c>
      <c r="W215" s="7" t="s">
        <v>37</v>
      </c>
    </row>
    <row r="216" spans="1:23" x14ac:dyDescent="0.4">
      <c r="A216" t="s">
        <v>262</v>
      </c>
      <c r="B216" t="s">
        <v>1579</v>
      </c>
      <c r="C216" t="s">
        <v>1637</v>
      </c>
      <c r="D216" t="s">
        <v>64</v>
      </c>
      <c r="E216" t="s">
        <v>22</v>
      </c>
      <c r="F216" t="s">
        <v>23</v>
      </c>
      <c r="G216">
        <v>1</v>
      </c>
      <c r="H216">
        <v>9791159283222</v>
      </c>
      <c r="I216" t="s">
        <v>24</v>
      </c>
      <c r="J216" t="s">
        <v>65</v>
      </c>
      <c r="K216" t="s">
        <v>37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  <c r="V216" s="7" t="s">
        <v>24</v>
      </c>
      <c r="W216" s="7" t="s">
        <v>37</v>
      </c>
    </row>
    <row r="217" spans="1:23" x14ac:dyDescent="0.4">
      <c r="A217" t="s">
        <v>262</v>
      </c>
      <c r="B217" t="s">
        <v>1639</v>
      </c>
      <c r="C217" t="s">
        <v>1646</v>
      </c>
      <c r="D217" t="s">
        <v>64</v>
      </c>
      <c r="E217" t="s">
        <v>22</v>
      </c>
      <c r="F217" t="s">
        <v>23</v>
      </c>
      <c r="G217">
        <v>1</v>
      </c>
      <c r="H217">
        <v>9791166061158</v>
      </c>
      <c r="I217" t="s">
        <v>24</v>
      </c>
      <c r="J217" t="s">
        <v>101</v>
      </c>
      <c r="K217" t="s">
        <v>37</v>
      </c>
      <c r="L217" t="s">
        <v>27</v>
      </c>
      <c r="M217">
        <v>900</v>
      </c>
      <c r="N217" t="s">
        <v>27</v>
      </c>
      <c r="O217">
        <v>900</v>
      </c>
      <c r="P217">
        <v>900</v>
      </c>
      <c r="Q217" t="s">
        <v>30</v>
      </c>
      <c r="R217" s="2">
        <v>0.7</v>
      </c>
      <c r="S217">
        <v>630</v>
      </c>
      <c r="T217" t="s">
        <v>27</v>
      </c>
      <c r="U217">
        <v>630</v>
      </c>
      <c r="V217" s="7" t="s">
        <v>24</v>
      </c>
      <c r="W217" s="7" t="s">
        <v>37</v>
      </c>
    </row>
    <row r="218" spans="1:23" x14ac:dyDescent="0.4">
      <c r="A218" t="s">
        <v>262</v>
      </c>
      <c r="B218" t="s">
        <v>1639</v>
      </c>
      <c r="C218" t="s">
        <v>1652</v>
      </c>
      <c r="D218" t="s">
        <v>64</v>
      </c>
      <c r="E218" t="s">
        <v>22</v>
      </c>
      <c r="F218" t="s">
        <v>23</v>
      </c>
      <c r="G218">
        <v>1</v>
      </c>
      <c r="H218">
        <v>9791166061127</v>
      </c>
      <c r="I218" t="s">
        <v>24</v>
      </c>
      <c r="J218" t="s">
        <v>100</v>
      </c>
      <c r="K218" t="s">
        <v>37</v>
      </c>
      <c r="L218" t="s">
        <v>27</v>
      </c>
      <c r="M218">
        <v>900</v>
      </c>
      <c r="N218" t="s">
        <v>27</v>
      </c>
      <c r="O218">
        <v>900</v>
      </c>
      <c r="P218">
        <v>900</v>
      </c>
      <c r="Q218" t="s">
        <v>30</v>
      </c>
      <c r="R218" s="2">
        <v>0.7</v>
      </c>
      <c r="S218">
        <v>630</v>
      </c>
      <c r="T218" t="s">
        <v>27</v>
      </c>
      <c r="U218">
        <v>630</v>
      </c>
      <c r="V218" s="7" t="s">
        <v>24</v>
      </c>
      <c r="W218" s="7" t="s">
        <v>37</v>
      </c>
    </row>
    <row r="219" spans="1:23" x14ac:dyDescent="0.4">
      <c r="A219" t="s">
        <v>262</v>
      </c>
      <c r="B219" t="s">
        <v>1639</v>
      </c>
      <c r="C219" t="s">
        <v>1658</v>
      </c>
      <c r="D219" t="s">
        <v>64</v>
      </c>
      <c r="E219" t="s">
        <v>22</v>
      </c>
      <c r="F219" t="s">
        <v>23</v>
      </c>
      <c r="G219">
        <v>1</v>
      </c>
      <c r="H219">
        <v>9791159283093</v>
      </c>
      <c r="I219" t="s">
        <v>24</v>
      </c>
      <c r="J219" t="s">
        <v>73</v>
      </c>
      <c r="K219" t="s">
        <v>37</v>
      </c>
      <c r="L219" t="s">
        <v>27</v>
      </c>
      <c r="M219">
        <v>900</v>
      </c>
      <c r="N219" t="s">
        <v>27</v>
      </c>
      <c r="O219">
        <v>900</v>
      </c>
      <c r="P219">
        <v>900</v>
      </c>
      <c r="Q219" t="s">
        <v>30</v>
      </c>
      <c r="R219" s="2">
        <v>0.7</v>
      </c>
      <c r="S219">
        <v>630</v>
      </c>
      <c r="T219" t="s">
        <v>27</v>
      </c>
      <c r="U219">
        <v>630</v>
      </c>
      <c r="V219" s="7" t="s">
        <v>24</v>
      </c>
      <c r="W219" s="7" t="s">
        <v>37</v>
      </c>
    </row>
    <row r="220" spans="1:23" x14ac:dyDescent="0.4">
      <c r="A220" t="s">
        <v>262</v>
      </c>
      <c r="B220" t="s">
        <v>1639</v>
      </c>
      <c r="C220" t="s">
        <v>1663</v>
      </c>
      <c r="D220" t="s">
        <v>64</v>
      </c>
      <c r="E220" t="s">
        <v>22</v>
      </c>
      <c r="F220" t="s">
        <v>23</v>
      </c>
      <c r="G220">
        <v>1</v>
      </c>
      <c r="H220">
        <v>9791166061110</v>
      </c>
      <c r="I220" t="s">
        <v>24</v>
      </c>
      <c r="J220" t="s">
        <v>97</v>
      </c>
      <c r="K220" t="s">
        <v>37</v>
      </c>
      <c r="L220" t="s">
        <v>27</v>
      </c>
      <c r="M220">
        <v>900</v>
      </c>
      <c r="N220" t="s">
        <v>27</v>
      </c>
      <c r="O220">
        <v>900</v>
      </c>
      <c r="P220">
        <v>900</v>
      </c>
      <c r="Q220" t="s">
        <v>30</v>
      </c>
      <c r="R220" s="2">
        <v>0.7</v>
      </c>
      <c r="S220">
        <v>630</v>
      </c>
      <c r="T220" t="s">
        <v>27</v>
      </c>
      <c r="U220">
        <v>630</v>
      </c>
      <c r="V220" s="7" t="s">
        <v>24</v>
      </c>
      <c r="W220" s="7" t="s">
        <v>37</v>
      </c>
    </row>
    <row r="221" spans="1:23" x14ac:dyDescent="0.4">
      <c r="A221" t="s">
        <v>262</v>
      </c>
      <c r="B221" t="s">
        <v>1639</v>
      </c>
      <c r="C221" t="s">
        <v>1689</v>
      </c>
      <c r="D221" t="s">
        <v>64</v>
      </c>
      <c r="E221" t="s">
        <v>22</v>
      </c>
      <c r="F221" t="s">
        <v>23</v>
      </c>
      <c r="G221">
        <v>1</v>
      </c>
      <c r="H221">
        <v>9791166061134</v>
      </c>
      <c r="I221" t="s">
        <v>24</v>
      </c>
      <c r="J221" t="s">
        <v>98</v>
      </c>
      <c r="K221" t="s">
        <v>37</v>
      </c>
      <c r="L221" t="s">
        <v>27</v>
      </c>
      <c r="M221">
        <v>900</v>
      </c>
      <c r="N221" t="s">
        <v>27</v>
      </c>
      <c r="O221">
        <v>900</v>
      </c>
      <c r="P221">
        <v>900</v>
      </c>
      <c r="Q221" t="s">
        <v>30</v>
      </c>
      <c r="R221" s="2">
        <v>0.7</v>
      </c>
      <c r="S221">
        <v>630</v>
      </c>
      <c r="T221" t="s">
        <v>27</v>
      </c>
      <c r="U221">
        <v>630</v>
      </c>
      <c r="V221" s="7" t="s">
        <v>24</v>
      </c>
      <c r="W221" s="7" t="s">
        <v>37</v>
      </c>
    </row>
    <row r="222" spans="1:23" x14ac:dyDescent="0.4">
      <c r="A222" t="s">
        <v>262</v>
      </c>
      <c r="B222" t="s">
        <v>1639</v>
      </c>
      <c r="C222" t="s">
        <v>1691</v>
      </c>
      <c r="D222" t="s">
        <v>64</v>
      </c>
      <c r="E222" t="s">
        <v>22</v>
      </c>
      <c r="F222" t="s">
        <v>23</v>
      </c>
      <c r="G222">
        <v>1</v>
      </c>
      <c r="H222">
        <v>9791159283253</v>
      </c>
      <c r="I222" t="s">
        <v>24</v>
      </c>
      <c r="J222" t="s">
        <v>68</v>
      </c>
      <c r="K222" t="s">
        <v>37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  <c r="V222" s="7" t="s">
        <v>24</v>
      </c>
      <c r="W222" s="7" t="s">
        <v>37</v>
      </c>
    </row>
    <row r="223" spans="1:23" x14ac:dyDescent="0.4">
      <c r="A223" t="s">
        <v>262</v>
      </c>
      <c r="B223" t="s">
        <v>1639</v>
      </c>
      <c r="C223" t="s">
        <v>1701</v>
      </c>
      <c r="D223" t="s">
        <v>64</v>
      </c>
      <c r="E223" t="s">
        <v>22</v>
      </c>
      <c r="F223" t="s">
        <v>23</v>
      </c>
      <c r="G223">
        <v>1</v>
      </c>
      <c r="H223">
        <v>9791159283239</v>
      </c>
      <c r="I223" t="s">
        <v>24</v>
      </c>
      <c r="J223" t="s">
        <v>66</v>
      </c>
      <c r="K223" t="s">
        <v>37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  <c r="V223" s="7" t="s">
        <v>24</v>
      </c>
      <c r="W223" s="7" t="s">
        <v>37</v>
      </c>
    </row>
    <row r="224" spans="1:23" x14ac:dyDescent="0.4">
      <c r="A224" t="s">
        <v>262</v>
      </c>
      <c r="B224" t="s">
        <v>1639</v>
      </c>
      <c r="C224" t="s">
        <v>1702</v>
      </c>
      <c r="D224" t="s">
        <v>64</v>
      </c>
      <c r="E224" t="s">
        <v>22</v>
      </c>
      <c r="F224" t="s">
        <v>23</v>
      </c>
      <c r="G224">
        <v>1</v>
      </c>
      <c r="H224">
        <v>9791159285851</v>
      </c>
      <c r="I224" t="s">
        <v>24</v>
      </c>
      <c r="J224" t="s">
        <v>55</v>
      </c>
      <c r="K224" t="s">
        <v>37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  <c r="V224" s="7" t="s">
        <v>24</v>
      </c>
      <c r="W224" s="7" t="s">
        <v>37</v>
      </c>
    </row>
    <row r="225" spans="1:23" x14ac:dyDescent="0.4">
      <c r="A225" t="s">
        <v>262</v>
      </c>
      <c r="B225" t="s">
        <v>1704</v>
      </c>
      <c r="C225" t="s">
        <v>1705</v>
      </c>
      <c r="D225" t="s">
        <v>64</v>
      </c>
      <c r="E225" t="s">
        <v>22</v>
      </c>
      <c r="F225" t="s">
        <v>23</v>
      </c>
      <c r="G225">
        <v>1</v>
      </c>
      <c r="H225">
        <v>9791166061110</v>
      </c>
      <c r="I225" t="s">
        <v>24</v>
      </c>
      <c r="J225" t="s">
        <v>97</v>
      </c>
      <c r="K225" t="s">
        <v>37</v>
      </c>
      <c r="L225" t="s">
        <v>27</v>
      </c>
      <c r="M225">
        <v>900</v>
      </c>
      <c r="N225" t="s">
        <v>27</v>
      </c>
      <c r="O225">
        <v>900</v>
      </c>
      <c r="P225">
        <v>900</v>
      </c>
      <c r="Q225" t="s">
        <v>30</v>
      </c>
      <c r="R225" s="2">
        <v>0.7</v>
      </c>
      <c r="S225">
        <v>630</v>
      </c>
      <c r="T225" t="s">
        <v>27</v>
      </c>
      <c r="U225">
        <v>630</v>
      </c>
      <c r="V225" s="7" t="s">
        <v>24</v>
      </c>
      <c r="W225" s="7" t="s">
        <v>37</v>
      </c>
    </row>
    <row r="226" spans="1:23" x14ac:dyDescent="0.4">
      <c r="A226" t="s">
        <v>262</v>
      </c>
      <c r="B226" t="s">
        <v>1704</v>
      </c>
      <c r="C226" t="s">
        <v>1738</v>
      </c>
      <c r="D226" t="s">
        <v>64</v>
      </c>
      <c r="E226" t="s">
        <v>22</v>
      </c>
      <c r="F226" t="s">
        <v>23</v>
      </c>
      <c r="G226">
        <v>1</v>
      </c>
      <c r="H226">
        <v>9791166061141</v>
      </c>
      <c r="I226" t="s">
        <v>24</v>
      </c>
      <c r="J226" t="s">
        <v>99</v>
      </c>
      <c r="K226" t="s">
        <v>37</v>
      </c>
      <c r="L226" t="s">
        <v>27</v>
      </c>
      <c r="M226">
        <v>900</v>
      </c>
      <c r="N226" t="s">
        <v>27</v>
      </c>
      <c r="O226">
        <v>900</v>
      </c>
      <c r="P226">
        <v>900</v>
      </c>
      <c r="Q226" t="s">
        <v>30</v>
      </c>
      <c r="R226" s="2">
        <v>0.7</v>
      </c>
      <c r="S226">
        <v>630</v>
      </c>
      <c r="T226" t="s">
        <v>27</v>
      </c>
      <c r="U226">
        <v>630</v>
      </c>
      <c r="V226" s="7" t="s">
        <v>24</v>
      </c>
      <c r="W226" s="7" t="s">
        <v>37</v>
      </c>
    </row>
    <row r="227" spans="1:23" x14ac:dyDescent="0.4">
      <c r="A227" t="s">
        <v>262</v>
      </c>
      <c r="B227" t="s">
        <v>1704</v>
      </c>
      <c r="C227" t="s">
        <v>1752</v>
      </c>
      <c r="D227" t="s">
        <v>64</v>
      </c>
      <c r="E227" t="s">
        <v>22</v>
      </c>
      <c r="F227" t="s">
        <v>23</v>
      </c>
      <c r="G227">
        <v>1</v>
      </c>
      <c r="H227">
        <v>9791159283246</v>
      </c>
      <c r="I227" t="s">
        <v>24</v>
      </c>
      <c r="J227" t="s">
        <v>67</v>
      </c>
      <c r="K227" t="s">
        <v>37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2">
        <v>0.7</v>
      </c>
      <c r="S227">
        <v>441</v>
      </c>
      <c r="T227" t="s">
        <v>27</v>
      </c>
      <c r="U227">
        <v>441</v>
      </c>
      <c r="V227" s="7" t="s">
        <v>24</v>
      </c>
      <c r="W227" s="7" t="s">
        <v>37</v>
      </c>
    </row>
    <row r="228" spans="1:23" x14ac:dyDescent="0.4">
      <c r="A228" t="s">
        <v>262</v>
      </c>
      <c r="B228" t="s">
        <v>1704</v>
      </c>
      <c r="C228" t="s">
        <v>1759</v>
      </c>
      <c r="D228" t="s">
        <v>64</v>
      </c>
      <c r="E228" t="s">
        <v>22</v>
      </c>
      <c r="F228" t="s">
        <v>23</v>
      </c>
      <c r="G228">
        <v>1</v>
      </c>
      <c r="H228">
        <v>9791166061158</v>
      </c>
      <c r="I228" t="s">
        <v>24</v>
      </c>
      <c r="J228" t="s">
        <v>101</v>
      </c>
      <c r="K228" t="s">
        <v>37</v>
      </c>
      <c r="L228" t="s">
        <v>27</v>
      </c>
      <c r="M228">
        <v>900</v>
      </c>
      <c r="N228" t="s">
        <v>27</v>
      </c>
      <c r="O228">
        <v>900</v>
      </c>
      <c r="P228">
        <v>900</v>
      </c>
      <c r="Q228" t="s">
        <v>30</v>
      </c>
      <c r="R228" s="2">
        <v>0.7</v>
      </c>
      <c r="S228">
        <v>630</v>
      </c>
      <c r="T228" t="s">
        <v>27</v>
      </c>
      <c r="U228">
        <v>630</v>
      </c>
      <c r="V228" s="7" t="s">
        <v>24</v>
      </c>
      <c r="W228" s="7" t="s">
        <v>37</v>
      </c>
    </row>
    <row r="229" spans="1:23" x14ac:dyDescent="0.4">
      <c r="A229" t="s">
        <v>262</v>
      </c>
      <c r="B229" t="s">
        <v>1766</v>
      </c>
      <c r="C229" t="s">
        <v>1767</v>
      </c>
      <c r="D229" t="s">
        <v>64</v>
      </c>
      <c r="E229" t="s">
        <v>22</v>
      </c>
      <c r="F229" t="s">
        <v>23</v>
      </c>
      <c r="G229">
        <v>1</v>
      </c>
      <c r="H229">
        <v>9791166061110</v>
      </c>
      <c r="I229" t="s">
        <v>24</v>
      </c>
      <c r="J229" t="s">
        <v>97</v>
      </c>
      <c r="K229" t="s">
        <v>37</v>
      </c>
      <c r="L229" t="s">
        <v>27</v>
      </c>
      <c r="M229">
        <v>900</v>
      </c>
      <c r="N229" t="s">
        <v>27</v>
      </c>
      <c r="O229">
        <v>900</v>
      </c>
      <c r="P229">
        <v>900</v>
      </c>
      <c r="Q229" t="s">
        <v>30</v>
      </c>
      <c r="R229" s="2">
        <v>0.7</v>
      </c>
      <c r="S229">
        <v>630</v>
      </c>
      <c r="T229" t="s">
        <v>27</v>
      </c>
      <c r="U229">
        <v>630</v>
      </c>
      <c r="V229" s="7" t="s">
        <v>24</v>
      </c>
      <c r="W229" s="7" t="s">
        <v>37</v>
      </c>
    </row>
    <row r="230" spans="1:23" x14ac:dyDescent="0.4">
      <c r="A230" t="s">
        <v>262</v>
      </c>
      <c r="B230" t="s">
        <v>1766</v>
      </c>
      <c r="C230" t="s">
        <v>1802</v>
      </c>
      <c r="D230" t="s">
        <v>64</v>
      </c>
      <c r="E230" t="s">
        <v>22</v>
      </c>
      <c r="F230" t="s">
        <v>23</v>
      </c>
      <c r="G230">
        <v>1</v>
      </c>
      <c r="H230">
        <v>9791166061127</v>
      </c>
      <c r="I230" t="s">
        <v>24</v>
      </c>
      <c r="J230" t="s">
        <v>100</v>
      </c>
      <c r="K230" t="s">
        <v>37</v>
      </c>
      <c r="L230" t="s">
        <v>27</v>
      </c>
      <c r="M230">
        <v>900</v>
      </c>
      <c r="N230" t="s">
        <v>27</v>
      </c>
      <c r="O230">
        <v>900</v>
      </c>
      <c r="P230">
        <v>900</v>
      </c>
      <c r="Q230" t="s">
        <v>30</v>
      </c>
      <c r="R230" s="2">
        <v>0.7</v>
      </c>
      <c r="S230">
        <v>630</v>
      </c>
      <c r="T230" t="s">
        <v>27</v>
      </c>
      <c r="U230">
        <v>630</v>
      </c>
      <c r="V230" s="7" t="s">
        <v>24</v>
      </c>
      <c r="W230" s="7" t="s">
        <v>37</v>
      </c>
    </row>
    <row r="231" spans="1:23" x14ac:dyDescent="0.4">
      <c r="A231" t="s">
        <v>262</v>
      </c>
      <c r="B231" t="s">
        <v>1766</v>
      </c>
      <c r="C231" t="s">
        <v>1810</v>
      </c>
      <c r="D231" t="s">
        <v>64</v>
      </c>
      <c r="E231" t="s">
        <v>22</v>
      </c>
      <c r="F231" t="s">
        <v>23</v>
      </c>
      <c r="G231">
        <v>1</v>
      </c>
      <c r="H231">
        <v>9791166061134</v>
      </c>
      <c r="I231" t="s">
        <v>24</v>
      </c>
      <c r="J231" t="s">
        <v>98</v>
      </c>
      <c r="K231" t="s">
        <v>37</v>
      </c>
      <c r="L231" t="s">
        <v>27</v>
      </c>
      <c r="M231">
        <v>900</v>
      </c>
      <c r="N231" t="s">
        <v>27</v>
      </c>
      <c r="O231">
        <v>900</v>
      </c>
      <c r="P231">
        <v>900</v>
      </c>
      <c r="Q231" t="s">
        <v>30</v>
      </c>
      <c r="R231" s="2">
        <v>0.7</v>
      </c>
      <c r="S231">
        <v>630</v>
      </c>
      <c r="T231" t="s">
        <v>27</v>
      </c>
      <c r="U231">
        <v>630</v>
      </c>
      <c r="V231" s="7" t="s">
        <v>24</v>
      </c>
      <c r="W231" s="7" t="s">
        <v>37</v>
      </c>
    </row>
    <row r="232" spans="1:23" x14ac:dyDescent="0.4">
      <c r="A232" t="s">
        <v>262</v>
      </c>
      <c r="B232" t="s">
        <v>1840</v>
      </c>
      <c r="C232" t="s">
        <v>1862</v>
      </c>
      <c r="D232" t="s">
        <v>64</v>
      </c>
      <c r="E232" t="s">
        <v>22</v>
      </c>
      <c r="F232" t="s">
        <v>23</v>
      </c>
      <c r="G232">
        <v>1</v>
      </c>
      <c r="H232">
        <v>9791159282218</v>
      </c>
      <c r="I232" t="s">
        <v>24</v>
      </c>
      <c r="J232" t="s">
        <v>107</v>
      </c>
      <c r="K232" t="s">
        <v>37</v>
      </c>
      <c r="L232" t="s">
        <v>27</v>
      </c>
      <c r="M232">
        <v>900</v>
      </c>
      <c r="N232" t="s">
        <v>27</v>
      </c>
      <c r="O232">
        <v>900</v>
      </c>
      <c r="P232">
        <v>900</v>
      </c>
      <c r="Q232" t="s">
        <v>30</v>
      </c>
      <c r="R232" s="2">
        <v>0.7</v>
      </c>
      <c r="S232">
        <v>630</v>
      </c>
      <c r="T232" t="s">
        <v>27</v>
      </c>
      <c r="U232">
        <v>630</v>
      </c>
      <c r="V232" s="7" t="s">
        <v>24</v>
      </c>
      <c r="W232" s="7" t="s">
        <v>37</v>
      </c>
    </row>
    <row r="233" spans="1:23" x14ac:dyDescent="0.4">
      <c r="A233" t="s">
        <v>262</v>
      </c>
      <c r="B233" t="s">
        <v>1840</v>
      </c>
      <c r="C233" t="s">
        <v>1863</v>
      </c>
      <c r="D233" t="s">
        <v>64</v>
      </c>
      <c r="E233" t="s">
        <v>22</v>
      </c>
      <c r="F233" t="s">
        <v>23</v>
      </c>
      <c r="G233">
        <v>1</v>
      </c>
      <c r="H233">
        <v>9791159282225</v>
      </c>
      <c r="I233" t="s">
        <v>24</v>
      </c>
      <c r="J233" t="s">
        <v>108</v>
      </c>
      <c r="K233" t="s">
        <v>37</v>
      </c>
      <c r="L233" t="s">
        <v>27</v>
      </c>
      <c r="M233">
        <v>900</v>
      </c>
      <c r="N233" t="s">
        <v>27</v>
      </c>
      <c r="O233">
        <v>900</v>
      </c>
      <c r="P233">
        <v>900</v>
      </c>
      <c r="Q233" t="s">
        <v>30</v>
      </c>
      <c r="R233" s="2">
        <v>0.7</v>
      </c>
      <c r="S233">
        <v>630</v>
      </c>
      <c r="T233" t="s">
        <v>27</v>
      </c>
      <c r="U233">
        <v>630</v>
      </c>
      <c r="V233" s="7" t="s">
        <v>24</v>
      </c>
      <c r="W233" s="7" t="s">
        <v>37</v>
      </c>
    </row>
    <row r="234" spans="1:23" x14ac:dyDescent="0.4">
      <c r="A234" t="s">
        <v>262</v>
      </c>
      <c r="B234" t="s">
        <v>1840</v>
      </c>
      <c r="C234" t="s">
        <v>1877</v>
      </c>
      <c r="D234" t="s">
        <v>64</v>
      </c>
      <c r="E234" t="s">
        <v>22</v>
      </c>
      <c r="F234" t="s">
        <v>23</v>
      </c>
      <c r="G234">
        <v>1</v>
      </c>
      <c r="H234">
        <v>9791166064135</v>
      </c>
      <c r="I234" t="s">
        <v>24</v>
      </c>
      <c r="J234" t="s">
        <v>77</v>
      </c>
      <c r="K234" t="s">
        <v>37</v>
      </c>
      <c r="L234" t="s">
        <v>27</v>
      </c>
      <c r="M234">
        <v>900</v>
      </c>
      <c r="N234" t="s">
        <v>27</v>
      </c>
      <c r="O234">
        <v>900</v>
      </c>
      <c r="P234">
        <v>900</v>
      </c>
      <c r="Q234" t="s">
        <v>30</v>
      </c>
      <c r="R234" s="2">
        <v>0.7</v>
      </c>
      <c r="S234">
        <v>630</v>
      </c>
      <c r="T234" t="s">
        <v>27</v>
      </c>
      <c r="U234">
        <v>630</v>
      </c>
      <c r="V234" s="7" t="s">
        <v>24</v>
      </c>
      <c r="W234" s="7" t="s">
        <v>37</v>
      </c>
    </row>
    <row r="235" spans="1:23" x14ac:dyDescent="0.4">
      <c r="A235" t="s">
        <v>262</v>
      </c>
      <c r="B235" t="s">
        <v>1840</v>
      </c>
      <c r="C235" t="s">
        <v>1887</v>
      </c>
      <c r="D235" t="s">
        <v>64</v>
      </c>
      <c r="E235" t="s">
        <v>22</v>
      </c>
      <c r="F235" t="s">
        <v>23</v>
      </c>
      <c r="G235">
        <v>1</v>
      </c>
      <c r="H235">
        <v>9791159282249</v>
      </c>
      <c r="I235" t="s">
        <v>24</v>
      </c>
      <c r="J235" t="s">
        <v>110</v>
      </c>
      <c r="K235" t="s">
        <v>37</v>
      </c>
      <c r="L235" t="s">
        <v>27</v>
      </c>
      <c r="M235">
        <v>900</v>
      </c>
      <c r="N235" t="s">
        <v>27</v>
      </c>
      <c r="O235">
        <v>900</v>
      </c>
      <c r="P235">
        <v>900</v>
      </c>
      <c r="Q235" t="s">
        <v>30</v>
      </c>
      <c r="R235" s="2">
        <v>0.7</v>
      </c>
      <c r="S235">
        <v>630</v>
      </c>
      <c r="T235" t="s">
        <v>27</v>
      </c>
      <c r="U235">
        <v>630</v>
      </c>
      <c r="V235" s="7" t="s">
        <v>24</v>
      </c>
      <c r="W235" s="7" t="s">
        <v>37</v>
      </c>
    </row>
    <row r="236" spans="1:23" x14ac:dyDescent="0.4">
      <c r="A236" t="s">
        <v>262</v>
      </c>
      <c r="B236" t="s">
        <v>1840</v>
      </c>
      <c r="C236" t="s">
        <v>1896</v>
      </c>
      <c r="D236" t="s">
        <v>64</v>
      </c>
      <c r="E236" t="s">
        <v>22</v>
      </c>
      <c r="F236" t="s">
        <v>23</v>
      </c>
      <c r="G236">
        <v>1</v>
      </c>
      <c r="H236">
        <v>9791159283253</v>
      </c>
      <c r="I236" t="s">
        <v>24</v>
      </c>
      <c r="J236" t="s">
        <v>68</v>
      </c>
      <c r="K236" t="s">
        <v>37</v>
      </c>
      <c r="L236" t="s">
        <v>27</v>
      </c>
      <c r="M236">
        <v>630</v>
      </c>
      <c r="N236" t="s">
        <v>27</v>
      </c>
      <c r="O236">
        <v>630</v>
      </c>
      <c r="P236">
        <v>630</v>
      </c>
      <c r="Q236" t="s">
        <v>30</v>
      </c>
      <c r="R236" s="2">
        <v>0.7</v>
      </c>
      <c r="S236">
        <v>441</v>
      </c>
      <c r="T236" t="s">
        <v>27</v>
      </c>
      <c r="U236">
        <v>441</v>
      </c>
      <c r="V236" s="7" t="s">
        <v>24</v>
      </c>
      <c r="W236" s="7" t="s">
        <v>37</v>
      </c>
    </row>
    <row r="237" spans="1:23" x14ac:dyDescent="0.4">
      <c r="A237" t="s">
        <v>262</v>
      </c>
      <c r="B237" t="s">
        <v>1898</v>
      </c>
      <c r="C237" t="s">
        <v>1912</v>
      </c>
      <c r="D237" t="s">
        <v>64</v>
      </c>
      <c r="E237" t="s">
        <v>22</v>
      </c>
      <c r="F237" t="s">
        <v>23</v>
      </c>
      <c r="G237">
        <v>1</v>
      </c>
      <c r="H237">
        <v>9791159283109</v>
      </c>
      <c r="I237" t="s">
        <v>24</v>
      </c>
      <c r="J237" t="s">
        <v>75</v>
      </c>
      <c r="K237" t="s">
        <v>37</v>
      </c>
      <c r="L237" t="s">
        <v>27</v>
      </c>
      <c r="M237">
        <v>900</v>
      </c>
      <c r="N237" t="s">
        <v>27</v>
      </c>
      <c r="O237">
        <v>900</v>
      </c>
      <c r="P237">
        <v>900</v>
      </c>
      <c r="Q237" t="s">
        <v>30</v>
      </c>
      <c r="R237" s="2">
        <v>0.7</v>
      </c>
      <c r="S237">
        <v>630</v>
      </c>
      <c r="T237" t="s">
        <v>27</v>
      </c>
      <c r="U237">
        <v>630</v>
      </c>
      <c r="V237" s="7" t="s">
        <v>24</v>
      </c>
      <c r="W237" s="7" t="s">
        <v>37</v>
      </c>
    </row>
    <row r="238" spans="1:23" x14ac:dyDescent="0.4">
      <c r="A238" t="s">
        <v>262</v>
      </c>
      <c r="B238" t="s">
        <v>1898</v>
      </c>
      <c r="C238" t="s">
        <v>1914</v>
      </c>
      <c r="D238" t="s">
        <v>64</v>
      </c>
      <c r="E238" t="s">
        <v>22</v>
      </c>
      <c r="F238" t="s">
        <v>23</v>
      </c>
      <c r="G238">
        <v>1</v>
      </c>
      <c r="H238">
        <v>9791166061080</v>
      </c>
      <c r="I238" t="s">
        <v>24</v>
      </c>
      <c r="J238" t="s">
        <v>74</v>
      </c>
      <c r="K238" t="s">
        <v>37</v>
      </c>
      <c r="L238" t="s">
        <v>27</v>
      </c>
      <c r="M238">
        <v>900</v>
      </c>
      <c r="N238" t="s">
        <v>27</v>
      </c>
      <c r="O238">
        <v>900</v>
      </c>
      <c r="P238">
        <v>900</v>
      </c>
      <c r="Q238" t="s">
        <v>30</v>
      </c>
      <c r="R238" s="2">
        <v>0.7</v>
      </c>
      <c r="S238">
        <v>630</v>
      </c>
      <c r="T238" t="s">
        <v>27</v>
      </c>
      <c r="U238">
        <v>630</v>
      </c>
      <c r="V238" s="7" t="s">
        <v>24</v>
      </c>
      <c r="W238" s="7" t="s">
        <v>37</v>
      </c>
    </row>
    <row r="239" spans="1:23" x14ac:dyDescent="0.4">
      <c r="A239" t="s">
        <v>262</v>
      </c>
      <c r="B239" t="s">
        <v>1898</v>
      </c>
      <c r="C239" t="s">
        <v>1942</v>
      </c>
      <c r="D239" t="s">
        <v>64</v>
      </c>
      <c r="E239" t="s">
        <v>22</v>
      </c>
      <c r="F239" t="s">
        <v>23</v>
      </c>
      <c r="G239">
        <v>1</v>
      </c>
      <c r="H239">
        <v>9791159283086</v>
      </c>
      <c r="I239" t="s">
        <v>24</v>
      </c>
      <c r="J239" t="s">
        <v>72</v>
      </c>
      <c r="K239" t="s">
        <v>37</v>
      </c>
      <c r="L239" t="s">
        <v>27</v>
      </c>
      <c r="M239">
        <v>900</v>
      </c>
      <c r="N239" t="s">
        <v>27</v>
      </c>
      <c r="O239">
        <v>900</v>
      </c>
      <c r="P239">
        <v>900</v>
      </c>
      <c r="Q239" t="s">
        <v>30</v>
      </c>
      <c r="R239" s="2">
        <v>0.7</v>
      </c>
      <c r="S239">
        <v>630</v>
      </c>
      <c r="T239" t="s">
        <v>27</v>
      </c>
      <c r="U239">
        <v>630</v>
      </c>
      <c r="V239" s="7" t="s">
        <v>24</v>
      </c>
      <c r="W239" s="7" t="s">
        <v>37</v>
      </c>
    </row>
    <row r="240" spans="1:23" x14ac:dyDescent="0.4">
      <c r="A240" t="s">
        <v>262</v>
      </c>
      <c r="B240" t="s">
        <v>1898</v>
      </c>
      <c r="C240" t="s">
        <v>1945</v>
      </c>
      <c r="D240" t="s">
        <v>64</v>
      </c>
      <c r="E240" t="s">
        <v>22</v>
      </c>
      <c r="F240" t="s">
        <v>23</v>
      </c>
      <c r="G240">
        <v>1</v>
      </c>
      <c r="H240">
        <v>9791159282218</v>
      </c>
      <c r="I240" t="s">
        <v>24</v>
      </c>
      <c r="J240" t="s">
        <v>107</v>
      </c>
      <c r="K240" t="s">
        <v>37</v>
      </c>
      <c r="L240" t="s">
        <v>27</v>
      </c>
      <c r="M240">
        <v>900</v>
      </c>
      <c r="N240" t="s">
        <v>27</v>
      </c>
      <c r="O240">
        <v>900</v>
      </c>
      <c r="P240">
        <v>900</v>
      </c>
      <c r="Q240" t="s">
        <v>30</v>
      </c>
      <c r="R240" s="2">
        <v>0.7</v>
      </c>
      <c r="S240">
        <v>630</v>
      </c>
      <c r="T240" t="s">
        <v>27</v>
      </c>
      <c r="U240">
        <v>630</v>
      </c>
      <c r="V240" s="7" t="s">
        <v>24</v>
      </c>
      <c r="W240" s="7" t="s">
        <v>37</v>
      </c>
    </row>
    <row r="241" spans="1:23" x14ac:dyDescent="0.4">
      <c r="A241" t="s">
        <v>262</v>
      </c>
      <c r="B241" t="s">
        <v>1898</v>
      </c>
      <c r="C241" t="s">
        <v>1952</v>
      </c>
      <c r="D241" t="s">
        <v>64</v>
      </c>
      <c r="E241" t="s">
        <v>22</v>
      </c>
      <c r="F241" t="s">
        <v>23</v>
      </c>
      <c r="G241">
        <v>1</v>
      </c>
      <c r="H241">
        <v>9791159283260</v>
      </c>
      <c r="I241" t="s">
        <v>24</v>
      </c>
      <c r="J241" t="s">
        <v>69</v>
      </c>
      <c r="K241" t="s">
        <v>37</v>
      </c>
      <c r="L241" t="s">
        <v>27</v>
      </c>
      <c r="M241">
        <v>630</v>
      </c>
      <c r="N241" t="s">
        <v>27</v>
      </c>
      <c r="O241">
        <v>630</v>
      </c>
      <c r="P241">
        <v>630</v>
      </c>
      <c r="Q241" t="s">
        <v>30</v>
      </c>
      <c r="R241" s="2">
        <v>0.7</v>
      </c>
      <c r="S241">
        <v>441</v>
      </c>
      <c r="T241" t="s">
        <v>27</v>
      </c>
      <c r="U241">
        <v>441</v>
      </c>
      <c r="V241" s="7" t="s">
        <v>24</v>
      </c>
      <c r="W241" s="7" t="s">
        <v>37</v>
      </c>
    </row>
    <row r="242" spans="1:23" x14ac:dyDescent="0.4">
      <c r="A242" t="s">
        <v>262</v>
      </c>
      <c r="B242" t="s">
        <v>1953</v>
      </c>
      <c r="C242" t="s">
        <v>1956</v>
      </c>
      <c r="D242" t="s">
        <v>64</v>
      </c>
      <c r="E242" t="s">
        <v>22</v>
      </c>
      <c r="F242" t="s">
        <v>23</v>
      </c>
      <c r="G242">
        <v>1</v>
      </c>
      <c r="H242">
        <v>9791166061097</v>
      </c>
      <c r="I242" t="s">
        <v>24</v>
      </c>
      <c r="J242" t="s">
        <v>95</v>
      </c>
      <c r="K242" t="s">
        <v>37</v>
      </c>
      <c r="L242" t="s">
        <v>27</v>
      </c>
      <c r="M242">
        <v>900</v>
      </c>
      <c r="N242" t="s">
        <v>27</v>
      </c>
      <c r="O242">
        <v>900</v>
      </c>
      <c r="P242">
        <v>900</v>
      </c>
      <c r="Q242" t="s">
        <v>30</v>
      </c>
      <c r="R242" s="2">
        <v>0.7</v>
      </c>
      <c r="S242">
        <v>630</v>
      </c>
      <c r="T242" t="s">
        <v>27</v>
      </c>
      <c r="U242">
        <v>630</v>
      </c>
      <c r="V242" s="7" t="s">
        <v>24</v>
      </c>
      <c r="W242" s="7" t="s">
        <v>37</v>
      </c>
    </row>
    <row r="243" spans="1:23" x14ac:dyDescent="0.4">
      <c r="A243" t="s">
        <v>262</v>
      </c>
      <c r="B243" t="s">
        <v>1953</v>
      </c>
      <c r="C243" t="s">
        <v>1973</v>
      </c>
      <c r="D243" t="s">
        <v>64</v>
      </c>
      <c r="E243" t="s">
        <v>22</v>
      </c>
      <c r="F243" t="s">
        <v>23</v>
      </c>
      <c r="G243">
        <v>1</v>
      </c>
      <c r="H243">
        <v>9791159283253</v>
      </c>
      <c r="I243" t="s">
        <v>24</v>
      </c>
      <c r="J243" t="s">
        <v>68</v>
      </c>
      <c r="K243" t="s">
        <v>37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  <c r="V243" s="7" t="s">
        <v>24</v>
      </c>
      <c r="W243" s="7" t="s">
        <v>37</v>
      </c>
    </row>
    <row r="244" spans="1:23" x14ac:dyDescent="0.4">
      <c r="A244" t="s">
        <v>262</v>
      </c>
      <c r="B244" t="s">
        <v>1953</v>
      </c>
      <c r="C244" t="s">
        <v>1998</v>
      </c>
      <c r="D244" t="s">
        <v>64</v>
      </c>
      <c r="E244" t="s">
        <v>22</v>
      </c>
      <c r="F244" t="s">
        <v>23</v>
      </c>
      <c r="G244">
        <v>1</v>
      </c>
      <c r="H244">
        <v>9791166061110</v>
      </c>
      <c r="I244" t="s">
        <v>24</v>
      </c>
      <c r="J244" t="s">
        <v>97</v>
      </c>
      <c r="K244" t="s">
        <v>37</v>
      </c>
      <c r="L244" t="s">
        <v>27</v>
      </c>
      <c r="M244">
        <v>900</v>
      </c>
      <c r="N244" t="s">
        <v>27</v>
      </c>
      <c r="O244">
        <v>900</v>
      </c>
      <c r="P244">
        <v>900</v>
      </c>
      <c r="Q244" t="s">
        <v>30</v>
      </c>
      <c r="R244" s="2">
        <v>0.7</v>
      </c>
      <c r="S244">
        <v>630</v>
      </c>
      <c r="T244" t="s">
        <v>27</v>
      </c>
      <c r="U244">
        <v>630</v>
      </c>
      <c r="V244" s="7" t="s">
        <v>24</v>
      </c>
      <c r="W244" s="7" t="s">
        <v>37</v>
      </c>
    </row>
    <row r="245" spans="1:23" x14ac:dyDescent="0.4">
      <c r="A245" t="s">
        <v>262</v>
      </c>
      <c r="B245" t="s">
        <v>1953</v>
      </c>
      <c r="C245" t="s">
        <v>2002</v>
      </c>
      <c r="D245" t="s">
        <v>64</v>
      </c>
      <c r="E245" t="s">
        <v>22</v>
      </c>
      <c r="F245" t="s">
        <v>23</v>
      </c>
      <c r="G245">
        <v>1</v>
      </c>
      <c r="H245">
        <v>9791166061097</v>
      </c>
      <c r="I245" t="s">
        <v>24</v>
      </c>
      <c r="J245" t="s">
        <v>95</v>
      </c>
      <c r="K245" t="s">
        <v>37</v>
      </c>
      <c r="L245" t="s">
        <v>27</v>
      </c>
      <c r="M245">
        <v>900</v>
      </c>
      <c r="N245" t="s">
        <v>27</v>
      </c>
      <c r="O245">
        <v>900</v>
      </c>
      <c r="P245">
        <v>900</v>
      </c>
      <c r="Q245" t="s">
        <v>30</v>
      </c>
      <c r="R245" s="2">
        <v>0.7</v>
      </c>
      <c r="S245">
        <v>630</v>
      </c>
      <c r="T245" t="s">
        <v>27</v>
      </c>
      <c r="U245">
        <v>630</v>
      </c>
      <c r="V245" s="7" t="s">
        <v>24</v>
      </c>
      <c r="W245" s="7" t="s">
        <v>37</v>
      </c>
    </row>
    <row r="246" spans="1:23" x14ac:dyDescent="0.4">
      <c r="A246" t="s">
        <v>262</v>
      </c>
      <c r="B246" t="s">
        <v>1953</v>
      </c>
      <c r="C246" t="s">
        <v>2008</v>
      </c>
      <c r="D246" t="s">
        <v>64</v>
      </c>
      <c r="E246" t="s">
        <v>22</v>
      </c>
      <c r="F246" t="s">
        <v>23</v>
      </c>
      <c r="G246">
        <v>1</v>
      </c>
      <c r="H246">
        <v>9791159283093</v>
      </c>
      <c r="I246" t="s">
        <v>24</v>
      </c>
      <c r="J246" t="s">
        <v>73</v>
      </c>
      <c r="K246" t="s">
        <v>37</v>
      </c>
      <c r="L246" t="s">
        <v>27</v>
      </c>
      <c r="M246">
        <v>900</v>
      </c>
      <c r="N246" t="s">
        <v>27</v>
      </c>
      <c r="O246">
        <v>900</v>
      </c>
      <c r="P246">
        <v>900</v>
      </c>
      <c r="Q246" t="s">
        <v>30</v>
      </c>
      <c r="R246" s="2">
        <v>0.7</v>
      </c>
      <c r="S246">
        <v>630</v>
      </c>
      <c r="T246" t="s">
        <v>27</v>
      </c>
      <c r="U246">
        <v>630</v>
      </c>
      <c r="V246" s="7" t="s">
        <v>24</v>
      </c>
      <c r="W246" s="7" t="s">
        <v>37</v>
      </c>
    </row>
    <row r="247" spans="1:23" x14ac:dyDescent="0.4">
      <c r="A247" t="s">
        <v>262</v>
      </c>
      <c r="B247" t="s">
        <v>1953</v>
      </c>
      <c r="C247" t="s">
        <v>2009</v>
      </c>
      <c r="D247" t="s">
        <v>64</v>
      </c>
      <c r="E247" t="s">
        <v>22</v>
      </c>
      <c r="F247" t="s">
        <v>23</v>
      </c>
      <c r="G247">
        <v>1</v>
      </c>
      <c r="H247">
        <v>9791166064135</v>
      </c>
      <c r="I247" t="s">
        <v>24</v>
      </c>
      <c r="J247" t="s">
        <v>77</v>
      </c>
      <c r="K247" t="s">
        <v>37</v>
      </c>
      <c r="L247" t="s">
        <v>27</v>
      </c>
      <c r="M247">
        <v>900</v>
      </c>
      <c r="N247" t="s">
        <v>27</v>
      </c>
      <c r="O247">
        <v>900</v>
      </c>
      <c r="P247">
        <v>900</v>
      </c>
      <c r="Q247" t="s">
        <v>30</v>
      </c>
      <c r="R247" s="2">
        <v>0.7</v>
      </c>
      <c r="S247">
        <v>630</v>
      </c>
      <c r="T247" t="s">
        <v>27</v>
      </c>
      <c r="U247">
        <v>630</v>
      </c>
      <c r="V247" s="7" t="s">
        <v>24</v>
      </c>
      <c r="W247" s="7" t="s">
        <v>37</v>
      </c>
    </row>
    <row r="248" spans="1:23" x14ac:dyDescent="0.4">
      <c r="A248" t="s">
        <v>262</v>
      </c>
      <c r="B248" t="s">
        <v>1953</v>
      </c>
      <c r="C248" t="s">
        <v>2014</v>
      </c>
      <c r="D248" t="s">
        <v>64</v>
      </c>
      <c r="E248" t="s">
        <v>22</v>
      </c>
      <c r="F248" t="s">
        <v>23</v>
      </c>
      <c r="G248">
        <v>1</v>
      </c>
      <c r="H248">
        <v>9791159283086</v>
      </c>
      <c r="I248" t="s">
        <v>24</v>
      </c>
      <c r="J248" t="s">
        <v>72</v>
      </c>
      <c r="K248" t="s">
        <v>37</v>
      </c>
      <c r="L248" t="s">
        <v>27</v>
      </c>
      <c r="M248">
        <v>900</v>
      </c>
      <c r="N248" t="s">
        <v>27</v>
      </c>
      <c r="O248">
        <v>900</v>
      </c>
      <c r="P248">
        <v>900</v>
      </c>
      <c r="Q248" t="s">
        <v>30</v>
      </c>
      <c r="R248" s="2">
        <v>0.7</v>
      </c>
      <c r="S248">
        <v>630</v>
      </c>
      <c r="T248" t="s">
        <v>27</v>
      </c>
      <c r="U248">
        <v>630</v>
      </c>
      <c r="V248" s="7" t="s">
        <v>24</v>
      </c>
      <c r="W248" s="7" t="s">
        <v>37</v>
      </c>
    </row>
    <row r="249" spans="1:23" x14ac:dyDescent="0.4">
      <c r="A249" t="s">
        <v>262</v>
      </c>
      <c r="B249" t="s">
        <v>1953</v>
      </c>
      <c r="C249" t="s">
        <v>2016</v>
      </c>
      <c r="D249" t="s">
        <v>64</v>
      </c>
      <c r="E249" t="s">
        <v>22</v>
      </c>
      <c r="F249" t="s">
        <v>23</v>
      </c>
      <c r="G249">
        <v>1</v>
      </c>
      <c r="H249">
        <v>9791166061097</v>
      </c>
      <c r="I249" t="s">
        <v>24</v>
      </c>
      <c r="J249" t="s">
        <v>95</v>
      </c>
      <c r="K249" t="s">
        <v>37</v>
      </c>
      <c r="L249" t="s">
        <v>27</v>
      </c>
      <c r="M249">
        <v>900</v>
      </c>
      <c r="N249" t="s">
        <v>27</v>
      </c>
      <c r="O249">
        <v>900</v>
      </c>
      <c r="P249">
        <v>900</v>
      </c>
      <c r="Q249" t="s">
        <v>30</v>
      </c>
      <c r="R249" s="2">
        <v>0.7</v>
      </c>
      <c r="S249">
        <v>630</v>
      </c>
      <c r="T249" t="s">
        <v>27</v>
      </c>
      <c r="U249">
        <v>630</v>
      </c>
      <c r="V249" s="7" t="s">
        <v>24</v>
      </c>
      <c r="W249" s="7" t="s">
        <v>37</v>
      </c>
    </row>
    <row r="250" spans="1:23" x14ac:dyDescent="0.4">
      <c r="A250" t="s">
        <v>262</v>
      </c>
      <c r="B250" t="s">
        <v>2017</v>
      </c>
      <c r="C250" t="s">
        <v>2018</v>
      </c>
      <c r="D250" t="s">
        <v>64</v>
      </c>
      <c r="E250" t="s">
        <v>22</v>
      </c>
      <c r="F250" t="s">
        <v>23</v>
      </c>
      <c r="G250">
        <v>1</v>
      </c>
      <c r="H250">
        <v>9791159283277</v>
      </c>
      <c r="I250" t="s">
        <v>24</v>
      </c>
      <c r="J250" t="s">
        <v>118</v>
      </c>
      <c r="K250" t="s">
        <v>37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  <c r="V250" s="7" t="s">
        <v>24</v>
      </c>
      <c r="W250" s="7" t="s">
        <v>37</v>
      </c>
    </row>
    <row r="251" spans="1:23" x14ac:dyDescent="0.4">
      <c r="A251" t="s">
        <v>262</v>
      </c>
      <c r="B251" t="s">
        <v>2017</v>
      </c>
      <c r="C251" t="s">
        <v>2024</v>
      </c>
      <c r="D251" t="s">
        <v>64</v>
      </c>
      <c r="E251" t="s">
        <v>22</v>
      </c>
      <c r="F251" t="s">
        <v>23</v>
      </c>
      <c r="G251">
        <v>1</v>
      </c>
      <c r="H251">
        <v>9791159283093</v>
      </c>
      <c r="I251" t="s">
        <v>24</v>
      </c>
      <c r="J251" t="s">
        <v>73</v>
      </c>
      <c r="K251" t="s">
        <v>37</v>
      </c>
      <c r="L251" t="s">
        <v>27</v>
      </c>
      <c r="M251">
        <v>900</v>
      </c>
      <c r="N251" t="s">
        <v>27</v>
      </c>
      <c r="O251">
        <v>900</v>
      </c>
      <c r="P251">
        <v>900</v>
      </c>
      <c r="Q251" t="s">
        <v>30</v>
      </c>
      <c r="R251" s="2">
        <v>0.7</v>
      </c>
      <c r="S251">
        <v>630</v>
      </c>
      <c r="T251" t="s">
        <v>27</v>
      </c>
      <c r="U251">
        <v>630</v>
      </c>
      <c r="V251" s="7" t="s">
        <v>24</v>
      </c>
      <c r="W251" s="7" t="s">
        <v>37</v>
      </c>
    </row>
    <row r="252" spans="1:23" x14ac:dyDescent="0.4">
      <c r="A252" t="s">
        <v>262</v>
      </c>
      <c r="B252" t="s">
        <v>2017</v>
      </c>
      <c r="C252" t="s">
        <v>1973</v>
      </c>
      <c r="D252" t="s">
        <v>64</v>
      </c>
      <c r="E252" t="s">
        <v>210</v>
      </c>
      <c r="F252" t="s">
        <v>23</v>
      </c>
      <c r="G252">
        <v>-1</v>
      </c>
      <c r="H252">
        <v>9791159283253</v>
      </c>
      <c r="I252" t="s">
        <v>24</v>
      </c>
      <c r="J252" t="s">
        <v>68</v>
      </c>
      <c r="K252" t="s">
        <v>37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-441</v>
      </c>
      <c r="T252" t="s">
        <v>27</v>
      </c>
      <c r="U252">
        <v>-441</v>
      </c>
      <c r="V252" s="7" t="s">
        <v>24</v>
      </c>
      <c r="W252" s="7" t="s">
        <v>37</v>
      </c>
    </row>
    <row r="253" spans="1:23" x14ac:dyDescent="0.4">
      <c r="A253" t="s">
        <v>262</v>
      </c>
      <c r="B253" t="s">
        <v>2017</v>
      </c>
      <c r="C253" t="s">
        <v>2027</v>
      </c>
      <c r="D253" t="s">
        <v>64</v>
      </c>
      <c r="E253" t="s">
        <v>22</v>
      </c>
      <c r="F253" t="s">
        <v>23</v>
      </c>
      <c r="G253">
        <v>1</v>
      </c>
      <c r="H253">
        <v>9791159283208</v>
      </c>
      <c r="I253" t="s">
        <v>24</v>
      </c>
      <c r="J253" t="s">
        <v>105</v>
      </c>
      <c r="K253" t="s">
        <v>37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  <c r="V253" s="7" t="s">
        <v>24</v>
      </c>
      <c r="W253" s="7" t="s">
        <v>37</v>
      </c>
    </row>
    <row r="254" spans="1:23" x14ac:dyDescent="0.4">
      <c r="A254" t="s">
        <v>262</v>
      </c>
      <c r="B254" t="s">
        <v>2017</v>
      </c>
      <c r="C254" t="s">
        <v>2047</v>
      </c>
      <c r="D254" t="s">
        <v>64</v>
      </c>
      <c r="E254" t="s">
        <v>22</v>
      </c>
      <c r="F254" t="s">
        <v>23</v>
      </c>
      <c r="G254">
        <v>1</v>
      </c>
      <c r="H254">
        <v>9791166061141</v>
      </c>
      <c r="I254" t="s">
        <v>24</v>
      </c>
      <c r="J254" t="s">
        <v>99</v>
      </c>
      <c r="K254" t="s">
        <v>37</v>
      </c>
      <c r="L254" t="s">
        <v>27</v>
      </c>
      <c r="M254">
        <v>900</v>
      </c>
      <c r="N254" t="s">
        <v>27</v>
      </c>
      <c r="O254">
        <v>900</v>
      </c>
      <c r="P254">
        <v>900</v>
      </c>
      <c r="Q254" t="s">
        <v>30</v>
      </c>
      <c r="R254" s="2">
        <v>0.7</v>
      </c>
      <c r="S254">
        <v>630</v>
      </c>
      <c r="T254" t="s">
        <v>27</v>
      </c>
      <c r="U254">
        <v>630</v>
      </c>
      <c r="V254" s="7" t="s">
        <v>24</v>
      </c>
      <c r="W254" s="7" t="s">
        <v>37</v>
      </c>
    </row>
    <row r="255" spans="1:23" x14ac:dyDescent="0.4">
      <c r="A255" t="s">
        <v>262</v>
      </c>
      <c r="B255" t="s">
        <v>2017</v>
      </c>
      <c r="C255" t="s">
        <v>2054</v>
      </c>
      <c r="D255" t="s">
        <v>64</v>
      </c>
      <c r="E255" t="s">
        <v>22</v>
      </c>
      <c r="F255" t="s">
        <v>23</v>
      </c>
      <c r="G255">
        <v>1</v>
      </c>
      <c r="H255">
        <v>9791166061134</v>
      </c>
      <c r="I255" t="s">
        <v>24</v>
      </c>
      <c r="J255" t="s">
        <v>98</v>
      </c>
      <c r="K255" t="s">
        <v>37</v>
      </c>
      <c r="L255" t="s">
        <v>27</v>
      </c>
      <c r="M255">
        <v>900</v>
      </c>
      <c r="N255" t="s">
        <v>27</v>
      </c>
      <c r="O255">
        <v>900</v>
      </c>
      <c r="P255">
        <v>900</v>
      </c>
      <c r="Q255" t="s">
        <v>30</v>
      </c>
      <c r="R255" s="2">
        <v>0.7</v>
      </c>
      <c r="S255">
        <v>630</v>
      </c>
      <c r="T255" t="s">
        <v>27</v>
      </c>
      <c r="U255">
        <v>630</v>
      </c>
      <c r="V255" s="7" t="s">
        <v>24</v>
      </c>
      <c r="W255" s="7" t="s">
        <v>37</v>
      </c>
    </row>
    <row r="256" spans="1:23" x14ac:dyDescent="0.4">
      <c r="A256" t="s">
        <v>262</v>
      </c>
      <c r="B256" t="s">
        <v>2017</v>
      </c>
      <c r="C256" t="s">
        <v>2060</v>
      </c>
      <c r="D256" t="s">
        <v>64</v>
      </c>
      <c r="E256" t="s">
        <v>22</v>
      </c>
      <c r="F256" t="s">
        <v>23</v>
      </c>
      <c r="G256">
        <v>1</v>
      </c>
      <c r="H256">
        <v>9791166064050</v>
      </c>
      <c r="I256" t="s">
        <v>24</v>
      </c>
      <c r="J256" t="s">
        <v>79</v>
      </c>
      <c r="K256" t="s">
        <v>37</v>
      </c>
      <c r="L256" t="s">
        <v>27</v>
      </c>
      <c r="M256">
        <v>900</v>
      </c>
      <c r="N256" t="s">
        <v>27</v>
      </c>
      <c r="O256">
        <v>900</v>
      </c>
      <c r="P256">
        <v>900</v>
      </c>
      <c r="Q256" t="s">
        <v>30</v>
      </c>
      <c r="R256" s="2">
        <v>0.7</v>
      </c>
      <c r="S256">
        <v>630</v>
      </c>
      <c r="T256" t="s">
        <v>27</v>
      </c>
      <c r="U256">
        <v>630</v>
      </c>
      <c r="V256" s="7" t="s">
        <v>24</v>
      </c>
      <c r="W256" s="7" t="s">
        <v>37</v>
      </c>
    </row>
    <row r="257" spans="1:23" x14ac:dyDescent="0.4">
      <c r="A257" t="s">
        <v>262</v>
      </c>
      <c r="B257" t="s">
        <v>2017</v>
      </c>
      <c r="C257" t="s">
        <v>2062</v>
      </c>
      <c r="D257" t="s">
        <v>64</v>
      </c>
      <c r="E257" t="s">
        <v>22</v>
      </c>
      <c r="F257" t="s">
        <v>23</v>
      </c>
      <c r="G257">
        <v>1</v>
      </c>
      <c r="H257">
        <v>9791166064050</v>
      </c>
      <c r="I257" t="s">
        <v>24</v>
      </c>
      <c r="J257" t="s">
        <v>79</v>
      </c>
      <c r="K257" t="s">
        <v>37</v>
      </c>
      <c r="L257" t="s">
        <v>27</v>
      </c>
      <c r="M257">
        <v>900</v>
      </c>
      <c r="N257" t="s">
        <v>27</v>
      </c>
      <c r="O257">
        <v>900</v>
      </c>
      <c r="P257">
        <v>900</v>
      </c>
      <c r="Q257" t="s">
        <v>30</v>
      </c>
      <c r="R257" s="2">
        <v>0.7</v>
      </c>
      <c r="S257">
        <v>630</v>
      </c>
      <c r="T257" t="s">
        <v>27</v>
      </c>
      <c r="U257">
        <v>630</v>
      </c>
      <c r="V257" s="7" t="s">
        <v>24</v>
      </c>
      <c r="W257" s="7" t="s">
        <v>37</v>
      </c>
    </row>
    <row r="258" spans="1:23" x14ac:dyDescent="0.4">
      <c r="A258" t="s">
        <v>262</v>
      </c>
      <c r="B258" t="s">
        <v>2017</v>
      </c>
      <c r="C258" t="s">
        <v>2066</v>
      </c>
      <c r="D258" t="s">
        <v>64</v>
      </c>
      <c r="E258" t="s">
        <v>22</v>
      </c>
      <c r="F258" t="s">
        <v>23</v>
      </c>
      <c r="G258">
        <v>1</v>
      </c>
      <c r="H258">
        <v>9791159283215</v>
      </c>
      <c r="I258" t="s">
        <v>24</v>
      </c>
      <c r="J258" t="s">
        <v>103</v>
      </c>
      <c r="K258" t="s">
        <v>37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  <c r="V258" s="7" t="s">
        <v>24</v>
      </c>
      <c r="W258" s="7" t="s">
        <v>37</v>
      </c>
    </row>
    <row r="259" spans="1:23" x14ac:dyDescent="0.4">
      <c r="A259" t="s">
        <v>262</v>
      </c>
      <c r="B259" t="s">
        <v>2017</v>
      </c>
      <c r="C259" t="s">
        <v>2067</v>
      </c>
      <c r="D259" t="s">
        <v>64</v>
      </c>
      <c r="E259" t="s">
        <v>22</v>
      </c>
      <c r="F259" t="s">
        <v>23</v>
      </c>
      <c r="G259">
        <v>1</v>
      </c>
      <c r="H259">
        <v>9791166061103</v>
      </c>
      <c r="I259" t="s">
        <v>24</v>
      </c>
      <c r="J259" t="s">
        <v>96</v>
      </c>
      <c r="K259" t="s">
        <v>37</v>
      </c>
      <c r="L259" t="s">
        <v>27</v>
      </c>
      <c r="M259">
        <v>900</v>
      </c>
      <c r="N259" t="s">
        <v>27</v>
      </c>
      <c r="O259">
        <v>900</v>
      </c>
      <c r="P259">
        <v>900</v>
      </c>
      <c r="Q259" t="s">
        <v>30</v>
      </c>
      <c r="R259" s="2">
        <v>0.7</v>
      </c>
      <c r="S259">
        <v>630</v>
      </c>
      <c r="T259" t="s">
        <v>27</v>
      </c>
      <c r="U259">
        <v>630</v>
      </c>
      <c r="V259" s="7" t="s">
        <v>24</v>
      </c>
      <c r="W259" s="7" t="s">
        <v>37</v>
      </c>
    </row>
    <row r="260" spans="1:23" x14ac:dyDescent="0.4">
      <c r="A260" t="s">
        <v>262</v>
      </c>
      <c r="B260" t="s">
        <v>2017</v>
      </c>
      <c r="C260" t="s">
        <v>2069</v>
      </c>
      <c r="D260" t="s">
        <v>64</v>
      </c>
      <c r="E260" t="s">
        <v>22</v>
      </c>
      <c r="F260" t="s">
        <v>23</v>
      </c>
      <c r="G260">
        <v>1</v>
      </c>
      <c r="H260">
        <v>9791166064135</v>
      </c>
      <c r="I260" t="s">
        <v>24</v>
      </c>
      <c r="J260" t="s">
        <v>77</v>
      </c>
      <c r="K260" t="s">
        <v>37</v>
      </c>
      <c r="L260" t="s">
        <v>27</v>
      </c>
      <c r="M260">
        <v>900</v>
      </c>
      <c r="N260" t="s">
        <v>27</v>
      </c>
      <c r="O260">
        <v>900</v>
      </c>
      <c r="P260">
        <v>900</v>
      </c>
      <c r="Q260" t="s">
        <v>30</v>
      </c>
      <c r="R260" s="2">
        <v>0.7</v>
      </c>
      <c r="S260">
        <v>630</v>
      </c>
      <c r="T260" t="s">
        <v>27</v>
      </c>
      <c r="U260">
        <v>630</v>
      </c>
      <c r="V260" s="7" t="s">
        <v>24</v>
      </c>
      <c r="W260" s="7" t="s">
        <v>37</v>
      </c>
    </row>
    <row r="261" spans="1:23" x14ac:dyDescent="0.4">
      <c r="A261" t="s">
        <v>262</v>
      </c>
      <c r="B261" t="s">
        <v>2075</v>
      </c>
      <c r="C261" t="s">
        <v>2076</v>
      </c>
      <c r="D261" t="s">
        <v>64</v>
      </c>
      <c r="E261" t="s">
        <v>22</v>
      </c>
      <c r="F261" t="s">
        <v>23</v>
      </c>
      <c r="G261">
        <v>1</v>
      </c>
      <c r="H261">
        <v>9791159283109</v>
      </c>
      <c r="I261" t="s">
        <v>24</v>
      </c>
      <c r="J261" t="s">
        <v>75</v>
      </c>
      <c r="K261" t="s">
        <v>37</v>
      </c>
      <c r="L261" t="s">
        <v>27</v>
      </c>
      <c r="M261">
        <v>900</v>
      </c>
      <c r="N261" t="s">
        <v>27</v>
      </c>
      <c r="O261">
        <v>900</v>
      </c>
      <c r="P261">
        <v>900</v>
      </c>
      <c r="Q261" t="s">
        <v>30</v>
      </c>
      <c r="R261" s="2">
        <v>0.7</v>
      </c>
      <c r="S261">
        <v>630</v>
      </c>
      <c r="T261" t="s">
        <v>27</v>
      </c>
      <c r="U261">
        <v>630</v>
      </c>
      <c r="V261" s="7" t="s">
        <v>24</v>
      </c>
      <c r="W261" s="7" t="s">
        <v>37</v>
      </c>
    </row>
    <row r="262" spans="1:23" x14ac:dyDescent="0.4">
      <c r="A262" t="s">
        <v>262</v>
      </c>
      <c r="B262" t="s">
        <v>2075</v>
      </c>
      <c r="C262" t="s">
        <v>2082</v>
      </c>
      <c r="D262" t="s">
        <v>64</v>
      </c>
      <c r="E262" t="s">
        <v>22</v>
      </c>
      <c r="F262" t="s">
        <v>23</v>
      </c>
      <c r="G262">
        <v>1</v>
      </c>
      <c r="H262">
        <v>9791166064067</v>
      </c>
      <c r="I262" t="s">
        <v>24</v>
      </c>
      <c r="J262" t="s">
        <v>81</v>
      </c>
      <c r="K262" t="s">
        <v>37</v>
      </c>
      <c r="L262" t="s">
        <v>27</v>
      </c>
      <c r="M262">
        <v>900</v>
      </c>
      <c r="N262" t="s">
        <v>27</v>
      </c>
      <c r="O262">
        <v>900</v>
      </c>
      <c r="P262">
        <v>900</v>
      </c>
      <c r="Q262" t="s">
        <v>30</v>
      </c>
      <c r="R262" s="2">
        <v>0.7</v>
      </c>
      <c r="S262">
        <v>630</v>
      </c>
      <c r="T262" t="s">
        <v>27</v>
      </c>
      <c r="U262">
        <v>630</v>
      </c>
      <c r="V262" s="7" t="s">
        <v>24</v>
      </c>
      <c r="W262" s="7" t="s">
        <v>37</v>
      </c>
    </row>
    <row r="263" spans="1:23" x14ac:dyDescent="0.4">
      <c r="A263" t="s">
        <v>262</v>
      </c>
      <c r="B263" t="s">
        <v>2075</v>
      </c>
      <c r="C263" t="s">
        <v>2090</v>
      </c>
      <c r="D263" t="s">
        <v>64</v>
      </c>
      <c r="E263" t="s">
        <v>22</v>
      </c>
      <c r="F263" t="s">
        <v>23</v>
      </c>
      <c r="G263">
        <v>1</v>
      </c>
      <c r="H263">
        <v>9791159283086</v>
      </c>
      <c r="I263" t="s">
        <v>24</v>
      </c>
      <c r="J263" t="s">
        <v>72</v>
      </c>
      <c r="K263" t="s">
        <v>37</v>
      </c>
      <c r="L263" t="s">
        <v>27</v>
      </c>
      <c r="M263">
        <v>900</v>
      </c>
      <c r="N263" t="s">
        <v>27</v>
      </c>
      <c r="O263">
        <v>900</v>
      </c>
      <c r="P263">
        <v>900</v>
      </c>
      <c r="Q263" t="s">
        <v>30</v>
      </c>
      <c r="R263" s="2">
        <v>0.7</v>
      </c>
      <c r="S263">
        <v>630</v>
      </c>
      <c r="T263" t="s">
        <v>27</v>
      </c>
      <c r="U263">
        <v>630</v>
      </c>
      <c r="V263" s="7" t="s">
        <v>24</v>
      </c>
      <c r="W263" s="7" t="s">
        <v>37</v>
      </c>
    </row>
    <row r="264" spans="1:23" x14ac:dyDescent="0.4">
      <c r="A264" t="s">
        <v>262</v>
      </c>
      <c r="B264" t="s">
        <v>2075</v>
      </c>
      <c r="C264" t="s">
        <v>2091</v>
      </c>
      <c r="D264" t="s">
        <v>64</v>
      </c>
      <c r="E264" t="s">
        <v>22</v>
      </c>
      <c r="F264" t="s">
        <v>23</v>
      </c>
      <c r="G264">
        <v>1</v>
      </c>
      <c r="H264">
        <v>9791159283093</v>
      </c>
      <c r="I264" t="s">
        <v>24</v>
      </c>
      <c r="J264" t="s">
        <v>73</v>
      </c>
      <c r="K264" t="s">
        <v>37</v>
      </c>
      <c r="L264" t="s">
        <v>27</v>
      </c>
      <c r="M264">
        <v>900</v>
      </c>
      <c r="N264" t="s">
        <v>27</v>
      </c>
      <c r="O264">
        <v>900</v>
      </c>
      <c r="P264">
        <v>900</v>
      </c>
      <c r="Q264" t="s">
        <v>30</v>
      </c>
      <c r="R264" s="2">
        <v>0.7</v>
      </c>
      <c r="S264">
        <v>630</v>
      </c>
      <c r="T264" t="s">
        <v>27</v>
      </c>
      <c r="U264">
        <v>630</v>
      </c>
      <c r="V264" s="7" t="s">
        <v>24</v>
      </c>
      <c r="W264" s="7" t="s">
        <v>37</v>
      </c>
    </row>
    <row r="265" spans="1:23" x14ac:dyDescent="0.4">
      <c r="A265" t="s">
        <v>262</v>
      </c>
      <c r="B265" t="s">
        <v>2075</v>
      </c>
      <c r="C265" t="s">
        <v>2092</v>
      </c>
      <c r="D265" t="s">
        <v>64</v>
      </c>
      <c r="E265" t="s">
        <v>22</v>
      </c>
      <c r="F265" t="s">
        <v>23</v>
      </c>
      <c r="G265">
        <v>1</v>
      </c>
      <c r="H265">
        <v>9791166061080</v>
      </c>
      <c r="I265" t="s">
        <v>24</v>
      </c>
      <c r="J265" t="s">
        <v>74</v>
      </c>
      <c r="K265" t="s">
        <v>37</v>
      </c>
      <c r="L265" t="s">
        <v>27</v>
      </c>
      <c r="M265">
        <v>900</v>
      </c>
      <c r="N265" t="s">
        <v>27</v>
      </c>
      <c r="O265">
        <v>900</v>
      </c>
      <c r="P265">
        <v>900</v>
      </c>
      <c r="Q265" t="s">
        <v>30</v>
      </c>
      <c r="R265" s="2">
        <v>0.7</v>
      </c>
      <c r="S265">
        <v>630</v>
      </c>
      <c r="T265" t="s">
        <v>27</v>
      </c>
      <c r="U265">
        <v>630</v>
      </c>
      <c r="V265" s="7" t="s">
        <v>24</v>
      </c>
      <c r="W265" s="7" t="s">
        <v>37</v>
      </c>
    </row>
    <row r="266" spans="1:23" x14ac:dyDescent="0.4">
      <c r="A266" t="s">
        <v>262</v>
      </c>
      <c r="B266" t="s">
        <v>2075</v>
      </c>
      <c r="C266" t="s">
        <v>2096</v>
      </c>
      <c r="D266" t="s">
        <v>64</v>
      </c>
      <c r="E266" t="s">
        <v>22</v>
      </c>
      <c r="F266" t="s">
        <v>23</v>
      </c>
      <c r="G266">
        <v>1</v>
      </c>
      <c r="H266">
        <v>9791159283109</v>
      </c>
      <c r="I266" t="s">
        <v>24</v>
      </c>
      <c r="J266" t="s">
        <v>75</v>
      </c>
      <c r="K266" t="s">
        <v>37</v>
      </c>
      <c r="L266" t="s">
        <v>27</v>
      </c>
      <c r="M266">
        <v>900</v>
      </c>
      <c r="N266" t="s">
        <v>27</v>
      </c>
      <c r="O266">
        <v>900</v>
      </c>
      <c r="P266">
        <v>900</v>
      </c>
      <c r="Q266" t="s">
        <v>30</v>
      </c>
      <c r="R266" s="2">
        <v>0.7</v>
      </c>
      <c r="S266">
        <v>630</v>
      </c>
      <c r="T266" t="s">
        <v>27</v>
      </c>
      <c r="U266">
        <v>630</v>
      </c>
      <c r="V266" s="7" t="s">
        <v>24</v>
      </c>
      <c r="W266" s="7" t="s">
        <v>37</v>
      </c>
    </row>
    <row r="267" spans="1:23" x14ac:dyDescent="0.4">
      <c r="A267" t="s">
        <v>262</v>
      </c>
      <c r="B267" t="s">
        <v>2075</v>
      </c>
      <c r="C267" t="s">
        <v>2100</v>
      </c>
      <c r="D267" t="s">
        <v>64</v>
      </c>
      <c r="E267" t="s">
        <v>22</v>
      </c>
      <c r="F267" t="s">
        <v>23</v>
      </c>
      <c r="G267">
        <v>1</v>
      </c>
      <c r="H267">
        <v>9791166061103</v>
      </c>
      <c r="I267" t="s">
        <v>24</v>
      </c>
      <c r="J267" t="s">
        <v>96</v>
      </c>
      <c r="K267" t="s">
        <v>37</v>
      </c>
      <c r="L267" t="s">
        <v>27</v>
      </c>
      <c r="M267">
        <v>900</v>
      </c>
      <c r="N267" t="s">
        <v>27</v>
      </c>
      <c r="O267">
        <v>900</v>
      </c>
      <c r="P267">
        <v>900</v>
      </c>
      <c r="Q267" t="s">
        <v>30</v>
      </c>
      <c r="R267" s="2">
        <v>0.7</v>
      </c>
      <c r="S267">
        <v>630</v>
      </c>
      <c r="T267" t="s">
        <v>27</v>
      </c>
      <c r="U267">
        <v>630</v>
      </c>
      <c r="V267" s="7" t="s">
        <v>24</v>
      </c>
      <c r="W267" s="7" t="s">
        <v>37</v>
      </c>
    </row>
    <row r="268" spans="1:23" x14ac:dyDescent="0.4">
      <c r="A268" t="s">
        <v>262</v>
      </c>
      <c r="B268" t="s">
        <v>2075</v>
      </c>
      <c r="C268" t="s">
        <v>2131</v>
      </c>
      <c r="D268" t="s">
        <v>64</v>
      </c>
      <c r="E268" t="s">
        <v>22</v>
      </c>
      <c r="F268" t="s">
        <v>23</v>
      </c>
      <c r="G268">
        <v>1</v>
      </c>
      <c r="H268">
        <v>9791159283222</v>
      </c>
      <c r="I268" t="s">
        <v>24</v>
      </c>
      <c r="J268" t="s">
        <v>65</v>
      </c>
      <c r="K268" t="s">
        <v>37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  <c r="V268" s="7" t="s">
        <v>24</v>
      </c>
      <c r="W268" s="7" t="s">
        <v>37</v>
      </c>
    </row>
    <row r="269" spans="1:23" x14ac:dyDescent="0.4">
      <c r="A269" t="s">
        <v>262</v>
      </c>
      <c r="B269" t="s">
        <v>2075</v>
      </c>
      <c r="C269" t="s">
        <v>2137</v>
      </c>
      <c r="D269" t="s">
        <v>64</v>
      </c>
      <c r="E269" t="s">
        <v>22</v>
      </c>
      <c r="F269" t="s">
        <v>23</v>
      </c>
      <c r="G269">
        <v>1</v>
      </c>
      <c r="H269">
        <v>9791166064074</v>
      </c>
      <c r="I269" t="s">
        <v>24</v>
      </c>
      <c r="J269" t="s">
        <v>90</v>
      </c>
      <c r="K269" t="s">
        <v>37</v>
      </c>
      <c r="L269" t="s">
        <v>27</v>
      </c>
      <c r="M269">
        <v>900</v>
      </c>
      <c r="N269" t="s">
        <v>27</v>
      </c>
      <c r="O269">
        <v>900</v>
      </c>
      <c r="P269">
        <v>900</v>
      </c>
      <c r="Q269" t="s">
        <v>30</v>
      </c>
      <c r="R269" s="2">
        <v>0.7</v>
      </c>
      <c r="S269">
        <v>630</v>
      </c>
      <c r="T269" t="s">
        <v>27</v>
      </c>
      <c r="U269">
        <v>630</v>
      </c>
      <c r="V269" s="7" t="s">
        <v>24</v>
      </c>
      <c r="W269" s="7" t="s">
        <v>37</v>
      </c>
    </row>
    <row r="270" spans="1:23" x14ac:dyDescent="0.4">
      <c r="A270" t="s">
        <v>262</v>
      </c>
      <c r="B270" t="s">
        <v>2075</v>
      </c>
      <c r="C270" t="s">
        <v>2141</v>
      </c>
      <c r="D270" t="s">
        <v>64</v>
      </c>
      <c r="E270" t="s">
        <v>22</v>
      </c>
      <c r="F270" t="s">
        <v>23</v>
      </c>
      <c r="G270">
        <v>1</v>
      </c>
      <c r="H270">
        <v>9791159283260</v>
      </c>
      <c r="I270" t="s">
        <v>24</v>
      </c>
      <c r="J270" t="s">
        <v>69</v>
      </c>
      <c r="K270" t="s">
        <v>37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  <c r="V270" s="7" t="s">
        <v>24</v>
      </c>
      <c r="W270" s="7" t="s">
        <v>37</v>
      </c>
    </row>
    <row r="271" spans="1:23" x14ac:dyDescent="0.4">
      <c r="A271" t="s">
        <v>262</v>
      </c>
      <c r="B271" t="s">
        <v>2075</v>
      </c>
      <c r="C271" t="s">
        <v>2143</v>
      </c>
      <c r="D271" t="s">
        <v>64</v>
      </c>
      <c r="E271" t="s">
        <v>22</v>
      </c>
      <c r="F271" t="s">
        <v>23</v>
      </c>
      <c r="G271">
        <v>1</v>
      </c>
      <c r="H271">
        <v>9791166064142</v>
      </c>
      <c r="I271" t="s">
        <v>24</v>
      </c>
      <c r="J271" t="s">
        <v>80</v>
      </c>
      <c r="K271" t="s">
        <v>37</v>
      </c>
      <c r="L271" t="s">
        <v>27</v>
      </c>
      <c r="M271">
        <v>900</v>
      </c>
      <c r="N271" t="s">
        <v>27</v>
      </c>
      <c r="O271">
        <v>900</v>
      </c>
      <c r="P271">
        <v>900</v>
      </c>
      <c r="Q271" t="s">
        <v>30</v>
      </c>
      <c r="R271" s="2">
        <v>0.7</v>
      </c>
      <c r="S271">
        <v>630</v>
      </c>
      <c r="T271" t="s">
        <v>27</v>
      </c>
      <c r="U271">
        <v>630</v>
      </c>
      <c r="V271" s="7" t="s">
        <v>24</v>
      </c>
      <c r="W271" s="7" t="s">
        <v>37</v>
      </c>
    </row>
    <row r="272" spans="1:23" x14ac:dyDescent="0.4">
      <c r="A272" t="s">
        <v>262</v>
      </c>
      <c r="B272" t="s">
        <v>2075</v>
      </c>
      <c r="C272" t="s">
        <v>2144</v>
      </c>
      <c r="D272" t="s">
        <v>64</v>
      </c>
      <c r="E272" t="s">
        <v>22</v>
      </c>
      <c r="F272" t="s">
        <v>23</v>
      </c>
      <c r="G272">
        <v>1</v>
      </c>
      <c r="H272">
        <v>9791159283086</v>
      </c>
      <c r="I272" t="s">
        <v>24</v>
      </c>
      <c r="J272" t="s">
        <v>72</v>
      </c>
      <c r="K272" t="s">
        <v>37</v>
      </c>
      <c r="L272" t="s">
        <v>27</v>
      </c>
      <c r="M272">
        <v>900</v>
      </c>
      <c r="N272" t="s">
        <v>27</v>
      </c>
      <c r="O272">
        <v>900</v>
      </c>
      <c r="P272">
        <v>900</v>
      </c>
      <c r="Q272" t="s">
        <v>30</v>
      </c>
      <c r="R272" s="2">
        <v>0.7</v>
      </c>
      <c r="S272">
        <v>630</v>
      </c>
      <c r="T272" t="s">
        <v>27</v>
      </c>
      <c r="U272">
        <v>630</v>
      </c>
      <c r="V272" s="7" t="s">
        <v>24</v>
      </c>
      <c r="W272" s="7" t="s">
        <v>37</v>
      </c>
    </row>
    <row r="273" spans="1:23" x14ac:dyDescent="0.4">
      <c r="A273" t="s">
        <v>262</v>
      </c>
      <c r="B273" t="s">
        <v>2075</v>
      </c>
      <c r="C273" t="s">
        <v>2152</v>
      </c>
      <c r="D273" t="s">
        <v>64</v>
      </c>
      <c r="E273" t="s">
        <v>22</v>
      </c>
      <c r="F273" t="s">
        <v>23</v>
      </c>
      <c r="G273">
        <v>1</v>
      </c>
      <c r="H273">
        <v>9791159283116</v>
      </c>
      <c r="I273" t="s">
        <v>24</v>
      </c>
      <c r="J273" t="s">
        <v>76</v>
      </c>
      <c r="K273" t="s">
        <v>37</v>
      </c>
      <c r="L273" t="s">
        <v>27</v>
      </c>
      <c r="M273">
        <v>900</v>
      </c>
      <c r="N273" t="s">
        <v>27</v>
      </c>
      <c r="O273">
        <v>900</v>
      </c>
      <c r="P273">
        <v>900</v>
      </c>
      <c r="Q273" t="s">
        <v>30</v>
      </c>
      <c r="R273" s="2">
        <v>0.7</v>
      </c>
      <c r="S273">
        <v>630</v>
      </c>
      <c r="T273" t="s">
        <v>27</v>
      </c>
      <c r="U273">
        <v>630</v>
      </c>
      <c r="V273" s="7" t="s">
        <v>24</v>
      </c>
      <c r="W273" s="7" t="s">
        <v>37</v>
      </c>
    </row>
    <row r="274" spans="1:23" x14ac:dyDescent="0.4">
      <c r="A274" t="s">
        <v>262</v>
      </c>
      <c r="B274" t="s">
        <v>2075</v>
      </c>
      <c r="C274" t="s">
        <v>2155</v>
      </c>
      <c r="D274" t="s">
        <v>64</v>
      </c>
      <c r="E274" t="s">
        <v>22</v>
      </c>
      <c r="F274" t="s">
        <v>23</v>
      </c>
      <c r="G274">
        <v>1</v>
      </c>
      <c r="H274">
        <v>9791166061103</v>
      </c>
      <c r="I274" t="s">
        <v>24</v>
      </c>
      <c r="J274" t="s">
        <v>96</v>
      </c>
      <c r="K274" t="s">
        <v>37</v>
      </c>
      <c r="L274" t="s">
        <v>27</v>
      </c>
      <c r="M274">
        <v>900</v>
      </c>
      <c r="N274" t="s">
        <v>27</v>
      </c>
      <c r="O274">
        <v>900</v>
      </c>
      <c r="P274">
        <v>900</v>
      </c>
      <c r="Q274" t="s">
        <v>30</v>
      </c>
      <c r="R274" s="2">
        <v>0.7</v>
      </c>
      <c r="S274">
        <v>630</v>
      </c>
      <c r="T274" t="s">
        <v>27</v>
      </c>
      <c r="U274">
        <v>630</v>
      </c>
      <c r="V274" s="7" t="s">
        <v>24</v>
      </c>
      <c r="W274" s="7" t="s">
        <v>37</v>
      </c>
    </row>
    <row r="275" spans="1:23" x14ac:dyDescent="0.4">
      <c r="A275" t="s">
        <v>262</v>
      </c>
      <c r="B275" t="s">
        <v>2075</v>
      </c>
      <c r="C275" t="s">
        <v>2156</v>
      </c>
      <c r="D275" t="s">
        <v>64</v>
      </c>
      <c r="E275" t="s">
        <v>22</v>
      </c>
      <c r="F275" t="s">
        <v>23</v>
      </c>
      <c r="G275">
        <v>1</v>
      </c>
      <c r="H275">
        <v>9791166064142</v>
      </c>
      <c r="I275" t="s">
        <v>24</v>
      </c>
      <c r="J275" t="s">
        <v>80</v>
      </c>
      <c r="K275" t="s">
        <v>37</v>
      </c>
      <c r="L275" t="s">
        <v>27</v>
      </c>
      <c r="M275">
        <v>900</v>
      </c>
      <c r="N275" t="s">
        <v>27</v>
      </c>
      <c r="O275">
        <v>900</v>
      </c>
      <c r="P275">
        <v>900</v>
      </c>
      <c r="Q275" t="s">
        <v>30</v>
      </c>
      <c r="R275" s="2">
        <v>0.7</v>
      </c>
      <c r="S275">
        <v>630</v>
      </c>
      <c r="T275" t="s">
        <v>27</v>
      </c>
      <c r="U275">
        <v>630</v>
      </c>
      <c r="V275" s="7" t="s">
        <v>24</v>
      </c>
      <c r="W275" s="7" t="s">
        <v>37</v>
      </c>
    </row>
    <row r="276" spans="1:23" x14ac:dyDescent="0.4">
      <c r="A276" t="s">
        <v>262</v>
      </c>
      <c r="B276" t="s">
        <v>2075</v>
      </c>
      <c r="C276" t="s">
        <v>2157</v>
      </c>
      <c r="D276" t="s">
        <v>64</v>
      </c>
      <c r="E276" t="s">
        <v>22</v>
      </c>
      <c r="F276" t="s">
        <v>23</v>
      </c>
      <c r="G276">
        <v>1</v>
      </c>
      <c r="H276">
        <v>9791159283116</v>
      </c>
      <c r="I276" t="s">
        <v>24</v>
      </c>
      <c r="J276" t="s">
        <v>76</v>
      </c>
      <c r="K276" t="s">
        <v>37</v>
      </c>
      <c r="L276" t="s">
        <v>27</v>
      </c>
      <c r="M276">
        <v>900</v>
      </c>
      <c r="N276" t="s">
        <v>27</v>
      </c>
      <c r="O276">
        <v>900</v>
      </c>
      <c r="P276">
        <v>900</v>
      </c>
      <c r="Q276" t="s">
        <v>30</v>
      </c>
      <c r="R276" s="2">
        <v>0.7</v>
      </c>
      <c r="S276">
        <v>630</v>
      </c>
      <c r="T276" t="s">
        <v>27</v>
      </c>
      <c r="U276">
        <v>630</v>
      </c>
      <c r="V276" s="7" t="s">
        <v>24</v>
      </c>
      <c r="W276" s="7" t="s">
        <v>37</v>
      </c>
    </row>
    <row r="277" spans="1:23" x14ac:dyDescent="0.4">
      <c r="A277" t="s">
        <v>262</v>
      </c>
      <c r="B277" t="s">
        <v>2159</v>
      </c>
      <c r="C277" t="s">
        <v>2161</v>
      </c>
      <c r="D277" t="s">
        <v>64</v>
      </c>
      <c r="E277" t="s">
        <v>22</v>
      </c>
      <c r="F277" t="s">
        <v>23</v>
      </c>
      <c r="G277">
        <v>1</v>
      </c>
      <c r="H277">
        <v>9791159283116</v>
      </c>
      <c r="I277" t="s">
        <v>24</v>
      </c>
      <c r="J277" t="s">
        <v>76</v>
      </c>
      <c r="K277" t="s">
        <v>37</v>
      </c>
      <c r="L277" t="s">
        <v>27</v>
      </c>
      <c r="M277">
        <v>900</v>
      </c>
      <c r="N277" t="s">
        <v>27</v>
      </c>
      <c r="O277">
        <v>900</v>
      </c>
      <c r="P277">
        <v>900</v>
      </c>
      <c r="Q277" t="s">
        <v>30</v>
      </c>
      <c r="R277" s="2">
        <v>0.7</v>
      </c>
      <c r="S277">
        <v>630</v>
      </c>
      <c r="T277" t="s">
        <v>27</v>
      </c>
      <c r="U277">
        <v>630</v>
      </c>
      <c r="V277" s="7" t="s">
        <v>24</v>
      </c>
      <c r="W277" s="7" t="s">
        <v>37</v>
      </c>
    </row>
    <row r="278" spans="1:23" x14ac:dyDescent="0.4">
      <c r="A278" t="s">
        <v>262</v>
      </c>
      <c r="B278" t="s">
        <v>2159</v>
      </c>
      <c r="C278" t="s">
        <v>2166</v>
      </c>
      <c r="D278" t="s">
        <v>64</v>
      </c>
      <c r="E278" t="s">
        <v>22</v>
      </c>
      <c r="F278" t="s">
        <v>23</v>
      </c>
      <c r="G278">
        <v>1</v>
      </c>
      <c r="H278">
        <v>9791166061097</v>
      </c>
      <c r="I278" t="s">
        <v>24</v>
      </c>
      <c r="J278" t="s">
        <v>95</v>
      </c>
      <c r="K278" t="s">
        <v>37</v>
      </c>
      <c r="L278" t="s">
        <v>27</v>
      </c>
      <c r="M278">
        <v>900</v>
      </c>
      <c r="N278" t="s">
        <v>27</v>
      </c>
      <c r="O278">
        <v>900</v>
      </c>
      <c r="P278">
        <v>900</v>
      </c>
      <c r="Q278" t="s">
        <v>30</v>
      </c>
      <c r="R278" s="2">
        <v>0.7</v>
      </c>
      <c r="S278">
        <v>630</v>
      </c>
      <c r="T278" t="s">
        <v>27</v>
      </c>
      <c r="U278">
        <v>630</v>
      </c>
      <c r="V278" s="7" t="s">
        <v>24</v>
      </c>
      <c r="W278" s="7" t="s">
        <v>37</v>
      </c>
    </row>
    <row r="279" spans="1:23" x14ac:dyDescent="0.4">
      <c r="A279" t="s">
        <v>262</v>
      </c>
      <c r="B279" t="s">
        <v>2159</v>
      </c>
      <c r="C279" t="s">
        <v>2180</v>
      </c>
      <c r="D279" t="s">
        <v>64</v>
      </c>
      <c r="E279" t="s">
        <v>22</v>
      </c>
      <c r="F279" t="s">
        <v>23</v>
      </c>
      <c r="G279">
        <v>1</v>
      </c>
      <c r="H279">
        <v>9791166061158</v>
      </c>
      <c r="I279" t="s">
        <v>24</v>
      </c>
      <c r="J279" t="s">
        <v>101</v>
      </c>
      <c r="K279" t="s">
        <v>37</v>
      </c>
      <c r="L279" t="s">
        <v>27</v>
      </c>
      <c r="M279">
        <v>900</v>
      </c>
      <c r="N279" t="s">
        <v>27</v>
      </c>
      <c r="O279">
        <v>900</v>
      </c>
      <c r="P279">
        <v>900</v>
      </c>
      <c r="Q279" t="s">
        <v>30</v>
      </c>
      <c r="R279" s="2">
        <v>0.7</v>
      </c>
      <c r="S279">
        <v>630</v>
      </c>
      <c r="T279" t="s">
        <v>27</v>
      </c>
      <c r="U279">
        <v>630</v>
      </c>
      <c r="V279" s="7" t="s">
        <v>24</v>
      </c>
      <c r="W279" s="7" t="s">
        <v>37</v>
      </c>
    </row>
    <row r="280" spans="1:23" x14ac:dyDescent="0.4">
      <c r="A280" t="s">
        <v>262</v>
      </c>
      <c r="B280" t="s">
        <v>2159</v>
      </c>
      <c r="C280" t="s">
        <v>2186</v>
      </c>
      <c r="D280" t="s">
        <v>64</v>
      </c>
      <c r="E280" t="s">
        <v>22</v>
      </c>
      <c r="F280" t="s">
        <v>23</v>
      </c>
      <c r="G280">
        <v>1</v>
      </c>
      <c r="H280">
        <v>9791159283086</v>
      </c>
      <c r="I280" t="s">
        <v>24</v>
      </c>
      <c r="J280" t="s">
        <v>72</v>
      </c>
      <c r="K280" t="s">
        <v>37</v>
      </c>
      <c r="L280" t="s">
        <v>27</v>
      </c>
      <c r="M280">
        <v>900</v>
      </c>
      <c r="N280" t="s">
        <v>27</v>
      </c>
      <c r="O280">
        <v>900</v>
      </c>
      <c r="P280">
        <v>900</v>
      </c>
      <c r="Q280" t="s">
        <v>30</v>
      </c>
      <c r="R280" s="2">
        <v>0.7</v>
      </c>
      <c r="S280">
        <v>630</v>
      </c>
      <c r="T280" t="s">
        <v>27</v>
      </c>
      <c r="U280">
        <v>630</v>
      </c>
      <c r="V280" s="7" t="s">
        <v>24</v>
      </c>
      <c r="W280" s="7" t="s">
        <v>37</v>
      </c>
    </row>
    <row r="281" spans="1:23" x14ac:dyDescent="0.4">
      <c r="A281" t="s">
        <v>262</v>
      </c>
      <c r="B281" t="s">
        <v>2159</v>
      </c>
      <c r="C281" t="s">
        <v>2192</v>
      </c>
      <c r="D281" t="s">
        <v>64</v>
      </c>
      <c r="E281" t="s">
        <v>22</v>
      </c>
      <c r="F281" t="s">
        <v>23</v>
      </c>
      <c r="G281">
        <v>1</v>
      </c>
      <c r="H281">
        <v>9791159282218</v>
      </c>
      <c r="I281" t="s">
        <v>24</v>
      </c>
      <c r="J281" t="s">
        <v>107</v>
      </c>
      <c r="K281" t="s">
        <v>37</v>
      </c>
      <c r="L281" t="s">
        <v>27</v>
      </c>
      <c r="M281">
        <v>900</v>
      </c>
      <c r="N281" t="s">
        <v>27</v>
      </c>
      <c r="O281">
        <v>900</v>
      </c>
      <c r="P281">
        <v>900</v>
      </c>
      <c r="Q281" t="s">
        <v>30</v>
      </c>
      <c r="R281" s="2">
        <v>0.7</v>
      </c>
      <c r="S281">
        <v>630</v>
      </c>
      <c r="T281" t="s">
        <v>27</v>
      </c>
      <c r="U281">
        <v>630</v>
      </c>
      <c r="V281" s="7" t="s">
        <v>24</v>
      </c>
      <c r="W281" s="7" t="s">
        <v>37</v>
      </c>
    </row>
    <row r="282" spans="1:23" x14ac:dyDescent="0.4">
      <c r="A282" t="s">
        <v>262</v>
      </c>
      <c r="B282" t="s">
        <v>2159</v>
      </c>
      <c r="C282" t="s">
        <v>2198</v>
      </c>
      <c r="D282" t="s">
        <v>64</v>
      </c>
      <c r="E282" t="s">
        <v>22</v>
      </c>
      <c r="F282" t="s">
        <v>23</v>
      </c>
      <c r="G282">
        <v>1</v>
      </c>
      <c r="H282">
        <v>9791166064159</v>
      </c>
      <c r="I282" t="s">
        <v>24</v>
      </c>
      <c r="J282" t="s">
        <v>86</v>
      </c>
      <c r="K282" t="s">
        <v>37</v>
      </c>
      <c r="L282" t="s">
        <v>27</v>
      </c>
      <c r="M282">
        <v>900</v>
      </c>
      <c r="N282" t="s">
        <v>27</v>
      </c>
      <c r="O282">
        <v>900</v>
      </c>
      <c r="P282">
        <v>900</v>
      </c>
      <c r="Q282" t="s">
        <v>30</v>
      </c>
      <c r="R282" s="2">
        <v>0.7</v>
      </c>
      <c r="S282">
        <v>630</v>
      </c>
      <c r="T282" t="s">
        <v>27</v>
      </c>
      <c r="U282">
        <v>630</v>
      </c>
      <c r="V282" s="7" t="s">
        <v>24</v>
      </c>
      <c r="W282" s="7" t="s">
        <v>37</v>
      </c>
    </row>
    <row r="283" spans="1:23" x14ac:dyDescent="0.4">
      <c r="A283" t="s">
        <v>262</v>
      </c>
      <c r="B283" t="s">
        <v>2159</v>
      </c>
      <c r="C283" t="s">
        <v>2199</v>
      </c>
      <c r="D283" t="s">
        <v>64</v>
      </c>
      <c r="E283" t="s">
        <v>22</v>
      </c>
      <c r="F283" t="s">
        <v>23</v>
      </c>
      <c r="G283">
        <v>1</v>
      </c>
      <c r="H283">
        <v>9791166061103</v>
      </c>
      <c r="I283" t="s">
        <v>24</v>
      </c>
      <c r="J283" t="s">
        <v>96</v>
      </c>
      <c r="K283" t="s">
        <v>37</v>
      </c>
      <c r="L283" t="s">
        <v>27</v>
      </c>
      <c r="M283">
        <v>900</v>
      </c>
      <c r="N283" t="s">
        <v>27</v>
      </c>
      <c r="O283">
        <v>900</v>
      </c>
      <c r="P283">
        <v>900</v>
      </c>
      <c r="Q283" t="s">
        <v>30</v>
      </c>
      <c r="R283" s="2">
        <v>0.7</v>
      </c>
      <c r="S283">
        <v>630</v>
      </c>
      <c r="T283" t="s">
        <v>27</v>
      </c>
      <c r="U283">
        <v>630</v>
      </c>
      <c r="V283" s="7" t="s">
        <v>24</v>
      </c>
      <c r="W283" s="7" t="s">
        <v>37</v>
      </c>
    </row>
    <row r="284" spans="1:23" x14ac:dyDescent="0.4">
      <c r="A284" t="s">
        <v>262</v>
      </c>
      <c r="B284" t="s">
        <v>2159</v>
      </c>
      <c r="C284" t="s">
        <v>2201</v>
      </c>
      <c r="D284" t="s">
        <v>64</v>
      </c>
      <c r="E284" t="s">
        <v>22</v>
      </c>
      <c r="F284" t="s">
        <v>23</v>
      </c>
      <c r="G284">
        <v>1</v>
      </c>
      <c r="H284">
        <v>9791166064081</v>
      </c>
      <c r="I284" t="s">
        <v>24</v>
      </c>
      <c r="J284" t="s">
        <v>91</v>
      </c>
      <c r="K284" t="s">
        <v>37</v>
      </c>
      <c r="L284" t="s">
        <v>27</v>
      </c>
      <c r="M284">
        <v>900</v>
      </c>
      <c r="N284" t="s">
        <v>27</v>
      </c>
      <c r="O284">
        <v>900</v>
      </c>
      <c r="P284">
        <v>900</v>
      </c>
      <c r="Q284" t="s">
        <v>30</v>
      </c>
      <c r="R284" s="2">
        <v>0.7</v>
      </c>
      <c r="S284">
        <v>630</v>
      </c>
      <c r="T284" t="s">
        <v>27</v>
      </c>
      <c r="U284">
        <v>630</v>
      </c>
      <c r="V284" s="7" t="s">
        <v>24</v>
      </c>
      <c r="W284" s="7" t="s">
        <v>37</v>
      </c>
    </row>
    <row r="285" spans="1:23" x14ac:dyDescent="0.4">
      <c r="A285" t="s">
        <v>262</v>
      </c>
      <c r="B285" t="s">
        <v>2159</v>
      </c>
      <c r="C285" t="s">
        <v>2212</v>
      </c>
      <c r="D285" t="s">
        <v>64</v>
      </c>
      <c r="E285" t="s">
        <v>22</v>
      </c>
      <c r="F285" t="s">
        <v>23</v>
      </c>
      <c r="G285">
        <v>1</v>
      </c>
      <c r="H285">
        <v>9791159283239</v>
      </c>
      <c r="I285" t="s">
        <v>24</v>
      </c>
      <c r="J285" t="s">
        <v>66</v>
      </c>
      <c r="K285" t="s">
        <v>37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  <c r="V285" s="7" t="s">
        <v>24</v>
      </c>
      <c r="W285" s="7" t="s">
        <v>37</v>
      </c>
    </row>
    <row r="286" spans="1:23" x14ac:dyDescent="0.4">
      <c r="A286" t="s">
        <v>262</v>
      </c>
      <c r="B286" t="s">
        <v>2159</v>
      </c>
      <c r="C286" t="s">
        <v>2213</v>
      </c>
      <c r="D286" t="s">
        <v>64</v>
      </c>
      <c r="E286" t="s">
        <v>22</v>
      </c>
      <c r="F286" t="s">
        <v>23</v>
      </c>
      <c r="G286">
        <v>1</v>
      </c>
      <c r="H286">
        <v>9791166064159</v>
      </c>
      <c r="I286" t="s">
        <v>24</v>
      </c>
      <c r="J286" t="s">
        <v>86</v>
      </c>
      <c r="K286" t="s">
        <v>37</v>
      </c>
      <c r="L286" t="s">
        <v>27</v>
      </c>
      <c r="M286">
        <v>900</v>
      </c>
      <c r="N286" t="s">
        <v>27</v>
      </c>
      <c r="O286">
        <v>900</v>
      </c>
      <c r="P286">
        <v>900</v>
      </c>
      <c r="Q286" t="s">
        <v>30</v>
      </c>
      <c r="R286" s="2">
        <v>0.7</v>
      </c>
      <c r="S286">
        <v>630</v>
      </c>
      <c r="T286" t="s">
        <v>27</v>
      </c>
      <c r="U286">
        <v>630</v>
      </c>
      <c r="V286" s="7" t="s">
        <v>24</v>
      </c>
      <c r="W286" s="7" t="s">
        <v>37</v>
      </c>
    </row>
    <row r="287" spans="1:23" x14ac:dyDescent="0.4">
      <c r="A287" t="s">
        <v>262</v>
      </c>
      <c r="B287" t="s">
        <v>2159</v>
      </c>
      <c r="C287" t="s">
        <v>2220</v>
      </c>
      <c r="D287" t="s">
        <v>64</v>
      </c>
      <c r="E287" t="s">
        <v>22</v>
      </c>
      <c r="F287" t="s">
        <v>23</v>
      </c>
      <c r="G287">
        <v>1</v>
      </c>
      <c r="H287">
        <v>9791159283093</v>
      </c>
      <c r="I287" t="s">
        <v>24</v>
      </c>
      <c r="J287" t="s">
        <v>73</v>
      </c>
      <c r="K287" t="s">
        <v>37</v>
      </c>
      <c r="L287" t="s">
        <v>27</v>
      </c>
      <c r="M287">
        <v>900</v>
      </c>
      <c r="N287" t="s">
        <v>27</v>
      </c>
      <c r="O287">
        <v>900</v>
      </c>
      <c r="P287">
        <v>900</v>
      </c>
      <c r="Q287" t="s">
        <v>30</v>
      </c>
      <c r="R287" s="2">
        <v>0.7</v>
      </c>
      <c r="S287">
        <v>630</v>
      </c>
      <c r="T287" t="s">
        <v>27</v>
      </c>
      <c r="U287">
        <v>630</v>
      </c>
      <c r="V287" s="7" t="s">
        <v>24</v>
      </c>
      <c r="W287" s="7" t="s">
        <v>37</v>
      </c>
    </row>
    <row r="288" spans="1:23" x14ac:dyDescent="0.4">
      <c r="A288" t="s">
        <v>262</v>
      </c>
      <c r="B288" t="s">
        <v>2159</v>
      </c>
      <c r="C288" t="s">
        <v>2221</v>
      </c>
      <c r="D288" t="s">
        <v>64</v>
      </c>
      <c r="E288" t="s">
        <v>22</v>
      </c>
      <c r="F288" t="s">
        <v>23</v>
      </c>
      <c r="G288">
        <v>1</v>
      </c>
      <c r="H288">
        <v>9791159283123</v>
      </c>
      <c r="I288" t="s">
        <v>24</v>
      </c>
      <c r="J288" t="s">
        <v>78</v>
      </c>
      <c r="K288" t="s">
        <v>37</v>
      </c>
      <c r="L288" t="s">
        <v>27</v>
      </c>
      <c r="M288">
        <v>900</v>
      </c>
      <c r="N288" t="s">
        <v>27</v>
      </c>
      <c r="O288">
        <v>900</v>
      </c>
      <c r="P288">
        <v>900</v>
      </c>
      <c r="Q288" t="s">
        <v>30</v>
      </c>
      <c r="R288" s="2">
        <v>0.7</v>
      </c>
      <c r="S288">
        <v>630</v>
      </c>
      <c r="T288" t="s">
        <v>27</v>
      </c>
      <c r="U288">
        <v>630</v>
      </c>
      <c r="V288" s="7" t="s">
        <v>24</v>
      </c>
      <c r="W288" s="7" t="s">
        <v>37</v>
      </c>
    </row>
    <row r="289" spans="1:23" x14ac:dyDescent="0.4">
      <c r="A289" t="s">
        <v>262</v>
      </c>
      <c r="B289" t="s">
        <v>2159</v>
      </c>
      <c r="C289" t="s">
        <v>2223</v>
      </c>
      <c r="D289" t="s">
        <v>64</v>
      </c>
      <c r="E289" t="s">
        <v>22</v>
      </c>
      <c r="F289" t="s">
        <v>23</v>
      </c>
      <c r="G289">
        <v>1</v>
      </c>
      <c r="H289">
        <v>9791159283260</v>
      </c>
      <c r="I289" t="s">
        <v>24</v>
      </c>
      <c r="J289" t="s">
        <v>69</v>
      </c>
      <c r="K289" t="s">
        <v>37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  <c r="V289" s="7" t="s">
        <v>24</v>
      </c>
      <c r="W289" s="7" t="s">
        <v>37</v>
      </c>
    </row>
    <row r="290" spans="1:23" x14ac:dyDescent="0.4">
      <c r="A290" t="s">
        <v>262</v>
      </c>
      <c r="B290" t="s">
        <v>2159</v>
      </c>
      <c r="C290" t="s">
        <v>2224</v>
      </c>
      <c r="D290" t="s">
        <v>64</v>
      </c>
      <c r="E290" t="s">
        <v>22</v>
      </c>
      <c r="F290" t="s">
        <v>23</v>
      </c>
      <c r="G290">
        <v>1</v>
      </c>
      <c r="H290">
        <v>9791166061110</v>
      </c>
      <c r="I290" t="s">
        <v>24</v>
      </c>
      <c r="J290" t="s">
        <v>97</v>
      </c>
      <c r="K290" t="s">
        <v>37</v>
      </c>
      <c r="L290" t="s">
        <v>27</v>
      </c>
      <c r="M290">
        <v>900</v>
      </c>
      <c r="N290" t="s">
        <v>27</v>
      </c>
      <c r="O290">
        <v>900</v>
      </c>
      <c r="P290">
        <v>900</v>
      </c>
      <c r="Q290" t="s">
        <v>30</v>
      </c>
      <c r="R290" s="2">
        <v>0.7</v>
      </c>
      <c r="S290">
        <v>630</v>
      </c>
      <c r="T290" t="s">
        <v>27</v>
      </c>
      <c r="U290">
        <v>630</v>
      </c>
      <c r="V290" s="7" t="s">
        <v>24</v>
      </c>
      <c r="W290" s="7" t="s">
        <v>37</v>
      </c>
    </row>
    <row r="291" spans="1:23" x14ac:dyDescent="0.4">
      <c r="A291" t="s">
        <v>262</v>
      </c>
      <c r="B291" t="s">
        <v>2159</v>
      </c>
      <c r="C291" t="s">
        <v>2225</v>
      </c>
      <c r="D291" t="s">
        <v>64</v>
      </c>
      <c r="E291" t="s">
        <v>22</v>
      </c>
      <c r="F291" t="s">
        <v>23</v>
      </c>
      <c r="G291">
        <v>1</v>
      </c>
      <c r="H291">
        <v>9791159283109</v>
      </c>
      <c r="I291" t="s">
        <v>24</v>
      </c>
      <c r="J291" t="s">
        <v>75</v>
      </c>
      <c r="K291" t="s">
        <v>37</v>
      </c>
      <c r="L291" t="s">
        <v>27</v>
      </c>
      <c r="M291">
        <v>900</v>
      </c>
      <c r="N291" t="s">
        <v>27</v>
      </c>
      <c r="O291">
        <v>900</v>
      </c>
      <c r="P291">
        <v>900</v>
      </c>
      <c r="Q291" t="s">
        <v>30</v>
      </c>
      <c r="R291" s="2">
        <v>0.7</v>
      </c>
      <c r="S291">
        <v>630</v>
      </c>
      <c r="T291" t="s">
        <v>27</v>
      </c>
      <c r="U291">
        <v>630</v>
      </c>
      <c r="V291" s="7" t="s">
        <v>24</v>
      </c>
      <c r="W291" s="7" t="s">
        <v>37</v>
      </c>
    </row>
    <row r="292" spans="1:23" x14ac:dyDescent="0.4">
      <c r="A292" t="s">
        <v>262</v>
      </c>
      <c r="B292" t="s">
        <v>2159</v>
      </c>
      <c r="C292" t="s">
        <v>2226</v>
      </c>
      <c r="D292" t="s">
        <v>64</v>
      </c>
      <c r="E292" t="s">
        <v>22</v>
      </c>
      <c r="F292" t="s">
        <v>23</v>
      </c>
      <c r="G292">
        <v>1</v>
      </c>
      <c r="H292">
        <v>9791159283093</v>
      </c>
      <c r="I292" t="s">
        <v>24</v>
      </c>
      <c r="J292" t="s">
        <v>73</v>
      </c>
      <c r="K292" t="s">
        <v>37</v>
      </c>
      <c r="L292" t="s">
        <v>27</v>
      </c>
      <c r="M292">
        <v>900</v>
      </c>
      <c r="N292" t="s">
        <v>27</v>
      </c>
      <c r="O292">
        <v>900</v>
      </c>
      <c r="P292">
        <v>900</v>
      </c>
      <c r="Q292" t="s">
        <v>30</v>
      </c>
      <c r="R292" s="2">
        <v>0.7</v>
      </c>
      <c r="S292">
        <v>630</v>
      </c>
      <c r="T292" t="s">
        <v>27</v>
      </c>
      <c r="U292">
        <v>630</v>
      </c>
      <c r="V292" s="7" t="s">
        <v>24</v>
      </c>
      <c r="W292" s="7" t="s">
        <v>37</v>
      </c>
    </row>
    <row r="293" spans="1:23" x14ac:dyDescent="0.4">
      <c r="A293" t="s">
        <v>262</v>
      </c>
      <c r="B293" t="s">
        <v>2159</v>
      </c>
      <c r="C293" t="s">
        <v>2229</v>
      </c>
      <c r="D293" t="s">
        <v>64</v>
      </c>
      <c r="E293" t="s">
        <v>22</v>
      </c>
      <c r="F293" t="s">
        <v>23</v>
      </c>
      <c r="G293">
        <v>1</v>
      </c>
      <c r="H293">
        <v>9791166064166</v>
      </c>
      <c r="I293" t="s">
        <v>24</v>
      </c>
      <c r="J293" t="s">
        <v>87</v>
      </c>
      <c r="K293" t="s">
        <v>37</v>
      </c>
      <c r="L293" t="s">
        <v>27</v>
      </c>
      <c r="M293">
        <v>900</v>
      </c>
      <c r="N293" t="s">
        <v>27</v>
      </c>
      <c r="O293">
        <v>900</v>
      </c>
      <c r="P293">
        <v>900</v>
      </c>
      <c r="Q293" t="s">
        <v>30</v>
      </c>
      <c r="R293" s="2">
        <v>0.7</v>
      </c>
      <c r="S293">
        <v>630</v>
      </c>
      <c r="T293" t="s">
        <v>27</v>
      </c>
      <c r="U293">
        <v>630</v>
      </c>
      <c r="V293" s="7" t="s">
        <v>24</v>
      </c>
      <c r="W293" s="7" t="s">
        <v>37</v>
      </c>
    </row>
    <row r="294" spans="1:23" x14ac:dyDescent="0.4">
      <c r="A294" t="s">
        <v>262</v>
      </c>
      <c r="B294" t="s">
        <v>2159</v>
      </c>
      <c r="C294" t="s">
        <v>2233</v>
      </c>
      <c r="D294" t="s">
        <v>64</v>
      </c>
      <c r="E294" t="s">
        <v>22</v>
      </c>
      <c r="F294" t="s">
        <v>23</v>
      </c>
      <c r="G294">
        <v>1</v>
      </c>
      <c r="H294">
        <v>9791166061103</v>
      </c>
      <c r="I294" t="s">
        <v>24</v>
      </c>
      <c r="J294" t="s">
        <v>96</v>
      </c>
      <c r="K294" t="s">
        <v>37</v>
      </c>
      <c r="L294" t="s">
        <v>27</v>
      </c>
      <c r="M294">
        <v>900</v>
      </c>
      <c r="N294" t="s">
        <v>27</v>
      </c>
      <c r="O294">
        <v>900</v>
      </c>
      <c r="P294">
        <v>900</v>
      </c>
      <c r="Q294" t="s">
        <v>30</v>
      </c>
      <c r="R294" s="2">
        <v>0.7</v>
      </c>
      <c r="S294">
        <v>630</v>
      </c>
      <c r="T294" t="s">
        <v>27</v>
      </c>
      <c r="U294">
        <v>630</v>
      </c>
      <c r="V294" s="7" t="s">
        <v>24</v>
      </c>
      <c r="W294" s="7" t="s">
        <v>37</v>
      </c>
    </row>
    <row r="295" spans="1:23" x14ac:dyDescent="0.4">
      <c r="A295" t="s">
        <v>262</v>
      </c>
      <c r="B295" t="s">
        <v>2159</v>
      </c>
      <c r="C295" t="s">
        <v>2234</v>
      </c>
      <c r="D295" t="s">
        <v>64</v>
      </c>
      <c r="E295" t="s">
        <v>22</v>
      </c>
      <c r="F295" t="s">
        <v>23</v>
      </c>
      <c r="G295">
        <v>1</v>
      </c>
      <c r="H295">
        <v>9791159283116</v>
      </c>
      <c r="I295" t="s">
        <v>24</v>
      </c>
      <c r="J295" t="s">
        <v>76</v>
      </c>
      <c r="K295" t="s">
        <v>37</v>
      </c>
      <c r="L295" t="s">
        <v>27</v>
      </c>
      <c r="M295">
        <v>900</v>
      </c>
      <c r="N295" t="s">
        <v>27</v>
      </c>
      <c r="O295">
        <v>900</v>
      </c>
      <c r="P295">
        <v>900</v>
      </c>
      <c r="Q295" t="s">
        <v>30</v>
      </c>
      <c r="R295" s="2">
        <v>0.7</v>
      </c>
      <c r="S295">
        <v>630</v>
      </c>
      <c r="T295" t="s">
        <v>27</v>
      </c>
      <c r="U295">
        <v>630</v>
      </c>
      <c r="V295" s="7" t="s">
        <v>24</v>
      </c>
      <c r="W295" s="7" t="s">
        <v>37</v>
      </c>
    </row>
    <row r="296" spans="1:23" x14ac:dyDescent="0.4">
      <c r="A296" t="s">
        <v>262</v>
      </c>
      <c r="B296" t="s">
        <v>2236</v>
      </c>
      <c r="C296" t="s">
        <v>2239</v>
      </c>
      <c r="D296" t="s">
        <v>64</v>
      </c>
      <c r="E296" t="s">
        <v>22</v>
      </c>
      <c r="F296" t="s">
        <v>23</v>
      </c>
      <c r="G296">
        <v>1</v>
      </c>
      <c r="H296">
        <v>9791159282225</v>
      </c>
      <c r="I296" t="s">
        <v>24</v>
      </c>
      <c r="J296" t="s">
        <v>108</v>
      </c>
      <c r="K296" t="s">
        <v>37</v>
      </c>
      <c r="L296" t="s">
        <v>27</v>
      </c>
      <c r="M296">
        <v>900</v>
      </c>
      <c r="N296" t="s">
        <v>27</v>
      </c>
      <c r="O296">
        <v>900</v>
      </c>
      <c r="P296">
        <v>900</v>
      </c>
      <c r="Q296" t="s">
        <v>30</v>
      </c>
      <c r="R296" s="2">
        <v>0.7</v>
      </c>
      <c r="S296">
        <v>630</v>
      </c>
      <c r="T296" t="s">
        <v>27</v>
      </c>
      <c r="U296">
        <v>630</v>
      </c>
      <c r="V296" s="7" t="s">
        <v>24</v>
      </c>
      <c r="W296" s="7" t="s">
        <v>37</v>
      </c>
    </row>
    <row r="297" spans="1:23" x14ac:dyDescent="0.4">
      <c r="A297" t="s">
        <v>262</v>
      </c>
      <c r="B297" t="s">
        <v>2236</v>
      </c>
      <c r="C297" t="s">
        <v>2240</v>
      </c>
      <c r="D297" t="s">
        <v>64</v>
      </c>
      <c r="E297" t="s">
        <v>22</v>
      </c>
      <c r="F297" t="s">
        <v>23</v>
      </c>
      <c r="G297">
        <v>1</v>
      </c>
      <c r="H297">
        <v>9791166064098</v>
      </c>
      <c r="I297" t="s">
        <v>24</v>
      </c>
      <c r="J297" t="s">
        <v>92</v>
      </c>
      <c r="K297" t="s">
        <v>37</v>
      </c>
      <c r="L297" t="s">
        <v>27</v>
      </c>
      <c r="M297">
        <v>900</v>
      </c>
      <c r="N297" t="s">
        <v>27</v>
      </c>
      <c r="O297">
        <v>900</v>
      </c>
      <c r="P297">
        <v>900</v>
      </c>
      <c r="Q297" t="s">
        <v>30</v>
      </c>
      <c r="R297" s="2">
        <v>0.7</v>
      </c>
      <c r="S297">
        <v>630</v>
      </c>
      <c r="T297" t="s">
        <v>27</v>
      </c>
      <c r="U297">
        <v>630</v>
      </c>
      <c r="V297" s="7" t="s">
        <v>24</v>
      </c>
      <c r="W297" s="7" t="s">
        <v>37</v>
      </c>
    </row>
    <row r="298" spans="1:23" x14ac:dyDescent="0.4">
      <c r="A298" t="s">
        <v>262</v>
      </c>
      <c r="B298" t="s">
        <v>2236</v>
      </c>
      <c r="C298" t="s">
        <v>2243</v>
      </c>
      <c r="D298" t="s">
        <v>64</v>
      </c>
      <c r="E298" t="s">
        <v>22</v>
      </c>
      <c r="F298" t="s">
        <v>23</v>
      </c>
      <c r="G298">
        <v>1</v>
      </c>
      <c r="H298">
        <v>9791159283123</v>
      </c>
      <c r="I298" t="s">
        <v>24</v>
      </c>
      <c r="J298" t="s">
        <v>78</v>
      </c>
      <c r="K298" t="s">
        <v>37</v>
      </c>
      <c r="L298" t="s">
        <v>27</v>
      </c>
      <c r="M298">
        <v>900</v>
      </c>
      <c r="N298" t="s">
        <v>27</v>
      </c>
      <c r="O298">
        <v>900</v>
      </c>
      <c r="P298">
        <v>900</v>
      </c>
      <c r="Q298" t="s">
        <v>30</v>
      </c>
      <c r="R298" s="2">
        <v>0.7</v>
      </c>
      <c r="S298">
        <v>630</v>
      </c>
      <c r="T298" t="s">
        <v>27</v>
      </c>
      <c r="U298">
        <v>630</v>
      </c>
      <c r="V298" s="7" t="s">
        <v>24</v>
      </c>
      <c r="W298" s="7" t="s">
        <v>37</v>
      </c>
    </row>
    <row r="299" spans="1:23" x14ac:dyDescent="0.4">
      <c r="A299" t="s">
        <v>262</v>
      </c>
      <c r="B299" t="s">
        <v>2236</v>
      </c>
      <c r="C299" t="s">
        <v>2244</v>
      </c>
      <c r="D299" t="s">
        <v>64</v>
      </c>
      <c r="E299" t="s">
        <v>22</v>
      </c>
      <c r="F299" t="s">
        <v>23</v>
      </c>
      <c r="G299">
        <v>1</v>
      </c>
      <c r="H299">
        <v>9791159283086</v>
      </c>
      <c r="I299" t="s">
        <v>24</v>
      </c>
      <c r="J299" t="s">
        <v>72</v>
      </c>
      <c r="K299" t="s">
        <v>37</v>
      </c>
      <c r="L299" t="s">
        <v>27</v>
      </c>
      <c r="M299">
        <v>900</v>
      </c>
      <c r="N299" t="s">
        <v>27</v>
      </c>
      <c r="O299">
        <v>900</v>
      </c>
      <c r="P299">
        <v>900</v>
      </c>
      <c r="Q299" t="s">
        <v>30</v>
      </c>
      <c r="R299" s="2">
        <v>0.7</v>
      </c>
      <c r="S299">
        <v>630</v>
      </c>
      <c r="T299" t="s">
        <v>27</v>
      </c>
      <c r="U299">
        <v>630</v>
      </c>
      <c r="V299" s="7" t="s">
        <v>24</v>
      </c>
      <c r="W299" s="7" t="s">
        <v>37</v>
      </c>
    </row>
    <row r="300" spans="1:23" x14ac:dyDescent="0.4">
      <c r="A300" t="s">
        <v>262</v>
      </c>
      <c r="B300" t="s">
        <v>2236</v>
      </c>
      <c r="C300" t="s">
        <v>2247</v>
      </c>
      <c r="D300" t="s">
        <v>64</v>
      </c>
      <c r="E300" t="s">
        <v>22</v>
      </c>
      <c r="F300" t="s">
        <v>23</v>
      </c>
      <c r="G300">
        <v>1</v>
      </c>
      <c r="H300">
        <v>9791159283123</v>
      </c>
      <c r="I300" t="s">
        <v>24</v>
      </c>
      <c r="J300" t="s">
        <v>78</v>
      </c>
      <c r="K300" t="s">
        <v>37</v>
      </c>
      <c r="L300" t="s">
        <v>27</v>
      </c>
      <c r="M300">
        <v>900</v>
      </c>
      <c r="N300" t="s">
        <v>27</v>
      </c>
      <c r="O300">
        <v>900</v>
      </c>
      <c r="P300">
        <v>900</v>
      </c>
      <c r="Q300" t="s">
        <v>30</v>
      </c>
      <c r="R300" s="2">
        <v>0.7</v>
      </c>
      <c r="S300">
        <v>630</v>
      </c>
      <c r="T300" t="s">
        <v>27</v>
      </c>
      <c r="U300">
        <v>630</v>
      </c>
      <c r="V300" s="7" t="s">
        <v>24</v>
      </c>
      <c r="W300" s="7" t="s">
        <v>37</v>
      </c>
    </row>
    <row r="301" spans="1:23" x14ac:dyDescent="0.4">
      <c r="A301" t="s">
        <v>262</v>
      </c>
      <c r="B301" t="s">
        <v>2236</v>
      </c>
      <c r="C301" t="s">
        <v>2250</v>
      </c>
      <c r="D301" t="s">
        <v>64</v>
      </c>
      <c r="E301" t="s">
        <v>22</v>
      </c>
      <c r="F301" t="s">
        <v>23</v>
      </c>
      <c r="G301">
        <v>1</v>
      </c>
      <c r="H301">
        <v>9791159283130</v>
      </c>
      <c r="I301" t="s">
        <v>24</v>
      </c>
      <c r="J301" t="s">
        <v>82</v>
      </c>
      <c r="K301" t="s">
        <v>37</v>
      </c>
      <c r="L301" t="s">
        <v>27</v>
      </c>
      <c r="M301">
        <v>900</v>
      </c>
      <c r="N301" t="s">
        <v>27</v>
      </c>
      <c r="O301">
        <v>900</v>
      </c>
      <c r="P301">
        <v>900</v>
      </c>
      <c r="Q301" t="s">
        <v>30</v>
      </c>
      <c r="R301" s="2">
        <v>0.7</v>
      </c>
      <c r="S301">
        <v>630</v>
      </c>
      <c r="T301" t="s">
        <v>27</v>
      </c>
      <c r="U301">
        <v>630</v>
      </c>
      <c r="V301" s="7" t="s">
        <v>24</v>
      </c>
      <c r="W301" s="7" t="s">
        <v>37</v>
      </c>
    </row>
    <row r="302" spans="1:23" x14ac:dyDescent="0.4">
      <c r="A302" t="s">
        <v>262</v>
      </c>
      <c r="B302" t="s">
        <v>2236</v>
      </c>
      <c r="C302" t="s">
        <v>2256</v>
      </c>
      <c r="D302" t="s">
        <v>64</v>
      </c>
      <c r="E302" t="s">
        <v>22</v>
      </c>
      <c r="F302" t="s">
        <v>23</v>
      </c>
      <c r="G302">
        <v>1</v>
      </c>
      <c r="H302">
        <v>9791166064166</v>
      </c>
      <c r="I302" t="s">
        <v>24</v>
      </c>
      <c r="J302" t="s">
        <v>87</v>
      </c>
      <c r="K302" t="s">
        <v>37</v>
      </c>
      <c r="L302" t="s">
        <v>27</v>
      </c>
      <c r="M302">
        <v>900</v>
      </c>
      <c r="N302" t="s">
        <v>27</v>
      </c>
      <c r="O302">
        <v>900</v>
      </c>
      <c r="P302">
        <v>900</v>
      </c>
      <c r="Q302" t="s">
        <v>30</v>
      </c>
      <c r="R302" s="2">
        <v>0.7</v>
      </c>
      <c r="S302">
        <v>630</v>
      </c>
      <c r="T302" t="s">
        <v>27</v>
      </c>
      <c r="U302">
        <v>630</v>
      </c>
      <c r="V302" s="7" t="s">
        <v>24</v>
      </c>
      <c r="W302" s="7" t="s">
        <v>37</v>
      </c>
    </row>
    <row r="303" spans="1:23" x14ac:dyDescent="0.4">
      <c r="A303" t="s">
        <v>262</v>
      </c>
      <c r="B303" t="s">
        <v>2236</v>
      </c>
      <c r="C303" t="s">
        <v>2257</v>
      </c>
      <c r="D303" t="s">
        <v>64</v>
      </c>
      <c r="E303" t="s">
        <v>22</v>
      </c>
      <c r="F303" t="s">
        <v>23</v>
      </c>
      <c r="G303">
        <v>1</v>
      </c>
      <c r="H303">
        <v>9791166061158</v>
      </c>
      <c r="I303" t="s">
        <v>24</v>
      </c>
      <c r="J303" t="s">
        <v>101</v>
      </c>
      <c r="K303" t="s">
        <v>37</v>
      </c>
      <c r="L303" t="s">
        <v>27</v>
      </c>
      <c r="M303">
        <v>900</v>
      </c>
      <c r="N303" t="s">
        <v>27</v>
      </c>
      <c r="O303">
        <v>900</v>
      </c>
      <c r="P303">
        <v>900</v>
      </c>
      <c r="Q303" t="s">
        <v>30</v>
      </c>
      <c r="R303" s="2">
        <v>0.7</v>
      </c>
      <c r="S303">
        <v>630</v>
      </c>
      <c r="T303" t="s">
        <v>27</v>
      </c>
      <c r="U303">
        <v>630</v>
      </c>
      <c r="V303" s="7" t="s">
        <v>24</v>
      </c>
      <c r="W303" s="7" t="s">
        <v>37</v>
      </c>
    </row>
    <row r="304" spans="1:23" x14ac:dyDescent="0.4">
      <c r="A304" t="s">
        <v>262</v>
      </c>
      <c r="B304" t="s">
        <v>2236</v>
      </c>
      <c r="C304" t="s">
        <v>2268</v>
      </c>
      <c r="D304" t="s">
        <v>64</v>
      </c>
      <c r="E304" t="s">
        <v>22</v>
      </c>
      <c r="F304" t="s">
        <v>23</v>
      </c>
      <c r="G304">
        <v>1</v>
      </c>
      <c r="H304">
        <v>9791166064173</v>
      </c>
      <c r="I304" t="s">
        <v>24</v>
      </c>
      <c r="J304" t="s">
        <v>209</v>
      </c>
      <c r="K304" t="s">
        <v>37</v>
      </c>
      <c r="L304" t="s">
        <v>27</v>
      </c>
      <c r="M304">
        <v>900</v>
      </c>
      <c r="N304" t="s">
        <v>27</v>
      </c>
      <c r="O304">
        <v>900</v>
      </c>
      <c r="P304">
        <v>900</v>
      </c>
      <c r="Q304" t="s">
        <v>30</v>
      </c>
      <c r="R304" s="2">
        <v>0.7</v>
      </c>
      <c r="S304">
        <v>630</v>
      </c>
      <c r="T304" t="s">
        <v>27</v>
      </c>
      <c r="U304">
        <v>630</v>
      </c>
      <c r="V304" s="7" t="s">
        <v>24</v>
      </c>
      <c r="W304" s="7" t="s">
        <v>37</v>
      </c>
    </row>
    <row r="305" spans="1:23" x14ac:dyDescent="0.4">
      <c r="A305" t="s">
        <v>262</v>
      </c>
      <c r="B305" t="s">
        <v>2236</v>
      </c>
      <c r="C305" t="s">
        <v>2272</v>
      </c>
      <c r="D305" t="s">
        <v>64</v>
      </c>
      <c r="E305" t="s">
        <v>22</v>
      </c>
      <c r="F305" t="s">
        <v>23</v>
      </c>
      <c r="G305">
        <v>1</v>
      </c>
      <c r="H305">
        <v>9791159283208</v>
      </c>
      <c r="I305" t="s">
        <v>24</v>
      </c>
      <c r="J305" t="s">
        <v>105</v>
      </c>
      <c r="K305" t="s">
        <v>37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  <c r="V305" s="7" t="s">
        <v>24</v>
      </c>
      <c r="W305" s="7" t="s">
        <v>37</v>
      </c>
    </row>
    <row r="306" spans="1:23" x14ac:dyDescent="0.4">
      <c r="A306" t="s">
        <v>262</v>
      </c>
      <c r="B306" t="s">
        <v>2236</v>
      </c>
      <c r="C306" t="s">
        <v>2277</v>
      </c>
      <c r="D306" t="s">
        <v>64</v>
      </c>
      <c r="E306" t="s">
        <v>22</v>
      </c>
      <c r="F306" t="s">
        <v>23</v>
      </c>
      <c r="G306">
        <v>1</v>
      </c>
      <c r="H306">
        <v>9791159283147</v>
      </c>
      <c r="I306" t="s">
        <v>24</v>
      </c>
      <c r="J306" t="s">
        <v>83</v>
      </c>
      <c r="K306" t="s">
        <v>37</v>
      </c>
      <c r="L306" t="s">
        <v>27</v>
      </c>
      <c r="M306">
        <v>900</v>
      </c>
      <c r="N306" t="s">
        <v>27</v>
      </c>
      <c r="O306">
        <v>900</v>
      </c>
      <c r="P306">
        <v>900</v>
      </c>
      <c r="Q306" t="s">
        <v>30</v>
      </c>
      <c r="R306" s="2">
        <v>0.7</v>
      </c>
      <c r="S306">
        <v>630</v>
      </c>
      <c r="T306" t="s">
        <v>27</v>
      </c>
      <c r="U306">
        <v>630</v>
      </c>
      <c r="V306" s="7" t="s">
        <v>24</v>
      </c>
      <c r="W306" s="7" t="s">
        <v>37</v>
      </c>
    </row>
    <row r="307" spans="1:23" x14ac:dyDescent="0.4">
      <c r="A307" t="s">
        <v>262</v>
      </c>
      <c r="B307" t="s">
        <v>2236</v>
      </c>
      <c r="C307" t="s">
        <v>2285</v>
      </c>
      <c r="D307" t="s">
        <v>64</v>
      </c>
      <c r="E307" t="s">
        <v>22</v>
      </c>
      <c r="F307" t="s">
        <v>23</v>
      </c>
      <c r="G307">
        <v>1</v>
      </c>
      <c r="H307">
        <v>9791159282232</v>
      </c>
      <c r="I307" t="s">
        <v>24</v>
      </c>
      <c r="J307" t="s">
        <v>109</v>
      </c>
      <c r="K307" t="s">
        <v>37</v>
      </c>
      <c r="L307" t="s">
        <v>27</v>
      </c>
      <c r="M307">
        <v>900</v>
      </c>
      <c r="N307" t="s">
        <v>27</v>
      </c>
      <c r="O307">
        <v>900</v>
      </c>
      <c r="P307">
        <v>900</v>
      </c>
      <c r="Q307" t="s">
        <v>30</v>
      </c>
      <c r="R307" s="2">
        <v>0.7</v>
      </c>
      <c r="S307">
        <v>630</v>
      </c>
      <c r="T307" t="s">
        <v>27</v>
      </c>
      <c r="U307">
        <v>630</v>
      </c>
      <c r="V307" s="7" t="s">
        <v>24</v>
      </c>
      <c r="W307" s="7" t="s">
        <v>37</v>
      </c>
    </row>
    <row r="308" spans="1:23" x14ac:dyDescent="0.4">
      <c r="A308" t="s">
        <v>262</v>
      </c>
      <c r="B308" t="s">
        <v>2236</v>
      </c>
      <c r="C308" t="s">
        <v>2286</v>
      </c>
      <c r="D308" t="s">
        <v>64</v>
      </c>
      <c r="E308" t="s">
        <v>22</v>
      </c>
      <c r="F308" t="s">
        <v>23</v>
      </c>
      <c r="G308">
        <v>1</v>
      </c>
      <c r="H308">
        <v>9791159283154</v>
      </c>
      <c r="I308" t="s">
        <v>24</v>
      </c>
      <c r="J308" t="s">
        <v>84</v>
      </c>
      <c r="K308" t="s">
        <v>37</v>
      </c>
      <c r="L308" t="s">
        <v>27</v>
      </c>
      <c r="M308">
        <v>900</v>
      </c>
      <c r="N308" t="s">
        <v>27</v>
      </c>
      <c r="O308">
        <v>900</v>
      </c>
      <c r="P308">
        <v>900</v>
      </c>
      <c r="Q308" t="s">
        <v>30</v>
      </c>
      <c r="R308" s="2">
        <v>0.7</v>
      </c>
      <c r="S308">
        <v>630</v>
      </c>
      <c r="T308" t="s">
        <v>27</v>
      </c>
      <c r="U308">
        <v>630</v>
      </c>
      <c r="V308" s="7" t="s">
        <v>24</v>
      </c>
      <c r="W308" s="7" t="s">
        <v>37</v>
      </c>
    </row>
    <row r="309" spans="1:23" x14ac:dyDescent="0.4">
      <c r="A309" t="s">
        <v>262</v>
      </c>
      <c r="B309" t="s">
        <v>2236</v>
      </c>
      <c r="C309" t="s">
        <v>2291</v>
      </c>
      <c r="D309" t="s">
        <v>64</v>
      </c>
      <c r="E309" t="s">
        <v>22</v>
      </c>
      <c r="F309" t="s">
        <v>23</v>
      </c>
      <c r="G309">
        <v>1</v>
      </c>
      <c r="H309">
        <v>9791159283130</v>
      </c>
      <c r="I309" t="s">
        <v>24</v>
      </c>
      <c r="J309" t="s">
        <v>82</v>
      </c>
      <c r="K309" t="s">
        <v>37</v>
      </c>
      <c r="L309" t="s">
        <v>27</v>
      </c>
      <c r="M309">
        <v>900</v>
      </c>
      <c r="N309" t="s">
        <v>27</v>
      </c>
      <c r="O309">
        <v>900</v>
      </c>
      <c r="P309">
        <v>900</v>
      </c>
      <c r="Q309" t="s">
        <v>30</v>
      </c>
      <c r="R309" s="2">
        <v>0.7</v>
      </c>
      <c r="S309">
        <v>630</v>
      </c>
      <c r="T309" t="s">
        <v>27</v>
      </c>
      <c r="U309">
        <v>630</v>
      </c>
      <c r="V309" s="7" t="s">
        <v>24</v>
      </c>
      <c r="W309" s="7" t="s">
        <v>37</v>
      </c>
    </row>
    <row r="310" spans="1:23" x14ac:dyDescent="0.4">
      <c r="A310" t="s">
        <v>262</v>
      </c>
      <c r="B310" t="s">
        <v>2236</v>
      </c>
      <c r="C310" t="s">
        <v>2292</v>
      </c>
      <c r="D310" t="s">
        <v>64</v>
      </c>
      <c r="E310" t="s">
        <v>22</v>
      </c>
      <c r="F310" t="s">
        <v>23</v>
      </c>
      <c r="G310">
        <v>1</v>
      </c>
      <c r="H310">
        <v>9791159283093</v>
      </c>
      <c r="I310" t="s">
        <v>24</v>
      </c>
      <c r="J310" t="s">
        <v>73</v>
      </c>
      <c r="K310" t="s">
        <v>37</v>
      </c>
      <c r="L310" t="s">
        <v>27</v>
      </c>
      <c r="M310">
        <v>900</v>
      </c>
      <c r="N310" t="s">
        <v>27</v>
      </c>
      <c r="O310">
        <v>900</v>
      </c>
      <c r="P310">
        <v>900</v>
      </c>
      <c r="Q310" t="s">
        <v>30</v>
      </c>
      <c r="R310" s="2">
        <v>0.7</v>
      </c>
      <c r="S310">
        <v>630</v>
      </c>
      <c r="T310" t="s">
        <v>27</v>
      </c>
      <c r="U310">
        <v>630</v>
      </c>
      <c r="V310" s="7" t="s">
        <v>24</v>
      </c>
      <c r="W310" s="7" t="s">
        <v>37</v>
      </c>
    </row>
    <row r="311" spans="1:23" x14ac:dyDescent="0.4">
      <c r="A311" t="s">
        <v>262</v>
      </c>
      <c r="B311" t="s">
        <v>2236</v>
      </c>
      <c r="C311" t="s">
        <v>2293</v>
      </c>
      <c r="D311" t="s">
        <v>64</v>
      </c>
      <c r="E311" t="s">
        <v>22</v>
      </c>
      <c r="F311" t="s">
        <v>23</v>
      </c>
      <c r="G311">
        <v>1</v>
      </c>
      <c r="H311">
        <v>9791166064135</v>
      </c>
      <c r="I311" t="s">
        <v>24</v>
      </c>
      <c r="J311" t="s">
        <v>77</v>
      </c>
      <c r="K311" t="s">
        <v>37</v>
      </c>
      <c r="L311" t="s">
        <v>27</v>
      </c>
      <c r="M311">
        <v>900</v>
      </c>
      <c r="N311" t="s">
        <v>27</v>
      </c>
      <c r="O311">
        <v>900</v>
      </c>
      <c r="P311">
        <v>900</v>
      </c>
      <c r="Q311" t="s">
        <v>30</v>
      </c>
      <c r="R311" s="2">
        <v>0.7</v>
      </c>
      <c r="S311">
        <v>630</v>
      </c>
      <c r="T311" t="s">
        <v>27</v>
      </c>
      <c r="U311">
        <v>630</v>
      </c>
      <c r="V311" s="7" t="s">
        <v>24</v>
      </c>
      <c r="W311" s="7" t="s">
        <v>37</v>
      </c>
    </row>
    <row r="312" spans="1:23" x14ac:dyDescent="0.4">
      <c r="A312" t="s">
        <v>262</v>
      </c>
      <c r="B312" t="s">
        <v>2236</v>
      </c>
      <c r="C312" t="s">
        <v>2295</v>
      </c>
      <c r="D312" t="s">
        <v>64</v>
      </c>
      <c r="E312" t="s">
        <v>22</v>
      </c>
      <c r="F312" t="s">
        <v>23</v>
      </c>
      <c r="G312">
        <v>1</v>
      </c>
      <c r="H312">
        <v>9791159283215</v>
      </c>
      <c r="I312" t="s">
        <v>24</v>
      </c>
      <c r="J312" t="s">
        <v>103</v>
      </c>
      <c r="K312" t="s">
        <v>37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  <c r="V312" s="7" t="s">
        <v>24</v>
      </c>
      <c r="W312" s="7" t="s">
        <v>37</v>
      </c>
    </row>
    <row r="313" spans="1:23" x14ac:dyDescent="0.4">
      <c r="A313" t="s">
        <v>262</v>
      </c>
      <c r="B313" t="s">
        <v>2236</v>
      </c>
      <c r="C313" t="s">
        <v>2296</v>
      </c>
      <c r="D313" t="s">
        <v>64</v>
      </c>
      <c r="E313" t="s">
        <v>22</v>
      </c>
      <c r="F313" t="s">
        <v>23</v>
      </c>
      <c r="G313">
        <v>1</v>
      </c>
      <c r="H313">
        <v>9791166064104</v>
      </c>
      <c r="I313" t="s">
        <v>24</v>
      </c>
      <c r="J313" t="s">
        <v>93</v>
      </c>
      <c r="K313" t="s">
        <v>37</v>
      </c>
      <c r="L313" t="s">
        <v>27</v>
      </c>
      <c r="M313">
        <v>900</v>
      </c>
      <c r="N313" t="s">
        <v>27</v>
      </c>
      <c r="O313">
        <v>900</v>
      </c>
      <c r="P313">
        <v>900</v>
      </c>
      <c r="Q313" t="s">
        <v>30</v>
      </c>
      <c r="R313" s="2">
        <v>0.7</v>
      </c>
      <c r="S313">
        <v>630</v>
      </c>
      <c r="T313" t="s">
        <v>27</v>
      </c>
      <c r="U313">
        <v>630</v>
      </c>
      <c r="V313" s="7" t="s">
        <v>24</v>
      </c>
      <c r="W313" s="7" t="s">
        <v>37</v>
      </c>
    </row>
    <row r="314" spans="1:23" x14ac:dyDescent="0.4">
      <c r="A314" t="s">
        <v>262</v>
      </c>
      <c r="B314" t="s">
        <v>2236</v>
      </c>
      <c r="C314" t="s">
        <v>2298</v>
      </c>
      <c r="D314" t="s">
        <v>64</v>
      </c>
      <c r="E314" t="s">
        <v>22</v>
      </c>
      <c r="F314" t="s">
        <v>23</v>
      </c>
      <c r="G314">
        <v>1</v>
      </c>
      <c r="H314">
        <v>9791159283161</v>
      </c>
      <c r="I314" t="s">
        <v>24</v>
      </c>
      <c r="J314" t="s">
        <v>85</v>
      </c>
      <c r="K314" t="s">
        <v>37</v>
      </c>
      <c r="L314" t="s">
        <v>27</v>
      </c>
      <c r="M314">
        <v>900</v>
      </c>
      <c r="N314" t="s">
        <v>27</v>
      </c>
      <c r="O314">
        <v>900</v>
      </c>
      <c r="P314">
        <v>900</v>
      </c>
      <c r="Q314" t="s">
        <v>30</v>
      </c>
      <c r="R314" s="2">
        <v>0.7</v>
      </c>
      <c r="S314">
        <v>630</v>
      </c>
      <c r="T314" t="s">
        <v>27</v>
      </c>
      <c r="U314">
        <v>630</v>
      </c>
      <c r="V314" s="7" t="s">
        <v>24</v>
      </c>
      <c r="W314" s="7" t="s">
        <v>37</v>
      </c>
    </row>
    <row r="315" spans="1:23" x14ac:dyDescent="0.4">
      <c r="A315" t="s">
        <v>262</v>
      </c>
      <c r="B315" t="s">
        <v>2236</v>
      </c>
      <c r="C315" t="s">
        <v>2301</v>
      </c>
      <c r="D315" t="s">
        <v>64</v>
      </c>
      <c r="E315" t="s">
        <v>22</v>
      </c>
      <c r="F315" t="s">
        <v>23</v>
      </c>
      <c r="G315">
        <v>1</v>
      </c>
      <c r="H315">
        <v>9791166061097</v>
      </c>
      <c r="I315" t="s">
        <v>24</v>
      </c>
      <c r="J315" t="s">
        <v>95</v>
      </c>
      <c r="K315" t="s">
        <v>37</v>
      </c>
      <c r="L315" t="s">
        <v>27</v>
      </c>
      <c r="M315">
        <v>900</v>
      </c>
      <c r="N315" t="s">
        <v>27</v>
      </c>
      <c r="O315">
        <v>900</v>
      </c>
      <c r="P315">
        <v>900</v>
      </c>
      <c r="Q315" t="s">
        <v>30</v>
      </c>
      <c r="R315" s="2">
        <v>0.7</v>
      </c>
      <c r="S315">
        <v>630</v>
      </c>
      <c r="T315" t="s">
        <v>27</v>
      </c>
      <c r="U315">
        <v>630</v>
      </c>
      <c r="V315" s="7" t="s">
        <v>24</v>
      </c>
      <c r="W315" s="7" t="s">
        <v>37</v>
      </c>
    </row>
    <row r="316" spans="1:23" x14ac:dyDescent="0.4">
      <c r="A316" t="s">
        <v>262</v>
      </c>
      <c r="B316" t="s">
        <v>2236</v>
      </c>
      <c r="C316" t="s">
        <v>2302</v>
      </c>
      <c r="D316" t="s">
        <v>64</v>
      </c>
      <c r="E316" t="s">
        <v>22</v>
      </c>
      <c r="F316" t="s">
        <v>23</v>
      </c>
      <c r="G316">
        <v>1</v>
      </c>
      <c r="H316">
        <v>9791159282249</v>
      </c>
      <c r="I316" t="s">
        <v>24</v>
      </c>
      <c r="J316" t="s">
        <v>110</v>
      </c>
      <c r="K316" t="s">
        <v>37</v>
      </c>
      <c r="L316" t="s">
        <v>27</v>
      </c>
      <c r="M316">
        <v>900</v>
      </c>
      <c r="N316" t="s">
        <v>27</v>
      </c>
      <c r="O316">
        <v>900</v>
      </c>
      <c r="P316">
        <v>900</v>
      </c>
      <c r="Q316" t="s">
        <v>30</v>
      </c>
      <c r="R316" s="2">
        <v>0.7</v>
      </c>
      <c r="S316">
        <v>630</v>
      </c>
      <c r="T316" t="s">
        <v>27</v>
      </c>
      <c r="U316">
        <v>630</v>
      </c>
      <c r="V316" s="7" t="s">
        <v>24</v>
      </c>
      <c r="W316" s="7" t="s">
        <v>37</v>
      </c>
    </row>
    <row r="317" spans="1:23" x14ac:dyDescent="0.4">
      <c r="A317" t="s">
        <v>262</v>
      </c>
      <c r="B317" t="s">
        <v>2236</v>
      </c>
      <c r="C317" t="s">
        <v>2304</v>
      </c>
      <c r="D317" t="s">
        <v>64</v>
      </c>
      <c r="E317" t="s">
        <v>22</v>
      </c>
      <c r="F317" t="s">
        <v>23</v>
      </c>
      <c r="G317">
        <v>1</v>
      </c>
      <c r="H317">
        <v>9791166061103</v>
      </c>
      <c r="I317" t="s">
        <v>24</v>
      </c>
      <c r="J317" t="s">
        <v>96</v>
      </c>
      <c r="K317" t="s">
        <v>37</v>
      </c>
      <c r="L317" t="s">
        <v>27</v>
      </c>
      <c r="M317">
        <v>900</v>
      </c>
      <c r="N317" t="s">
        <v>27</v>
      </c>
      <c r="O317">
        <v>900</v>
      </c>
      <c r="P317">
        <v>900</v>
      </c>
      <c r="Q317" t="s">
        <v>30</v>
      </c>
      <c r="R317" s="2">
        <v>0.7</v>
      </c>
      <c r="S317">
        <v>630</v>
      </c>
      <c r="T317" t="s">
        <v>27</v>
      </c>
      <c r="U317">
        <v>630</v>
      </c>
      <c r="V317" s="7" t="s">
        <v>24</v>
      </c>
      <c r="W317" s="7" t="s">
        <v>37</v>
      </c>
    </row>
    <row r="318" spans="1:23" x14ac:dyDescent="0.4">
      <c r="A318" t="s">
        <v>262</v>
      </c>
      <c r="B318" t="s">
        <v>2236</v>
      </c>
      <c r="C318" t="s">
        <v>2307</v>
      </c>
      <c r="D318" t="s">
        <v>64</v>
      </c>
      <c r="E318" t="s">
        <v>22</v>
      </c>
      <c r="F318" t="s">
        <v>23</v>
      </c>
      <c r="G318">
        <v>1</v>
      </c>
      <c r="H318">
        <v>9791159283178</v>
      </c>
      <c r="I318" t="s">
        <v>24</v>
      </c>
      <c r="J318" t="s">
        <v>88</v>
      </c>
      <c r="K318" t="s">
        <v>37</v>
      </c>
      <c r="L318" t="s">
        <v>27</v>
      </c>
      <c r="M318">
        <v>900</v>
      </c>
      <c r="N318" t="s">
        <v>27</v>
      </c>
      <c r="O318">
        <v>900</v>
      </c>
      <c r="P318">
        <v>900</v>
      </c>
      <c r="Q318" t="s">
        <v>30</v>
      </c>
      <c r="R318" s="2">
        <v>0.7</v>
      </c>
      <c r="S318">
        <v>630</v>
      </c>
      <c r="T318" t="s">
        <v>27</v>
      </c>
      <c r="U318">
        <v>630</v>
      </c>
      <c r="V318" s="7" t="s">
        <v>24</v>
      </c>
      <c r="W318" s="7" t="s">
        <v>37</v>
      </c>
    </row>
    <row r="319" spans="1:23" x14ac:dyDescent="0.4">
      <c r="A319" t="s">
        <v>262</v>
      </c>
      <c r="B319" t="s">
        <v>2308</v>
      </c>
      <c r="C319" t="s">
        <v>2311</v>
      </c>
      <c r="D319" t="s">
        <v>64</v>
      </c>
      <c r="E319" t="s">
        <v>22</v>
      </c>
      <c r="F319" t="s">
        <v>23</v>
      </c>
      <c r="G319">
        <v>1</v>
      </c>
      <c r="H319">
        <v>9791166061110</v>
      </c>
      <c r="I319" t="s">
        <v>24</v>
      </c>
      <c r="J319" t="s">
        <v>97</v>
      </c>
      <c r="K319" t="s">
        <v>37</v>
      </c>
      <c r="L319" t="s">
        <v>27</v>
      </c>
      <c r="M319">
        <v>900</v>
      </c>
      <c r="N319" t="s">
        <v>27</v>
      </c>
      <c r="O319">
        <v>900</v>
      </c>
      <c r="P319">
        <v>900</v>
      </c>
      <c r="Q319" t="s">
        <v>30</v>
      </c>
      <c r="R319" s="2">
        <v>0.7</v>
      </c>
      <c r="S319">
        <v>630</v>
      </c>
      <c r="T319" t="s">
        <v>27</v>
      </c>
      <c r="U319">
        <v>630</v>
      </c>
      <c r="V319" s="7" t="s">
        <v>24</v>
      </c>
      <c r="W319" s="7" t="s">
        <v>37</v>
      </c>
    </row>
    <row r="320" spans="1:23" x14ac:dyDescent="0.4">
      <c r="A320" t="s">
        <v>262</v>
      </c>
      <c r="B320" t="s">
        <v>2308</v>
      </c>
      <c r="C320" t="s">
        <v>2312</v>
      </c>
      <c r="D320" t="s">
        <v>64</v>
      </c>
      <c r="E320" t="s">
        <v>22</v>
      </c>
      <c r="F320" t="s">
        <v>23</v>
      </c>
      <c r="G320">
        <v>1</v>
      </c>
      <c r="H320">
        <v>9791166064180</v>
      </c>
      <c r="I320" t="s">
        <v>24</v>
      </c>
      <c r="J320" t="s">
        <v>211</v>
      </c>
      <c r="K320" t="s">
        <v>37</v>
      </c>
      <c r="L320" t="s">
        <v>27</v>
      </c>
      <c r="M320">
        <v>900</v>
      </c>
      <c r="N320" t="s">
        <v>27</v>
      </c>
      <c r="O320">
        <v>900</v>
      </c>
      <c r="P320">
        <v>900</v>
      </c>
      <c r="Q320" t="s">
        <v>30</v>
      </c>
      <c r="R320" s="2">
        <v>0.7</v>
      </c>
      <c r="S320">
        <v>630</v>
      </c>
      <c r="T320" t="s">
        <v>27</v>
      </c>
      <c r="U320">
        <v>630</v>
      </c>
      <c r="V320" s="7" t="s">
        <v>24</v>
      </c>
      <c r="W320" s="7" t="s">
        <v>37</v>
      </c>
    </row>
    <row r="321" spans="1:23" x14ac:dyDescent="0.4">
      <c r="A321" t="s">
        <v>262</v>
      </c>
      <c r="B321" t="s">
        <v>2308</v>
      </c>
      <c r="C321" t="s">
        <v>2317</v>
      </c>
      <c r="D321" t="s">
        <v>64</v>
      </c>
      <c r="E321" t="s">
        <v>22</v>
      </c>
      <c r="F321" t="s">
        <v>23</v>
      </c>
      <c r="G321">
        <v>1</v>
      </c>
      <c r="H321">
        <v>9791166064111</v>
      </c>
      <c r="I321" t="s">
        <v>24</v>
      </c>
      <c r="J321" t="s">
        <v>94</v>
      </c>
      <c r="K321" t="s">
        <v>37</v>
      </c>
      <c r="L321" t="s">
        <v>27</v>
      </c>
      <c r="M321">
        <v>900</v>
      </c>
      <c r="N321" t="s">
        <v>27</v>
      </c>
      <c r="O321">
        <v>900</v>
      </c>
      <c r="P321">
        <v>900</v>
      </c>
      <c r="Q321" t="s">
        <v>30</v>
      </c>
      <c r="R321" s="2">
        <v>0.7</v>
      </c>
      <c r="S321">
        <v>630</v>
      </c>
      <c r="T321" t="s">
        <v>27</v>
      </c>
      <c r="U321">
        <v>630</v>
      </c>
      <c r="V321" s="7" t="s">
        <v>24</v>
      </c>
      <c r="W321" s="7" t="s">
        <v>37</v>
      </c>
    </row>
    <row r="322" spans="1:23" x14ac:dyDescent="0.4">
      <c r="A322" t="s">
        <v>262</v>
      </c>
      <c r="B322" t="s">
        <v>2308</v>
      </c>
      <c r="C322" t="s">
        <v>2334</v>
      </c>
      <c r="D322" t="s">
        <v>64</v>
      </c>
      <c r="E322" t="s">
        <v>22</v>
      </c>
      <c r="F322" t="s">
        <v>23</v>
      </c>
      <c r="G322">
        <v>1</v>
      </c>
      <c r="H322">
        <v>9791159283208</v>
      </c>
      <c r="I322" t="s">
        <v>24</v>
      </c>
      <c r="J322" t="s">
        <v>105</v>
      </c>
      <c r="K322" t="s">
        <v>37</v>
      </c>
      <c r="L322" t="s">
        <v>27</v>
      </c>
      <c r="M322">
        <v>630</v>
      </c>
      <c r="N322" t="s">
        <v>27</v>
      </c>
      <c r="O322">
        <v>630</v>
      </c>
      <c r="P322">
        <v>630</v>
      </c>
      <c r="Q322" t="s">
        <v>30</v>
      </c>
      <c r="R322" s="2">
        <v>0.7</v>
      </c>
      <c r="S322">
        <v>441</v>
      </c>
      <c r="T322" t="s">
        <v>27</v>
      </c>
      <c r="U322">
        <v>441</v>
      </c>
      <c r="V322" s="7" t="s">
        <v>24</v>
      </c>
      <c r="W322" s="7" t="s">
        <v>37</v>
      </c>
    </row>
    <row r="323" spans="1:23" x14ac:dyDescent="0.4">
      <c r="A323" t="s">
        <v>262</v>
      </c>
      <c r="B323" t="s">
        <v>2308</v>
      </c>
      <c r="C323" t="s">
        <v>2336</v>
      </c>
      <c r="D323" t="s">
        <v>64</v>
      </c>
      <c r="E323" t="s">
        <v>22</v>
      </c>
      <c r="F323" t="s">
        <v>23</v>
      </c>
      <c r="G323">
        <v>1</v>
      </c>
      <c r="H323">
        <v>9791159283185</v>
      </c>
      <c r="I323" t="s">
        <v>24</v>
      </c>
      <c r="J323" t="s">
        <v>89</v>
      </c>
      <c r="K323" t="s">
        <v>37</v>
      </c>
      <c r="L323" t="s">
        <v>27</v>
      </c>
      <c r="M323">
        <v>900</v>
      </c>
      <c r="N323" t="s">
        <v>27</v>
      </c>
      <c r="O323">
        <v>900</v>
      </c>
      <c r="P323">
        <v>900</v>
      </c>
      <c r="Q323" t="s">
        <v>30</v>
      </c>
      <c r="R323" s="2">
        <v>0.7</v>
      </c>
      <c r="S323">
        <v>630</v>
      </c>
      <c r="T323" t="s">
        <v>27</v>
      </c>
      <c r="U323">
        <v>630</v>
      </c>
      <c r="V323" s="7" t="s">
        <v>24</v>
      </c>
      <c r="W323" s="7" t="s">
        <v>37</v>
      </c>
    </row>
    <row r="324" spans="1:23" x14ac:dyDescent="0.4">
      <c r="A324" t="s">
        <v>262</v>
      </c>
      <c r="B324" t="s">
        <v>2308</v>
      </c>
      <c r="C324" t="s">
        <v>2342</v>
      </c>
      <c r="D324" t="s">
        <v>64</v>
      </c>
      <c r="E324" t="s">
        <v>22</v>
      </c>
      <c r="F324" t="s">
        <v>23</v>
      </c>
      <c r="G324">
        <v>1</v>
      </c>
      <c r="H324">
        <v>9791166061158</v>
      </c>
      <c r="I324" t="s">
        <v>24</v>
      </c>
      <c r="J324" t="s">
        <v>101</v>
      </c>
      <c r="K324" t="s">
        <v>37</v>
      </c>
      <c r="L324" t="s">
        <v>27</v>
      </c>
      <c r="M324">
        <v>900</v>
      </c>
      <c r="N324" t="s">
        <v>27</v>
      </c>
      <c r="O324">
        <v>900</v>
      </c>
      <c r="P324">
        <v>900</v>
      </c>
      <c r="Q324" t="s">
        <v>30</v>
      </c>
      <c r="R324" s="2">
        <v>0.7</v>
      </c>
      <c r="S324">
        <v>630</v>
      </c>
      <c r="T324" t="s">
        <v>27</v>
      </c>
      <c r="U324">
        <v>630</v>
      </c>
      <c r="V324" s="7" t="s">
        <v>24</v>
      </c>
      <c r="W324" s="7" t="s">
        <v>37</v>
      </c>
    </row>
    <row r="325" spans="1:23" x14ac:dyDescent="0.4">
      <c r="A325" t="s">
        <v>262</v>
      </c>
      <c r="B325" t="s">
        <v>2308</v>
      </c>
      <c r="C325" t="s">
        <v>2345</v>
      </c>
      <c r="D325" t="s">
        <v>64</v>
      </c>
      <c r="E325" t="s">
        <v>22</v>
      </c>
      <c r="F325" t="s">
        <v>23</v>
      </c>
      <c r="G325">
        <v>1</v>
      </c>
      <c r="H325">
        <v>9791159283123</v>
      </c>
      <c r="I325" t="s">
        <v>24</v>
      </c>
      <c r="J325" t="s">
        <v>78</v>
      </c>
      <c r="K325" t="s">
        <v>37</v>
      </c>
      <c r="L325" t="s">
        <v>27</v>
      </c>
      <c r="M325">
        <v>900</v>
      </c>
      <c r="N325" t="s">
        <v>27</v>
      </c>
      <c r="O325">
        <v>900</v>
      </c>
      <c r="P325">
        <v>900</v>
      </c>
      <c r="Q325" t="s">
        <v>30</v>
      </c>
      <c r="R325" s="2">
        <v>0.7</v>
      </c>
      <c r="S325">
        <v>630</v>
      </c>
      <c r="T325" t="s">
        <v>27</v>
      </c>
      <c r="U325">
        <v>630</v>
      </c>
      <c r="V325" s="7" t="s">
        <v>24</v>
      </c>
      <c r="W325" s="7" t="s">
        <v>37</v>
      </c>
    </row>
    <row r="326" spans="1:23" x14ac:dyDescent="0.4">
      <c r="A326" t="s">
        <v>262</v>
      </c>
      <c r="B326" t="s">
        <v>2308</v>
      </c>
      <c r="C326" t="s">
        <v>2346</v>
      </c>
      <c r="D326" t="s">
        <v>64</v>
      </c>
      <c r="E326" t="s">
        <v>22</v>
      </c>
      <c r="F326" t="s">
        <v>23</v>
      </c>
      <c r="G326">
        <v>1</v>
      </c>
      <c r="H326">
        <v>9791159283147</v>
      </c>
      <c r="I326" t="s">
        <v>24</v>
      </c>
      <c r="J326" t="s">
        <v>83</v>
      </c>
      <c r="K326" t="s">
        <v>37</v>
      </c>
      <c r="L326" t="s">
        <v>27</v>
      </c>
      <c r="M326">
        <v>900</v>
      </c>
      <c r="N326" t="s">
        <v>27</v>
      </c>
      <c r="O326">
        <v>900</v>
      </c>
      <c r="P326">
        <v>900</v>
      </c>
      <c r="Q326" t="s">
        <v>30</v>
      </c>
      <c r="R326" s="2">
        <v>0.7</v>
      </c>
      <c r="S326">
        <v>630</v>
      </c>
      <c r="T326" t="s">
        <v>27</v>
      </c>
      <c r="U326">
        <v>630</v>
      </c>
      <c r="V326" s="7" t="s">
        <v>24</v>
      </c>
      <c r="W326" s="7" t="s">
        <v>37</v>
      </c>
    </row>
    <row r="327" spans="1:23" x14ac:dyDescent="0.4">
      <c r="A327" t="s">
        <v>262</v>
      </c>
      <c r="B327" t="s">
        <v>2308</v>
      </c>
      <c r="C327" t="s">
        <v>2357</v>
      </c>
      <c r="D327" t="s">
        <v>64</v>
      </c>
      <c r="E327" t="s">
        <v>22</v>
      </c>
      <c r="F327" t="s">
        <v>23</v>
      </c>
      <c r="G327">
        <v>1</v>
      </c>
      <c r="H327">
        <v>9791159283154</v>
      </c>
      <c r="I327" t="s">
        <v>24</v>
      </c>
      <c r="J327" t="s">
        <v>84</v>
      </c>
      <c r="K327" t="s">
        <v>37</v>
      </c>
      <c r="L327" t="s">
        <v>27</v>
      </c>
      <c r="M327">
        <v>900</v>
      </c>
      <c r="N327" t="s">
        <v>27</v>
      </c>
      <c r="O327">
        <v>900</v>
      </c>
      <c r="P327">
        <v>900</v>
      </c>
      <c r="Q327" t="s">
        <v>30</v>
      </c>
      <c r="R327" s="2">
        <v>0.7</v>
      </c>
      <c r="S327">
        <v>630</v>
      </c>
      <c r="T327" t="s">
        <v>27</v>
      </c>
      <c r="U327">
        <v>630</v>
      </c>
      <c r="V327" s="7" t="s">
        <v>24</v>
      </c>
      <c r="W327" s="7" t="s">
        <v>37</v>
      </c>
    </row>
    <row r="328" spans="1:23" x14ac:dyDescent="0.4">
      <c r="A328" t="s">
        <v>262</v>
      </c>
      <c r="B328" t="s">
        <v>2308</v>
      </c>
      <c r="C328" t="s">
        <v>2358</v>
      </c>
      <c r="D328" t="s">
        <v>64</v>
      </c>
      <c r="E328" t="s">
        <v>22</v>
      </c>
      <c r="F328" t="s">
        <v>23</v>
      </c>
      <c r="G328">
        <v>1</v>
      </c>
      <c r="H328">
        <v>9791166064173</v>
      </c>
      <c r="I328" t="s">
        <v>24</v>
      </c>
      <c r="J328" t="s">
        <v>209</v>
      </c>
      <c r="K328" t="s">
        <v>37</v>
      </c>
      <c r="L328" t="s">
        <v>27</v>
      </c>
      <c r="M328">
        <v>900</v>
      </c>
      <c r="N328" t="s">
        <v>27</v>
      </c>
      <c r="O328">
        <v>900</v>
      </c>
      <c r="P328">
        <v>900</v>
      </c>
      <c r="Q328" t="s">
        <v>30</v>
      </c>
      <c r="R328" s="2">
        <v>0.7</v>
      </c>
      <c r="S328">
        <v>630</v>
      </c>
      <c r="T328" t="s">
        <v>27</v>
      </c>
      <c r="U328">
        <v>630</v>
      </c>
      <c r="V328" s="7" t="s">
        <v>24</v>
      </c>
      <c r="W328" s="7" t="s">
        <v>37</v>
      </c>
    </row>
    <row r="329" spans="1:23" x14ac:dyDescent="0.4">
      <c r="A329" t="s">
        <v>262</v>
      </c>
      <c r="B329" t="s">
        <v>2308</v>
      </c>
      <c r="C329" t="s">
        <v>2360</v>
      </c>
      <c r="D329" t="s">
        <v>64</v>
      </c>
      <c r="E329" t="s">
        <v>22</v>
      </c>
      <c r="F329" t="s">
        <v>23</v>
      </c>
      <c r="G329">
        <v>1</v>
      </c>
      <c r="H329">
        <v>9791166061127</v>
      </c>
      <c r="I329" t="s">
        <v>24</v>
      </c>
      <c r="J329" t="s">
        <v>100</v>
      </c>
      <c r="K329" t="s">
        <v>37</v>
      </c>
      <c r="L329" t="s">
        <v>27</v>
      </c>
      <c r="M329">
        <v>900</v>
      </c>
      <c r="N329" t="s">
        <v>27</v>
      </c>
      <c r="O329">
        <v>900</v>
      </c>
      <c r="P329">
        <v>900</v>
      </c>
      <c r="Q329" t="s">
        <v>30</v>
      </c>
      <c r="R329" s="2">
        <v>0.7</v>
      </c>
      <c r="S329">
        <v>630</v>
      </c>
      <c r="T329" t="s">
        <v>27</v>
      </c>
      <c r="U329">
        <v>630</v>
      </c>
      <c r="V329" s="7" t="s">
        <v>24</v>
      </c>
      <c r="W329" s="7" t="s">
        <v>37</v>
      </c>
    </row>
    <row r="330" spans="1:23" x14ac:dyDescent="0.4">
      <c r="A330" t="s">
        <v>262</v>
      </c>
      <c r="B330" t="s">
        <v>2308</v>
      </c>
      <c r="C330" t="s">
        <v>2363</v>
      </c>
      <c r="D330" t="s">
        <v>64</v>
      </c>
      <c r="E330" t="s">
        <v>22</v>
      </c>
      <c r="F330" t="s">
        <v>23</v>
      </c>
      <c r="G330">
        <v>1</v>
      </c>
      <c r="H330">
        <v>9791159282256</v>
      </c>
      <c r="I330" t="s">
        <v>24</v>
      </c>
      <c r="J330" t="s">
        <v>117</v>
      </c>
      <c r="K330" t="s">
        <v>37</v>
      </c>
      <c r="L330" t="s">
        <v>27</v>
      </c>
      <c r="M330">
        <v>900</v>
      </c>
      <c r="N330" t="s">
        <v>27</v>
      </c>
      <c r="O330">
        <v>900</v>
      </c>
      <c r="P330">
        <v>900</v>
      </c>
      <c r="Q330" t="s">
        <v>30</v>
      </c>
      <c r="R330" s="2">
        <v>0.7</v>
      </c>
      <c r="S330">
        <v>630</v>
      </c>
      <c r="T330" t="s">
        <v>27</v>
      </c>
      <c r="U330">
        <v>630</v>
      </c>
      <c r="V330" s="7" t="s">
        <v>24</v>
      </c>
      <c r="W330" s="7" t="s">
        <v>37</v>
      </c>
    </row>
    <row r="331" spans="1:23" x14ac:dyDescent="0.4">
      <c r="A331" t="s">
        <v>262</v>
      </c>
      <c r="B331" t="s">
        <v>2308</v>
      </c>
      <c r="C331" t="s">
        <v>2379</v>
      </c>
      <c r="D331" t="s">
        <v>64</v>
      </c>
      <c r="E331" t="s">
        <v>22</v>
      </c>
      <c r="F331" t="s">
        <v>23</v>
      </c>
      <c r="G331">
        <v>1</v>
      </c>
      <c r="H331">
        <v>9791159283260</v>
      </c>
      <c r="I331" t="s">
        <v>24</v>
      </c>
      <c r="J331" t="s">
        <v>69</v>
      </c>
      <c r="K331" t="s">
        <v>37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  <c r="V331" s="7" t="s">
        <v>24</v>
      </c>
      <c r="W331" s="7" t="s">
        <v>37</v>
      </c>
    </row>
    <row r="332" spans="1:23" x14ac:dyDescent="0.4">
      <c r="A332" t="s">
        <v>262</v>
      </c>
      <c r="B332" t="s">
        <v>2308</v>
      </c>
      <c r="C332" t="s">
        <v>2381</v>
      </c>
      <c r="D332" t="s">
        <v>64</v>
      </c>
      <c r="E332" t="s">
        <v>22</v>
      </c>
      <c r="F332" t="s">
        <v>23</v>
      </c>
      <c r="G332">
        <v>1</v>
      </c>
      <c r="H332">
        <v>9791159283093</v>
      </c>
      <c r="I332" t="s">
        <v>24</v>
      </c>
      <c r="J332" t="s">
        <v>73</v>
      </c>
      <c r="K332" t="s">
        <v>37</v>
      </c>
      <c r="L332" t="s">
        <v>27</v>
      </c>
      <c r="M332">
        <v>900</v>
      </c>
      <c r="N332" t="s">
        <v>27</v>
      </c>
      <c r="O332">
        <v>900</v>
      </c>
      <c r="P332">
        <v>900</v>
      </c>
      <c r="Q332" t="s">
        <v>30</v>
      </c>
      <c r="R332" s="2">
        <v>0.7</v>
      </c>
      <c r="S332">
        <v>630</v>
      </c>
      <c r="T332" t="s">
        <v>27</v>
      </c>
      <c r="U332">
        <v>630</v>
      </c>
      <c r="V332" s="7" t="s">
        <v>24</v>
      </c>
      <c r="W332" s="7" t="s">
        <v>37</v>
      </c>
    </row>
    <row r="333" spans="1:23" x14ac:dyDescent="0.4">
      <c r="A333" t="s">
        <v>262</v>
      </c>
      <c r="B333" t="s">
        <v>2308</v>
      </c>
      <c r="C333" t="s">
        <v>2389</v>
      </c>
      <c r="D333" t="s">
        <v>64</v>
      </c>
      <c r="E333" t="s">
        <v>22</v>
      </c>
      <c r="F333" t="s">
        <v>23</v>
      </c>
      <c r="G333">
        <v>1</v>
      </c>
      <c r="H333">
        <v>9791166061127</v>
      </c>
      <c r="I333" t="s">
        <v>24</v>
      </c>
      <c r="J333" t="s">
        <v>100</v>
      </c>
      <c r="K333" t="s">
        <v>37</v>
      </c>
      <c r="L333" t="s">
        <v>27</v>
      </c>
      <c r="M333">
        <v>900</v>
      </c>
      <c r="N333" t="s">
        <v>27</v>
      </c>
      <c r="O333">
        <v>900</v>
      </c>
      <c r="P333">
        <v>900</v>
      </c>
      <c r="Q333" t="s">
        <v>30</v>
      </c>
      <c r="R333" s="2">
        <v>0.7</v>
      </c>
      <c r="S333">
        <v>630</v>
      </c>
      <c r="T333" t="s">
        <v>27</v>
      </c>
      <c r="U333">
        <v>630</v>
      </c>
      <c r="V333" s="7" t="s">
        <v>24</v>
      </c>
      <c r="W333" s="7" t="s">
        <v>37</v>
      </c>
    </row>
    <row r="334" spans="1:23" x14ac:dyDescent="0.4">
      <c r="A334" t="s">
        <v>262</v>
      </c>
      <c r="B334" t="s">
        <v>2308</v>
      </c>
      <c r="C334" t="s">
        <v>2391</v>
      </c>
      <c r="D334" t="s">
        <v>64</v>
      </c>
      <c r="E334" t="s">
        <v>22</v>
      </c>
      <c r="F334" t="s">
        <v>23</v>
      </c>
      <c r="G334">
        <v>1</v>
      </c>
      <c r="H334">
        <v>9791159283161</v>
      </c>
      <c r="I334" t="s">
        <v>24</v>
      </c>
      <c r="J334" t="s">
        <v>85</v>
      </c>
      <c r="K334" t="s">
        <v>37</v>
      </c>
      <c r="L334" t="s">
        <v>27</v>
      </c>
      <c r="M334">
        <v>900</v>
      </c>
      <c r="N334" t="s">
        <v>27</v>
      </c>
      <c r="O334">
        <v>900</v>
      </c>
      <c r="P334">
        <v>900</v>
      </c>
      <c r="Q334" t="s">
        <v>30</v>
      </c>
      <c r="R334" s="2">
        <v>0.7</v>
      </c>
      <c r="S334">
        <v>630</v>
      </c>
      <c r="T334" t="s">
        <v>27</v>
      </c>
      <c r="U334">
        <v>630</v>
      </c>
      <c r="V334" s="7" t="s">
        <v>24</v>
      </c>
      <c r="W334" s="7" t="s">
        <v>37</v>
      </c>
    </row>
    <row r="335" spans="1:23" x14ac:dyDescent="0.4">
      <c r="A335" t="s">
        <v>262</v>
      </c>
      <c r="B335" t="s">
        <v>2394</v>
      </c>
      <c r="C335" t="s">
        <v>2395</v>
      </c>
      <c r="D335" t="s">
        <v>64</v>
      </c>
      <c r="E335" t="s">
        <v>22</v>
      </c>
      <c r="F335" t="s">
        <v>23</v>
      </c>
      <c r="G335">
        <v>1</v>
      </c>
      <c r="H335">
        <v>9791166064180</v>
      </c>
      <c r="I335" t="s">
        <v>24</v>
      </c>
      <c r="J335" t="s">
        <v>211</v>
      </c>
      <c r="K335" t="s">
        <v>37</v>
      </c>
      <c r="L335" t="s">
        <v>27</v>
      </c>
      <c r="M335">
        <v>900</v>
      </c>
      <c r="N335" t="s">
        <v>27</v>
      </c>
      <c r="O335">
        <v>900</v>
      </c>
      <c r="P335">
        <v>900</v>
      </c>
      <c r="Q335" t="s">
        <v>30</v>
      </c>
      <c r="R335" s="2">
        <v>0.7</v>
      </c>
      <c r="S335">
        <v>630</v>
      </c>
      <c r="T335" t="s">
        <v>27</v>
      </c>
      <c r="U335">
        <v>630</v>
      </c>
      <c r="V335" s="7" t="s">
        <v>24</v>
      </c>
      <c r="W335" s="7" t="s">
        <v>37</v>
      </c>
    </row>
    <row r="336" spans="1:23" x14ac:dyDescent="0.4">
      <c r="A336" t="s">
        <v>262</v>
      </c>
      <c r="B336" t="s">
        <v>2394</v>
      </c>
      <c r="C336" t="s">
        <v>2403</v>
      </c>
      <c r="D336" t="s">
        <v>64</v>
      </c>
      <c r="E336" t="s">
        <v>22</v>
      </c>
      <c r="F336" t="s">
        <v>23</v>
      </c>
      <c r="G336">
        <v>1</v>
      </c>
      <c r="H336">
        <v>9791159283130</v>
      </c>
      <c r="I336" t="s">
        <v>24</v>
      </c>
      <c r="J336" t="s">
        <v>82</v>
      </c>
      <c r="K336" t="s">
        <v>37</v>
      </c>
      <c r="L336" t="s">
        <v>27</v>
      </c>
      <c r="M336">
        <v>900</v>
      </c>
      <c r="N336" t="s">
        <v>27</v>
      </c>
      <c r="O336">
        <v>900</v>
      </c>
      <c r="P336">
        <v>900</v>
      </c>
      <c r="Q336" t="s">
        <v>30</v>
      </c>
      <c r="R336" s="2">
        <v>0.7</v>
      </c>
      <c r="S336">
        <v>630</v>
      </c>
      <c r="T336" t="s">
        <v>27</v>
      </c>
      <c r="U336">
        <v>630</v>
      </c>
      <c r="V336" s="7" t="s">
        <v>24</v>
      </c>
      <c r="W336" s="7" t="s">
        <v>37</v>
      </c>
    </row>
    <row r="337" spans="1:23" x14ac:dyDescent="0.4">
      <c r="A337" t="s">
        <v>262</v>
      </c>
      <c r="B337" t="s">
        <v>2394</v>
      </c>
      <c r="C337" t="s">
        <v>2404</v>
      </c>
      <c r="D337" t="s">
        <v>64</v>
      </c>
      <c r="E337" t="s">
        <v>22</v>
      </c>
      <c r="F337" t="s">
        <v>23</v>
      </c>
      <c r="G337">
        <v>1</v>
      </c>
      <c r="H337">
        <v>9791159283109</v>
      </c>
      <c r="I337" t="s">
        <v>24</v>
      </c>
      <c r="J337" t="s">
        <v>75</v>
      </c>
      <c r="K337" t="s">
        <v>37</v>
      </c>
      <c r="L337" t="s">
        <v>27</v>
      </c>
      <c r="M337">
        <v>900</v>
      </c>
      <c r="N337" t="s">
        <v>27</v>
      </c>
      <c r="O337">
        <v>900</v>
      </c>
      <c r="P337">
        <v>900</v>
      </c>
      <c r="Q337" t="s">
        <v>30</v>
      </c>
      <c r="R337" s="2">
        <v>0.7</v>
      </c>
      <c r="S337">
        <v>630</v>
      </c>
      <c r="T337" t="s">
        <v>27</v>
      </c>
      <c r="U337">
        <v>630</v>
      </c>
      <c r="V337" s="7" t="s">
        <v>24</v>
      </c>
      <c r="W337" s="7" t="s">
        <v>37</v>
      </c>
    </row>
    <row r="338" spans="1:23" x14ac:dyDescent="0.4">
      <c r="A338" t="s">
        <v>262</v>
      </c>
      <c r="B338" t="s">
        <v>2394</v>
      </c>
      <c r="C338" t="s">
        <v>2422</v>
      </c>
      <c r="D338" t="s">
        <v>64</v>
      </c>
      <c r="E338" t="s">
        <v>22</v>
      </c>
      <c r="F338" t="s">
        <v>23</v>
      </c>
      <c r="G338">
        <v>1</v>
      </c>
      <c r="H338">
        <v>9791166064050</v>
      </c>
      <c r="I338" t="s">
        <v>24</v>
      </c>
      <c r="J338" t="s">
        <v>79</v>
      </c>
      <c r="K338" t="s">
        <v>37</v>
      </c>
      <c r="L338" t="s">
        <v>27</v>
      </c>
      <c r="M338">
        <v>900</v>
      </c>
      <c r="N338" t="s">
        <v>27</v>
      </c>
      <c r="O338">
        <v>900</v>
      </c>
      <c r="P338">
        <v>900</v>
      </c>
      <c r="Q338" t="s">
        <v>30</v>
      </c>
      <c r="R338" s="2">
        <v>0.7</v>
      </c>
      <c r="S338">
        <v>630</v>
      </c>
      <c r="T338" t="s">
        <v>27</v>
      </c>
      <c r="U338">
        <v>630</v>
      </c>
      <c r="V338" s="7" t="s">
        <v>24</v>
      </c>
      <c r="W338" s="7" t="s">
        <v>37</v>
      </c>
    </row>
    <row r="339" spans="1:23" x14ac:dyDescent="0.4">
      <c r="A339" t="s">
        <v>262</v>
      </c>
      <c r="B339" t="s">
        <v>2394</v>
      </c>
      <c r="C339" t="s">
        <v>2423</v>
      </c>
      <c r="D339" t="s">
        <v>64</v>
      </c>
      <c r="E339" t="s">
        <v>22</v>
      </c>
      <c r="F339" t="s">
        <v>23</v>
      </c>
      <c r="G339">
        <v>1</v>
      </c>
      <c r="H339">
        <v>9791166061080</v>
      </c>
      <c r="I339" t="s">
        <v>24</v>
      </c>
      <c r="J339" t="s">
        <v>74</v>
      </c>
      <c r="K339" t="s">
        <v>37</v>
      </c>
      <c r="L339" t="s">
        <v>27</v>
      </c>
      <c r="M339">
        <v>900</v>
      </c>
      <c r="N339" t="s">
        <v>27</v>
      </c>
      <c r="O339">
        <v>900</v>
      </c>
      <c r="P339">
        <v>900</v>
      </c>
      <c r="Q339" t="s">
        <v>30</v>
      </c>
      <c r="R339" s="2">
        <v>0.7</v>
      </c>
      <c r="S339">
        <v>630</v>
      </c>
      <c r="T339" t="s">
        <v>27</v>
      </c>
      <c r="U339">
        <v>630</v>
      </c>
      <c r="V339" s="7" t="s">
        <v>24</v>
      </c>
      <c r="W339" s="7" t="s">
        <v>37</v>
      </c>
    </row>
    <row r="340" spans="1:23" x14ac:dyDescent="0.4">
      <c r="A340" t="s">
        <v>262</v>
      </c>
      <c r="B340" t="s">
        <v>2394</v>
      </c>
      <c r="C340" t="s">
        <v>2431</v>
      </c>
      <c r="D340" t="s">
        <v>64</v>
      </c>
      <c r="E340" t="s">
        <v>22</v>
      </c>
      <c r="F340" t="s">
        <v>23</v>
      </c>
      <c r="G340">
        <v>1</v>
      </c>
      <c r="H340">
        <v>9791166061097</v>
      </c>
      <c r="I340" t="s">
        <v>24</v>
      </c>
      <c r="J340" t="s">
        <v>95</v>
      </c>
      <c r="K340" t="s">
        <v>37</v>
      </c>
      <c r="L340" t="s">
        <v>27</v>
      </c>
      <c r="M340">
        <v>900</v>
      </c>
      <c r="N340" t="s">
        <v>27</v>
      </c>
      <c r="O340">
        <v>900</v>
      </c>
      <c r="P340">
        <v>900</v>
      </c>
      <c r="Q340" t="s">
        <v>30</v>
      </c>
      <c r="R340" s="2">
        <v>0.7</v>
      </c>
      <c r="S340">
        <v>630</v>
      </c>
      <c r="T340" t="s">
        <v>27</v>
      </c>
      <c r="U340">
        <v>630</v>
      </c>
      <c r="V340" s="7" t="s">
        <v>24</v>
      </c>
      <c r="W340" s="7" t="s">
        <v>37</v>
      </c>
    </row>
    <row r="341" spans="1:23" x14ac:dyDescent="0.4">
      <c r="A341" t="s">
        <v>262</v>
      </c>
      <c r="B341" t="s">
        <v>2394</v>
      </c>
      <c r="C341" t="s">
        <v>2434</v>
      </c>
      <c r="D341" t="s">
        <v>64</v>
      </c>
      <c r="E341" t="s">
        <v>22</v>
      </c>
      <c r="F341" t="s">
        <v>23</v>
      </c>
      <c r="G341">
        <v>1</v>
      </c>
      <c r="H341">
        <v>9791166061134</v>
      </c>
      <c r="I341" t="s">
        <v>24</v>
      </c>
      <c r="J341" t="s">
        <v>98</v>
      </c>
      <c r="K341" t="s">
        <v>37</v>
      </c>
      <c r="L341" t="s">
        <v>27</v>
      </c>
      <c r="M341">
        <v>900</v>
      </c>
      <c r="N341" t="s">
        <v>27</v>
      </c>
      <c r="O341">
        <v>900</v>
      </c>
      <c r="P341">
        <v>900</v>
      </c>
      <c r="Q341" t="s">
        <v>30</v>
      </c>
      <c r="R341" s="2">
        <v>0.7</v>
      </c>
      <c r="S341">
        <v>630</v>
      </c>
      <c r="T341" t="s">
        <v>27</v>
      </c>
      <c r="U341">
        <v>630</v>
      </c>
      <c r="V341" s="7" t="s">
        <v>24</v>
      </c>
      <c r="W341" s="7" t="s">
        <v>37</v>
      </c>
    </row>
    <row r="342" spans="1:23" x14ac:dyDescent="0.4">
      <c r="A342" t="s">
        <v>262</v>
      </c>
      <c r="B342" t="s">
        <v>2394</v>
      </c>
      <c r="C342" t="s">
        <v>2437</v>
      </c>
      <c r="D342" t="s">
        <v>64</v>
      </c>
      <c r="E342" t="s">
        <v>22</v>
      </c>
      <c r="F342" t="s">
        <v>23</v>
      </c>
      <c r="G342">
        <v>1</v>
      </c>
      <c r="H342">
        <v>9791159283178</v>
      </c>
      <c r="I342" t="s">
        <v>24</v>
      </c>
      <c r="J342" t="s">
        <v>88</v>
      </c>
      <c r="K342" t="s">
        <v>37</v>
      </c>
      <c r="L342" t="s">
        <v>27</v>
      </c>
      <c r="M342">
        <v>900</v>
      </c>
      <c r="N342" t="s">
        <v>27</v>
      </c>
      <c r="O342">
        <v>900</v>
      </c>
      <c r="P342">
        <v>900</v>
      </c>
      <c r="Q342" t="s">
        <v>30</v>
      </c>
      <c r="R342" s="2">
        <v>0.7</v>
      </c>
      <c r="S342">
        <v>630</v>
      </c>
      <c r="T342" t="s">
        <v>27</v>
      </c>
      <c r="U342">
        <v>630</v>
      </c>
      <c r="V342" s="7" t="s">
        <v>24</v>
      </c>
      <c r="W342" s="7" t="s">
        <v>37</v>
      </c>
    </row>
    <row r="343" spans="1:23" x14ac:dyDescent="0.4">
      <c r="A343" t="s">
        <v>262</v>
      </c>
      <c r="B343" t="s">
        <v>2394</v>
      </c>
      <c r="C343" t="s">
        <v>2440</v>
      </c>
      <c r="D343" t="s">
        <v>64</v>
      </c>
      <c r="E343" t="s">
        <v>22</v>
      </c>
      <c r="F343" t="s">
        <v>23</v>
      </c>
      <c r="G343">
        <v>1</v>
      </c>
      <c r="H343">
        <v>9791166064067</v>
      </c>
      <c r="I343" t="s">
        <v>24</v>
      </c>
      <c r="J343" t="s">
        <v>81</v>
      </c>
      <c r="K343" t="s">
        <v>37</v>
      </c>
      <c r="L343" t="s">
        <v>27</v>
      </c>
      <c r="M343">
        <v>900</v>
      </c>
      <c r="N343" t="s">
        <v>27</v>
      </c>
      <c r="O343">
        <v>900</v>
      </c>
      <c r="P343">
        <v>900</v>
      </c>
      <c r="Q343" t="s">
        <v>30</v>
      </c>
      <c r="R343" s="2">
        <v>0.7</v>
      </c>
      <c r="S343">
        <v>630</v>
      </c>
      <c r="T343" t="s">
        <v>27</v>
      </c>
      <c r="U343">
        <v>630</v>
      </c>
      <c r="V343" s="7" t="s">
        <v>24</v>
      </c>
      <c r="W343" s="7" t="s">
        <v>37</v>
      </c>
    </row>
    <row r="344" spans="1:23" x14ac:dyDescent="0.4">
      <c r="A344" t="s">
        <v>262</v>
      </c>
      <c r="B344" t="s">
        <v>2394</v>
      </c>
      <c r="C344" t="s">
        <v>2451</v>
      </c>
      <c r="D344" t="s">
        <v>64</v>
      </c>
      <c r="E344" t="s">
        <v>22</v>
      </c>
      <c r="F344" t="s">
        <v>23</v>
      </c>
      <c r="G344">
        <v>1</v>
      </c>
      <c r="H344">
        <v>9791159283215</v>
      </c>
      <c r="I344" t="s">
        <v>24</v>
      </c>
      <c r="J344" t="s">
        <v>103</v>
      </c>
      <c r="K344" t="s">
        <v>37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2">
        <v>0.7</v>
      </c>
      <c r="S344">
        <v>441</v>
      </c>
      <c r="T344" t="s">
        <v>27</v>
      </c>
      <c r="U344">
        <v>441</v>
      </c>
      <c r="V344" s="7" t="s">
        <v>24</v>
      </c>
      <c r="W344" s="7" t="s">
        <v>37</v>
      </c>
    </row>
    <row r="345" spans="1:23" x14ac:dyDescent="0.4">
      <c r="A345" t="s">
        <v>262</v>
      </c>
      <c r="B345" t="s">
        <v>2394</v>
      </c>
      <c r="C345" t="s">
        <v>2452</v>
      </c>
      <c r="D345" t="s">
        <v>64</v>
      </c>
      <c r="E345" t="s">
        <v>22</v>
      </c>
      <c r="F345" t="s">
        <v>23</v>
      </c>
      <c r="G345">
        <v>1</v>
      </c>
      <c r="H345">
        <v>9791166061103</v>
      </c>
      <c r="I345" t="s">
        <v>24</v>
      </c>
      <c r="J345" t="s">
        <v>96</v>
      </c>
      <c r="K345" t="s">
        <v>37</v>
      </c>
      <c r="L345" t="s">
        <v>27</v>
      </c>
      <c r="M345">
        <v>900</v>
      </c>
      <c r="N345" t="s">
        <v>27</v>
      </c>
      <c r="O345">
        <v>900</v>
      </c>
      <c r="P345">
        <v>900</v>
      </c>
      <c r="Q345" t="s">
        <v>30</v>
      </c>
      <c r="R345" s="2">
        <v>0.7</v>
      </c>
      <c r="S345">
        <v>630</v>
      </c>
      <c r="T345" t="s">
        <v>27</v>
      </c>
      <c r="U345">
        <v>630</v>
      </c>
      <c r="V345" s="7" t="s">
        <v>24</v>
      </c>
      <c r="W345" s="7" t="s">
        <v>37</v>
      </c>
    </row>
    <row r="346" spans="1:23" x14ac:dyDescent="0.4">
      <c r="A346" t="s">
        <v>262</v>
      </c>
      <c r="B346" t="s">
        <v>2394</v>
      </c>
      <c r="C346" t="s">
        <v>2454</v>
      </c>
      <c r="D346" t="s">
        <v>64</v>
      </c>
      <c r="E346" t="s">
        <v>22</v>
      </c>
      <c r="F346" t="s">
        <v>23</v>
      </c>
      <c r="G346">
        <v>1</v>
      </c>
      <c r="H346">
        <v>9791166061134</v>
      </c>
      <c r="I346" t="s">
        <v>24</v>
      </c>
      <c r="J346" t="s">
        <v>98</v>
      </c>
      <c r="K346" t="s">
        <v>37</v>
      </c>
      <c r="L346" t="s">
        <v>27</v>
      </c>
      <c r="M346">
        <v>900</v>
      </c>
      <c r="N346" t="s">
        <v>27</v>
      </c>
      <c r="O346">
        <v>900</v>
      </c>
      <c r="P346">
        <v>900</v>
      </c>
      <c r="Q346" t="s">
        <v>30</v>
      </c>
      <c r="R346" s="2">
        <v>0.7</v>
      </c>
      <c r="S346">
        <v>630</v>
      </c>
      <c r="T346" t="s">
        <v>27</v>
      </c>
      <c r="U346">
        <v>630</v>
      </c>
      <c r="V346" s="7" t="s">
        <v>24</v>
      </c>
      <c r="W346" s="7" t="s">
        <v>37</v>
      </c>
    </row>
    <row r="347" spans="1:23" x14ac:dyDescent="0.4">
      <c r="A347" t="s">
        <v>262</v>
      </c>
      <c r="B347" t="s">
        <v>2394</v>
      </c>
      <c r="C347" t="s">
        <v>2455</v>
      </c>
      <c r="D347" t="s">
        <v>64</v>
      </c>
      <c r="E347" t="s">
        <v>22</v>
      </c>
      <c r="F347" t="s">
        <v>23</v>
      </c>
      <c r="G347">
        <v>1</v>
      </c>
      <c r="H347">
        <v>9791159283260</v>
      </c>
      <c r="I347" t="s">
        <v>24</v>
      </c>
      <c r="J347" t="s">
        <v>69</v>
      </c>
      <c r="K347" t="s">
        <v>37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  <c r="V347" s="7" t="s">
        <v>24</v>
      </c>
      <c r="W347" s="7" t="s">
        <v>37</v>
      </c>
    </row>
    <row r="348" spans="1:23" x14ac:dyDescent="0.4">
      <c r="A348" t="s">
        <v>262</v>
      </c>
      <c r="B348" t="s">
        <v>2394</v>
      </c>
      <c r="C348" t="s">
        <v>2463</v>
      </c>
      <c r="D348" t="s">
        <v>64</v>
      </c>
      <c r="E348" t="s">
        <v>22</v>
      </c>
      <c r="F348" t="s">
        <v>23</v>
      </c>
      <c r="G348">
        <v>1</v>
      </c>
      <c r="H348">
        <v>9791159283116</v>
      </c>
      <c r="I348" t="s">
        <v>24</v>
      </c>
      <c r="J348" t="s">
        <v>76</v>
      </c>
      <c r="K348" t="s">
        <v>37</v>
      </c>
      <c r="L348" t="s">
        <v>27</v>
      </c>
      <c r="M348">
        <v>900</v>
      </c>
      <c r="N348" t="s">
        <v>27</v>
      </c>
      <c r="O348">
        <v>900</v>
      </c>
      <c r="P348">
        <v>900</v>
      </c>
      <c r="Q348" t="s">
        <v>30</v>
      </c>
      <c r="R348" s="2">
        <v>0.7</v>
      </c>
      <c r="S348">
        <v>630</v>
      </c>
      <c r="T348" t="s">
        <v>27</v>
      </c>
      <c r="U348">
        <v>630</v>
      </c>
      <c r="V348" s="7" t="s">
        <v>24</v>
      </c>
      <c r="W348" s="7" t="s">
        <v>37</v>
      </c>
    </row>
    <row r="349" spans="1:23" x14ac:dyDescent="0.4">
      <c r="A349" t="s">
        <v>262</v>
      </c>
      <c r="B349" t="s">
        <v>2394</v>
      </c>
      <c r="C349" t="s">
        <v>2466</v>
      </c>
      <c r="D349" t="s">
        <v>64</v>
      </c>
      <c r="E349" t="s">
        <v>22</v>
      </c>
      <c r="F349" t="s">
        <v>23</v>
      </c>
      <c r="G349">
        <v>1</v>
      </c>
      <c r="H349">
        <v>9791159283222</v>
      </c>
      <c r="I349" t="s">
        <v>24</v>
      </c>
      <c r="J349" t="s">
        <v>65</v>
      </c>
      <c r="K349" t="s">
        <v>37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  <c r="V349" s="7" t="s">
        <v>24</v>
      </c>
      <c r="W349" s="7" t="s">
        <v>37</v>
      </c>
    </row>
    <row r="350" spans="1:23" x14ac:dyDescent="0.4">
      <c r="A350" t="s">
        <v>262</v>
      </c>
      <c r="B350" t="s">
        <v>2394</v>
      </c>
      <c r="C350" t="s">
        <v>2468</v>
      </c>
      <c r="D350" t="s">
        <v>64</v>
      </c>
      <c r="E350" t="s">
        <v>22</v>
      </c>
      <c r="F350" t="s">
        <v>23</v>
      </c>
      <c r="G350">
        <v>1</v>
      </c>
      <c r="H350">
        <v>9791166061110</v>
      </c>
      <c r="I350" t="s">
        <v>24</v>
      </c>
      <c r="J350" t="s">
        <v>97</v>
      </c>
      <c r="K350" t="s">
        <v>37</v>
      </c>
      <c r="L350" t="s">
        <v>27</v>
      </c>
      <c r="M350">
        <v>900</v>
      </c>
      <c r="N350" t="s">
        <v>27</v>
      </c>
      <c r="O350">
        <v>900</v>
      </c>
      <c r="P350">
        <v>900</v>
      </c>
      <c r="Q350" t="s">
        <v>30</v>
      </c>
      <c r="R350" s="2">
        <v>0.7</v>
      </c>
      <c r="S350">
        <v>630</v>
      </c>
      <c r="T350" t="s">
        <v>27</v>
      </c>
      <c r="U350">
        <v>630</v>
      </c>
      <c r="V350" s="7" t="s">
        <v>24</v>
      </c>
      <c r="W350" s="7" t="s">
        <v>37</v>
      </c>
    </row>
    <row r="351" spans="1:23" x14ac:dyDescent="0.4">
      <c r="A351" t="s">
        <v>262</v>
      </c>
      <c r="B351" t="s">
        <v>262</v>
      </c>
      <c r="C351" t="s">
        <v>2471</v>
      </c>
      <c r="D351" t="s">
        <v>64</v>
      </c>
      <c r="E351" t="s">
        <v>22</v>
      </c>
      <c r="F351" t="s">
        <v>23</v>
      </c>
      <c r="G351">
        <v>1</v>
      </c>
      <c r="H351">
        <v>9791159283239</v>
      </c>
      <c r="I351" t="s">
        <v>24</v>
      </c>
      <c r="J351" t="s">
        <v>66</v>
      </c>
      <c r="K351" t="s">
        <v>37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  <c r="V351" s="7" t="s">
        <v>24</v>
      </c>
      <c r="W351" s="7" t="s">
        <v>37</v>
      </c>
    </row>
    <row r="352" spans="1:23" x14ac:dyDescent="0.4">
      <c r="A352" t="s">
        <v>262</v>
      </c>
      <c r="B352" t="s">
        <v>262</v>
      </c>
      <c r="C352" t="s">
        <v>2472</v>
      </c>
      <c r="D352" t="s">
        <v>64</v>
      </c>
      <c r="E352" t="s">
        <v>22</v>
      </c>
      <c r="F352" t="s">
        <v>23</v>
      </c>
      <c r="G352">
        <v>1</v>
      </c>
      <c r="H352">
        <v>9791159283246</v>
      </c>
      <c r="I352" t="s">
        <v>24</v>
      </c>
      <c r="J352" t="s">
        <v>67</v>
      </c>
      <c r="K352" t="s">
        <v>37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  <c r="V352" s="7" t="s">
        <v>24</v>
      </c>
      <c r="W352" s="7" t="s">
        <v>37</v>
      </c>
    </row>
    <row r="353" spans="1:23" x14ac:dyDescent="0.4">
      <c r="A353" t="s">
        <v>262</v>
      </c>
      <c r="B353" t="s">
        <v>262</v>
      </c>
      <c r="C353" t="s">
        <v>2473</v>
      </c>
      <c r="D353" t="s">
        <v>64</v>
      </c>
      <c r="E353" t="s">
        <v>22</v>
      </c>
      <c r="F353" t="s">
        <v>23</v>
      </c>
      <c r="G353">
        <v>1</v>
      </c>
      <c r="H353">
        <v>9791159283147</v>
      </c>
      <c r="I353" t="s">
        <v>24</v>
      </c>
      <c r="J353" t="s">
        <v>83</v>
      </c>
      <c r="K353" t="s">
        <v>37</v>
      </c>
      <c r="L353" t="s">
        <v>27</v>
      </c>
      <c r="M353">
        <v>900</v>
      </c>
      <c r="N353" t="s">
        <v>27</v>
      </c>
      <c r="O353">
        <v>900</v>
      </c>
      <c r="P353">
        <v>900</v>
      </c>
      <c r="Q353" t="s">
        <v>30</v>
      </c>
      <c r="R353" s="2">
        <v>0.7</v>
      </c>
      <c r="S353">
        <v>630</v>
      </c>
      <c r="T353" t="s">
        <v>27</v>
      </c>
      <c r="U353">
        <v>630</v>
      </c>
      <c r="V353" s="7" t="s">
        <v>24</v>
      </c>
      <c r="W353" s="7" t="s">
        <v>37</v>
      </c>
    </row>
    <row r="354" spans="1:23" x14ac:dyDescent="0.4">
      <c r="A354" t="s">
        <v>262</v>
      </c>
      <c r="B354" t="s">
        <v>262</v>
      </c>
      <c r="C354" t="s">
        <v>2479</v>
      </c>
      <c r="D354" t="s">
        <v>64</v>
      </c>
      <c r="E354" t="s">
        <v>22</v>
      </c>
      <c r="F354" t="s">
        <v>23</v>
      </c>
      <c r="G354">
        <v>1</v>
      </c>
      <c r="H354">
        <v>9791159282256</v>
      </c>
      <c r="I354" t="s">
        <v>24</v>
      </c>
      <c r="J354" t="s">
        <v>117</v>
      </c>
      <c r="K354" t="s">
        <v>37</v>
      </c>
      <c r="L354" t="s">
        <v>27</v>
      </c>
      <c r="M354">
        <v>900</v>
      </c>
      <c r="N354" t="s">
        <v>27</v>
      </c>
      <c r="O354">
        <v>900</v>
      </c>
      <c r="P354">
        <v>900</v>
      </c>
      <c r="Q354" t="s">
        <v>30</v>
      </c>
      <c r="R354" s="2">
        <v>0.7</v>
      </c>
      <c r="S354">
        <v>630</v>
      </c>
      <c r="T354" t="s">
        <v>27</v>
      </c>
      <c r="U354">
        <v>630</v>
      </c>
      <c r="V354" s="7" t="s">
        <v>24</v>
      </c>
      <c r="W354" s="7" t="s">
        <v>37</v>
      </c>
    </row>
    <row r="355" spans="1:23" x14ac:dyDescent="0.4">
      <c r="A355" t="s">
        <v>262</v>
      </c>
      <c r="B355" t="s">
        <v>262</v>
      </c>
      <c r="C355" t="s">
        <v>2480</v>
      </c>
      <c r="D355" t="s">
        <v>64</v>
      </c>
      <c r="E355" t="s">
        <v>22</v>
      </c>
      <c r="F355" t="s">
        <v>23</v>
      </c>
      <c r="G355">
        <v>1</v>
      </c>
      <c r="H355">
        <v>9791159283253</v>
      </c>
      <c r="I355" t="s">
        <v>24</v>
      </c>
      <c r="J355" t="s">
        <v>68</v>
      </c>
      <c r="K355" t="s">
        <v>37</v>
      </c>
      <c r="L355" t="s">
        <v>27</v>
      </c>
      <c r="M355">
        <v>630</v>
      </c>
      <c r="N355" t="s">
        <v>27</v>
      </c>
      <c r="O355">
        <v>630</v>
      </c>
      <c r="P355">
        <v>630</v>
      </c>
      <c r="Q355" t="s">
        <v>30</v>
      </c>
      <c r="R355" s="2">
        <v>0.7</v>
      </c>
      <c r="S355">
        <v>441</v>
      </c>
      <c r="T355" t="s">
        <v>27</v>
      </c>
      <c r="U355">
        <v>441</v>
      </c>
      <c r="V355" s="7" t="s">
        <v>24</v>
      </c>
      <c r="W355" s="7" t="s">
        <v>37</v>
      </c>
    </row>
    <row r="356" spans="1:23" x14ac:dyDescent="0.4">
      <c r="A356" t="s">
        <v>262</v>
      </c>
      <c r="B356" t="s">
        <v>262</v>
      </c>
      <c r="C356" t="s">
        <v>2481</v>
      </c>
      <c r="D356" t="s">
        <v>64</v>
      </c>
      <c r="E356" t="s">
        <v>22</v>
      </c>
      <c r="F356" t="s">
        <v>23</v>
      </c>
      <c r="G356">
        <v>1</v>
      </c>
      <c r="H356">
        <v>9791159283260</v>
      </c>
      <c r="I356" t="s">
        <v>24</v>
      </c>
      <c r="J356" t="s">
        <v>69</v>
      </c>
      <c r="K356" t="s">
        <v>37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  <c r="V356" s="7" t="s">
        <v>24</v>
      </c>
      <c r="W356" s="7" t="s">
        <v>37</v>
      </c>
    </row>
    <row r="357" spans="1:23" x14ac:dyDescent="0.4">
      <c r="A357" t="s">
        <v>262</v>
      </c>
      <c r="B357" t="s">
        <v>262</v>
      </c>
      <c r="C357" t="s">
        <v>2486</v>
      </c>
      <c r="D357" t="s">
        <v>64</v>
      </c>
      <c r="E357" t="s">
        <v>22</v>
      </c>
      <c r="F357" t="s">
        <v>23</v>
      </c>
      <c r="G357">
        <v>1</v>
      </c>
      <c r="H357">
        <v>9791166061141</v>
      </c>
      <c r="I357" t="s">
        <v>24</v>
      </c>
      <c r="J357" t="s">
        <v>99</v>
      </c>
      <c r="K357" t="s">
        <v>37</v>
      </c>
      <c r="L357" t="s">
        <v>27</v>
      </c>
      <c r="M357">
        <v>900</v>
      </c>
      <c r="N357" t="s">
        <v>27</v>
      </c>
      <c r="O357">
        <v>900</v>
      </c>
      <c r="P357">
        <v>900</v>
      </c>
      <c r="Q357" t="s">
        <v>30</v>
      </c>
      <c r="R357" s="2">
        <v>0.7</v>
      </c>
      <c r="S357">
        <v>630</v>
      </c>
      <c r="T357" t="s">
        <v>27</v>
      </c>
      <c r="U357">
        <v>630</v>
      </c>
      <c r="V357" s="7" t="s">
        <v>24</v>
      </c>
      <c r="W357" s="7" t="s">
        <v>37</v>
      </c>
    </row>
    <row r="358" spans="1:23" x14ac:dyDescent="0.4">
      <c r="A358" t="s">
        <v>262</v>
      </c>
      <c r="B358" t="s">
        <v>262</v>
      </c>
      <c r="C358" t="s">
        <v>2489</v>
      </c>
      <c r="D358" t="s">
        <v>64</v>
      </c>
      <c r="E358" t="s">
        <v>22</v>
      </c>
      <c r="F358" t="s">
        <v>23</v>
      </c>
      <c r="G358">
        <v>1</v>
      </c>
      <c r="H358">
        <v>9791159283246</v>
      </c>
      <c r="I358" t="s">
        <v>24</v>
      </c>
      <c r="J358" t="s">
        <v>67</v>
      </c>
      <c r="K358" t="s">
        <v>37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  <c r="V358" s="7" t="s">
        <v>24</v>
      </c>
      <c r="W358" s="7" t="s">
        <v>37</v>
      </c>
    </row>
    <row r="359" spans="1:23" x14ac:dyDescent="0.4">
      <c r="A359" t="s">
        <v>262</v>
      </c>
      <c r="B359" t="s">
        <v>262</v>
      </c>
      <c r="C359" t="s">
        <v>2493</v>
      </c>
      <c r="D359" t="s">
        <v>64</v>
      </c>
      <c r="E359" t="s">
        <v>22</v>
      </c>
      <c r="F359" t="s">
        <v>23</v>
      </c>
      <c r="G359">
        <v>1</v>
      </c>
      <c r="H359">
        <v>9791166061127</v>
      </c>
      <c r="I359" t="s">
        <v>24</v>
      </c>
      <c r="J359" t="s">
        <v>100</v>
      </c>
      <c r="K359" t="s">
        <v>37</v>
      </c>
      <c r="L359" t="s">
        <v>27</v>
      </c>
      <c r="M359">
        <v>900</v>
      </c>
      <c r="N359" t="s">
        <v>27</v>
      </c>
      <c r="O359">
        <v>900</v>
      </c>
      <c r="P359">
        <v>900</v>
      </c>
      <c r="Q359" t="s">
        <v>30</v>
      </c>
      <c r="R359" s="2">
        <v>0.7</v>
      </c>
      <c r="S359">
        <v>630</v>
      </c>
      <c r="T359" t="s">
        <v>27</v>
      </c>
      <c r="U359">
        <v>630</v>
      </c>
      <c r="V359" s="7" t="s">
        <v>24</v>
      </c>
      <c r="W359" s="7" t="s">
        <v>37</v>
      </c>
    </row>
    <row r="360" spans="1:23" x14ac:dyDescent="0.4">
      <c r="A360" t="s">
        <v>262</v>
      </c>
      <c r="B360" t="s">
        <v>262</v>
      </c>
      <c r="C360" t="s">
        <v>2496</v>
      </c>
      <c r="D360" t="s">
        <v>64</v>
      </c>
      <c r="E360" t="s">
        <v>22</v>
      </c>
      <c r="F360" t="s">
        <v>23</v>
      </c>
      <c r="G360">
        <v>1</v>
      </c>
      <c r="H360">
        <v>9791166061134</v>
      </c>
      <c r="I360" t="s">
        <v>24</v>
      </c>
      <c r="J360" t="s">
        <v>98</v>
      </c>
      <c r="K360" t="s">
        <v>37</v>
      </c>
      <c r="L360" t="s">
        <v>27</v>
      </c>
      <c r="M360">
        <v>900</v>
      </c>
      <c r="N360" t="s">
        <v>27</v>
      </c>
      <c r="O360">
        <v>900</v>
      </c>
      <c r="P360">
        <v>900</v>
      </c>
      <c r="Q360" t="s">
        <v>30</v>
      </c>
      <c r="R360" s="2">
        <v>0.7</v>
      </c>
      <c r="S360">
        <v>630</v>
      </c>
      <c r="T360" t="s">
        <v>27</v>
      </c>
      <c r="U360">
        <v>630</v>
      </c>
      <c r="V360" s="7" t="s">
        <v>24</v>
      </c>
      <c r="W360" s="7" t="s">
        <v>37</v>
      </c>
    </row>
    <row r="361" spans="1:23" x14ac:dyDescent="0.4">
      <c r="A361" t="s">
        <v>262</v>
      </c>
      <c r="B361" t="s">
        <v>262</v>
      </c>
      <c r="C361" t="s">
        <v>2507</v>
      </c>
      <c r="D361" t="s">
        <v>64</v>
      </c>
      <c r="E361" t="s">
        <v>22</v>
      </c>
      <c r="F361" t="s">
        <v>23</v>
      </c>
      <c r="G361">
        <v>1</v>
      </c>
      <c r="H361">
        <v>9791159283123</v>
      </c>
      <c r="I361" t="s">
        <v>24</v>
      </c>
      <c r="J361" t="s">
        <v>78</v>
      </c>
      <c r="K361" t="s">
        <v>37</v>
      </c>
      <c r="L361" t="s">
        <v>27</v>
      </c>
      <c r="M361">
        <v>900</v>
      </c>
      <c r="N361" t="s">
        <v>27</v>
      </c>
      <c r="O361">
        <v>900</v>
      </c>
      <c r="P361">
        <v>900</v>
      </c>
      <c r="Q361" t="s">
        <v>30</v>
      </c>
      <c r="R361" s="2">
        <v>0.7</v>
      </c>
      <c r="S361">
        <v>630</v>
      </c>
      <c r="T361" t="s">
        <v>27</v>
      </c>
      <c r="U361">
        <v>630</v>
      </c>
      <c r="V361" s="7" t="s">
        <v>24</v>
      </c>
      <c r="W361" s="7" t="s">
        <v>37</v>
      </c>
    </row>
    <row r="362" spans="1:23" x14ac:dyDescent="0.4">
      <c r="A362" t="s">
        <v>262</v>
      </c>
      <c r="B362" t="s">
        <v>262</v>
      </c>
      <c r="C362" t="s">
        <v>2513</v>
      </c>
      <c r="D362" t="s">
        <v>64</v>
      </c>
      <c r="E362" t="s">
        <v>22</v>
      </c>
      <c r="F362" t="s">
        <v>23</v>
      </c>
      <c r="G362">
        <v>1</v>
      </c>
      <c r="H362">
        <v>9791159283185</v>
      </c>
      <c r="I362" t="s">
        <v>24</v>
      </c>
      <c r="J362" t="s">
        <v>89</v>
      </c>
      <c r="K362" t="s">
        <v>37</v>
      </c>
      <c r="L362" t="s">
        <v>27</v>
      </c>
      <c r="M362">
        <v>900</v>
      </c>
      <c r="N362" t="s">
        <v>27</v>
      </c>
      <c r="O362">
        <v>900</v>
      </c>
      <c r="P362">
        <v>900</v>
      </c>
      <c r="Q362" t="s">
        <v>30</v>
      </c>
      <c r="R362" s="2">
        <v>0.7</v>
      </c>
      <c r="S362">
        <v>630</v>
      </c>
      <c r="T362" t="s">
        <v>27</v>
      </c>
      <c r="U362">
        <v>630</v>
      </c>
      <c r="V362" s="7" t="s">
        <v>24</v>
      </c>
      <c r="W362" s="7" t="s">
        <v>37</v>
      </c>
    </row>
    <row r="363" spans="1:23" x14ac:dyDescent="0.4">
      <c r="A363" t="s">
        <v>262</v>
      </c>
      <c r="B363" t="s">
        <v>262</v>
      </c>
      <c r="C363" t="s">
        <v>2527</v>
      </c>
      <c r="D363" t="s">
        <v>64</v>
      </c>
      <c r="E363" t="s">
        <v>22</v>
      </c>
      <c r="F363" t="s">
        <v>23</v>
      </c>
      <c r="G363">
        <v>1</v>
      </c>
      <c r="H363">
        <v>9791159283277</v>
      </c>
      <c r="I363" t="s">
        <v>24</v>
      </c>
      <c r="J363" t="s">
        <v>118</v>
      </c>
      <c r="K363" t="s">
        <v>37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  <c r="V363" s="7" t="s">
        <v>24</v>
      </c>
      <c r="W363" s="7" t="s">
        <v>37</v>
      </c>
    </row>
    <row r="364" spans="1:23" x14ac:dyDescent="0.4">
      <c r="A364" t="s">
        <v>262</v>
      </c>
      <c r="B364" t="s">
        <v>262</v>
      </c>
      <c r="C364" t="s">
        <v>2535</v>
      </c>
      <c r="D364" t="s">
        <v>64</v>
      </c>
      <c r="E364" t="s">
        <v>22</v>
      </c>
      <c r="F364" t="s">
        <v>23</v>
      </c>
      <c r="G364">
        <v>1</v>
      </c>
      <c r="H364">
        <v>9791166061134</v>
      </c>
      <c r="I364" t="s">
        <v>24</v>
      </c>
      <c r="J364" t="s">
        <v>98</v>
      </c>
      <c r="K364" t="s">
        <v>37</v>
      </c>
      <c r="L364" t="s">
        <v>27</v>
      </c>
      <c r="M364">
        <v>900</v>
      </c>
      <c r="N364" t="s">
        <v>27</v>
      </c>
      <c r="O364">
        <v>900</v>
      </c>
      <c r="P364">
        <v>900</v>
      </c>
      <c r="Q364" t="s">
        <v>30</v>
      </c>
      <c r="R364" s="2">
        <v>0.7</v>
      </c>
      <c r="S364">
        <v>630</v>
      </c>
      <c r="T364" t="s">
        <v>27</v>
      </c>
      <c r="U364">
        <v>630</v>
      </c>
      <c r="V364" s="7" t="s">
        <v>24</v>
      </c>
      <c r="W364" s="7" t="s">
        <v>37</v>
      </c>
    </row>
    <row r="365" spans="1:23" x14ac:dyDescent="0.4">
      <c r="A365" t="s">
        <v>262</v>
      </c>
      <c r="B365" t="s">
        <v>262</v>
      </c>
      <c r="C365" t="s">
        <v>2538</v>
      </c>
      <c r="D365" t="s">
        <v>64</v>
      </c>
      <c r="E365" t="s">
        <v>22</v>
      </c>
      <c r="F365" t="s">
        <v>23</v>
      </c>
      <c r="G365">
        <v>1</v>
      </c>
      <c r="H365">
        <v>9791166061141</v>
      </c>
      <c r="I365" t="s">
        <v>24</v>
      </c>
      <c r="J365" t="s">
        <v>99</v>
      </c>
      <c r="K365" t="s">
        <v>37</v>
      </c>
      <c r="L365" t="s">
        <v>27</v>
      </c>
      <c r="M365">
        <v>900</v>
      </c>
      <c r="N365" t="s">
        <v>27</v>
      </c>
      <c r="O365">
        <v>900</v>
      </c>
      <c r="P365">
        <v>900</v>
      </c>
      <c r="Q365" t="s">
        <v>30</v>
      </c>
      <c r="R365" s="2">
        <v>0.7</v>
      </c>
      <c r="S365">
        <v>630</v>
      </c>
      <c r="T365" t="s">
        <v>27</v>
      </c>
      <c r="U365">
        <v>630</v>
      </c>
      <c r="V365" s="7" t="s">
        <v>24</v>
      </c>
      <c r="W365" s="7" t="s">
        <v>37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3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3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326</v>
      </c>
      <c r="C2" t="s">
        <v>345</v>
      </c>
      <c r="D2" t="s">
        <v>64</v>
      </c>
      <c r="E2" t="s">
        <v>22</v>
      </c>
      <c r="F2" t="s">
        <v>23</v>
      </c>
      <c r="G2">
        <v>1</v>
      </c>
      <c r="H2">
        <v>9791166064395</v>
      </c>
      <c r="I2" t="s">
        <v>24</v>
      </c>
      <c r="J2" t="s">
        <v>104</v>
      </c>
      <c r="K2" t="s">
        <v>102</v>
      </c>
      <c r="L2" t="s">
        <v>27</v>
      </c>
      <c r="M2">
        <v>720</v>
      </c>
      <c r="N2" t="s">
        <v>27</v>
      </c>
      <c r="O2">
        <v>720</v>
      </c>
      <c r="P2">
        <v>720</v>
      </c>
      <c r="Q2" t="s">
        <v>30</v>
      </c>
      <c r="R2" s="2">
        <v>0.7</v>
      </c>
      <c r="S2">
        <v>504</v>
      </c>
      <c r="T2" t="s">
        <v>27</v>
      </c>
      <c r="U2">
        <v>504</v>
      </c>
      <c r="V2" s="7" t="s">
        <v>24</v>
      </c>
      <c r="W2" s="7" t="s">
        <v>102</v>
      </c>
    </row>
    <row r="3" spans="1:23" x14ac:dyDescent="0.4">
      <c r="A3" t="s">
        <v>262</v>
      </c>
      <c r="B3" t="s">
        <v>401</v>
      </c>
      <c r="C3" t="s">
        <v>435</v>
      </c>
      <c r="D3" t="s">
        <v>64</v>
      </c>
      <c r="E3" t="s">
        <v>22</v>
      </c>
      <c r="F3" t="s">
        <v>23</v>
      </c>
      <c r="G3">
        <v>1</v>
      </c>
      <c r="H3">
        <v>9791166064395</v>
      </c>
      <c r="I3" t="s">
        <v>24</v>
      </c>
      <c r="J3" t="s">
        <v>104</v>
      </c>
      <c r="K3" t="s">
        <v>102</v>
      </c>
      <c r="L3" t="s">
        <v>27</v>
      </c>
      <c r="M3">
        <v>720</v>
      </c>
      <c r="N3" t="s">
        <v>27</v>
      </c>
      <c r="O3">
        <v>720</v>
      </c>
      <c r="P3">
        <v>720</v>
      </c>
      <c r="Q3" t="s">
        <v>30</v>
      </c>
      <c r="R3" s="2">
        <v>0.7</v>
      </c>
      <c r="S3">
        <v>504</v>
      </c>
      <c r="T3" t="s">
        <v>27</v>
      </c>
      <c r="U3">
        <v>504</v>
      </c>
      <c r="V3" s="7" t="s">
        <v>24</v>
      </c>
      <c r="W3" s="7" t="s">
        <v>102</v>
      </c>
    </row>
    <row r="4" spans="1:23" x14ac:dyDescent="0.4">
      <c r="A4" t="s">
        <v>262</v>
      </c>
      <c r="B4" t="s">
        <v>401</v>
      </c>
      <c r="C4" t="s">
        <v>452</v>
      </c>
      <c r="D4" t="s">
        <v>64</v>
      </c>
      <c r="E4" t="s">
        <v>22</v>
      </c>
      <c r="F4" t="s">
        <v>23</v>
      </c>
      <c r="G4">
        <v>1</v>
      </c>
      <c r="H4">
        <v>9791166064401</v>
      </c>
      <c r="I4" t="s">
        <v>24</v>
      </c>
      <c r="J4" t="s">
        <v>111</v>
      </c>
      <c r="K4" t="s">
        <v>102</v>
      </c>
      <c r="L4" t="s">
        <v>27</v>
      </c>
      <c r="M4">
        <v>720</v>
      </c>
      <c r="N4" t="s">
        <v>27</v>
      </c>
      <c r="O4">
        <v>720</v>
      </c>
      <c r="P4">
        <v>720</v>
      </c>
      <c r="Q4" t="s">
        <v>30</v>
      </c>
      <c r="R4" s="2">
        <v>0.7</v>
      </c>
      <c r="S4">
        <v>504</v>
      </c>
      <c r="T4" t="s">
        <v>27</v>
      </c>
      <c r="U4">
        <v>504</v>
      </c>
      <c r="V4" s="7" t="s">
        <v>24</v>
      </c>
      <c r="W4" s="7" t="s">
        <v>102</v>
      </c>
    </row>
    <row r="5" spans="1:23" x14ac:dyDescent="0.4">
      <c r="A5" t="s">
        <v>262</v>
      </c>
      <c r="B5" t="s">
        <v>481</v>
      </c>
      <c r="C5" t="s">
        <v>537</v>
      </c>
      <c r="D5" t="s">
        <v>64</v>
      </c>
      <c r="E5" t="s">
        <v>22</v>
      </c>
      <c r="F5" t="s">
        <v>23</v>
      </c>
      <c r="G5">
        <v>1</v>
      </c>
      <c r="H5">
        <v>9791166064418</v>
      </c>
      <c r="I5" t="s">
        <v>24</v>
      </c>
      <c r="J5" t="s">
        <v>112</v>
      </c>
      <c r="K5" t="s">
        <v>102</v>
      </c>
      <c r="L5" t="s">
        <v>27</v>
      </c>
      <c r="M5">
        <v>720</v>
      </c>
      <c r="N5" t="s">
        <v>27</v>
      </c>
      <c r="O5">
        <v>720</v>
      </c>
      <c r="P5">
        <v>720</v>
      </c>
      <c r="Q5" t="s">
        <v>30</v>
      </c>
      <c r="R5" s="2">
        <v>0.7</v>
      </c>
      <c r="S5">
        <v>504</v>
      </c>
      <c r="T5" t="s">
        <v>27</v>
      </c>
      <c r="U5">
        <v>504</v>
      </c>
      <c r="V5" s="7" t="s">
        <v>24</v>
      </c>
      <c r="W5" s="7" t="s">
        <v>102</v>
      </c>
    </row>
    <row r="6" spans="1:23" x14ac:dyDescent="0.4">
      <c r="A6" t="s">
        <v>262</v>
      </c>
      <c r="B6" t="s">
        <v>810</v>
      </c>
      <c r="C6" t="s">
        <v>820</v>
      </c>
      <c r="D6" t="s">
        <v>64</v>
      </c>
      <c r="E6" t="s">
        <v>22</v>
      </c>
      <c r="F6" t="s">
        <v>23</v>
      </c>
      <c r="G6">
        <v>1</v>
      </c>
      <c r="H6">
        <v>9791166064395</v>
      </c>
      <c r="I6" t="s">
        <v>24</v>
      </c>
      <c r="J6" t="s">
        <v>104</v>
      </c>
      <c r="K6" t="s">
        <v>102</v>
      </c>
      <c r="L6" t="s">
        <v>27</v>
      </c>
      <c r="M6">
        <v>720</v>
      </c>
      <c r="N6" t="s">
        <v>27</v>
      </c>
      <c r="O6">
        <v>720</v>
      </c>
      <c r="P6">
        <v>720</v>
      </c>
      <c r="Q6" t="s">
        <v>30</v>
      </c>
      <c r="R6" s="2">
        <v>0.7</v>
      </c>
      <c r="S6">
        <v>504</v>
      </c>
      <c r="T6" t="s">
        <v>27</v>
      </c>
      <c r="U6">
        <v>504</v>
      </c>
      <c r="V6" s="7" t="s">
        <v>24</v>
      </c>
      <c r="W6" s="7" t="s">
        <v>102</v>
      </c>
    </row>
    <row r="7" spans="1:23" x14ac:dyDescent="0.4">
      <c r="A7" t="s">
        <v>262</v>
      </c>
      <c r="B7" t="s">
        <v>810</v>
      </c>
      <c r="C7" t="s">
        <v>882</v>
      </c>
      <c r="D7" t="s">
        <v>64</v>
      </c>
      <c r="E7" t="s">
        <v>22</v>
      </c>
      <c r="F7" t="s">
        <v>23</v>
      </c>
      <c r="G7">
        <v>1</v>
      </c>
      <c r="H7">
        <v>9791166064401</v>
      </c>
      <c r="I7" t="s">
        <v>24</v>
      </c>
      <c r="J7" t="s">
        <v>111</v>
      </c>
      <c r="K7" t="s">
        <v>102</v>
      </c>
      <c r="L7" t="s">
        <v>27</v>
      </c>
      <c r="M7">
        <v>720</v>
      </c>
      <c r="N7" t="s">
        <v>27</v>
      </c>
      <c r="O7">
        <v>720</v>
      </c>
      <c r="P7">
        <v>720</v>
      </c>
      <c r="Q7" t="s">
        <v>30</v>
      </c>
      <c r="R7" s="2">
        <v>0.7</v>
      </c>
      <c r="S7">
        <v>504</v>
      </c>
      <c r="T7" t="s">
        <v>27</v>
      </c>
      <c r="U7">
        <v>504</v>
      </c>
      <c r="V7" s="7" t="s">
        <v>24</v>
      </c>
      <c r="W7" s="7" t="s">
        <v>102</v>
      </c>
    </row>
    <row r="8" spans="1:23" x14ac:dyDescent="0.4">
      <c r="A8" t="s">
        <v>262</v>
      </c>
      <c r="B8" t="s">
        <v>899</v>
      </c>
      <c r="C8" t="s">
        <v>900</v>
      </c>
      <c r="D8" t="s">
        <v>64</v>
      </c>
      <c r="E8" t="s">
        <v>22</v>
      </c>
      <c r="F8" t="s">
        <v>23</v>
      </c>
      <c r="G8">
        <v>1</v>
      </c>
      <c r="H8">
        <v>9791166064418</v>
      </c>
      <c r="I8" t="s">
        <v>24</v>
      </c>
      <c r="J8" t="s">
        <v>112</v>
      </c>
      <c r="K8" t="s">
        <v>102</v>
      </c>
      <c r="L8" t="s">
        <v>27</v>
      </c>
      <c r="M8">
        <v>720</v>
      </c>
      <c r="N8" t="s">
        <v>27</v>
      </c>
      <c r="O8">
        <v>720</v>
      </c>
      <c r="P8">
        <v>720</v>
      </c>
      <c r="Q8" t="s">
        <v>30</v>
      </c>
      <c r="R8" s="2">
        <v>0.7</v>
      </c>
      <c r="S8">
        <v>504</v>
      </c>
      <c r="T8" t="s">
        <v>27</v>
      </c>
      <c r="U8">
        <v>504</v>
      </c>
      <c r="V8" s="7" t="s">
        <v>24</v>
      </c>
      <c r="W8" s="7" t="s">
        <v>102</v>
      </c>
    </row>
    <row r="9" spans="1:23" x14ac:dyDescent="0.4">
      <c r="A9" t="s">
        <v>262</v>
      </c>
      <c r="B9" t="s">
        <v>899</v>
      </c>
      <c r="C9" t="s">
        <v>910</v>
      </c>
      <c r="D9" t="s">
        <v>21</v>
      </c>
      <c r="E9" t="s">
        <v>22</v>
      </c>
      <c r="F9" t="s">
        <v>23</v>
      </c>
      <c r="G9">
        <v>1</v>
      </c>
      <c r="H9">
        <v>9791166064395</v>
      </c>
      <c r="I9" t="s">
        <v>24</v>
      </c>
      <c r="J9" t="s">
        <v>104</v>
      </c>
      <c r="K9" t="s">
        <v>102</v>
      </c>
      <c r="L9" t="s">
        <v>27</v>
      </c>
      <c r="M9" s="3">
        <v>3200</v>
      </c>
      <c r="N9" t="s">
        <v>27</v>
      </c>
      <c r="O9" s="3">
        <v>3200</v>
      </c>
      <c r="P9" s="3">
        <v>3200</v>
      </c>
      <c r="Q9" t="s">
        <v>30</v>
      </c>
      <c r="R9" s="2">
        <v>0.7</v>
      </c>
      <c r="S9" s="3">
        <v>2240</v>
      </c>
      <c r="T9" t="s">
        <v>27</v>
      </c>
      <c r="U9" s="3">
        <v>2240</v>
      </c>
      <c r="V9" s="7" t="s">
        <v>24</v>
      </c>
      <c r="W9" s="7" t="s">
        <v>102</v>
      </c>
    </row>
    <row r="10" spans="1:23" x14ac:dyDescent="0.4">
      <c r="A10" t="s">
        <v>262</v>
      </c>
      <c r="B10" t="s">
        <v>899</v>
      </c>
      <c r="C10" t="s">
        <v>910</v>
      </c>
      <c r="D10" t="s">
        <v>21</v>
      </c>
      <c r="E10" t="s">
        <v>22</v>
      </c>
      <c r="F10" t="s">
        <v>23</v>
      </c>
      <c r="G10">
        <v>1</v>
      </c>
      <c r="H10">
        <v>9791166064401</v>
      </c>
      <c r="I10" t="s">
        <v>24</v>
      </c>
      <c r="J10" t="s">
        <v>111</v>
      </c>
      <c r="K10" t="s">
        <v>102</v>
      </c>
      <c r="L10" t="s">
        <v>27</v>
      </c>
      <c r="M10" s="3">
        <v>3200</v>
      </c>
      <c r="N10" t="s">
        <v>27</v>
      </c>
      <c r="O10" s="3">
        <v>3200</v>
      </c>
      <c r="P10" s="3">
        <v>3200</v>
      </c>
      <c r="Q10" t="s">
        <v>30</v>
      </c>
      <c r="R10" s="2">
        <v>0.7</v>
      </c>
      <c r="S10" s="3">
        <v>2240</v>
      </c>
      <c r="T10" t="s">
        <v>27</v>
      </c>
      <c r="U10" s="3">
        <v>2240</v>
      </c>
      <c r="V10" s="7" t="s">
        <v>24</v>
      </c>
      <c r="W10" s="7" t="s">
        <v>102</v>
      </c>
    </row>
    <row r="11" spans="1:23" x14ac:dyDescent="0.4">
      <c r="A11" t="s">
        <v>262</v>
      </c>
      <c r="B11" t="s">
        <v>899</v>
      </c>
      <c r="C11" t="s">
        <v>910</v>
      </c>
      <c r="D11" t="s">
        <v>21</v>
      </c>
      <c r="E11" t="s">
        <v>22</v>
      </c>
      <c r="F11" t="s">
        <v>23</v>
      </c>
      <c r="G11">
        <v>1</v>
      </c>
      <c r="H11">
        <v>9791166064418</v>
      </c>
      <c r="I11" t="s">
        <v>24</v>
      </c>
      <c r="J11" t="s">
        <v>112</v>
      </c>
      <c r="K11" t="s">
        <v>102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  <c r="V11" s="7" t="s">
        <v>24</v>
      </c>
      <c r="W11" s="7" t="s">
        <v>102</v>
      </c>
    </row>
    <row r="12" spans="1:23" x14ac:dyDescent="0.4">
      <c r="A12" t="s">
        <v>262</v>
      </c>
      <c r="B12" t="s">
        <v>899</v>
      </c>
      <c r="C12" t="s">
        <v>930</v>
      </c>
      <c r="D12" t="s">
        <v>64</v>
      </c>
      <c r="E12" t="s">
        <v>22</v>
      </c>
      <c r="F12" t="s">
        <v>23</v>
      </c>
      <c r="G12">
        <v>1</v>
      </c>
      <c r="H12">
        <v>9791166064425</v>
      </c>
      <c r="I12" t="s">
        <v>24</v>
      </c>
      <c r="J12" t="s">
        <v>113</v>
      </c>
      <c r="K12" t="s">
        <v>102</v>
      </c>
      <c r="L12" t="s">
        <v>27</v>
      </c>
      <c r="M12">
        <v>720</v>
      </c>
      <c r="N12" t="s">
        <v>27</v>
      </c>
      <c r="O12">
        <v>720</v>
      </c>
      <c r="P12">
        <v>720</v>
      </c>
      <c r="Q12" t="s">
        <v>30</v>
      </c>
      <c r="R12" s="2">
        <v>0.7</v>
      </c>
      <c r="S12">
        <v>504</v>
      </c>
      <c r="T12" t="s">
        <v>27</v>
      </c>
      <c r="U12">
        <v>504</v>
      </c>
      <c r="V12" s="7" t="s">
        <v>24</v>
      </c>
      <c r="W12" s="7" t="s">
        <v>102</v>
      </c>
    </row>
    <row r="13" spans="1:23" x14ac:dyDescent="0.4">
      <c r="A13" t="s">
        <v>262</v>
      </c>
      <c r="B13" t="s">
        <v>984</v>
      </c>
      <c r="C13" t="s">
        <v>1001</v>
      </c>
      <c r="D13" t="s">
        <v>64</v>
      </c>
      <c r="E13" t="s">
        <v>22</v>
      </c>
      <c r="F13" t="s">
        <v>23</v>
      </c>
      <c r="G13">
        <v>1</v>
      </c>
      <c r="H13">
        <v>9791166064432</v>
      </c>
      <c r="I13" t="s">
        <v>24</v>
      </c>
      <c r="J13" t="s">
        <v>114</v>
      </c>
      <c r="K13" t="s">
        <v>102</v>
      </c>
      <c r="L13" t="s">
        <v>27</v>
      </c>
      <c r="M13">
        <v>720</v>
      </c>
      <c r="N13" t="s">
        <v>27</v>
      </c>
      <c r="O13">
        <v>720</v>
      </c>
      <c r="P13">
        <v>720</v>
      </c>
      <c r="Q13" t="s">
        <v>30</v>
      </c>
      <c r="R13" s="2">
        <v>0.7</v>
      </c>
      <c r="S13">
        <v>504</v>
      </c>
      <c r="T13" t="s">
        <v>27</v>
      </c>
      <c r="U13">
        <v>504</v>
      </c>
      <c r="V13" s="7" t="s">
        <v>24</v>
      </c>
      <c r="W13" s="7" t="s">
        <v>102</v>
      </c>
    </row>
    <row r="14" spans="1:23" x14ac:dyDescent="0.4">
      <c r="A14" t="s">
        <v>262</v>
      </c>
      <c r="B14" t="s">
        <v>1058</v>
      </c>
      <c r="C14" t="s">
        <v>1072</v>
      </c>
      <c r="D14" t="s">
        <v>64</v>
      </c>
      <c r="E14" t="s">
        <v>22</v>
      </c>
      <c r="F14" t="s">
        <v>23</v>
      </c>
      <c r="G14">
        <v>1</v>
      </c>
      <c r="H14">
        <v>9791166064449</v>
      </c>
      <c r="I14" t="s">
        <v>24</v>
      </c>
      <c r="J14" t="s">
        <v>115</v>
      </c>
      <c r="K14" t="s">
        <v>102</v>
      </c>
      <c r="L14" t="s">
        <v>27</v>
      </c>
      <c r="M14">
        <v>720</v>
      </c>
      <c r="N14" t="s">
        <v>27</v>
      </c>
      <c r="O14">
        <v>720</v>
      </c>
      <c r="P14">
        <v>720</v>
      </c>
      <c r="Q14" t="s">
        <v>30</v>
      </c>
      <c r="R14" s="2">
        <v>0.7</v>
      </c>
      <c r="S14">
        <v>504</v>
      </c>
      <c r="T14" t="s">
        <v>27</v>
      </c>
      <c r="U14">
        <v>504</v>
      </c>
      <c r="V14" s="7" t="s">
        <v>24</v>
      </c>
      <c r="W14" s="7" t="s">
        <v>102</v>
      </c>
    </row>
    <row r="15" spans="1:23" x14ac:dyDescent="0.4">
      <c r="A15" t="s">
        <v>262</v>
      </c>
      <c r="B15" t="s">
        <v>1058</v>
      </c>
      <c r="C15" t="s">
        <v>1084</v>
      </c>
      <c r="D15" t="s">
        <v>21</v>
      </c>
      <c r="E15" t="s">
        <v>22</v>
      </c>
      <c r="F15" t="s">
        <v>23</v>
      </c>
      <c r="G15">
        <v>1</v>
      </c>
      <c r="H15">
        <v>9791166064425</v>
      </c>
      <c r="I15" t="s">
        <v>24</v>
      </c>
      <c r="J15" t="s">
        <v>113</v>
      </c>
      <c r="K15" t="s">
        <v>102</v>
      </c>
      <c r="L15" t="s">
        <v>27</v>
      </c>
      <c r="M15" s="3">
        <v>3200</v>
      </c>
      <c r="N15" t="s">
        <v>27</v>
      </c>
      <c r="O15" s="3">
        <v>3200</v>
      </c>
      <c r="P15" s="3">
        <v>3200</v>
      </c>
      <c r="Q15" t="s">
        <v>30</v>
      </c>
      <c r="R15" s="2">
        <v>0.7</v>
      </c>
      <c r="S15" s="3">
        <v>2240</v>
      </c>
      <c r="T15" t="s">
        <v>27</v>
      </c>
      <c r="U15" s="3">
        <v>2240</v>
      </c>
      <c r="V15" s="7" t="s">
        <v>24</v>
      </c>
      <c r="W15" s="7" t="s">
        <v>102</v>
      </c>
    </row>
    <row r="16" spans="1:23" x14ac:dyDescent="0.4">
      <c r="A16" t="s">
        <v>262</v>
      </c>
      <c r="B16" t="s">
        <v>1058</v>
      </c>
      <c r="C16" t="s">
        <v>1084</v>
      </c>
      <c r="D16" t="s">
        <v>21</v>
      </c>
      <c r="E16" t="s">
        <v>22</v>
      </c>
      <c r="F16" t="s">
        <v>23</v>
      </c>
      <c r="G16">
        <v>1</v>
      </c>
      <c r="H16">
        <v>9791166064432</v>
      </c>
      <c r="I16" t="s">
        <v>24</v>
      </c>
      <c r="J16" t="s">
        <v>114</v>
      </c>
      <c r="K16" t="s">
        <v>102</v>
      </c>
      <c r="L16" t="s">
        <v>27</v>
      </c>
      <c r="M16" s="3">
        <v>3200</v>
      </c>
      <c r="N16" t="s">
        <v>27</v>
      </c>
      <c r="O16" s="3">
        <v>3200</v>
      </c>
      <c r="P16" s="3">
        <v>3200</v>
      </c>
      <c r="Q16" t="s">
        <v>30</v>
      </c>
      <c r="R16" s="2">
        <v>0.7</v>
      </c>
      <c r="S16" s="3">
        <v>2240</v>
      </c>
      <c r="T16" t="s">
        <v>27</v>
      </c>
      <c r="U16" s="3">
        <v>2240</v>
      </c>
      <c r="V16" s="7" t="s">
        <v>24</v>
      </c>
      <c r="W16" s="7" t="s">
        <v>102</v>
      </c>
    </row>
    <row r="17" spans="1:23" x14ac:dyDescent="0.4">
      <c r="A17" t="s">
        <v>262</v>
      </c>
      <c r="B17" t="s">
        <v>1058</v>
      </c>
      <c r="C17" t="s">
        <v>1084</v>
      </c>
      <c r="D17" t="s">
        <v>21</v>
      </c>
      <c r="E17" t="s">
        <v>22</v>
      </c>
      <c r="F17" t="s">
        <v>23</v>
      </c>
      <c r="G17">
        <v>1</v>
      </c>
      <c r="H17">
        <v>9791166064449</v>
      </c>
      <c r="I17" t="s">
        <v>24</v>
      </c>
      <c r="J17" t="s">
        <v>115</v>
      </c>
      <c r="K17" t="s">
        <v>102</v>
      </c>
      <c r="L17" t="s">
        <v>27</v>
      </c>
      <c r="M17" s="3">
        <v>3200</v>
      </c>
      <c r="N17" t="s">
        <v>27</v>
      </c>
      <c r="O17" s="3">
        <v>3200</v>
      </c>
      <c r="P17" s="3">
        <v>3200</v>
      </c>
      <c r="Q17" t="s">
        <v>30</v>
      </c>
      <c r="R17" s="2">
        <v>0.7</v>
      </c>
      <c r="S17" s="3">
        <v>2240</v>
      </c>
      <c r="T17" t="s">
        <v>27</v>
      </c>
      <c r="U17" s="3">
        <v>2240</v>
      </c>
      <c r="V17" s="7" t="s">
        <v>24</v>
      </c>
      <c r="W17" s="7" t="s">
        <v>102</v>
      </c>
    </row>
    <row r="18" spans="1:23" x14ac:dyDescent="0.4">
      <c r="A18" t="s">
        <v>262</v>
      </c>
      <c r="B18" t="s">
        <v>1058</v>
      </c>
      <c r="C18" t="s">
        <v>1084</v>
      </c>
      <c r="D18" t="s">
        <v>21</v>
      </c>
      <c r="E18" t="s">
        <v>22</v>
      </c>
      <c r="F18" t="s">
        <v>23</v>
      </c>
      <c r="G18">
        <v>1</v>
      </c>
      <c r="H18">
        <v>9791166064456</v>
      </c>
      <c r="I18" t="s">
        <v>24</v>
      </c>
      <c r="J18" t="s">
        <v>116</v>
      </c>
      <c r="K18" t="s">
        <v>102</v>
      </c>
      <c r="L18" t="s">
        <v>27</v>
      </c>
      <c r="M18" s="3">
        <v>3200</v>
      </c>
      <c r="N18" t="s">
        <v>27</v>
      </c>
      <c r="O18" s="3">
        <v>3200</v>
      </c>
      <c r="P18" s="3">
        <v>3200</v>
      </c>
      <c r="Q18" t="s">
        <v>30</v>
      </c>
      <c r="R18" s="2">
        <v>0.7</v>
      </c>
      <c r="S18" s="3">
        <v>2240</v>
      </c>
      <c r="T18" t="s">
        <v>27</v>
      </c>
      <c r="U18" s="3">
        <v>2240</v>
      </c>
      <c r="V18" s="7" t="s">
        <v>24</v>
      </c>
      <c r="W18" s="7" t="s">
        <v>102</v>
      </c>
    </row>
    <row r="19" spans="1:23" x14ac:dyDescent="0.4">
      <c r="A19" t="s">
        <v>262</v>
      </c>
      <c r="B19" t="s">
        <v>1121</v>
      </c>
      <c r="C19" t="s">
        <v>1173</v>
      </c>
      <c r="D19" t="s">
        <v>64</v>
      </c>
      <c r="E19" t="s">
        <v>22</v>
      </c>
      <c r="F19" t="s">
        <v>23</v>
      </c>
      <c r="G19">
        <v>1</v>
      </c>
      <c r="H19">
        <v>9791166064456</v>
      </c>
      <c r="I19" t="s">
        <v>24</v>
      </c>
      <c r="J19" t="s">
        <v>116</v>
      </c>
      <c r="K19" t="s">
        <v>102</v>
      </c>
      <c r="L19" t="s">
        <v>27</v>
      </c>
      <c r="M19">
        <v>720</v>
      </c>
      <c r="N19" t="s">
        <v>27</v>
      </c>
      <c r="O19">
        <v>720</v>
      </c>
      <c r="P19">
        <v>720</v>
      </c>
      <c r="Q19" t="s">
        <v>30</v>
      </c>
      <c r="R19" s="2">
        <v>0.7</v>
      </c>
      <c r="S19">
        <v>504</v>
      </c>
      <c r="T19" t="s">
        <v>27</v>
      </c>
      <c r="U19">
        <v>504</v>
      </c>
      <c r="V19" s="7" t="s">
        <v>24</v>
      </c>
      <c r="W19" s="7" t="s">
        <v>102</v>
      </c>
    </row>
    <row r="20" spans="1:23" x14ac:dyDescent="0.4">
      <c r="A20" t="s">
        <v>262</v>
      </c>
      <c r="B20" t="s">
        <v>1198</v>
      </c>
      <c r="C20" t="s">
        <v>1256</v>
      </c>
      <c r="D20" t="s">
        <v>64</v>
      </c>
      <c r="E20" t="s">
        <v>22</v>
      </c>
      <c r="F20" t="s">
        <v>23</v>
      </c>
      <c r="G20">
        <v>1</v>
      </c>
      <c r="H20">
        <v>9791166064395</v>
      </c>
      <c r="I20" t="s">
        <v>24</v>
      </c>
      <c r="J20" t="s">
        <v>104</v>
      </c>
      <c r="K20" t="s">
        <v>102</v>
      </c>
      <c r="L20" t="s">
        <v>27</v>
      </c>
      <c r="M20">
        <v>720</v>
      </c>
      <c r="N20" t="s">
        <v>27</v>
      </c>
      <c r="O20">
        <v>720</v>
      </c>
      <c r="P20">
        <v>720</v>
      </c>
      <c r="Q20" t="s">
        <v>30</v>
      </c>
      <c r="R20" s="2">
        <v>0.7</v>
      </c>
      <c r="S20">
        <v>504</v>
      </c>
      <c r="T20" t="s">
        <v>27</v>
      </c>
      <c r="U20">
        <v>504</v>
      </c>
      <c r="V20" s="7" t="s">
        <v>24</v>
      </c>
      <c r="W20" s="7" t="s">
        <v>102</v>
      </c>
    </row>
    <row r="21" spans="1:23" x14ac:dyDescent="0.4">
      <c r="A21" t="s">
        <v>262</v>
      </c>
      <c r="B21" t="s">
        <v>1270</v>
      </c>
      <c r="C21" t="s">
        <v>1285</v>
      </c>
      <c r="D21" t="s">
        <v>64</v>
      </c>
      <c r="E21" t="s">
        <v>22</v>
      </c>
      <c r="F21" t="s">
        <v>23</v>
      </c>
      <c r="G21">
        <v>1</v>
      </c>
      <c r="H21">
        <v>9791166064401</v>
      </c>
      <c r="I21" t="s">
        <v>24</v>
      </c>
      <c r="J21" t="s">
        <v>111</v>
      </c>
      <c r="K21" t="s">
        <v>102</v>
      </c>
      <c r="L21" t="s">
        <v>27</v>
      </c>
      <c r="M21">
        <v>720</v>
      </c>
      <c r="N21" t="s">
        <v>27</v>
      </c>
      <c r="O21">
        <v>720</v>
      </c>
      <c r="P21">
        <v>720</v>
      </c>
      <c r="Q21" t="s">
        <v>30</v>
      </c>
      <c r="R21" s="2">
        <v>0.7</v>
      </c>
      <c r="S21">
        <v>504</v>
      </c>
      <c r="T21" t="s">
        <v>27</v>
      </c>
      <c r="U21">
        <v>504</v>
      </c>
      <c r="V21" s="7" t="s">
        <v>24</v>
      </c>
      <c r="W21" s="7" t="s">
        <v>102</v>
      </c>
    </row>
    <row r="22" spans="1:23" x14ac:dyDescent="0.4">
      <c r="A22" t="s">
        <v>262</v>
      </c>
      <c r="B22" t="s">
        <v>1270</v>
      </c>
      <c r="C22" t="s">
        <v>1320</v>
      </c>
      <c r="D22" t="s">
        <v>64</v>
      </c>
      <c r="E22" t="s">
        <v>22</v>
      </c>
      <c r="F22" t="s">
        <v>23</v>
      </c>
      <c r="G22">
        <v>1</v>
      </c>
      <c r="H22">
        <v>9791166064418</v>
      </c>
      <c r="I22" t="s">
        <v>24</v>
      </c>
      <c r="J22" t="s">
        <v>112</v>
      </c>
      <c r="K22" t="s">
        <v>102</v>
      </c>
      <c r="L22" t="s">
        <v>27</v>
      </c>
      <c r="M22">
        <v>720</v>
      </c>
      <c r="N22" t="s">
        <v>27</v>
      </c>
      <c r="O22">
        <v>720</v>
      </c>
      <c r="P22">
        <v>720</v>
      </c>
      <c r="Q22" t="s">
        <v>30</v>
      </c>
      <c r="R22" s="2">
        <v>0.7</v>
      </c>
      <c r="S22">
        <v>504</v>
      </c>
      <c r="T22" t="s">
        <v>27</v>
      </c>
      <c r="U22">
        <v>504</v>
      </c>
      <c r="V22" s="7" t="s">
        <v>24</v>
      </c>
      <c r="W22" s="7" t="s">
        <v>102</v>
      </c>
    </row>
    <row r="23" spans="1:23" x14ac:dyDescent="0.4">
      <c r="A23" t="s">
        <v>262</v>
      </c>
      <c r="B23" t="s">
        <v>1340</v>
      </c>
      <c r="C23" t="s">
        <v>1359</v>
      </c>
      <c r="D23" t="s">
        <v>64</v>
      </c>
      <c r="E23" t="s">
        <v>22</v>
      </c>
      <c r="F23" t="s">
        <v>23</v>
      </c>
      <c r="G23">
        <v>1</v>
      </c>
      <c r="H23">
        <v>9791166064425</v>
      </c>
      <c r="I23" t="s">
        <v>24</v>
      </c>
      <c r="J23" t="s">
        <v>113</v>
      </c>
      <c r="K23" t="s">
        <v>102</v>
      </c>
      <c r="L23" t="s">
        <v>27</v>
      </c>
      <c r="M23">
        <v>720</v>
      </c>
      <c r="N23" t="s">
        <v>27</v>
      </c>
      <c r="O23">
        <v>720</v>
      </c>
      <c r="P23">
        <v>720</v>
      </c>
      <c r="Q23" t="s">
        <v>30</v>
      </c>
      <c r="R23" s="2">
        <v>0.7</v>
      </c>
      <c r="S23">
        <v>504</v>
      </c>
      <c r="T23" t="s">
        <v>27</v>
      </c>
      <c r="U23">
        <v>504</v>
      </c>
      <c r="V23" s="7" t="s">
        <v>24</v>
      </c>
      <c r="W23" s="7" t="s">
        <v>102</v>
      </c>
    </row>
    <row r="24" spans="1:23" x14ac:dyDescent="0.4">
      <c r="A24" t="s">
        <v>262</v>
      </c>
      <c r="B24" t="s">
        <v>1340</v>
      </c>
      <c r="C24" t="s">
        <v>1368</v>
      </c>
      <c r="D24" t="s">
        <v>64</v>
      </c>
      <c r="E24" t="s">
        <v>22</v>
      </c>
      <c r="F24" t="s">
        <v>23</v>
      </c>
      <c r="G24">
        <v>1</v>
      </c>
      <c r="H24">
        <v>9791166064432</v>
      </c>
      <c r="I24" t="s">
        <v>24</v>
      </c>
      <c r="J24" t="s">
        <v>114</v>
      </c>
      <c r="K24" t="s">
        <v>102</v>
      </c>
      <c r="L24" t="s">
        <v>27</v>
      </c>
      <c r="M24">
        <v>720</v>
      </c>
      <c r="N24" t="s">
        <v>27</v>
      </c>
      <c r="O24">
        <v>720</v>
      </c>
      <c r="P24">
        <v>720</v>
      </c>
      <c r="Q24" t="s">
        <v>30</v>
      </c>
      <c r="R24" s="2">
        <v>0.7</v>
      </c>
      <c r="S24">
        <v>504</v>
      </c>
      <c r="T24" t="s">
        <v>27</v>
      </c>
      <c r="U24">
        <v>504</v>
      </c>
      <c r="V24" s="7" t="s">
        <v>24</v>
      </c>
      <c r="W24" s="7" t="s">
        <v>102</v>
      </c>
    </row>
    <row r="25" spans="1:23" x14ac:dyDescent="0.4">
      <c r="A25" t="s">
        <v>262</v>
      </c>
      <c r="B25" t="s">
        <v>1411</v>
      </c>
      <c r="C25" t="s">
        <v>1443</v>
      </c>
      <c r="D25" t="s">
        <v>64</v>
      </c>
      <c r="E25" t="s">
        <v>22</v>
      </c>
      <c r="F25" t="s">
        <v>23</v>
      </c>
      <c r="G25">
        <v>1</v>
      </c>
      <c r="H25">
        <v>9791166064449</v>
      </c>
      <c r="I25" t="s">
        <v>24</v>
      </c>
      <c r="J25" t="s">
        <v>115</v>
      </c>
      <c r="K25" t="s">
        <v>102</v>
      </c>
      <c r="L25" t="s">
        <v>27</v>
      </c>
      <c r="M25">
        <v>720</v>
      </c>
      <c r="N25" t="s">
        <v>27</v>
      </c>
      <c r="O25">
        <v>720</v>
      </c>
      <c r="P25">
        <v>720</v>
      </c>
      <c r="Q25" t="s">
        <v>30</v>
      </c>
      <c r="R25" s="2">
        <v>0.7</v>
      </c>
      <c r="S25">
        <v>504</v>
      </c>
      <c r="T25" t="s">
        <v>27</v>
      </c>
      <c r="U25">
        <v>504</v>
      </c>
      <c r="V25" s="7" t="s">
        <v>24</v>
      </c>
      <c r="W25" s="7" t="s">
        <v>102</v>
      </c>
    </row>
    <row r="26" spans="1:23" x14ac:dyDescent="0.4">
      <c r="A26" t="s">
        <v>262</v>
      </c>
      <c r="B26" t="s">
        <v>1411</v>
      </c>
      <c r="C26" t="s">
        <v>1450</v>
      </c>
      <c r="D26" t="s">
        <v>64</v>
      </c>
      <c r="E26" t="s">
        <v>22</v>
      </c>
      <c r="F26" t="s">
        <v>23</v>
      </c>
      <c r="G26">
        <v>1</v>
      </c>
      <c r="H26">
        <v>9791166064456</v>
      </c>
      <c r="I26" t="s">
        <v>24</v>
      </c>
      <c r="J26" t="s">
        <v>116</v>
      </c>
      <c r="K26" t="s">
        <v>102</v>
      </c>
      <c r="L26" t="s">
        <v>27</v>
      </c>
      <c r="M26">
        <v>720</v>
      </c>
      <c r="N26" t="s">
        <v>27</v>
      </c>
      <c r="O26">
        <v>720</v>
      </c>
      <c r="P26">
        <v>720</v>
      </c>
      <c r="Q26" t="s">
        <v>30</v>
      </c>
      <c r="R26" s="2">
        <v>0.7</v>
      </c>
      <c r="S26">
        <v>504</v>
      </c>
      <c r="T26" t="s">
        <v>27</v>
      </c>
      <c r="U26">
        <v>504</v>
      </c>
      <c r="V26" s="7" t="s">
        <v>24</v>
      </c>
      <c r="W26" s="7" t="s">
        <v>102</v>
      </c>
    </row>
    <row r="27" spans="1:23" x14ac:dyDescent="0.4">
      <c r="A27" t="s">
        <v>262</v>
      </c>
      <c r="B27" t="s">
        <v>1514</v>
      </c>
      <c r="C27" t="s">
        <v>1565</v>
      </c>
      <c r="D27" t="s">
        <v>64</v>
      </c>
      <c r="E27" t="s">
        <v>22</v>
      </c>
      <c r="F27" t="s">
        <v>23</v>
      </c>
      <c r="G27">
        <v>1</v>
      </c>
      <c r="H27">
        <v>9791166064395</v>
      </c>
      <c r="I27" t="s">
        <v>24</v>
      </c>
      <c r="J27" t="s">
        <v>104</v>
      </c>
      <c r="K27" t="s">
        <v>102</v>
      </c>
      <c r="L27" t="s">
        <v>27</v>
      </c>
      <c r="M27">
        <v>720</v>
      </c>
      <c r="N27" t="s">
        <v>27</v>
      </c>
      <c r="O27">
        <v>720</v>
      </c>
      <c r="P27">
        <v>720</v>
      </c>
      <c r="Q27" t="s">
        <v>30</v>
      </c>
      <c r="R27" s="2">
        <v>0.7</v>
      </c>
      <c r="S27">
        <v>504</v>
      </c>
      <c r="T27" t="s">
        <v>27</v>
      </c>
      <c r="U27">
        <v>507</v>
      </c>
      <c r="V27" s="7" t="s">
        <v>24</v>
      </c>
      <c r="W27" s="7" t="s">
        <v>102</v>
      </c>
    </row>
    <row r="28" spans="1:23" x14ac:dyDescent="0.4">
      <c r="A28" t="s">
        <v>262</v>
      </c>
      <c r="B28" t="s">
        <v>1514</v>
      </c>
      <c r="C28" t="s">
        <v>1571</v>
      </c>
      <c r="D28" t="s">
        <v>64</v>
      </c>
      <c r="E28" t="s">
        <v>22</v>
      </c>
      <c r="F28" t="s">
        <v>23</v>
      </c>
      <c r="G28">
        <v>1</v>
      </c>
      <c r="H28">
        <v>9791166064401</v>
      </c>
      <c r="I28" t="s">
        <v>24</v>
      </c>
      <c r="J28" t="s">
        <v>111</v>
      </c>
      <c r="K28" t="s">
        <v>102</v>
      </c>
      <c r="L28" t="s">
        <v>27</v>
      </c>
      <c r="M28">
        <v>720</v>
      </c>
      <c r="N28" t="s">
        <v>27</v>
      </c>
      <c r="O28">
        <v>720</v>
      </c>
      <c r="P28">
        <v>720</v>
      </c>
      <c r="Q28" t="s">
        <v>30</v>
      </c>
      <c r="R28" s="2">
        <v>0.7</v>
      </c>
      <c r="S28">
        <v>504</v>
      </c>
      <c r="T28" t="s">
        <v>27</v>
      </c>
      <c r="U28">
        <v>509</v>
      </c>
      <c r="V28" s="7" t="s">
        <v>24</v>
      </c>
      <c r="W28" s="7" t="s">
        <v>102</v>
      </c>
    </row>
    <row r="29" spans="1:23" x14ac:dyDescent="0.4">
      <c r="A29" t="s">
        <v>262</v>
      </c>
      <c r="B29" t="s">
        <v>1579</v>
      </c>
      <c r="C29" t="s">
        <v>1589</v>
      </c>
      <c r="D29" t="s">
        <v>64</v>
      </c>
      <c r="E29" t="s">
        <v>22</v>
      </c>
      <c r="F29" t="s">
        <v>23</v>
      </c>
      <c r="G29">
        <v>1</v>
      </c>
      <c r="H29">
        <v>9791166064418</v>
      </c>
      <c r="I29" t="s">
        <v>24</v>
      </c>
      <c r="J29" t="s">
        <v>112</v>
      </c>
      <c r="K29" t="s">
        <v>102</v>
      </c>
      <c r="L29" t="s">
        <v>27</v>
      </c>
      <c r="M29">
        <v>720</v>
      </c>
      <c r="N29" t="s">
        <v>27</v>
      </c>
      <c r="O29">
        <v>720</v>
      </c>
      <c r="P29">
        <v>720</v>
      </c>
      <c r="Q29" t="s">
        <v>30</v>
      </c>
      <c r="R29" s="2">
        <v>0.7</v>
      </c>
      <c r="S29">
        <v>504</v>
      </c>
      <c r="T29" t="s">
        <v>27</v>
      </c>
      <c r="U29">
        <v>507</v>
      </c>
      <c r="V29" s="7" t="s">
        <v>24</v>
      </c>
      <c r="W29" s="7" t="s">
        <v>102</v>
      </c>
    </row>
    <row r="30" spans="1:23" x14ac:dyDescent="0.4">
      <c r="A30" t="s">
        <v>262</v>
      </c>
      <c r="B30" t="s">
        <v>1704</v>
      </c>
      <c r="C30" t="s">
        <v>1742</v>
      </c>
      <c r="D30" t="s">
        <v>64</v>
      </c>
      <c r="E30" t="s">
        <v>22</v>
      </c>
      <c r="F30" t="s">
        <v>23</v>
      </c>
      <c r="G30">
        <v>1</v>
      </c>
      <c r="H30">
        <v>9791166064395</v>
      </c>
      <c r="I30" t="s">
        <v>24</v>
      </c>
      <c r="J30" t="s">
        <v>104</v>
      </c>
      <c r="K30" t="s">
        <v>102</v>
      </c>
      <c r="L30" t="s">
        <v>27</v>
      </c>
      <c r="M30">
        <v>720</v>
      </c>
      <c r="N30" t="s">
        <v>27</v>
      </c>
      <c r="O30">
        <v>720</v>
      </c>
      <c r="P30">
        <v>720</v>
      </c>
      <c r="Q30" t="s">
        <v>30</v>
      </c>
      <c r="R30" s="2">
        <v>0.7</v>
      </c>
      <c r="S30">
        <v>504</v>
      </c>
      <c r="T30" t="s">
        <v>27</v>
      </c>
      <c r="U30">
        <v>504</v>
      </c>
      <c r="V30" s="7" t="s">
        <v>24</v>
      </c>
      <c r="W30" s="7" t="s">
        <v>102</v>
      </c>
    </row>
    <row r="31" spans="1:23" x14ac:dyDescent="0.4">
      <c r="A31" t="s">
        <v>262</v>
      </c>
      <c r="B31" t="s">
        <v>2308</v>
      </c>
      <c r="C31" t="s">
        <v>2378</v>
      </c>
      <c r="D31" t="s">
        <v>64</v>
      </c>
      <c r="E31" t="s">
        <v>22</v>
      </c>
      <c r="F31" t="s">
        <v>23</v>
      </c>
      <c r="G31">
        <v>1</v>
      </c>
      <c r="H31">
        <v>9791166064395</v>
      </c>
      <c r="I31" t="s">
        <v>24</v>
      </c>
      <c r="J31" t="s">
        <v>104</v>
      </c>
      <c r="K31" t="s">
        <v>102</v>
      </c>
      <c r="L31" t="s">
        <v>27</v>
      </c>
      <c r="M31">
        <v>720</v>
      </c>
      <c r="N31" t="s">
        <v>28</v>
      </c>
      <c r="O31">
        <v>0.59</v>
      </c>
      <c r="P31">
        <v>0.59</v>
      </c>
      <c r="Q31" t="s">
        <v>29</v>
      </c>
      <c r="R31" s="2">
        <v>0.7</v>
      </c>
      <c r="S31">
        <v>0.41</v>
      </c>
      <c r="T31" t="s">
        <v>27</v>
      </c>
      <c r="U31">
        <v>513</v>
      </c>
      <c r="V31" s="7" t="s">
        <v>24</v>
      </c>
      <c r="W31" s="7" t="s">
        <v>102</v>
      </c>
    </row>
    <row r="32" spans="1:23" x14ac:dyDescent="0.4">
      <c r="A32" t="s">
        <v>262</v>
      </c>
      <c r="B32" t="s">
        <v>2394</v>
      </c>
      <c r="C32" t="s">
        <v>2429</v>
      </c>
      <c r="D32" t="s">
        <v>64</v>
      </c>
      <c r="E32" t="s">
        <v>22</v>
      </c>
      <c r="F32" t="s">
        <v>23</v>
      </c>
      <c r="G32">
        <v>1</v>
      </c>
      <c r="H32">
        <v>9791166064401</v>
      </c>
      <c r="I32" t="s">
        <v>24</v>
      </c>
      <c r="J32" t="s">
        <v>111</v>
      </c>
      <c r="K32" t="s">
        <v>102</v>
      </c>
      <c r="L32" t="s">
        <v>27</v>
      </c>
      <c r="M32">
        <v>720</v>
      </c>
      <c r="N32" t="s">
        <v>28</v>
      </c>
      <c r="O32">
        <v>0.59</v>
      </c>
      <c r="P32">
        <v>0.59</v>
      </c>
      <c r="Q32" t="s">
        <v>29</v>
      </c>
      <c r="R32" s="2">
        <v>0.7</v>
      </c>
      <c r="S32">
        <v>0.41</v>
      </c>
      <c r="T32" t="s">
        <v>27</v>
      </c>
      <c r="U32">
        <v>508</v>
      </c>
      <c r="V32" s="7" t="s">
        <v>24</v>
      </c>
      <c r="W32" s="7" t="s">
        <v>102</v>
      </c>
    </row>
    <row r="33" spans="1:23" x14ac:dyDescent="0.4">
      <c r="A33" t="s">
        <v>262</v>
      </c>
      <c r="B33" t="s">
        <v>2394</v>
      </c>
      <c r="C33" t="s">
        <v>2446</v>
      </c>
      <c r="D33" t="s">
        <v>64</v>
      </c>
      <c r="E33" t="s">
        <v>22</v>
      </c>
      <c r="F33" t="s">
        <v>23</v>
      </c>
      <c r="G33">
        <v>1</v>
      </c>
      <c r="H33">
        <v>9791166064395</v>
      </c>
      <c r="I33" t="s">
        <v>24</v>
      </c>
      <c r="J33" t="s">
        <v>104</v>
      </c>
      <c r="K33" t="s">
        <v>102</v>
      </c>
      <c r="L33" t="s">
        <v>27</v>
      </c>
      <c r="M33">
        <v>720</v>
      </c>
      <c r="N33" t="s">
        <v>27</v>
      </c>
      <c r="O33">
        <v>720</v>
      </c>
      <c r="P33">
        <v>720</v>
      </c>
      <c r="Q33" t="s">
        <v>30</v>
      </c>
      <c r="R33" s="2">
        <v>0.7</v>
      </c>
      <c r="S33">
        <v>504</v>
      </c>
      <c r="T33" t="s">
        <v>27</v>
      </c>
      <c r="U33">
        <v>504</v>
      </c>
      <c r="V33" s="7" t="s">
        <v>24</v>
      </c>
      <c r="W33" s="7" t="s">
        <v>102</v>
      </c>
    </row>
    <row r="34" spans="1:23" x14ac:dyDescent="0.4">
      <c r="A34" t="s">
        <v>262</v>
      </c>
      <c r="B34" t="s">
        <v>2394</v>
      </c>
      <c r="C34" t="s">
        <v>2450</v>
      </c>
      <c r="D34" t="s">
        <v>64</v>
      </c>
      <c r="E34" t="s">
        <v>22</v>
      </c>
      <c r="F34" t="s">
        <v>23</v>
      </c>
      <c r="G34">
        <v>1</v>
      </c>
      <c r="H34">
        <v>9791166064418</v>
      </c>
      <c r="I34" t="s">
        <v>24</v>
      </c>
      <c r="J34" t="s">
        <v>112</v>
      </c>
      <c r="K34" t="s">
        <v>102</v>
      </c>
      <c r="L34" t="s">
        <v>27</v>
      </c>
      <c r="M34">
        <v>720</v>
      </c>
      <c r="N34" t="s">
        <v>28</v>
      </c>
      <c r="O34">
        <v>0.59</v>
      </c>
      <c r="P34">
        <v>0.59</v>
      </c>
      <c r="Q34" t="s">
        <v>29</v>
      </c>
      <c r="R34" s="2">
        <v>0.7</v>
      </c>
      <c r="S34">
        <v>0.41</v>
      </c>
      <c r="T34" t="s">
        <v>27</v>
      </c>
      <c r="U34">
        <v>508</v>
      </c>
      <c r="V34" s="7" t="s">
        <v>24</v>
      </c>
      <c r="W34" s="7" t="s">
        <v>102</v>
      </c>
    </row>
    <row r="35" spans="1:23" x14ac:dyDescent="0.4">
      <c r="A35" t="s">
        <v>262</v>
      </c>
      <c r="B35" t="s">
        <v>2394</v>
      </c>
      <c r="C35" t="s">
        <v>2457</v>
      </c>
      <c r="D35" t="s">
        <v>64</v>
      </c>
      <c r="E35" t="s">
        <v>22</v>
      </c>
      <c r="F35" t="s">
        <v>23</v>
      </c>
      <c r="G35">
        <v>1</v>
      </c>
      <c r="H35">
        <v>9791166064395</v>
      </c>
      <c r="I35" t="s">
        <v>24</v>
      </c>
      <c r="J35" t="s">
        <v>104</v>
      </c>
      <c r="K35" t="s">
        <v>102</v>
      </c>
      <c r="L35" t="s">
        <v>27</v>
      </c>
      <c r="M35">
        <v>720</v>
      </c>
      <c r="N35" t="s">
        <v>27</v>
      </c>
      <c r="O35">
        <v>720</v>
      </c>
      <c r="P35">
        <v>720</v>
      </c>
      <c r="Q35" t="s">
        <v>30</v>
      </c>
      <c r="R35" s="2">
        <v>0.7</v>
      </c>
      <c r="S35">
        <v>504</v>
      </c>
      <c r="T35" t="s">
        <v>27</v>
      </c>
      <c r="U35">
        <v>504</v>
      </c>
      <c r="V35" s="7" t="s">
        <v>24</v>
      </c>
      <c r="W35" s="7" t="s">
        <v>102</v>
      </c>
    </row>
    <row r="36" spans="1:23" x14ac:dyDescent="0.4">
      <c r="A36" t="s">
        <v>262</v>
      </c>
      <c r="B36" t="s">
        <v>262</v>
      </c>
      <c r="C36" t="s">
        <v>2505</v>
      </c>
      <c r="D36" t="s">
        <v>64</v>
      </c>
      <c r="E36" t="s">
        <v>22</v>
      </c>
      <c r="F36" t="s">
        <v>23</v>
      </c>
      <c r="G36">
        <v>1</v>
      </c>
      <c r="H36">
        <v>9791166064401</v>
      </c>
      <c r="I36" t="s">
        <v>24</v>
      </c>
      <c r="J36" t="s">
        <v>111</v>
      </c>
      <c r="K36" t="s">
        <v>102</v>
      </c>
      <c r="L36" t="s">
        <v>27</v>
      </c>
      <c r="M36">
        <v>720</v>
      </c>
      <c r="N36" t="s">
        <v>27</v>
      </c>
      <c r="O36">
        <v>720</v>
      </c>
      <c r="P36">
        <v>720</v>
      </c>
      <c r="Q36" t="s">
        <v>30</v>
      </c>
      <c r="R36" s="2">
        <v>0.7</v>
      </c>
      <c r="S36">
        <v>504</v>
      </c>
      <c r="T36" t="s">
        <v>27</v>
      </c>
      <c r="U36">
        <v>504</v>
      </c>
      <c r="V36" s="7" t="s">
        <v>24</v>
      </c>
      <c r="W36" s="7" t="s">
        <v>102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6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8.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326</v>
      </c>
      <c r="C2" t="s">
        <v>362</v>
      </c>
      <c r="D2" t="s">
        <v>64</v>
      </c>
      <c r="E2" t="s">
        <v>22</v>
      </c>
      <c r="F2" t="s">
        <v>23</v>
      </c>
      <c r="G2">
        <v>1</v>
      </c>
      <c r="H2">
        <v>9791159282843</v>
      </c>
      <c r="I2" t="s">
        <v>24</v>
      </c>
      <c r="J2" t="s">
        <v>25</v>
      </c>
      <c r="K2" t="s">
        <v>26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">
        <v>24</v>
      </c>
      <c r="W2" s="7" t="s">
        <v>26</v>
      </c>
    </row>
    <row r="3" spans="1:23" x14ac:dyDescent="0.4">
      <c r="A3" t="s">
        <v>262</v>
      </c>
      <c r="B3" t="s">
        <v>326</v>
      </c>
      <c r="C3" t="s">
        <v>378</v>
      </c>
      <c r="D3" t="s">
        <v>64</v>
      </c>
      <c r="E3" t="s">
        <v>22</v>
      </c>
      <c r="F3" t="s">
        <v>23</v>
      </c>
      <c r="G3">
        <v>1</v>
      </c>
      <c r="H3">
        <v>9791159282850</v>
      </c>
      <c r="I3" t="s">
        <v>24</v>
      </c>
      <c r="J3" t="s">
        <v>31</v>
      </c>
      <c r="K3" t="s">
        <v>26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  <c r="V3" s="7" t="s">
        <v>24</v>
      </c>
      <c r="W3" s="7" t="s">
        <v>26</v>
      </c>
    </row>
    <row r="4" spans="1:23" x14ac:dyDescent="0.4">
      <c r="A4" t="s">
        <v>262</v>
      </c>
      <c r="B4" t="s">
        <v>326</v>
      </c>
      <c r="C4" t="s">
        <v>399</v>
      </c>
      <c r="D4" t="s">
        <v>64</v>
      </c>
      <c r="E4" t="s">
        <v>22</v>
      </c>
      <c r="F4" t="s">
        <v>23</v>
      </c>
      <c r="G4">
        <v>1</v>
      </c>
      <c r="H4">
        <v>9791159282867</v>
      </c>
      <c r="I4" t="s">
        <v>24</v>
      </c>
      <c r="J4" t="s">
        <v>32</v>
      </c>
      <c r="K4" t="s">
        <v>26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  <c r="V4" s="7" t="s">
        <v>24</v>
      </c>
      <c r="W4" s="7" t="s">
        <v>26</v>
      </c>
    </row>
    <row r="5" spans="1:23" x14ac:dyDescent="0.4">
      <c r="A5" t="s">
        <v>262</v>
      </c>
      <c r="B5" t="s">
        <v>401</v>
      </c>
      <c r="C5" t="s">
        <v>431</v>
      </c>
      <c r="D5" t="s">
        <v>64</v>
      </c>
      <c r="E5" t="s">
        <v>22</v>
      </c>
      <c r="F5" t="s">
        <v>23</v>
      </c>
      <c r="G5">
        <v>1</v>
      </c>
      <c r="H5">
        <v>9791159282874</v>
      </c>
      <c r="I5" t="s">
        <v>24</v>
      </c>
      <c r="J5" t="s">
        <v>33</v>
      </c>
      <c r="K5" t="s">
        <v>26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  <c r="V5" s="7" t="s">
        <v>24</v>
      </c>
      <c r="W5" s="7" t="s">
        <v>26</v>
      </c>
    </row>
    <row r="6" spans="1:23" x14ac:dyDescent="0.4">
      <c r="A6" t="s">
        <v>262</v>
      </c>
      <c r="B6" t="s">
        <v>401</v>
      </c>
      <c r="C6" t="s">
        <v>460</v>
      </c>
      <c r="D6" t="s">
        <v>64</v>
      </c>
      <c r="E6" t="s">
        <v>22</v>
      </c>
      <c r="F6" t="s">
        <v>23</v>
      </c>
      <c r="G6">
        <v>1</v>
      </c>
      <c r="H6">
        <v>9791159282881</v>
      </c>
      <c r="I6" t="s">
        <v>24</v>
      </c>
      <c r="J6" t="s">
        <v>34</v>
      </c>
      <c r="K6" t="s">
        <v>26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">
        <v>24</v>
      </c>
      <c r="W6" s="7" t="s">
        <v>26</v>
      </c>
    </row>
    <row r="7" spans="1:23" x14ac:dyDescent="0.4">
      <c r="A7" t="s">
        <v>262</v>
      </c>
      <c r="B7" t="s">
        <v>481</v>
      </c>
      <c r="C7" t="s">
        <v>531</v>
      </c>
      <c r="D7" t="s">
        <v>64</v>
      </c>
      <c r="E7" t="s">
        <v>22</v>
      </c>
      <c r="F7" t="s">
        <v>23</v>
      </c>
      <c r="G7">
        <v>1</v>
      </c>
      <c r="H7">
        <v>9791159282898</v>
      </c>
      <c r="I7" t="s">
        <v>24</v>
      </c>
      <c r="J7" t="s">
        <v>35</v>
      </c>
      <c r="K7" t="s">
        <v>26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  <c r="V7" s="7" t="s">
        <v>24</v>
      </c>
      <c r="W7" s="7" t="s">
        <v>26</v>
      </c>
    </row>
    <row r="8" spans="1:23" x14ac:dyDescent="0.4">
      <c r="A8" t="s">
        <v>262</v>
      </c>
      <c r="B8" t="s">
        <v>566</v>
      </c>
      <c r="C8" t="s">
        <v>568</v>
      </c>
      <c r="D8" t="s">
        <v>64</v>
      </c>
      <c r="E8" t="s">
        <v>22</v>
      </c>
      <c r="F8" t="s">
        <v>23</v>
      </c>
      <c r="G8">
        <v>1</v>
      </c>
      <c r="H8">
        <v>9791159282904</v>
      </c>
      <c r="I8" t="s">
        <v>24</v>
      </c>
      <c r="J8" t="s">
        <v>38</v>
      </c>
      <c r="K8" t="s">
        <v>26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  <c r="V8" s="7" t="s">
        <v>24</v>
      </c>
      <c r="W8" s="7" t="s">
        <v>26</v>
      </c>
    </row>
    <row r="9" spans="1:23" x14ac:dyDescent="0.4">
      <c r="A9" t="s">
        <v>262</v>
      </c>
      <c r="B9" t="s">
        <v>566</v>
      </c>
      <c r="C9" t="s">
        <v>611</v>
      </c>
      <c r="D9" t="s">
        <v>64</v>
      </c>
      <c r="E9" t="s">
        <v>22</v>
      </c>
      <c r="F9" t="s">
        <v>23</v>
      </c>
      <c r="G9">
        <v>1</v>
      </c>
      <c r="H9">
        <v>9791159282911</v>
      </c>
      <c r="I9" t="s">
        <v>24</v>
      </c>
      <c r="J9" t="s">
        <v>39</v>
      </c>
      <c r="K9" t="s">
        <v>26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  <c r="V9" s="7" t="s">
        <v>24</v>
      </c>
      <c r="W9" s="7" t="s">
        <v>26</v>
      </c>
    </row>
    <row r="10" spans="1:23" x14ac:dyDescent="0.4">
      <c r="A10" t="s">
        <v>262</v>
      </c>
      <c r="B10" t="s">
        <v>647</v>
      </c>
      <c r="C10" t="s">
        <v>681</v>
      </c>
      <c r="D10" t="s">
        <v>64</v>
      </c>
      <c r="E10" t="s">
        <v>22</v>
      </c>
      <c r="F10" t="s">
        <v>23</v>
      </c>
      <c r="G10">
        <v>1</v>
      </c>
      <c r="H10">
        <v>9791159282928</v>
      </c>
      <c r="I10" t="s">
        <v>24</v>
      </c>
      <c r="J10" t="s">
        <v>178</v>
      </c>
      <c r="K10" t="s">
        <v>26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  <c r="V10" s="7" t="s">
        <v>24</v>
      </c>
      <c r="W10" s="7" t="s">
        <v>26</v>
      </c>
    </row>
    <row r="11" spans="1:23" x14ac:dyDescent="0.4">
      <c r="A11" t="s">
        <v>262</v>
      </c>
      <c r="B11" t="s">
        <v>810</v>
      </c>
      <c r="C11" t="s">
        <v>813</v>
      </c>
      <c r="D11" t="s">
        <v>64</v>
      </c>
      <c r="E11" t="s">
        <v>22</v>
      </c>
      <c r="F11" t="s">
        <v>23</v>
      </c>
      <c r="G11">
        <v>1</v>
      </c>
      <c r="H11">
        <v>9791159282843</v>
      </c>
      <c r="I11" t="s">
        <v>24</v>
      </c>
      <c r="J11" t="s">
        <v>25</v>
      </c>
      <c r="K11" t="s">
        <v>26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7" t="s">
        <v>24</v>
      </c>
      <c r="W11" s="7" t="s">
        <v>26</v>
      </c>
    </row>
    <row r="12" spans="1:23" x14ac:dyDescent="0.4">
      <c r="A12" t="s">
        <v>262</v>
      </c>
      <c r="B12" t="s">
        <v>810</v>
      </c>
      <c r="C12" t="s">
        <v>824</v>
      </c>
      <c r="D12" t="s">
        <v>64</v>
      </c>
      <c r="E12" t="s">
        <v>22</v>
      </c>
      <c r="F12" t="s">
        <v>23</v>
      </c>
      <c r="G12">
        <v>1</v>
      </c>
      <c r="H12">
        <v>9791159282850</v>
      </c>
      <c r="I12" t="s">
        <v>24</v>
      </c>
      <c r="J12" t="s">
        <v>31</v>
      </c>
      <c r="K12" t="s">
        <v>26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  <c r="V12" s="7" t="s">
        <v>24</v>
      </c>
      <c r="W12" s="7" t="s">
        <v>26</v>
      </c>
    </row>
    <row r="13" spans="1:23" x14ac:dyDescent="0.4">
      <c r="A13" t="s">
        <v>262</v>
      </c>
      <c r="B13" t="s">
        <v>810</v>
      </c>
      <c r="C13" t="s">
        <v>837</v>
      </c>
      <c r="D13" t="s">
        <v>64</v>
      </c>
      <c r="E13" t="s">
        <v>22</v>
      </c>
      <c r="F13" t="s">
        <v>23</v>
      </c>
      <c r="G13">
        <v>1</v>
      </c>
      <c r="H13">
        <v>9791159282935</v>
      </c>
      <c r="I13" t="s">
        <v>24</v>
      </c>
      <c r="J13" t="s">
        <v>182</v>
      </c>
      <c r="K13" t="s">
        <v>26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  <c r="V13" s="7" t="s">
        <v>24</v>
      </c>
      <c r="W13" s="7" t="s">
        <v>26</v>
      </c>
    </row>
    <row r="14" spans="1:23" x14ac:dyDescent="0.4">
      <c r="A14" t="s">
        <v>262</v>
      </c>
      <c r="B14" t="s">
        <v>810</v>
      </c>
      <c r="C14" t="s">
        <v>858</v>
      </c>
      <c r="D14" t="s">
        <v>64</v>
      </c>
      <c r="E14" t="s">
        <v>22</v>
      </c>
      <c r="F14" t="s">
        <v>23</v>
      </c>
      <c r="G14">
        <v>1</v>
      </c>
      <c r="H14">
        <v>9791159282867</v>
      </c>
      <c r="I14" t="s">
        <v>24</v>
      </c>
      <c r="J14" t="s">
        <v>32</v>
      </c>
      <c r="K14" t="s">
        <v>26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  <c r="V14" s="7" t="s">
        <v>24</v>
      </c>
      <c r="W14" s="7" t="s">
        <v>26</v>
      </c>
    </row>
    <row r="15" spans="1:23" x14ac:dyDescent="0.4">
      <c r="A15" t="s">
        <v>262</v>
      </c>
      <c r="B15" t="s">
        <v>810</v>
      </c>
      <c r="C15" t="s">
        <v>859</v>
      </c>
      <c r="D15" t="s">
        <v>64</v>
      </c>
      <c r="E15" t="s">
        <v>22</v>
      </c>
      <c r="F15" t="s">
        <v>23</v>
      </c>
      <c r="G15">
        <v>1</v>
      </c>
      <c r="H15">
        <v>9791159282874</v>
      </c>
      <c r="I15" t="s">
        <v>24</v>
      </c>
      <c r="J15" t="s">
        <v>33</v>
      </c>
      <c r="K15" t="s">
        <v>26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  <c r="V15" s="7" t="s">
        <v>24</v>
      </c>
      <c r="W15" s="7" t="s">
        <v>26</v>
      </c>
    </row>
    <row r="16" spans="1:23" x14ac:dyDescent="0.4">
      <c r="A16" t="s">
        <v>262</v>
      </c>
      <c r="B16" t="s">
        <v>810</v>
      </c>
      <c r="C16" t="s">
        <v>860</v>
      </c>
      <c r="D16" t="s">
        <v>64</v>
      </c>
      <c r="E16" t="s">
        <v>22</v>
      </c>
      <c r="F16" t="s">
        <v>23</v>
      </c>
      <c r="G16">
        <v>1</v>
      </c>
      <c r="H16">
        <v>9791159282881</v>
      </c>
      <c r="I16" t="s">
        <v>24</v>
      </c>
      <c r="J16" t="s">
        <v>34</v>
      </c>
      <c r="K16" t="s">
        <v>26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7" t="s">
        <v>24</v>
      </c>
      <c r="W16" s="7" t="s">
        <v>26</v>
      </c>
    </row>
    <row r="17" spans="1:23" x14ac:dyDescent="0.4">
      <c r="A17" t="s">
        <v>262</v>
      </c>
      <c r="B17" t="s">
        <v>810</v>
      </c>
      <c r="C17" t="s">
        <v>861</v>
      </c>
      <c r="D17" t="s">
        <v>64</v>
      </c>
      <c r="E17" t="s">
        <v>22</v>
      </c>
      <c r="F17" t="s">
        <v>23</v>
      </c>
      <c r="G17">
        <v>1</v>
      </c>
      <c r="H17">
        <v>9791159282898</v>
      </c>
      <c r="I17" t="s">
        <v>24</v>
      </c>
      <c r="J17" t="s">
        <v>35</v>
      </c>
      <c r="K17" t="s">
        <v>26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  <c r="V17" s="7" t="s">
        <v>24</v>
      </c>
      <c r="W17" s="7" t="s">
        <v>26</v>
      </c>
    </row>
    <row r="18" spans="1:23" x14ac:dyDescent="0.4">
      <c r="A18" t="s">
        <v>262</v>
      </c>
      <c r="B18" t="s">
        <v>810</v>
      </c>
      <c r="C18" t="s">
        <v>862</v>
      </c>
      <c r="D18" t="s">
        <v>64</v>
      </c>
      <c r="E18" t="s">
        <v>22</v>
      </c>
      <c r="F18" t="s">
        <v>23</v>
      </c>
      <c r="G18">
        <v>1</v>
      </c>
      <c r="H18">
        <v>9791159282904</v>
      </c>
      <c r="I18" t="s">
        <v>24</v>
      </c>
      <c r="J18" t="s">
        <v>38</v>
      </c>
      <c r="K18" t="s">
        <v>26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  <c r="V18" s="7" t="s">
        <v>24</v>
      </c>
      <c r="W18" s="7" t="s">
        <v>26</v>
      </c>
    </row>
    <row r="19" spans="1:23" x14ac:dyDescent="0.4">
      <c r="A19" t="s">
        <v>262</v>
      </c>
      <c r="B19" t="s">
        <v>810</v>
      </c>
      <c r="C19" t="s">
        <v>865</v>
      </c>
      <c r="D19" t="s">
        <v>64</v>
      </c>
      <c r="E19" t="s">
        <v>22</v>
      </c>
      <c r="F19" t="s">
        <v>23</v>
      </c>
      <c r="G19">
        <v>1</v>
      </c>
      <c r="H19">
        <v>9791159282911</v>
      </c>
      <c r="I19" t="s">
        <v>24</v>
      </c>
      <c r="J19" t="s">
        <v>39</v>
      </c>
      <c r="K19" t="s">
        <v>26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7" t="s">
        <v>24</v>
      </c>
      <c r="W19" s="7" t="s">
        <v>26</v>
      </c>
    </row>
    <row r="20" spans="1:23" x14ac:dyDescent="0.4">
      <c r="A20" t="s">
        <v>262</v>
      </c>
      <c r="B20" t="s">
        <v>810</v>
      </c>
      <c r="C20" t="s">
        <v>866</v>
      </c>
      <c r="D20" t="s">
        <v>64</v>
      </c>
      <c r="E20" t="s">
        <v>22</v>
      </c>
      <c r="F20" t="s">
        <v>23</v>
      </c>
      <c r="G20">
        <v>1</v>
      </c>
      <c r="H20">
        <v>9791159282928</v>
      </c>
      <c r="I20" t="s">
        <v>24</v>
      </c>
      <c r="J20" t="s">
        <v>178</v>
      </c>
      <c r="K20" t="s">
        <v>26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  <c r="V20" s="7" t="s">
        <v>24</v>
      </c>
      <c r="W20" s="7" t="s">
        <v>26</v>
      </c>
    </row>
    <row r="21" spans="1:23" x14ac:dyDescent="0.4">
      <c r="A21" t="s">
        <v>262</v>
      </c>
      <c r="B21" t="s">
        <v>899</v>
      </c>
      <c r="C21" t="s">
        <v>960</v>
      </c>
      <c r="D21" t="s">
        <v>64</v>
      </c>
      <c r="E21" t="s">
        <v>22</v>
      </c>
      <c r="F21" t="s">
        <v>23</v>
      </c>
      <c r="G21">
        <v>1</v>
      </c>
      <c r="H21">
        <v>9791159282928</v>
      </c>
      <c r="I21" t="s">
        <v>24</v>
      </c>
      <c r="J21" t="s">
        <v>178</v>
      </c>
      <c r="K21" t="s">
        <v>26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  <c r="V21" s="7" t="s">
        <v>24</v>
      </c>
      <c r="W21" s="7" t="s">
        <v>26</v>
      </c>
    </row>
    <row r="22" spans="1:23" x14ac:dyDescent="0.4">
      <c r="A22" t="s">
        <v>262</v>
      </c>
      <c r="B22" t="s">
        <v>899</v>
      </c>
      <c r="C22" t="s">
        <v>975</v>
      </c>
      <c r="D22" t="s">
        <v>64</v>
      </c>
      <c r="E22" t="s">
        <v>22</v>
      </c>
      <c r="F22" t="s">
        <v>23</v>
      </c>
      <c r="G22">
        <v>1</v>
      </c>
      <c r="H22">
        <v>9791159282935</v>
      </c>
      <c r="I22" t="s">
        <v>24</v>
      </c>
      <c r="J22" t="s">
        <v>182</v>
      </c>
      <c r="K22" t="s">
        <v>26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  <c r="V22" s="7" t="s">
        <v>24</v>
      </c>
      <c r="W22" s="7" t="s">
        <v>26</v>
      </c>
    </row>
    <row r="23" spans="1:23" x14ac:dyDescent="0.4">
      <c r="A23" t="s">
        <v>262</v>
      </c>
      <c r="B23" t="s">
        <v>984</v>
      </c>
      <c r="C23" t="s">
        <v>997</v>
      </c>
      <c r="D23" t="s">
        <v>64</v>
      </c>
      <c r="E23" t="s">
        <v>22</v>
      </c>
      <c r="F23" t="s">
        <v>23</v>
      </c>
      <c r="G23">
        <v>1</v>
      </c>
      <c r="H23">
        <v>9791159282942</v>
      </c>
      <c r="I23" t="s">
        <v>24</v>
      </c>
      <c r="J23" t="s">
        <v>180</v>
      </c>
      <c r="K23" t="s">
        <v>26</v>
      </c>
      <c r="L23" t="s">
        <v>27</v>
      </c>
      <c r="M23">
        <v>630</v>
      </c>
      <c r="N23" t="s">
        <v>27</v>
      </c>
      <c r="O23">
        <v>630</v>
      </c>
      <c r="P23">
        <v>630</v>
      </c>
      <c r="Q23" t="s">
        <v>30</v>
      </c>
      <c r="R23" s="2">
        <v>0.7</v>
      </c>
      <c r="S23">
        <v>441</v>
      </c>
      <c r="T23" t="s">
        <v>27</v>
      </c>
      <c r="U23">
        <v>441</v>
      </c>
      <c r="V23" s="7" t="s">
        <v>24</v>
      </c>
      <c r="W23" s="7" t="s">
        <v>26</v>
      </c>
    </row>
    <row r="24" spans="1:23" x14ac:dyDescent="0.4">
      <c r="A24" t="s">
        <v>262</v>
      </c>
      <c r="B24" t="s">
        <v>984</v>
      </c>
      <c r="C24" t="s">
        <v>1020</v>
      </c>
      <c r="D24" t="s">
        <v>64</v>
      </c>
      <c r="E24" t="s">
        <v>22</v>
      </c>
      <c r="F24" t="s">
        <v>23</v>
      </c>
      <c r="G24">
        <v>1</v>
      </c>
      <c r="H24">
        <v>9791159282959</v>
      </c>
      <c r="I24" t="s">
        <v>24</v>
      </c>
      <c r="J24" t="s">
        <v>179</v>
      </c>
      <c r="K24" t="s">
        <v>26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2">
        <v>0.7</v>
      </c>
      <c r="S24">
        <v>441</v>
      </c>
      <c r="T24" t="s">
        <v>27</v>
      </c>
      <c r="U24">
        <v>441</v>
      </c>
      <c r="V24" s="7" t="s">
        <v>24</v>
      </c>
      <c r="W24" s="7" t="s">
        <v>26</v>
      </c>
    </row>
    <row r="25" spans="1:23" x14ac:dyDescent="0.4">
      <c r="A25" t="s">
        <v>262</v>
      </c>
      <c r="B25" t="s">
        <v>984</v>
      </c>
      <c r="C25" t="s">
        <v>1027</v>
      </c>
      <c r="D25" t="s">
        <v>64</v>
      </c>
      <c r="E25" t="s">
        <v>22</v>
      </c>
      <c r="F25" t="s">
        <v>23</v>
      </c>
      <c r="G25">
        <v>1</v>
      </c>
      <c r="H25">
        <v>9791159282966</v>
      </c>
      <c r="I25" t="s">
        <v>24</v>
      </c>
      <c r="J25" t="s">
        <v>181</v>
      </c>
      <c r="K25" t="s">
        <v>26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  <c r="V25" s="7" t="s">
        <v>24</v>
      </c>
      <c r="W25" s="7" t="s">
        <v>26</v>
      </c>
    </row>
    <row r="26" spans="1:23" x14ac:dyDescent="0.4">
      <c r="A26" t="s">
        <v>262</v>
      </c>
      <c r="B26" t="s">
        <v>984</v>
      </c>
      <c r="C26" t="s">
        <v>1037</v>
      </c>
      <c r="D26" t="s">
        <v>64</v>
      </c>
      <c r="E26" t="s">
        <v>22</v>
      </c>
      <c r="F26" t="s">
        <v>23</v>
      </c>
      <c r="G26">
        <v>1</v>
      </c>
      <c r="H26">
        <v>9791159282973</v>
      </c>
      <c r="I26" t="s">
        <v>24</v>
      </c>
      <c r="J26" t="s">
        <v>183</v>
      </c>
      <c r="K26" t="s">
        <v>26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  <c r="V26" s="7" t="s">
        <v>24</v>
      </c>
      <c r="W26" s="7" t="s">
        <v>26</v>
      </c>
    </row>
    <row r="27" spans="1:23" x14ac:dyDescent="0.4">
      <c r="A27" t="s">
        <v>262</v>
      </c>
      <c r="B27" t="s">
        <v>1121</v>
      </c>
      <c r="C27" t="s">
        <v>1183</v>
      </c>
      <c r="D27" t="s">
        <v>64</v>
      </c>
      <c r="E27" t="s">
        <v>22</v>
      </c>
      <c r="F27" t="s">
        <v>23</v>
      </c>
      <c r="G27">
        <v>1</v>
      </c>
      <c r="H27">
        <v>9791159282843</v>
      </c>
      <c r="I27" t="s">
        <v>24</v>
      </c>
      <c r="J27" t="s">
        <v>25</v>
      </c>
      <c r="K27" t="s">
        <v>26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  <c r="V27" s="7" t="s">
        <v>24</v>
      </c>
      <c r="W27" s="7" t="s">
        <v>26</v>
      </c>
    </row>
    <row r="28" spans="1:23" x14ac:dyDescent="0.4">
      <c r="A28" t="s">
        <v>262</v>
      </c>
      <c r="B28" t="s">
        <v>1198</v>
      </c>
      <c r="C28" t="s">
        <v>1200</v>
      </c>
      <c r="D28" t="s">
        <v>21</v>
      </c>
      <c r="E28" t="s">
        <v>22</v>
      </c>
      <c r="F28" t="s">
        <v>23</v>
      </c>
      <c r="G28">
        <v>1</v>
      </c>
      <c r="H28">
        <v>9791159282843</v>
      </c>
      <c r="I28" t="s">
        <v>24</v>
      </c>
      <c r="J28" t="s">
        <v>25</v>
      </c>
      <c r="K28" t="s">
        <v>26</v>
      </c>
      <c r="L28" t="s">
        <v>27</v>
      </c>
      <c r="M28" s="3">
        <v>3200</v>
      </c>
      <c r="N28" t="s">
        <v>27</v>
      </c>
      <c r="O28" s="3">
        <v>3200</v>
      </c>
      <c r="P28" s="3">
        <v>3200</v>
      </c>
      <c r="Q28" t="s">
        <v>30</v>
      </c>
      <c r="R28" s="2">
        <v>0.7</v>
      </c>
      <c r="S28" s="3">
        <v>2240</v>
      </c>
      <c r="T28" t="s">
        <v>27</v>
      </c>
      <c r="U28" s="3">
        <v>2240</v>
      </c>
      <c r="V28" s="7" t="s">
        <v>24</v>
      </c>
      <c r="W28" s="7" t="s">
        <v>26</v>
      </c>
    </row>
    <row r="29" spans="1:23" x14ac:dyDescent="0.4">
      <c r="A29" t="s">
        <v>262</v>
      </c>
      <c r="B29" t="s">
        <v>1198</v>
      </c>
      <c r="C29" t="s">
        <v>1234</v>
      </c>
      <c r="D29" t="s">
        <v>64</v>
      </c>
      <c r="E29" t="s">
        <v>22</v>
      </c>
      <c r="F29" t="s">
        <v>23</v>
      </c>
      <c r="G29">
        <v>1</v>
      </c>
      <c r="H29">
        <v>9791159282850</v>
      </c>
      <c r="I29" t="s">
        <v>24</v>
      </c>
      <c r="J29" t="s">
        <v>31</v>
      </c>
      <c r="K29" t="s">
        <v>26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  <c r="V29" s="7" t="s">
        <v>24</v>
      </c>
      <c r="W29" s="7" t="s">
        <v>26</v>
      </c>
    </row>
    <row r="30" spans="1:23" x14ac:dyDescent="0.4">
      <c r="A30" t="s">
        <v>262</v>
      </c>
      <c r="B30" t="s">
        <v>1198</v>
      </c>
      <c r="C30" t="s">
        <v>1241</v>
      </c>
      <c r="D30" t="s">
        <v>64</v>
      </c>
      <c r="E30" t="s">
        <v>22</v>
      </c>
      <c r="F30" t="s">
        <v>23</v>
      </c>
      <c r="G30">
        <v>1</v>
      </c>
      <c r="H30">
        <v>9791159282850</v>
      </c>
      <c r="I30" t="s">
        <v>24</v>
      </c>
      <c r="J30" t="s">
        <v>31</v>
      </c>
      <c r="K30" t="s">
        <v>26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  <c r="V30" s="7" t="s">
        <v>24</v>
      </c>
      <c r="W30" s="7" t="s">
        <v>26</v>
      </c>
    </row>
    <row r="31" spans="1:23" x14ac:dyDescent="0.4">
      <c r="A31" t="s">
        <v>262</v>
      </c>
      <c r="B31" t="s">
        <v>1270</v>
      </c>
      <c r="C31" t="s">
        <v>1279</v>
      </c>
      <c r="D31" t="s">
        <v>64</v>
      </c>
      <c r="E31" t="s">
        <v>22</v>
      </c>
      <c r="F31" t="s">
        <v>23</v>
      </c>
      <c r="G31">
        <v>1</v>
      </c>
      <c r="H31">
        <v>9791159282867</v>
      </c>
      <c r="I31" t="s">
        <v>24</v>
      </c>
      <c r="J31" t="s">
        <v>32</v>
      </c>
      <c r="K31" t="s">
        <v>26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  <c r="V31" s="7" t="s">
        <v>24</v>
      </c>
      <c r="W31" s="7" t="s">
        <v>26</v>
      </c>
    </row>
    <row r="32" spans="1:23" x14ac:dyDescent="0.4">
      <c r="A32" t="s">
        <v>262</v>
      </c>
      <c r="B32" t="s">
        <v>1340</v>
      </c>
      <c r="C32" t="s">
        <v>1375</v>
      </c>
      <c r="D32" t="s">
        <v>64</v>
      </c>
      <c r="E32" t="s">
        <v>22</v>
      </c>
      <c r="F32" t="s">
        <v>23</v>
      </c>
      <c r="G32">
        <v>1</v>
      </c>
      <c r="H32">
        <v>9791159282881</v>
      </c>
      <c r="I32" t="s">
        <v>24</v>
      </c>
      <c r="J32" t="s">
        <v>34</v>
      </c>
      <c r="K32" t="s">
        <v>26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7" t="s">
        <v>24</v>
      </c>
      <c r="W32" s="7" t="s">
        <v>26</v>
      </c>
    </row>
    <row r="33" spans="1:23" x14ac:dyDescent="0.4">
      <c r="A33" t="s">
        <v>262</v>
      </c>
      <c r="B33" t="s">
        <v>1340</v>
      </c>
      <c r="C33" t="s">
        <v>1391</v>
      </c>
      <c r="D33" t="s">
        <v>64</v>
      </c>
      <c r="E33" t="s">
        <v>22</v>
      </c>
      <c r="F33" t="s">
        <v>23</v>
      </c>
      <c r="G33">
        <v>1</v>
      </c>
      <c r="H33">
        <v>9791159282898</v>
      </c>
      <c r="I33" t="s">
        <v>24</v>
      </c>
      <c r="J33" t="s">
        <v>35</v>
      </c>
      <c r="K33" t="s">
        <v>26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  <c r="V33" s="7" t="s">
        <v>24</v>
      </c>
      <c r="W33" s="7" t="s">
        <v>26</v>
      </c>
    </row>
    <row r="34" spans="1:23" x14ac:dyDescent="0.4">
      <c r="A34" t="s">
        <v>262</v>
      </c>
      <c r="B34" t="s">
        <v>1411</v>
      </c>
      <c r="C34" t="s">
        <v>1416</v>
      </c>
      <c r="D34" t="s">
        <v>64</v>
      </c>
      <c r="E34" t="s">
        <v>22</v>
      </c>
      <c r="F34" t="s">
        <v>23</v>
      </c>
      <c r="G34">
        <v>1</v>
      </c>
      <c r="H34">
        <v>9791159282904</v>
      </c>
      <c r="I34" t="s">
        <v>24</v>
      </c>
      <c r="J34" t="s">
        <v>38</v>
      </c>
      <c r="K34" t="s">
        <v>26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  <c r="V34" s="7" t="s">
        <v>24</v>
      </c>
      <c r="W34" s="7" t="s">
        <v>26</v>
      </c>
    </row>
    <row r="35" spans="1:23" x14ac:dyDescent="0.4">
      <c r="A35" t="s">
        <v>262</v>
      </c>
      <c r="B35" t="s">
        <v>1411</v>
      </c>
      <c r="C35" t="s">
        <v>1466</v>
      </c>
      <c r="D35" t="s">
        <v>64</v>
      </c>
      <c r="E35" t="s">
        <v>22</v>
      </c>
      <c r="F35" t="s">
        <v>23</v>
      </c>
      <c r="G35">
        <v>1</v>
      </c>
      <c r="H35">
        <v>9791159282911</v>
      </c>
      <c r="I35" t="s">
        <v>24</v>
      </c>
      <c r="J35" t="s">
        <v>39</v>
      </c>
      <c r="K35" t="s">
        <v>26</v>
      </c>
      <c r="L35" t="s">
        <v>27</v>
      </c>
      <c r="M35">
        <v>630</v>
      </c>
      <c r="N35" t="s">
        <v>27</v>
      </c>
      <c r="O35">
        <v>630</v>
      </c>
      <c r="P35">
        <v>630</v>
      </c>
      <c r="Q35" t="s">
        <v>30</v>
      </c>
      <c r="R35" s="2">
        <v>0.7</v>
      </c>
      <c r="S35">
        <v>441</v>
      </c>
      <c r="T35" t="s">
        <v>27</v>
      </c>
      <c r="U35">
        <v>441</v>
      </c>
      <c r="V35" s="7" t="s">
        <v>24</v>
      </c>
      <c r="W35" s="7" t="s">
        <v>26</v>
      </c>
    </row>
    <row r="36" spans="1:23" x14ac:dyDescent="0.4">
      <c r="A36" t="s">
        <v>262</v>
      </c>
      <c r="B36" t="s">
        <v>1411</v>
      </c>
      <c r="C36" t="s">
        <v>1492</v>
      </c>
      <c r="D36" t="s">
        <v>64</v>
      </c>
      <c r="E36" t="s">
        <v>22</v>
      </c>
      <c r="F36" t="s">
        <v>23</v>
      </c>
      <c r="G36">
        <v>1</v>
      </c>
      <c r="H36">
        <v>9791159282843</v>
      </c>
      <c r="I36" t="s">
        <v>24</v>
      </c>
      <c r="J36" t="s">
        <v>25</v>
      </c>
      <c r="K36" t="s">
        <v>26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  <c r="V36" s="7" t="s">
        <v>24</v>
      </c>
      <c r="W36" s="7" t="s">
        <v>26</v>
      </c>
    </row>
    <row r="37" spans="1:23" x14ac:dyDescent="0.4">
      <c r="A37" t="s">
        <v>262</v>
      </c>
      <c r="B37" t="s">
        <v>1579</v>
      </c>
      <c r="C37" t="s">
        <v>1609</v>
      </c>
      <c r="D37" t="s">
        <v>64</v>
      </c>
      <c r="E37" t="s">
        <v>22</v>
      </c>
      <c r="F37" t="s">
        <v>23</v>
      </c>
      <c r="G37">
        <v>1</v>
      </c>
      <c r="H37">
        <v>9791159282850</v>
      </c>
      <c r="I37" t="s">
        <v>24</v>
      </c>
      <c r="J37" t="s">
        <v>31</v>
      </c>
      <c r="K37" t="s">
        <v>26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  <c r="V37" s="7" t="s">
        <v>24</v>
      </c>
      <c r="W37" s="7" t="s">
        <v>26</v>
      </c>
    </row>
    <row r="38" spans="1:23" x14ac:dyDescent="0.4">
      <c r="A38" t="s">
        <v>262</v>
      </c>
      <c r="B38" t="s">
        <v>1579</v>
      </c>
      <c r="C38" t="s">
        <v>1618</v>
      </c>
      <c r="D38" t="s">
        <v>64</v>
      </c>
      <c r="E38" t="s">
        <v>22</v>
      </c>
      <c r="F38" t="s">
        <v>23</v>
      </c>
      <c r="G38">
        <v>1</v>
      </c>
      <c r="H38">
        <v>9791159282843</v>
      </c>
      <c r="I38" t="s">
        <v>24</v>
      </c>
      <c r="J38" t="s">
        <v>25</v>
      </c>
      <c r="K38" t="s">
        <v>26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  <c r="V38" s="7" t="s">
        <v>24</v>
      </c>
      <c r="W38" s="7" t="s">
        <v>26</v>
      </c>
    </row>
    <row r="39" spans="1:23" x14ac:dyDescent="0.4">
      <c r="A39" t="s">
        <v>262</v>
      </c>
      <c r="B39" t="s">
        <v>1579</v>
      </c>
      <c r="C39" t="s">
        <v>1630</v>
      </c>
      <c r="D39" t="s">
        <v>64</v>
      </c>
      <c r="E39" t="s">
        <v>22</v>
      </c>
      <c r="F39" t="s">
        <v>23</v>
      </c>
      <c r="G39">
        <v>1</v>
      </c>
      <c r="H39">
        <v>9791159282867</v>
      </c>
      <c r="I39" t="s">
        <v>24</v>
      </c>
      <c r="J39" t="s">
        <v>32</v>
      </c>
      <c r="K39" t="s">
        <v>26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  <c r="V39" s="7" t="s">
        <v>24</v>
      </c>
      <c r="W39" s="7" t="s">
        <v>26</v>
      </c>
    </row>
    <row r="40" spans="1:23" x14ac:dyDescent="0.4">
      <c r="A40" t="s">
        <v>262</v>
      </c>
      <c r="B40" t="s">
        <v>1579</v>
      </c>
      <c r="C40" t="s">
        <v>1631</v>
      </c>
      <c r="D40" t="s">
        <v>64</v>
      </c>
      <c r="E40" t="s">
        <v>22</v>
      </c>
      <c r="F40" t="s">
        <v>23</v>
      </c>
      <c r="G40">
        <v>1</v>
      </c>
      <c r="H40">
        <v>9791159282850</v>
      </c>
      <c r="I40" t="s">
        <v>24</v>
      </c>
      <c r="J40" t="s">
        <v>31</v>
      </c>
      <c r="K40" t="s">
        <v>26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  <c r="V40" s="7" t="s">
        <v>24</v>
      </c>
      <c r="W40" s="7" t="s">
        <v>26</v>
      </c>
    </row>
    <row r="41" spans="1:23" x14ac:dyDescent="0.4">
      <c r="A41" t="s">
        <v>262</v>
      </c>
      <c r="B41" t="s">
        <v>1639</v>
      </c>
      <c r="C41" t="s">
        <v>1668</v>
      </c>
      <c r="D41" t="s">
        <v>64</v>
      </c>
      <c r="E41" t="s">
        <v>22</v>
      </c>
      <c r="F41" t="s">
        <v>23</v>
      </c>
      <c r="G41">
        <v>1</v>
      </c>
      <c r="H41">
        <v>9791159282843</v>
      </c>
      <c r="I41" t="s">
        <v>24</v>
      </c>
      <c r="J41" t="s">
        <v>25</v>
      </c>
      <c r="K41" t="s">
        <v>26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  <c r="V41" s="7" t="s">
        <v>24</v>
      </c>
      <c r="W41" s="7" t="s">
        <v>26</v>
      </c>
    </row>
    <row r="42" spans="1:23" x14ac:dyDescent="0.4">
      <c r="A42" t="s">
        <v>262</v>
      </c>
      <c r="B42" t="s">
        <v>1639</v>
      </c>
      <c r="C42" t="s">
        <v>1682</v>
      </c>
      <c r="D42" t="s">
        <v>64</v>
      </c>
      <c r="E42" t="s">
        <v>22</v>
      </c>
      <c r="F42" t="s">
        <v>23</v>
      </c>
      <c r="G42">
        <v>1</v>
      </c>
      <c r="H42">
        <v>9791159282874</v>
      </c>
      <c r="I42" t="s">
        <v>24</v>
      </c>
      <c r="J42" t="s">
        <v>33</v>
      </c>
      <c r="K42" t="s">
        <v>26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  <c r="V42" s="7" t="s">
        <v>24</v>
      </c>
      <c r="W42" s="7" t="s">
        <v>26</v>
      </c>
    </row>
    <row r="43" spans="1:23" x14ac:dyDescent="0.4">
      <c r="A43" t="s">
        <v>262</v>
      </c>
      <c r="B43" t="s">
        <v>1639</v>
      </c>
      <c r="C43" t="s">
        <v>1694</v>
      </c>
      <c r="D43" t="s">
        <v>64</v>
      </c>
      <c r="E43" t="s">
        <v>22</v>
      </c>
      <c r="F43" t="s">
        <v>23</v>
      </c>
      <c r="G43">
        <v>1</v>
      </c>
      <c r="H43">
        <v>9791159282850</v>
      </c>
      <c r="I43" t="s">
        <v>24</v>
      </c>
      <c r="J43" t="s">
        <v>31</v>
      </c>
      <c r="K43" t="s">
        <v>26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  <c r="V43" s="7" t="s">
        <v>24</v>
      </c>
      <c r="W43" s="7" t="s">
        <v>26</v>
      </c>
    </row>
    <row r="44" spans="1:23" x14ac:dyDescent="0.4">
      <c r="A44" t="s">
        <v>262</v>
      </c>
      <c r="B44" t="s">
        <v>1704</v>
      </c>
      <c r="C44" t="s">
        <v>1711</v>
      </c>
      <c r="D44" t="s">
        <v>64</v>
      </c>
      <c r="E44" t="s">
        <v>22</v>
      </c>
      <c r="F44" t="s">
        <v>23</v>
      </c>
      <c r="G44">
        <v>1</v>
      </c>
      <c r="H44">
        <v>9791159282867</v>
      </c>
      <c r="I44" t="s">
        <v>24</v>
      </c>
      <c r="J44" t="s">
        <v>32</v>
      </c>
      <c r="K44" t="s">
        <v>26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  <c r="V44" s="7" t="s">
        <v>24</v>
      </c>
      <c r="W44" s="7" t="s">
        <v>26</v>
      </c>
    </row>
    <row r="45" spans="1:23" x14ac:dyDescent="0.4">
      <c r="A45" t="s">
        <v>262</v>
      </c>
      <c r="B45" t="s">
        <v>1704</v>
      </c>
      <c r="C45" t="s">
        <v>1722</v>
      </c>
      <c r="D45" t="s">
        <v>64</v>
      </c>
      <c r="E45" t="s">
        <v>22</v>
      </c>
      <c r="F45" t="s">
        <v>23</v>
      </c>
      <c r="G45">
        <v>1</v>
      </c>
      <c r="H45">
        <v>9791159282874</v>
      </c>
      <c r="I45" t="s">
        <v>24</v>
      </c>
      <c r="J45" t="s">
        <v>33</v>
      </c>
      <c r="K45" t="s">
        <v>26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2">
        <v>0.7</v>
      </c>
      <c r="S45">
        <v>441</v>
      </c>
      <c r="T45" t="s">
        <v>27</v>
      </c>
      <c r="U45">
        <v>441</v>
      </c>
      <c r="V45" s="7" t="s">
        <v>24</v>
      </c>
      <c r="W45" s="7" t="s">
        <v>26</v>
      </c>
    </row>
    <row r="46" spans="1:23" x14ac:dyDescent="0.4">
      <c r="A46" t="s">
        <v>262</v>
      </c>
      <c r="B46" t="s">
        <v>1704</v>
      </c>
      <c r="C46" t="s">
        <v>1724</v>
      </c>
      <c r="D46" t="s">
        <v>64</v>
      </c>
      <c r="E46" t="s">
        <v>22</v>
      </c>
      <c r="F46" t="s">
        <v>23</v>
      </c>
      <c r="G46">
        <v>1</v>
      </c>
      <c r="H46">
        <v>9791159282881</v>
      </c>
      <c r="I46" t="s">
        <v>24</v>
      </c>
      <c r="J46" t="s">
        <v>34</v>
      </c>
      <c r="K46" t="s">
        <v>26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  <c r="V46" s="7" t="s">
        <v>24</v>
      </c>
      <c r="W46" s="7" t="s">
        <v>26</v>
      </c>
    </row>
    <row r="47" spans="1:23" x14ac:dyDescent="0.4">
      <c r="A47" t="s">
        <v>262</v>
      </c>
      <c r="B47" t="s">
        <v>1704</v>
      </c>
      <c r="C47" t="s">
        <v>1730</v>
      </c>
      <c r="D47" t="s">
        <v>64</v>
      </c>
      <c r="E47" t="s">
        <v>22</v>
      </c>
      <c r="F47" t="s">
        <v>23</v>
      </c>
      <c r="G47">
        <v>1</v>
      </c>
      <c r="H47">
        <v>9791159282881</v>
      </c>
      <c r="I47" t="s">
        <v>24</v>
      </c>
      <c r="J47" t="s">
        <v>34</v>
      </c>
      <c r="K47" t="s">
        <v>26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  <c r="V47" s="7" t="s">
        <v>24</v>
      </c>
      <c r="W47" s="7" t="s">
        <v>26</v>
      </c>
    </row>
    <row r="48" spans="1:23" x14ac:dyDescent="0.4">
      <c r="A48" t="s">
        <v>262</v>
      </c>
      <c r="B48" t="s">
        <v>1704</v>
      </c>
      <c r="C48" t="s">
        <v>1744</v>
      </c>
      <c r="D48" t="s">
        <v>64</v>
      </c>
      <c r="E48" t="s">
        <v>22</v>
      </c>
      <c r="F48" t="s">
        <v>23</v>
      </c>
      <c r="G48">
        <v>1</v>
      </c>
      <c r="H48">
        <v>9791159282898</v>
      </c>
      <c r="I48" t="s">
        <v>24</v>
      </c>
      <c r="J48" t="s">
        <v>35</v>
      </c>
      <c r="K48" t="s">
        <v>26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  <c r="V48" s="7" t="s">
        <v>24</v>
      </c>
      <c r="W48" s="7" t="s">
        <v>26</v>
      </c>
    </row>
    <row r="49" spans="1:23" x14ac:dyDescent="0.4">
      <c r="A49" t="s">
        <v>262</v>
      </c>
      <c r="B49" t="s">
        <v>1704</v>
      </c>
      <c r="C49" t="s">
        <v>1761</v>
      </c>
      <c r="D49" t="s">
        <v>64</v>
      </c>
      <c r="E49" t="s">
        <v>22</v>
      </c>
      <c r="F49" t="s">
        <v>23</v>
      </c>
      <c r="G49">
        <v>1</v>
      </c>
      <c r="H49">
        <v>9791159282904</v>
      </c>
      <c r="I49" t="s">
        <v>24</v>
      </c>
      <c r="J49" t="s">
        <v>38</v>
      </c>
      <c r="K49" t="s">
        <v>26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  <c r="V49" s="7" t="s">
        <v>24</v>
      </c>
      <c r="W49" s="7" t="s">
        <v>26</v>
      </c>
    </row>
    <row r="50" spans="1:23" x14ac:dyDescent="0.4">
      <c r="A50" t="s">
        <v>262</v>
      </c>
      <c r="B50" t="s">
        <v>1766</v>
      </c>
      <c r="C50" t="s">
        <v>1769</v>
      </c>
      <c r="D50" t="s">
        <v>64</v>
      </c>
      <c r="E50" t="s">
        <v>22</v>
      </c>
      <c r="F50" t="s">
        <v>23</v>
      </c>
      <c r="G50">
        <v>1</v>
      </c>
      <c r="H50">
        <v>9791159282898</v>
      </c>
      <c r="I50" t="s">
        <v>24</v>
      </c>
      <c r="J50" t="s">
        <v>35</v>
      </c>
      <c r="K50" t="s">
        <v>26</v>
      </c>
      <c r="L50" t="s">
        <v>27</v>
      </c>
      <c r="M50">
        <v>630</v>
      </c>
      <c r="N50" t="s">
        <v>27</v>
      </c>
      <c r="O50">
        <v>630</v>
      </c>
      <c r="P50">
        <v>630</v>
      </c>
      <c r="Q50" t="s">
        <v>30</v>
      </c>
      <c r="R50" s="2">
        <v>0.7</v>
      </c>
      <c r="S50">
        <v>441</v>
      </c>
      <c r="T50" t="s">
        <v>27</v>
      </c>
      <c r="U50">
        <v>441</v>
      </c>
      <c r="V50" s="7" t="s">
        <v>24</v>
      </c>
      <c r="W50" s="7" t="s">
        <v>26</v>
      </c>
    </row>
    <row r="51" spans="1:23" x14ac:dyDescent="0.4">
      <c r="A51" t="s">
        <v>262</v>
      </c>
      <c r="B51" t="s">
        <v>1766</v>
      </c>
      <c r="C51" t="s">
        <v>1777</v>
      </c>
      <c r="D51" t="s">
        <v>64</v>
      </c>
      <c r="E51" t="s">
        <v>22</v>
      </c>
      <c r="F51" t="s">
        <v>23</v>
      </c>
      <c r="G51">
        <v>1</v>
      </c>
      <c r="H51">
        <v>9791159282911</v>
      </c>
      <c r="I51" t="s">
        <v>24</v>
      </c>
      <c r="J51" t="s">
        <v>39</v>
      </c>
      <c r="K51" t="s">
        <v>26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  <c r="V51" s="7" t="s">
        <v>24</v>
      </c>
      <c r="W51" s="7" t="s">
        <v>26</v>
      </c>
    </row>
    <row r="52" spans="1:23" x14ac:dyDescent="0.4">
      <c r="A52" t="s">
        <v>262</v>
      </c>
      <c r="B52" t="s">
        <v>1766</v>
      </c>
      <c r="C52" t="s">
        <v>1787</v>
      </c>
      <c r="D52" t="s">
        <v>64</v>
      </c>
      <c r="E52" t="s">
        <v>22</v>
      </c>
      <c r="F52" t="s">
        <v>23</v>
      </c>
      <c r="G52">
        <v>1</v>
      </c>
      <c r="H52">
        <v>9791159282928</v>
      </c>
      <c r="I52" t="s">
        <v>24</v>
      </c>
      <c r="J52" t="s">
        <v>178</v>
      </c>
      <c r="K52" t="s">
        <v>26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  <c r="V52" s="7" t="s">
        <v>24</v>
      </c>
      <c r="W52" s="7" t="s">
        <v>26</v>
      </c>
    </row>
    <row r="53" spans="1:23" x14ac:dyDescent="0.4">
      <c r="A53" t="s">
        <v>262</v>
      </c>
      <c r="B53" t="s">
        <v>1766</v>
      </c>
      <c r="C53" t="s">
        <v>1800</v>
      </c>
      <c r="D53" t="s">
        <v>64</v>
      </c>
      <c r="E53" t="s">
        <v>22</v>
      </c>
      <c r="F53" t="s">
        <v>23</v>
      </c>
      <c r="G53">
        <v>1</v>
      </c>
      <c r="H53">
        <v>9791159282935</v>
      </c>
      <c r="I53" t="s">
        <v>24</v>
      </c>
      <c r="J53" t="s">
        <v>182</v>
      </c>
      <c r="K53" t="s">
        <v>26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  <c r="V53" s="7" t="s">
        <v>24</v>
      </c>
      <c r="W53" s="7" t="s">
        <v>26</v>
      </c>
    </row>
    <row r="54" spans="1:23" x14ac:dyDescent="0.4">
      <c r="A54" t="s">
        <v>262</v>
      </c>
      <c r="B54" t="s">
        <v>1766</v>
      </c>
      <c r="C54" t="s">
        <v>1807</v>
      </c>
      <c r="D54" t="s">
        <v>64</v>
      </c>
      <c r="E54" t="s">
        <v>22</v>
      </c>
      <c r="F54" t="s">
        <v>23</v>
      </c>
      <c r="G54">
        <v>1</v>
      </c>
      <c r="H54">
        <v>9791159282904</v>
      </c>
      <c r="I54" t="s">
        <v>24</v>
      </c>
      <c r="J54" t="s">
        <v>38</v>
      </c>
      <c r="K54" t="s">
        <v>26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  <c r="V54" s="7" t="s">
        <v>24</v>
      </c>
      <c r="W54" s="7" t="s">
        <v>26</v>
      </c>
    </row>
    <row r="55" spans="1:23" x14ac:dyDescent="0.4">
      <c r="A55" t="s">
        <v>262</v>
      </c>
      <c r="B55" t="s">
        <v>1766</v>
      </c>
      <c r="C55" t="s">
        <v>1818</v>
      </c>
      <c r="D55" t="s">
        <v>64</v>
      </c>
      <c r="E55" t="s">
        <v>22</v>
      </c>
      <c r="F55" t="s">
        <v>23</v>
      </c>
      <c r="G55">
        <v>1</v>
      </c>
      <c r="H55">
        <v>9791159282942</v>
      </c>
      <c r="I55" t="s">
        <v>24</v>
      </c>
      <c r="J55" t="s">
        <v>180</v>
      </c>
      <c r="K55" t="s">
        <v>26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  <c r="V55" s="7" t="s">
        <v>24</v>
      </c>
      <c r="W55" s="7" t="s">
        <v>26</v>
      </c>
    </row>
    <row r="56" spans="1:23" x14ac:dyDescent="0.4">
      <c r="A56" t="s">
        <v>262</v>
      </c>
      <c r="B56" t="s">
        <v>1766</v>
      </c>
      <c r="C56" t="s">
        <v>1821</v>
      </c>
      <c r="D56" t="s">
        <v>64</v>
      </c>
      <c r="E56" t="s">
        <v>22</v>
      </c>
      <c r="F56" t="s">
        <v>23</v>
      </c>
      <c r="G56">
        <v>1</v>
      </c>
      <c r="H56">
        <v>9791159282911</v>
      </c>
      <c r="I56" t="s">
        <v>24</v>
      </c>
      <c r="J56" t="s">
        <v>39</v>
      </c>
      <c r="K56" t="s">
        <v>26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  <c r="V56" s="7" t="s">
        <v>24</v>
      </c>
      <c r="W56" s="7" t="s">
        <v>26</v>
      </c>
    </row>
    <row r="57" spans="1:23" x14ac:dyDescent="0.4">
      <c r="A57" t="s">
        <v>262</v>
      </c>
      <c r="B57" t="s">
        <v>1766</v>
      </c>
      <c r="C57" t="s">
        <v>1838</v>
      </c>
      <c r="D57" t="s">
        <v>64</v>
      </c>
      <c r="E57" t="s">
        <v>22</v>
      </c>
      <c r="F57" t="s">
        <v>23</v>
      </c>
      <c r="G57">
        <v>1</v>
      </c>
      <c r="H57">
        <v>9791159282959</v>
      </c>
      <c r="I57" t="s">
        <v>24</v>
      </c>
      <c r="J57" t="s">
        <v>179</v>
      </c>
      <c r="K57" t="s">
        <v>26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  <c r="V57" s="7" t="s">
        <v>24</v>
      </c>
      <c r="W57" s="7" t="s">
        <v>26</v>
      </c>
    </row>
    <row r="58" spans="1:23" x14ac:dyDescent="0.4">
      <c r="A58" t="s">
        <v>262</v>
      </c>
      <c r="B58" t="s">
        <v>1840</v>
      </c>
      <c r="C58" t="s">
        <v>1866</v>
      </c>
      <c r="D58" t="s">
        <v>64</v>
      </c>
      <c r="E58" t="s">
        <v>22</v>
      </c>
      <c r="F58" t="s">
        <v>23</v>
      </c>
      <c r="G58">
        <v>1</v>
      </c>
      <c r="H58">
        <v>9791159282966</v>
      </c>
      <c r="I58" t="s">
        <v>24</v>
      </c>
      <c r="J58" t="s">
        <v>181</v>
      </c>
      <c r="K58" t="s">
        <v>26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  <c r="V58" s="7" t="s">
        <v>24</v>
      </c>
      <c r="W58" s="7" t="s">
        <v>26</v>
      </c>
    </row>
    <row r="59" spans="1:23" x14ac:dyDescent="0.4">
      <c r="A59" t="s">
        <v>262</v>
      </c>
      <c r="B59" t="s">
        <v>1840</v>
      </c>
      <c r="C59" t="s">
        <v>1870</v>
      </c>
      <c r="D59" t="s">
        <v>64</v>
      </c>
      <c r="E59" t="s">
        <v>22</v>
      </c>
      <c r="F59" t="s">
        <v>23</v>
      </c>
      <c r="G59">
        <v>1</v>
      </c>
      <c r="H59">
        <v>9791159282928</v>
      </c>
      <c r="I59" t="s">
        <v>24</v>
      </c>
      <c r="J59" t="s">
        <v>178</v>
      </c>
      <c r="K59" t="s">
        <v>26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  <c r="V59" s="7" t="s">
        <v>24</v>
      </c>
      <c r="W59" s="7" t="s">
        <v>26</v>
      </c>
    </row>
    <row r="60" spans="1:23" x14ac:dyDescent="0.4">
      <c r="A60" t="s">
        <v>262</v>
      </c>
      <c r="B60" t="s">
        <v>1840</v>
      </c>
      <c r="C60" t="s">
        <v>1890</v>
      </c>
      <c r="D60" t="s">
        <v>64</v>
      </c>
      <c r="E60" t="s">
        <v>22</v>
      </c>
      <c r="F60" t="s">
        <v>23</v>
      </c>
      <c r="G60">
        <v>1</v>
      </c>
      <c r="H60">
        <v>9791159282935</v>
      </c>
      <c r="I60" t="s">
        <v>24</v>
      </c>
      <c r="J60" t="s">
        <v>182</v>
      </c>
      <c r="K60" t="s">
        <v>26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  <c r="V60" s="7" t="s">
        <v>24</v>
      </c>
      <c r="W60" s="7" t="s">
        <v>26</v>
      </c>
    </row>
    <row r="61" spans="1:23" x14ac:dyDescent="0.4">
      <c r="A61" t="s">
        <v>262</v>
      </c>
      <c r="B61" t="s">
        <v>1840</v>
      </c>
      <c r="C61" t="s">
        <v>1892</v>
      </c>
      <c r="D61" t="s">
        <v>64</v>
      </c>
      <c r="E61" t="s">
        <v>22</v>
      </c>
      <c r="F61" t="s">
        <v>23</v>
      </c>
      <c r="G61">
        <v>1</v>
      </c>
      <c r="H61">
        <v>9791159282973</v>
      </c>
      <c r="I61" t="s">
        <v>24</v>
      </c>
      <c r="J61" t="s">
        <v>183</v>
      </c>
      <c r="K61" t="s">
        <v>26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  <c r="V61" s="7" t="s">
        <v>24</v>
      </c>
      <c r="W61" s="7" t="s">
        <v>26</v>
      </c>
    </row>
    <row r="62" spans="1:23" x14ac:dyDescent="0.4">
      <c r="A62" t="s">
        <v>262</v>
      </c>
      <c r="B62" t="s">
        <v>1898</v>
      </c>
      <c r="C62" t="s">
        <v>1931</v>
      </c>
      <c r="D62" t="s">
        <v>64</v>
      </c>
      <c r="E62" t="s">
        <v>22</v>
      </c>
      <c r="F62" t="s">
        <v>23</v>
      </c>
      <c r="G62">
        <v>1</v>
      </c>
      <c r="H62">
        <v>9791159282942</v>
      </c>
      <c r="I62" t="s">
        <v>24</v>
      </c>
      <c r="J62" t="s">
        <v>180</v>
      </c>
      <c r="K62" t="s">
        <v>26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  <c r="V62" s="7" t="s">
        <v>24</v>
      </c>
      <c r="W62" s="7" t="s">
        <v>26</v>
      </c>
    </row>
    <row r="63" spans="1:23" x14ac:dyDescent="0.4">
      <c r="A63" t="s">
        <v>262</v>
      </c>
      <c r="B63" t="s">
        <v>1953</v>
      </c>
      <c r="C63" t="s">
        <v>1961</v>
      </c>
      <c r="D63" t="s">
        <v>64</v>
      </c>
      <c r="E63" t="s">
        <v>22</v>
      </c>
      <c r="F63" t="s">
        <v>23</v>
      </c>
      <c r="G63">
        <v>1</v>
      </c>
      <c r="H63">
        <v>9791159282959</v>
      </c>
      <c r="I63" t="s">
        <v>24</v>
      </c>
      <c r="J63" t="s">
        <v>179</v>
      </c>
      <c r="K63" t="s">
        <v>26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2">
        <v>0.7</v>
      </c>
      <c r="S63">
        <v>441</v>
      </c>
      <c r="T63" t="s">
        <v>27</v>
      </c>
      <c r="U63">
        <v>441</v>
      </c>
      <c r="V63" s="7" t="s">
        <v>24</v>
      </c>
      <c r="W63" s="7" t="s">
        <v>26</v>
      </c>
    </row>
    <row r="64" spans="1:23" x14ac:dyDescent="0.4">
      <c r="A64" t="s">
        <v>262</v>
      </c>
      <c r="B64" t="s">
        <v>2236</v>
      </c>
      <c r="C64" t="s">
        <v>2274</v>
      </c>
      <c r="D64" t="s">
        <v>64</v>
      </c>
      <c r="E64" t="s">
        <v>22</v>
      </c>
      <c r="F64" t="s">
        <v>23</v>
      </c>
      <c r="G64">
        <v>1</v>
      </c>
      <c r="H64">
        <v>9791159282843</v>
      </c>
      <c r="I64" t="s">
        <v>24</v>
      </c>
      <c r="J64" t="s">
        <v>25</v>
      </c>
      <c r="K64" t="s">
        <v>26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  <c r="V64" s="7" t="s">
        <v>24</v>
      </c>
      <c r="W64" s="7" t="s">
        <v>26</v>
      </c>
    </row>
    <row r="65" spans="1:23" x14ac:dyDescent="0.4">
      <c r="A65" t="s">
        <v>262</v>
      </c>
      <c r="B65" t="s">
        <v>2236</v>
      </c>
      <c r="C65" t="s">
        <v>2284</v>
      </c>
      <c r="D65" t="s">
        <v>64</v>
      </c>
      <c r="E65" t="s">
        <v>22</v>
      </c>
      <c r="F65" t="s">
        <v>23</v>
      </c>
      <c r="G65">
        <v>1</v>
      </c>
      <c r="H65">
        <v>9791159282850</v>
      </c>
      <c r="I65" t="s">
        <v>24</v>
      </c>
      <c r="J65" t="s">
        <v>31</v>
      </c>
      <c r="K65" t="s">
        <v>26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  <c r="V65" s="7" t="s">
        <v>24</v>
      </c>
      <c r="W65" s="7" t="s">
        <v>26</v>
      </c>
    </row>
    <row r="66" spans="1:23" x14ac:dyDescent="0.4">
      <c r="A66" t="s">
        <v>262</v>
      </c>
      <c r="B66" t="s">
        <v>2236</v>
      </c>
      <c r="C66" t="s">
        <v>2287</v>
      </c>
      <c r="D66" t="s">
        <v>64</v>
      </c>
      <c r="E66" t="s">
        <v>22</v>
      </c>
      <c r="F66" t="s">
        <v>23</v>
      </c>
      <c r="G66">
        <v>1</v>
      </c>
      <c r="H66">
        <v>9791159282867</v>
      </c>
      <c r="I66" t="s">
        <v>24</v>
      </c>
      <c r="J66" t="s">
        <v>32</v>
      </c>
      <c r="K66" t="s">
        <v>26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2">
        <v>0.7</v>
      </c>
      <c r="S66">
        <v>441</v>
      </c>
      <c r="T66" t="s">
        <v>27</v>
      </c>
      <c r="U66">
        <v>441</v>
      </c>
      <c r="V66" s="7" t="s">
        <v>24</v>
      </c>
      <c r="W66" s="7" t="s">
        <v>26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38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18.296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401</v>
      </c>
      <c r="C2" t="s">
        <v>449</v>
      </c>
      <c r="D2" t="s">
        <v>64</v>
      </c>
      <c r="E2" t="s">
        <v>22</v>
      </c>
      <c r="F2" t="s">
        <v>23</v>
      </c>
      <c r="G2">
        <v>1</v>
      </c>
      <c r="H2">
        <v>9791159285035</v>
      </c>
      <c r="I2" t="s">
        <v>24</v>
      </c>
      <c r="J2" t="s">
        <v>59</v>
      </c>
      <c r="K2" t="s">
        <v>47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">
        <v>24</v>
      </c>
      <c r="W2" s="7" t="s">
        <v>47</v>
      </c>
    </row>
    <row r="3" spans="1:23" x14ac:dyDescent="0.4">
      <c r="A3" t="s">
        <v>262</v>
      </c>
      <c r="B3" t="s">
        <v>481</v>
      </c>
      <c r="C3" t="s">
        <v>490</v>
      </c>
      <c r="D3" t="s">
        <v>64</v>
      </c>
      <c r="E3" t="s">
        <v>22</v>
      </c>
      <c r="F3" t="s">
        <v>23</v>
      </c>
      <c r="G3">
        <v>1</v>
      </c>
      <c r="H3">
        <v>9791159284953</v>
      </c>
      <c r="I3" t="s">
        <v>24</v>
      </c>
      <c r="J3" t="s">
        <v>46</v>
      </c>
      <c r="K3" t="s">
        <v>47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  <c r="V3" s="7" t="s">
        <v>24</v>
      </c>
      <c r="W3" s="7" t="s">
        <v>47</v>
      </c>
    </row>
    <row r="4" spans="1:23" x14ac:dyDescent="0.4">
      <c r="A4" t="s">
        <v>262</v>
      </c>
      <c r="B4" t="s">
        <v>1411</v>
      </c>
      <c r="C4" t="s">
        <v>1454</v>
      </c>
      <c r="D4" t="s">
        <v>64</v>
      </c>
      <c r="E4" t="s">
        <v>22</v>
      </c>
      <c r="F4" t="s">
        <v>23</v>
      </c>
      <c r="G4">
        <v>1</v>
      </c>
      <c r="H4">
        <v>9791159284953</v>
      </c>
      <c r="I4" t="s">
        <v>24</v>
      </c>
      <c r="J4" t="s">
        <v>46</v>
      </c>
      <c r="K4" t="s">
        <v>47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  <c r="V4" s="7" t="s">
        <v>24</v>
      </c>
      <c r="W4" s="7" t="s">
        <v>47</v>
      </c>
    </row>
    <row r="5" spans="1:23" x14ac:dyDescent="0.4">
      <c r="A5" t="s">
        <v>262</v>
      </c>
      <c r="B5" t="s">
        <v>1411</v>
      </c>
      <c r="C5" t="s">
        <v>1461</v>
      </c>
      <c r="D5" t="s">
        <v>64</v>
      </c>
      <c r="E5" t="s">
        <v>22</v>
      </c>
      <c r="F5" t="s">
        <v>23</v>
      </c>
      <c r="G5">
        <v>1</v>
      </c>
      <c r="H5">
        <v>9791159284960</v>
      </c>
      <c r="I5" t="s">
        <v>24</v>
      </c>
      <c r="J5" t="s">
        <v>48</v>
      </c>
      <c r="K5" t="s">
        <v>47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  <c r="V5" s="7" t="s">
        <v>24</v>
      </c>
      <c r="W5" s="7" t="s">
        <v>47</v>
      </c>
    </row>
    <row r="6" spans="1:23" x14ac:dyDescent="0.4">
      <c r="A6" t="s">
        <v>262</v>
      </c>
      <c r="B6" t="s">
        <v>1411</v>
      </c>
      <c r="C6" t="s">
        <v>1490</v>
      </c>
      <c r="D6" t="s">
        <v>64</v>
      </c>
      <c r="E6" t="s">
        <v>22</v>
      </c>
      <c r="F6" t="s">
        <v>23</v>
      </c>
      <c r="G6">
        <v>1</v>
      </c>
      <c r="H6">
        <v>9791159284977</v>
      </c>
      <c r="I6" t="s">
        <v>24</v>
      </c>
      <c r="J6" t="s">
        <v>49</v>
      </c>
      <c r="K6" t="s">
        <v>47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">
        <v>24</v>
      </c>
      <c r="W6" s="7" t="s">
        <v>47</v>
      </c>
    </row>
    <row r="7" spans="1:23" x14ac:dyDescent="0.4">
      <c r="A7" t="s">
        <v>262</v>
      </c>
      <c r="B7" t="s">
        <v>1514</v>
      </c>
      <c r="C7" t="s">
        <v>1530</v>
      </c>
      <c r="D7" t="s">
        <v>64</v>
      </c>
      <c r="E7" t="s">
        <v>22</v>
      </c>
      <c r="F7" t="s">
        <v>23</v>
      </c>
      <c r="G7">
        <v>1</v>
      </c>
      <c r="H7">
        <v>9791159284984</v>
      </c>
      <c r="I7" t="s">
        <v>24</v>
      </c>
      <c r="J7" t="s">
        <v>50</v>
      </c>
      <c r="K7" t="s">
        <v>47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  <c r="V7" s="7" t="s">
        <v>24</v>
      </c>
      <c r="W7" s="7" t="s">
        <v>47</v>
      </c>
    </row>
    <row r="8" spans="1:23" x14ac:dyDescent="0.4">
      <c r="A8" t="s">
        <v>262</v>
      </c>
      <c r="B8" t="s">
        <v>1514</v>
      </c>
      <c r="C8" t="s">
        <v>1574</v>
      </c>
      <c r="D8" t="s">
        <v>64</v>
      </c>
      <c r="E8" t="s">
        <v>22</v>
      </c>
      <c r="F8" t="s">
        <v>23</v>
      </c>
      <c r="G8">
        <v>1</v>
      </c>
      <c r="H8">
        <v>9791159284991</v>
      </c>
      <c r="I8" t="s">
        <v>24</v>
      </c>
      <c r="J8" t="s">
        <v>51</v>
      </c>
      <c r="K8" t="s">
        <v>47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  <c r="V8" s="7" t="s">
        <v>24</v>
      </c>
      <c r="W8" s="7" t="s">
        <v>47</v>
      </c>
    </row>
    <row r="9" spans="1:23" x14ac:dyDescent="0.4">
      <c r="A9" t="s">
        <v>262</v>
      </c>
      <c r="B9" t="s">
        <v>1579</v>
      </c>
      <c r="C9" t="s">
        <v>1619</v>
      </c>
      <c r="D9" t="s">
        <v>64</v>
      </c>
      <c r="E9" t="s">
        <v>22</v>
      </c>
      <c r="F9" t="s">
        <v>23</v>
      </c>
      <c r="G9">
        <v>1</v>
      </c>
      <c r="H9">
        <v>9791159285004</v>
      </c>
      <c r="I9" t="s">
        <v>24</v>
      </c>
      <c r="J9" t="s">
        <v>53</v>
      </c>
      <c r="K9" t="s">
        <v>47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  <c r="V9" s="7" t="s">
        <v>24</v>
      </c>
      <c r="W9" s="7" t="s">
        <v>47</v>
      </c>
    </row>
    <row r="10" spans="1:23" x14ac:dyDescent="0.4">
      <c r="A10" t="s">
        <v>262</v>
      </c>
      <c r="B10" t="s">
        <v>1579</v>
      </c>
      <c r="C10" t="s">
        <v>1625</v>
      </c>
      <c r="D10" t="s">
        <v>64</v>
      </c>
      <c r="E10" t="s">
        <v>22</v>
      </c>
      <c r="F10" t="s">
        <v>23</v>
      </c>
      <c r="G10">
        <v>1</v>
      </c>
      <c r="H10">
        <v>9791159285011</v>
      </c>
      <c r="I10" t="s">
        <v>24</v>
      </c>
      <c r="J10" t="s">
        <v>54</v>
      </c>
      <c r="K10" t="s">
        <v>47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  <c r="V10" s="7" t="s">
        <v>24</v>
      </c>
      <c r="W10" s="7" t="s">
        <v>47</v>
      </c>
    </row>
    <row r="11" spans="1:23" x14ac:dyDescent="0.4">
      <c r="A11" t="s">
        <v>262</v>
      </c>
      <c r="B11" t="s">
        <v>1840</v>
      </c>
      <c r="C11" t="s">
        <v>1883</v>
      </c>
      <c r="D11" t="s">
        <v>64</v>
      </c>
      <c r="E11" t="s">
        <v>22</v>
      </c>
      <c r="F11" t="s">
        <v>23</v>
      </c>
      <c r="G11">
        <v>1</v>
      </c>
      <c r="H11">
        <v>9791159284953</v>
      </c>
      <c r="I11" t="s">
        <v>24</v>
      </c>
      <c r="J11" t="s">
        <v>46</v>
      </c>
      <c r="K11" t="s">
        <v>47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7" t="s">
        <v>24</v>
      </c>
      <c r="W11" s="7" t="s">
        <v>47</v>
      </c>
    </row>
    <row r="12" spans="1:23" x14ac:dyDescent="0.4">
      <c r="A12" t="s">
        <v>262</v>
      </c>
      <c r="B12" t="s">
        <v>1898</v>
      </c>
      <c r="C12" t="s">
        <v>1905</v>
      </c>
      <c r="D12" t="s">
        <v>64</v>
      </c>
      <c r="E12" t="s">
        <v>22</v>
      </c>
      <c r="F12" t="s">
        <v>23</v>
      </c>
      <c r="G12">
        <v>1</v>
      </c>
      <c r="H12">
        <v>9791159284960</v>
      </c>
      <c r="I12" t="s">
        <v>24</v>
      </c>
      <c r="J12" t="s">
        <v>48</v>
      </c>
      <c r="K12" t="s">
        <v>47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  <c r="V12" s="7" t="s">
        <v>24</v>
      </c>
      <c r="W12" s="7" t="s">
        <v>47</v>
      </c>
    </row>
    <row r="13" spans="1:23" x14ac:dyDescent="0.4">
      <c r="A13" t="s">
        <v>262</v>
      </c>
      <c r="B13" t="s">
        <v>1898</v>
      </c>
      <c r="C13" t="s">
        <v>1924</v>
      </c>
      <c r="D13" t="s">
        <v>64</v>
      </c>
      <c r="E13" t="s">
        <v>22</v>
      </c>
      <c r="F13" t="s">
        <v>23</v>
      </c>
      <c r="G13">
        <v>1</v>
      </c>
      <c r="H13">
        <v>9791159284977</v>
      </c>
      <c r="I13" t="s">
        <v>24</v>
      </c>
      <c r="J13" t="s">
        <v>49</v>
      </c>
      <c r="K13" t="s">
        <v>47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  <c r="V13" s="7" t="s">
        <v>24</v>
      </c>
      <c r="W13" s="7" t="s">
        <v>47</v>
      </c>
    </row>
    <row r="14" spans="1:23" x14ac:dyDescent="0.4">
      <c r="A14" t="s">
        <v>262</v>
      </c>
      <c r="B14" t="s">
        <v>1953</v>
      </c>
      <c r="C14" t="s">
        <v>1958</v>
      </c>
      <c r="D14" t="s">
        <v>64</v>
      </c>
      <c r="E14" t="s">
        <v>22</v>
      </c>
      <c r="F14" t="s">
        <v>23</v>
      </c>
      <c r="G14">
        <v>1</v>
      </c>
      <c r="H14">
        <v>9791159284984</v>
      </c>
      <c r="I14" t="s">
        <v>24</v>
      </c>
      <c r="J14" t="s">
        <v>50</v>
      </c>
      <c r="K14" t="s">
        <v>47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  <c r="V14" s="7" t="s">
        <v>24</v>
      </c>
      <c r="W14" s="7" t="s">
        <v>47</v>
      </c>
    </row>
    <row r="15" spans="1:23" x14ac:dyDescent="0.4">
      <c r="A15" t="s">
        <v>262</v>
      </c>
      <c r="B15" t="s">
        <v>1953</v>
      </c>
      <c r="C15" t="s">
        <v>1990</v>
      </c>
      <c r="D15" t="s">
        <v>64</v>
      </c>
      <c r="E15" t="s">
        <v>22</v>
      </c>
      <c r="F15" t="s">
        <v>23</v>
      </c>
      <c r="G15">
        <v>1</v>
      </c>
      <c r="H15">
        <v>9791159284991</v>
      </c>
      <c r="I15" t="s">
        <v>24</v>
      </c>
      <c r="J15" t="s">
        <v>51</v>
      </c>
      <c r="K15" t="s">
        <v>47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  <c r="V15" s="7" t="s">
        <v>24</v>
      </c>
      <c r="W15" s="7" t="s">
        <v>47</v>
      </c>
    </row>
    <row r="16" spans="1:23" x14ac:dyDescent="0.4">
      <c r="A16" t="s">
        <v>262</v>
      </c>
      <c r="B16" t="s">
        <v>2017</v>
      </c>
      <c r="C16" t="s">
        <v>2023</v>
      </c>
      <c r="D16" t="s">
        <v>64</v>
      </c>
      <c r="E16" t="s">
        <v>22</v>
      </c>
      <c r="F16" t="s">
        <v>23</v>
      </c>
      <c r="G16">
        <v>1</v>
      </c>
      <c r="H16">
        <v>9791159285004</v>
      </c>
      <c r="I16" t="s">
        <v>24</v>
      </c>
      <c r="J16" t="s">
        <v>53</v>
      </c>
      <c r="K16" t="s">
        <v>47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7" t="s">
        <v>24</v>
      </c>
      <c r="W16" s="7" t="s">
        <v>47</v>
      </c>
    </row>
    <row r="17" spans="1:23" x14ac:dyDescent="0.4">
      <c r="A17" t="s">
        <v>262</v>
      </c>
      <c r="B17" t="s">
        <v>2017</v>
      </c>
      <c r="C17" t="s">
        <v>2044</v>
      </c>
      <c r="D17" t="s">
        <v>64</v>
      </c>
      <c r="E17" t="s">
        <v>22</v>
      </c>
      <c r="F17" t="s">
        <v>23</v>
      </c>
      <c r="G17">
        <v>1</v>
      </c>
      <c r="H17">
        <v>9791159285011</v>
      </c>
      <c r="I17" t="s">
        <v>24</v>
      </c>
      <c r="J17" t="s">
        <v>54</v>
      </c>
      <c r="K17" t="s">
        <v>47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  <c r="V17" s="7" t="s">
        <v>24</v>
      </c>
      <c r="W17" s="7" t="s">
        <v>47</v>
      </c>
    </row>
    <row r="18" spans="1:23" x14ac:dyDescent="0.4">
      <c r="A18" t="s">
        <v>262</v>
      </c>
      <c r="B18" t="s">
        <v>2075</v>
      </c>
      <c r="C18" t="s">
        <v>2089</v>
      </c>
      <c r="D18" t="s">
        <v>64</v>
      </c>
      <c r="E18" t="s">
        <v>22</v>
      </c>
      <c r="F18" t="s">
        <v>23</v>
      </c>
      <c r="G18">
        <v>1</v>
      </c>
      <c r="H18">
        <v>9791159284953</v>
      </c>
      <c r="I18" t="s">
        <v>24</v>
      </c>
      <c r="J18" t="s">
        <v>46</v>
      </c>
      <c r="K18" t="s">
        <v>47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  <c r="V18" s="7" t="s">
        <v>24</v>
      </c>
      <c r="W18" s="7" t="s">
        <v>47</v>
      </c>
    </row>
    <row r="19" spans="1:23" x14ac:dyDescent="0.4">
      <c r="A19" t="s">
        <v>262</v>
      </c>
      <c r="B19" t="s">
        <v>2075</v>
      </c>
      <c r="C19" t="s">
        <v>2101</v>
      </c>
      <c r="D19" t="s">
        <v>64</v>
      </c>
      <c r="E19" t="s">
        <v>22</v>
      </c>
      <c r="F19" t="s">
        <v>23</v>
      </c>
      <c r="G19">
        <v>1</v>
      </c>
      <c r="H19">
        <v>9791159285028</v>
      </c>
      <c r="I19" t="s">
        <v>24</v>
      </c>
      <c r="J19" t="s">
        <v>56</v>
      </c>
      <c r="K19" t="s">
        <v>47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7" t="s">
        <v>24</v>
      </c>
      <c r="W19" s="7" t="s">
        <v>47</v>
      </c>
    </row>
    <row r="20" spans="1:23" x14ac:dyDescent="0.4">
      <c r="A20" t="s">
        <v>262</v>
      </c>
      <c r="B20" t="s">
        <v>2075</v>
      </c>
      <c r="C20" t="s">
        <v>2132</v>
      </c>
      <c r="D20" t="s">
        <v>64</v>
      </c>
      <c r="E20" t="s">
        <v>22</v>
      </c>
      <c r="F20" t="s">
        <v>23</v>
      </c>
      <c r="G20">
        <v>1</v>
      </c>
      <c r="H20">
        <v>9791159284953</v>
      </c>
      <c r="I20" t="s">
        <v>24</v>
      </c>
      <c r="J20" t="s">
        <v>46</v>
      </c>
      <c r="K20" t="s">
        <v>47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  <c r="V20" s="7" t="s">
        <v>24</v>
      </c>
      <c r="W20" s="7" t="s">
        <v>47</v>
      </c>
    </row>
    <row r="21" spans="1:23" x14ac:dyDescent="0.4">
      <c r="A21" t="s">
        <v>262</v>
      </c>
      <c r="B21" t="s">
        <v>2075</v>
      </c>
      <c r="C21" t="s">
        <v>2142</v>
      </c>
      <c r="D21" t="s">
        <v>64</v>
      </c>
      <c r="E21" t="s">
        <v>22</v>
      </c>
      <c r="F21" t="s">
        <v>23</v>
      </c>
      <c r="G21">
        <v>1</v>
      </c>
      <c r="H21">
        <v>9791159284960</v>
      </c>
      <c r="I21" t="s">
        <v>24</v>
      </c>
      <c r="J21" t="s">
        <v>48</v>
      </c>
      <c r="K21" t="s">
        <v>47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  <c r="V21" s="7" t="s">
        <v>24</v>
      </c>
      <c r="W21" s="7" t="s">
        <v>47</v>
      </c>
    </row>
    <row r="22" spans="1:23" x14ac:dyDescent="0.4">
      <c r="A22" t="s">
        <v>262</v>
      </c>
      <c r="B22" t="s">
        <v>2075</v>
      </c>
      <c r="C22" t="s">
        <v>2158</v>
      </c>
      <c r="D22" t="s">
        <v>64</v>
      </c>
      <c r="E22" t="s">
        <v>22</v>
      </c>
      <c r="F22" t="s">
        <v>23</v>
      </c>
      <c r="G22">
        <v>1</v>
      </c>
      <c r="H22">
        <v>9791159284960</v>
      </c>
      <c r="I22" t="s">
        <v>24</v>
      </c>
      <c r="J22" t="s">
        <v>48</v>
      </c>
      <c r="K22" t="s">
        <v>47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  <c r="V22" s="7" t="s">
        <v>24</v>
      </c>
      <c r="W22" s="7" t="s">
        <v>47</v>
      </c>
    </row>
    <row r="23" spans="1:23" x14ac:dyDescent="0.4">
      <c r="A23" t="s">
        <v>262</v>
      </c>
      <c r="B23" t="s">
        <v>2159</v>
      </c>
      <c r="C23" t="s">
        <v>2160</v>
      </c>
      <c r="D23" t="s">
        <v>64</v>
      </c>
      <c r="E23" t="s">
        <v>22</v>
      </c>
      <c r="F23" t="s">
        <v>23</v>
      </c>
      <c r="G23">
        <v>1</v>
      </c>
      <c r="H23">
        <v>9791159285035</v>
      </c>
      <c r="I23" t="s">
        <v>24</v>
      </c>
      <c r="J23" t="s">
        <v>59</v>
      </c>
      <c r="K23" t="s">
        <v>47</v>
      </c>
      <c r="L23" t="s">
        <v>27</v>
      </c>
      <c r="M23">
        <v>630</v>
      </c>
      <c r="N23" t="s">
        <v>27</v>
      </c>
      <c r="O23">
        <v>630</v>
      </c>
      <c r="P23">
        <v>630</v>
      </c>
      <c r="Q23" t="s">
        <v>30</v>
      </c>
      <c r="R23" s="2">
        <v>0.7</v>
      </c>
      <c r="S23">
        <v>441</v>
      </c>
      <c r="T23" t="s">
        <v>27</v>
      </c>
      <c r="U23">
        <v>441</v>
      </c>
      <c r="V23" s="7" t="s">
        <v>24</v>
      </c>
      <c r="W23" s="7" t="s">
        <v>47</v>
      </c>
    </row>
    <row r="24" spans="1:23" x14ac:dyDescent="0.4">
      <c r="A24" t="s">
        <v>262</v>
      </c>
      <c r="B24" t="s">
        <v>2159</v>
      </c>
      <c r="C24" t="s">
        <v>2197</v>
      </c>
      <c r="D24" t="s">
        <v>64</v>
      </c>
      <c r="E24" t="s">
        <v>22</v>
      </c>
      <c r="F24" t="s">
        <v>23</v>
      </c>
      <c r="G24">
        <v>1</v>
      </c>
      <c r="H24">
        <v>9791159284977</v>
      </c>
      <c r="I24" t="s">
        <v>24</v>
      </c>
      <c r="J24" t="s">
        <v>49</v>
      </c>
      <c r="K24" t="s">
        <v>47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2">
        <v>0.7</v>
      </c>
      <c r="S24">
        <v>441</v>
      </c>
      <c r="T24" t="s">
        <v>27</v>
      </c>
      <c r="U24">
        <v>441</v>
      </c>
      <c r="V24" s="7" t="s">
        <v>24</v>
      </c>
      <c r="W24" s="7" t="s">
        <v>47</v>
      </c>
    </row>
    <row r="25" spans="1:23" x14ac:dyDescent="0.4">
      <c r="A25" t="s">
        <v>262</v>
      </c>
      <c r="B25" t="s">
        <v>2236</v>
      </c>
      <c r="C25" t="s">
        <v>2242</v>
      </c>
      <c r="D25" t="s">
        <v>64</v>
      </c>
      <c r="E25" t="s">
        <v>22</v>
      </c>
      <c r="F25" t="s">
        <v>23</v>
      </c>
      <c r="G25">
        <v>1</v>
      </c>
      <c r="H25">
        <v>9791159284984</v>
      </c>
      <c r="I25" t="s">
        <v>24</v>
      </c>
      <c r="J25" t="s">
        <v>50</v>
      </c>
      <c r="K25" t="s">
        <v>47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  <c r="V25" s="7" t="s">
        <v>24</v>
      </c>
      <c r="W25" s="7" t="s">
        <v>47</v>
      </c>
    </row>
    <row r="26" spans="1:23" x14ac:dyDescent="0.4">
      <c r="A26" t="s">
        <v>262</v>
      </c>
      <c r="B26" t="s">
        <v>2236</v>
      </c>
      <c r="C26" t="s">
        <v>2306</v>
      </c>
      <c r="D26" t="s">
        <v>64</v>
      </c>
      <c r="E26" t="s">
        <v>22</v>
      </c>
      <c r="F26" t="s">
        <v>23</v>
      </c>
      <c r="G26">
        <v>1</v>
      </c>
      <c r="H26">
        <v>9791159285004</v>
      </c>
      <c r="I26" t="s">
        <v>24</v>
      </c>
      <c r="J26" t="s">
        <v>53</v>
      </c>
      <c r="K26" t="s">
        <v>47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  <c r="V26" s="7" t="s">
        <v>24</v>
      </c>
      <c r="W26" s="7" t="s">
        <v>47</v>
      </c>
    </row>
    <row r="27" spans="1:23" x14ac:dyDescent="0.4">
      <c r="A27" t="s">
        <v>262</v>
      </c>
      <c r="B27" t="s">
        <v>2308</v>
      </c>
      <c r="C27" t="s">
        <v>2347</v>
      </c>
      <c r="D27" t="s">
        <v>64</v>
      </c>
      <c r="E27" t="s">
        <v>22</v>
      </c>
      <c r="F27" t="s">
        <v>23</v>
      </c>
      <c r="G27">
        <v>1</v>
      </c>
      <c r="H27">
        <v>9791159284953</v>
      </c>
      <c r="I27" t="s">
        <v>24</v>
      </c>
      <c r="J27" t="s">
        <v>46</v>
      </c>
      <c r="K27" t="s">
        <v>47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  <c r="V27" s="7" t="s">
        <v>24</v>
      </c>
      <c r="W27" s="7" t="s">
        <v>47</v>
      </c>
    </row>
    <row r="28" spans="1:23" x14ac:dyDescent="0.4">
      <c r="A28" t="s">
        <v>262</v>
      </c>
      <c r="B28" t="s">
        <v>2308</v>
      </c>
      <c r="C28" t="s">
        <v>2361</v>
      </c>
      <c r="D28" t="s">
        <v>64</v>
      </c>
      <c r="E28" t="s">
        <v>22</v>
      </c>
      <c r="F28" t="s">
        <v>23</v>
      </c>
      <c r="G28">
        <v>1</v>
      </c>
      <c r="H28">
        <v>9791159284977</v>
      </c>
      <c r="I28" t="s">
        <v>24</v>
      </c>
      <c r="J28" t="s">
        <v>49</v>
      </c>
      <c r="K28" t="s">
        <v>47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  <c r="V28" s="7" t="s">
        <v>24</v>
      </c>
      <c r="W28" s="7" t="s">
        <v>47</v>
      </c>
    </row>
    <row r="29" spans="1:23" x14ac:dyDescent="0.4">
      <c r="A29" t="s">
        <v>262</v>
      </c>
      <c r="B29" t="s">
        <v>2308</v>
      </c>
      <c r="C29" t="s">
        <v>2383</v>
      </c>
      <c r="D29" t="s">
        <v>64</v>
      </c>
      <c r="E29" t="s">
        <v>22</v>
      </c>
      <c r="F29" t="s">
        <v>23</v>
      </c>
      <c r="G29">
        <v>1</v>
      </c>
      <c r="H29">
        <v>9791159284960</v>
      </c>
      <c r="I29" t="s">
        <v>24</v>
      </c>
      <c r="J29" t="s">
        <v>48</v>
      </c>
      <c r="K29" t="s">
        <v>47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  <c r="V29" s="7" t="s">
        <v>24</v>
      </c>
      <c r="W29" s="7" t="s">
        <v>47</v>
      </c>
    </row>
    <row r="30" spans="1:23" x14ac:dyDescent="0.4">
      <c r="A30" t="s">
        <v>262</v>
      </c>
      <c r="B30" t="s">
        <v>2394</v>
      </c>
      <c r="C30" t="s">
        <v>2402</v>
      </c>
      <c r="D30" t="s">
        <v>64</v>
      </c>
      <c r="E30" t="s">
        <v>22</v>
      </c>
      <c r="F30" t="s">
        <v>23</v>
      </c>
      <c r="G30">
        <v>1</v>
      </c>
      <c r="H30">
        <v>9791159284984</v>
      </c>
      <c r="I30" t="s">
        <v>24</v>
      </c>
      <c r="J30" t="s">
        <v>50</v>
      </c>
      <c r="K30" t="s">
        <v>47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  <c r="V30" s="7" t="s">
        <v>24</v>
      </c>
      <c r="W30" s="7" t="s">
        <v>47</v>
      </c>
    </row>
    <row r="31" spans="1:23" x14ac:dyDescent="0.4">
      <c r="A31" t="s">
        <v>262</v>
      </c>
      <c r="B31" t="s">
        <v>2394</v>
      </c>
      <c r="C31" t="s">
        <v>2436</v>
      </c>
      <c r="D31" t="s">
        <v>64</v>
      </c>
      <c r="E31" t="s">
        <v>22</v>
      </c>
      <c r="F31" t="s">
        <v>23</v>
      </c>
      <c r="G31">
        <v>1</v>
      </c>
      <c r="H31">
        <v>9791159284977</v>
      </c>
      <c r="I31" t="s">
        <v>24</v>
      </c>
      <c r="J31" t="s">
        <v>49</v>
      </c>
      <c r="K31" t="s">
        <v>47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  <c r="V31" s="7" t="s">
        <v>24</v>
      </c>
      <c r="W31" s="7" t="s">
        <v>47</v>
      </c>
    </row>
    <row r="32" spans="1:23" x14ac:dyDescent="0.4">
      <c r="A32" t="s">
        <v>262</v>
      </c>
      <c r="B32" t="s">
        <v>2394</v>
      </c>
      <c r="C32" t="s">
        <v>2469</v>
      </c>
      <c r="D32" t="s">
        <v>64</v>
      </c>
      <c r="E32" t="s">
        <v>22</v>
      </c>
      <c r="F32" t="s">
        <v>23</v>
      </c>
      <c r="G32">
        <v>1</v>
      </c>
      <c r="H32">
        <v>9791159284984</v>
      </c>
      <c r="I32" t="s">
        <v>24</v>
      </c>
      <c r="J32" t="s">
        <v>50</v>
      </c>
      <c r="K32" t="s">
        <v>47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7" t="s">
        <v>24</v>
      </c>
      <c r="W32" s="7" t="s">
        <v>47</v>
      </c>
    </row>
    <row r="33" spans="1:23" x14ac:dyDescent="0.4">
      <c r="A33" t="s">
        <v>262</v>
      </c>
      <c r="B33" t="s">
        <v>262</v>
      </c>
      <c r="C33" t="s">
        <v>2474</v>
      </c>
      <c r="D33" t="s">
        <v>64</v>
      </c>
      <c r="E33" t="s">
        <v>22</v>
      </c>
      <c r="F33" t="s">
        <v>23</v>
      </c>
      <c r="G33">
        <v>1</v>
      </c>
      <c r="H33">
        <v>9791159284984</v>
      </c>
      <c r="I33" t="s">
        <v>24</v>
      </c>
      <c r="J33" t="s">
        <v>50</v>
      </c>
      <c r="K33" t="s">
        <v>47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  <c r="V33" s="7" t="s">
        <v>24</v>
      </c>
      <c r="W33" s="7" t="s">
        <v>47</v>
      </c>
    </row>
    <row r="34" spans="1:23" x14ac:dyDescent="0.4">
      <c r="A34" t="s">
        <v>262</v>
      </c>
      <c r="B34" t="s">
        <v>262</v>
      </c>
      <c r="C34" t="s">
        <v>2503</v>
      </c>
      <c r="D34" t="s">
        <v>64</v>
      </c>
      <c r="E34" t="s">
        <v>22</v>
      </c>
      <c r="F34" t="s">
        <v>23</v>
      </c>
      <c r="G34">
        <v>1</v>
      </c>
      <c r="H34">
        <v>9791159284991</v>
      </c>
      <c r="I34" t="s">
        <v>24</v>
      </c>
      <c r="J34" t="s">
        <v>51</v>
      </c>
      <c r="K34" t="s">
        <v>47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  <c r="V34" s="7" t="s">
        <v>24</v>
      </c>
      <c r="W34" s="7" t="s">
        <v>47</v>
      </c>
    </row>
    <row r="35" spans="1:23" x14ac:dyDescent="0.4">
      <c r="A35" t="s">
        <v>262</v>
      </c>
      <c r="B35" t="s">
        <v>262</v>
      </c>
      <c r="C35" t="s">
        <v>2506</v>
      </c>
      <c r="D35" t="s">
        <v>64</v>
      </c>
      <c r="E35" t="s">
        <v>22</v>
      </c>
      <c r="F35" t="s">
        <v>23</v>
      </c>
      <c r="G35">
        <v>1</v>
      </c>
      <c r="H35">
        <v>9791159284977</v>
      </c>
      <c r="I35" t="s">
        <v>24</v>
      </c>
      <c r="J35" t="s">
        <v>49</v>
      </c>
      <c r="K35" t="s">
        <v>47</v>
      </c>
      <c r="L35" t="s">
        <v>27</v>
      </c>
      <c r="M35">
        <v>630</v>
      </c>
      <c r="N35" t="s">
        <v>27</v>
      </c>
      <c r="O35">
        <v>630</v>
      </c>
      <c r="P35">
        <v>630</v>
      </c>
      <c r="Q35" t="s">
        <v>30</v>
      </c>
      <c r="R35" s="2">
        <v>0.7</v>
      </c>
      <c r="S35">
        <v>441</v>
      </c>
      <c r="T35" t="s">
        <v>27</v>
      </c>
      <c r="U35">
        <v>441</v>
      </c>
      <c r="V35" s="7" t="s">
        <v>24</v>
      </c>
      <c r="W35" s="7" t="s">
        <v>47</v>
      </c>
    </row>
    <row r="36" spans="1:23" x14ac:dyDescent="0.4">
      <c r="A36" t="s">
        <v>262</v>
      </c>
      <c r="B36" t="s">
        <v>262</v>
      </c>
      <c r="C36" t="s">
        <v>2514</v>
      </c>
      <c r="D36" t="s">
        <v>64</v>
      </c>
      <c r="E36" t="s">
        <v>22</v>
      </c>
      <c r="F36" t="s">
        <v>23</v>
      </c>
      <c r="G36">
        <v>1</v>
      </c>
      <c r="H36">
        <v>9791159284953</v>
      </c>
      <c r="I36" t="s">
        <v>24</v>
      </c>
      <c r="J36" t="s">
        <v>46</v>
      </c>
      <c r="K36" t="s">
        <v>47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  <c r="V36" s="7" t="s">
        <v>24</v>
      </c>
      <c r="W36" s="7" t="s">
        <v>47</v>
      </c>
    </row>
    <row r="37" spans="1:23" x14ac:dyDescent="0.4">
      <c r="A37" t="s">
        <v>262</v>
      </c>
      <c r="B37" t="s">
        <v>262</v>
      </c>
      <c r="C37" t="s">
        <v>2518</v>
      </c>
      <c r="D37" t="s">
        <v>64</v>
      </c>
      <c r="E37" t="s">
        <v>22</v>
      </c>
      <c r="F37" t="s">
        <v>23</v>
      </c>
      <c r="G37">
        <v>1</v>
      </c>
      <c r="H37">
        <v>9791159284991</v>
      </c>
      <c r="I37" t="s">
        <v>24</v>
      </c>
      <c r="J37" t="s">
        <v>51</v>
      </c>
      <c r="K37" t="s">
        <v>47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  <c r="V37" s="7" t="s">
        <v>24</v>
      </c>
      <c r="W37" s="7" t="s">
        <v>47</v>
      </c>
    </row>
    <row r="38" spans="1:23" x14ac:dyDescent="0.4">
      <c r="A38" t="s">
        <v>262</v>
      </c>
      <c r="B38" t="s">
        <v>262</v>
      </c>
      <c r="C38" t="s">
        <v>2546</v>
      </c>
      <c r="D38" t="s">
        <v>64</v>
      </c>
      <c r="E38" t="s">
        <v>22</v>
      </c>
      <c r="F38" t="s">
        <v>23</v>
      </c>
      <c r="G38">
        <v>1</v>
      </c>
      <c r="H38">
        <v>9791159284960</v>
      </c>
      <c r="I38" t="s">
        <v>24</v>
      </c>
      <c r="J38" t="s">
        <v>48</v>
      </c>
      <c r="K38" t="s">
        <v>47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  <c r="V38" s="7" t="s">
        <v>24</v>
      </c>
      <c r="W38" s="7" t="s">
        <v>47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1.8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3" width="8.5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481</v>
      </c>
      <c r="C2" t="s">
        <v>514</v>
      </c>
      <c r="D2" t="s">
        <v>21</v>
      </c>
      <c r="E2" t="s">
        <v>22</v>
      </c>
      <c r="F2" t="s">
        <v>23</v>
      </c>
      <c r="G2">
        <v>1</v>
      </c>
      <c r="H2">
        <v>9791166483233</v>
      </c>
      <c r="I2" t="s">
        <v>143</v>
      </c>
      <c r="J2" t="s">
        <v>515</v>
      </c>
      <c r="K2" t="s">
        <v>516</v>
      </c>
      <c r="L2" t="s">
        <v>27</v>
      </c>
      <c r="M2" s="3">
        <v>3000</v>
      </c>
      <c r="N2" t="s">
        <v>27</v>
      </c>
      <c r="O2" s="3">
        <v>3000</v>
      </c>
      <c r="P2" s="3">
        <v>3000</v>
      </c>
      <c r="Q2" t="s">
        <v>30</v>
      </c>
      <c r="R2" s="2">
        <v>0.7</v>
      </c>
      <c r="S2" s="3">
        <v>2100</v>
      </c>
      <c r="T2" t="s">
        <v>27</v>
      </c>
      <c r="U2" s="3">
        <v>2100</v>
      </c>
      <c r="V2" s="7" t="s">
        <v>2558</v>
      </c>
      <c r="W2" s="7" t="s">
        <v>2558</v>
      </c>
    </row>
    <row r="3" spans="1:23" x14ac:dyDescent="0.4">
      <c r="A3" t="s">
        <v>262</v>
      </c>
      <c r="B3" t="s">
        <v>481</v>
      </c>
      <c r="C3" t="s">
        <v>517</v>
      </c>
      <c r="D3" t="s">
        <v>21</v>
      </c>
      <c r="E3" t="s">
        <v>22</v>
      </c>
      <c r="F3" t="s">
        <v>23</v>
      </c>
      <c r="G3">
        <v>1</v>
      </c>
      <c r="H3">
        <v>9791166483240</v>
      </c>
      <c r="I3" t="s">
        <v>143</v>
      </c>
      <c r="J3" t="s">
        <v>518</v>
      </c>
      <c r="K3" t="s">
        <v>516</v>
      </c>
      <c r="L3" t="s">
        <v>27</v>
      </c>
      <c r="M3" s="3">
        <v>3000</v>
      </c>
      <c r="N3" t="s">
        <v>27</v>
      </c>
      <c r="O3" s="3">
        <v>3000</v>
      </c>
      <c r="P3" s="3">
        <v>3000</v>
      </c>
      <c r="Q3" t="s">
        <v>30</v>
      </c>
      <c r="R3" s="2">
        <v>0.7</v>
      </c>
      <c r="S3" s="3">
        <v>2100</v>
      </c>
      <c r="T3" t="s">
        <v>27</v>
      </c>
      <c r="U3" s="3">
        <v>2100</v>
      </c>
      <c r="V3" s="7" t="s">
        <v>2558</v>
      </c>
      <c r="W3" s="7" t="s">
        <v>2558</v>
      </c>
    </row>
    <row r="4" spans="1:23" x14ac:dyDescent="0.4">
      <c r="A4" t="s">
        <v>262</v>
      </c>
      <c r="B4" t="s">
        <v>481</v>
      </c>
      <c r="C4" t="s">
        <v>519</v>
      </c>
      <c r="D4" t="s">
        <v>21</v>
      </c>
      <c r="E4" t="s">
        <v>22</v>
      </c>
      <c r="F4" t="s">
        <v>23</v>
      </c>
      <c r="G4">
        <v>1</v>
      </c>
      <c r="H4">
        <v>9791166483257</v>
      </c>
      <c r="I4" t="s">
        <v>143</v>
      </c>
      <c r="J4" t="s">
        <v>520</v>
      </c>
      <c r="K4" t="s">
        <v>516</v>
      </c>
      <c r="L4" t="s">
        <v>27</v>
      </c>
      <c r="M4">
        <v>300</v>
      </c>
      <c r="N4" t="s">
        <v>27</v>
      </c>
      <c r="O4">
        <v>300</v>
      </c>
      <c r="P4">
        <v>300</v>
      </c>
      <c r="Q4" t="s">
        <v>30</v>
      </c>
      <c r="R4" s="2">
        <v>0.7</v>
      </c>
      <c r="S4">
        <v>210</v>
      </c>
      <c r="T4" t="s">
        <v>27</v>
      </c>
      <c r="U4">
        <v>210</v>
      </c>
      <c r="V4" s="7" t="s">
        <v>2558</v>
      </c>
      <c r="W4" s="7" t="s">
        <v>2558</v>
      </c>
    </row>
    <row r="5" spans="1:23" x14ac:dyDescent="0.4">
      <c r="A5" t="s">
        <v>262</v>
      </c>
      <c r="B5" t="s">
        <v>899</v>
      </c>
      <c r="C5" t="s">
        <v>977</v>
      </c>
      <c r="D5" t="s">
        <v>21</v>
      </c>
      <c r="E5" t="s">
        <v>22</v>
      </c>
      <c r="F5" t="s">
        <v>23</v>
      </c>
      <c r="G5">
        <v>1</v>
      </c>
      <c r="H5">
        <v>9791166481871</v>
      </c>
      <c r="I5" t="s">
        <v>199</v>
      </c>
      <c r="J5" t="s">
        <v>978</v>
      </c>
      <c r="K5" t="s">
        <v>979</v>
      </c>
      <c r="L5" t="s">
        <v>27</v>
      </c>
      <c r="M5" s="3">
        <v>2800</v>
      </c>
      <c r="N5" t="s">
        <v>27</v>
      </c>
      <c r="O5" s="3">
        <v>2800</v>
      </c>
      <c r="P5" s="3">
        <v>2800</v>
      </c>
      <c r="Q5" t="s">
        <v>30</v>
      </c>
      <c r="R5" s="2">
        <v>0.7</v>
      </c>
      <c r="S5" s="3">
        <v>1960</v>
      </c>
      <c r="T5" t="s">
        <v>27</v>
      </c>
      <c r="U5" s="3">
        <v>1960</v>
      </c>
      <c r="V5" s="7" t="s">
        <v>2558</v>
      </c>
      <c r="W5" s="7" t="s">
        <v>2558</v>
      </c>
    </row>
    <row r="6" spans="1:23" x14ac:dyDescent="0.4">
      <c r="A6" t="s">
        <v>262</v>
      </c>
      <c r="B6" t="s">
        <v>899</v>
      </c>
      <c r="C6" t="s">
        <v>977</v>
      </c>
      <c r="D6" t="s">
        <v>21</v>
      </c>
      <c r="E6" t="s">
        <v>22</v>
      </c>
      <c r="F6" t="s">
        <v>23</v>
      </c>
      <c r="G6">
        <v>1</v>
      </c>
      <c r="H6">
        <v>9791166481888</v>
      </c>
      <c r="I6" t="s">
        <v>199</v>
      </c>
      <c r="J6" t="s">
        <v>980</v>
      </c>
      <c r="K6" t="s">
        <v>979</v>
      </c>
      <c r="L6" t="s">
        <v>27</v>
      </c>
      <c r="M6" s="3">
        <v>2800</v>
      </c>
      <c r="N6" t="s">
        <v>27</v>
      </c>
      <c r="O6" s="3">
        <v>2800</v>
      </c>
      <c r="P6" s="3">
        <v>2800</v>
      </c>
      <c r="Q6" t="s">
        <v>30</v>
      </c>
      <c r="R6" s="2">
        <v>0.7</v>
      </c>
      <c r="S6" s="3">
        <v>1960</v>
      </c>
      <c r="T6" t="s">
        <v>27</v>
      </c>
      <c r="U6" s="3">
        <v>1960</v>
      </c>
      <c r="V6" s="7" t="s">
        <v>2558</v>
      </c>
      <c r="W6" s="7" t="s">
        <v>2558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5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7.199218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0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481</v>
      </c>
      <c r="C2" t="s">
        <v>562</v>
      </c>
      <c r="D2" t="s">
        <v>21</v>
      </c>
      <c r="E2" t="s">
        <v>22</v>
      </c>
      <c r="F2" t="s">
        <v>23</v>
      </c>
      <c r="G2">
        <v>1</v>
      </c>
      <c r="H2">
        <v>9791189084813</v>
      </c>
      <c r="I2" t="s">
        <v>143</v>
      </c>
      <c r="J2" t="s">
        <v>563</v>
      </c>
      <c r="K2" t="s">
        <v>564</v>
      </c>
      <c r="L2" t="s">
        <v>27</v>
      </c>
      <c r="M2" s="3">
        <v>4000</v>
      </c>
      <c r="N2" t="s">
        <v>27</v>
      </c>
      <c r="O2" s="3">
        <v>4000</v>
      </c>
      <c r="P2" s="3">
        <v>4000</v>
      </c>
      <c r="Q2" t="s">
        <v>30</v>
      </c>
      <c r="R2" s="2">
        <v>0.7</v>
      </c>
      <c r="S2" s="3">
        <v>2800</v>
      </c>
      <c r="T2" t="s">
        <v>27</v>
      </c>
      <c r="U2" s="3">
        <v>2800</v>
      </c>
      <c r="V2" s="7" t="s">
        <v>24</v>
      </c>
      <c r="W2" s="7" t="s">
        <v>564</v>
      </c>
    </row>
    <row r="3" spans="1:23" x14ac:dyDescent="0.4">
      <c r="A3" t="s">
        <v>262</v>
      </c>
      <c r="B3" t="s">
        <v>722</v>
      </c>
      <c r="C3" t="s">
        <v>761</v>
      </c>
      <c r="D3" t="s">
        <v>21</v>
      </c>
      <c r="E3" t="s">
        <v>22</v>
      </c>
      <c r="F3" t="s">
        <v>23</v>
      </c>
      <c r="G3">
        <v>1</v>
      </c>
      <c r="H3">
        <v>9791189084813</v>
      </c>
      <c r="I3" t="s">
        <v>143</v>
      </c>
      <c r="J3" t="s">
        <v>563</v>
      </c>
      <c r="K3" t="s">
        <v>564</v>
      </c>
      <c r="L3" t="s">
        <v>27</v>
      </c>
      <c r="M3" s="3">
        <v>4000</v>
      </c>
      <c r="N3" t="s">
        <v>27</v>
      </c>
      <c r="O3" s="3">
        <v>4000</v>
      </c>
      <c r="P3" s="3">
        <v>4000</v>
      </c>
      <c r="Q3" t="s">
        <v>30</v>
      </c>
      <c r="R3" s="2">
        <v>0.7</v>
      </c>
      <c r="S3" s="3">
        <v>2800</v>
      </c>
      <c r="T3" t="s">
        <v>27</v>
      </c>
      <c r="U3" s="3">
        <v>2800</v>
      </c>
      <c r="V3" s="7" t="s">
        <v>24</v>
      </c>
      <c r="W3" s="7" t="s">
        <v>564</v>
      </c>
    </row>
    <row r="4" spans="1:23" x14ac:dyDescent="0.4">
      <c r="A4" t="s">
        <v>262</v>
      </c>
      <c r="B4" t="s">
        <v>810</v>
      </c>
      <c r="C4" t="s">
        <v>892</v>
      </c>
      <c r="D4" t="s">
        <v>21</v>
      </c>
      <c r="E4" t="s">
        <v>22</v>
      </c>
      <c r="F4" t="s">
        <v>23</v>
      </c>
      <c r="G4">
        <v>1</v>
      </c>
      <c r="H4">
        <v>9791189084813</v>
      </c>
      <c r="I4" t="s">
        <v>143</v>
      </c>
      <c r="J4" t="s">
        <v>563</v>
      </c>
      <c r="K4" t="s">
        <v>564</v>
      </c>
      <c r="L4" t="s">
        <v>27</v>
      </c>
      <c r="M4" s="3">
        <v>4000</v>
      </c>
      <c r="N4" t="s">
        <v>27</v>
      </c>
      <c r="O4" s="3">
        <v>4000</v>
      </c>
      <c r="P4" s="3">
        <v>4000</v>
      </c>
      <c r="Q4" t="s">
        <v>30</v>
      </c>
      <c r="R4" s="2">
        <v>0.7</v>
      </c>
      <c r="S4" s="3">
        <v>2800</v>
      </c>
      <c r="T4" t="s">
        <v>27</v>
      </c>
      <c r="U4" s="3">
        <v>2800</v>
      </c>
      <c r="V4" s="7" t="s">
        <v>24</v>
      </c>
      <c r="W4" s="7" t="s">
        <v>564</v>
      </c>
    </row>
    <row r="5" spans="1:23" x14ac:dyDescent="0.4">
      <c r="A5" t="s">
        <v>262</v>
      </c>
      <c r="B5" t="s">
        <v>899</v>
      </c>
      <c r="C5" t="s">
        <v>943</v>
      </c>
      <c r="D5" t="s">
        <v>21</v>
      </c>
      <c r="E5" t="s">
        <v>22</v>
      </c>
      <c r="F5" t="s">
        <v>23</v>
      </c>
      <c r="G5">
        <v>1</v>
      </c>
      <c r="H5">
        <v>9791189084813</v>
      </c>
      <c r="I5" t="s">
        <v>143</v>
      </c>
      <c r="J5" t="s">
        <v>563</v>
      </c>
      <c r="K5" t="s">
        <v>564</v>
      </c>
      <c r="L5" t="s">
        <v>27</v>
      </c>
      <c r="M5" s="3">
        <v>4000</v>
      </c>
      <c r="N5" t="s">
        <v>27</v>
      </c>
      <c r="O5" s="3">
        <v>4000</v>
      </c>
      <c r="P5" s="3">
        <v>4000</v>
      </c>
      <c r="Q5" t="s">
        <v>30</v>
      </c>
      <c r="R5" s="2">
        <v>0.7</v>
      </c>
      <c r="S5" s="3">
        <v>2800</v>
      </c>
      <c r="T5" t="s">
        <v>27</v>
      </c>
      <c r="U5" s="3">
        <v>2800</v>
      </c>
      <c r="V5" s="7" t="s">
        <v>24</v>
      </c>
      <c r="W5" s="7" t="s">
        <v>564</v>
      </c>
    </row>
    <row r="6" spans="1:23" x14ac:dyDescent="0.4">
      <c r="A6" t="s">
        <v>262</v>
      </c>
      <c r="B6" t="s">
        <v>1121</v>
      </c>
      <c r="C6" t="s">
        <v>1148</v>
      </c>
      <c r="D6" t="s">
        <v>21</v>
      </c>
      <c r="E6" t="s">
        <v>22</v>
      </c>
      <c r="F6" t="s">
        <v>23</v>
      </c>
      <c r="G6">
        <v>1</v>
      </c>
      <c r="H6">
        <v>9791189084813</v>
      </c>
      <c r="I6" t="s">
        <v>143</v>
      </c>
      <c r="J6" t="s">
        <v>563</v>
      </c>
      <c r="K6" t="s">
        <v>564</v>
      </c>
      <c r="L6" t="s">
        <v>27</v>
      </c>
      <c r="M6" s="3">
        <v>4000</v>
      </c>
      <c r="N6" t="s">
        <v>27</v>
      </c>
      <c r="O6" s="3">
        <v>4000</v>
      </c>
      <c r="P6" s="3">
        <v>4000</v>
      </c>
      <c r="Q6" t="s">
        <v>30</v>
      </c>
      <c r="R6" s="2">
        <v>0.7</v>
      </c>
      <c r="S6" s="3">
        <v>2800</v>
      </c>
      <c r="T6" t="s">
        <v>27</v>
      </c>
      <c r="U6" s="3">
        <v>2800</v>
      </c>
      <c r="V6" s="7" t="s">
        <v>24</v>
      </c>
      <c r="W6" s="7" t="s">
        <v>564</v>
      </c>
    </row>
    <row r="7" spans="1:23" x14ac:dyDescent="0.4">
      <c r="A7" t="s">
        <v>262</v>
      </c>
      <c r="B7" t="s">
        <v>1121</v>
      </c>
      <c r="C7" t="s">
        <v>1152</v>
      </c>
      <c r="D7" t="s">
        <v>21</v>
      </c>
      <c r="E7" t="s">
        <v>22</v>
      </c>
      <c r="F7" t="s">
        <v>23</v>
      </c>
      <c r="G7">
        <v>1</v>
      </c>
      <c r="H7">
        <v>9791189084813</v>
      </c>
      <c r="I7" t="s">
        <v>143</v>
      </c>
      <c r="J7" t="s">
        <v>563</v>
      </c>
      <c r="K7" t="s">
        <v>564</v>
      </c>
      <c r="L7" t="s">
        <v>27</v>
      </c>
      <c r="M7" s="3">
        <v>4000</v>
      </c>
      <c r="N7" t="s">
        <v>27</v>
      </c>
      <c r="O7" s="3">
        <v>4000</v>
      </c>
      <c r="P7" s="3">
        <v>4000</v>
      </c>
      <c r="Q7" t="s">
        <v>30</v>
      </c>
      <c r="R7" s="2">
        <v>0.7</v>
      </c>
      <c r="S7" s="3">
        <v>2800</v>
      </c>
      <c r="T7" t="s">
        <v>27</v>
      </c>
      <c r="U7" s="3">
        <v>2800</v>
      </c>
      <c r="V7" s="7" t="s">
        <v>24</v>
      </c>
      <c r="W7" s="7" t="s">
        <v>564</v>
      </c>
    </row>
    <row r="8" spans="1:23" x14ac:dyDescent="0.4">
      <c r="A8" t="s">
        <v>262</v>
      </c>
      <c r="B8" t="s">
        <v>1198</v>
      </c>
      <c r="C8" t="s">
        <v>1244</v>
      </c>
      <c r="D8" t="s">
        <v>21</v>
      </c>
      <c r="E8" t="s">
        <v>22</v>
      </c>
      <c r="F8" t="s">
        <v>23</v>
      </c>
      <c r="G8">
        <v>1</v>
      </c>
      <c r="H8">
        <v>9791189084813</v>
      </c>
      <c r="I8" t="s">
        <v>143</v>
      </c>
      <c r="J8" t="s">
        <v>563</v>
      </c>
      <c r="K8" t="s">
        <v>564</v>
      </c>
      <c r="L8" t="s">
        <v>27</v>
      </c>
      <c r="M8" s="3">
        <v>4000</v>
      </c>
      <c r="N8" t="s">
        <v>27</v>
      </c>
      <c r="O8" s="3">
        <v>4000</v>
      </c>
      <c r="P8" s="3">
        <v>4000</v>
      </c>
      <c r="Q8" t="s">
        <v>30</v>
      </c>
      <c r="R8" s="2">
        <v>0.7</v>
      </c>
      <c r="S8" s="3">
        <v>2800</v>
      </c>
      <c r="T8" t="s">
        <v>27</v>
      </c>
      <c r="U8" s="3">
        <v>2800</v>
      </c>
      <c r="V8" s="7" t="s">
        <v>24</v>
      </c>
      <c r="W8" s="7" t="s">
        <v>564</v>
      </c>
    </row>
    <row r="9" spans="1:23" x14ac:dyDescent="0.4">
      <c r="A9" t="s">
        <v>262</v>
      </c>
      <c r="B9" t="s">
        <v>1198</v>
      </c>
      <c r="C9" t="s">
        <v>1265</v>
      </c>
      <c r="D9" t="s">
        <v>21</v>
      </c>
      <c r="E9" t="s">
        <v>22</v>
      </c>
      <c r="F9" t="s">
        <v>23</v>
      </c>
      <c r="G9">
        <v>1</v>
      </c>
      <c r="H9">
        <v>9791189084813</v>
      </c>
      <c r="I9" t="s">
        <v>143</v>
      </c>
      <c r="J9" t="s">
        <v>563</v>
      </c>
      <c r="K9" t="s">
        <v>564</v>
      </c>
      <c r="L9" t="s">
        <v>27</v>
      </c>
      <c r="M9" s="3">
        <v>4000</v>
      </c>
      <c r="N9" t="s">
        <v>27</v>
      </c>
      <c r="O9" s="3">
        <v>4000</v>
      </c>
      <c r="P9" s="3">
        <v>4000</v>
      </c>
      <c r="Q9" t="s">
        <v>30</v>
      </c>
      <c r="R9" s="2">
        <v>0.7</v>
      </c>
      <c r="S9" s="3">
        <v>2800</v>
      </c>
      <c r="T9" t="s">
        <v>27</v>
      </c>
      <c r="U9" s="3">
        <v>2800</v>
      </c>
      <c r="V9" s="7" t="s">
        <v>24</v>
      </c>
      <c r="W9" s="7" t="s">
        <v>564</v>
      </c>
    </row>
    <row r="10" spans="1:23" x14ac:dyDescent="0.4">
      <c r="A10" t="s">
        <v>262</v>
      </c>
      <c r="B10" t="s">
        <v>1270</v>
      </c>
      <c r="C10" t="s">
        <v>1323</v>
      </c>
      <c r="D10" t="s">
        <v>21</v>
      </c>
      <c r="E10" t="s">
        <v>22</v>
      </c>
      <c r="F10" t="s">
        <v>23</v>
      </c>
      <c r="G10">
        <v>1</v>
      </c>
      <c r="H10">
        <v>9791189084813</v>
      </c>
      <c r="I10" t="s">
        <v>143</v>
      </c>
      <c r="J10" t="s">
        <v>563</v>
      </c>
      <c r="K10" t="s">
        <v>564</v>
      </c>
      <c r="L10" t="s">
        <v>27</v>
      </c>
      <c r="M10" s="3">
        <v>4000</v>
      </c>
      <c r="N10" t="s">
        <v>27</v>
      </c>
      <c r="O10" s="3">
        <v>4000</v>
      </c>
      <c r="P10" s="3">
        <v>4000</v>
      </c>
      <c r="Q10" t="s">
        <v>30</v>
      </c>
      <c r="R10" s="2">
        <v>0.7</v>
      </c>
      <c r="S10" s="3">
        <v>2800</v>
      </c>
      <c r="T10" t="s">
        <v>27</v>
      </c>
      <c r="U10" s="3">
        <v>2800</v>
      </c>
      <c r="V10" s="7" t="s">
        <v>24</v>
      </c>
      <c r="W10" s="7" t="s">
        <v>564</v>
      </c>
    </row>
    <row r="11" spans="1:23" x14ac:dyDescent="0.4">
      <c r="A11" t="s">
        <v>262</v>
      </c>
      <c r="B11" t="s">
        <v>1270</v>
      </c>
      <c r="C11" t="s">
        <v>1331</v>
      </c>
      <c r="D11" t="s">
        <v>21</v>
      </c>
      <c r="E11" t="s">
        <v>22</v>
      </c>
      <c r="F11" t="s">
        <v>23</v>
      </c>
      <c r="G11">
        <v>1</v>
      </c>
      <c r="H11">
        <v>9791189084813</v>
      </c>
      <c r="I11" t="s">
        <v>143</v>
      </c>
      <c r="J11" t="s">
        <v>563</v>
      </c>
      <c r="K11" t="s">
        <v>564</v>
      </c>
      <c r="L11" t="s">
        <v>27</v>
      </c>
      <c r="M11" s="3">
        <v>4000</v>
      </c>
      <c r="N11" t="s">
        <v>191</v>
      </c>
      <c r="O11">
        <v>4.8099999999999996</v>
      </c>
      <c r="P11">
        <v>4.37</v>
      </c>
      <c r="Q11" t="s">
        <v>190</v>
      </c>
      <c r="R11" s="2">
        <v>0.7</v>
      </c>
      <c r="S11">
        <v>3.06</v>
      </c>
      <c r="T11" t="s">
        <v>27</v>
      </c>
      <c r="U11" s="3">
        <v>2726</v>
      </c>
      <c r="V11" s="7" t="s">
        <v>24</v>
      </c>
      <c r="W11" s="7" t="s">
        <v>564</v>
      </c>
    </row>
    <row r="12" spans="1:23" x14ac:dyDescent="0.4">
      <c r="A12" t="s">
        <v>262</v>
      </c>
      <c r="B12" t="s">
        <v>1411</v>
      </c>
      <c r="C12" t="s">
        <v>1456</v>
      </c>
      <c r="D12" t="s">
        <v>21</v>
      </c>
      <c r="E12" t="s">
        <v>22</v>
      </c>
      <c r="F12" t="s">
        <v>23</v>
      </c>
      <c r="G12">
        <v>1</v>
      </c>
      <c r="H12">
        <v>9791189084813</v>
      </c>
      <c r="I12" t="s">
        <v>143</v>
      </c>
      <c r="J12" t="s">
        <v>563</v>
      </c>
      <c r="K12" t="s">
        <v>564</v>
      </c>
      <c r="L12" t="s">
        <v>27</v>
      </c>
      <c r="M12" s="3">
        <v>4000</v>
      </c>
      <c r="N12" t="s">
        <v>27</v>
      </c>
      <c r="O12" s="3">
        <v>4000</v>
      </c>
      <c r="P12" s="3">
        <v>4000</v>
      </c>
      <c r="Q12" t="s">
        <v>30</v>
      </c>
      <c r="R12" s="2">
        <v>0.7</v>
      </c>
      <c r="S12" s="3">
        <v>2800</v>
      </c>
      <c r="T12" t="s">
        <v>27</v>
      </c>
      <c r="U12" s="3">
        <v>2800</v>
      </c>
      <c r="V12" s="7" t="s">
        <v>24</v>
      </c>
      <c r="W12" s="7" t="s">
        <v>564</v>
      </c>
    </row>
    <row r="13" spans="1:23" x14ac:dyDescent="0.4">
      <c r="A13" t="s">
        <v>262</v>
      </c>
      <c r="B13" t="s">
        <v>1514</v>
      </c>
      <c r="C13" t="s">
        <v>1533</v>
      </c>
      <c r="D13" t="s">
        <v>21</v>
      </c>
      <c r="E13" t="s">
        <v>22</v>
      </c>
      <c r="F13" t="s">
        <v>23</v>
      </c>
      <c r="G13">
        <v>1</v>
      </c>
      <c r="H13">
        <v>9791189084813</v>
      </c>
      <c r="I13" t="s">
        <v>143</v>
      </c>
      <c r="J13" t="s">
        <v>563</v>
      </c>
      <c r="K13" t="s">
        <v>564</v>
      </c>
      <c r="L13" t="s">
        <v>27</v>
      </c>
      <c r="M13" s="3">
        <v>4000</v>
      </c>
      <c r="N13" t="s">
        <v>27</v>
      </c>
      <c r="O13" s="3">
        <v>4000</v>
      </c>
      <c r="P13" s="3">
        <v>4000</v>
      </c>
      <c r="Q13" t="s">
        <v>30</v>
      </c>
      <c r="R13" s="2">
        <v>0.7</v>
      </c>
      <c r="S13" s="3">
        <v>2800</v>
      </c>
      <c r="T13" t="s">
        <v>27</v>
      </c>
      <c r="U13" s="3">
        <v>2800</v>
      </c>
      <c r="V13" s="7" t="s">
        <v>24</v>
      </c>
      <c r="W13" s="7" t="s">
        <v>564</v>
      </c>
    </row>
    <row r="14" spans="1:23" x14ac:dyDescent="0.4">
      <c r="A14" t="s">
        <v>262</v>
      </c>
      <c r="B14" t="s">
        <v>1579</v>
      </c>
      <c r="C14" t="s">
        <v>1638</v>
      </c>
      <c r="D14" t="s">
        <v>21</v>
      </c>
      <c r="E14" t="s">
        <v>22</v>
      </c>
      <c r="F14" t="s">
        <v>23</v>
      </c>
      <c r="G14">
        <v>1</v>
      </c>
      <c r="H14">
        <v>9791189084813</v>
      </c>
      <c r="I14" t="s">
        <v>143</v>
      </c>
      <c r="J14" t="s">
        <v>563</v>
      </c>
      <c r="K14" t="s">
        <v>564</v>
      </c>
      <c r="L14" t="s">
        <v>27</v>
      </c>
      <c r="M14" s="3">
        <v>4000</v>
      </c>
      <c r="N14" t="s">
        <v>27</v>
      </c>
      <c r="O14" s="3">
        <v>4000</v>
      </c>
      <c r="P14" s="3">
        <v>4000</v>
      </c>
      <c r="Q14" t="s">
        <v>30</v>
      </c>
      <c r="R14" s="2">
        <v>0.7</v>
      </c>
      <c r="S14" s="3">
        <v>2800</v>
      </c>
      <c r="T14" t="s">
        <v>27</v>
      </c>
      <c r="U14" s="3">
        <v>2800</v>
      </c>
      <c r="V14" s="7" t="s">
        <v>24</v>
      </c>
      <c r="W14" s="7" t="s">
        <v>564</v>
      </c>
    </row>
    <row r="15" spans="1:23" x14ac:dyDescent="0.4">
      <c r="A15" t="s">
        <v>262</v>
      </c>
      <c r="B15" t="s">
        <v>1639</v>
      </c>
      <c r="C15" t="s">
        <v>1638</v>
      </c>
      <c r="D15" t="s">
        <v>21</v>
      </c>
      <c r="E15" t="s">
        <v>210</v>
      </c>
      <c r="F15" t="s">
        <v>23</v>
      </c>
      <c r="G15">
        <v>-1</v>
      </c>
      <c r="H15">
        <v>9791189084813</v>
      </c>
      <c r="I15" t="s">
        <v>143</v>
      </c>
      <c r="J15" t="s">
        <v>563</v>
      </c>
      <c r="K15" t="s">
        <v>564</v>
      </c>
      <c r="L15" t="s">
        <v>27</v>
      </c>
      <c r="M15" s="3">
        <v>4000</v>
      </c>
      <c r="N15" t="s">
        <v>27</v>
      </c>
      <c r="O15" s="3">
        <v>4000</v>
      </c>
      <c r="P15" s="3">
        <v>4000</v>
      </c>
      <c r="Q15" t="s">
        <v>30</v>
      </c>
      <c r="R15" s="2">
        <v>0.7</v>
      </c>
      <c r="S15" s="3">
        <v>-2800</v>
      </c>
      <c r="T15" t="s">
        <v>27</v>
      </c>
      <c r="U15" s="3">
        <v>-2800</v>
      </c>
      <c r="V15" s="7" t="s">
        <v>24</v>
      </c>
      <c r="W15" s="7" t="s">
        <v>564</v>
      </c>
    </row>
    <row r="16" spans="1:23" x14ac:dyDescent="0.4">
      <c r="A16" t="s">
        <v>262</v>
      </c>
      <c r="B16" t="s">
        <v>1704</v>
      </c>
      <c r="C16" t="s">
        <v>1723</v>
      </c>
      <c r="D16" t="s">
        <v>21</v>
      </c>
      <c r="E16" t="s">
        <v>22</v>
      </c>
      <c r="F16" t="s">
        <v>23</v>
      </c>
      <c r="G16">
        <v>1</v>
      </c>
      <c r="H16">
        <v>9791189084813</v>
      </c>
      <c r="I16" t="s">
        <v>143</v>
      </c>
      <c r="J16" t="s">
        <v>563</v>
      </c>
      <c r="K16" t="s">
        <v>564</v>
      </c>
      <c r="L16" t="s">
        <v>27</v>
      </c>
      <c r="M16" s="3">
        <v>4000</v>
      </c>
      <c r="N16" t="s">
        <v>27</v>
      </c>
      <c r="O16" s="3">
        <v>4000</v>
      </c>
      <c r="P16" s="3">
        <v>4000</v>
      </c>
      <c r="Q16" t="s">
        <v>30</v>
      </c>
      <c r="R16" s="2">
        <v>0.7</v>
      </c>
      <c r="S16" s="3">
        <v>2800</v>
      </c>
      <c r="T16" t="s">
        <v>27</v>
      </c>
      <c r="U16" s="3">
        <v>2800</v>
      </c>
      <c r="V16" s="7" t="s">
        <v>24</v>
      </c>
      <c r="W16" s="7" t="s">
        <v>564</v>
      </c>
    </row>
    <row r="17" spans="1:23" x14ac:dyDescent="0.4">
      <c r="A17" t="s">
        <v>262</v>
      </c>
      <c r="B17" t="s">
        <v>1766</v>
      </c>
      <c r="C17" t="s">
        <v>1785</v>
      </c>
      <c r="D17" t="s">
        <v>21</v>
      </c>
      <c r="E17" t="s">
        <v>22</v>
      </c>
      <c r="F17" t="s">
        <v>23</v>
      </c>
      <c r="G17">
        <v>1</v>
      </c>
      <c r="H17">
        <v>9791189084813</v>
      </c>
      <c r="I17" t="s">
        <v>143</v>
      </c>
      <c r="J17" t="s">
        <v>563</v>
      </c>
      <c r="K17" t="s">
        <v>564</v>
      </c>
      <c r="L17" t="s">
        <v>27</v>
      </c>
      <c r="M17" s="3">
        <v>4000</v>
      </c>
      <c r="N17" t="s">
        <v>27</v>
      </c>
      <c r="O17" s="3">
        <v>4000</v>
      </c>
      <c r="P17" s="3">
        <v>4000</v>
      </c>
      <c r="Q17" t="s">
        <v>30</v>
      </c>
      <c r="R17" s="2">
        <v>0.7</v>
      </c>
      <c r="S17" s="3">
        <v>2800</v>
      </c>
      <c r="T17" t="s">
        <v>27</v>
      </c>
      <c r="U17" s="3">
        <v>2800</v>
      </c>
      <c r="V17" s="7" t="s">
        <v>24</v>
      </c>
      <c r="W17" s="7" t="s">
        <v>564</v>
      </c>
    </row>
    <row r="18" spans="1:23" x14ac:dyDescent="0.4">
      <c r="A18" t="s">
        <v>262</v>
      </c>
      <c r="B18" t="s">
        <v>1766</v>
      </c>
      <c r="C18" t="s">
        <v>1796</v>
      </c>
      <c r="D18" t="s">
        <v>21</v>
      </c>
      <c r="E18" t="s">
        <v>22</v>
      </c>
      <c r="F18" t="s">
        <v>23</v>
      </c>
      <c r="G18">
        <v>1</v>
      </c>
      <c r="H18">
        <v>9791189084813</v>
      </c>
      <c r="I18" t="s">
        <v>143</v>
      </c>
      <c r="J18" t="s">
        <v>563</v>
      </c>
      <c r="K18" t="s">
        <v>564</v>
      </c>
      <c r="L18" t="s">
        <v>27</v>
      </c>
      <c r="M18" s="3">
        <v>4000</v>
      </c>
      <c r="N18" t="s">
        <v>27</v>
      </c>
      <c r="O18" s="3">
        <v>4000</v>
      </c>
      <c r="P18" s="3">
        <v>4000</v>
      </c>
      <c r="Q18" t="s">
        <v>30</v>
      </c>
      <c r="R18" s="2">
        <v>0.7</v>
      </c>
      <c r="S18" s="3">
        <v>2800</v>
      </c>
      <c r="T18" t="s">
        <v>27</v>
      </c>
      <c r="U18" s="3">
        <v>2800</v>
      </c>
      <c r="V18" s="7" t="s">
        <v>24</v>
      </c>
      <c r="W18" s="7" t="s">
        <v>564</v>
      </c>
    </row>
    <row r="19" spans="1:23" x14ac:dyDescent="0.4">
      <c r="A19" t="s">
        <v>262</v>
      </c>
      <c r="B19" t="s">
        <v>1766</v>
      </c>
      <c r="C19" t="s">
        <v>1804</v>
      </c>
      <c r="D19" t="s">
        <v>21</v>
      </c>
      <c r="E19" t="s">
        <v>22</v>
      </c>
      <c r="F19" t="s">
        <v>23</v>
      </c>
      <c r="G19">
        <v>1</v>
      </c>
      <c r="H19">
        <v>9791189084813</v>
      </c>
      <c r="I19" t="s">
        <v>143</v>
      </c>
      <c r="J19" t="s">
        <v>563</v>
      </c>
      <c r="K19" t="s">
        <v>564</v>
      </c>
      <c r="L19" t="s">
        <v>27</v>
      </c>
      <c r="M19" s="3">
        <v>4000</v>
      </c>
      <c r="N19" t="s">
        <v>27</v>
      </c>
      <c r="O19" s="3">
        <v>4000</v>
      </c>
      <c r="P19" s="3">
        <v>4000</v>
      </c>
      <c r="Q19" t="s">
        <v>30</v>
      </c>
      <c r="R19" s="2">
        <v>0.7</v>
      </c>
      <c r="S19" s="3">
        <v>2800</v>
      </c>
      <c r="T19" t="s">
        <v>27</v>
      </c>
      <c r="U19" s="3">
        <v>2800</v>
      </c>
      <c r="V19" s="7" t="s">
        <v>24</v>
      </c>
      <c r="W19" s="7" t="s">
        <v>564</v>
      </c>
    </row>
    <row r="20" spans="1:23" x14ac:dyDescent="0.4">
      <c r="A20" t="s">
        <v>262</v>
      </c>
      <c r="B20" t="s">
        <v>1766</v>
      </c>
      <c r="C20" t="s">
        <v>1806</v>
      </c>
      <c r="D20" t="s">
        <v>21</v>
      </c>
      <c r="E20" t="s">
        <v>22</v>
      </c>
      <c r="F20" t="s">
        <v>23</v>
      </c>
      <c r="G20">
        <v>1</v>
      </c>
      <c r="H20">
        <v>9791189084813</v>
      </c>
      <c r="I20" t="s">
        <v>143</v>
      </c>
      <c r="J20" t="s">
        <v>563</v>
      </c>
      <c r="K20" t="s">
        <v>564</v>
      </c>
      <c r="L20" t="s">
        <v>27</v>
      </c>
      <c r="M20" s="3">
        <v>4000</v>
      </c>
      <c r="N20" t="s">
        <v>27</v>
      </c>
      <c r="O20" s="3">
        <v>4000</v>
      </c>
      <c r="P20" s="3">
        <v>4000</v>
      </c>
      <c r="Q20" t="s">
        <v>30</v>
      </c>
      <c r="R20" s="2">
        <v>0.7</v>
      </c>
      <c r="S20" s="3">
        <v>2800</v>
      </c>
      <c r="T20" t="s">
        <v>27</v>
      </c>
      <c r="U20" s="3">
        <v>2800</v>
      </c>
      <c r="V20" s="7" t="s">
        <v>24</v>
      </c>
      <c r="W20" s="7" t="s">
        <v>564</v>
      </c>
    </row>
    <row r="21" spans="1:23" x14ac:dyDescent="0.4">
      <c r="A21" t="s">
        <v>262</v>
      </c>
      <c r="B21" t="s">
        <v>1766</v>
      </c>
      <c r="C21" t="s">
        <v>1828</v>
      </c>
      <c r="D21" t="s">
        <v>21</v>
      </c>
      <c r="E21" t="s">
        <v>22</v>
      </c>
      <c r="F21" t="s">
        <v>23</v>
      </c>
      <c r="G21">
        <v>1</v>
      </c>
      <c r="H21">
        <v>9791189084813</v>
      </c>
      <c r="I21" t="s">
        <v>143</v>
      </c>
      <c r="J21" t="s">
        <v>563</v>
      </c>
      <c r="K21" t="s">
        <v>564</v>
      </c>
      <c r="L21" t="s">
        <v>27</v>
      </c>
      <c r="M21" s="3">
        <v>4000</v>
      </c>
      <c r="N21" t="s">
        <v>27</v>
      </c>
      <c r="O21" s="3">
        <v>4000</v>
      </c>
      <c r="P21" s="3">
        <v>4000</v>
      </c>
      <c r="Q21" t="s">
        <v>30</v>
      </c>
      <c r="R21" s="2">
        <v>0.7</v>
      </c>
      <c r="S21" s="3">
        <v>2800</v>
      </c>
      <c r="T21" t="s">
        <v>27</v>
      </c>
      <c r="U21" s="3">
        <v>2800</v>
      </c>
      <c r="V21" s="7" t="s">
        <v>24</v>
      </c>
      <c r="W21" s="7" t="s">
        <v>564</v>
      </c>
    </row>
    <row r="22" spans="1:23" x14ac:dyDescent="0.4">
      <c r="A22" t="s">
        <v>262</v>
      </c>
      <c r="B22" t="s">
        <v>1840</v>
      </c>
      <c r="C22" t="s">
        <v>1846</v>
      </c>
      <c r="D22" t="s">
        <v>21</v>
      </c>
      <c r="E22" t="s">
        <v>22</v>
      </c>
      <c r="F22" t="s">
        <v>23</v>
      </c>
      <c r="G22">
        <v>1</v>
      </c>
      <c r="H22">
        <v>9791189084813</v>
      </c>
      <c r="I22" t="s">
        <v>143</v>
      </c>
      <c r="J22" t="s">
        <v>563</v>
      </c>
      <c r="K22" t="s">
        <v>564</v>
      </c>
      <c r="L22" t="s">
        <v>27</v>
      </c>
      <c r="M22" s="3">
        <v>4000</v>
      </c>
      <c r="N22" t="s">
        <v>27</v>
      </c>
      <c r="O22" s="3">
        <v>4000</v>
      </c>
      <c r="P22" s="3">
        <v>4000</v>
      </c>
      <c r="Q22" t="s">
        <v>30</v>
      </c>
      <c r="R22" s="2">
        <v>0.7</v>
      </c>
      <c r="S22" s="3">
        <v>2800</v>
      </c>
      <c r="T22" t="s">
        <v>27</v>
      </c>
      <c r="U22" s="3">
        <v>2800</v>
      </c>
      <c r="V22" s="7" t="s">
        <v>24</v>
      </c>
      <c r="W22" s="7" t="s">
        <v>564</v>
      </c>
    </row>
    <row r="23" spans="1:23" x14ac:dyDescent="0.4">
      <c r="A23" t="s">
        <v>262</v>
      </c>
      <c r="B23" t="s">
        <v>1840</v>
      </c>
      <c r="C23" t="s">
        <v>1854</v>
      </c>
      <c r="D23" t="s">
        <v>21</v>
      </c>
      <c r="E23" t="s">
        <v>22</v>
      </c>
      <c r="F23" t="s">
        <v>23</v>
      </c>
      <c r="G23">
        <v>1</v>
      </c>
      <c r="H23">
        <v>9791189084813</v>
      </c>
      <c r="I23" t="s">
        <v>143</v>
      </c>
      <c r="J23" t="s">
        <v>563</v>
      </c>
      <c r="K23" t="s">
        <v>564</v>
      </c>
      <c r="L23" t="s">
        <v>27</v>
      </c>
      <c r="M23" s="3">
        <v>4000</v>
      </c>
      <c r="N23" t="s">
        <v>27</v>
      </c>
      <c r="O23" s="3">
        <v>4000</v>
      </c>
      <c r="P23" s="3">
        <v>4000</v>
      </c>
      <c r="Q23" t="s">
        <v>30</v>
      </c>
      <c r="R23" s="2">
        <v>0.7</v>
      </c>
      <c r="S23" s="3">
        <v>2800</v>
      </c>
      <c r="T23" t="s">
        <v>27</v>
      </c>
      <c r="U23" s="3">
        <v>2800</v>
      </c>
      <c r="V23" s="7" t="s">
        <v>24</v>
      </c>
      <c r="W23" s="7" t="s">
        <v>564</v>
      </c>
    </row>
    <row r="24" spans="1:23" x14ac:dyDescent="0.4">
      <c r="A24" t="s">
        <v>262</v>
      </c>
      <c r="B24" t="s">
        <v>1840</v>
      </c>
      <c r="C24" t="s">
        <v>1884</v>
      </c>
      <c r="D24" t="s">
        <v>21</v>
      </c>
      <c r="E24" t="s">
        <v>22</v>
      </c>
      <c r="F24" t="s">
        <v>23</v>
      </c>
      <c r="G24">
        <v>1</v>
      </c>
      <c r="H24">
        <v>9791189084813</v>
      </c>
      <c r="I24" t="s">
        <v>143</v>
      </c>
      <c r="J24" t="s">
        <v>563</v>
      </c>
      <c r="K24" t="s">
        <v>564</v>
      </c>
      <c r="L24" t="s">
        <v>27</v>
      </c>
      <c r="M24" s="3">
        <v>4000</v>
      </c>
      <c r="N24" t="s">
        <v>27</v>
      </c>
      <c r="O24" s="3">
        <v>4000</v>
      </c>
      <c r="P24" s="3">
        <v>4000</v>
      </c>
      <c r="Q24" t="s">
        <v>30</v>
      </c>
      <c r="R24" s="2">
        <v>0.7</v>
      </c>
      <c r="S24" s="3">
        <v>2800</v>
      </c>
      <c r="T24" t="s">
        <v>27</v>
      </c>
      <c r="U24" s="3">
        <v>2800</v>
      </c>
      <c r="V24" s="7" t="s">
        <v>24</v>
      </c>
      <c r="W24" s="7" t="s">
        <v>564</v>
      </c>
    </row>
    <row r="25" spans="1:23" x14ac:dyDescent="0.4">
      <c r="A25" t="s">
        <v>262</v>
      </c>
      <c r="B25" t="s">
        <v>1898</v>
      </c>
      <c r="C25" t="s">
        <v>1907</v>
      </c>
      <c r="D25" t="s">
        <v>21</v>
      </c>
      <c r="E25" t="s">
        <v>22</v>
      </c>
      <c r="F25" t="s">
        <v>23</v>
      </c>
      <c r="G25">
        <v>1</v>
      </c>
      <c r="H25">
        <v>9791189084813</v>
      </c>
      <c r="I25" t="s">
        <v>143</v>
      </c>
      <c r="J25" t="s">
        <v>563</v>
      </c>
      <c r="K25" t="s">
        <v>564</v>
      </c>
      <c r="L25" t="s">
        <v>27</v>
      </c>
      <c r="M25" s="3">
        <v>4000</v>
      </c>
      <c r="N25" t="s">
        <v>27</v>
      </c>
      <c r="O25" s="3">
        <v>4000</v>
      </c>
      <c r="P25" s="3">
        <v>4000</v>
      </c>
      <c r="Q25" t="s">
        <v>30</v>
      </c>
      <c r="R25" s="2">
        <v>0.7</v>
      </c>
      <c r="S25" s="3">
        <v>2800</v>
      </c>
      <c r="T25" t="s">
        <v>27</v>
      </c>
      <c r="U25" s="3">
        <v>2800</v>
      </c>
      <c r="V25" s="7" t="s">
        <v>24</v>
      </c>
      <c r="W25" s="7" t="s">
        <v>564</v>
      </c>
    </row>
    <row r="26" spans="1:23" x14ac:dyDescent="0.4">
      <c r="A26" t="s">
        <v>262</v>
      </c>
      <c r="B26" t="s">
        <v>1898</v>
      </c>
      <c r="C26" t="s">
        <v>1922</v>
      </c>
      <c r="D26" t="s">
        <v>21</v>
      </c>
      <c r="E26" t="s">
        <v>22</v>
      </c>
      <c r="F26" t="s">
        <v>23</v>
      </c>
      <c r="G26">
        <v>1</v>
      </c>
      <c r="H26">
        <v>9791189084813</v>
      </c>
      <c r="I26" t="s">
        <v>143</v>
      </c>
      <c r="J26" t="s">
        <v>563</v>
      </c>
      <c r="K26" t="s">
        <v>564</v>
      </c>
      <c r="L26" t="s">
        <v>27</v>
      </c>
      <c r="M26" s="3">
        <v>4000</v>
      </c>
      <c r="N26" t="s">
        <v>27</v>
      </c>
      <c r="O26" s="3">
        <v>4000</v>
      </c>
      <c r="P26" s="3">
        <v>4000</v>
      </c>
      <c r="Q26" t="s">
        <v>30</v>
      </c>
      <c r="R26" s="2">
        <v>0.7</v>
      </c>
      <c r="S26" s="3">
        <v>2800</v>
      </c>
      <c r="T26" t="s">
        <v>27</v>
      </c>
      <c r="U26" s="3">
        <v>2800</v>
      </c>
      <c r="V26" s="7" t="s">
        <v>24</v>
      </c>
      <c r="W26" s="7" t="s">
        <v>564</v>
      </c>
    </row>
    <row r="27" spans="1:23" x14ac:dyDescent="0.4">
      <c r="A27" t="s">
        <v>262</v>
      </c>
      <c r="B27" t="s">
        <v>1898</v>
      </c>
      <c r="C27" t="s">
        <v>1936</v>
      </c>
      <c r="D27" t="s">
        <v>21</v>
      </c>
      <c r="E27" t="s">
        <v>22</v>
      </c>
      <c r="F27" t="s">
        <v>23</v>
      </c>
      <c r="G27">
        <v>1</v>
      </c>
      <c r="H27">
        <v>9791164370955</v>
      </c>
      <c r="I27" t="s">
        <v>143</v>
      </c>
      <c r="J27" t="s">
        <v>1937</v>
      </c>
      <c r="K27" t="s">
        <v>564</v>
      </c>
      <c r="L27" t="s">
        <v>27</v>
      </c>
      <c r="M27" s="3">
        <v>3800</v>
      </c>
      <c r="N27" t="s">
        <v>191</v>
      </c>
      <c r="O27">
        <v>4.57</v>
      </c>
      <c r="P27">
        <v>4.1500000000000004</v>
      </c>
      <c r="Q27" t="s">
        <v>190</v>
      </c>
      <c r="R27" s="2">
        <v>0.7</v>
      </c>
      <c r="S27">
        <v>2.9</v>
      </c>
      <c r="T27" t="s">
        <v>27</v>
      </c>
      <c r="U27" s="3">
        <v>2601</v>
      </c>
      <c r="V27" s="7" t="s">
        <v>24</v>
      </c>
      <c r="W27" s="7" t="s">
        <v>564</v>
      </c>
    </row>
    <row r="28" spans="1:23" x14ac:dyDescent="0.4">
      <c r="A28" t="s">
        <v>262</v>
      </c>
      <c r="B28" t="s">
        <v>1898</v>
      </c>
      <c r="C28" t="s">
        <v>1938</v>
      </c>
      <c r="D28" t="s">
        <v>21</v>
      </c>
      <c r="E28" t="s">
        <v>22</v>
      </c>
      <c r="F28" t="s">
        <v>23</v>
      </c>
      <c r="G28">
        <v>1</v>
      </c>
      <c r="H28">
        <v>9791164370962</v>
      </c>
      <c r="I28" t="s">
        <v>143</v>
      </c>
      <c r="J28" t="s">
        <v>1939</v>
      </c>
      <c r="K28" t="s">
        <v>564</v>
      </c>
      <c r="L28" t="s">
        <v>27</v>
      </c>
      <c r="M28" s="3">
        <v>3800</v>
      </c>
      <c r="N28" t="s">
        <v>191</v>
      </c>
      <c r="O28">
        <v>4.57</v>
      </c>
      <c r="P28">
        <v>4.1500000000000004</v>
      </c>
      <c r="Q28" t="s">
        <v>190</v>
      </c>
      <c r="R28" s="2">
        <v>0.7</v>
      </c>
      <c r="S28">
        <v>2.9</v>
      </c>
      <c r="T28" t="s">
        <v>27</v>
      </c>
      <c r="U28" s="3">
        <v>2601</v>
      </c>
      <c r="V28" s="7" t="s">
        <v>24</v>
      </c>
      <c r="W28" s="7" t="s">
        <v>564</v>
      </c>
    </row>
    <row r="29" spans="1:23" x14ac:dyDescent="0.4">
      <c r="A29" t="s">
        <v>262</v>
      </c>
      <c r="B29" t="s">
        <v>1898</v>
      </c>
      <c r="C29" t="s">
        <v>1940</v>
      </c>
      <c r="D29" t="s">
        <v>21</v>
      </c>
      <c r="E29" t="s">
        <v>22</v>
      </c>
      <c r="F29" t="s">
        <v>23</v>
      </c>
      <c r="G29">
        <v>1</v>
      </c>
      <c r="H29">
        <v>9791164371273</v>
      </c>
      <c r="I29" t="s">
        <v>143</v>
      </c>
      <c r="J29" t="s">
        <v>1941</v>
      </c>
      <c r="K29" t="s">
        <v>564</v>
      </c>
      <c r="L29" t="s">
        <v>27</v>
      </c>
      <c r="M29">
        <v>400</v>
      </c>
      <c r="N29" t="s">
        <v>191</v>
      </c>
      <c r="O29">
        <v>0.48</v>
      </c>
      <c r="P29">
        <v>0.44</v>
      </c>
      <c r="Q29" t="s">
        <v>190</v>
      </c>
      <c r="R29" s="2">
        <v>0.7</v>
      </c>
      <c r="S29">
        <v>0.31</v>
      </c>
      <c r="T29" t="s">
        <v>27</v>
      </c>
      <c r="U29">
        <v>278</v>
      </c>
      <c r="V29" s="7" t="s">
        <v>24</v>
      </c>
      <c r="W29" s="7" t="s">
        <v>564</v>
      </c>
    </row>
    <row r="30" spans="1:23" x14ac:dyDescent="0.4">
      <c r="A30" t="s">
        <v>262</v>
      </c>
      <c r="B30" t="s">
        <v>1953</v>
      </c>
      <c r="C30" t="s">
        <v>1975</v>
      </c>
      <c r="D30" t="s">
        <v>21</v>
      </c>
      <c r="E30" t="s">
        <v>22</v>
      </c>
      <c r="F30" t="s">
        <v>23</v>
      </c>
      <c r="G30">
        <v>1</v>
      </c>
      <c r="H30">
        <v>9791189084813</v>
      </c>
      <c r="I30" t="s">
        <v>143</v>
      </c>
      <c r="J30" t="s">
        <v>563</v>
      </c>
      <c r="K30" t="s">
        <v>564</v>
      </c>
      <c r="L30" t="s">
        <v>27</v>
      </c>
      <c r="M30" s="3">
        <v>4000</v>
      </c>
      <c r="N30" t="s">
        <v>27</v>
      </c>
      <c r="O30" s="3">
        <v>4000</v>
      </c>
      <c r="P30" s="3">
        <v>4000</v>
      </c>
      <c r="Q30" t="s">
        <v>30</v>
      </c>
      <c r="R30" s="2">
        <v>0.7</v>
      </c>
      <c r="S30" s="3">
        <v>2800</v>
      </c>
      <c r="T30" t="s">
        <v>27</v>
      </c>
      <c r="U30" s="3">
        <v>2800</v>
      </c>
      <c r="V30" s="7" t="s">
        <v>24</v>
      </c>
      <c r="W30" s="7" t="s">
        <v>564</v>
      </c>
    </row>
    <row r="31" spans="1:23" x14ac:dyDescent="0.4">
      <c r="A31" t="s">
        <v>262</v>
      </c>
      <c r="B31" t="s">
        <v>1953</v>
      </c>
      <c r="C31" t="s">
        <v>1976</v>
      </c>
      <c r="D31" t="s">
        <v>21</v>
      </c>
      <c r="E31" t="s">
        <v>22</v>
      </c>
      <c r="F31" t="s">
        <v>23</v>
      </c>
      <c r="G31">
        <v>1</v>
      </c>
      <c r="H31">
        <v>9791189084813</v>
      </c>
      <c r="I31" t="s">
        <v>143</v>
      </c>
      <c r="J31" t="s">
        <v>563</v>
      </c>
      <c r="K31" t="s">
        <v>564</v>
      </c>
      <c r="L31" t="s">
        <v>27</v>
      </c>
      <c r="M31" s="3">
        <v>4000</v>
      </c>
      <c r="N31" t="s">
        <v>28</v>
      </c>
      <c r="O31">
        <v>3.3</v>
      </c>
      <c r="P31">
        <v>3.3</v>
      </c>
      <c r="Q31" t="s">
        <v>29</v>
      </c>
      <c r="R31" s="2">
        <v>0.7</v>
      </c>
      <c r="S31">
        <v>2.31</v>
      </c>
      <c r="T31" t="s">
        <v>27</v>
      </c>
      <c r="U31" s="3">
        <v>2924</v>
      </c>
      <c r="V31" s="7" t="s">
        <v>24</v>
      </c>
      <c r="W31" s="7" t="s">
        <v>564</v>
      </c>
    </row>
    <row r="32" spans="1:23" x14ac:dyDescent="0.4">
      <c r="A32" t="s">
        <v>262</v>
      </c>
      <c r="B32" t="s">
        <v>1953</v>
      </c>
      <c r="C32" t="s">
        <v>1977</v>
      </c>
      <c r="D32" t="s">
        <v>21</v>
      </c>
      <c r="E32" t="s">
        <v>22</v>
      </c>
      <c r="F32" t="s">
        <v>23</v>
      </c>
      <c r="G32">
        <v>1</v>
      </c>
      <c r="H32">
        <v>9791189084813</v>
      </c>
      <c r="I32" t="s">
        <v>143</v>
      </c>
      <c r="J32" t="s">
        <v>563</v>
      </c>
      <c r="K32" t="s">
        <v>564</v>
      </c>
      <c r="L32" t="s">
        <v>27</v>
      </c>
      <c r="M32" s="3">
        <v>4000</v>
      </c>
      <c r="N32" t="s">
        <v>27</v>
      </c>
      <c r="O32" s="3">
        <v>4000</v>
      </c>
      <c r="P32" s="3">
        <v>4000</v>
      </c>
      <c r="Q32" t="s">
        <v>30</v>
      </c>
      <c r="R32" s="2">
        <v>0.7</v>
      </c>
      <c r="S32" s="3">
        <v>2800</v>
      </c>
      <c r="T32" t="s">
        <v>27</v>
      </c>
      <c r="U32" s="3">
        <v>2800</v>
      </c>
      <c r="V32" s="7" t="s">
        <v>24</v>
      </c>
      <c r="W32" s="7" t="s">
        <v>564</v>
      </c>
    </row>
    <row r="33" spans="1:23" x14ac:dyDescent="0.4">
      <c r="A33" t="s">
        <v>262</v>
      </c>
      <c r="B33" t="s">
        <v>1953</v>
      </c>
      <c r="C33" t="s">
        <v>1980</v>
      </c>
      <c r="D33" t="s">
        <v>21</v>
      </c>
      <c r="E33" t="s">
        <v>22</v>
      </c>
      <c r="F33" t="s">
        <v>23</v>
      </c>
      <c r="G33">
        <v>1</v>
      </c>
      <c r="H33">
        <v>9791189084813</v>
      </c>
      <c r="I33" t="s">
        <v>143</v>
      </c>
      <c r="J33" t="s">
        <v>563</v>
      </c>
      <c r="K33" t="s">
        <v>564</v>
      </c>
      <c r="L33" t="s">
        <v>27</v>
      </c>
      <c r="M33" s="3">
        <v>4000</v>
      </c>
      <c r="N33" t="s">
        <v>28</v>
      </c>
      <c r="O33">
        <v>3.3</v>
      </c>
      <c r="P33">
        <v>3.3</v>
      </c>
      <c r="Q33" t="s">
        <v>29</v>
      </c>
      <c r="R33" s="2">
        <v>0.7</v>
      </c>
      <c r="S33">
        <v>2.31</v>
      </c>
      <c r="T33" t="s">
        <v>27</v>
      </c>
      <c r="U33" s="3">
        <v>2924</v>
      </c>
      <c r="V33" s="7" t="s">
        <v>24</v>
      </c>
      <c r="W33" s="7" t="s">
        <v>564</v>
      </c>
    </row>
    <row r="34" spans="1:23" x14ac:dyDescent="0.4">
      <c r="A34" t="s">
        <v>262</v>
      </c>
      <c r="B34" t="s">
        <v>1953</v>
      </c>
      <c r="C34" t="s">
        <v>1991</v>
      </c>
      <c r="D34" t="s">
        <v>21</v>
      </c>
      <c r="E34" t="s">
        <v>22</v>
      </c>
      <c r="F34" t="s">
        <v>23</v>
      </c>
      <c r="G34">
        <v>1</v>
      </c>
      <c r="H34">
        <v>9791189084813</v>
      </c>
      <c r="I34" t="s">
        <v>143</v>
      </c>
      <c r="J34" t="s">
        <v>563</v>
      </c>
      <c r="K34" t="s">
        <v>564</v>
      </c>
      <c r="L34" t="s">
        <v>27</v>
      </c>
      <c r="M34" s="3">
        <v>4000</v>
      </c>
      <c r="N34" t="s">
        <v>27</v>
      </c>
      <c r="O34" s="3">
        <v>4000</v>
      </c>
      <c r="P34" s="3">
        <v>4000</v>
      </c>
      <c r="Q34" t="s">
        <v>30</v>
      </c>
      <c r="R34" s="2">
        <v>0.7</v>
      </c>
      <c r="S34" s="3">
        <v>2800</v>
      </c>
      <c r="T34" t="s">
        <v>27</v>
      </c>
      <c r="U34" s="3">
        <v>2800</v>
      </c>
      <c r="V34" s="7" t="s">
        <v>24</v>
      </c>
      <c r="W34" s="7" t="s">
        <v>564</v>
      </c>
    </row>
    <row r="35" spans="1:23" x14ac:dyDescent="0.4">
      <c r="A35" t="s">
        <v>262</v>
      </c>
      <c r="B35" t="s">
        <v>1953</v>
      </c>
      <c r="C35" t="s">
        <v>2007</v>
      </c>
      <c r="D35" t="s">
        <v>21</v>
      </c>
      <c r="E35" t="s">
        <v>22</v>
      </c>
      <c r="F35" t="s">
        <v>23</v>
      </c>
      <c r="G35">
        <v>1</v>
      </c>
      <c r="H35">
        <v>9791189084813</v>
      </c>
      <c r="I35" t="s">
        <v>143</v>
      </c>
      <c r="J35" t="s">
        <v>563</v>
      </c>
      <c r="K35" t="s">
        <v>564</v>
      </c>
      <c r="L35" t="s">
        <v>27</v>
      </c>
      <c r="M35" s="3">
        <v>4000</v>
      </c>
      <c r="N35" t="s">
        <v>27</v>
      </c>
      <c r="O35" s="3">
        <v>4000</v>
      </c>
      <c r="P35" s="3">
        <v>4000</v>
      </c>
      <c r="Q35" t="s">
        <v>30</v>
      </c>
      <c r="R35" s="2">
        <v>0.7</v>
      </c>
      <c r="S35" s="3">
        <v>2800</v>
      </c>
      <c r="T35" t="s">
        <v>27</v>
      </c>
      <c r="U35" s="3">
        <v>2800</v>
      </c>
      <c r="V35" s="7" t="s">
        <v>24</v>
      </c>
      <c r="W35" s="7" t="s">
        <v>564</v>
      </c>
    </row>
    <row r="36" spans="1:23" x14ac:dyDescent="0.4">
      <c r="A36" t="s">
        <v>262</v>
      </c>
      <c r="B36" t="s">
        <v>2017</v>
      </c>
      <c r="C36" t="s">
        <v>2033</v>
      </c>
      <c r="D36" t="s">
        <v>21</v>
      </c>
      <c r="E36" t="s">
        <v>22</v>
      </c>
      <c r="F36" t="s">
        <v>23</v>
      </c>
      <c r="G36">
        <v>1</v>
      </c>
      <c r="H36">
        <v>9791189084813</v>
      </c>
      <c r="I36" t="s">
        <v>143</v>
      </c>
      <c r="J36" t="s">
        <v>563</v>
      </c>
      <c r="K36" t="s">
        <v>564</v>
      </c>
      <c r="L36" t="s">
        <v>27</v>
      </c>
      <c r="M36" s="3">
        <v>4000</v>
      </c>
      <c r="N36" t="s">
        <v>27</v>
      </c>
      <c r="O36" s="3">
        <v>4000</v>
      </c>
      <c r="P36" s="3">
        <v>4000</v>
      </c>
      <c r="Q36" t="s">
        <v>30</v>
      </c>
      <c r="R36" s="2">
        <v>0.7</v>
      </c>
      <c r="S36" s="3">
        <v>2800</v>
      </c>
      <c r="T36" t="s">
        <v>27</v>
      </c>
      <c r="U36" s="3">
        <v>2800</v>
      </c>
      <c r="V36" s="7" t="s">
        <v>24</v>
      </c>
      <c r="W36" s="7" t="s">
        <v>564</v>
      </c>
    </row>
    <row r="37" spans="1:23" x14ac:dyDescent="0.4">
      <c r="A37" t="s">
        <v>262</v>
      </c>
      <c r="B37" t="s">
        <v>2017</v>
      </c>
      <c r="C37" t="s">
        <v>2038</v>
      </c>
      <c r="D37" t="s">
        <v>21</v>
      </c>
      <c r="E37" t="s">
        <v>22</v>
      </c>
      <c r="F37" t="s">
        <v>23</v>
      </c>
      <c r="G37">
        <v>1</v>
      </c>
      <c r="H37">
        <v>9791189084813</v>
      </c>
      <c r="I37" t="s">
        <v>143</v>
      </c>
      <c r="J37" t="s">
        <v>563</v>
      </c>
      <c r="K37" t="s">
        <v>564</v>
      </c>
      <c r="L37" t="s">
        <v>27</v>
      </c>
      <c r="M37" s="3">
        <v>4000</v>
      </c>
      <c r="N37" t="s">
        <v>27</v>
      </c>
      <c r="O37" s="3">
        <v>4000</v>
      </c>
      <c r="P37" s="3">
        <v>4000</v>
      </c>
      <c r="Q37" t="s">
        <v>30</v>
      </c>
      <c r="R37" s="2">
        <v>0.7</v>
      </c>
      <c r="S37" s="3">
        <v>2800</v>
      </c>
      <c r="T37" t="s">
        <v>27</v>
      </c>
      <c r="U37" s="3">
        <v>2800</v>
      </c>
      <c r="V37" s="7" t="s">
        <v>24</v>
      </c>
      <c r="W37" s="7" t="s">
        <v>564</v>
      </c>
    </row>
    <row r="38" spans="1:23" x14ac:dyDescent="0.4">
      <c r="A38" t="s">
        <v>262</v>
      </c>
      <c r="B38" t="s">
        <v>2075</v>
      </c>
      <c r="C38" t="s">
        <v>2097</v>
      </c>
      <c r="D38" t="s">
        <v>21</v>
      </c>
      <c r="E38" t="s">
        <v>22</v>
      </c>
      <c r="F38" t="s">
        <v>23</v>
      </c>
      <c r="G38">
        <v>1</v>
      </c>
      <c r="H38">
        <v>9791189084813</v>
      </c>
      <c r="I38" t="s">
        <v>143</v>
      </c>
      <c r="J38" t="s">
        <v>563</v>
      </c>
      <c r="K38" t="s">
        <v>564</v>
      </c>
      <c r="L38" t="s">
        <v>27</v>
      </c>
      <c r="M38" s="3">
        <v>4000</v>
      </c>
      <c r="N38" t="s">
        <v>27</v>
      </c>
      <c r="O38" s="3">
        <v>4000</v>
      </c>
      <c r="P38" s="3">
        <v>4000</v>
      </c>
      <c r="Q38" t="s">
        <v>30</v>
      </c>
      <c r="R38" s="2">
        <v>0.7</v>
      </c>
      <c r="S38" s="3">
        <v>2800</v>
      </c>
      <c r="T38" t="s">
        <v>27</v>
      </c>
      <c r="U38" s="3">
        <v>2800</v>
      </c>
      <c r="V38" s="7" t="s">
        <v>24</v>
      </c>
      <c r="W38" s="7" t="s">
        <v>564</v>
      </c>
    </row>
    <row r="39" spans="1:23" x14ac:dyDescent="0.4">
      <c r="A39" t="s">
        <v>262</v>
      </c>
      <c r="B39" t="s">
        <v>2075</v>
      </c>
      <c r="C39" t="s">
        <v>2107</v>
      </c>
      <c r="D39" t="s">
        <v>21</v>
      </c>
      <c r="E39" t="s">
        <v>22</v>
      </c>
      <c r="F39" t="s">
        <v>23</v>
      </c>
      <c r="G39">
        <v>1</v>
      </c>
      <c r="H39">
        <v>9791189084813</v>
      </c>
      <c r="I39" t="s">
        <v>143</v>
      </c>
      <c r="J39" t="s">
        <v>563</v>
      </c>
      <c r="K39" t="s">
        <v>564</v>
      </c>
      <c r="L39" t="s">
        <v>27</v>
      </c>
      <c r="M39" s="3">
        <v>4000</v>
      </c>
      <c r="N39" t="s">
        <v>27</v>
      </c>
      <c r="O39" s="3">
        <v>4000</v>
      </c>
      <c r="P39" s="3">
        <v>4000</v>
      </c>
      <c r="Q39" t="s">
        <v>30</v>
      </c>
      <c r="R39" s="2">
        <v>0.7</v>
      </c>
      <c r="S39" s="3">
        <v>2800</v>
      </c>
      <c r="T39" t="s">
        <v>27</v>
      </c>
      <c r="U39" s="3">
        <v>2800</v>
      </c>
      <c r="V39" s="7" t="s">
        <v>24</v>
      </c>
      <c r="W39" s="7" t="s">
        <v>564</v>
      </c>
    </row>
    <row r="40" spans="1:23" x14ac:dyDescent="0.4">
      <c r="A40" t="s">
        <v>262</v>
      </c>
      <c r="B40" t="s">
        <v>2075</v>
      </c>
      <c r="C40" t="s">
        <v>2129</v>
      </c>
      <c r="D40" t="s">
        <v>21</v>
      </c>
      <c r="E40" t="s">
        <v>22</v>
      </c>
      <c r="F40" t="s">
        <v>23</v>
      </c>
      <c r="G40">
        <v>1</v>
      </c>
      <c r="H40">
        <v>9791189084813</v>
      </c>
      <c r="I40" t="s">
        <v>143</v>
      </c>
      <c r="J40" t="s">
        <v>563</v>
      </c>
      <c r="K40" t="s">
        <v>564</v>
      </c>
      <c r="L40" t="s">
        <v>27</v>
      </c>
      <c r="M40" s="3">
        <v>4000</v>
      </c>
      <c r="N40" t="s">
        <v>27</v>
      </c>
      <c r="O40" s="3">
        <v>4000</v>
      </c>
      <c r="P40" s="3">
        <v>4000</v>
      </c>
      <c r="Q40" t="s">
        <v>30</v>
      </c>
      <c r="R40" s="2">
        <v>0.7</v>
      </c>
      <c r="S40" s="3">
        <v>2800</v>
      </c>
      <c r="T40" t="s">
        <v>27</v>
      </c>
      <c r="U40" s="3">
        <v>2800</v>
      </c>
      <c r="V40" s="7" t="s">
        <v>24</v>
      </c>
      <c r="W40" s="7" t="s">
        <v>564</v>
      </c>
    </row>
    <row r="41" spans="1:23" x14ac:dyDescent="0.4">
      <c r="A41" t="s">
        <v>262</v>
      </c>
      <c r="B41" t="s">
        <v>2159</v>
      </c>
      <c r="C41" t="s">
        <v>2189</v>
      </c>
      <c r="D41" t="s">
        <v>21</v>
      </c>
      <c r="E41" t="s">
        <v>22</v>
      </c>
      <c r="F41" t="s">
        <v>23</v>
      </c>
      <c r="G41">
        <v>1</v>
      </c>
      <c r="H41">
        <v>9791189084813</v>
      </c>
      <c r="I41" t="s">
        <v>143</v>
      </c>
      <c r="J41" t="s">
        <v>563</v>
      </c>
      <c r="K41" t="s">
        <v>564</v>
      </c>
      <c r="L41" t="s">
        <v>27</v>
      </c>
      <c r="M41" s="3">
        <v>4000</v>
      </c>
      <c r="N41" t="s">
        <v>27</v>
      </c>
      <c r="O41" s="3">
        <v>4000</v>
      </c>
      <c r="P41" s="3">
        <v>4000</v>
      </c>
      <c r="Q41" t="s">
        <v>30</v>
      </c>
      <c r="R41" s="2">
        <v>0.7</v>
      </c>
      <c r="S41" s="3">
        <v>2800</v>
      </c>
      <c r="T41" t="s">
        <v>27</v>
      </c>
      <c r="U41" s="3">
        <v>2800</v>
      </c>
      <c r="V41" s="7" t="s">
        <v>24</v>
      </c>
      <c r="W41" s="7" t="s">
        <v>564</v>
      </c>
    </row>
    <row r="42" spans="1:23" x14ac:dyDescent="0.4">
      <c r="A42" t="s">
        <v>262</v>
      </c>
      <c r="B42" t="s">
        <v>2159</v>
      </c>
      <c r="C42" t="s">
        <v>2210</v>
      </c>
      <c r="D42" t="s">
        <v>21</v>
      </c>
      <c r="E42" t="s">
        <v>22</v>
      </c>
      <c r="F42" t="s">
        <v>23</v>
      </c>
      <c r="G42">
        <v>1</v>
      </c>
      <c r="H42">
        <v>9791189084813</v>
      </c>
      <c r="I42" t="s">
        <v>143</v>
      </c>
      <c r="J42" t="s">
        <v>563</v>
      </c>
      <c r="K42" t="s">
        <v>564</v>
      </c>
      <c r="L42" t="s">
        <v>27</v>
      </c>
      <c r="M42" s="3">
        <v>4000</v>
      </c>
      <c r="N42" t="s">
        <v>27</v>
      </c>
      <c r="O42" s="3">
        <v>4000</v>
      </c>
      <c r="P42" s="3">
        <v>4000</v>
      </c>
      <c r="Q42" t="s">
        <v>30</v>
      </c>
      <c r="R42" s="2">
        <v>0.7</v>
      </c>
      <c r="S42" s="3">
        <v>2800</v>
      </c>
      <c r="T42" t="s">
        <v>27</v>
      </c>
      <c r="U42" s="3">
        <v>2800</v>
      </c>
      <c r="V42" s="7" t="s">
        <v>24</v>
      </c>
      <c r="W42" s="7" t="s">
        <v>564</v>
      </c>
    </row>
    <row r="43" spans="1:23" x14ac:dyDescent="0.4">
      <c r="A43" t="s">
        <v>262</v>
      </c>
      <c r="B43" t="s">
        <v>2159</v>
      </c>
      <c r="C43" t="s">
        <v>2217</v>
      </c>
      <c r="D43" t="s">
        <v>21</v>
      </c>
      <c r="E43" t="s">
        <v>22</v>
      </c>
      <c r="F43" t="s">
        <v>23</v>
      </c>
      <c r="G43">
        <v>1</v>
      </c>
      <c r="H43">
        <v>9791189084813</v>
      </c>
      <c r="I43" t="s">
        <v>143</v>
      </c>
      <c r="J43" t="s">
        <v>563</v>
      </c>
      <c r="K43" t="s">
        <v>564</v>
      </c>
      <c r="L43" t="s">
        <v>27</v>
      </c>
      <c r="M43" s="3">
        <v>4000</v>
      </c>
      <c r="N43" t="s">
        <v>27</v>
      </c>
      <c r="O43" s="3">
        <v>4000</v>
      </c>
      <c r="P43" s="3">
        <v>4000</v>
      </c>
      <c r="Q43" t="s">
        <v>30</v>
      </c>
      <c r="R43" s="2">
        <v>0.7</v>
      </c>
      <c r="S43" s="3">
        <v>2800</v>
      </c>
      <c r="T43" t="s">
        <v>27</v>
      </c>
      <c r="U43" s="3">
        <v>2800</v>
      </c>
      <c r="V43" s="7" t="s">
        <v>24</v>
      </c>
      <c r="W43" s="7" t="s">
        <v>564</v>
      </c>
    </row>
    <row r="44" spans="1:23" x14ac:dyDescent="0.4">
      <c r="A44" t="s">
        <v>262</v>
      </c>
      <c r="B44" t="s">
        <v>2159</v>
      </c>
      <c r="C44" t="s">
        <v>2219</v>
      </c>
      <c r="D44" t="s">
        <v>21</v>
      </c>
      <c r="E44" t="s">
        <v>22</v>
      </c>
      <c r="F44" t="s">
        <v>23</v>
      </c>
      <c r="G44">
        <v>1</v>
      </c>
      <c r="H44">
        <v>9791189084813</v>
      </c>
      <c r="I44" t="s">
        <v>143</v>
      </c>
      <c r="J44" t="s">
        <v>563</v>
      </c>
      <c r="K44" t="s">
        <v>564</v>
      </c>
      <c r="L44" t="s">
        <v>27</v>
      </c>
      <c r="M44" s="3">
        <v>4000</v>
      </c>
      <c r="N44" t="s">
        <v>27</v>
      </c>
      <c r="O44" s="3">
        <v>4000</v>
      </c>
      <c r="P44" s="3">
        <v>4000</v>
      </c>
      <c r="Q44" t="s">
        <v>30</v>
      </c>
      <c r="R44" s="2">
        <v>0.7</v>
      </c>
      <c r="S44" s="3">
        <v>2800</v>
      </c>
      <c r="T44" t="s">
        <v>27</v>
      </c>
      <c r="U44" s="3">
        <v>2800</v>
      </c>
      <c r="V44" s="7" t="s">
        <v>24</v>
      </c>
      <c r="W44" s="7" t="s">
        <v>564</v>
      </c>
    </row>
    <row r="45" spans="1:23" x14ac:dyDescent="0.4">
      <c r="A45" t="s">
        <v>262</v>
      </c>
      <c r="B45" t="s">
        <v>2236</v>
      </c>
      <c r="C45" t="s">
        <v>2251</v>
      </c>
      <c r="D45" t="s">
        <v>21</v>
      </c>
      <c r="E45" t="s">
        <v>22</v>
      </c>
      <c r="F45" t="s">
        <v>23</v>
      </c>
      <c r="G45">
        <v>1</v>
      </c>
      <c r="H45">
        <v>9791189084813</v>
      </c>
      <c r="I45" t="s">
        <v>143</v>
      </c>
      <c r="J45" t="s">
        <v>563</v>
      </c>
      <c r="K45" t="s">
        <v>564</v>
      </c>
      <c r="L45" t="s">
        <v>27</v>
      </c>
      <c r="M45" s="3">
        <v>4000</v>
      </c>
      <c r="N45" t="s">
        <v>27</v>
      </c>
      <c r="O45" s="3">
        <v>4000</v>
      </c>
      <c r="P45" s="3">
        <v>4000</v>
      </c>
      <c r="Q45" t="s">
        <v>30</v>
      </c>
      <c r="R45" s="2">
        <v>0.7</v>
      </c>
      <c r="S45" s="3">
        <v>2800</v>
      </c>
      <c r="T45" t="s">
        <v>27</v>
      </c>
      <c r="U45" s="3">
        <v>2800</v>
      </c>
      <c r="V45" s="7" t="s">
        <v>24</v>
      </c>
      <c r="W45" s="7" t="s">
        <v>564</v>
      </c>
    </row>
    <row r="46" spans="1:23" x14ac:dyDescent="0.4">
      <c r="A46" t="s">
        <v>262</v>
      </c>
      <c r="B46" t="s">
        <v>2236</v>
      </c>
      <c r="C46" t="s">
        <v>2253</v>
      </c>
      <c r="D46" t="s">
        <v>21</v>
      </c>
      <c r="E46" t="s">
        <v>22</v>
      </c>
      <c r="F46" t="s">
        <v>23</v>
      </c>
      <c r="G46">
        <v>1</v>
      </c>
      <c r="H46">
        <v>9791164370962</v>
      </c>
      <c r="I46" t="s">
        <v>143</v>
      </c>
      <c r="J46" t="s">
        <v>1939</v>
      </c>
      <c r="K46" t="s">
        <v>564</v>
      </c>
      <c r="L46" t="s">
        <v>27</v>
      </c>
      <c r="M46" s="3">
        <v>3800</v>
      </c>
      <c r="N46" t="s">
        <v>27</v>
      </c>
      <c r="O46" s="3">
        <v>3800</v>
      </c>
      <c r="P46" s="3">
        <v>3800</v>
      </c>
      <c r="Q46" t="s">
        <v>30</v>
      </c>
      <c r="R46" s="2">
        <v>0.7</v>
      </c>
      <c r="S46" s="3">
        <v>2660</v>
      </c>
      <c r="T46" t="s">
        <v>27</v>
      </c>
      <c r="U46" s="3">
        <v>2660</v>
      </c>
      <c r="V46" s="7" t="s">
        <v>24</v>
      </c>
      <c r="W46" s="7" t="s">
        <v>564</v>
      </c>
    </row>
    <row r="47" spans="1:23" x14ac:dyDescent="0.4">
      <c r="A47" t="s">
        <v>262</v>
      </c>
      <c r="B47" t="s">
        <v>2308</v>
      </c>
      <c r="C47" t="s">
        <v>2310</v>
      </c>
      <c r="D47" t="s">
        <v>21</v>
      </c>
      <c r="E47" t="s">
        <v>22</v>
      </c>
      <c r="F47" t="s">
        <v>23</v>
      </c>
      <c r="G47">
        <v>1</v>
      </c>
      <c r="H47">
        <v>9791189084813</v>
      </c>
      <c r="I47" t="s">
        <v>143</v>
      </c>
      <c r="J47" t="s">
        <v>563</v>
      </c>
      <c r="K47" t="s">
        <v>564</v>
      </c>
      <c r="L47" t="s">
        <v>27</v>
      </c>
      <c r="M47" s="3">
        <v>4000</v>
      </c>
      <c r="N47" t="s">
        <v>27</v>
      </c>
      <c r="O47" s="3">
        <v>4000</v>
      </c>
      <c r="P47" s="3">
        <v>4000</v>
      </c>
      <c r="Q47" t="s">
        <v>30</v>
      </c>
      <c r="R47" s="2">
        <v>0.7</v>
      </c>
      <c r="S47" s="3">
        <v>2800</v>
      </c>
      <c r="T47" t="s">
        <v>27</v>
      </c>
      <c r="U47" s="3">
        <v>2800</v>
      </c>
      <c r="V47" s="7" t="s">
        <v>24</v>
      </c>
      <c r="W47" s="7" t="s">
        <v>564</v>
      </c>
    </row>
    <row r="48" spans="1:23" x14ac:dyDescent="0.4">
      <c r="A48" t="s">
        <v>262</v>
      </c>
      <c r="B48" t="s">
        <v>2308</v>
      </c>
      <c r="C48" t="s">
        <v>2320</v>
      </c>
      <c r="D48" t="s">
        <v>21</v>
      </c>
      <c r="E48" t="s">
        <v>22</v>
      </c>
      <c r="F48" t="s">
        <v>23</v>
      </c>
      <c r="G48">
        <v>1</v>
      </c>
      <c r="H48">
        <v>9791189084813</v>
      </c>
      <c r="I48" t="s">
        <v>143</v>
      </c>
      <c r="J48" t="s">
        <v>563</v>
      </c>
      <c r="K48" t="s">
        <v>564</v>
      </c>
      <c r="L48" t="s">
        <v>27</v>
      </c>
      <c r="M48" s="3">
        <v>4000</v>
      </c>
      <c r="N48" t="s">
        <v>27</v>
      </c>
      <c r="O48" s="3">
        <v>4000</v>
      </c>
      <c r="P48" s="3">
        <v>4000</v>
      </c>
      <c r="Q48" t="s">
        <v>30</v>
      </c>
      <c r="R48" s="2">
        <v>0.7</v>
      </c>
      <c r="S48" s="3">
        <v>2800</v>
      </c>
      <c r="T48" t="s">
        <v>27</v>
      </c>
      <c r="U48" s="3">
        <v>2800</v>
      </c>
      <c r="V48" s="7" t="s">
        <v>24</v>
      </c>
      <c r="W48" s="7" t="s">
        <v>564</v>
      </c>
    </row>
    <row r="49" spans="1:23" x14ac:dyDescent="0.4">
      <c r="A49" t="s">
        <v>262</v>
      </c>
      <c r="B49" t="s">
        <v>2308</v>
      </c>
      <c r="C49" t="s">
        <v>2339</v>
      </c>
      <c r="D49" t="s">
        <v>21</v>
      </c>
      <c r="E49" t="s">
        <v>22</v>
      </c>
      <c r="F49" t="s">
        <v>23</v>
      </c>
      <c r="G49">
        <v>1</v>
      </c>
      <c r="H49">
        <v>9791189084813</v>
      </c>
      <c r="I49" t="s">
        <v>143</v>
      </c>
      <c r="J49" t="s">
        <v>563</v>
      </c>
      <c r="K49" t="s">
        <v>564</v>
      </c>
      <c r="L49" t="s">
        <v>27</v>
      </c>
      <c r="M49" s="3">
        <v>4000</v>
      </c>
      <c r="N49" t="s">
        <v>27</v>
      </c>
      <c r="O49" s="3">
        <v>4000</v>
      </c>
      <c r="P49" s="3">
        <v>4000</v>
      </c>
      <c r="Q49" t="s">
        <v>30</v>
      </c>
      <c r="R49" s="2">
        <v>0.7</v>
      </c>
      <c r="S49" s="3">
        <v>2800</v>
      </c>
      <c r="T49" t="s">
        <v>27</v>
      </c>
      <c r="U49" s="3">
        <v>2800</v>
      </c>
      <c r="V49" s="7" t="s">
        <v>24</v>
      </c>
      <c r="W49" s="7" t="s">
        <v>564</v>
      </c>
    </row>
    <row r="50" spans="1:23" x14ac:dyDescent="0.4">
      <c r="A50" t="s">
        <v>262</v>
      </c>
      <c r="B50" t="s">
        <v>2394</v>
      </c>
      <c r="C50" t="s">
        <v>2464</v>
      </c>
      <c r="D50" t="s">
        <v>21</v>
      </c>
      <c r="E50" t="s">
        <v>22</v>
      </c>
      <c r="F50" t="s">
        <v>23</v>
      </c>
      <c r="G50">
        <v>1</v>
      </c>
      <c r="H50">
        <v>9791189084813</v>
      </c>
      <c r="I50" t="s">
        <v>143</v>
      </c>
      <c r="J50" t="s">
        <v>563</v>
      </c>
      <c r="K50" t="s">
        <v>564</v>
      </c>
      <c r="L50" t="s">
        <v>27</v>
      </c>
      <c r="M50" s="3">
        <v>4000</v>
      </c>
      <c r="N50" t="s">
        <v>27</v>
      </c>
      <c r="O50" s="3">
        <v>4000</v>
      </c>
      <c r="P50" s="3">
        <v>4000</v>
      </c>
      <c r="Q50" t="s">
        <v>30</v>
      </c>
      <c r="R50" s="2">
        <v>0.7</v>
      </c>
      <c r="S50" s="3">
        <v>2800</v>
      </c>
      <c r="T50" t="s">
        <v>27</v>
      </c>
      <c r="U50" s="3">
        <v>2800</v>
      </c>
      <c r="V50" s="7" t="s">
        <v>24</v>
      </c>
      <c r="W50" s="7" t="s">
        <v>564</v>
      </c>
    </row>
    <row r="51" spans="1:23" x14ac:dyDescent="0.4">
      <c r="A51" t="s">
        <v>262</v>
      </c>
      <c r="B51" t="s">
        <v>262</v>
      </c>
      <c r="C51" t="s">
        <v>2498</v>
      </c>
      <c r="D51" t="s">
        <v>21</v>
      </c>
      <c r="E51" t="s">
        <v>22</v>
      </c>
      <c r="F51" t="s">
        <v>23</v>
      </c>
      <c r="G51">
        <v>1</v>
      </c>
      <c r="H51">
        <v>9791189084813</v>
      </c>
      <c r="I51" t="s">
        <v>143</v>
      </c>
      <c r="J51" t="s">
        <v>563</v>
      </c>
      <c r="K51" t="s">
        <v>564</v>
      </c>
      <c r="L51" t="s">
        <v>27</v>
      </c>
      <c r="M51" s="3">
        <v>4000</v>
      </c>
      <c r="N51" t="s">
        <v>27</v>
      </c>
      <c r="O51" s="3">
        <v>4000</v>
      </c>
      <c r="P51" s="3">
        <v>4000</v>
      </c>
      <c r="Q51" t="s">
        <v>30</v>
      </c>
      <c r="R51" s="2">
        <v>0.7</v>
      </c>
      <c r="S51" s="3">
        <v>2800</v>
      </c>
      <c r="T51" t="s">
        <v>27</v>
      </c>
      <c r="U51" s="3">
        <v>2800</v>
      </c>
      <c r="V51" s="7" t="s">
        <v>24</v>
      </c>
      <c r="W51" s="7" t="s">
        <v>564</v>
      </c>
    </row>
    <row r="52" spans="1:23" x14ac:dyDescent="0.4">
      <c r="A52" t="s">
        <v>262</v>
      </c>
      <c r="B52" t="s">
        <v>262</v>
      </c>
      <c r="C52" t="s">
        <v>2504</v>
      </c>
      <c r="D52" t="s">
        <v>21</v>
      </c>
      <c r="E52" t="s">
        <v>22</v>
      </c>
      <c r="F52" t="s">
        <v>23</v>
      </c>
      <c r="G52">
        <v>1</v>
      </c>
      <c r="H52">
        <v>9791189084813</v>
      </c>
      <c r="I52" t="s">
        <v>143</v>
      </c>
      <c r="J52" t="s">
        <v>563</v>
      </c>
      <c r="K52" t="s">
        <v>564</v>
      </c>
      <c r="L52" t="s">
        <v>27</v>
      </c>
      <c r="M52" s="3">
        <v>4000</v>
      </c>
      <c r="N52" t="s">
        <v>27</v>
      </c>
      <c r="O52" s="3">
        <v>4000</v>
      </c>
      <c r="P52" s="3">
        <v>4000</v>
      </c>
      <c r="Q52" t="s">
        <v>30</v>
      </c>
      <c r="R52" s="2">
        <v>0.7</v>
      </c>
      <c r="S52" s="3">
        <v>2800</v>
      </c>
      <c r="T52" t="s">
        <v>27</v>
      </c>
      <c r="U52" s="3">
        <v>2800</v>
      </c>
      <c r="V52" s="7" t="s">
        <v>24</v>
      </c>
      <c r="W52" s="7" t="s">
        <v>564</v>
      </c>
    </row>
    <row r="53" spans="1:23" x14ac:dyDescent="0.4">
      <c r="A53" t="s">
        <v>262</v>
      </c>
      <c r="B53" t="s">
        <v>262</v>
      </c>
      <c r="C53" t="s">
        <v>2525</v>
      </c>
      <c r="D53" t="s">
        <v>21</v>
      </c>
      <c r="E53" t="s">
        <v>22</v>
      </c>
      <c r="F53" t="s">
        <v>23</v>
      </c>
      <c r="G53">
        <v>1</v>
      </c>
      <c r="H53">
        <v>9791164370962</v>
      </c>
      <c r="I53" t="s">
        <v>143</v>
      </c>
      <c r="J53" t="s">
        <v>1939</v>
      </c>
      <c r="K53" t="s">
        <v>564</v>
      </c>
      <c r="L53" t="s">
        <v>27</v>
      </c>
      <c r="M53" s="3">
        <v>3800</v>
      </c>
      <c r="N53" t="s">
        <v>27</v>
      </c>
      <c r="O53" s="3">
        <v>3800</v>
      </c>
      <c r="P53" s="3">
        <v>3800</v>
      </c>
      <c r="Q53" t="s">
        <v>30</v>
      </c>
      <c r="R53" s="2">
        <v>0.7</v>
      </c>
      <c r="S53" s="3">
        <v>2660</v>
      </c>
      <c r="T53" t="s">
        <v>27</v>
      </c>
      <c r="U53" s="3">
        <v>2660</v>
      </c>
      <c r="V53" s="7" t="s">
        <v>24</v>
      </c>
      <c r="W53" s="7" t="s">
        <v>564</v>
      </c>
    </row>
    <row r="54" spans="1:23" x14ac:dyDescent="0.4">
      <c r="A54" t="s">
        <v>262</v>
      </c>
      <c r="B54" t="s">
        <v>262</v>
      </c>
      <c r="C54" t="s">
        <v>2530</v>
      </c>
      <c r="D54" t="s">
        <v>21</v>
      </c>
      <c r="E54" t="s">
        <v>22</v>
      </c>
      <c r="F54" t="s">
        <v>23</v>
      </c>
      <c r="G54">
        <v>1</v>
      </c>
      <c r="H54">
        <v>9791189084813</v>
      </c>
      <c r="I54" t="s">
        <v>143</v>
      </c>
      <c r="J54" t="s">
        <v>563</v>
      </c>
      <c r="K54" t="s">
        <v>564</v>
      </c>
      <c r="L54" t="s">
        <v>27</v>
      </c>
      <c r="M54" s="3">
        <v>4000</v>
      </c>
      <c r="N54" t="s">
        <v>27</v>
      </c>
      <c r="O54" s="3">
        <v>4000</v>
      </c>
      <c r="P54" s="3">
        <v>4000</v>
      </c>
      <c r="Q54" t="s">
        <v>30</v>
      </c>
      <c r="R54" s="2">
        <v>0.7</v>
      </c>
      <c r="S54" s="3">
        <v>2800</v>
      </c>
      <c r="T54" t="s">
        <v>27</v>
      </c>
      <c r="U54" s="3">
        <v>2800</v>
      </c>
      <c r="V54" s="7" t="s">
        <v>24</v>
      </c>
      <c r="W54" s="7" t="s">
        <v>564</v>
      </c>
    </row>
    <row r="55" spans="1:23" x14ac:dyDescent="0.4">
      <c r="A55" t="s">
        <v>262</v>
      </c>
      <c r="B55" t="s">
        <v>262</v>
      </c>
      <c r="C55" t="s">
        <v>2531</v>
      </c>
      <c r="D55" t="s">
        <v>21</v>
      </c>
      <c r="E55" t="s">
        <v>22</v>
      </c>
      <c r="F55" t="s">
        <v>23</v>
      </c>
      <c r="G55">
        <v>1</v>
      </c>
      <c r="H55">
        <v>9791164372188</v>
      </c>
      <c r="I55" t="s">
        <v>143</v>
      </c>
      <c r="J55" t="s">
        <v>2532</v>
      </c>
      <c r="K55" t="s">
        <v>564</v>
      </c>
      <c r="L55" t="s">
        <v>27</v>
      </c>
      <c r="M55">
        <v>300</v>
      </c>
      <c r="N55" t="s">
        <v>27</v>
      </c>
      <c r="O55">
        <v>300</v>
      </c>
      <c r="P55">
        <v>300</v>
      </c>
      <c r="Q55" t="s">
        <v>30</v>
      </c>
      <c r="R55" s="2">
        <v>0.7</v>
      </c>
      <c r="S55">
        <v>210</v>
      </c>
      <c r="T55" t="s">
        <v>27</v>
      </c>
      <c r="U55">
        <v>210</v>
      </c>
      <c r="V55" s="7" t="s">
        <v>24</v>
      </c>
      <c r="W55" s="7" t="s">
        <v>564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35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7.5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647</v>
      </c>
      <c r="C2" t="s">
        <v>721</v>
      </c>
      <c r="D2" t="s">
        <v>21</v>
      </c>
      <c r="E2" t="s">
        <v>22</v>
      </c>
      <c r="F2" t="s">
        <v>23</v>
      </c>
      <c r="G2">
        <v>1</v>
      </c>
      <c r="H2">
        <v>9791159289583</v>
      </c>
      <c r="I2" t="s">
        <v>24</v>
      </c>
      <c r="J2" t="s">
        <v>141</v>
      </c>
      <c r="K2" t="s">
        <v>140</v>
      </c>
      <c r="L2" t="s">
        <v>27</v>
      </c>
      <c r="M2" s="3">
        <v>3200</v>
      </c>
      <c r="N2" t="s">
        <v>28</v>
      </c>
      <c r="O2">
        <v>2.64</v>
      </c>
      <c r="P2">
        <v>2.64</v>
      </c>
      <c r="Q2" t="s">
        <v>29</v>
      </c>
      <c r="R2" s="2">
        <v>0.7</v>
      </c>
      <c r="S2">
        <v>1.85</v>
      </c>
      <c r="T2" t="s">
        <v>27</v>
      </c>
      <c r="U2" s="3">
        <v>2354</v>
      </c>
      <c r="V2" s="7" t="s">
        <v>24</v>
      </c>
      <c r="W2" s="7" t="s">
        <v>140</v>
      </c>
    </row>
    <row r="3" spans="1:23" x14ac:dyDescent="0.4">
      <c r="A3" t="s">
        <v>262</v>
      </c>
      <c r="B3" t="s">
        <v>722</v>
      </c>
      <c r="C3" t="s">
        <v>753</v>
      </c>
      <c r="D3" t="s">
        <v>21</v>
      </c>
      <c r="E3" t="s">
        <v>22</v>
      </c>
      <c r="F3" t="s">
        <v>23</v>
      </c>
      <c r="G3">
        <v>1</v>
      </c>
      <c r="H3">
        <v>9791159289590</v>
      </c>
      <c r="I3" t="s">
        <v>24</v>
      </c>
      <c r="J3" t="s">
        <v>170</v>
      </c>
      <c r="K3" t="s">
        <v>140</v>
      </c>
      <c r="L3" t="s">
        <v>27</v>
      </c>
      <c r="M3" s="3">
        <v>3200</v>
      </c>
      <c r="N3" t="s">
        <v>28</v>
      </c>
      <c r="O3">
        <v>2.64</v>
      </c>
      <c r="P3">
        <v>2.64</v>
      </c>
      <c r="Q3" t="s">
        <v>29</v>
      </c>
      <c r="R3" s="2">
        <v>0.7</v>
      </c>
      <c r="S3">
        <v>1.85</v>
      </c>
      <c r="T3" t="s">
        <v>27</v>
      </c>
      <c r="U3" s="3">
        <v>2354</v>
      </c>
      <c r="V3" s="7" t="s">
        <v>24</v>
      </c>
      <c r="W3" s="7" t="s">
        <v>140</v>
      </c>
    </row>
    <row r="4" spans="1:23" x14ac:dyDescent="0.4">
      <c r="A4" t="s">
        <v>262</v>
      </c>
      <c r="B4" t="s">
        <v>722</v>
      </c>
      <c r="C4" t="s">
        <v>759</v>
      </c>
      <c r="D4" t="s">
        <v>21</v>
      </c>
      <c r="E4" t="s">
        <v>22</v>
      </c>
      <c r="F4" t="s">
        <v>23</v>
      </c>
      <c r="G4">
        <v>1</v>
      </c>
      <c r="H4">
        <v>9791159289606</v>
      </c>
      <c r="I4" t="s">
        <v>24</v>
      </c>
      <c r="J4" t="s">
        <v>171</v>
      </c>
      <c r="K4" t="s">
        <v>140</v>
      </c>
      <c r="L4" t="s">
        <v>27</v>
      </c>
      <c r="M4" s="3">
        <v>3200</v>
      </c>
      <c r="N4" t="s">
        <v>28</v>
      </c>
      <c r="O4">
        <v>2.64</v>
      </c>
      <c r="P4">
        <v>2.64</v>
      </c>
      <c r="Q4" t="s">
        <v>29</v>
      </c>
      <c r="R4" s="2">
        <v>0.7</v>
      </c>
      <c r="S4">
        <v>1.85</v>
      </c>
      <c r="T4" t="s">
        <v>27</v>
      </c>
      <c r="U4" s="3">
        <v>2354</v>
      </c>
      <c r="V4" s="7" t="s">
        <v>24</v>
      </c>
      <c r="W4" s="7" t="s">
        <v>140</v>
      </c>
    </row>
    <row r="5" spans="1:23" x14ac:dyDescent="0.4">
      <c r="A5" t="s">
        <v>262</v>
      </c>
      <c r="B5" t="s">
        <v>899</v>
      </c>
      <c r="C5" t="s">
        <v>923</v>
      </c>
      <c r="D5" t="s">
        <v>21</v>
      </c>
      <c r="E5" t="s">
        <v>22</v>
      </c>
      <c r="F5" t="s">
        <v>23</v>
      </c>
      <c r="G5">
        <v>1</v>
      </c>
      <c r="H5">
        <v>9791159289583</v>
      </c>
      <c r="I5" t="s">
        <v>24</v>
      </c>
      <c r="J5" t="s">
        <v>141</v>
      </c>
      <c r="K5" t="s">
        <v>140</v>
      </c>
      <c r="L5" t="s">
        <v>27</v>
      </c>
      <c r="M5" s="3">
        <v>3200</v>
      </c>
      <c r="N5" t="s">
        <v>27</v>
      </c>
      <c r="O5" s="3">
        <v>3200</v>
      </c>
      <c r="P5" s="3">
        <v>3200</v>
      </c>
      <c r="Q5" t="s">
        <v>30</v>
      </c>
      <c r="R5" s="2">
        <v>0.7</v>
      </c>
      <c r="S5" s="3">
        <v>2240</v>
      </c>
      <c r="T5" t="s">
        <v>27</v>
      </c>
      <c r="U5" s="3">
        <v>2240</v>
      </c>
      <c r="V5" s="7" t="s">
        <v>24</v>
      </c>
      <c r="W5" s="7" t="s">
        <v>140</v>
      </c>
    </row>
    <row r="6" spans="1:23" x14ac:dyDescent="0.4">
      <c r="A6" t="s">
        <v>262</v>
      </c>
      <c r="B6" t="s">
        <v>899</v>
      </c>
      <c r="C6" t="s">
        <v>964</v>
      </c>
      <c r="D6" t="s">
        <v>21</v>
      </c>
      <c r="E6" t="s">
        <v>22</v>
      </c>
      <c r="F6" t="s">
        <v>23</v>
      </c>
      <c r="G6">
        <v>1</v>
      </c>
      <c r="H6">
        <v>9791159289583</v>
      </c>
      <c r="I6" t="s">
        <v>24</v>
      </c>
      <c r="J6" t="s">
        <v>141</v>
      </c>
      <c r="K6" t="s">
        <v>140</v>
      </c>
      <c r="L6" t="s">
        <v>27</v>
      </c>
      <c r="M6" s="3">
        <v>3200</v>
      </c>
      <c r="N6" t="s">
        <v>27</v>
      </c>
      <c r="O6" s="3">
        <v>3200</v>
      </c>
      <c r="P6" s="3">
        <v>3200</v>
      </c>
      <c r="Q6" t="s">
        <v>30</v>
      </c>
      <c r="R6" s="2">
        <v>0.7</v>
      </c>
      <c r="S6" s="3">
        <v>2240</v>
      </c>
      <c r="T6" t="s">
        <v>27</v>
      </c>
      <c r="U6" s="3">
        <v>2240</v>
      </c>
      <c r="V6" s="7" t="s">
        <v>24</v>
      </c>
      <c r="W6" s="7" t="s">
        <v>140</v>
      </c>
    </row>
    <row r="7" spans="1:23" x14ac:dyDescent="0.4">
      <c r="A7" t="s">
        <v>262</v>
      </c>
      <c r="B7" t="s">
        <v>1058</v>
      </c>
      <c r="C7" t="s">
        <v>1116</v>
      </c>
      <c r="D7" t="s">
        <v>21</v>
      </c>
      <c r="E7" t="s">
        <v>22</v>
      </c>
      <c r="F7" t="s">
        <v>23</v>
      </c>
      <c r="G7">
        <v>1</v>
      </c>
      <c r="H7">
        <v>9791159289583</v>
      </c>
      <c r="I7" t="s">
        <v>24</v>
      </c>
      <c r="J7" t="s">
        <v>141</v>
      </c>
      <c r="K7" t="s">
        <v>140</v>
      </c>
      <c r="L7" t="s">
        <v>27</v>
      </c>
      <c r="M7" s="3">
        <v>3200</v>
      </c>
      <c r="N7" t="s">
        <v>27</v>
      </c>
      <c r="O7" s="3">
        <v>3200</v>
      </c>
      <c r="P7" s="3">
        <v>3200</v>
      </c>
      <c r="Q7" t="s">
        <v>30</v>
      </c>
      <c r="R7" s="2">
        <v>0.7</v>
      </c>
      <c r="S7" s="3">
        <v>2240</v>
      </c>
      <c r="T7" t="s">
        <v>27</v>
      </c>
      <c r="U7" s="3">
        <v>2240</v>
      </c>
      <c r="V7" s="7" t="s">
        <v>24</v>
      </c>
      <c r="W7" s="7" t="s">
        <v>140</v>
      </c>
    </row>
    <row r="8" spans="1:23" x14ac:dyDescent="0.4">
      <c r="A8" t="s">
        <v>262</v>
      </c>
      <c r="B8" t="s">
        <v>1121</v>
      </c>
      <c r="C8" t="s">
        <v>1128</v>
      </c>
      <c r="D8" t="s">
        <v>21</v>
      </c>
      <c r="E8" t="s">
        <v>22</v>
      </c>
      <c r="F8" t="s">
        <v>23</v>
      </c>
      <c r="G8">
        <v>1</v>
      </c>
      <c r="H8">
        <v>9791159289590</v>
      </c>
      <c r="I8" t="s">
        <v>24</v>
      </c>
      <c r="J8" t="s">
        <v>170</v>
      </c>
      <c r="K8" t="s">
        <v>140</v>
      </c>
      <c r="L8" t="s">
        <v>27</v>
      </c>
      <c r="M8" s="3">
        <v>3200</v>
      </c>
      <c r="N8" t="s">
        <v>27</v>
      </c>
      <c r="O8" s="3">
        <v>3200</v>
      </c>
      <c r="P8" s="3">
        <v>3200</v>
      </c>
      <c r="Q8" t="s">
        <v>30</v>
      </c>
      <c r="R8" s="2">
        <v>0.7</v>
      </c>
      <c r="S8" s="3">
        <v>2240</v>
      </c>
      <c r="T8" t="s">
        <v>27</v>
      </c>
      <c r="U8" s="3">
        <v>2240</v>
      </c>
      <c r="V8" s="7" t="s">
        <v>24</v>
      </c>
      <c r="W8" s="7" t="s">
        <v>140</v>
      </c>
    </row>
    <row r="9" spans="1:23" x14ac:dyDescent="0.4">
      <c r="A9" t="s">
        <v>262</v>
      </c>
      <c r="B9" t="s">
        <v>1121</v>
      </c>
      <c r="C9" t="s">
        <v>1147</v>
      </c>
      <c r="D9" t="s">
        <v>21</v>
      </c>
      <c r="E9" t="s">
        <v>22</v>
      </c>
      <c r="F9" t="s">
        <v>23</v>
      </c>
      <c r="G9">
        <v>1</v>
      </c>
      <c r="H9">
        <v>9791159289606</v>
      </c>
      <c r="I9" t="s">
        <v>24</v>
      </c>
      <c r="J9" t="s">
        <v>171</v>
      </c>
      <c r="K9" t="s">
        <v>140</v>
      </c>
      <c r="L9" t="s">
        <v>27</v>
      </c>
      <c r="M9" s="3">
        <v>3200</v>
      </c>
      <c r="N9" t="s">
        <v>27</v>
      </c>
      <c r="O9" s="3">
        <v>3200</v>
      </c>
      <c r="P9" s="3">
        <v>3200</v>
      </c>
      <c r="Q9" t="s">
        <v>30</v>
      </c>
      <c r="R9" s="2">
        <v>0.7</v>
      </c>
      <c r="S9" s="3">
        <v>2240</v>
      </c>
      <c r="T9" t="s">
        <v>27</v>
      </c>
      <c r="U9" s="3">
        <v>2240</v>
      </c>
      <c r="V9" s="7" t="s">
        <v>24</v>
      </c>
      <c r="W9" s="7" t="s">
        <v>140</v>
      </c>
    </row>
    <row r="10" spans="1:23" x14ac:dyDescent="0.4">
      <c r="A10" t="s">
        <v>262</v>
      </c>
      <c r="B10" t="s">
        <v>1121</v>
      </c>
      <c r="C10" t="s">
        <v>1177</v>
      </c>
      <c r="D10" t="s">
        <v>21</v>
      </c>
      <c r="E10" t="s">
        <v>22</v>
      </c>
      <c r="F10" t="s">
        <v>23</v>
      </c>
      <c r="G10">
        <v>1</v>
      </c>
      <c r="H10">
        <v>9791159289613</v>
      </c>
      <c r="I10" t="s">
        <v>24</v>
      </c>
      <c r="J10" t="s">
        <v>173</v>
      </c>
      <c r="K10" t="s">
        <v>140</v>
      </c>
      <c r="L10" t="s">
        <v>27</v>
      </c>
      <c r="M10" s="3">
        <v>3200</v>
      </c>
      <c r="N10" t="s">
        <v>27</v>
      </c>
      <c r="O10" s="3">
        <v>3200</v>
      </c>
      <c r="P10" s="3">
        <v>3200</v>
      </c>
      <c r="Q10" t="s">
        <v>30</v>
      </c>
      <c r="R10" s="2">
        <v>0.7</v>
      </c>
      <c r="S10" s="3">
        <v>2240</v>
      </c>
      <c r="T10" t="s">
        <v>27</v>
      </c>
      <c r="U10" s="3">
        <v>2240</v>
      </c>
      <c r="V10" s="7" t="s">
        <v>24</v>
      </c>
      <c r="W10" s="7" t="s">
        <v>140</v>
      </c>
    </row>
    <row r="11" spans="1:23" x14ac:dyDescent="0.4">
      <c r="A11" t="s">
        <v>262</v>
      </c>
      <c r="B11" t="s">
        <v>1121</v>
      </c>
      <c r="C11" t="s">
        <v>1180</v>
      </c>
      <c r="D11" t="s">
        <v>21</v>
      </c>
      <c r="E11" t="s">
        <v>22</v>
      </c>
      <c r="F11" t="s">
        <v>23</v>
      </c>
      <c r="G11">
        <v>1</v>
      </c>
      <c r="H11">
        <v>9791159289620</v>
      </c>
      <c r="I11" t="s">
        <v>24</v>
      </c>
      <c r="J11" t="s">
        <v>172</v>
      </c>
      <c r="K11" t="s">
        <v>140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  <c r="V11" s="7" t="s">
        <v>24</v>
      </c>
      <c r="W11" s="7" t="s">
        <v>140</v>
      </c>
    </row>
    <row r="12" spans="1:23" x14ac:dyDescent="0.4">
      <c r="A12" t="s">
        <v>262</v>
      </c>
      <c r="B12" t="s">
        <v>1198</v>
      </c>
      <c r="C12" t="s">
        <v>1216</v>
      </c>
      <c r="D12" t="s">
        <v>21</v>
      </c>
      <c r="E12" t="s">
        <v>22</v>
      </c>
      <c r="F12" t="s">
        <v>23</v>
      </c>
      <c r="G12">
        <v>1</v>
      </c>
      <c r="H12">
        <v>9791159289637</v>
      </c>
      <c r="I12" t="s">
        <v>24</v>
      </c>
      <c r="J12" t="s">
        <v>255</v>
      </c>
      <c r="K12" t="s">
        <v>140</v>
      </c>
      <c r="L12" t="s">
        <v>27</v>
      </c>
      <c r="M12" s="3">
        <v>3200</v>
      </c>
      <c r="N12" t="s">
        <v>27</v>
      </c>
      <c r="O12" s="3">
        <v>3200</v>
      </c>
      <c r="P12" s="3">
        <v>3200</v>
      </c>
      <c r="Q12" t="s">
        <v>30</v>
      </c>
      <c r="R12" s="2">
        <v>0.7</v>
      </c>
      <c r="S12" s="3">
        <v>2240</v>
      </c>
      <c r="T12" t="s">
        <v>27</v>
      </c>
      <c r="U12" s="3">
        <v>2240</v>
      </c>
      <c r="V12" s="7" t="s">
        <v>24</v>
      </c>
      <c r="W12" s="7" t="s">
        <v>140</v>
      </c>
    </row>
    <row r="13" spans="1:23" x14ac:dyDescent="0.4">
      <c r="A13" t="s">
        <v>262</v>
      </c>
      <c r="B13" t="s">
        <v>1198</v>
      </c>
      <c r="C13" t="s">
        <v>1239</v>
      </c>
      <c r="D13" t="s">
        <v>21</v>
      </c>
      <c r="E13" t="s">
        <v>22</v>
      </c>
      <c r="F13" t="s">
        <v>23</v>
      </c>
      <c r="G13">
        <v>1</v>
      </c>
      <c r="H13">
        <v>9791159289644</v>
      </c>
      <c r="I13" t="s">
        <v>24</v>
      </c>
      <c r="J13" t="s">
        <v>256</v>
      </c>
      <c r="K13" t="s">
        <v>140</v>
      </c>
      <c r="L13" t="s">
        <v>27</v>
      </c>
      <c r="M13" s="3">
        <v>3200</v>
      </c>
      <c r="N13" t="s">
        <v>27</v>
      </c>
      <c r="O13" s="3">
        <v>3200</v>
      </c>
      <c r="P13" s="3">
        <v>3200</v>
      </c>
      <c r="Q13" t="s">
        <v>30</v>
      </c>
      <c r="R13" s="2">
        <v>0.7</v>
      </c>
      <c r="S13" s="3">
        <v>2240</v>
      </c>
      <c r="T13" t="s">
        <v>27</v>
      </c>
      <c r="U13" s="3">
        <v>2240</v>
      </c>
      <c r="V13" s="7" t="s">
        <v>24</v>
      </c>
      <c r="W13" s="7" t="s">
        <v>140</v>
      </c>
    </row>
    <row r="14" spans="1:23" x14ac:dyDescent="0.4">
      <c r="A14" t="s">
        <v>262</v>
      </c>
      <c r="B14" t="s">
        <v>1198</v>
      </c>
      <c r="C14" t="s">
        <v>1257</v>
      </c>
      <c r="D14" t="s">
        <v>21</v>
      </c>
      <c r="E14" t="s">
        <v>22</v>
      </c>
      <c r="F14" t="s">
        <v>23</v>
      </c>
      <c r="G14">
        <v>1</v>
      </c>
      <c r="H14">
        <v>9791159289651</v>
      </c>
      <c r="I14" t="s">
        <v>24</v>
      </c>
      <c r="J14" t="s">
        <v>257</v>
      </c>
      <c r="K14" t="s">
        <v>140</v>
      </c>
      <c r="L14" t="s">
        <v>27</v>
      </c>
      <c r="M14" s="3">
        <v>3200</v>
      </c>
      <c r="N14" t="s">
        <v>27</v>
      </c>
      <c r="O14" s="3">
        <v>3200</v>
      </c>
      <c r="P14" s="3">
        <v>3200</v>
      </c>
      <c r="Q14" t="s">
        <v>30</v>
      </c>
      <c r="R14" s="2">
        <v>0.7</v>
      </c>
      <c r="S14" s="3">
        <v>2240</v>
      </c>
      <c r="T14" t="s">
        <v>27</v>
      </c>
      <c r="U14" s="3">
        <v>2240</v>
      </c>
      <c r="V14" s="7" t="s">
        <v>24</v>
      </c>
      <c r="W14" s="7" t="s">
        <v>140</v>
      </c>
    </row>
    <row r="15" spans="1:23" x14ac:dyDescent="0.4">
      <c r="A15" t="s">
        <v>262</v>
      </c>
      <c r="B15" t="s">
        <v>1411</v>
      </c>
      <c r="C15" t="s">
        <v>1494</v>
      </c>
      <c r="D15" t="s">
        <v>21</v>
      </c>
      <c r="E15" t="s">
        <v>22</v>
      </c>
      <c r="F15" t="s">
        <v>23</v>
      </c>
      <c r="G15">
        <v>1</v>
      </c>
      <c r="H15">
        <v>9791159289583</v>
      </c>
      <c r="I15" t="s">
        <v>24</v>
      </c>
      <c r="J15" t="s">
        <v>141</v>
      </c>
      <c r="K15" t="s">
        <v>140</v>
      </c>
      <c r="L15" t="s">
        <v>27</v>
      </c>
      <c r="M15" s="3">
        <v>3200</v>
      </c>
      <c r="N15" t="s">
        <v>27</v>
      </c>
      <c r="O15" s="3">
        <v>3200</v>
      </c>
      <c r="P15" s="3">
        <v>3200</v>
      </c>
      <c r="Q15" t="s">
        <v>30</v>
      </c>
      <c r="R15" s="2">
        <v>0.7</v>
      </c>
      <c r="S15" s="3">
        <v>2240</v>
      </c>
      <c r="T15" t="s">
        <v>27</v>
      </c>
      <c r="U15" s="3">
        <v>2240</v>
      </c>
      <c r="V15" s="7" t="s">
        <v>24</v>
      </c>
      <c r="W15" s="7" t="s">
        <v>140</v>
      </c>
    </row>
    <row r="16" spans="1:23" x14ac:dyDescent="0.4">
      <c r="A16" t="s">
        <v>262</v>
      </c>
      <c r="B16" t="s">
        <v>1704</v>
      </c>
      <c r="C16" t="s">
        <v>1708</v>
      </c>
      <c r="D16" t="s">
        <v>21</v>
      </c>
      <c r="E16" t="s">
        <v>22</v>
      </c>
      <c r="F16" t="s">
        <v>23</v>
      </c>
      <c r="G16">
        <v>1</v>
      </c>
      <c r="H16">
        <v>9791159289583</v>
      </c>
      <c r="I16" t="s">
        <v>24</v>
      </c>
      <c r="J16" t="s">
        <v>141</v>
      </c>
      <c r="K16" t="s">
        <v>140</v>
      </c>
      <c r="L16" t="s">
        <v>27</v>
      </c>
      <c r="M16" s="3">
        <v>3200</v>
      </c>
      <c r="N16" t="s">
        <v>27</v>
      </c>
      <c r="O16" s="3">
        <v>3200</v>
      </c>
      <c r="P16" s="3">
        <v>3200</v>
      </c>
      <c r="Q16" t="s">
        <v>30</v>
      </c>
      <c r="R16" s="2">
        <v>0.7</v>
      </c>
      <c r="S16" s="3">
        <v>2240</v>
      </c>
      <c r="T16" t="s">
        <v>27</v>
      </c>
      <c r="U16" s="3">
        <v>2240</v>
      </c>
      <c r="V16" s="7" t="s">
        <v>24</v>
      </c>
      <c r="W16" s="7" t="s">
        <v>140</v>
      </c>
    </row>
    <row r="17" spans="1:23" x14ac:dyDescent="0.4">
      <c r="A17" t="s">
        <v>262</v>
      </c>
      <c r="B17" t="s">
        <v>1704</v>
      </c>
      <c r="C17" t="s">
        <v>1708</v>
      </c>
      <c r="D17" t="s">
        <v>21</v>
      </c>
      <c r="E17" t="s">
        <v>22</v>
      </c>
      <c r="F17" t="s">
        <v>23</v>
      </c>
      <c r="G17">
        <v>1</v>
      </c>
      <c r="H17">
        <v>9791159289590</v>
      </c>
      <c r="I17" t="s">
        <v>24</v>
      </c>
      <c r="J17" t="s">
        <v>170</v>
      </c>
      <c r="K17" t="s">
        <v>140</v>
      </c>
      <c r="L17" t="s">
        <v>27</v>
      </c>
      <c r="M17" s="3">
        <v>3200</v>
      </c>
      <c r="N17" t="s">
        <v>27</v>
      </c>
      <c r="O17" s="3">
        <v>3200</v>
      </c>
      <c r="P17" s="3">
        <v>3200</v>
      </c>
      <c r="Q17" t="s">
        <v>30</v>
      </c>
      <c r="R17" s="2">
        <v>0.7</v>
      </c>
      <c r="S17" s="3">
        <v>2240</v>
      </c>
      <c r="T17" t="s">
        <v>27</v>
      </c>
      <c r="U17" s="3">
        <v>2240</v>
      </c>
      <c r="V17" s="7" t="s">
        <v>24</v>
      </c>
      <c r="W17" s="7" t="s">
        <v>140</v>
      </c>
    </row>
    <row r="18" spans="1:23" x14ac:dyDescent="0.4">
      <c r="A18" t="s">
        <v>262</v>
      </c>
      <c r="B18" t="s">
        <v>1704</v>
      </c>
      <c r="C18" t="s">
        <v>1708</v>
      </c>
      <c r="D18" t="s">
        <v>21</v>
      </c>
      <c r="E18" t="s">
        <v>22</v>
      </c>
      <c r="F18" t="s">
        <v>23</v>
      </c>
      <c r="G18">
        <v>1</v>
      </c>
      <c r="H18">
        <v>9791159289606</v>
      </c>
      <c r="I18" t="s">
        <v>24</v>
      </c>
      <c r="J18" t="s">
        <v>171</v>
      </c>
      <c r="K18" t="s">
        <v>140</v>
      </c>
      <c r="L18" t="s">
        <v>27</v>
      </c>
      <c r="M18" s="3">
        <v>3200</v>
      </c>
      <c r="N18" t="s">
        <v>27</v>
      </c>
      <c r="O18" s="3">
        <v>3200</v>
      </c>
      <c r="P18" s="3">
        <v>3200</v>
      </c>
      <c r="Q18" t="s">
        <v>30</v>
      </c>
      <c r="R18" s="2">
        <v>0.7</v>
      </c>
      <c r="S18" s="3">
        <v>2240</v>
      </c>
      <c r="T18" t="s">
        <v>27</v>
      </c>
      <c r="U18" s="3">
        <v>2240</v>
      </c>
      <c r="V18" s="7" t="s">
        <v>24</v>
      </c>
      <c r="W18" s="7" t="s">
        <v>140</v>
      </c>
    </row>
    <row r="19" spans="1:23" x14ac:dyDescent="0.4">
      <c r="A19" t="s">
        <v>262</v>
      </c>
      <c r="B19" t="s">
        <v>1704</v>
      </c>
      <c r="C19" t="s">
        <v>1708</v>
      </c>
      <c r="D19" t="s">
        <v>21</v>
      </c>
      <c r="E19" t="s">
        <v>22</v>
      </c>
      <c r="F19" t="s">
        <v>23</v>
      </c>
      <c r="G19">
        <v>1</v>
      </c>
      <c r="H19">
        <v>9791159289613</v>
      </c>
      <c r="I19" t="s">
        <v>24</v>
      </c>
      <c r="J19" t="s">
        <v>173</v>
      </c>
      <c r="K19" t="s">
        <v>140</v>
      </c>
      <c r="L19" t="s">
        <v>27</v>
      </c>
      <c r="M19" s="3">
        <v>3200</v>
      </c>
      <c r="N19" t="s">
        <v>27</v>
      </c>
      <c r="O19" s="3">
        <v>3200</v>
      </c>
      <c r="P19" s="3">
        <v>3200</v>
      </c>
      <c r="Q19" t="s">
        <v>30</v>
      </c>
      <c r="R19" s="2">
        <v>0.7</v>
      </c>
      <c r="S19" s="3">
        <v>2240</v>
      </c>
      <c r="T19" t="s">
        <v>27</v>
      </c>
      <c r="U19" s="3">
        <v>2240</v>
      </c>
      <c r="V19" s="7" t="s">
        <v>24</v>
      </c>
      <c r="W19" s="7" t="s">
        <v>140</v>
      </c>
    </row>
    <row r="20" spans="1:23" x14ac:dyDescent="0.4">
      <c r="A20" t="s">
        <v>262</v>
      </c>
      <c r="B20" t="s">
        <v>1704</v>
      </c>
      <c r="C20" t="s">
        <v>1708</v>
      </c>
      <c r="D20" t="s">
        <v>21</v>
      </c>
      <c r="E20" t="s">
        <v>22</v>
      </c>
      <c r="F20" t="s">
        <v>23</v>
      </c>
      <c r="G20">
        <v>1</v>
      </c>
      <c r="H20">
        <v>9791159289620</v>
      </c>
      <c r="I20" t="s">
        <v>24</v>
      </c>
      <c r="J20" t="s">
        <v>172</v>
      </c>
      <c r="K20" t="s">
        <v>140</v>
      </c>
      <c r="L20" t="s">
        <v>27</v>
      </c>
      <c r="M20" s="3">
        <v>3200</v>
      </c>
      <c r="N20" t="s">
        <v>27</v>
      </c>
      <c r="O20" s="3">
        <v>3200</v>
      </c>
      <c r="P20" s="3">
        <v>3200</v>
      </c>
      <c r="Q20" t="s">
        <v>30</v>
      </c>
      <c r="R20" s="2">
        <v>0.7</v>
      </c>
      <c r="S20" s="3">
        <v>2240</v>
      </c>
      <c r="T20" t="s">
        <v>27</v>
      </c>
      <c r="U20" s="3">
        <v>2240</v>
      </c>
      <c r="V20" s="7" t="s">
        <v>24</v>
      </c>
      <c r="W20" s="7" t="s">
        <v>140</v>
      </c>
    </row>
    <row r="21" spans="1:23" x14ac:dyDescent="0.4">
      <c r="A21" t="s">
        <v>262</v>
      </c>
      <c r="B21" t="s">
        <v>1704</v>
      </c>
      <c r="C21" t="s">
        <v>1708</v>
      </c>
      <c r="D21" t="s">
        <v>21</v>
      </c>
      <c r="E21" t="s">
        <v>22</v>
      </c>
      <c r="F21" t="s">
        <v>23</v>
      </c>
      <c r="G21">
        <v>1</v>
      </c>
      <c r="H21">
        <v>9791159289637</v>
      </c>
      <c r="I21" t="s">
        <v>24</v>
      </c>
      <c r="J21" t="s">
        <v>255</v>
      </c>
      <c r="K21" t="s">
        <v>140</v>
      </c>
      <c r="L21" t="s">
        <v>27</v>
      </c>
      <c r="M21" s="3">
        <v>3200</v>
      </c>
      <c r="N21" t="s">
        <v>27</v>
      </c>
      <c r="O21" s="3">
        <v>3200</v>
      </c>
      <c r="P21" s="3">
        <v>3200</v>
      </c>
      <c r="Q21" t="s">
        <v>30</v>
      </c>
      <c r="R21" s="2">
        <v>0.7</v>
      </c>
      <c r="S21" s="3">
        <v>2240</v>
      </c>
      <c r="T21" t="s">
        <v>27</v>
      </c>
      <c r="U21" s="3">
        <v>2240</v>
      </c>
      <c r="V21" s="7" t="s">
        <v>24</v>
      </c>
      <c r="W21" s="7" t="s">
        <v>140</v>
      </c>
    </row>
    <row r="22" spans="1:23" x14ac:dyDescent="0.4">
      <c r="A22" t="s">
        <v>262</v>
      </c>
      <c r="B22" t="s">
        <v>1704</v>
      </c>
      <c r="C22" t="s">
        <v>1708</v>
      </c>
      <c r="D22" t="s">
        <v>21</v>
      </c>
      <c r="E22" t="s">
        <v>22</v>
      </c>
      <c r="F22" t="s">
        <v>23</v>
      </c>
      <c r="G22">
        <v>1</v>
      </c>
      <c r="H22">
        <v>9791159289644</v>
      </c>
      <c r="I22" t="s">
        <v>24</v>
      </c>
      <c r="J22" t="s">
        <v>256</v>
      </c>
      <c r="K22" t="s">
        <v>140</v>
      </c>
      <c r="L22" t="s">
        <v>27</v>
      </c>
      <c r="M22" s="3">
        <v>3200</v>
      </c>
      <c r="N22" t="s">
        <v>27</v>
      </c>
      <c r="O22" s="3">
        <v>3200</v>
      </c>
      <c r="P22" s="3">
        <v>3200</v>
      </c>
      <c r="Q22" t="s">
        <v>30</v>
      </c>
      <c r="R22" s="2">
        <v>0.7</v>
      </c>
      <c r="S22" s="3">
        <v>2240</v>
      </c>
      <c r="T22" t="s">
        <v>27</v>
      </c>
      <c r="U22" s="3">
        <v>2240</v>
      </c>
      <c r="V22" s="7" t="s">
        <v>24</v>
      </c>
      <c r="W22" s="7" t="s">
        <v>140</v>
      </c>
    </row>
    <row r="23" spans="1:23" x14ac:dyDescent="0.4">
      <c r="A23" t="s">
        <v>262</v>
      </c>
      <c r="B23" t="s">
        <v>1704</v>
      </c>
      <c r="C23" t="s">
        <v>1708</v>
      </c>
      <c r="D23" t="s">
        <v>21</v>
      </c>
      <c r="E23" t="s">
        <v>22</v>
      </c>
      <c r="F23" t="s">
        <v>23</v>
      </c>
      <c r="G23">
        <v>1</v>
      </c>
      <c r="H23">
        <v>9791159289651</v>
      </c>
      <c r="I23" t="s">
        <v>24</v>
      </c>
      <c r="J23" t="s">
        <v>257</v>
      </c>
      <c r="K23" t="s">
        <v>140</v>
      </c>
      <c r="L23" t="s">
        <v>27</v>
      </c>
      <c r="M23" s="3">
        <v>3200</v>
      </c>
      <c r="N23" t="s">
        <v>27</v>
      </c>
      <c r="O23" s="3">
        <v>3200</v>
      </c>
      <c r="P23" s="3">
        <v>3200</v>
      </c>
      <c r="Q23" t="s">
        <v>30</v>
      </c>
      <c r="R23" s="2">
        <v>0.7</v>
      </c>
      <c r="S23" s="3">
        <v>2240</v>
      </c>
      <c r="T23" t="s">
        <v>27</v>
      </c>
      <c r="U23" s="3">
        <v>2240</v>
      </c>
      <c r="V23" s="7" t="s">
        <v>24</v>
      </c>
      <c r="W23" s="7" t="s">
        <v>140</v>
      </c>
    </row>
    <row r="24" spans="1:23" x14ac:dyDescent="0.4">
      <c r="A24" t="s">
        <v>262</v>
      </c>
      <c r="B24" t="s">
        <v>1766</v>
      </c>
      <c r="C24" t="s">
        <v>1776</v>
      </c>
      <c r="D24" t="s">
        <v>21</v>
      </c>
      <c r="E24" t="s">
        <v>22</v>
      </c>
      <c r="F24" t="s">
        <v>23</v>
      </c>
      <c r="G24">
        <v>1</v>
      </c>
      <c r="H24">
        <v>9791159289583</v>
      </c>
      <c r="I24" t="s">
        <v>24</v>
      </c>
      <c r="J24" t="s">
        <v>141</v>
      </c>
      <c r="K24" t="s">
        <v>140</v>
      </c>
      <c r="L24" t="s">
        <v>27</v>
      </c>
      <c r="M24" s="3">
        <v>3200</v>
      </c>
      <c r="N24" t="s">
        <v>27</v>
      </c>
      <c r="O24" s="3">
        <v>3200</v>
      </c>
      <c r="P24" s="3">
        <v>3200</v>
      </c>
      <c r="Q24" t="s">
        <v>30</v>
      </c>
      <c r="R24" s="2">
        <v>0.7</v>
      </c>
      <c r="S24" s="3">
        <v>2240</v>
      </c>
      <c r="T24" t="s">
        <v>27</v>
      </c>
      <c r="U24" s="3">
        <v>2240</v>
      </c>
      <c r="V24" s="7" t="s">
        <v>24</v>
      </c>
      <c r="W24" s="7" t="s">
        <v>140</v>
      </c>
    </row>
    <row r="25" spans="1:23" x14ac:dyDescent="0.4">
      <c r="A25" t="s">
        <v>262</v>
      </c>
      <c r="B25" t="s">
        <v>1766</v>
      </c>
      <c r="C25" t="s">
        <v>1792</v>
      </c>
      <c r="D25" t="s">
        <v>21</v>
      </c>
      <c r="E25" t="s">
        <v>22</v>
      </c>
      <c r="F25" t="s">
        <v>23</v>
      </c>
      <c r="G25">
        <v>1</v>
      </c>
      <c r="H25">
        <v>9791159289590</v>
      </c>
      <c r="I25" t="s">
        <v>24</v>
      </c>
      <c r="J25" t="s">
        <v>170</v>
      </c>
      <c r="K25" t="s">
        <v>140</v>
      </c>
      <c r="L25" t="s">
        <v>27</v>
      </c>
      <c r="M25" s="3">
        <v>3200</v>
      </c>
      <c r="N25" t="s">
        <v>27</v>
      </c>
      <c r="O25" s="3">
        <v>3200</v>
      </c>
      <c r="P25" s="3">
        <v>3200</v>
      </c>
      <c r="Q25" t="s">
        <v>30</v>
      </c>
      <c r="R25" s="2">
        <v>0.7</v>
      </c>
      <c r="S25" s="3">
        <v>2240</v>
      </c>
      <c r="T25" t="s">
        <v>27</v>
      </c>
      <c r="U25" s="3">
        <v>2240</v>
      </c>
      <c r="V25" s="7" t="s">
        <v>24</v>
      </c>
      <c r="W25" s="7" t="s">
        <v>140</v>
      </c>
    </row>
    <row r="26" spans="1:23" x14ac:dyDescent="0.4">
      <c r="A26" t="s">
        <v>262</v>
      </c>
      <c r="B26" t="s">
        <v>1766</v>
      </c>
      <c r="C26" t="s">
        <v>1795</v>
      </c>
      <c r="D26" t="s">
        <v>21</v>
      </c>
      <c r="E26" t="s">
        <v>22</v>
      </c>
      <c r="F26" t="s">
        <v>23</v>
      </c>
      <c r="G26">
        <v>1</v>
      </c>
      <c r="H26">
        <v>9791159286575</v>
      </c>
      <c r="I26" t="s">
        <v>24</v>
      </c>
      <c r="J26" t="s">
        <v>237</v>
      </c>
      <c r="K26" t="s">
        <v>140</v>
      </c>
      <c r="L26" t="s">
        <v>27</v>
      </c>
      <c r="M26" s="3">
        <v>3200</v>
      </c>
      <c r="N26" t="s">
        <v>27</v>
      </c>
      <c r="O26" s="3">
        <v>3200</v>
      </c>
      <c r="P26" s="3">
        <v>3200</v>
      </c>
      <c r="Q26" t="s">
        <v>30</v>
      </c>
      <c r="R26" s="2">
        <v>0.7</v>
      </c>
      <c r="S26" s="3">
        <v>2240</v>
      </c>
      <c r="T26" t="s">
        <v>27</v>
      </c>
      <c r="U26" s="3">
        <v>2240</v>
      </c>
      <c r="V26" s="7" t="s">
        <v>24</v>
      </c>
      <c r="W26" s="7" t="s">
        <v>140</v>
      </c>
    </row>
    <row r="27" spans="1:23" x14ac:dyDescent="0.4">
      <c r="A27" t="s">
        <v>262</v>
      </c>
      <c r="B27" t="s">
        <v>1766</v>
      </c>
      <c r="C27" t="s">
        <v>1836</v>
      </c>
      <c r="D27" t="s">
        <v>21</v>
      </c>
      <c r="E27" t="s">
        <v>22</v>
      </c>
      <c r="F27" t="s">
        <v>23</v>
      </c>
      <c r="G27">
        <v>1</v>
      </c>
      <c r="H27">
        <v>9791159286582</v>
      </c>
      <c r="I27" t="s">
        <v>24</v>
      </c>
      <c r="J27" t="s">
        <v>1837</v>
      </c>
      <c r="K27" t="s">
        <v>140</v>
      </c>
      <c r="L27" t="s">
        <v>27</v>
      </c>
      <c r="M27" s="3">
        <v>3200</v>
      </c>
      <c r="N27" t="s">
        <v>27</v>
      </c>
      <c r="O27" s="3">
        <v>3200</v>
      </c>
      <c r="P27" s="3">
        <v>3200</v>
      </c>
      <c r="Q27" t="s">
        <v>30</v>
      </c>
      <c r="R27" s="2">
        <v>0.7</v>
      </c>
      <c r="S27" s="3">
        <v>2240</v>
      </c>
      <c r="T27" t="s">
        <v>27</v>
      </c>
      <c r="U27" s="3">
        <v>2240</v>
      </c>
      <c r="V27" s="7" t="s">
        <v>24</v>
      </c>
      <c r="W27" s="7" t="s">
        <v>140</v>
      </c>
    </row>
    <row r="28" spans="1:23" x14ac:dyDescent="0.4">
      <c r="A28" t="s">
        <v>262</v>
      </c>
      <c r="B28" t="s">
        <v>1840</v>
      </c>
      <c r="C28" t="s">
        <v>1842</v>
      </c>
      <c r="D28" t="s">
        <v>21</v>
      </c>
      <c r="E28" t="s">
        <v>22</v>
      </c>
      <c r="F28" t="s">
        <v>23</v>
      </c>
      <c r="G28">
        <v>1</v>
      </c>
      <c r="H28">
        <v>9791159286599</v>
      </c>
      <c r="I28" t="s">
        <v>24</v>
      </c>
      <c r="J28" t="s">
        <v>1843</v>
      </c>
      <c r="K28" t="s">
        <v>140</v>
      </c>
      <c r="L28" t="s">
        <v>27</v>
      </c>
      <c r="M28" s="3">
        <v>3200</v>
      </c>
      <c r="N28" t="s">
        <v>27</v>
      </c>
      <c r="O28" s="3">
        <v>3200</v>
      </c>
      <c r="P28" s="3">
        <v>3200</v>
      </c>
      <c r="Q28" t="s">
        <v>30</v>
      </c>
      <c r="R28" s="2">
        <v>0.7</v>
      </c>
      <c r="S28" s="3">
        <v>2240</v>
      </c>
      <c r="T28" t="s">
        <v>27</v>
      </c>
      <c r="U28" s="3">
        <v>2240</v>
      </c>
      <c r="V28" s="7" t="s">
        <v>24</v>
      </c>
      <c r="W28" s="7" t="s">
        <v>140</v>
      </c>
    </row>
    <row r="29" spans="1:23" x14ac:dyDescent="0.4">
      <c r="A29" t="s">
        <v>262</v>
      </c>
      <c r="B29" t="s">
        <v>1840</v>
      </c>
      <c r="C29" t="s">
        <v>1867</v>
      </c>
      <c r="D29" t="s">
        <v>21</v>
      </c>
      <c r="E29" t="s">
        <v>22</v>
      </c>
      <c r="F29" t="s">
        <v>23</v>
      </c>
      <c r="G29">
        <v>1</v>
      </c>
      <c r="H29">
        <v>9791159286605</v>
      </c>
      <c r="I29" t="s">
        <v>24</v>
      </c>
      <c r="J29" t="s">
        <v>1868</v>
      </c>
      <c r="K29" t="s">
        <v>140</v>
      </c>
      <c r="L29" t="s">
        <v>27</v>
      </c>
      <c r="M29" s="3">
        <v>3200</v>
      </c>
      <c r="N29" t="s">
        <v>27</v>
      </c>
      <c r="O29" s="3">
        <v>3200</v>
      </c>
      <c r="P29" s="3">
        <v>3200</v>
      </c>
      <c r="Q29" t="s">
        <v>30</v>
      </c>
      <c r="R29" s="2">
        <v>0.7</v>
      </c>
      <c r="S29" s="3">
        <v>2240</v>
      </c>
      <c r="T29" t="s">
        <v>27</v>
      </c>
      <c r="U29" s="3">
        <v>2240</v>
      </c>
      <c r="V29" s="7" t="s">
        <v>24</v>
      </c>
      <c r="W29" s="7" t="s">
        <v>140</v>
      </c>
    </row>
    <row r="30" spans="1:23" x14ac:dyDescent="0.4">
      <c r="A30" t="s">
        <v>262</v>
      </c>
      <c r="B30" t="s">
        <v>1840</v>
      </c>
      <c r="C30" t="s">
        <v>1873</v>
      </c>
      <c r="D30" t="s">
        <v>21</v>
      </c>
      <c r="E30" t="s">
        <v>22</v>
      </c>
      <c r="F30" t="s">
        <v>23</v>
      </c>
      <c r="G30">
        <v>1</v>
      </c>
      <c r="H30">
        <v>9791159286612</v>
      </c>
      <c r="I30" t="s">
        <v>24</v>
      </c>
      <c r="J30" t="s">
        <v>1874</v>
      </c>
      <c r="K30" t="s">
        <v>140</v>
      </c>
      <c r="L30" t="s">
        <v>27</v>
      </c>
      <c r="M30" s="3">
        <v>3200</v>
      </c>
      <c r="N30" t="s">
        <v>27</v>
      </c>
      <c r="O30" s="3">
        <v>3200</v>
      </c>
      <c r="P30" s="3">
        <v>3200</v>
      </c>
      <c r="Q30" t="s">
        <v>30</v>
      </c>
      <c r="R30" s="2">
        <v>0.7</v>
      </c>
      <c r="S30" s="3">
        <v>2240</v>
      </c>
      <c r="T30" t="s">
        <v>27</v>
      </c>
      <c r="U30" s="3">
        <v>2240</v>
      </c>
      <c r="V30" s="7" t="s">
        <v>24</v>
      </c>
      <c r="W30" s="7" t="s">
        <v>140</v>
      </c>
    </row>
    <row r="31" spans="1:23" x14ac:dyDescent="0.4">
      <c r="A31" t="s">
        <v>262</v>
      </c>
      <c r="B31" t="s">
        <v>2159</v>
      </c>
      <c r="C31" t="s">
        <v>2227</v>
      </c>
      <c r="D31" t="s">
        <v>64</v>
      </c>
      <c r="E31" t="s">
        <v>22</v>
      </c>
      <c r="F31" t="s">
        <v>23</v>
      </c>
      <c r="G31">
        <v>1</v>
      </c>
      <c r="H31">
        <v>9791159286575</v>
      </c>
      <c r="I31" t="s">
        <v>24</v>
      </c>
      <c r="J31" t="s">
        <v>237</v>
      </c>
      <c r="K31" t="s">
        <v>140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  <c r="V31" s="7" t="s">
        <v>24</v>
      </c>
      <c r="W31" s="7" t="s">
        <v>140</v>
      </c>
    </row>
    <row r="32" spans="1:23" x14ac:dyDescent="0.4">
      <c r="A32" t="s">
        <v>262</v>
      </c>
      <c r="B32" t="s">
        <v>2159</v>
      </c>
      <c r="C32" t="s">
        <v>2231</v>
      </c>
      <c r="D32" t="s">
        <v>64</v>
      </c>
      <c r="E32" t="s">
        <v>22</v>
      </c>
      <c r="F32" t="s">
        <v>23</v>
      </c>
      <c r="G32">
        <v>1</v>
      </c>
      <c r="H32">
        <v>9791159286582</v>
      </c>
      <c r="I32" t="s">
        <v>24</v>
      </c>
      <c r="J32" t="s">
        <v>1837</v>
      </c>
      <c r="K32" t="s">
        <v>140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7" t="s">
        <v>24</v>
      </c>
      <c r="W32" s="7" t="s">
        <v>140</v>
      </c>
    </row>
    <row r="33" spans="1:23" x14ac:dyDescent="0.4">
      <c r="A33" t="s">
        <v>262</v>
      </c>
      <c r="B33" t="s">
        <v>2236</v>
      </c>
      <c r="C33" t="s">
        <v>2238</v>
      </c>
      <c r="D33" t="s">
        <v>64</v>
      </c>
      <c r="E33" t="s">
        <v>22</v>
      </c>
      <c r="F33" t="s">
        <v>23</v>
      </c>
      <c r="G33">
        <v>1</v>
      </c>
      <c r="H33">
        <v>9791159286599</v>
      </c>
      <c r="I33" t="s">
        <v>24</v>
      </c>
      <c r="J33" t="s">
        <v>1843</v>
      </c>
      <c r="K33" t="s">
        <v>140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  <c r="V33" s="7" t="s">
        <v>24</v>
      </c>
      <c r="W33" s="7" t="s">
        <v>140</v>
      </c>
    </row>
    <row r="34" spans="1:23" x14ac:dyDescent="0.4">
      <c r="A34" t="s">
        <v>262</v>
      </c>
      <c r="B34" t="s">
        <v>2236</v>
      </c>
      <c r="C34" t="s">
        <v>2258</v>
      </c>
      <c r="D34" t="s">
        <v>21</v>
      </c>
      <c r="E34" t="s">
        <v>22</v>
      </c>
      <c r="F34" t="s">
        <v>23</v>
      </c>
      <c r="G34">
        <v>1</v>
      </c>
      <c r="H34">
        <v>9791159289583</v>
      </c>
      <c r="I34" t="s">
        <v>24</v>
      </c>
      <c r="J34" t="s">
        <v>141</v>
      </c>
      <c r="K34" t="s">
        <v>140</v>
      </c>
      <c r="L34" t="s">
        <v>27</v>
      </c>
      <c r="M34" s="3">
        <v>3200</v>
      </c>
      <c r="N34" t="s">
        <v>27</v>
      </c>
      <c r="O34" s="3">
        <v>3200</v>
      </c>
      <c r="P34" s="3">
        <v>3200</v>
      </c>
      <c r="Q34" t="s">
        <v>30</v>
      </c>
      <c r="R34" s="2">
        <v>0.7</v>
      </c>
      <c r="S34" s="3">
        <v>2240</v>
      </c>
      <c r="T34" t="s">
        <v>27</v>
      </c>
      <c r="U34" s="3">
        <v>2240</v>
      </c>
      <c r="V34" s="7" t="s">
        <v>24</v>
      </c>
      <c r="W34" s="7" t="s">
        <v>140</v>
      </c>
    </row>
    <row r="35" spans="1:23" x14ac:dyDescent="0.4">
      <c r="A35" t="s">
        <v>262</v>
      </c>
      <c r="B35" t="s">
        <v>2394</v>
      </c>
      <c r="C35" t="s">
        <v>2467</v>
      </c>
      <c r="D35" t="s">
        <v>21</v>
      </c>
      <c r="E35" t="s">
        <v>22</v>
      </c>
      <c r="F35" t="s">
        <v>23</v>
      </c>
      <c r="G35">
        <v>1</v>
      </c>
      <c r="H35">
        <v>9791159289583</v>
      </c>
      <c r="I35" t="s">
        <v>24</v>
      </c>
      <c r="J35" t="s">
        <v>141</v>
      </c>
      <c r="K35" t="s">
        <v>140</v>
      </c>
      <c r="L35" t="s">
        <v>27</v>
      </c>
      <c r="M35" s="3">
        <v>3200</v>
      </c>
      <c r="N35" t="s">
        <v>191</v>
      </c>
      <c r="O35">
        <v>3.5</v>
      </c>
      <c r="P35">
        <v>3.18</v>
      </c>
      <c r="Q35" t="s">
        <v>190</v>
      </c>
      <c r="R35" s="2">
        <v>0.7</v>
      </c>
      <c r="S35">
        <v>2.23</v>
      </c>
      <c r="T35" t="s">
        <v>27</v>
      </c>
      <c r="U35" s="3">
        <v>1982</v>
      </c>
      <c r="V35" s="7" t="s">
        <v>24</v>
      </c>
      <c r="W35" s="7" t="s">
        <v>140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4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3.6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722</v>
      </c>
      <c r="C2" t="s">
        <v>744</v>
      </c>
      <c r="D2" t="s">
        <v>21</v>
      </c>
      <c r="E2" t="s">
        <v>22</v>
      </c>
      <c r="F2" t="s">
        <v>23</v>
      </c>
      <c r="G2">
        <v>1</v>
      </c>
      <c r="H2">
        <v>9791137600430</v>
      </c>
      <c r="I2" t="s">
        <v>143</v>
      </c>
      <c r="J2" t="s">
        <v>745</v>
      </c>
      <c r="K2" t="s">
        <v>746</v>
      </c>
      <c r="L2" t="s">
        <v>27</v>
      </c>
      <c r="M2" s="3">
        <v>2400</v>
      </c>
      <c r="N2" t="s">
        <v>27</v>
      </c>
      <c r="O2" s="3">
        <v>2400</v>
      </c>
      <c r="P2" s="3">
        <v>2400</v>
      </c>
      <c r="Q2" t="s">
        <v>30</v>
      </c>
      <c r="R2" s="2">
        <v>0.7</v>
      </c>
      <c r="S2" s="3">
        <v>1680</v>
      </c>
      <c r="T2" t="s">
        <v>27</v>
      </c>
      <c r="U2" s="3">
        <v>1680</v>
      </c>
      <c r="V2" s="7" t="s">
        <v>24</v>
      </c>
      <c r="W2" s="7" t="s">
        <v>746</v>
      </c>
    </row>
    <row r="3" spans="1:23" x14ac:dyDescent="0.4">
      <c r="A3" t="s">
        <v>262</v>
      </c>
      <c r="B3" t="s">
        <v>1270</v>
      </c>
      <c r="C3" t="s">
        <v>1283</v>
      </c>
      <c r="D3" t="s">
        <v>21</v>
      </c>
      <c r="E3" t="s">
        <v>22</v>
      </c>
      <c r="F3" t="s">
        <v>23</v>
      </c>
      <c r="G3">
        <v>1</v>
      </c>
      <c r="H3">
        <v>9791137600423</v>
      </c>
      <c r="I3" t="s">
        <v>143</v>
      </c>
      <c r="J3" t="s">
        <v>1284</v>
      </c>
      <c r="K3" t="s">
        <v>746</v>
      </c>
      <c r="L3" t="s">
        <v>27</v>
      </c>
      <c r="M3" s="3">
        <v>2400</v>
      </c>
      <c r="N3" t="s">
        <v>27</v>
      </c>
      <c r="O3" s="3">
        <v>2400</v>
      </c>
      <c r="P3" s="3">
        <v>2400</v>
      </c>
      <c r="Q3" t="s">
        <v>30</v>
      </c>
      <c r="R3" s="2">
        <v>0.7</v>
      </c>
      <c r="S3" s="3">
        <v>1680</v>
      </c>
      <c r="T3" t="s">
        <v>27</v>
      </c>
      <c r="U3" s="3">
        <v>1680</v>
      </c>
      <c r="V3" s="7" t="s">
        <v>24</v>
      </c>
      <c r="W3" s="7" t="s">
        <v>746</v>
      </c>
    </row>
    <row r="4" spans="1:23" x14ac:dyDescent="0.4">
      <c r="A4" t="s">
        <v>262</v>
      </c>
      <c r="B4" t="s">
        <v>1270</v>
      </c>
      <c r="C4" t="s">
        <v>1292</v>
      </c>
      <c r="D4" t="s">
        <v>21</v>
      </c>
      <c r="E4" t="s">
        <v>22</v>
      </c>
      <c r="F4" t="s">
        <v>23</v>
      </c>
      <c r="G4">
        <v>1</v>
      </c>
      <c r="H4">
        <v>9791137600430</v>
      </c>
      <c r="I4" t="s">
        <v>143</v>
      </c>
      <c r="J4" t="s">
        <v>745</v>
      </c>
      <c r="K4" t="s">
        <v>746</v>
      </c>
      <c r="L4" t="s">
        <v>27</v>
      </c>
      <c r="M4" s="3">
        <v>2400</v>
      </c>
      <c r="N4" t="s">
        <v>27</v>
      </c>
      <c r="O4" s="3">
        <v>2400</v>
      </c>
      <c r="P4" s="3">
        <v>2400</v>
      </c>
      <c r="Q4" t="s">
        <v>30</v>
      </c>
      <c r="R4" s="2">
        <v>0.7</v>
      </c>
      <c r="S4" s="3">
        <v>1680</v>
      </c>
      <c r="T4" t="s">
        <v>27</v>
      </c>
      <c r="U4" s="3">
        <v>1680</v>
      </c>
      <c r="V4" s="7" t="s">
        <v>24</v>
      </c>
      <c r="W4" s="7" t="s">
        <v>746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W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2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899</v>
      </c>
      <c r="C2" t="s">
        <v>981</v>
      </c>
      <c r="D2" t="s">
        <v>21</v>
      </c>
      <c r="E2" t="s">
        <v>22</v>
      </c>
      <c r="F2" t="s">
        <v>23</v>
      </c>
      <c r="G2">
        <v>1</v>
      </c>
      <c r="H2">
        <v>9791189084257</v>
      </c>
      <c r="I2" t="s">
        <v>143</v>
      </c>
      <c r="J2" t="s">
        <v>982</v>
      </c>
      <c r="K2" t="s">
        <v>983</v>
      </c>
      <c r="L2" t="s">
        <v>27</v>
      </c>
      <c r="M2" s="3">
        <v>3600</v>
      </c>
      <c r="N2" t="s">
        <v>27</v>
      </c>
      <c r="O2" s="3">
        <v>3600</v>
      </c>
      <c r="P2" s="3">
        <v>3600</v>
      </c>
      <c r="Q2" t="s">
        <v>30</v>
      </c>
      <c r="R2" s="2">
        <v>0.7</v>
      </c>
      <c r="S2" s="3">
        <v>2520</v>
      </c>
      <c r="T2" t="s">
        <v>27</v>
      </c>
      <c r="U2" s="3">
        <v>2520</v>
      </c>
      <c r="V2" s="7" t="s">
        <v>24</v>
      </c>
      <c r="W2" s="7" t="s">
        <v>983</v>
      </c>
    </row>
    <row r="3" spans="1:23" x14ac:dyDescent="0.4">
      <c r="A3" t="s">
        <v>262</v>
      </c>
      <c r="B3" t="s">
        <v>1121</v>
      </c>
      <c r="C3" t="s">
        <v>1132</v>
      </c>
      <c r="D3" t="s">
        <v>21</v>
      </c>
      <c r="E3" t="s">
        <v>22</v>
      </c>
      <c r="F3" t="s">
        <v>23</v>
      </c>
      <c r="G3">
        <v>1</v>
      </c>
      <c r="H3">
        <v>9791189084257</v>
      </c>
      <c r="I3" t="s">
        <v>143</v>
      </c>
      <c r="J3" t="s">
        <v>982</v>
      </c>
      <c r="K3" t="s">
        <v>983</v>
      </c>
      <c r="L3" t="s">
        <v>27</v>
      </c>
      <c r="M3" s="3">
        <v>3600</v>
      </c>
      <c r="N3" t="s">
        <v>27</v>
      </c>
      <c r="O3" s="3">
        <v>3600</v>
      </c>
      <c r="P3" s="3">
        <v>3600</v>
      </c>
      <c r="Q3" t="s">
        <v>30</v>
      </c>
      <c r="R3" s="2">
        <v>0.7</v>
      </c>
      <c r="S3" s="3">
        <v>2520</v>
      </c>
      <c r="T3" t="s">
        <v>27</v>
      </c>
      <c r="U3" s="3">
        <v>2520</v>
      </c>
      <c r="V3" s="7" t="s">
        <v>24</v>
      </c>
      <c r="W3" s="7" t="s">
        <v>983</v>
      </c>
    </row>
    <row r="4" spans="1:23" x14ac:dyDescent="0.4">
      <c r="A4" t="s">
        <v>262</v>
      </c>
      <c r="B4" t="s">
        <v>1121</v>
      </c>
      <c r="C4" t="s">
        <v>1143</v>
      </c>
      <c r="D4" t="s">
        <v>21</v>
      </c>
      <c r="E4" t="s">
        <v>22</v>
      </c>
      <c r="F4" t="s">
        <v>23</v>
      </c>
      <c r="G4">
        <v>1</v>
      </c>
      <c r="H4">
        <v>9791189084578</v>
      </c>
      <c r="I4" t="s">
        <v>143</v>
      </c>
      <c r="J4" t="s">
        <v>1144</v>
      </c>
      <c r="K4" t="s">
        <v>983</v>
      </c>
      <c r="L4" t="s">
        <v>27</v>
      </c>
      <c r="M4" s="3">
        <v>3800</v>
      </c>
      <c r="N4" t="s">
        <v>27</v>
      </c>
      <c r="O4" s="3">
        <v>3800</v>
      </c>
      <c r="P4" s="3">
        <v>3800</v>
      </c>
      <c r="Q4" t="s">
        <v>30</v>
      </c>
      <c r="R4" s="2">
        <v>0.7</v>
      </c>
      <c r="S4" s="3">
        <v>2660</v>
      </c>
      <c r="T4" t="s">
        <v>27</v>
      </c>
      <c r="U4" s="3">
        <v>2660</v>
      </c>
      <c r="V4" s="7" t="s">
        <v>24</v>
      </c>
      <c r="W4" s="7" t="s">
        <v>983</v>
      </c>
    </row>
    <row r="5" spans="1:23" x14ac:dyDescent="0.4">
      <c r="A5" t="s">
        <v>262</v>
      </c>
      <c r="B5" t="s">
        <v>1121</v>
      </c>
      <c r="C5" t="s">
        <v>1145</v>
      </c>
      <c r="D5" t="s">
        <v>21</v>
      </c>
      <c r="E5" t="s">
        <v>22</v>
      </c>
      <c r="F5" t="s">
        <v>23</v>
      </c>
      <c r="G5">
        <v>1</v>
      </c>
      <c r="H5">
        <v>9791189084004</v>
      </c>
      <c r="I5" t="s">
        <v>143</v>
      </c>
      <c r="J5" t="s">
        <v>1146</v>
      </c>
      <c r="K5" t="s">
        <v>983</v>
      </c>
      <c r="L5" t="s">
        <v>27</v>
      </c>
      <c r="M5" s="3">
        <v>3600</v>
      </c>
      <c r="N5" t="s">
        <v>27</v>
      </c>
      <c r="O5" s="3">
        <v>3600</v>
      </c>
      <c r="P5" s="3">
        <v>3600</v>
      </c>
      <c r="Q5" t="s">
        <v>30</v>
      </c>
      <c r="R5" s="2">
        <v>0.7</v>
      </c>
      <c r="S5" s="3">
        <v>2520</v>
      </c>
      <c r="T5" t="s">
        <v>27</v>
      </c>
      <c r="U5" s="3">
        <v>2520</v>
      </c>
      <c r="V5" s="7" t="s">
        <v>24</v>
      </c>
      <c r="W5" s="7" t="s">
        <v>983</v>
      </c>
    </row>
    <row r="6" spans="1:23" x14ac:dyDescent="0.4">
      <c r="A6" t="s">
        <v>262</v>
      </c>
      <c r="B6" t="s">
        <v>1639</v>
      </c>
      <c r="C6" t="s">
        <v>1697</v>
      </c>
      <c r="D6" t="s">
        <v>21</v>
      </c>
      <c r="E6" t="s">
        <v>22</v>
      </c>
      <c r="F6" t="s">
        <v>23</v>
      </c>
      <c r="G6">
        <v>1</v>
      </c>
      <c r="H6">
        <v>9791189084004</v>
      </c>
      <c r="I6" t="s">
        <v>143</v>
      </c>
      <c r="J6" t="s">
        <v>1146</v>
      </c>
      <c r="K6" t="s">
        <v>983</v>
      </c>
      <c r="L6" t="s">
        <v>27</v>
      </c>
      <c r="M6" s="3">
        <v>3600</v>
      </c>
      <c r="N6" t="s">
        <v>27</v>
      </c>
      <c r="O6" s="3">
        <v>3600</v>
      </c>
      <c r="P6" s="3">
        <v>3600</v>
      </c>
      <c r="Q6" t="s">
        <v>30</v>
      </c>
      <c r="R6" s="2">
        <v>0.7</v>
      </c>
      <c r="S6" s="3">
        <v>2520</v>
      </c>
      <c r="T6" t="s">
        <v>27</v>
      </c>
      <c r="U6" s="3">
        <v>2520</v>
      </c>
      <c r="V6" s="7" t="s">
        <v>24</v>
      </c>
      <c r="W6" s="7" t="s">
        <v>983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W3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16.09765625" bestFit="1" customWidth="1"/>
    <col min="11" max="11" width="10.3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3" width="10.398437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984</v>
      </c>
      <c r="C2" t="s">
        <v>1022</v>
      </c>
      <c r="D2" t="s">
        <v>21</v>
      </c>
      <c r="E2" t="s">
        <v>22</v>
      </c>
      <c r="F2" t="s">
        <v>23</v>
      </c>
      <c r="G2">
        <v>1</v>
      </c>
      <c r="H2">
        <v>9791189627324</v>
      </c>
      <c r="I2" t="s">
        <v>143</v>
      </c>
      <c r="J2" t="s">
        <v>1023</v>
      </c>
      <c r="K2" t="s">
        <v>1024</v>
      </c>
      <c r="L2" t="s">
        <v>27</v>
      </c>
      <c r="M2" s="3">
        <v>3100</v>
      </c>
      <c r="N2" t="s">
        <v>191</v>
      </c>
      <c r="O2">
        <v>3.73</v>
      </c>
      <c r="P2">
        <v>3.39</v>
      </c>
      <c r="Q2" t="s">
        <v>190</v>
      </c>
      <c r="R2" s="2">
        <v>0.7</v>
      </c>
      <c r="S2">
        <v>2.37</v>
      </c>
      <c r="T2" t="s">
        <v>27</v>
      </c>
      <c r="U2" s="3">
        <v>2099</v>
      </c>
      <c r="V2" s="7" t="s">
        <v>24</v>
      </c>
      <c r="W2" s="7" t="s">
        <v>1024</v>
      </c>
    </row>
    <row r="3" spans="1:23" x14ac:dyDescent="0.4">
      <c r="A3" t="s">
        <v>262</v>
      </c>
      <c r="B3" t="s">
        <v>984</v>
      </c>
      <c r="C3" t="s">
        <v>1029</v>
      </c>
      <c r="D3" t="s">
        <v>21</v>
      </c>
      <c r="E3" t="s">
        <v>22</v>
      </c>
      <c r="F3" t="s">
        <v>23</v>
      </c>
      <c r="G3">
        <v>1</v>
      </c>
      <c r="H3">
        <v>9791189627331</v>
      </c>
      <c r="I3" t="s">
        <v>143</v>
      </c>
      <c r="J3" t="s">
        <v>1030</v>
      </c>
      <c r="K3" t="s">
        <v>1024</v>
      </c>
      <c r="L3" t="s">
        <v>27</v>
      </c>
      <c r="M3" s="3">
        <v>3300</v>
      </c>
      <c r="N3" t="s">
        <v>191</v>
      </c>
      <c r="O3">
        <v>3.97</v>
      </c>
      <c r="P3">
        <v>3.61</v>
      </c>
      <c r="Q3" t="s">
        <v>190</v>
      </c>
      <c r="R3" s="2">
        <v>0.7</v>
      </c>
      <c r="S3">
        <v>2.5299999999999998</v>
      </c>
      <c r="T3" t="s">
        <v>27</v>
      </c>
      <c r="U3" s="3">
        <v>2241</v>
      </c>
      <c r="V3" s="7" t="s">
        <v>24</v>
      </c>
      <c r="W3" s="7" t="s">
        <v>1024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W45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7.5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984</v>
      </c>
      <c r="C2" t="s">
        <v>1033</v>
      </c>
      <c r="D2" t="s">
        <v>21</v>
      </c>
      <c r="E2" t="s">
        <v>22</v>
      </c>
      <c r="F2" t="s">
        <v>23</v>
      </c>
      <c r="G2">
        <v>1</v>
      </c>
      <c r="H2">
        <v>9791189627072</v>
      </c>
      <c r="I2" t="s">
        <v>143</v>
      </c>
      <c r="J2" t="s">
        <v>1034</v>
      </c>
      <c r="K2" t="s">
        <v>1035</v>
      </c>
      <c r="L2" t="s">
        <v>27</v>
      </c>
      <c r="M2" s="3">
        <v>2200</v>
      </c>
      <c r="N2" t="s">
        <v>27</v>
      </c>
      <c r="O2" s="3">
        <v>2200</v>
      </c>
      <c r="P2" s="3">
        <v>2200</v>
      </c>
      <c r="Q2" t="s">
        <v>30</v>
      </c>
      <c r="R2" s="2">
        <v>0.7</v>
      </c>
      <c r="S2" s="3">
        <v>1540</v>
      </c>
      <c r="T2" t="s">
        <v>27</v>
      </c>
      <c r="U2" s="3">
        <v>1540</v>
      </c>
      <c r="V2" s="7" t="s">
        <v>24</v>
      </c>
      <c r="W2" s="7" t="s">
        <v>1035</v>
      </c>
    </row>
    <row r="3" spans="1:23" x14ac:dyDescent="0.4">
      <c r="A3" t="s">
        <v>262</v>
      </c>
      <c r="B3" t="s">
        <v>1058</v>
      </c>
      <c r="C3" t="s">
        <v>1065</v>
      </c>
      <c r="D3" t="s">
        <v>21</v>
      </c>
      <c r="E3" t="s">
        <v>22</v>
      </c>
      <c r="F3" t="s">
        <v>23</v>
      </c>
      <c r="G3">
        <v>1</v>
      </c>
      <c r="H3">
        <v>9791189627089</v>
      </c>
      <c r="I3" t="s">
        <v>143</v>
      </c>
      <c r="J3" t="s">
        <v>1066</v>
      </c>
      <c r="K3" t="s">
        <v>1035</v>
      </c>
      <c r="L3" t="s">
        <v>27</v>
      </c>
      <c r="M3" s="3">
        <v>2200</v>
      </c>
      <c r="N3" t="s">
        <v>27</v>
      </c>
      <c r="O3" s="3">
        <v>2200</v>
      </c>
      <c r="P3" s="3">
        <v>2200</v>
      </c>
      <c r="Q3" t="s">
        <v>30</v>
      </c>
      <c r="R3" s="2">
        <v>0.7</v>
      </c>
      <c r="S3" s="3">
        <v>1540</v>
      </c>
      <c r="T3" t="s">
        <v>27</v>
      </c>
      <c r="U3" s="3">
        <v>1540</v>
      </c>
      <c r="V3" s="7" t="s">
        <v>24</v>
      </c>
      <c r="W3" s="7" t="s">
        <v>1035</v>
      </c>
    </row>
    <row r="4" spans="1:23" x14ac:dyDescent="0.4">
      <c r="A4" t="s">
        <v>262</v>
      </c>
      <c r="B4" t="s">
        <v>1514</v>
      </c>
      <c r="C4" t="s">
        <v>1545</v>
      </c>
      <c r="D4" t="s">
        <v>21</v>
      </c>
      <c r="E4" t="s">
        <v>22</v>
      </c>
      <c r="F4" t="s">
        <v>23</v>
      </c>
      <c r="G4">
        <v>1</v>
      </c>
      <c r="H4">
        <v>9791189627843</v>
      </c>
      <c r="I4" t="s">
        <v>143</v>
      </c>
      <c r="J4" t="s">
        <v>1546</v>
      </c>
      <c r="K4" t="s">
        <v>1035</v>
      </c>
      <c r="L4" t="s">
        <v>27</v>
      </c>
      <c r="M4" s="3">
        <v>3200</v>
      </c>
      <c r="N4" t="s">
        <v>27</v>
      </c>
      <c r="O4" s="3">
        <v>3200</v>
      </c>
      <c r="P4" s="3">
        <v>3200</v>
      </c>
      <c r="Q4" t="s">
        <v>30</v>
      </c>
      <c r="R4" s="2">
        <v>0.7</v>
      </c>
      <c r="S4" s="3">
        <v>2240</v>
      </c>
      <c r="T4" t="s">
        <v>27</v>
      </c>
      <c r="U4" s="3">
        <v>2240</v>
      </c>
      <c r="V4" s="7" t="s">
        <v>24</v>
      </c>
      <c r="W4" s="7" t="s">
        <v>1035</v>
      </c>
    </row>
    <row r="5" spans="1:23" x14ac:dyDescent="0.4">
      <c r="A5" t="s">
        <v>262</v>
      </c>
      <c r="B5" t="s">
        <v>1579</v>
      </c>
      <c r="C5" t="s">
        <v>1605</v>
      </c>
      <c r="D5" t="s">
        <v>21</v>
      </c>
      <c r="E5" t="s">
        <v>22</v>
      </c>
      <c r="F5" t="s">
        <v>23</v>
      </c>
      <c r="G5">
        <v>1</v>
      </c>
      <c r="H5">
        <v>9791164370085</v>
      </c>
      <c r="I5" t="s">
        <v>143</v>
      </c>
      <c r="J5" t="s">
        <v>1606</v>
      </c>
      <c r="K5" t="s">
        <v>1035</v>
      </c>
      <c r="L5" t="s">
        <v>27</v>
      </c>
      <c r="M5">
        <v>400</v>
      </c>
      <c r="N5" t="s">
        <v>28</v>
      </c>
      <c r="O5">
        <v>0.33</v>
      </c>
      <c r="P5">
        <v>0.33</v>
      </c>
      <c r="Q5" t="s">
        <v>29</v>
      </c>
      <c r="R5" s="2">
        <v>0.7</v>
      </c>
      <c r="S5">
        <v>0.23</v>
      </c>
      <c r="T5" t="s">
        <v>27</v>
      </c>
      <c r="U5">
        <v>291</v>
      </c>
      <c r="V5" s="7" t="s">
        <v>24</v>
      </c>
      <c r="W5" s="7" t="s">
        <v>1035</v>
      </c>
    </row>
    <row r="6" spans="1:23" x14ac:dyDescent="0.4">
      <c r="A6" t="s">
        <v>262</v>
      </c>
      <c r="B6" t="s">
        <v>1766</v>
      </c>
      <c r="C6" t="s">
        <v>1823</v>
      </c>
      <c r="D6" t="s">
        <v>21</v>
      </c>
      <c r="E6" t="s">
        <v>22</v>
      </c>
      <c r="F6" t="s">
        <v>23</v>
      </c>
      <c r="G6">
        <v>1</v>
      </c>
      <c r="H6">
        <v>9791189627072</v>
      </c>
      <c r="I6" t="s">
        <v>143</v>
      </c>
      <c r="J6" t="s">
        <v>1034</v>
      </c>
      <c r="K6" t="s">
        <v>1035</v>
      </c>
      <c r="L6" t="s">
        <v>27</v>
      </c>
      <c r="M6" s="3">
        <v>2200</v>
      </c>
      <c r="N6" t="s">
        <v>27</v>
      </c>
      <c r="O6" s="3">
        <v>2200</v>
      </c>
      <c r="P6" s="3">
        <v>2200</v>
      </c>
      <c r="Q6" t="s">
        <v>30</v>
      </c>
      <c r="R6" s="2">
        <v>0.7</v>
      </c>
      <c r="S6" s="3">
        <v>1540</v>
      </c>
      <c r="T6" t="s">
        <v>27</v>
      </c>
      <c r="U6" s="3">
        <v>1540</v>
      </c>
      <c r="V6" s="7" t="s">
        <v>24</v>
      </c>
      <c r="W6" s="7" t="s">
        <v>1035</v>
      </c>
    </row>
    <row r="7" spans="1:23" x14ac:dyDescent="0.4">
      <c r="A7" t="s">
        <v>262</v>
      </c>
      <c r="B7" t="s">
        <v>1766</v>
      </c>
      <c r="C7" t="s">
        <v>1824</v>
      </c>
      <c r="D7" t="s">
        <v>21</v>
      </c>
      <c r="E7" t="s">
        <v>22</v>
      </c>
      <c r="F7" t="s">
        <v>23</v>
      </c>
      <c r="G7">
        <v>1</v>
      </c>
      <c r="H7">
        <v>9791189627874</v>
      </c>
      <c r="I7" t="s">
        <v>143</v>
      </c>
      <c r="J7" t="s">
        <v>1825</v>
      </c>
      <c r="K7" t="s">
        <v>1035</v>
      </c>
      <c r="L7" t="s">
        <v>27</v>
      </c>
      <c r="M7" s="3">
        <v>2800</v>
      </c>
      <c r="N7" t="s">
        <v>27</v>
      </c>
      <c r="O7" s="3">
        <v>2800</v>
      </c>
      <c r="P7" s="3">
        <v>2800</v>
      </c>
      <c r="Q7" t="s">
        <v>30</v>
      </c>
      <c r="R7" s="2">
        <v>0.7</v>
      </c>
      <c r="S7" s="3">
        <v>1960</v>
      </c>
      <c r="T7" t="s">
        <v>27</v>
      </c>
      <c r="U7" s="3">
        <v>1960</v>
      </c>
      <c r="V7" s="7" t="s">
        <v>24</v>
      </c>
      <c r="W7" s="7" t="s">
        <v>1035</v>
      </c>
    </row>
    <row r="8" spans="1:23" x14ac:dyDescent="0.4">
      <c r="A8" t="s">
        <v>262</v>
      </c>
      <c r="B8" t="s">
        <v>1840</v>
      </c>
      <c r="C8" t="s">
        <v>1857</v>
      </c>
      <c r="D8" t="s">
        <v>21</v>
      </c>
      <c r="E8" t="s">
        <v>22</v>
      </c>
      <c r="F8" t="s">
        <v>23</v>
      </c>
      <c r="G8">
        <v>1</v>
      </c>
      <c r="H8">
        <v>9791189627072</v>
      </c>
      <c r="I8" t="s">
        <v>143</v>
      </c>
      <c r="J8" t="s">
        <v>1034</v>
      </c>
      <c r="K8" t="s">
        <v>1035</v>
      </c>
      <c r="L8" t="s">
        <v>27</v>
      </c>
      <c r="M8" s="3">
        <v>2200</v>
      </c>
      <c r="N8" t="s">
        <v>27</v>
      </c>
      <c r="O8" s="3">
        <v>2200</v>
      </c>
      <c r="P8" s="3">
        <v>2200</v>
      </c>
      <c r="Q8" t="s">
        <v>30</v>
      </c>
      <c r="R8" s="2">
        <v>0.7</v>
      </c>
      <c r="S8" s="3">
        <v>1540</v>
      </c>
      <c r="T8" t="s">
        <v>27</v>
      </c>
      <c r="U8" s="3">
        <v>1540</v>
      </c>
      <c r="V8" s="7" t="s">
        <v>24</v>
      </c>
      <c r="W8" s="7" t="s">
        <v>1035</v>
      </c>
    </row>
    <row r="9" spans="1:23" x14ac:dyDescent="0.4">
      <c r="A9" t="s">
        <v>262</v>
      </c>
      <c r="B9" t="s">
        <v>1840</v>
      </c>
      <c r="C9" t="s">
        <v>1871</v>
      </c>
      <c r="D9" t="s">
        <v>21</v>
      </c>
      <c r="E9" t="s">
        <v>22</v>
      </c>
      <c r="F9" t="s">
        <v>23</v>
      </c>
      <c r="G9">
        <v>1</v>
      </c>
      <c r="H9">
        <v>9791189627089</v>
      </c>
      <c r="I9" t="s">
        <v>143</v>
      </c>
      <c r="J9" t="s">
        <v>1066</v>
      </c>
      <c r="K9" t="s">
        <v>1035</v>
      </c>
      <c r="L9" t="s">
        <v>27</v>
      </c>
      <c r="M9" s="3">
        <v>2200</v>
      </c>
      <c r="N9" t="s">
        <v>27</v>
      </c>
      <c r="O9" s="3">
        <v>2200</v>
      </c>
      <c r="P9" s="3">
        <v>2200</v>
      </c>
      <c r="Q9" t="s">
        <v>30</v>
      </c>
      <c r="R9" s="2">
        <v>0.7</v>
      </c>
      <c r="S9" s="3">
        <v>1540</v>
      </c>
      <c r="T9" t="s">
        <v>27</v>
      </c>
      <c r="U9" s="3">
        <v>1540</v>
      </c>
      <c r="V9" s="7" t="s">
        <v>24</v>
      </c>
      <c r="W9" s="7" t="s">
        <v>1035</v>
      </c>
    </row>
    <row r="10" spans="1:23" x14ac:dyDescent="0.4">
      <c r="A10" t="s">
        <v>262</v>
      </c>
      <c r="B10" t="s">
        <v>1898</v>
      </c>
      <c r="C10" t="s">
        <v>1908</v>
      </c>
      <c r="D10" t="s">
        <v>21</v>
      </c>
      <c r="E10" t="s">
        <v>22</v>
      </c>
      <c r="F10" t="s">
        <v>23</v>
      </c>
      <c r="G10">
        <v>1</v>
      </c>
      <c r="H10">
        <v>9791189627881</v>
      </c>
      <c r="I10" t="s">
        <v>143</v>
      </c>
      <c r="J10" t="s">
        <v>1909</v>
      </c>
      <c r="K10" t="s">
        <v>1035</v>
      </c>
      <c r="L10" t="s">
        <v>27</v>
      </c>
      <c r="M10" s="3">
        <v>2800</v>
      </c>
      <c r="N10" t="s">
        <v>27</v>
      </c>
      <c r="O10" s="3">
        <v>2800</v>
      </c>
      <c r="P10" s="3">
        <v>2800</v>
      </c>
      <c r="Q10" t="s">
        <v>30</v>
      </c>
      <c r="R10" s="2">
        <v>0.7</v>
      </c>
      <c r="S10" s="3">
        <v>1960</v>
      </c>
      <c r="T10" t="s">
        <v>27</v>
      </c>
      <c r="U10" s="3">
        <v>1960</v>
      </c>
      <c r="V10" s="7" t="s">
        <v>24</v>
      </c>
      <c r="W10" s="7" t="s">
        <v>1035</v>
      </c>
    </row>
    <row r="11" spans="1:23" x14ac:dyDescent="0.4">
      <c r="A11" t="s">
        <v>262</v>
      </c>
      <c r="B11" t="s">
        <v>1953</v>
      </c>
      <c r="C11" t="s">
        <v>1967</v>
      </c>
      <c r="D11" t="s">
        <v>21</v>
      </c>
      <c r="E11" t="s">
        <v>22</v>
      </c>
      <c r="F11" t="s">
        <v>23</v>
      </c>
      <c r="G11">
        <v>1</v>
      </c>
      <c r="H11">
        <v>9791189627379</v>
      </c>
      <c r="I11" t="s">
        <v>143</v>
      </c>
      <c r="J11" t="s">
        <v>1968</v>
      </c>
      <c r="K11" t="s">
        <v>1035</v>
      </c>
      <c r="L11" t="s">
        <v>27</v>
      </c>
      <c r="M11">
        <v>300</v>
      </c>
      <c r="N11" t="s">
        <v>28</v>
      </c>
      <c r="O11">
        <v>0.25</v>
      </c>
      <c r="P11">
        <v>0.25</v>
      </c>
      <c r="Q11" t="s">
        <v>1969</v>
      </c>
      <c r="R11" s="2">
        <v>0.7</v>
      </c>
      <c r="S11">
        <v>0.17</v>
      </c>
      <c r="T11" t="s">
        <v>27</v>
      </c>
      <c r="U11">
        <v>215</v>
      </c>
      <c r="V11" s="7" t="s">
        <v>24</v>
      </c>
      <c r="W11" s="7" t="s">
        <v>1035</v>
      </c>
    </row>
    <row r="12" spans="1:23" x14ac:dyDescent="0.4">
      <c r="A12" t="s">
        <v>262</v>
      </c>
      <c r="B12" t="s">
        <v>1953</v>
      </c>
      <c r="C12" t="s">
        <v>1970</v>
      </c>
      <c r="D12" t="s">
        <v>21</v>
      </c>
      <c r="E12" t="s">
        <v>22</v>
      </c>
      <c r="F12" t="s">
        <v>23</v>
      </c>
      <c r="G12">
        <v>1</v>
      </c>
      <c r="H12">
        <v>9791164370504</v>
      </c>
      <c r="I12" t="s">
        <v>143</v>
      </c>
      <c r="J12" t="s">
        <v>1971</v>
      </c>
      <c r="K12" t="s">
        <v>1035</v>
      </c>
      <c r="L12" t="s">
        <v>27</v>
      </c>
      <c r="M12">
        <v>300</v>
      </c>
      <c r="N12" t="s">
        <v>28</v>
      </c>
      <c r="O12">
        <v>0.25</v>
      </c>
      <c r="P12">
        <v>0.25</v>
      </c>
      <c r="Q12" t="s">
        <v>1969</v>
      </c>
      <c r="R12" s="2">
        <v>0.7</v>
      </c>
      <c r="S12">
        <v>0.17</v>
      </c>
      <c r="T12" t="s">
        <v>27</v>
      </c>
      <c r="U12">
        <v>215</v>
      </c>
      <c r="V12" s="7" t="s">
        <v>24</v>
      </c>
      <c r="W12" s="7" t="s">
        <v>1035</v>
      </c>
    </row>
    <row r="13" spans="1:23" x14ac:dyDescent="0.4">
      <c r="A13" t="s">
        <v>262</v>
      </c>
      <c r="B13" t="s">
        <v>1953</v>
      </c>
      <c r="C13" t="s">
        <v>1978</v>
      </c>
      <c r="D13" t="s">
        <v>21</v>
      </c>
      <c r="E13" t="s">
        <v>22</v>
      </c>
      <c r="F13" t="s">
        <v>23</v>
      </c>
      <c r="G13">
        <v>1</v>
      </c>
      <c r="H13">
        <v>9791164370177</v>
      </c>
      <c r="I13" t="s">
        <v>143</v>
      </c>
      <c r="J13" t="s">
        <v>1979</v>
      </c>
      <c r="K13" t="s">
        <v>1035</v>
      </c>
      <c r="L13" t="s">
        <v>27</v>
      </c>
      <c r="M13" s="3">
        <v>2500</v>
      </c>
      <c r="N13" t="s">
        <v>27</v>
      </c>
      <c r="O13" s="3">
        <v>2500</v>
      </c>
      <c r="P13" s="3">
        <v>2500</v>
      </c>
      <c r="Q13" t="s">
        <v>30</v>
      </c>
      <c r="R13" s="2">
        <v>0.7</v>
      </c>
      <c r="S13" s="3">
        <v>1750</v>
      </c>
      <c r="T13" t="s">
        <v>27</v>
      </c>
      <c r="U13" s="3">
        <v>1750</v>
      </c>
      <c r="V13" s="7" t="s">
        <v>24</v>
      </c>
      <c r="W13" s="7" t="s">
        <v>1035</v>
      </c>
    </row>
    <row r="14" spans="1:23" x14ac:dyDescent="0.4">
      <c r="A14" t="s">
        <v>262</v>
      </c>
      <c r="B14" t="s">
        <v>1953</v>
      </c>
      <c r="C14" t="s">
        <v>1992</v>
      </c>
      <c r="D14" t="s">
        <v>21</v>
      </c>
      <c r="E14" t="s">
        <v>22</v>
      </c>
      <c r="F14" t="s">
        <v>23</v>
      </c>
      <c r="G14">
        <v>1</v>
      </c>
      <c r="H14">
        <v>9791189627089</v>
      </c>
      <c r="I14" t="s">
        <v>143</v>
      </c>
      <c r="J14" t="s">
        <v>1066</v>
      </c>
      <c r="K14" t="s">
        <v>1035</v>
      </c>
      <c r="L14" t="s">
        <v>27</v>
      </c>
      <c r="M14" s="3">
        <v>2200</v>
      </c>
      <c r="N14" t="s">
        <v>28</v>
      </c>
      <c r="O14">
        <v>1.81</v>
      </c>
      <c r="P14">
        <v>1.81</v>
      </c>
      <c r="Q14" t="s">
        <v>1969</v>
      </c>
      <c r="R14" s="2">
        <v>0.7</v>
      </c>
      <c r="S14">
        <v>1.27</v>
      </c>
      <c r="T14" t="s">
        <v>27</v>
      </c>
      <c r="U14" s="3">
        <v>1608</v>
      </c>
      <c r="V14" s="7" t="s">
        <v>24</v>
      </c>
      <c r="W14" s="7" t="s">
        <v>1035</v>
      </c>
    </row>
    <row r="15" spans="1:23" x14ac:dyDescent="0.4">
      <c r="A15" t="s">
        <v>262</v>
      </c>
      <c r="B15" t="s">
        <v>1953</v>
      </c>
      <c r="C15" t="s">
        <v>1993</v>
      </c>
      <c r="D15" t="s">
        <v>21</v>
      </c>
      <c r="E15" t="s">
        <v>22</v>
      </c>
      <c r="F15" t="s">
        <v>23</v>
      </c>
      <c r="G15">
        <v>1</v>
      </c>
      <c r="H15">
        <v>9791189627072</v>
      </c>
      <c r="I15" t="s">
        <v>143</v>
      </c>
      <c r="J15" t="s">
        <v>1034</v>
      </c>
      <c r="K15" t="s">
        <v>1035</v>
      </c>
      <c r="L15" t="s">
        <v>27</v>
      </c>
      <c r="M15" s="3">
        <v>2200</v>
      </c>
      <c r="N15" t="s">
        <v>28</v>
      </c>
      <c r="O15">
        <v>1.81</v>
      </c>
      <c r="P15">
        <v>1.81</v>
      </c>
      <c r="Q15" t="s">
        <v>1969</v>
      </c>
      <c r="R15" s="2">
        <v>0.7</v>
      </c>
      <c r="S15">
        <v>1.27</v>
      </c>
      <c r="T15" t="s">
        <v>27</v>
      </c>
      <c r="U15" s="3">
        <v>1608</v>
      </c>
      <c r="V15" s="7" t="s">
        <v>24</v>
      </c>
      <c r="W15" s="7" t="s">
        <v>1035</v>
      </c>
    </row>
    <row r="16" spans="1:23" x14ac:dyDescent="0.4">
      <c r="A16" t="s">
        <v>262</v>
      </c>
      <c r="B16" t="s">
        <v>1953</v>
      </c>
      <c r="C16" t="s">
        <v>1994</v>
      </c>
      <c r="D16" t="s">
        <v>21</v>
      </c>
      <c r="E16" t="s">
        <v>22</v>
      </c>
      <c r="F16" t="s">
        <v>23</v>
      </c>
      <c r="G16">
        <v>1</v>
      </c>
      <c r="H16">
        <v>9791164370177</v>
      </c>
      <c r="I16" t="s">
        <v>143</v>
      </c>
      <c r="J16" t="s">
        <v>1979</v>
      </c>
      <c r="K16" t="s">
        <v>1035</v>
      </c>
      <c r="L16" t="s">
        <v>27</v>
      </c>
      <c r="M16" s="3">
        <v>2500</v>
      </c>
      <c r="N16" t="s">
        <v>28</v>
      </c>
      <c r="O16">
        <v>2.06</v>
      </c>
      <c r="P16">
        <v>2.06</v>
      </c>
      <c r="Q16" t="s">
        <v>1969</v>
      </c>
      <c r="R16" s="2">
        <v>0.7</v>
      </c>
      <c r="S16">
        <v>1.44</v>
      </c>
      <c r="T16" t="s">
        <v>27</v>
      </c>
      <c r="U16" s="3">
        <v>1823</v>
      </c>
      <c r="V16" s="7" t="s">
        <v>24</v>
      </c>
      <c r="W16" s="7" t="s">
        <v>1035</v>
      </c>
    </row>
    <row r="17" spans="1:23" x14ac:dyDescent="0.4">
      <c r="A17" t="s">
        <v>262</v>
      </c>
      <c r="B17" t="s">
        <v>1953</v>
      </c>
      <c r="C17" t="s">
        <v>1995</v>
      </c>
      <c r="D17" t="s">
        <v>21</v>
      </c>
      <c r="E17" t="s">
        <v>22</v>
      </c>
      <c r="F17" t="s">
        <v>23</v>
      </c>
      <c r="G17">
        <v>1</v>
      </c>
      <c r="H17">
        <v>9791164370184</v>
      </c>
      <c r="I17" t="s">
        <v>143</v>
      </c>
      <c r="J17" t="s">
        <v>1996</v>
      </c>
      <c r="K17" t="s">
        <v>1035</v>
      </c>
      <c r="L17" t="s">
        <v>27</v>
      </c>
      <c r="M17" s="3">
        <v>2500</v>
      </c>
      <c r="N17" t="s">
        <v>28</v>
      </c>
      <c r="O17">
        <v>2.06</v>
      </c>
      <c r="P17">
        <v>2.06</v>
      </c>
      <c r="Q17" t="s">
        <v>1969</v>
      </c>
      <c r="R17" s="2">
        <v>0.7</v>
      </c>
      <c r="S17">
        <v>1.44</v>
      </c>
      <c r="T17" t="s">
        <v>27</v>
      </c>
      <c r="U17" s="3">
        <v>1823</v>
      </c>
      <c r="V17" s="7" t="s">
        <v>24</v>
      </c>
      <c r="W17" s="7" t="s">
        <v>1035</v>
      </c>
    </row>
    <row r="18" spans="1:23" x14ac:dyDescent="0.4">
      <c r="A18" t="s">
        <v>262</v>
      </c>
      <c r="B18" t="s">
        <v>1953</v>
      </c>
      <c r="C18" t="s">
        <v>2003</v>
      </c>
      <c r="D18" t="s">
        <v>21</v>
      </c>
      <c r="E18" t="s">
        <v>22</v>
      </c>
      <c r="F18" t="s">
        <v>23</v>
      </c>
      <c r="G18">
        <v>1</v>
      </c>
      <c r="H18">
        <v>9791189627379</v>
      </c>
      <c r="I18" t="s">
        <v>143</v>
      </c>
      <c r="J18" t="s">
        <v>1968</v>
      </c>
      <c r="K18" t="s">
        <v>1035</v>
      </c>
      <c r="L18" t="s">
        <v>27</v>
      </c>
      <c r="M18">
        <v>300</v>
      </c>
      <c r="N18" t="s">
        <v>27</v>
      </c>
      <c r="O18">
        <v>300</v>
      </c>
      <c r="P18">
        <v>300</v>
      </c>
      <c r="Q18" t="s">
        <v>30</v>
      </c>
      <c r="R18" s="2">
        <v>0.7</v>
      </c>
      <c r="S18">
        <v>210</v>
      </c>
      <c r="T18" t="s">
        <v>27</v>
      </c>
      <c r="U18">
        <v>210</v>
      </c>
      <c r="V18" s="7" t="s">
        <v>24</v>
      </c>
      <c r="W18" s="7" t="s">
        <v>1035</v>
      </c>
    </row>
    <row r="19" spans="1:23" x14ac:dyDescent="0.4">
      <c r="A19" t="s">
        <v>262</v>
      </c>
      <c r="B19" t="s">
        <v>1953</v>
      </c>
      <c r="C19" t="s">
        <v>2006</v>
      </c>
      <c r="D19" t="s">
        <v>21</v>
      </c>
      <c r="E19" t="s">
        <v>22</v>
      </c>
      <c r="F19" t="s">
        <v>23</v>
      </c>
      <c r="G19">
        <v>1</v>
      </c>
      <c r="H19">
        <v>9791189627072</v>
      </c>
      <c r="I19" t="s">
        <v>143</v>
      </c>
      <c r="J19" t="s">
        <v>1034</v>
      </c>
      <c r="K19" t="s">
        <v>1035</v>
      </c>
      <c r="L19" t="s">
        <v>27</v>
      </c>
      <c r="M19" s="3">
        <v>2200</v>
      </c>
      <c r="N19" t="s">
        <v>27</v>
      </c>
      <c r="O19" s="3">
        <v>2200</v>
      </c>
      <c r="P19" s="3">
        <v>2200</v>
      </c>
      <c r="Q19" t="s">
        <v>30</v>
      </c>
      <c r="R19" s="2">
        <v>0.7</v>
      </c>
      <c r="S19" s="3">
        <v>1540</v>
      </c>
      <c r="T19" t="s">
        <v>27</v>
      </c>
      <c r="U19" s="3">
        <v>1540</v>
      </c>
      <c r="V19" s="7" t="s">
        <v>24</v>
      </c>
      <c r="W19" s="7" t="s">
        <v>1035</v>
      </c>
    </row>
    <row r="20" spans="1:23" x14ac:dyDescent="0.4">
      <c r="A20" t="s">
        <v>262</v>
      </c>
      <c r="B20" t="s">
        <v>1953</v>
      </c>
      <c r="C20" t="s">
        <v>2010</v>
      </c>
      <c r="D20" t="s">
        <v>21</v>
      </c>
      <c r="E20" t="s">
        <v>22</v>
      </c>
      <c r="F20" t="s">
        <v>23</v>
      </c>
      <c r="G20">
        <v>1</v>
      </c>
      <c r="H20">
        <v>9791189627072</v>
      </c>
      <c r="I20" t="s">
        <v>143</v>
      </c>
      <c r="J20" t="s">
        <v>1034</v>
      </c>
      <c r="K20" t="s">
        <v>1035</v>
      </c>
      <c r="L20" t="s">
        <v>27</v>
      </c>
      <c r="M20" s="3">
        <v>2200</v>
      </c>
      <c r="N20" t="s">
        <v>27</v>
      </c>
      <c r="O20" s="3">
        <v>2200</v>
      </c>
      <c r="P20" s="3">
        <v>2200</v>
      </c>
      <c r="Q20" t="s">
        <v>30</v>
      </c>
      <c r="R20" s="2">
        <v>0.7</v>
      </c>
      <c r="S20" s="3">
        <v>1540</v>
      </c>
      <c r="T20" t="s">
        <v>27</v>
      </c>
      <c r="U20" s="3">
        <v>1540</v>
      </c>
      <c r="V20" s="7" t="s">
        <v>24</v>
      </c>
      <c r="W20" s="7" t="s">
        <v>1035</v>
      </c>
    </row>
    <row r="21" spans="1:23" x14ac:dyDescent="0.4">
      <c r="A21" t="s">
        <v>262</v>
      </c>
      <c r="B21" t="s">
        <v>2017</v>
      </c>
      <c r="C21" t="s">
        <v>2032</v>
      </c>
      <c r="D21" t="s">
        <v>21</v>
      </c>
      <c r="E21" t="s">
        <v>22</v>
      </c>
      <c r="F21" t="s">
        <v>23</v>
      </c>
      <c r="G21">
        <v>1</v>
      </c>
      <c r="H21">
        <v>9791164370177</v>
      </c>
      <c r="I21" t="s">
        <v>143</v>
      </c>
      <c r="J21" t="s">
        <v>1979</v>
      </c>
      <c r="K21" t="s">
        <v>1035</v>
      </c>
      <c r="L21" t="s">
        <v>27</v>
      </c>
      <c r="M21" s="3">
        <v>2500</v>
      </c>
      <c r="N21" t="s">
        <v>27</v>
      </c>
      <c r="O21" s="3">
        <v>2500</v>
      </c>
      <c r="P21" s="3">
        <v>2500</v>
      </c>
      <c r="Q21" t="s">
        <v>30</v>
      </c>
      <c r="R21" s="2">
        <v>0.7</v>
      </c>
      <c r="S21" s="3">
        <v>1750</v>
      </c>
      <c r="T21" t="s">
        <v>27</v>
      </c>
      <c r="U21" s="3">
        <v>1750</v>
      </c>
      <c r="V21" s="7" t="s">
        <v>24</v>
      </c>
      <c r="W21" s="7" t="s">
        <v>1035</v>
      </c>
    </row>
    <row r="22" spans="1:23" x14ac:dyDescent="0.4">
      <c r="A22" t="s">
        <v>262</v>
      </c>
      <c r="B22" t="s">
        <v>2017</v>
      </c>
      <c r="C22" t="s">
        <v>2043</v>
      </c>
      <c r="D22" t="s">
        <v>21</v>
      </c>
      <c r="E22" t="s">
        <v>22</v>
      </c>
      <c r="F22" t="s">
        <v>23</v>
      </c>
      <c r="G22">
        <v>1</v>
      </c>
      <c r="H22">
        <v>9791189627089</v>
      </c>
      <c r="I22" t="s">
        <v>143</v>
      </c>
      <c r="J22" t="s">
        <v>1066</v>
      </c>
      <c r="K22" t="s">
        <v>1035</v>
      </c>
      <c r="L22" t="s">
        <v>27</v>
      </c>
      <c r="M22" s="3">
        <v>2200</v>
      </c>
      <c r="N22" t="s">
        <v>27</v>
      </c>
      <c r="O22" s="3">
        <v>2200</v>
      </c>
      <c r="P22" s="3">
        <v>2200</v>
      </c>
      <c r="Q22" t="s">
        <v>30</v>
      </c>
      <c r="R22" s="2">
        <v>0.7</v>
      </c>
      <c r="S22" s="3">
        <v>1540</v>
      </c>
      <c r="T22" t="s">
        <v>27</v>
      </c>
      <c r="U22" s="3">
        <v>1540</v>
      </c>
      <c r="V22" s="7" t="s">
        <v>24</v>
      </c>
      <c r="W22" s="7" t="s">
        <v>1035</v>
      </c>
    </row>
    <row r="23" spans="1:23" x14ac:dyDescent="0.4">
      <c r="A23" t="s">
        <v>262</v>
      </c>
      <c r="B23" t="s">
        <v>2017</v>
      </c>
      <c r="C23" t="s">
        <v>2046</v>
      </c>
      <c r="D23" t="s">
        <v>21</v>
      </c>
      <c r="E23" t="s">
        <v>22</v>
      </c>
      <c r="F23" t="s">
        <v>23</v>
      </c>
      <c r="G23">
        <v>1</v>
      </c>
      <c r="H23">
        <v>9791164370184</v>
      </c>
      <c r="I23" t="s">
        <v>143</v>
      </c>
      <c r="J23" t="s">
        <v>1996</v>
      </c>
      <c r="K23" t="s">
        <v>1035</v>
      </c>
      <c r="L23" t="s">
        <v>27</v>
      </c>
      <c r="M23" s="3">
        <v>2500</v>
      </c>
      <c r="N23" t="s">
        <v>27</v>
      </c>
      <c r="O23" s="3">
        <v>2500</v>
      </c>
      <c r="P23" s="3">
        <v>2500</v>
      </c>
      <c r="Q23" t="s">
        <v>30</v>
      </c>
      <c r="R23" s="2">
        <v>0.7</v>
      </c>
      <c r="S23" s="3">
        <v>1750</v>
      </c>
      <c r="T23" t="s">
        <v>27</v>
      </c>
      <c r="U23" s="3">
        <v>1750</v>
      </c>
      <c r="V23" s="7" t="s">
        <v>24</v>
      </c>
      <c r="W23" s="7" t="s">
        <v>1035</v>
      </c>
    </row>
    <row r="24" spans="1:23" x14ac:dyDescent="0.4">
      <c r="A24" t="s">
        <v>262</v>
      </c>
      <c r="B24" t="s">
        <v>2017</v>
      </c>
      <c r="C24" t="s">
        <v>2053</v>
      </c>
      <c r="D24" t="s">
        <v>21</v>
      </c>
      <c r="E24" t="s">
        <v>22</v>
      </c>
      <c r="F24" t="s">
        <v>23</v>
      </c>
      <c r="G24">
        <v>1</v>
      </c>
      <c r="H24">
        <v>9791189627072</v>
      </c>
      <c r="I24" t="s">
        <v>143</v>
      </c>
      <c r="J24" t="s">
        <v>1034</v>
      </c>
      <c r="K24" t="s">
        <v>1035</v>
      </c>
      <c r="L24" t="s">
        <v>27</v>
      </c>
      <c r="M24" s="3">
        <v>2200</v>
      </c>
      <c r="N24" t="s">
        <v>27</v>
      </c>
      <c r="O24" s="3">
        <v>2200</v>
      </c>
      <c r="P24" s="3">
        <v>2200</v>
      </c>
      <c r="Q24" t="s">
        <v>30</v>
      </c>
      <c r="R24" s="2">
        <v>0.7</v>
      </c>
      <c r="S24" s="3">
        <v>1540</v>
      </c>
      <c r="T24" t="s">
        <v>27</v>
      </c>
      <c r="U24" s="3">
        <v>1540</v>
      </c>
      <c r="V24" s="7" t="s">
        <v>24</v>
      </c>
      <c r="W24" s="7" t="s">
        <v>1035</v>
      </c>
    </row>
    <row r="25" spans="1:23" x14ac:dyDescent="0.4">
      <c r="A25" t="s">
        <v>262</v>
      </c>
      <c r="B25" t="s">
        <v>2075</v>
      </c>
      <c r="C25" t="s">
        <v>2094</v>
      </c>
      <c r="D25" t="s">
        <v>21</v>
      </c>
      <c r="E25" t="s">
        <v>22</v>
      </c>
      <c r="F25" t="s">
        <v>23</v>
      </c>
      <c r="G25">
        <v>1</v>
      </c>
      <c r="H25">
        <v>9791164370221</v>
      </c>
      <c r="I25" t="s">
        <v>143</v>
      </c>
      <c r="J25" t="s">
        <v>2095</v>
      </c>
      <c r="K25" t="s">
        <v>1035</v>
      </c>
      <c r="L25" t="s">
        <v>27</v>
      </c>
      <c r="M25">
        <v>300</v>
      </c>
      <c r="N25" t="s">
        <v>27</v>
      </c>
      <c r="O25">
        <v>300</v>
      </c>
      <c r="P25">
        <v>300</v>
      </c>
      <c r="Q25" t="s">
        <v>30</v>
      </c>
      <c r="R25" s="2">
        <v>0.7</v>
      </c>
      <c r="S25">
        <v>210</v>
      </c>
      <c r="T25" t="s">
        <v>27</v>
      </c>
      <c r="U25">
        <v>210</v>
      </c>
      <c r="V25" s="7" t="s">
        <v>24</v>
      </c>
      <c r="W25" s="7" t="s">
        <v>1035</v>
      </c>
    </row>
    <row r="26" spans="1:23" x14ac:dyDescent="0.4">
      <c r="A26" t="s">
        <v>262</v>
      </c>
      <c r="B26" t="s">
        <v>2075</v>
      </c>
      <c r="C26" t="s">
        <v>2110</v>
      </c>
      <c r="D26" t="s">
        <v>21</v>
      </c>
      <c r="E26" t="s">
        <v>22</v>
      </c>
      <c r="F26" t="s">
        <v>23</v>
      </c>
      <c r="G26">
        <v>1</v>
      </c>
      <c r="H26">
        <v>9791189627072</v>
      </c>
      <c r="I26" t="s">
        <v>143</v>
      </c>
      <c r="J26" t="s">
        <v>1034</v>
      </c>
      <c r="K26" t="s">
        <v>1035</v>
      </c>
      <c r="L26" t="s">
        <v>27</v>
      </c>
      <c r="M26" s="3">
        <v>2200</v>
      </c>
      <c r="N26" t="s">
        <v>2111</v>
      </c>
      <c r="O26">
        <v>35.909999999999997</v>
      </c>
      <c r="P26">
        <v>35.909999999999997</v>
      </c>
      <c r="Q26" t="s">
        <v>2112</v>
      </c>
      <c r="R26" s="2">
        <v>0.7</v>
      </c>
      <c r="S26">
        <v>25.14</v>
      </c>
      <c r="T26" t="s">
        <v>27</v>
      </c>
      <c r="U26" s="3">
        <v>1611</v>
      </c>
      <c r="V26" s="7" t="s">
        <v>24</v>
      </c>
      <c r="W26" s="7" t="s">
        <v>1035</v>
      </c>
    </row>
    <row r="27" spans="1:23" x14ac:dyDescent="0.4">
      <c r="A27" t="s">
        <v>262</v>
      </c>
      <c r="B27" t="s">
        <v>2075</v>
      </c>
      <c r="C27" t="s">
        <v>2113</v>
      </c>
      <c r="D27" t="s">
        <v>21</v>
      </c>
      <c r="E27" t="s">
        <v>22</v>
      </c>
      <c r="F27" t="s">
        <v>23</v>
      </c>
      <c r="G27">
        <v>1</v>
      </c>
      <c r="H27">
        <v>9791189627089</v>
      </c>
      <c r="I27" t="s">
        <v>143</v>
      </c>
      <c r="J27" t="s">
        <v>1066</v>
      </c>
      <c r="K27" t="s">
        <v>1035</v>
      </c>
      <c r="L27" t="s">
        <v>27</v>
      </c>
      <c r="M27" s="3">
        <v>2200</v>
      </c>
      <c r="N27" t="s">
        <v>2111</v>
      </c>
      <c r="O27">
        <v>35.909999999999997</v>
      </c>
      <c r="P27">
        <v>35.909999999999997</v>
      </c>
      <c r="Q27" t="s">
        <v>2112</v>
      </c>
      <c r="R27" s="2">
        <v>0.7</v>
      </c>
      <c r="S27">
        <v>25.14</v>
      </c>
      <c r="T27" t="s">
        <v>27</v>
      </c>
      <c r="U27" s="3">
        <v>1611</v>
      </c>
      <c r="V27" s="7" t="s">
        <v>24</v>
      </c>
      <c r="W27" s="7" t="s">
        <v>1035</v>
      </c>
    </row>
    <row r="28" spans="1:23" x14ac:dyDescent="0.4">
      <c r="A28" t="s">
        <v>262</v>
      </c>
      <c r="B28" t="s">
        <v>2075</v>
      </c>
      <c r="C28" t="s">
        <v>2114</v>
      </c>
      <c r="D28" t="s">
        <v>21</v>
      </c>
      <c r="E28" t="s">
        <v>22</v>
      </c>
      <c r="F28" t="s">
        <v>23</v>
      </c>
      <c r="G28">
        <v>1</v>
      </c>
      <c r="H28">
        <v>9791189627379</v>
      </c>
      <c r="I28" t="s">
        <v>143</v>
      </c>
      <c r="J28" t="s">
        <v>1968</v>
      </c>
      <c r="K28" t="s">
        <v>1035</v>
      </c>
      <c r="L28" t="s">
        <v>27</v>
      </c>
      <c r="M28">
        <v>300</v>
      </c>
      <c r="N28" t="s">
        <v>2111</v>
      </c>
      <c r="O28">
        <v>4.9000000000000004</v>
      </c>
      <c r="P28">
        <v>4.9000000000000004</v>
      </c>
      <c r="Q28" t="s">
        <v>2112</v>
      </c>
      <c r="R28" s="2">
        <v>0.7</v>
      </c>
      <c r="S28">
        <v>3.43</v>
      </c>
      <c r="T28" t="s">
        <v>27</v>
      </c>
      <c r="U28">
        <v>220</v>
      </c>
      <c r="V28" s="7" t="s">
        <v>24</v>
      </c>
      <c r="W28" s="7" t="s">
        <v>1035</v>
      </c>
    </row>
    <row r="29" spans="1:23" x14ac:dyDescent="0.4">
      <c r="A29" t="s">
        <v>262</v>
      </c>
      <c r="B29" t="s">
        <v>2159</v>
      </c>
      <c r="C29" t="s">
        <v>2200</v>
      </c>
      <c r="D29" t="s">
        <v>21</v>
      </c>
      <c r="E29" t="s">
        <v>22</v>
      </c>
      <c r="F29" t="s">
        <v>23</v>
      </c>
      <c r="G29">
        <v>1</v>
      </c>
      <c r="H29">
        <v>9791164370504</v>
      </c>
      <c r="I29" t="s">
        <v>143</v>
      </c>
      <c r="J29" t="s">
        <v>1971</v>
      </c>
      <c r="K29" t="s">
        <v>1035</v>
      </c>
      <c r="L29" t="s">
        <v>27</v>
      </c>
      <c r="M29">
        <v>300</v>
      </c>
      <c r="N29" t="s">
        <v>27</v>
      </c>
      <c r="O29">
        <v>300</v>
      </c>
      <c r="P29">
        <v>300</v>
      </c>
      <c r="Q29" t="s">
        <v>30</v>
      </c>
      <c r="R29" s="2">
        <v>0.7</v>
      </c>
      <c r="S29">
        <v>210</v>
      </c>
      <c r="T29" t="s">
        <v>27</v>
      </c>
      <c r="U29">
        <v>210</v>
      </c>
      <c r="V29" s="7" t="s">
        <v>24</v>
      </c>
      <c r="W29" s="7" t="s">
        <v>1035</v>
      </c>
    </row>
    <row r="30" spans="1:23" x14ac:dyDescent="0.4">
      <c r="A30" t="s">
        <v>262</v>
      </c>
      <c r="B30" t="s">
        <v>2159</v>
      </c>
      <c r="C30" t="s">
        <v>2208</v>
      </c>
      <c r="D30" t="s">
        <v>21</v>
      </c>
      <c r="E30" t="s">
        <v>22</v>
      </c>
      <c r="F30" t="s">
        <v>23</v>
      </c>
      <c r="G30">
        <v>1</v>
      </c>
      <c r="H30">
        <v>9791189627836</v>
      </c>
      <c r="I30" t="s">
        <v>143</v>
      </c>
      <c r="J30" t="s">
        <v>2209</v>
      </c>
      <c r="K30" t="s">
        <v>1035</v>
      </c>
      <c r="L30" t="s">
        <v>27</v>
      </c>
      <c r="M30" s="3">
        <v>3200</v>
      </c>
      <c r="N30" t="s">
        <v>27</v>
      </c>
      <c r="O30" s="3">
        <v>3200</v>
      </c>
      <c r="P30" s="3">
        <v>3200</v>
      </c>
      <c r="Q30" t="s">
        <v>30</v>
      </c>
      <c r="R30" s="2">
        <v>0.7</v>
      </c>
      <c r="S30" s="3">
        <v>2240</v>
      </c>
      <c r="T30" t="s">
        <v>27</v>
      </c>
      <c r="U30" s="3">
        <v>2240</v>
      </c>
      <c r="V30" s="7" t="s">
        <v>24</v>
      </c>
      <c r="W30" s="7" t="s">
        <v>1035</v>
      </c>
    </row>
    <row r="31" spans="1:23" x14ac:dyDescent="0.4">
      <c r="A31" t="s">
        <v>262</v>
      </c>
      <c r="B31" t="s">
        <v>2159</v>
      </c>
      <c r="C31" t="s">
        <v>2215</v>
      </c>
      <c r="D31" t="s">
        <v>21</v>
      </c>
      <c r="E31" t="s">
        <v>22</v>
      </c>
      <c r="F31" t="s">
        <v>23</v>
      </c>
      <c r="G31">
        <v>1</v>
      </c>
      <c r="H31">
        <v>9791189627379</v>
      </c>
      <c r="I31" t="s">
        <v>143</v>
      </c>
      <c r="J31" t="s">
        <v>1968</v>
      </c>
      <c r="K31" t="s">
        <v>1035</v>
      </c>
      <c r="L31" t="s">
        <v>27</v>
      </c>
      <c r="M31">
        <v>300</v>
      </c>
      <c r="N31" t="s">
        <v>27</v>
      </c>
      <c r="O31">
        <v>300</v>
      </c>
      <c r="P31">
        <v>300</v>
      </c>
      <c r="Q31" t="s">
        <v>30</v>
      </c>
      <c r="R31" s="2">
        <v>0.7</v>
      </c>
      <c r="S31">
        <v>210</v>
      </c>
      <c r="T31" t="s">
        <v>27</v>
      </c>
      <c r="U31">
        <v>210</v>
      </c>
      <c r="V31" s="7" t="s">
        <v>24</v>
      </c>
      <c r="W31" s="7" t="s">
        <v>1035</v>
      </c>
    </row>
    <row r="32" spans="1:23" x14ac:dyDescent="0.4">
      <c r="A32" t="s">
        <v>262</v>
      </c>
      <c r="B32" t="s">
        <v>2236</v>
      </c>
      <c r="C32" t="s">
        <v>2264</v>
      </c>
      <c r="D32" t="s">
        <v>21</v>
      </c>
      <c r="E32" t="s">
        <v>22</v>
      </c>
      <c r="F32" t="s">
        <v>23</v>
      </c>
      <c r="G32">
        <v>1</v>
      </c>
      <c r="H32">
        <v>9791189627089</v>
      </c>
      <c r="I32" t="s">
        <v>143</v>
      </c>
      <c r="J32" t="s">
        <v>1066</v>
      </c>
      <c r="K32" t="s">
        <v>1035</v>
      </c>
      <c r="L32" t="s">
        <v>27</v>
      </c>
      <c r="M32" s="3">
        <v>2200</v>
      </c>
      <c r="N32" t="s">
        <v>27</v>
      </c>
      <c r="O32" s="3">
        <v>2200</v>
      </c>
      <c r="P32" s="3">
        <v>2200</v>
      </c>
      <c r="Q32" t="s">
        <v>30</v>
      </c>
      <c r="R32" s="2">
        <v>0.7</v>
      </c>
      <c r="S32" s="3">
        <v>1540</v>
      </c>
      <c r="T32" t="s">
        <v>27</v>
      </c>
      <c r="U32" s="3">
        <v>1540</v>
      </c>
      <c r="V32" s="7" t="s">
        <v>24</v>
      </c>
      <c r="W32" s="7" t="s">
        <v>1035</v>
      </c>
    </row>
    <row r="33" spans="1:23" x14ac:dyDescent="0.4">
      <c r="A33" t="s">
        <v>262</v>
      </c>
      <c r="B33" t="s">
        <v>2308</v>
      </c>
      <c r="C33" t="s">
        <v>2349</v>
      </c>
      <c r="D33" t="s">
        <v>21</v>
      </c>
      <c r="E33" t="s">
        <v>22</v>
      </c>
      <c r="F33" t="s">
        <v>23</v>
      </c>
      <c r="G33">
        <v>1</v>
      </c>
      <c r="H33">
        <v>9791164370719</v>
      </c>
      <c r="I33" t="s">
        <v>143</v>
      </c>
      <c r="J33" t="s">
        <v>2350</v>
      </c>
      <c r="K33" t="s">
        <v>1035</v>
      </c>
      <c r="L33" t="s">
        <v>27</v>
      </c>
      <c r="M33">
        <v>500</v>
      </c>
      <c r="N33" t="s">
        <v>2351</v>
      </c>
      <c r="O33">
        <v>1.89</v>
      </c>
      <c r="P33">
        <v>1.89</v>
      </c>
      <c r="Q33" t="s">
        <v>2352</v>
      </c>
      <c r="R33" s="2">
        <v>0.7</v>
      </c>
      <c r="S33">
        <v>1.32</v>
      </c>
      <c r="T33" t="s">
        <v>27</v>
      </c>
      <c r="U33">
        <v>350</v>
      </c>
      <c r="V33" s="7" t="s">
        <v>24</v>
      </c>
      <c r="W33" s="7" t="s">
        <v>1035</v>
      </c>
    </row>
    <row r="34" spans="1:23" x14ac:dyDescent="0.4">
      <c r="A34" t="s">
        <v>262</v>
      </c>
      <c r="B34" t="s">
        <v>2308</v>
      </c>
      <c r="C34" t="s">
        <v>2354</v>
      </c>
      <c r="D34" t="s">
        <v>21</v>
      </c>
      <c r="E34" t="s">
        <v>22</v>
      </c>
      <c r="F34" t="s">
        <v>23</v>
      </c>
      <c r="G34">
        <v>1</v>
      </c>
      <c r="H34">
        <v>9791164370184</v>
      </c>
      <c r="I34" t="s">
        <v>143</v>
      </c>
      <c r="J34" t="s">
        <v>1996</v>
      </c>
      <c r="K34" t="s">
        <v>1035</v>
      </c>
      <c r="L34" t="s">
        <v>27</v>
      </c>
      <c r="M34" s="3">
        <v>2500</v>
      </c>
      <c r="N34" t="s">
        <v>27</v>
      </c>
      <c r="O34" s="3">
        <v>2500</v>
      </c>
      <c r="P34" s="3">
        <v>2500</v>
      </c>
      <c r="Q34" t="s">
        <v>30</v>
      </c>
      <c r="R34" s="2">
        <v>0.7</v>
      </c>
      <c r="S34" s="3">
        <v>1750</v>
      </c>
      <c r="T34" t="s">
        <v>27</v>
      </c>
      <c r="U34" s="3">
        <v>1750</v>
      </c>
      <c r="V34" s="7" t="s">
        <v>24</v>
      </c>
      <c r="W34" s="7" t="s">
        <v>1035</v>
      </c>
    </row>
    <row r="35" spans="1:23" x14ac:dyDescent="0.4">
      <c r="A35" t="s">
        <v>262</v>
      </c>
      <c r="B35" t="s">
        <v>2308</v>
      </c>
      <c r="C35" t="s">
        <v>2377</v>
      </c>
      <c r="D35" t="s">
        <v>21</v>
      </c>
      <c r="E35" t="s">
        <v>22</v>
      </c>
      <c r="F35" t="s">
        <v>23</v>
      </c>
      <c r="G35">
        <v>1</v>
      </c>
      <c r="H35">
        <v>9791189627874</v>
      </c>
      <c r="I35" t="s">
        <v>143</v>
      </c>
      <c r="J35" t="s">
        <v>1825</v>
      </c>
      <c r="K35" t="s">
        <v>1035</v>
      </c>
      <c r="L35" t="s">
        <v>27</v>
      </c>
      <c r="M35" s="3">
        <v>2800</v>
      </c>
      <c r="N35" t="s">
        <v>27</v>
      </c>
      <c r="O35" s="3">
        <v>2800</v>
      </c>
      <c r="P35" s="3">
        <v>2800</v>
      </c>
      <c r="Q35" t="s">
        <v>30</v>
      </c>
      <c r="R35" s="2">
        <v>0.7</v>
      </c>
      <c r="S35" s="3">
        <v>1960</v>
      </c>
      <c r="T35" t="s">
        <v>27</v>
      </c>
      <c r="U35" s="3">
        <v>1960</v>
      </c>
      <c r="V35" s="7" t="s">
        <v>24</v>
      </c>
      <c r="W35" s="7" t="s">
        <v>1035</v>
      </c>
    </row>
    <row r="36" spans="1:23" x14ac:dyDescent="0.4">
      <c r="A36" t="s">
        <v>262</v>
      </c>
      <c r="B36" t="s">
        <v>2308</v>
      </c>
      <c r="C36" t="s">
        <v>2390</v>
      </c>
      <c r="D36" t="s">
        <v>21</v>
      </c>
      <c r="E36" t="s">
        <v>22</v>
      </c>
      <c r="F36" t="s">
        <v>23</v>
      </c>
      <c r="G36">
        <v>1</v>
      </c>
      <c r="H36">
        <v>9791164370177</v>
      </c>
      <c r="I36" t="s">
        <v>143</v>
      </c>
      <c r="J36" t="s">
        <v>1979</v>
      </c>
      <c r="K36" t="s">
        <v>1035</v>
      </c>
      <c r="L36" t="s">
        <v>27</v>
      </c>
      <c r="M36" s="3">
        <v>2500</v>
      </c>
      <c r="N36" t="s">
        <v>27</v>
      </c>
      <c r="O36" s="3">
        <v>2500</v>
      </c>
      <c r="P36" s="3">
        <v>2500</v>
      </c>
      <c r="Q36" t="s">
        <v>30</v>
      </c>
      <c r="R36" s="2">
        <v>0.7</v>
      </c>
      <c r="S36" s="3">
        <v>1750</v>
      </c>
      <c r="T36" t="s">
        <v>27</v>
      </c>
      <c r="U36" s="3">
        <v>1750</v>
      </c>
      <c r="V36" s="7" t="s">
        <v>24</v>
      </c>
      <c r="W36" s="7" t="s">
        <v>1035</v>
      </c>
    </row>
    <row r="37" spans="1:23" x14ac:dyDescent="0.4">
      <c r="A37" t="s">
        <v>262</v>
      </c>
      <c r="B37" t="s">
        <v>2394</v>
      </c>
      <c r="C37" t="s">
        <v>2418</v>
      </c>
      <c r="D37" t="s">
        <v>21</v>
      </c>
      <c r="E37" t="s">
        <v>22</v>
      </c>
      <c r="F37" t="s">
        <v>23</v>
      </c>
      <c r="G37">
        <v>1</v>
      </c>
      <c r="H37">
        <v>9791164370184</v>
      </c>
      <c r="I37" t="s">
        <v>143</v>
      </c>
      <c r="J37" t="s">
        <v>1996</v>
      </c>
      <c r="K37" t="s">
        <v>1035</v>
      </c>
      <c r="L37" t="s">
        <v>27</v>
      </c>
      <c r="M37" s="3">
        <v>2500</v>
      </c>
      <c r="N37" t="s">
        <v>27</v>
      </c>
      <c r="O37" s="3">
        <v>2500</v>
      </c>
      <c r="P37" s="3">
        <v>2500</v>
      </c>
      <c r="Q37" t="s">
        <v>30</v>
      </c>
      <c r="R37" s="2">
        <v>0.7</v>
      </c>
      <c r="S37" s="3">
        <v>1750</v>
      </c>
      <c r="T37" t="s">
        <v>27</v>
      </c>
      <c r="U37" s="3">
        <v>1750</v>
      </c>
      <c r="V37" s="7" t="s">
        <v>24</v>
      </c>
      <c r="W37" s="7" t="s">
        <v>1035</v>
      </c>
    </row>
    <row r="38" spans="1:23" x14ac:dyDescent="0.4">
      <c r="A38" t="s">
        <v>262</v>
      </c>
      <c r="B38" t="s">
        <v>2394</v>
      </c>
      <c r="C38" t="s">
        <v>2426</v>
      </c>
      <c r="D38" t="s">
        <v>21</v>
      </c>
      <c r="E38" t="s">
        <v>22</v>
      </c>
      <c r="F38" t="s">
        <v>23</v>
      </c>
      <c r="G38">
        <v>1</v>
      </c>
      <c r="H38">
        <v>9791164370504</v>
      </c>
      <c r="I38" t="s">
        <v>143</v>
      </c>
      <c r="J38" t="s">
        <v>1971</v>
      </c>
      <c r="K38" t="s">
        <v>1035</v>
      </c>
      <c r="L38" t="s">
        <v>27</v>
      </c>
      <c r="M38">
        <v>300</v>
      </c>
      <c r="N38" t="s">
        <v>27</v>
      </c>
      <c r="O38">
        <v>300</v>
      </c>
      <c r="P38">
        <v>300</v>
      </c>
      <c r="Q38" t="s">
        <v>30</v>
      </c>
      <c r="R38" s="2">
        <v>0.7</v>
      </c>
      <c r="S38">
        <v>210</v>
      </c>
      <c r="T38" t="s">
        <v>27</v>
      </c>
      <c r="U38">
        <v>210</v>
      </c>
      <c r="V38" s="7" t="s">
        <v>24</v>
      </c>
      <c r="W38" s="7" t="s">
        <v>1035</v>
      </c>
    </row>
    <row r="39" spans="1:23" x14ac:dyDescent="0.4">
      <c r="A39" t="s">
        <v>262</v>
      </c>
      <c r="B39" t="s">
        <v>2394</v>
      </c>
      <c r="C39" t="s">
        <v>2435</v>
      </c>
      <c r="D39" t="s">
        <v>21</v>
      </c>
      <c r="E39" t="s">
        <v>22</v>
      </c>
      <c r="F39" t="s">
        <v>23</v>
      </c>
      <c r="G39">
        <v>1</v>
      </c>
      <c r="H39">
        <v>9791189627843</v>
      </c>
      <c r="I39" t="s">
        <v>143</v>
      </c>
      <c r="J39" t="s">
        <v>1546</v>
      </c>
      <c r="K39" t="s">
        <v>1035</v>
      </c>
      <c r="L39" t="s">
        <v>27</v>
      </c>
      <c r="M39" s="3">
        <v>3200</v>
      </c>
      <c r="N39" t="s">
        <v>27</v>
      </c>
      <c r="O39" s="3">
        <v>3200</v>
      </c>
      <c r="P39" s="3">
        <v>3200</v>
      </c>
      <c r="Q39" t="s">
        <v>30</v>
      </c>
      <c r="R39" s="2">
        <v>0.7</v>
      </c>
      <c r="S39" s="3">
        <v>2240</v>
      </c>
      <c r="T39" t="s">
        <v>27</v>
      </c>
      <c r="U39" s="3">
        <v>2240</v>
      </c>
      <c r="V39" s="7" t="s">
        <v>24</v>
      </c>
      <c r="W39" s="7" t="s">
        <v>1035</v>
      </c>
    </row>
    <row r="40" spans="1:23" x14ac:dyDescent="0.4">
      <c r="A40" t="s">
        <v>262</v>
      </c>
      <c r="B40" t="s">
        <v>2394</v>
      </c>
      <c r="C40" t="s">
        <v>2458</v>
      </c>
      <c r="D40" t="s">
        <v>21</v>
      </c>
      <c r="E40" t="s">
        <v>22</v>
      </c>
      <c r="F40" t="s">
        <v>23</v>
      </c>
      <c r="G40">
        <v>1</v>
      </c>
      <c r="H40">
        <v>9791189627881</v>
      </c>
      <c r="I40" t="s">
        <v>143</v>
      </c>
      <c r="J40" t="s">
        <v>1909</v>
      </c>
      <c r="K40" t="s">
        <v>1035</v>
      </c>
      <c r="L40" t="s">
        <v>27</v>
      </c>
      <c r="M40" s="3">
        <v>2800</v>
      </c>
      <c r="N40" t="s">
        <v>27</v>
      </c>
      <c r="O40" s="3">
        <v>2800</v>
      </c>
      <c r="P40" s="3">
        <v>2800</v>
      </c>
      <c r="Q40" t="s">
        <v>30</v>
      </c>
      <c r="R40" s="2">
        <v>0.7</v>
      </c>
      <c r="S40" s="3">
        <v>1960</v>
      </c>
      <c r="T40" t="s">
        <v>27</v>
      </c>
      <c r="U40" s="3">
        <v>1960</v>
      </c>
      <c r="V40" s="7" t="s">
        <v>24</v>
      </c>
      <c r="W40" s="7" t="s">
        <v>1035</v>
      </c>
    </row>
    <row r="41" spans="1:23" x14ac:dyDescent="0.4">
      <c r="A41" t="s">
        <v>262</v>
      </c>
      <c r="B41" t="s">
        <v>262</v>
      </c>
      <c r="C41" t="s">
        <v>2484</v>
      </c>
      <c r="D41" t="s">
        <v>21</v>
      </c>
      <c r="E41" t="s">
        <v>22</v>
      </c>
      <c r="F41" t="s">
        <v>23</v>
      </c>
      <c r="G41">
        <v>1</v>
      </c>
      <c r="H41">
        <v>9791189627836</v>
      </c>
      <c r="I41" t="s">
        <v>143</v>
      </c>
      <c r="J41" t="s">
        <v>2209</v>
      </c>
      <c r="K41" t="s">
        <v>1035</v>
      </c>
      <c r="L41" t="s">
        <v>27</v>
      </c>
      <c r="M41" s="3">
        <v>3200</v>
      </c>
      <c r="N41" t="s">
        <v>200</v>
      </c>
      <c r="O41">
        <v>2.5</v>
      </c>
      <c r="P41">
        <v>2.4</v>
      </c>
      <c r="Q41" t="s">
        <v>2485</v>
      </c>
      <c r="R41" s="2">
        <v>0.7</v>
      </c>
      <c r="S41">
        <v>1.68</v>
      </c>
      <c r="T41" t="s">
        <v>27</v>
      </c>
      <c r="U41" s="3">
        <v>2230</v>
      </c>
      <c r="V41" s="7" t="s">
        <v>24</v>
      </c>
      <c r="W41" s="7" t="s">
        <v>1035</v>
      </c>
    </row>
    <row r="42" spans="1:23" x14ac:dyDescent="0.4">
      <c r="A42" t="s">
        <v>262</v>
      </c>
      <c r="B42" t="s">
        <v>262</v>
      </c>
      <c r="C42" t="s">
        <v>2487</v>
      </c>
      <c r="D42" t="s">
        <v>21</v>
      </c>
      <c r="E42" t="s">
        <v>22</v>
      </c>
      <c r="F42" t="s">
        <v>23</v>
      </c>
      <c r="G42">
        <v>1</v>
      </c>
      <c r="H42">
        <v>9791164370177</v>
      </c>
      <c r="I42" t="s">
        <v>143</v>
      </c>
      <c r="J42" t="s">
        <v>1979</v>
      </c>
      <c r="K42" t="s">
        <v>1035</v>
      </c>
      <c r="L42" t="s">
        <v>27</v>
      </c>
      <c r="M42" s="3">
        <v>2500</v>
      </c>
      <c r="N42" t="s">
        <v>27</v>
      </c>
      <c r="O42" s="3">
        <v>2500</v>
      </c>
      <c r="P42" s="3">
        <v>2500</v>
      </c>
      <c r="Q42" t="s">
        <v>30</v>
      </c>
      <c r="R42" s="2">
        <v>0.7</v>
      </c>
      <c r="S42" s="3">
        <v>1750</v>
      </c>
      <c r="T42" t="s">
        <v>27</v>
      </c>
      <c r="U42" s="3">
        <v>1750</v>
      </c>
      <c r="V42" s="7" t="s">
        <v>24</v>
      </c>
      <c r="W42" s="7" t="s">
        <v>1035</v>
      </c>
    </row>
    <row r="43" spans="1:23" x14ac:dyDescent="0.4">
      <c r="A43" t="s">
        <v>262</v>
      </c>
      <c r="B43" t="s">
        <v>262</v>
      </c>
      <c r="C43" t="s">
        <v>2502</v>
      </c>
      <c r="D43" t="s">
        <v>21</v>
      </c>
      <c r="E43" t="s">
        <v>22</v>
      </c>
      <c r="F43" t="s">
        <v>23</v>
      </c>
      <c r="G43">
        <v>1</v>
      </c>
      <c r="H43">
        <v>9791164370184</v>
      </c>
      <c r="I43" t="s">
        <v>143</v>
      </c>
      <c r="J43" t="s">
        <v>1996</v>
      </c>
      <c r="K43" t="s">
        <v>1035</v>
      </c>
      <c r="L43" t="s">
        <v>27</v>
      </c>
      <c r="M43" s="3">
        <v>2500</v>
      </c>
      <c r="N43" t="s">
        <v>27</v>
      </c>
      <c r="O43" s="3">
        <v>2500</v>
      </c>
      <c r="P43" s="3">
        <v>2500</v>
      </c>
      <c r="Q43" t="s">
        <v>30</v>
      </c>
      <c r="R43" s="2">
        <v>0.7</v>
      </c>
      <c r="S43" s="3">
        <v>1750</v>
      </c>
      <c r="T43" t="s">
        <v>27</v>
      </c>
      <c r="U43" s="3">
        <v>1750</v>
      </c>
      <c r="V43" s="7" t="s">
        <v>24</v>
      </c>
      <c r="W43" s="7" t="s">
        <v>1035</v>
      </c>
    </row>
    <row r="44" spans="1:23" x14ac:dyDescent="0.4">
      <c r="A44" t="s">
        <v>262</v>
      </c>
      <c r="B44" t="s">
        <v>262</v>
      </c>
      <c r="C44" t="s">
        <v>2529</v>
      </c>
      <c r="D44" t="s">
        <v>21</v>
      </c>
      <c r="E44" t="s">
        <v>22</v>
      </c>
      <c r="F44" t="s">
        <v>23</v>
      </c>
      <c r="G44">
        <v>1</v>
      </c>
      <c r="H44">
        <v>9791164370504</v>
      </c>
      <c r="I44" t="s">
        <v>143</v>
      </c>
      <c r="J44" t="s">
        <v>1971</v>
      </c>
      <c r="K44" t="s">
        <v>1035</v>
      </c>
      <c r="L44" t="s">
        <v>27</v>
      </c>
      <c r="M44">
        <v>300</v>
      </c>
      <c r="N44" t="s">
        <v>2111</v>
      </c>
      <c r="O44">
        <v>4.9000000000000004</v>
      </c>
      <c r="P44">
        <v>4.9000000000000004</v>
      </c>
      <c r="Q44" t="s">
        <v>2112</v>
      </c>
      <c r="R44" s="2">
        <v>0.7</v>
      </c>
      <c r="S44">
        <v>3.43</v>
      </c>
      <c r="T44" t="s">
        <v>27</v>
      </c>
      <c r="U44">
        <v>217</v>
      </c>
      <c r="V44" s="7" t="s">
        <v>24</v>
      </c>
      <c r="W44" s="7" t="s">
        <v>1035</v>
      </c>
    </row>
    <row r="45" spans="1:23" x14ac:dyDescent="0.4">
      <c r="A45" t="s">
        <v>262</v>
      </c>
      <c r="B45" t="s">
        <v>262</v>
      </c>
      <c r="C45" t="s">
        <v>2543</v>
      </c>
      <c r="D45" t="s">
        <v>21</v>
      </c>
      <c r="E45" t="s">
        <v>22</v>
      </c>
      <c r="F45" t="s">
        <v>23</v>
      </c>
      <c r="G45">
        <v>1</v>
      </c>
      <c r="H45">
        <v>9791164370498</v>
      </c>
      <c r="I45" t="s">
        <v>143</v>
      </c>
      <c r="J45" t="s">
        <v>2544</v>
      </c>
      <c r="K45" t="s">
        <v>1035</v>
      </c>
      <c r="L45" t="s">
        <v>27</v>
      </c>
      <c r="M45" s="3">
        <v>2800</v>
      </c>
      <c r="N45" t="s">
        <v>27</v>
      </c>
      <c r="O45" s="3">
        <v>2800</v>
      </c>
      <c r="P45" s="3">
        <v>2800</v>
      </c>
      <c r="Q45" t="s">
        <v>30</v>
      </c>
      <c r="R45" s="2">
        <v>0.7</v>
      </c>
      <c r="S45" s="3">
        <v>1960</v>
      </c>
      <c r="T45" t="s">
        <v>27</v>
      </c>
      <c r="U45" s="3">
        <v>1960</v>
      </c>
      <c r="V45" s="7" t="s">
        <v>24</v>
      </c>
      <c r="W45" s="7" t="s">
        <v>1035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W8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5.8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1058</v>
      </c>
      <c r="C2" t="s">
        <v>1059</v>
      </c>
      <c r="D2" t="s">
        <v>64</v>
      </c>
      <c r="E2" t="s">
        <v>22</v>
      </c>
      <c r="F2" t="s">
        <v>23</v>
      </c>
      <c r="G2">
        <v>1</v>
      </c>
      <c r="H2">
        <v>9791190937320</v>
      </c>
      <c r="I2" t="s">
        <v>24</v>
      </c>
      <c r="J2" t="s">
        <v>252</v>
      </c>
      <c r="K2" t="s">
        <v>106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">
        <v>24</v>
      </c>
      <c r="W2" s="7" t="s">
        <v>106</v>
      </c>
    </row>
    <row r="3" spans="1:23" x14ac:dyDescent="0.4">
      <c r="A3" t="s">
        <v>262</v>
      </c>
      <c r="B3" t="s">
        <v>1121</v>
      </c>
      <c r="C3" t="s">
        <v>1188</v>
      </c>
      <c r="D3" t="s">
        <v>64</v>
      </c>
      <c r="E3" t="s">
        <v>22</v>
      </c>
      <c r="F3" t="s">
        <v>23</v>
      </c>
      <c r="G3">
        <v>1</v>
      </c>
      <c r="H3">
        <v>9791190937320</v>
      </c>
      <c r="I3" t="s">
        <v>24</v>
      </c>
      <c r="J3" t="s">
        <v>252</v>
      </c>
      <c r="K3" t="s">
        <v>106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  <c r="V3" s="7" t="s">
        <v>24</v>
      </c>
      <c r="W3" s="7" t="s">
        <v>106</v>
      </c>
    </row>
    <row r="4" spans="1:23" x14ac:dyDescent="0.4">
      <c r="A4" t="s">
        <v>262</v>
      </c>
      <c r="B4" t="s">
        <v>1198</v>
      </c>
      <c r="C4" t="s">
        <v>1204</v>
      </c>
      <c r="D4" t="s">
        <v>21</v>
      </c>
      <c r="E4" t="s">
        <v>22</v>
      </c>
      <c r="F4" t="s">
        <v>23</v>
      </c>
      <c r="G4">
        <v>1</v>
      </c>
      <c r="H4">
        <v>9791166068065</v>
      </c>
      <c r="I4" t="s">
        <v>143</v>
      </c>
      <c r="J4" t="s">
        <v>1205</v>
      </c>
      <c r="K4" t="s">
        <v>106</v>
      </c>
      <c r="L4" t="s">
        <v>27</v>
      </c>
      <c r="M4" s="3">
        <v>3200</v>
      </c>
      <c r="N4" t="s">
        <v>27</v>
      </c>
      <c r="O4" s="3">
        <v>3200</v>
      </c>
      <c r="P4" s="3">
        <v>3200</v>
      </c>
      <c r="Q4" t="s">
        <v>30</v>
      </c>
      <c r="R4" s="2">
        <v>0.7</v>
      </c>
      <c r="S4" s="3">
        <v>2240</v>
      </c>
      <c r="T4" t="s">
        <v>27</v>
      </c>
      <c r="U4" s="3">
        <v>2240</v>
      </c>
      <c r="V4" s="7" t="s">
        <v>24</v>
      </c>
      <c r="W4" s="7" t="s">
        <v>106</v>
      </c>
    </row>
    <row r="5" spans="1:23" x14ac:dyDescent="0.4">
      <c r="A5" t="s">
        <v>262</v>
      </c>
      <c r="B5" t="s">
        <v>1198</v>
      </c>
      <c r="C5" t="s">
        <v>1207</v>
      </c>
      <c r="D5" t="s">
        <v>21</v>
      </c>
      <c r="E5" t="s">
        <v>22</v>
      </c>
      <c r="F5" t="s">
        <v>23</v>
      </c>
      <c r="G5">
        <v>1</v>
      </c>
      <c r="H5">
        <v>9791166068102</v>
      </c>
      <c r="I5" t="s">
        <v>143</v>
      </c>
      <c r="J5" t="s">
        <v>1208</v>
      </c>
      <c r="K5" t="s">
        <v>106</v>
      </c>
      <c r="L5" t="s">
        <v>27</v>
      </c>
      <c r="M5" s="3">
        <v>3200</v>
      </c>
      <c r="N5" t="s">
        <v>27</v>
      </c>
      <c r="O5" s="3">
        <v>3200</v>
      </c>
      <c r="P5" s="3">
        <v>3200</v>
      </c>
      <c r="Q5" t="s">
        <v>30</v>
      </c>
      <c r="R5" s="2">
        <v>0.7</v>
      </c>
      <c r="S5" s="3">
        <v>2240</v>
      </c>
      <c r="T5" t="s">
        <v>27</v>
      </c>
      <c r="U5" s="3">
        <v>2240</v>
      </c>
      <c r="V5" s="7" t="s">
        <v>24</v>
      </c>
      <c r="W5" s="7" t="s">
        <v>106</v>
      </c>
    </row>
    <row r="6" spans="1:23" x14ac:dyDescent="0.4">
      <c r="A6" t="s">
        <v>262</v>
      </c>
      <c r="B6" t="s">
        <v>1198</v>
      </c>
      <c r="C6" t="s">
        <v>1210</v>
      </c>
      <c r="D6" t="s">
        <v>64</v>
      </c>
      <c r="E6" t="s">
        <v>22</v>
      </c>
      <c r="F6" t="s">
        <v>23</v>
      </c>
      <c r="G6">
        <v>1</v>
      </c>
      <c r="H6">
        <v>9791190937337</v>
      </c>
      <c r="I6" t="s">
        <v>24</v>
      </c>
      <c r="J6" t="s">
        <v>253</v>
      </c>
      <c r="K6" t="s">
        <v>106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  <c r="V6" s="7" t="s">
        <v>24</v>
      </c>
      <c r="W6" s="7" t="s">
        <v>106</v>
      </c>
    </row>
    <row r="7" spans="1:23" x14ac:dyDescent="0.4">
      <c r="A7" t="s">
        <v>262</v>
      </c>
      <c r="B7" t="s">
        <v>1198</v>
      </c>
      <c r="C7" t="s">
        <v>1242</v>
      </c>
      <c r="D7" t="s">
        <v>64</v>
      </c>
      <c r="E7" t="s">
        <v>22</v>
      </c>
      <c r="F7" t="s">
        <v>23</v>
      </c>
      <c r="G7">
        <v>1</v>
      </c>
      <c r="H7">
        <v>9791190937344</v>
      </c>
      <c r="I7" t="s">
        <v>24</v>
      </c>
      <c r="J7" t="s">
        <v>254</v>
      </c>
      <c r="K7" t="s">
        <v>106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2">
        <v>0.7</v>
      </c>
      <c r="S7">
        <v>441</v>
      </c>
      <c r="T7" t="s">
        <v>27</v>
      </c>
      <c r="U7">
        <v>441</v>
      </c>
      <c r="V7" s="7" t="s">
        <v>24</v>
      </c>
      <c r="W7" s="7" t="s">
        <v>106</v>
      </c>
    </row>
    <row r="8" spans="1:23" x14ac:dyDescent="0.4">
      <c r="A8" t="s">
        <v>262</v>
      </c>
      <c r="B8" t="s">
        <v>2236</v>
      </c>
      <c r="C8" t="s">
        <v>2262</v>
      </c>
      <c r="D8" t="s">
        <v>64</v>
      </c>
      <c r="E8" t="s">
        <v>22</v>
      </c>
      <c r="F8" t="s">
        <v>23</v>
      </c>
      <c r="G8">
        <v>1</v>
      </c>
      <c r="H8">
        <v>9791190937320</v>
      </c>
      <c r="I8" t="s">
        <v>24</v>
      </c>
      <c r="J8" t="s">
        <v>252</v>
      </c>
      <c r="K8" t="s">
        <v>106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  <c r="V8" s="7" t="s">
        <v>24</v>
      </c>
      <c r="W8" s="7" t="s">
        <v>106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W8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17.5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1058</v>
      </c>
      <c r="C2" t="s">
        <v>1096</v>
      </c>
      <c r="D2" t="s">
        <v>21</v>
      </c>
      <c r="E2" t="s">
        <v>22</v>
      </c>
      <c r="F2" t="s">
        <v>23</v>
      </c>
      <c r="G2">
        <v>1</v>
      </c>
      <c r="H2">
        <v>9791164370689</v>
      </c>
      <c r="I2" t="s">
        <v>143</v>
      </c>
      <c r="J2" t="s">
        <v>1097</v>
      </c>
      <c r="K2" t="s">
        <v>1098</v>
      </c>
      <c r="L2" t="s">
        <v>27</v>
      </c>
      <c r="M2" s="3">
        <v>3000</v>
      </c>
      <c r="N2" t="s">
        <v>27</v>
      </c>
      <c r="O2" s="3">
        <v>3000</v>
      </c>
      <c r="P2" s="3">
        <v>3000</v>
      </c>
      <c r="Q2" t="s">
        <v>30</v>
      </c>
      <c r="R2" s="2">
        <v>0.7</v>
      </c>
      <c r="S2" s="3">
        <v>2100</v>
      </c>
      <c r="T2" t="s">
        <v>27</v>
      </c>
      <c r="U2" s="3">
        <v>2100</v>
      </c>
      <c r="V2" s="7" t="s">
        <v>24</v>
      </c>
      <c r="W2" s="7" t="s">
        <v>1098</v>
      </c>
    </row>
    <row r="3" spans="1:23" x14ac:dyDescent="0.4">
      <c r="A3" t="s">
        <v>262</v>
      </c>
      <c r="B3" t="s">
        <v>1340</v>
      </c>
      <c r="C3" t="s">
        <v>1403</v>
      </c>
      <c r="D3" t="s">
        <v>21</v>
      </c>
      <c r="E3" t="s">
        <v>22</v>
      </c>
      <c r="F3" t="s">
        <v>23</v>
      </c>
      <c r="G3">
        <v>1</v>
      </c>
      <c r="H3">
        <v>9791164370689</v>
      </c>
      <c r="I3" t="s">
        <v>143</v>
      </c>
      <c r="J3" t="s">
        <v>1097</v>
      </c>
      <c r="K3" t="s">
        <v>1098</v>
      </c>
      <c r="L3" t="s">
        <v>27</v>
      </c>
      <c r="M3" s="3">
        <v>3000</v>
      </c>
      <c r="N3" t="s">
        <v>27</v>
      </c>
      <c r="O3" s="3">
        <v>3000</v>
      </c>
      <c r="P3" s="3">
        <v>3000</v>
      </c>
      <c r="Q3" t="s">
        <v>30</v>
      </c>
      <c r="R3" s="2">
        <v>0.7</v>
      </c>
      <c r="S3" s="3">
        <v>2100</v>
      </c>
      <c r="T3" t="s">
        <v>27</v>
      </c>
      <c r="U3" s="3">
        <v>2100</v>
      </c>
      <c r="V3" s="7" t="s">
        <v>24</v>
      </c>
      <c r="W3" s="7" t="s">
        <v>1098</v>
      </c>
    </row>
    <row r="4" spans="1:23" x14ac:dyDescent="0.4">
      <c r="A4" t="s">
        <v>262</v>
      </c>
      <c r="B4" t="s">
        <v>1639</v>
      </c>
      <c r="C4" t="s">
        <v>1664</v>
      </c>
      <c r="D4" t="s">
        <v>21</v>
      </c>
      <c r="E4" t="s">
        <v>22</v>
      </c>
      <c r="F4" t="s">
        <v>23</v>
      </c>
      <c r="G4">
        <v>1</v>
      </c>
      <c r="H4">
        <v>9791164370986</v>
      </c>
      <c r="I4" t="s">
        <v>143</v>
      </c>
      <c r="J4" t="s">
        <v>1665</v>
      </c>
      <c r="K4" t="s">
        <v>1098</v>
      </c>
      <c r="L4" t="s">
        <v>27</v>
      </c>
      <c r="M4">
        <v>500</v>
      </c>
      <c r="N4" t="s">
        <v>27</v>
      </c>
      <c r="O4">
        <v>500</v>
      </c>
      <c r="P4">
        <v>500</v>
      </c>
      <c r="Q4" t="s">
        <v>30</v>
      </c>
      <c r="R4" s="2">
        <v>0.7</v>
      </c>
      <c r="S4">
        <v>350</v>
      </c>
      <c r="T4" t="s">
        <v>27</v>
      </c>
      <c r="U4">
        <v>350</v>
      </c>
      <c r="V4" s="7" t="s">
        <v>24</v>
      </c>
      <c r="W4" s="7" t="s">
        <v>1098</v>
      </c>
    </row>
    <row r="5" spans="1:23" x14ac:dyDescent="0.4">
      <c r="A5" t="s">
        <v>262</v>
      </c>
      <c r="B5" t="s">
        <v>1639</v>
      </c>
      <c r="C5" t="s">
        <v>1678</v>
      </c>
      <c r="D5" t="s">
        <v>21</v>
      </c>
      <c r="E5" t="s">
        <v>22</v>
      </c>
      <c r="F5" t="s">
        <v>23</v>
      </c>
      <c r="G5">
        <v>1</v>
      </c>
      <c r="H5">
        <v>9791164370672</v>
      </c>
      <c r="I5" t="s">
        <v>143</v>
      </c>
      <c r="J5" t="s">
        <v>1679</v>
      </c>
      <c r="K5" t="s">
        <v>1098</v>
      </c>
      <c r="L5" t="s">
        <v>27</v>
      </c>
      <c r="M5" s="3">
        <v>3000</v>
      </c>
      <c r="N5" t="s">
        <v>27</v>
      </c>
      <c r="O5" s="3">
        <v>3000</v>
      </c>
      <c r="P5" s="3">
        <v>3000</v>
      </c>
      <c r="Q5" t="s">
        <v>30</v>
      </c>
      <c r="R5" s="2">
        <v>0.7</v>
      </c>
      <c r="S5" s="3">
        <v>2100</v>
      </c>
      <c r="T5" t="s">
        <v>27</v>
      </c>
      <c r="U5" s="3">
        <v>2100</v>
      </c>
      <c r="V5" s="7" t="s">
        <v>24</v>
      </c>
      <c r="W5" s="7" t="s">
        <v>1098</v>
      </c>
    </row>
    <row r="6" spans="1:23" x14ac:dyDescent="0.4">
      <c r="A6" t="s">
        <v>262</v>
      </c>
      <c r="B6" t="s">
        <v>1704</v>
      </c>
      <c r="C6" t="s">
        <v>1713</v>
      </c>
      <c r="D6" t="s">
        <v>21</v>
      </c>
      <c r="E6" t="s">
        <v>22</v>
      </c>
      <c r="F6" t="s">
        <v>23</v>
      </c>
      <c r="G6">
        <v>1</v>
      </c>
      <c r="H6">
        <v>9791164370689</v>
      </c>
      <c r="I6" t="s">
        <v>143</v>
      </c>
      <c r="J6" t="s">
        <v>1097</v>
      </c>
      <c r="K6" t="s">
        <v>1098</v>
      </c>
      <c r="L6" t="s">
        <v>27</v>
      </c>
      <c r="M6" s="3">
        <v>3000</v>
      </c>
      <c r="N6" t="s">
        <v>27</v>
      </c>
      <c r="O6" s="3">
        <v>3000</v>
      </c>
      <c r="P6" s="3">
        <v>3000</v>
      </c>
      <c r="Q6" t="s">
        <v>30</v>
      </c>
      <c r="R6" s="2">
        <v>0.7</v>
      </c>
      <c r="S6" s="3">
        <v>2100</v>
      </c>
      <c r="T6" t="s">
        <v>27</v>
      </c>
      <c r="U6" s="3">
        <v>2100</v>
      </c>
      <c r="V6" s="7" t="s">
        <v>24</v>
      </c>
      <c r="W6" s="7" t="s">
        <v>1098</v>
      </c>
    </row>
    <row r="7" spans="1:23" x14ac:dyDescent="0.4">
      <c r="A7" t="s">
        <v>262</v>
      </c>
      <c r="B7" t="s">
        <v>1704</v>
      </c>
      <c r="C7" t="s">
        <v>1737</v>
      </c>
      <c r="D7" t="s">
        <v>21</v>
      </c>
      <c r="E7" t="s">
        <v>22</v>
      </c>
      <c r="F7" t="s">
        <v>23</v>
      </c>
      <c r="G7">
        <v>1</v>
      </c>
      <c r="H7">
        <v>9791164370986</v>
      </c>
      <c r="I7" t="s">
        <v>143</v>
      </c>
      <c r="J7" t="s">
        <v>1665</v>
      </c>
      <c r="K7" t="s">
        <v>1098</v>
      </c>
      <c r="L7" t="s">
        <v>27</v>
      </c>
      <c r="M7">
        <v>500</v>
      </c>
      <c r="N7" t="s">
        <v>27</v>
      </c>
      <c r="O7">
        <v>500</v>
      </c>
      <c r="P7">
        <v>500</v>
      </c>
      <c r="Q7" t="s">
        <v>30</v>
      </c>
      <c r="R7" s="2">
        <v>0.7</v>
      </c>
      <c r="S7">
        <v>350</v>
      </c>
      <c r="T7" t="s">
        <v>27</v>
      </c>
      <c r="U7">
        <v>350</v>
      </c>
      <c r="V7" s="7" t="s">
        <v>24</v>
      </c>
      <c r="W7" s="7" t="s">
        <v>1098</v>
      </c>
    </row>
    <row r="8" spans="1:23" x14ac:dyDescent="0.4">
      <c r="A8" t="s">
        <v>262</v>
      </c>
      <c r="B8" t="s">
        <v>2159</v>
      </c>
      <c r="C8" t="s">
        <v>2194</v>
      </c>
      <c r="D8" t="s">
        <v>21</v>
      </c>
      <c r="E8" t="s">
        <v>22</v>
      </c>
      <c r="F8" t="s">
        <v>23</v>
      </c>
      <c r="G8">
        <v>1</v>
      </c>
      <c r="H8">
        <v>9791164370986</v>
      </c>
      <c r="I8" t="s">
        <v>143</v>
      </c>
      <c r="J8" t="s">
        <v>1665</v>
      </c>
      <c r="K8" t="s">
        <v>1098</v>
      </c>
      <c r="L8" t="s">
        <v>27</v>
      </c>
      <c r="M8">
        <v>500</v>
      </c>
      <c r="N8" t="s">
        <v>27</v>
      </c>
      <c r="O8">
        <v>500</v>
      </c>
      <c r="P8">
        <v>500</v>
      </c>
      <c r="Q8" t="s">
        <v>30</v>
      </c>
      <c r="R8" s="2">
        <v>0.7</v>
      </c>
      <c r="S8">
        <v>350</v>
      </c>
      <c r="T8" t="s">
        <v>27</v>
      </c>
      <c r="U8">
        <v>350</v>
      </c>
      <c r="V8" s="7" t="s">
        <v>24</v>
      </c>
      <c r="W8" s="7" t="s">
        <v>1098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21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37.296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1058</v>
      </c>
      <c r="C2" t="s">
        <v>1117</v>
      </c>
      <c r="D2" t="s">
        <v>21</v>
      </c>
      <c r="E2" t="s">
        <v>22</v>
      </c>
      <c r="F2" t="s">
        <v>23</v>
      </c>
      <c r="G2">
        <v>1</v>
      </c>
      <c r="H2">
        <v>9791166065781</v>
      </c>
      <c r="I2" t="s">
        <v>24</v>
      </c>
      <c r="J2" t="s">
        <v>1118</v>
      </c>
      <c r="K2" t="s">
        <v>228</v>
      </c>
      <c r="L2" t="s">
        <v>27</v>
      </c>
      <c r="M2" s="3">
        <v>3200</v>
      </c>
      <c r="N2" t="s">
        <v>28</v>
      </c>
      <c r="O2">
        <v>2.64</v>
      </c>
      <c r="P2">
        <v>2.64</v>
      </c>
      <c r="Q2" t="s">
        <v>29</v>
      </c>
      <c r="R2" s="2">
        <v>0.7</v>
      </c>
      <c r="S2">
        <v>1.85</v>
      </c>
      <c r="T2" t="s">
        <v>27</v>
      </c>
      <c r="U2" s="3">
        <v>2383</v>
      </c>
      <c r="V2" s="7" t="s">
        <v>24</v>
      </c>
      <c r="W2" s="7" t="s">
        <v>228</v>
      </c>
    </row>
    <row r="3" spans="1:23" x14ac:dyDescent="0.4">
      <c r="A3" t="s">
        <v>262</v>
      </c>
      <c r="B3" t="s">
        <v>1121</v>
      </c>
      <c r="C3" t="s">
        <v>1134</v>
      </c>
      <c r="D3" t="s">
        <v>21</v>
      </c>
      <c r="E3" t="s">
        <v>22</v>
      </c>
      <c r="F3" t="s">
        <v>23</v>
      </c>
      <c r="G3">
        <v>1</v>
      </c>
      <c r="H3">
        <v>9791166065798</v>
      </c>
      <c r="I3" t="s">
        <v>24</v>
      </c>
      <c r="J3" t="s">
        <v>1135</v>
      </c>
      <c r="K3" t="s">
        <v>228</v>
      </c>
      <c r="L3" t="s">
        <v>27</v>
      </c>
      <c r="M3" s="3">
        <v>3200</v>
      </c>
      <c r="N3" t="s">
        <v>28</v>
      </c>
      <c r="O3">
        <v>2.64</v>
      </c>
      <c r="P3">
        <v>2.64</v>
      </c>
      <c r="Q3" t="s">
        <v>29</v>
      </c>
      <c r="R3" s="2">
        <v>0.7</v>
      </c>
      <c r="S3">
        <v>1.85</v>
      </c>
      <c r="T3" t="s">
        <v>27</v>
      </c>
      <c r="U3" s="3">
        <v>2385</v>
      </c>
      <c r="V3" s="7" t="s">
        <v>24</v>
      </c>
      <c r="W3" s="7" t="s">
        <v>228</v>
      </c>
    </row>
    <row r="4" spans="1:23" x14ac:dyDescent="0.4">
      <c r="A4" t="s">
        <v>262</v>
      </c>
      <c r="B4" t="s">
        <v>1121</v>
      </c>
      <c r="C4" t="s">
        <v>1134</v>
      </c>
      <c r="D4" t="s">
        <v>21</v>
      </c>
      <c r="E4" t="s">
        <v>22</v>
      </c>
      <c r="F4" t="s">
        <v>23</v>
      </c>
      <c r="G4">
        <v>1</v>
      </c>
      <c r="H4">
        <v>9791166065804</v>
      </c>
      <c r="I4" t="s">
        <v>24</v>
      </c>
      <c r="J4" t="s">
        <v>1136</v>
      </c>
      <c r="K4" t="s">
        <v>228</v>
      </c>
      <c r="L4" t="s">
        <v>27</v>
      </c>
      <c r="M4" s="3">
        <v>3200</v>
      </c>
      <c r="N4" t="s">
        <v>28</v>
      </c>
      <c r="O4">
        <v>2.64</v>
      </c>
      <c r="P4">
        <v>2.64</v>
      </c>
      <c r="Q4" t="s">
        <v>29</v>
      </c>
      <c r="R4" s="2">
        <v>0.7</v>
      </c>
      <c r="S4">
        <v>1.85</v>
      </c>
      <c r="T4" t="s">
        <v>27</v>
      </c>
      <c r="U4" s="3">
        <v>2385</v>
      </c>
      <c r="V4" s="7" t="s">
        <v>24</v>
      </c>
      <c r="W4" s="7" t="s">
        <v>228</v>
      </c>
    </row>
    <row r="5" spans="1:23" x14ac:dyDescent="0.4">
      <c r="A5" t="s">
        <v>262</v>
      </c>
      <c r="B5" t="s">
        <v>1121</v>
      </c>
      <c r="C5" t="s">
        <v>1134</v>
      </c>
      <c r="D5" t="s">
        <v>21</v>
      </c>
      <c r="E5" t="s">
        <v>22</v>
      </c>
      <c r="F5" t="s">
        <v>23</v>
      </c>
      <c r="G5">
        <v>1</v>
      </c>
      <c r="H5">
        <v>9791166065811</v>
      </c>
      <c r="I5" t="s">
        <v>24</v>
      </c>
      <c r="J5" t="s">
        <v>1137</v>
      </c>
      <c r="K5" t="s">
        <v>228</v>
      </c>
      <c r="L5" t="s">
        <v>27</v>
      </c>
      <c r="M5" s="3">
        <v>3200</v>
      </c>
      <c r="N5" t="s">
        <v>28</v>
      </c>
      <c r="O5">
        <v>2.64</v>
      </c>
      <c r="P5">
        <v>2.64</v>
      </c>
      <c r="Q5" t="s">
        <v>29</v>
      </c>
      <c r="R5" s="2">
        <v>0.7</v>
      </c>
      <c r="S5">
        <v>1.85</v>
      </c>
      <c r="T5" t="s">
        <v>27</v>
      </c>
      <c r="U5" s="3">
        <v>2385</v>
      </c>
      <c r="V5" s="7" t="s">
        <v>24</v>
      </c>
      <c r="W5" s="7" t="s">
        <v>228</v>
      </c>
    </row>
    <row r="6" spans="1:23" x14ac:dyDescent="0.4">
      <c r="A6" t="s">
        <v>262</v>
      </c>
      <c r="B6" t="s">
        <v>1121</v>
      </c>
      <c r="C6" t="s">
        <v>1134</v>
      </c>
      <c r="D6" t="s">
        <v>21</v>
      </c>
      <c r="E6" t="s">
        <v>22</v>
      </c>
      <c r="F6" t="s">
        <v>23</v>
      </c>
      <c r="G6">
        <v>1</v>
      </c>
      <c r="H6">
        <v>9791166065828</v>
      </c>
      <c r="I6" t="s">
        <v>24</v>
      </c>
      <c r="J6" t="s">
        <v>1138</v>
      </c>
      <c r="K6" t="s">
        <v>228</v>
      </c>
      <c r="L6" t="s">
        <v>27</v>
      </c>
      <c r="M6" s="3">
        <v>3200</v>
      </c>
      <c r="N6" t="s">
        <v>28</v>
      </c>
      <c r="O6">
        <v>2.64</v>
      </c>
      <c r="P6">
        <v>2.64</v>
      </c>
      <c r="Q6" t="s">
        <v>29</v>
      </c>
      <c r="R6" s="2">
        <v>0.7</v>
      </c>
      <c r="S6">
        <v>1.85</v>
      </c>
      <c r="T6" t="s">
        <v>27</v>
      </c>
      <c r="U6" s="3">
        <v>2385</v>
      </c>
      <c r="V6" s="7" t="s">
        <v>24</v>
      </c>
      <c r="W6" s="7" t="s">
        <v>228</v>
      </c>
    </row>
    <row r="7" spans="1:23" x14ac:dyDescent="0.4">
      <c r="A7" t="s">
        <v>262</v>
      </c>
      <c r="B7" t="s">
        <v>1198</v>
      </c>
      <c r="C7" t="s">
        <v>1217</v>
      </c>
      <c r="D7" t="s">
        <v>21</v>
      </c>
      <c r="E7" t="s">
        <v>22</v>
      </c>
      <c r="F7" t="s">
        <v>23</v>
      </c>
      <c r="G7">
        <v>1</v>
      </c>
      <c r="H7">
        <v>9791166065835</v>
      </c>
      <c r="I7" t="s">
        <v>24</v>
      </c>
      <c r="J7" t="s">
        <v>1218</v>
      </c>
      <c r="K7" t="s">
        <v>228</v>
      </c>
      <c r="L7" t="s">
        <v>27</v>
      </c>
      <c r="M7" s="3">
        <v>3200</v>
      </c>
      <c r="N7" t="s">
        <v>28</v>
      </c>
      <c r="O7">
        <v>2.64</v>
      </c>
      <c r="P7">
        <v>2.64</v>
      </c>
      <c r="Q7" t="s">
        <v>29</v>
      </c>
      <c r="R7" s="2">
        <v>0.7</v>
      </c>
      <c r="S7">
        <v>1.85</v>
      </c>
      <c r="T7" t="s">
        <v>27</v>
      </c>
      <c r="U7" s="3">
        <v>2375</v>
      </c>
      <c r="V7" s="7" t="s">
        <v>24</v>
      </c>
      <c r="W7" s="7" t="s">
        <v>228</v>
      </c>
    </row>
    <row r="8" spans="1:23" x14ac:dyDescent="0.4">
      <c r="A8" t="s">
        <v>262</v>
      </c>
      <c r="B8" t="s">
        <v>1198</v>
      </c>
      <c r="C8" t="s">
        <v>1217</v>
      </c>
      <c r="D8" t="s">
        <v>21</v>
      </c>
      <c r="E8" t="s">
        <v>22</v>
      </c>
      <c r="F8" t="s">
        <v>23</v>
      </c>
      <c r="G8">
        <v>1</v>
      </c>
      <c r="H8">
        <v>9791166065842</v>
      </c>
      <c r="I8" t="s">
        <v>24</v>
      </c>
      <c r="J8" t="s">
        <v>1219</v>
      </c>
      <c r="K8" t="s">
        <v>228</v>
      </c>
      <c r="L8" t="s">
        <v>27</v>
      </c>
      <c r="M8" s="3">
        <v>3200</v>
      </c>
      <c r="N8" t="s">
        <v>28</v>
      </c>
      <c r="O8">
        <v>2.64</v>
      </c>
      <c r="P8">
        <v>2.64</v>
      </c>
      <c r="Q8" t="s">
        <v>29</v>
      </c>
      <c r="R8" s="2">
        <v>0.7</v>
      </c>
      <c r="S8">
        <v>1.85</v>
      </c>
      <c r="T8" t="s">
        <v>27</v>
      </c>
      <c r="U8" s="3">
        <v>2375</v>
      </c>
      <c r="V8" s="7" t="s">
        <v>24</v>
      </c>
      <c r="W8" s="7" t="s">
        <v>228</v>
      </c>
    </row>
    <row r="9" spans="1:23" x14ac:dyDescent="0.4">
      <c r="A9" t="s">
        <v>262</v>
      </c>
      <c r="B9" t="s">
        <v>1198</v>
      </c>
      <c r="C9" t="s">
        <v>1217</v>
      </c>
      <c r="D9" t="s">
        <v>21</v>
      </c>
      <c r="E9" t="s">
        <v>22</v>
      </c>
      <c r="F9" t="s">
        <v>23</v>
      </c>
      <c r="G9">
        <v>1</v>
      </c>
      <c r="H9">
        <v>9791166065859</v>
      </c>
      <c r="I9" t="s">
        <v>24</v>
      </c>
      <c r="J9" t="s">
        <v>1220</v>
      </c>
      <c r="K9" t="s">
        <v>228</v>
      </c>
      <c r="L9" t="s">
        <v>27</v>
      </c>
      <c r="M9" s="3">
        <v>3200</v>
      </c>
      <c r="N9" t="s">
        <v>28</v>
      </c>
      <c r="O9">
        <v>2.64</v>
      </c>
      <c r="P9">
        <v>2.64</v>
      </c>
      <c r="Q9" t="s">
        <v>29</v>
      </c>
      <c r="R9" s="2">
        <v>0.7</v>
      </c>
      <c r="S9">
        <v>1.85</v>
      </c>
      <c r="T9" t="s">
        <v>27</v>
      </c>
      <c r="U9" s="3">
        <v>2375</v>
      </c>
      <c r="V9" s="7" t="s">
        <v>24</v>
      </c>
      <c r="W9" s="7" t="s">
        <v>228</v>
      </c>
    </row>
    <row r="10" spans="1:23" x14ac:dyDescent="0.4">
      <c r="A10" t="s">
        <v>262</v>
      </c>
      <c r="B10" t="s">
        <v>1198</v>
      </c>
      <c r="C10" t="s">
        <v>1217</v>
      </c>
      <c r="D10" t="s">
        <v>21</v>
      </c>
      <c r="E10" t="s">
        <v>22</v>
      </c>
      <c r="F10" t="s">
        <v>23</v>
      </c>
      <c r="G10">
        <v>1</v>
      </c>
      <c r="H10">
        <v>9791166065866</v>
      </c>
      <c r="I10" t="s">
        <v>24</v>
      </c>
      <c r="J10" t="s">
        <v>1221</v>
      </c>
      <c r="K10" t="s">
        <v>228</v>
      </c>
      <c r="L10" t="s">
        <v>27</v>
      </c>
      <c r="M10" s="3">
        <v>3200</v>
      </c>
      <c r="N10" t="s">
        <v>28</v>
      </c>
      <c r="O10">
        <v>2.64</v>
      </c>
      <c r="P10">
        <v>2.64</v>
      </c>
      <c r="Q10" t="s">
        <v>29</v>
      </c>
      <c r="R10" s="2">
        <v>0.7</v>
      </c>
      <c r="S10">
        <v>1.85</v>
      </c>
      <c r="T10" t="s">
        <v>27</v>
      </c>
      <c r="U10" s="3">
        <v>2375</v>
      </c>
      <c r="V10" s="7" t="s">
        <v>24</v>
      </c>
      <c r="W10" s="7" t="s">
        <v>228</v>
      </c>
    </row>
    <row r="11" spans="1:23" x14ac:dyDescent="0.4">
      <c r="A11" t="s">
        <v>262</v>
      </c>
      <c r="B11" t="s">
        <v>1411</v>
      </c>
      <c r="C11" t="s">
        <v>1440</v>
      </c>
      <c r="D11" t="s">
        <v>64</v>
      </c>
      <c r="E11" t="s">
        <v>22</v>
      </c>
      <c r="F11" t="s">
        <v>23</v>
      </c>
      <c r="G11">
        <v>1</v>
      </c>
      <c r="H11">
        <v>9791166069772</v>
      </c>
      <c r="I11" t="s">
        <v>24</v>
      </c>
      <c r="J11" t="s">
        <v>1441</v>
      </c>
      <c r="K11" t="s">
        <v>1442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  <c r="V11" s="7" t="s">
        <v>24</v>
      </c>
      <c r="W11" s="7" t="s">
        <v>228</v>
      </c>
    </row>
    <row r="12" spans="1:23" x14ac:dyDescent="0.4">
      <c r="A12" t="s">
        <v>262</v>
      </c>
      <c r="B12" t="s">
        <v>1411</v>
      </c>
      <c r="C12" t="s">
        <v>1465</v>
      </c>
      <c r="D12" t="s">
        <v>21</v>
      </c>
      <c r="E12" t="s">
        <v>22</v>
      </c>
      <c r="F12" t="s">
        <v>23</v>
      </c>
      <c r="G12">
        <v>1</v>
      </c>
      <c r="H12">
        <v>9791137600553</v>
      </c>
      <c r="I12" t="s">
        <v>24</v>
      </c>
      <c r="J12" t="s">
        <v>227</v>
      </c>
      <c r="K12" t="s">
        <v>228</v>
      </c>
      <c r="L12" t="s">
        <v>27</v>
      </c>
      <c r="M12" s="3">
        <v>3200</v>
      </c>
      <c r="N12" t="s">
        <v>27</v>
      </c>
      <c r="O12" s="3">
        <v>3200</v>
      </c>
      <c r="P12" s="3">
        <v>3200</v>
      </c>
      <c r="Q12" t="s">
        <v>30</v>
      </c>
      <c r="R12" s="2">
        <v>0.7</v>
      </c>
      <c r="S12" s="3">
        <v>2240</v>
      </c>
      <c r="T12" t="s">
        <v>27</v>
      </c>
      <c r="U12" s="3">
        <v>2240</v>
      </c>
      <c r="V12" s="7" t="s">
        <v>24</v>
      </c>
      <c r="W12" s="7" t="s">
        <v>228</v>
      </c>
    </row>
    <row r="13" spans="1:23" x14ac:dyDescent="0.4">
      <c r="A13" t="s">
        <v>262</v>
      </c>
      <c r="B13" t="s">
        <v>1411</v>
      </c>
      <c r="C13" t="s">
        <v>1512</v>
      </c>
      <c r="D13" t="s">
        <v>21</v>
      </c>
      <c r="E13" t="s">
        <v>22</v>
      </c>
      <c r="F13" t="s">
        <v>23</v>
      </c>
      <c r="G13">
        <v>1</v>
      </c>
      <c r="H13">
        <v>9791166065873</v>
      </c>
      <c r="I13" t="s">
        <v>24</v>
      </c>
      <c r="J13" t="s">
        <v>1513</v>
      </c>
      <c r="K13" t="s">
        <v>228</v>
      </c>
      <c r="L13" t="s">
        <v>27</v>
      </c>
      <c r="M13" s="3">
        <v>3200</v>
      </c>
      <c r="N13" t="s">
        <v>28</v>
      </c>
      <c r="O13">
        <v>2.64</v>
      </c>
      <c r="P13">
        <v>2.64</v>
      </c>
      <c r="Q13" t="s">
        <v>29</v>
      </c>
      <c r="R13" s="2">
        <v>0.7</v>
      </c>
      <c r="S13">
        <v>1.85</v>
      </c>
      <c r="T13" t="s">
        <v>27</v>
      </c>
      <c r="U13" s="3">
        <v>2364</v>
      </c>
      <c r="V13" s="7" t="s">
        <v>24</v>
      </c>
      <c r="W13" s="7" t="s">
        <v>228</v>
      </c>
    </row>
    <row r="14" spans="1:23" x14ac:dyDescent="0.4">
      <c r="A14" t="s">
        <v>262</v>
      </c>
      <c r="B14" t="s">
        <v>1514</v>
      </c>
      <c r="C14" t="s">
        <v>1561</v>
      </c>
      <c r="D14" t="s">
        <v>21</v>
      </c>
      <c r="E14" t="s">
        <v>22</v>
      </c>
      <c r="F14" t="s">
        <v>23</v>
      </c>
      <c r="G14">
        <v>1</v>
      </c>
      <c r="H14">
        <v>9791166065880</v>
      </c>
      <c r="I14" t="s">
        <v>24</v>
      </c>
      <c r="J14" t="s">
        <v>1562</v>
      </c>
      <c r="K14" t="s">
        <v>228</v>
      </c>
      <c r="L14" t="s">
        <v>27</v>
      </c>
      <c r="M14" s="3">
        <v>3200</v>
      </c>
      <c r="N14" t="s">
        <v>28</v>
      </c>
      <c r="O14">
        <v>2.64</v>
      </c>
      <c r="P14">
        <v>2.64</v>
      </c>
      <c r="Q14" t="s">
        <v>29</v>
      </c>
      <c r="R14" s="2">
        <v>0.7</v>
      </c>
      <c r="S14">
        <v>1.85</v>
      </c>
      <c r="T14" t="s">
        <v>27</v>
      </c>
      <c r="U14" s="3">
        <v>2359</v>
      </c>
      <c r="V14" s="7" t="s">
        <v>24</v>
      </c>
      <c r="W14" s="7" t="s">
        <v>228</v>
      </c>
    </row>
    <row r="15" spans="1:23" x14ac:dyDescent="0.4">
      <c r="A15" t="s">
        <v>262</v>
      </c>
      <c r="B15" t="s">
        <v>1514</v>
      </c>
      <c r="C15" t="s">
        <v>1563</v>
      </c>
      <c r="D15" t="s">
        <v>21</v>
      </c>
      <c r="E15" t="s">
        <v>22</v>
      </c>
      <c r="F15" t="s">
        <v>23</v>
      </c>
      <c r="G15">
        <v>1</v>
      </c>
      <c r="H15">
        <v>9791166065897</v>
      </c>
      <c r="I15" t="s">
        <v>24</v>
      </c>
      <c r="J15" t="s">
        <v>245</v>
      </c>
      <c r="K15" t="s">
        <v>228</v>
      </c>
      <c r="L15" t="s">
        <v>27</v>
      </c>
      <c r="M15" s="3">
        <v>3200</v>
      </c>
      <c r="N15" t="s">
        <v>28</v>
      </c>
      <c r="O15">
        <v>2.64</v>
      </c>
      <c r="P15">
        <v>2.64</v>
      </c>
      <c r="Q15" t="s">
        <v>29</v>
      </c>
      <c r="R15" s="2">
        <v>0.7</v>
      </c>
      <c r="S15">
        <v>1.85</v>
      </c>
      <c r="T15" t="s">
        <v>27</v>
      </c>
      <c r="U15" s="3">
        <v>2359</v>
      </c>
      <c r="V15" s="7" t="s">
        <v>24</v>
      </c>
      <c r="W15" s="7" t="s">
        <v>228</v>
      </c>
    </row>
    <row r="16" spans="1:23" x14ac:dyDescent="0.4">
      <c r="A16" t="s">
        <v>262</v>
      </c>
      <c r="B16" t="s">
        <v>1704</v>
      </c>
      <c r="C16" t="s">
        <v>1748</v>
      </c>
      <c r="D16" t="s">
        <v>64</v>
      </c>
      <c r="E16" t="s">
        <v>22</v>
      </c>
      <c r="F16" t="s">
        <v>23</v>
      </c>
      <c r="G16">
        <v>1</v>
      </c>
      <c r="H16">
        <v>9791166069772</v>
      </c>
      <c r="I16" t="s">
        <v>24</v>
      </c>
      <c r="J16" t="s">
        <v>1441</v>
      </c>
      <c r="K16" t="s">
        <v>1442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7" t="s">
        <v>24</v>
      </c>
      <c r="W16" s="7" t="s">
        <v>228</v>
      </c>
    </row>
    <row r="17" spans="1:23" x14ac:dyDescent="0.4">
      <c r="A17" t="s">
        <v>262</v>
      </c>
      <c r="B17" t="s">
        <v>1898</v>
      </c>
      <c r="C17" t="s">
        <v>1925</v>
      </c>
      <c r="D17" t="s">
        <v>21</v>
      </c>
      <c r="E17" t="s">
        <v>22</v>
      </c>
      <c r="F17" t="s">
        <v>23</v>
      </c>
      <c r="G17">
        <v>1</v>
      </c>
      <c r="H17">
        <v>9791166065903</v>
      </c>
      <c r="I17" t="s">
        <v>24</v>
      </c>
      <c r="J17" t="s">
        <v>246</v>
      </c>
      <c r="K17" t="s">
        <v>228</v>
      </c>
      <c r="L17" t="s">
        <v>27</v>
      </c>
      <c r="M17" s="3">
        <v>3200</v>
      </c>
      <c r="N17" t="s">
        <v>28</v>
      </c>
      <c r="O17">
        <v>2.64</v>
      </c>
      <c r="P17">
        <v>2.64</v>
      </c>
      <c r="Q17" t="s">
        <v>29</v>
      </c>
      <c r="R17" s="2">
        <v>0.7</v>
      </c>
      <c r="S17">
        <v>1.85</v>
      </c>
      <c r="T17" t="s">
        <v>27</v>
      </c>
      <c r="U17" s="3">
        <v>2339</v>
      </c>
      <c r="V17" s="7" t="s">
        <v>24</v>
      </c>
      <c r="W17" s="7" t="s">
        <v>228</v>
      </c>
    </row>
    <row r="18" spans="1:23" x14ac:dyDescent="0.4">
      <c r="A18" t="s">
        <v>262</v>
      </c>
      <c r="B18" t="s">
        <v>1898</v>
      </c>
      <c r="C18" t="s">
        <v>1925</v>
      </c>
      <c r="D18" t="s">
        <v>21</v>
      </c>
      <c r="E18" t="s">
        <v>22</v>
      </c>
      <c r="F18" t="s">
        <v>23</v>
      </c>
      <c r="G18">
        <v>1</v>
      </c>
      <c r="H18">
        <v>9791166065910</v>
      </c>
      <c r="I18" t="s">
        <v>24</v>
      </c>
      <c r="J18" t="s">
        <v>247</v>
      </c>
      <c r="K18" t="s">
        <v>228</v>
      </c>
      <c r="L18" t="s">
        <v>27</v>
      </c>
      <c r="M18" s="3">
        <v>3200</v>
      </c>
      <c r="N18" t="s">
        <v>28</v>
      </c>
      <c r="O18">
        <v>2.64</v>
      </c>
      <c r="P18">
        <v>2.64</v>
      </c>
      <c r="Q18" t="s">
        <v>29</v>
      </c>
      <c r="R18" s="2">
        <v>0.7</v>
      </c>
      <c r="S18">
        <v>1.85</v>
      </c>
      <c r="T18" t="s">
        <v>27</v>
      </c>
      <c r="U18" s="3">
        <v>2339</v>
      </c>
      <c r="V18" s="7" t="s">
        <v>24</v>
      </c>
      <c r="W18" s="7" t="s">
        <v>228</v>
      </c>
    </row>
    <row r="19" spans="1:23" x14ac:dyDescent="0.4">
      <c r="A19" t="s">
        <v>262</v>
      </c>
      <c r="B19" t="s">
        <v>1898</v>
      </c>
      <c r="C19" t="s">
        <v>1925</v>
      </c>
      <c r="D19" t="s">
        <v>21</v>
      </c>
      <c r="E19" t="s">
        <v>22</v>
      </c>
      <c r="F19" t="s">
        <v>23</v>
      </c>
      <c r="G19">
        <v>1</v>
      </c>
      <c r="H19">
        <v>9791166065927</v>
      </c>
      <c r="I19" t="s">
        <v>24</v>
      </c>
      <c r="J19" t="s">
        <v>248</v>
      </c>
      <c r="K19" t="s">
        <v>228</v>
      </c>
      <c r="L19" t="s">
        <v>27</v>
      </c>
      <c r="M19" s="3">
        <v>3200</v>
      </c>
      <c r="N19" t="s">
        <v>28</v>
      </c>
      <c r="O19">
        <v>2.64</v>
      </c>
      <c r="P19">
        <v>2.64</v>
      </c>
      <c r="Q19" t="s">
        <v>29</v>
      </c>
      <c r="R19" s="2">
        <v>0.7</v>
      </c>
      <c r="S19">
        <v>1.85</v>
      </c>
      <c r="T19" t="s">
        <v>27</v>
      </c>
      <c r="U19" s="3">
        <v>2339</v>
      </c>
      <c r="V19" s="7" t="s">
        <v>24</v>
      </c>
      <c r="W19" s="7" t="s">
        <v>228</v>
      </c>
    </row>
    <row r="20" spans="1:23" x14ac:dyDescent="0.4">
      <c r="A20" t="s">
        <v>262</v>
      </c>
      <c r="B20" t="s">
        <v>1953</v>
      </c>
      <c r="C20" t="s">
        <v>1999</v>
      </c>
      <c r="D20" t="s">
        <v>21</v>
      </c>
      <c r="E20" t="s">
        <v>22</v>
      </c>
      <c r="F20" t="s">
        <v>23</v>
      </c>
      <c r="G20">
        <v>1</v>
      </c>
      <c r="H20">
        <v>9791166065934</v>
      </c>
      <c r="I20" t="s">
        <v>24</v>
      </c>
      <c r="J20" t="s">
        <v>249</v>
      </c>
      <c r="K20" t="s">
        <v>228</v>
      </c>
      <c r="L20" t="s">
        <v>27</v>
      </c>
      <c r="M20" s="3">
        <v>3200</v>
      </c>
      <c r="N20" t="s">
        <v>28</v>
      </c>
      <c r="O20">
        <v>2.64</v>
      </c>
      <c r="P20">
        <v>2.64</v>
      </c>
      <c r="Q20" t="s">
        <v>29</v>
      </c>
      <c r="R20" s="2">
        <v>0.7</v>
      </c>
      <c r="S20">
        <v>1.85</v>
      </c>
      <c r="T20" t="s">
        <v>27</v>
      </c>
      <c r="U20" s="3">
        <v>2342</v>
      </c>
      <c r="V20" s="7" t="s">
        <v>24</v>
      </c>
      <c r="W20" s="7" t="s">
        <v>228</v>
      </c>
    </row>
    <row r="21" spans="1:23" x14ac:dyDescent="0.4">
      <c r="A21" t="s">
        <v>262</v>
      </c>
      <c r="B21" t="s">
        <v>2159</v>
      </c>
      <c r="C21" t="s">
        <v>2235</v>
      </c>
      <c r="D21" t="s">
        <v>64</v>
      </c>
      <c r="E21" t="s">
        <v>22</v>
      </c>
      <c r="F21" t="s">
        <v>23</v>
      </c>
      <c r="G21">
        <v>1</v>
      </c>
      <c r="H21">
        <v>9791166069772</v>
      </c>
      <c r="I21" t="s">
        <v>24</v>
      </c>
      <c r="J21" t="s">
        <v>1441</v>
      </c>
      <c r="K21" t="s">
        <v>1442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  <c r="V21" s="7" t="s">
        <v>24</v>
      </c>
      <c r="W21" s="7" t="s">
        <v>228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W2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2" bestFit="1" customWidth="1"/>
    <col min="11" max="11" width="8.5976562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8.5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1121</v>
      </c>
      <c r="C2" t="s">
        <v>1168</v>
      </c>
      <c r="D2" t="s">
        <v>21</v>
      </c>
      <c r="E2" t="s">
        <v>22</v>
      </c>
      <c r="F2" t="s">
        <v>23</v>
      </c>
      <c r="G2">
        <v>1</v>
      </c>
      <c r="H2">
        <v>9791189627973</v>
      </c>
      <c r="I2" t="s">
        <v>143</v>
      </c>
      <c r="J2" t="s">
        <v>1169</v>
      </c>
      <c r="K2" t="s">
        <v>1170</v>
      </c>
      <c r="L2" t="s">
        <v>27</v>
      </c>
      <c r="M2">
        <v>300</v>
      </c>
      <c r="N2" t="s">
        <v>27</v>
      </c>
      <c r="O2">
        <v>300</v>
      </c>
      <c r="P2">
        <v>300</v>
      </c>
      <c r="Q2" t="s">
        <v>30</v>
      </c>
      <c r="R2" s="2">
        <v>0.7</v>
      </c>
      <c r="S2">
        <v>210</v>
      </c>
      <c r="T2" t="s">
        <v>27</v>
      </c>
      <c r="U2">
        <v>210</v>
      </c>
      <c r="V2" s="7" t="s">
        <v>24</v>
      </c>
      <c r="W2" s="7" t="s">
        <v>1170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4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4.3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1270</v>
      </c>
      <c r="C2" t="s">
        <v>1311</v>
      </c>
      <c r="D2" t="s">
        <v>21</v>
      </c>
      <c r="E2" t="s">
        <v>22</v>
      </c>
      <c r="F2" t="s">
        <v>23</v>
      </c>
      <c r="G2">
        <v>1</v>
      </c>
      <c r="H2">
        <v>9791166065095</v>
      </c>
      <c r="I2" t="s">
        <v>24</v>
      </c>
      <c r="J2" t="s">
        <v>1312</v>
      </c>
      <c r="K2" t="s">
        <v>2553</v>
      </c>
      <c r="L2" t="s">
        <v>27</v>
      </c>
      <c r="M2" s="3">
        <v>3000</v>
      </c>
      <c r="N2" t="s">
        <v>28</v>
      </c>
      <c r="O2">
        <v>2.4700000000000002</v>
      </c>
      <c r="P2">
        <v>2.4700000000000002</v>
      </c>
      <c r="Q2" t="s">
        <v>29</v>
      </c>
      <c r="R2" s="2">
        <v>0.7</v>
      </c>
      <c r="S2">
        <v>1.73</v>
      </c>
      <c r="T2" t="s">
        <v>27</v>
      </c>
      <c r="U2" s="3">
        <v>2221</v>
      </c>
      <c r="V2" s="7" t="s">
        <v>24</v>
      </c>
      <c r="W2" s="7" t="s">
        <v>1315</v>
      </c>
    </row>
    <row r="3" spans="1:23" x14ac:dyDescent="0.4">
      <c r="A3" t="s">
        <v>262</v>
      </c>
      <c r="B3" t="s">
        <v>1270</v>
      </c>
      <c r="C3" t="s">
        <v>1313</v>
      </c>
      <c r="D3" t="s">
        <v>21</v>
      </c>
      <c r="E3" t="s">
        <v>22</v>
      </c>
      <c r="F3" t="s">
        <v>23</v>
      </c>
      <c r="G3">
        <v>1</v>
      </c>
      <c r="H3">
        <v>9791166065101</v>
      </c>
      <c r="I3" t="s">
        <v>24</v>
      </c>
      <c r="J3" t="s">
        <v>1314</v>
      </c>
      <c r="K3" t="s">
        <v>1315</v>
      </c>
      <c r="L3" t="s">
        <v>27</v>
      </c>
      <c r="M3" s="3">
        <v>3000</v>
      </c>
      <c r="N3" t="s">
        <v>28</v>
      </c>
      <c r="O3">
        <v>2.4700000000000002</v>
      </c>
      <c r="P3">
        <v>2.4700000000000002</v>
      </c>
      <c r="Q3" t="s">
        <v>29</v>
      </c>
      <c r="R3" s="2">
        <v>0.7</v>
      </c>
      <c r="S3">
        <v>1.73</v>
      </c>
      <c r="T3" t="s">
        <v>27</v>
      </c>
      <c r="U3" s="3">
        <v>2221</v>
      </c>
      <c r="V3" s="7" t="s">
        <v>24</v>
      </c>
      <c r="W3" s="7" t="s">
        <v>1315</v>
      </c>
    </row>
    <row r="4" spans="1:23" x14ac:dyDescent="0.4">
      <c r="A4" t="s">
        <v>262</v>
      </c>
      <c r="B4" t="s">
        <v>1270</v>
      </c>
      <c r="C4" t="s">
        <v>1313</v>
      </c>
      <c r="D4" t="s">
        <v>21</v>
      </c>
      <c r="E4" t="s">
        <v>22</v>
      </c>
      <c r="F4" t="s">
        <v>23</v>
      </c>
      <c r="G4">
        <v>1</v>
      </c>
      <c r="H4">
        <v>9791166065118</v>
      </c>
      <c r="I4" t="s">
        <v>24</v>
      </c>
      <c r="J4" t="s">
        <v>1316</v>
      </c>
      <c r="K4" t="s">
        <v>1315</v>
      </c>
      <c r="L4" t="s">
        <v>27</v>
      </c>
      <c r="M4" s="3">
        <v>3000</v>
      </c>
      <c r="N4" t="s">
        <v>28</v>
      </c>
      <c r="O4">
        <v>2.4700000000000002</v>
      </c>
      <c r="P4">
        <v>2.4700000000000002</v>
      </c>
      <c r="Q4" t="s">
        <v>29</v>
      </c>
      <c r="R4" s="2">
        <v>0.7</v>
      </c>
      <c r="S4">
        <v>1.73</v>
      </c>
      <c r="T4" t="s">
        <v>27</v>
      </c>
      <c r="U4" s="3">
        <v>2221</v>
      </c>
      <c r="V4" s="7" t="s">
        <v>24</v>
      </c>
      <c r="W4" s="7" t="s">
        <v>1315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40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0.1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1340</v>
      </c>
      <c r="C2" t="s">
        <v>1376</v>
      </c>
      <c r="D2" t="s">
        <v>21</v>
      </c>
      <c r="E2" t="s">
        <v>22</v>
      </c>
      <c r="F2" t="s">
        <v>23</v>
      </c>
      <c r="G2">
        <v>1</v>
      </c>
      <c r="H2">
        <v>9791189084448</v>
      </c>
      <c r="I2" t="s">
        <v>143</v>
      </c>
      <c r="J2" t="s">
        <v>1377</v>
      </c>
      <c r="K2" t="s">
        <v>1378</v>
      </c>
      <c r="L2" t="s">
        <v>27</v>
      </c>
      <c r="M2" s="3">
        <v>3000</v>
      </c>
      <c r="N2" t="s">
        <v>27</v>
      </c>
      <c r="O2" s="3">
        <v>3000</v>
      </c>
      <c r="P2" s="3">
        <v>3000</v>
      </c>
      <c r="Q2" t="s">
        <v>30</v>
      </c>
      <c r="R2" s="2">
        <v>0.7</v>
      </c>
      <c r="S2" s="3">
        <v>2100</v>
      </c>
      <c r="T2" t="s">
        <v>27</v>
      </c>
      <c r="U2" s="3">
        <v>2100</v>
      </c>
      <c r="V2" s="7" t="s">
        <v>24</v>
      </c>
      <c r="W2" s="7" t="s">
        <v>1378</v>
      </c>
    </row>
    <row r="3" spans="1:23" x14ac:dyDescent="0.4">
      <c r="A3" t="s">
        <v>262</v>
      </c>
      <c r="B3" t="s">
        <v>1411</v>
      </c>
      <c r="C3" t="s">
        <v>1445</v>
      </c>
      <c r="D3" t="s">
        <v>21</v>
      </c>
      <c r="E3" t="s">
        <v>22</v>
      </c>
      <c r="F3" t="s">
        <v>23</v>
      </c>
      <c r="G3">
        <v>1</v>
      </c>
      <c r="H3">
        <v>9791189084455</v>
      </c>
      <c r="I3" t="s">
        <v>143</v>
      </c>
      <c r="J3" t="s">
        <v>1446</v>
      </c>
      <c r="K3" t="s">
        <v>1378</v>
      </c>
      <c r="L3" t="s">
        <v>27</v>
      </c>
      <c r="M3" s="3">
        <v>3000</v>
      </c>
      <c r="N3" t="s">
        <v>27</v>
      </c>
      <c r="O3" s="3">
        <v>3000</v>
      </c>
      <c r="P3" s="3">
        <v>3000</v>
      </c>
      <c r="Q3" t="s">
        <v>30</v>
      </c>
      <c r="R3" s="2">
        <v>0.7</v>
      </c>
      <c r="S3" s="3">
        <v>2100</v>
      </c>
      <c r="T3" t="s">
        <v>27</v>
      </c>
      <c r="U3" s="3">
        <v>2100</v>
      </c>
      <c r="V3" s="7" t="s">
        <v>24</v>
      </c>
      <c r="W3" s="7" t="s">
        <v>1378</v>
      </c>
    </row>
    <row r="4" spans="1:23" x14ac:dyDescent="0.4">
      <c r="A4" t="s">
        <v>262</v>
      </c>
      <c r="B4" t="s">
        <v>1639</v>
      </c>
      <c r="C4" t="s">
        <v>1647</v>
      </c>
      <c r="D4" t="s">
        <v>21</v>
      </c>
      <c r="E4" t="s">
        <v>22</v>
      </c>
      <c r="F4" t="s">
        <v>23</v>
      </c>
      <c r="G4">
        <v>1</v>
      </c>
      <c r="H4">
        <v>9791189084462</v>
      </c>
      <c r="I4" t="s">
        <v>143</v>
      </c>
      <c r="J4" t="s">
        <v>1648</v>
      </c>
      <c r="K4" t="s">
        <v>1378</v>
      </c>
      <c r="L4" t="s">
        <v>27</v>
      </c>
      <c r="M4" s="3">
        <v>3000</v>
      </c>
      <c r="N4" t="s">
        <v>27</v>
      </c>
      <c r="O4" s="3">
        <v>3000</v>
      </c>
      <c r="P4" s="3">
        <v>3000</v>
      </c>
      <c r="Q4" t="s">
        <v>30</v>
      </c>
      <c r="R4" s="2">
        <v>0.7</v>
      </c>
      <c r="S4" s="3">
        <v>2100</v>
      </c>
      <c r="T4" t="s">
        <v>27</v>
      </c>
      <c r="U4" s="3">
        <v>2100</v>
      </c>
      <c r="V4" s="7" t="s">
        <v>24</v>
      </c>
      <c r="W4" s="7" t="s">
        <v>1378</v>
      </c>
    </row>
    <row r="5" spans="1:23" x14ac:dyDescent="0.4">
      <c r="A5" t="s">
        <v>262</v>
      </c>
      <c r="B5" t="s">
        <v>1639</v>
      </c>
      <c r="C5" t="s">
        <v>1690</v>
      </c>
      <c r="D5" t="s">
        <v>21</v>
      </c>
      <c r="E5" t="s">
        <v>22</v>
      </c>
      <c r="F5" t="s">
        <v>23</v>
      </c>
      <c r="G5">
        <v>1</v>
      </c>
      <c r="H5">
        <v>9791189084448</v>
      </c>
      <c r="I5" t="s">
        <v>143</v>
      </c>
      <c r="J5" t="s">
        <v>1377</v>
      </c>
      <c r="K5" t="s">
        <v>1378</v>
      </c>
      <c r="L5" t="s">
        <v>27</v>
      </c>
      <c r="M5" s="3">
        <v>3000</v>
      </c>
      <c r="N5" t="s">
        <v>27</v>
      </c>
      <c r="O5" s="3">
        <v>3000</v>
      </c>
      <c r="P5" s="3">
        <v>3000</v>
      </c>
      <c r="Q5" t="s">
        <v>30</v>
      </c>
      <c r="R5" s="2">
        <v>0.7</v>
      </c>
      <c r="S5" s="3">
        <v>2100</v>
      </c>
      <c r="T5" t="s">
        <v>27</v>
      </c>
      <c r="U5" s="3">
        <v>2100</v>
      </c>
      <c r="V5" s="7" t="s">
        <v>24</v>
      </c>
      <c r="W5" s="7" t="s">
        <v>1378</v>
      </c>
    </row>
    <row r="6" spans="1:23" x14ac:dyDescent="0.4">
      <c r="A6" t="s">
        <v>262</v>
      </c>
      <c r="B6" t="s">
        <v>1639</v>
      </c>
      <c r="C6" t="s">
        <v>1696</v>
      </c>
      <c r="D6" t="s">
        <v>21</v>
      </c>
      <c r="E6" t="s">
        <v>22</v>
      </c>
      <c r="F6" t="s">
        <v>23</v>
      </c>
      <c r="G6">
        <v>1</v>
      </c>
      <c r="H6">
        <v>9791189084448</v>
      </c>
      <c r="I6" t="s">
        <v>143</v>
      </c>
      <c r="J6" t="s">
        <v>1377</v>
      </c>
      <c r="K6" t="s">
        <v>1378</v>
      </c>
      <c r="L6" t="s">
        <v>27</v>
      </c>
      <c r="M6" s="3">
        <v>3000</v>
      </c>
      <c r="N6" t="s">
        <v>27</v>
      </c>
      <c r="O6" s="3">
        <v>3000</v>
      </c>
      <c r="P6" s="3">
        <v>3000</v>
      </c>
      <c r="Q6" t="s">
        <v>30</v>
      </c>
      <c r="R6" s="2">
        <v>0.7</v>
      </c>
      <c r="S6" s="3">
        <v>2100</v>
      </c>
      <c r="T6" t="s">
        <v>27</v>
      </c>
      <c r="U6" s="3">
        <v>2100</v>
      </c>
      <c r="V6" s="7" t="s">
        <v>24</v>
      </c>
      <c r="W6" s="7" t="s">
        <v>1378</v>
      </c>
    </row>
    <row r="7" spans="1:23" x14ac:dyDescent="0.4">
      <c r="A7" t="s">
        <v>262</v>
      </c>
      <c r="B7" t="s">
        <v>1704</v>
      </c>
      <c r="C7" t="s">
        <v>1706</v>
      </c>
      <c r="D7" t="s">
        <v>21</v>
      </c>
      <c r="E7" t="s">
        <v>22</v>
      </c>
      <c r="F7" t="s">
        <v>23</v>
      </c>
      <c r="G7">
        <v>1</v>
      </c>
      <c r="H7">
        <v>9791189084455</v>
      </c>
      <c r="I7" t="s">
        <v>143</v>
      </c>
      <c r="J7" t="s">
        <v>1446</v>
      </c>
      <c r="K7" t="s">
        <v>1378</v>
      </c>
      <c r="L7" t="s">
        <v>27</v>
      </c>
      <c r="M7" s="3">
        <v>3000</v>
      </c>
      <c r="N7" t="s">
        <v>27</v>
      </c>
      <c r="O7" s="3">
        <v>3000</v>
      </c>
      <c r="P7" s="3">
        <v>3000</v>
      </c>
      <c r="Q7" t="s">
        <v>30</v>
      </c>
      <c r="R7" s="2">
        <v>0.7</v>
      </c>
      <c r="S7" s="3">
        <v>2100</v>
      </c>
      <c r="T7" t="s">
        <v>27</v>
      </c>
      <c r="U7" s="3">
        <v>2100</v>
      </c>
      <c r="V7" s="7" t="s">
        <v>24</v>
      </c>
      <c r="W7" s="7" t="s">
        <v>1378</v>
      </c>
    </row>
    <row r="8" spans="1:23" x14ac:dyDescent="0.4">
      <c r="A8" t="s">
        <v>262</v>
      </c>
      <c r="B8" t="s">
        <v>1704</v>
      </c>
      <c r="C8" t="s">
        <v>1721</v>
      </c>
      <c r="D8" t="s">
        <v>21</v>
      </c>
      <c r="E8" t="s">
        <v>22</v>
      </c>
      <c r="F8" t="s">
        <v>23</v>
      </c>
      <c r="G8">
        <v>1</v>
      </c>
      <c r="H8">
        <v>9791189084455</v>
      </c>
      <c r="I8" t="s">
        <v>143</v>
      </c>
      <c r="J8" t="s">
        <v>1446</v>
      </c>
      <c r="K8" t="s">
        <v>1378</v>
      </c>
      <c r="L8" t="s">
        <v>27</v>
      </c>
      <c r="M8" s="3">
        <v>3000</v>
      </c>
      <c r="N8" t="s">
        <v>27</v>
      </c>
      <c r="O8" s="3">
        <v>3000</v>
      </c>
      <c r="P8" s="3">
        <v>3000</v>
      </c>
      <c r="Q8" t="s">
        <v>30</v>
      </c>
      <c r="R8" s="2">
        <v>0.7</v>
      </c>
      <c r="S8" s="3">
        <v>2100</v>
      </c>
      <c r="T8" t="s">
        <v>27</v>
      </c>
      <c r="U8" s="3">
        <v>2100</v>
      </c>
      <c r="V8" s="7" t="s">
        <v>24</v>
      </c>
      <c r="W8" s="7" t="s">
        <v>1378</v>
      </c>
    </row>
    <row r="9" spans="1:23" x14ac:dyDescent="0.4">
      <c r="A9" t="s">
        <v>262</v>
      </c>
      <c r="B9" t="s">
        <v>1704</v>
      </c>
      <c r="C9" t="s">
        <v>1736</v>
      </c>
      <c r="D9" t="s">
        <v>21</v>
      </c>
      <c r="E9" t="s">
        <v>22</v>
      </c>
      <c r="F9" t="s">
        <v>23</v>
      </c>
      <c r="G9">
        <v>1</v>
      </c>
      <c r="H9">
        <v>9791189084448</v>
      </c>
      <c r="I9" t="s">
        <v>143</v>
      </c>
      <c r="J9" t="s">
        <v>1377</v>
      </c>
      <c r="K9" t="s">
        <v>1378</v>
      </c>
      <c r="L9" t="s">
        <v>27</v>
      </c>
      <c r="M9" s="3">
        <v>3000</v>
      </c>
      <c r="N9" t="s">
        <v>27</v>
      </c>
      <c r="O9" s="3">
        <v>3000</v>
      </c>
      <c r="P9" s="3">
        <v>3000</v>
      </c>
      <c r="Q9" t="s">
        <v>30</v>
      </c>
      <c r="R9" s="2">
        <v>0.7</v>
      </c>
      <c r="S9" s="3">
        <v>2100</v>
      </c>
      <c r="T9" t="s">
        <v>27</v>
      </c>
      <c r="U9" s="3">
        <v>2100</v>
      </c>
      <c r="V9" s="7" t="s">
        <v>24</v>
      </c>
      <c r="W9" s="7" t="s">
        <v>1378</v>
      </c>
    </row>
    <row r="10" spans="1:23" x14ac:dyDescent="0.4">
      <c r="A10" t="s">
        <v>262</v>
      </c>
      <c r="B10" t="s">
        <v>1766</v>
      </c>
      <c r="C10" t="s">
        <v>1812</v>
      </c>
      <c r="D10" t="s">
        <v>21</v>
      </c>
      <c r="E10" t="s">
        <v>22</v>
      </c>
      <c r="F10" t="s">
        <v>23</v>
      </c>
      <c r="G10">
        <v>1</v>
      </c>
      <c r="H10">
        <v>9791189084455</v>
      </c>
      <c r="I10" t="s">
        <v>143</v>
      </c>
      <c r="J10" t="s">
        <v>1446</v>
      </c>
      <c r="K10" t="s">
        <v>1378</v>
      </c>
      <c r="L10" t="s">
        <v>27</v>
      </c>
      <c r="M10" s="3">
        <v>3000</v>
      </c>
      <c r="N10" t="s">
        <v>27</v>
      </c>
      <c r="O10" s="3">
        <v>3000</v>
      </c>
      <c r="P10" s="3">
        <v>3000</v>
      </c>
      <c r="Q10" t="s">
        <v>30</v>
      </c>
      <c r="R10" s="2">
        <v>0.7</v>
      </c>
      <c r="S10" s="3">
        <v>2100</v>
      </c>
      <c r="T10" t="s">
        <v>27</v>
      </c>
      <c r="U10" s="3">
        <v>2100</v>
      </c>
      <c r="V10" s="7" t="s">
        <v>24</v>
      </c>
      <c r="W10" s="7" t="s">
        <v>1378</v>
      </c>
    </row>
    <row r="11" spans="1:23" x14ac:dyDescent="0.4">
      <c r="A11" t="s">
        <v>262</v>
      </c>
      <c r="B11" t="s">
        <v>1766</v>
      </c>
      <c r="C11" t="s">
        <v>1817</v>
      </c>
      <c r="D11" t="s">
        <v>21</v>
      </c>
      <c r="E11" t="s">
        <v>22</v>
      </c>
      <c r="F11" t="s">
        <v>23</v>
      </c>
      <c r="G11">
        <v>1</v>
      </c>
      <c r="H11">
        <v>9791189084462</v>
      </c>
      <c r="I11" t="s">
        <v>143</v>
      </c>
      <c r="J11" t="s">
        <v>1648</v>
      </c>
      <c r="K11" t="s">
        <v>1378</v>
      </c>
      <c r="L11" t="s">
        <v>27</v>
      </c>
      <c r="M11" s="3">
        <v>3000</v>
      </c>
      <c r="N11" t="s">
        <v>27</v>
      </c>
      <c r="O11" s="3">
        <v>3000</v>
      </c>
      <c r="P11" s="3">
        <v>3000</v>
      </c>
      <c r="Q11" t="s">
        <v>30</v>
      </c>
      <c r="R11" s="2">
        <v>0.7</v>
      </c>
      <c r="S11" s="3">
        <v>2100</v>
      </c>
      <c r="T11" t="s">
        <v>27</v>
      </c>
      <c r="U11" s="3">
        <v>2100</v>
      </c>
      <c r="V11" s="7" t="s">
        <v>24</v>
      </c>
      <c r="W11" s="7" t="s">
        <v>1378</v>
      </c>
    </row>
    <row r="12" spans="1:23" x14ac:dyDescent="0.4">
      <c r="A12" t="s">
        <v>262</v>
      </c>
      <c r="B12" t="s">
        <v>1840</v>
      </c>
      <c r="C12" t="s">
        <v>1888</v>
      </c>
      <c r="D12" t="s">
        <v>21</v>
      </c>
      <c r="E12" t="s">
        <v>22</v>
      </c>
      <c r="F12" t="s">
        <v>23</v>
      </c>
      <c r="G12">
        <v>1</v>
      </c>
      <c r="H12">
        <v>9791189084448</v>
      </c>
      <c r="I12" t="s">
        <v>143</v>
      </c>
      <c r="J12" t="s">
        <v>1377</v>
      </c>
      <c r="K12" t="s">
        <v>1378</v>
      </c>
      <c r="L12" t="s">
        <v>27</v>
      </c>
      <c r="M12" s="3">
        <v>3000</v>
      </c>
      <c r="N12" t="s">
        <v>27</v>
      </c>
      <c r="O12" s="3">
        <v>3000</v>
      </c>
      <c r="P12" s="3">
        <v>3000</v>
      </c>
      <c r="Q12" t="s">
        <v>30</v>
      </c>
      <c r="R12" s="2">
        <v>0.7</v>
      </c>
      <c r="S12" s="3">
        <v>2100</v>
      </c>
      <c r="T12" t="s">
        <v>27</v>
      </c>
      <c r="U12" s="3">
        <v>2100</v>
      </c>
      <c r="V12" s="7" t="s">
        <v>24</v>
      </c>
      <c r="W12" s="7" t="s">
        <v>1378</v>
      </c>
    </row>
    <row r="13" spans="1:23" x14ac:dyDescent="0.4">
      <c r="A13" t="s">
        <v>262</v>
      </c>
      <c r="B13" t="s">
        <v>1898</v>
      </c>
      <c r="C13" t="s">
        <v>1920</v>
      </c>
      <c r="D13" t="s">
        <v>21</v>
      </c>
      <c r="E13" t="s">
        <v>22</v>
      </c>
      <c r="F13" t="s">
        <v>23</v>
      </c>
      <c r="G13">
        <v>1</v>
      </c>
      <c r="H13">
        <v>9791189084837</v>
      </c>
      <c r="I13" t="s">
        <v>143</v>
      </c>
      <c r="J13" t="s">
        <v>1921</v>
      </c>
      <c r="K13" t="s">
        <v>1378</v>
      </c>
      <c r="L13" t="s">
        <v>27</v>
      </c>
      <c r="M13">
        <v>400</v>
      </c>
      <c r="N13" t="s">
        <v>27</v>
      </c>
      <c r="O13">
        <v>400</v>
      </c>
      <c r="P13">
        <v>400</v>
      </c>
      <c r="Q13" t="s">
        <v>30</v>
      </c>
      <c r="R13" s="2">
        <v>0.7</v>
      </c>
      <c r="S13">
        <v>280</v>
      </c>
      <c r="T13" t="s">
        <v>27</v>
      </c>
      <c r="U13">
        <v>280</v>
      </c>
      <c r="V13" s="7" t="s">
        <v>24</v>
      </c>
      <c r="W13" s="7" t="s">
        <v>1378</v>
      </c>
    </row>
    <row r="14" spans="1:23" x14ac:dyDescent="0.4">
      <c r="A14" t="s">
        <v>262</v>
      </c>
      <c r="B14" t="s">
        <v>1898</v>
      </c>
      <c r="C14" t="s">
        <v>1948</v>
      </c>
      <c r="D14" t="s">
        <v>21</v>
      </c>
      <c r="E14" t="s">
        <v>22</v>
      </c>
      <c r="F14" t="s">
        <v>23</v>
      </c>
      <c r="G14">
        <v>1</v>
      </c>
      <c r="H14">
        <v>9791189084448</v>
      </c>
      <c r="I14" t="s">
        <v>143</v>
      </c>
      <c r="J14" t="s">
        <v>1377</v>
      </c>
      <c r="K14" t="s">
        <v>1378</v>
      </c>
      <c r="L14" t="s">
        <v>27</v>
      </c>
      <c r="M14" s="3">
        <v>3000</v>
      </c>
      <c r="N14" t="s">
        <v>27</v>
      </c>
      <c r="O14" s="3">
        <v>3000</v>
      </c>
      <c r="P14" s="3">
        <v>3000</v>
      </c>
      <c r="Q14" t="s">
        <v>30</v>
      </c>
      <c r="R14" s="2">
        <v>0.7</v>
      </c>
      <c r="S14" s="3">
        <v>2100</v>
      </c>
      <c r="T14" t="s">
        <v>27</v>
      </c>
      <c r="U14" s="3">
        <v>2100</v>
      </c>
      <c r="V14" s="7" t="s">
        <v>24</v>
      </c>
      <c r="W14" s="7" t="s">
        <v>1378</v>
      </c>
    </row>
    <row r="15" spans="1:23" x14ac:dyDescent="0.4">
      <c r="A15" t="s">
        <v>262</v>
      </c>
      <c r="B15" t="s">
        <v>1898</v>
      </c>
      <c r="C15" t="s">
        <v>1949</v>
      </c>
      <c r="D15" t="s">
        <v>21</v>
      </c>
      <c r="E15" t="s">
        <v>22</v>
      </c>
      <c r="F15" t="s">
        <v>23</v>
      </c>
      <c r="G15">
        <v>1</v>
      </c>
      <c r="H15">
        <v>9791189084455</v>
      </c>
      <c r="I15" t="s">
        <v>143</v>
      </c>
      <c r="J15" t="s">
        <v>1446</v>
      </c>
      <c r="K15" t="s">
        <v>1378</v>
      </c>
      <c r="L15" t="s">
        <v>27</v>
      </c>
      <c r="M15" s="3">
        <v>3000</v>
      </c>
      <c r="N15" t="s">
        <v>27</v>
      </c>
      <c r="O15" s="3">
        <v>3000</v>
      </c>
      <c r="P15" s="3">
        <v>3000</v>
      </c>
      <c r="Q15" t="s">
        <v>30</v>
      </c>
      <c r="R15" s="2">
        <v>0.7</v>
      </c>
      <c r="S15" s="3">
        <v>2100</v>
      </c>
      <c r="T15" t="s">
        <v>27</v>
      </c>
      <c r="U15" s="3">
        <v>2100</v>
      </c>
      <c r="V15" s="7" t="s">
        <v>24</v>
      </c>
      <c r="W15" s="7" t="s">
        <v>1378</v>
      </c>
    </row>
    <row r="16" spans="1:23" x14ac:dyDescent="0.4">
      <c r="A16" t="s">
        <v>262</v>
      </c>
      <c r="B16" t="s">
        <v>1953</v>
      </c>
      <c r="C16" t="s">
        <v>1981</v>
      </c>
      <c r="D16" t="s">
        <v>21</v>
      </c>
      <c r="E16" t="s">
        <v>22</v>
      </c>
      <c r="F16" t="s">
        <v>23</v>
      </c>
      <c r="G16">
        <v>1</v>
      </c>
      <c r="H16">
        <v>9791189084448</v>
      </c>
      <c r="I16" t="s">
        <v>143</v>
      </c>
      <c r="J16" t="s">
        <v>1377</v>
      </c>
      <c r="K16" t="s">
        <v>1378</v>
      </c>
      <c r="L16" t="s">
        <v>27</v>
      </c>
      <c r="M16" s="3">
        <v>3000</v>
      </c>
      <c r="N16" t="s">
        <v>27</v>
      </c>
      <c r="O16" s="3">
        <v>3000</v>
      </c>
      <c r="P16" s="3">
        <v>3000</v>
      </c>
      <c r="Q16" t="s">
        <v>30</v>
      </c>
      <c r="R16" s="2">
        <v>0.7</v>
      </c>
      <c r="S16" s="3">
        <v>2100</v>
      </c>
      <c r="T16" t="s">
        <v>27</v>
      </c>
      <c r="U16" s="3">
        <v>2100</v>
      </c>
      <c r="V16" s="7" t="s">
        <v>24</v>
      </c>
      <c r="W16" s="7" t="s">
        <v>1378</v>
      </c>
    </row>
    <row r="17" spans="1:23" x14ac:dyDescent="0.4">
      <c r="A17" t="s">
        <v>262</v>
      </c>
      <c r="B17" t="s">
        <v>1953</v>
      </c>
      <c r="C17" t="s">
        <v>1983</v>
      </c>
      <c r="D17" t="s">
        <v>21</v>
      </c>
      <c r="E17" t="s">
        <v>22</v>
      </c>
      <c r="F17" t="s">
        <v>23</v>
      </c>
      <c r="G17">
        <v>1</v>
      </c>
      <c r="H17">
        <v>9791189084462</v>
      </c>
      <c r="I17" t="s">
        <v>143</v>
      </c>
      <c r="J17" t="s">
        <v>1648</v>
      </c>
      <c r="K17" t="s">
        <v>1378</v>
      </c>
      <c r="L17" t="s">
        <v>27</v>
      </c>
      <c r="M17" s="3">
        <v>3000</v>
      </c>
      <c r="N17" t="s">
        <v>27</v>
      </c>
      <c r="O17" s="3">
        <v>3000</v>
      </c>
      <c r="P17" s="3">
        <v>3000</v>
      </c>
      <c r="Q17" t="s">
        <v>30</v>
      </c>
      <c r="R17" s="2">
        <v>0.7</v>
      </c>
      <c r="S17" s="3">
        <v>2100</v>
      </c>
      <c r="T17" t="s">
        <v>27</v>
      </c>
      <c r="U17" s="3">
        <v>2100</v>
      </c>
      <c r="V17" s="7" t="s">
        <v>24</v>
      </c>
      <c r="W17" s="7" t="s">
        <v>1378</v>
      </c>
    </row>
    <row r="18" spans="1:23" x14ac:dyDescent="0.4">
      <c r="A18" t="s">
        <v>262</v>
      </c>
      <c r="B18" t="s">
        <v>2075</v>
      </c>
      <c r="C18" t="s">
        <v>2148</v>
      </c>
      <c r="D18" t="s">
        <v>21</v>
      </c>
      <c r="E18" t="s">
        <v>22</v>
      </c>
      <c r="F18" t="s">
        <v>23</v>
      </c>
      <c r="G18">
        <v>1</v>
      </c>
      <c r="H18">
        <v>9791189084455</v>
      </c>
      <c r="I18" t="s">
        <v>143</v>
      </c>
      <c r="J18" t="s">
        <v>1446</v>
      </c>
      <c r="K18" t="s">
        <v>1378</v>
      </c>
      <c r="L18" t="s">
        <v>27</v>
      </c>
      <c r="M18" s="3">
        <v>3000</v>
      </c>
      <c r="N18" t="s">
        <v>27</v>
      </c>
      <c r="O18" s="3">
        <v>3000</v>
      </c>
      <c r="P18" s="3">
        <v>3000</v>
      </c>
      <c r="Q18" t="s">
        <v>30</v>
      </c>
      <c r="R18" s="2">
        <v>0.7</v>
      </c>
      <c r="S18" s="3">
        <v>2100</v>
      </c>
      <c r="T18" t="s">
        <v>27</v>
      </c>
      <c r="U18" s="3">
        <v>2100</v>
      </c>
      <c r="V18" s="7" t="s">
        <v>24</v>
      </c>
      <c r="W18" s="7" t="s">
        <v>1378</v>
      </c>
    </row>
    <row r="19" spans="1:23" x14ac:dyDescent="0.4">
      <c r="A19" t="s">
        <v>262</v>
      </c>
      <c r="B19" t="s">
        <v>2159</v>
      </c>
      <c r="C19" t="s">
        <v>2168</v>
      </c>
      <c r="D19" t="s">
        <v>21</v>
      </c>
      <c r="E19" t="s">
        <v>22</v>
      </c>
      <c r="F19" t="s">
        <v>23</v>
      </c>
      <c r="G19">
        <v>1</v>
      </c>
      <c r="H19">
        <v>9791189084462</v>
      </c>
      <c r="I19" t="s">
        <v>143</v>
      </c>
      <c r="J19" t="s">
        <v>1648</v>
      </c>
      <c r="K19" t="s">
        <v>1378</v>
      </c>
      <c r="L19" t="s">
        <v>27</v>
      </c>
      <c r="M19" s="3">
        <v>3000</v>
      </c>
      <c r="N19" t="s">
        <v>27</v>
      </c>
      <c r="O19" s="3">
        <v>3000</v>
      </c>
      <c r="P19" s="3">
        <v>3000</v>
      </c>
      <c r="Q19" t="s">
        <v>30</v>
      </c>
      <c r="R19" s="2">
        <v>0.7</v>
      </c>
      <c r="S19" s="3">
        <v>2100</v>
      </c>
      <c r="T19" t="s">
        <v>27</v>
      </c>
      <c r="U19" s="3">
        <v>2100</v>
      </c>
      <c r="V19" s="7" t="s">
        <v>24</v>
      </c>
      <c r="W19" s="7" t="s">
        <v>1378</v>
      </c>
    </row>
    <row r="20" spans="1:23" x14ac:dyDescent="0.4">
      <c r="A20" t="s">
        <v>262</v>
      </c>
      <c r="B20" t="s">
        <v>2159</v>
      </c>
      <c r="C20" t="s">
        <v>2182</v>
      </c>
      <c r="D20" t="s">
        <v>21</v>
      </c>
      <c r="E20" t="s">
        <v>22</v>
      </c>
      <c r="F20" t="s">
        <v>23</v>
      </c>
      <c r="G20">
        <v>1</v>
      </c>
      <c r="H20">
        <v>9791189084455</v>
      </c>
      <c r="I20" t="s">
        <v>143</v>
      </c>
      <c r="J20" t="s">
        <v>1446</v>
      </c>
      <c r="K20" t="s">
        <v>1378</v>
      </c>
      <c r="L20" t="s">
        <v>27</v>
      </c>
      <c r="M20" s="3">
        <v>3000</v>
      </c>
      <c r="N20" t="s">
        <v>27</v>
      </c>
      <c r="O20" s="3">
        <v>3000</v>
      </c>
      <c r="P20" s="3">
        <v>3000</v>
      </c>
      <c r="Q20" t="s">
        <v>30</v>
      </c>
      <c r="R20" s="2">
        <v>0.7</v>
      </c>
      <c r="S20" s="3">
        <v>2100</v>
      </c>
      <c r="T20" t="s">
        <v>27</v>
      </c>
      <c r="U20" s="3">
        <v>2100</v>
      </c>
      <c r="V20" s="7" t="s">
        <v>24</v>
      </c>
      <c r="W20" s="7" t="s">
        <v>1378</v>
      </c>
    </row>
    <row r="21" spans="1:23" x14ac:dyDescent="0.4">
      <c r="A21" t="s">
        <v>262</v>
      </c>
      <c r="B21" t="s">
        <v>2159</v>
      </c>
      <c r="C21" t="s">
        <v>2193</v>
      </c>
      <c r="D21" t="s">
        <v>21</v>
      </c>
      <c r="E21" t="s">
        <v>22</v>
      </c>
      <c r="F21" t="s">
        <v>23</v>
      </c>
      <c r="G21">
        <v>1</v>
      </c>
      <c r="H21">
        <v>9791189084462</v>
      </c>
      <c r="I21" t="s">
        <v>143</v>
      </c>
      <c r="J21" t="s">
        <v>1648</v>
      </c>
      <c r="K21" t="s">
        <v>1378</v>
      </c>
      <c r="L21" t="s">
        <v>27</v>
      </c>
      <c r="M21" s="3">
        <v>3000</v>
      </c>
      <c r="N21" t="s">
        <v>27</v>
      </c>
      <c r="O21" s="3">
        <v>3000</v>
      </c>
      <c r="P21" s="3">
        <v>3000</v>
      </c>
      <c r="Q21" t="s">
        <v>30</v>
      </c>
      <c r="R21" s="2">
        <v>0.7</v>
      </c>
      <c r="S21" s="3">
        <v>2100</v>
      </c>
      <c r="T21" t="s">
        <v>27</v>
      </c>
      <c r="U21" s="3">
        <v>2100</v>
      </c>
      <c r="V21" s="7" t="s">
        <v>24</v>
      </c>
      <c r="W21" s="7" t="s">
        <v>1378</v>
      </c>
    </row>
    <row r="22" spans="1:23" x14ac:dyDescent="0.4">
      <c r="A22" t="s">
        <v>262</v>
      </c>
      <c r="B22" t="s">
        <v>2308</v>
      </c>
      <c r="C22" t="s">
        <v>2328</v>
      </c>
      <c r="D22" t="s">
        <v>21</v>
      </c>
      <c r="E22" t="s">
        <v>22</v>
      </c>
      <c r="F22" t="s">
        <v>23</v>
      </c>
      <c r="G22">
        <v>1</v>
      </c>
      <c r="H22">
        <v>9791189084462</v>
      </c>
      <c r="I22" t="s">
        <v>143</v>
      </c>
      <c r="J22" t="s">
        <v>1648</v>
      </c>
      <c r="K22" t="s">
        <v>1378</v>
      </c>
      <c r="L22" t="s">
        <v>27</v>
      </c>
      <c r="M22" s="3">
        <v>3000</v>
      </c>
      <c r="N22" t="s">
        <v>27</v>
      </c>
      <c r="O22" s="3">
        <v>3000</v>
      </c>
      <c r="P22" s="3">
        <v>3000</v>
      </c>
      <c r="Q22" t="s">
        <v>30</v>
      </c>
      <c r="R22" s="2">
        <v>0.7</v>
      </c>
      <c r="S22" s="3">
        <v>2100</v>
      </c>
      <c r="T22" t="s">
        <v>27</v>
      </c>
      <c r="U22" s="3">
        <v>2100</v>
      </c>
      <c r="V22" s="7" t="s">
        <v>24</v>
      </c>
      <c r="W22" s="7" t="s">
        <v>1378</v>
      </c>
    </row>
    <row r="23" spans="1:23" x14ac:dyDescent="0.4">
      <c r="A23" t="s">
        <v>262</v>
      </c>
      <c r="B23" t="s">
        <v>2308</v>
      </c>
      <c r="C23" t="s">
        <v>2356</v>
      </c>
      <c r="D23" t="s">
        <v>21</v>
      </c>
      <c r="E23" t="s">
        <v>22</v>
      </c>
      <c r="F23" t="s">
        <v>23</v>
      </c>
      <c r="G23">
        <v>1</v>
      </c>
      <c r="H23">
        <v>9791189084837</v>
      </c>
      <c r="I23" t="s">
        <v>143</v>
      </c>
      <c r="J23" t="s">
        <v>1921</v>
      </c>
      <c r="K23" t="s">
        <v>1378</v>
      </c>
      <c r="L23" t="s">
        <v>27</v>
      </c>
      <c r="M23">
        <v>400</v>
      </c>
      <c r="N23" t="s">
        <v>27</v>
      </c>
      <c r="O23">
        <v>400</v>
      </c>
      <c r="P23">
        <v>400</v>
      </c>
      <c r="Q23" t="s">
        <v>30</v>
      </c>
      <c r="R23" s="2">
        <v>0.7</v>
      </c>
      <c r="S23">
        <v>280</v>
      </c>
      <c r="T23" t="s">
        <v>27</v>
      </c>
      <c r="U23">
        <v>280</v>
      </c>
      <c r="V23" s="7" t="s">
        <v>24</v>
      </c>
      <c r="W23" s="7" t="s">
        <v>1378</v>
      </c>
    </row>
    <row r="24" spans="1:23" x14ac:dyDescent="0.4">
      <c r="A24" t="s">
        <v>262</v>
      </c>
      <c r="B24" t="s">
        <v>2308</v>
      </c>
      <c r="C24" t="s">
        <v>2362</v>
      </c>
      <c r="D24" t="s">
        <v>21</v>
      </c>
      <c r="E24" t="s">
        <v>22</v>
      </c>
      <c r="F24" t="s">
        <v>23</v>
      </c>
      <c r="G24">
        <v>1</v>
      </c>
      <c r="H24">
        <v>9791189084448</v>
      </c>
      <c r="I24" t="s">
        <v>143</v>
      </c>
      <c r="J24" t="s">
        <v>1377</v>
      </c>
      <c r="K24" t="s">
        <v>1378</v>
      </c>
      <c r="L24" t="s">
        <v>27</v>
      </c>
      <c r="M24" s="3">
        <v>3000</v>
      </c>
      <c r="N24" t="s">
        <v>27</v>
      </c>
      <c r="O24" s="3">
        <v>3000</v>
      </c>
      <c r="P24" s="3">
        <v>3000</v>
      </c>
      <c r="Q24" t="s">
        <v>30</v>
      </c>
      <c r="R24" s="2">
        <v>0.7</v>
      </c>
      <c r="S24" s="3">
        <v>2100</v>
      </c>
      <c r="T24" t="s">
        <v>27</v>
      </c>
      <c r="U24" s="3">
        <v>2100</v>
      </c>
      <c r="V24" s="7" t="s">
        <v>24</v>
      </c>
      <c r="W24" s="7" t="s">
        <v>1378</v>
      </c>
    </row>
    <row r="25" spans="1:23" x14ac:dyDescent="0.4">
      <c r="A25" t="s">
        <v>262</v>
      </c>
      <c r="B25" t="s">
        <v>2308</v>
      </c>
      <c r="C25" t="s">
        <v>2364</v>
      </c>
      <c r="D25" t="s">
        <v>21</v>
      </c>
      <c r="E25" t="s">
        <v>22</v>
      </c>
      <c r="F25" t="s">
        <v>23</v>
      </c>
      <c r="G25">
        <v>1</v>
      </c>
      <c r="H25">
        <v>9791189084448</v>
      </c>
      <c r="I25" t="s">
        <v>143</v>
      </c>
      <c r="J25" t="s">
        <v>1377</v>
      </c>
      <c r="K25" t="s">
        <v>1378</v>
      </c>
      <c r="L25" t="s">
        <v>27</v>
      </c>
      <c r="M25" s="3">
        <v>3000</v>
      </c>
      <c r="N25" t="s">
        <v>28</v>
      </c>
      <c r="O25">
        <v>2.4700000000000002</v>
      </c>
      <c r="P25">
        <v>2.4700000000000002</v>
      </c>
      <c r="Q25" t="s">
        <v>29</v>
      </c>
      <c r="R25" s="2">
        <v>0.7</v>
      </c>
      <c r="S25">
        <v>1.73</v>
      </c>
      <c r="T25" t="s">
        <v>27</v>
      </c>
      <c r="U25" s="3">
        <v>2173</v>
      </c>
      <c r="V25" s="7" t="s">
        <v>24</v>
      </c>
      <c r="W25" s="7" t="s">
        <v>1378</v>
      </c>
    </row>
    <row r="26" spans="1:23" x14ac:dyDescent="0.4">
      <c r="A26" t="s">
        <v>262</v>
      </c>
      <c r="B26" t="s">
        <v>2308</v>
      </c>
      <c r="C26" t="s">
        <v>2365</v>
      </c>
      <c r="D26" t="s">
        <v>21</v>
      </c>
      <c r="E26" t="s">
        <v>22</v>
      </c>
      <c r="F26" t="s">
        <v>23</v>
      </c>
      <c r="G26">
        <v>1</v>
      </c>
      <c r="H26">
        <v>9791189084455</v>
      </c>
      <c r="I26" t="s">
        <v>143</v>
      </c>
      <c r="J26" t="s">
        <v>1446</v>
      </c>
      <c r="K26" t="s">
        <v>1378</v>
      </c>
      <c r="L26" t="s">
        <v>27</v>
      </c>
      <c r="M26" s="3">
        <v>3000</v>
      </c>
      <c r="N26" t="s">
        <v>28</v>
      </c>
      <c r="O26">
        <v>2.4700000000000002</v>
      </c>
      <c r="P26">
        <v>2.4700000000000002</v>
      </c>
      <c r="Q26" t="s">
        <v>29</v>
      </c>
      <c r="R26" s="2">
        <v>0.7</v>
      </c>
      <c r="S26">
        <v>1.73</v>
      </c>
      <c r="T26" t="s">
        <v>27</v>
      </c>
      <c r="U26" s="3">
        <v>2166</v>
      </c>
      <c r="V26" s="7" t="s">
        <v>24</v>
      </c>
      <c r="W26" s="7" t="s">
        <v>1378</v>
      </c>
    </row>
    <row r="27" spans="1:23" x14ac:dyDescent="0.4">
      <c r="A27" t="s">
        <v>262</v>
      </c>
      <c r="B27" t="s">
        <v>2308</v>
      </c>
      <c r="C27" t="s">
        <v>2366</v>
      </c>
      <c r="D27" t="s">
        <v>21</v>
      </c>
      <c r="E27" t="s">
        <v>22</v>
      </c>
      <c r="F27" t="s">
        <v>23</v>
      </c>
      <c r="G27">
        <v>1</v>
      </c>
      <c r="H27">
        <v>9791189084462</v>
      </c>
      <c r="I27" t="s">
        <v>143</v>
      </c>
      <c r="J27" t="s">
        <v>1648</v>
      </c>
      <c r="K27" t="s">
        <v>1378</v>
      </c>
      <c r="L27" t="s">
        <v>27</v>
      </c>
      <c r="M27" s="3">
        <v>3000</v>
      </c>
      <c r="N27" t="s">
        <v>28</v>
      </c>
      <c r="O27">
        <v>2.4700000000000002</v>
      </c>
      <c r="P27">
        <v>2.4700000000000002</v>
      </c>
      <c r="Q27" t="s">
        <v>29</v>
      </c>
      <c r="R27" s="2">
        <v>0.7</v>
      </c>
      <c r="S27">
        <v>1.73</v>
      </c>
      <c r="T27" t="s">
        <v>27</v>
      </c>
      <c r="U27" s="3">
        <v>2166</v>
      </c>
      <c r="V27" s="7" t="s">
        <v>24</v>
      </c>
      <c r="W27" s="7" t="s">
        <v>1378</v>
      </c>
    </row>
    <row r="28" spans="1:23" x14ac:dyDescent="0.4">
      <c r="A28" t="s">
        <v>262</v>
      </c>
      <c r="B28" t="s">
        <v>2308</v>
      </c>
      <c r="C28" t="s">
        <v>2367</v>
      </c>
      <c r="D28" t="s">
        <v>21</v>
      </c>
      <c r="E28" t="s">
        <v>22</v>
      </c>
      <c r="F28" t="s">
        <v>23</v>
      </c>
      <c r="G28">
        <v>1</v>
      </c>
      <c r="H28">
        <v>9791189084837</v>
      </c>
      <c r="I28" t="s">
        <v>143</v>
      </c>
      <c r="J28" t="s">
        <v>1921</v>
      </c>
      <c r="K28" t="s">
        <v>1378</v>
      </c>
      <c r="L28" t="s">
        <v>27</v>
      </c>
      <c r="M28">
        <v>400</v>
      </c>
      <c r="N28" t="s">
        <v>28</v>
      </c>
      <c r="O28">
        <v>0.33</v>
      </c>
      <c r="P28">
        <v>0.33</v>
      </c>
      <c r="Q28" t="s">
        <v>29</v>
      </c>
      <c r="R28" s="2">
        <v>0.7</v>
      </c>
      <c r="S28">
        <v>0.23</v>
      </c>
      <c r="T28" t="s">
        <v>27</v>
      </c>
      <c r="U28">
        <v>288</v>
      </c>
      <c r="V28" s="7" t="s">
        <v>24</v>
      </c>
      <c r="W28" s="7" t="s">
        <v>1378</v>
      </c>
    </row>
    <row r="29" spans="1:23" x14ac:dyDescent="0.4">
      <c r="A29" t="s">
        <v>262</v>
      </c>
      <c r="B29" t="s">
        <v>2308</v>
      </c>
      <c r="C29" t="s">
        <v>2368</v>
      </c>
      <c r="D29" t="s">
        <v>21</v>
      </c>
      <c r="E29" t="s">
        <v>22</v>
      </c>
      <c r="F29" t="s">
        <v>23</v>
      </c>
      <c r="G29">
        <v>1</v>
      </c>
      <c r="H29">
        <v>9791164372058</v>
      </c>
      <c r="I29" t="s">
        <v>143</v>
      </c>
      <c r="J29" t="s">
        <v>2369</v>
      </c>
      <c r="K29" t="s">
        <v>1378</v>
      </c>
      <c r="L29" t="s">
        <v>27</v>
      </c>
      <c r="M29" s="3">
        <v>3200</v>
      </c>
      <c r="N29" t="s">
        <v>28</v>
      </c>
      <c r="O29">
        <v>2.64</v>
      </c>
      <c r="P29">
        <v>2.64</v>
      </c>
      <c r="Q29" t="s">
        <v>29</v>
      </c>
      <c r="R29" s="2">
        <v>0.7</v>
      </c>
      <c r="S29">
        <v>1.85</v>
      </c>
      <c r="T29" t="s">
        <v>27</v>
      </c>
      <c r="U29" s="3">
        <v>2316</v>
      </c>
      <c r="V29" s="7" t="s">
        <v>24</v>
      </c>
      <c r="W29" s="7" t="s">
        <v>1378</v>
      </c>
    </row>
    <row r="30" spans="1:23" x14ac:dyDescent="0.4">
      <c r="A30" t="s">
        <v>262</v>
      </c>
      <c r="B30" t="s">
        <v>2308</v>
      </c>
      <c r="C30" t="s">
        <v>2370</v>
      </c>
      <c r="D30" t="s">
        <v>21</v>
      </c>
      <c r="E30" t="s">
        <v>22</v>
      </c>
      <c r="F30" t="s">
        <v>23</v>
      </c>
      <c r="G30">
        <v>1</v>
      </c>
      <c r="H30">
        <v>9791164372065</v>
      </c>
      <c r="I30" t="s">
        <v>143</v>
      </c>
      <c r="J30" t="s">
        <v>2371</v>
      </c>
      <c r="K30" t="s">
        <v>1378</v>
      </c>
      <c r="L30" t="s">
        <v>27</v>
      </c>
      <c r="M30" s="3">
        <v>3200</v>
      </c>
      <c r="N30" t="s">
        <v>28</v>
      </c>
      <c r="O30">
        <v>2.64</v>
      </c>
      <c r="P30">
        <v>2.64</v>
      </c>
      <c r="Q30" t="s">
        <v>29</v>
      </c>
      <c r="R30" s="2">
        <v>0.7</v>
      </c>
      <c r="S30">
        <v>1.85</v>
      </c>
      <c r="T30" t="s">
        <v>27</v>
      </c>
      <c r="U30" s="3">
        <v>2316</v>
      </c>
      <c r="V30" s="7" t="s">
        <v>24</v>
      </c>
      <c r="W30" s="7" t="s">
        <v>1378</v>
      </c>
    </row>
    <row r="31" spans="1:23" x14ac:dyDescent="0.4">
      <c r="A31" t="s">
        <v>262</v>
      </c>
      <c r="B31" t="s">
        <v>2308</v>
      </c>
      <c r="C31" t="s">
        <v>2372</v>
      </c>
      <c r="D31" t="s">
        <v>21</v>
      </c>
      <c r="E31" t="s">
        <v>22</v>
      </c>
      <c r="F31" t="s">
        <v>23</v>
      </c>
      <c r="G31">
        <v>1</v>
      </c>
      <c r="H31">
        <v>9791164372072</v>
      </c>
      <c r="I31" t="s">
        <v>143</v>
      </c>
      <c r="J31" t="s">
        <v>2373</v>
      </c>
      <c r="K31" t="s">
        <v>1378</v>
      </c>
      <c r="L31" t="s">
        <v>27</v>
      </c>
      <c r="M31" s="3">
        <v>3200</v>
      </c>
      <c r="N31" t="s">
        <v>28</v>
      </c>
      <c r="O31">
        <v>2.64</v>
      </c>
      <c r="P31">
        <v>2.64</v>
      </c>
      <c r="Q31" t="s">
        <v>29</v>
      </c>
      <c r="R31" s="2">
        <v>0.7</v>
      </c>
      <c r="S31">
        <v>1.85</v>
      </c>
      <c r="T31" t="s">
        <v>27</v>
      </c>
      <c r="U31" s="3">
        <v>2316</v>
      </c>
      <c r="V31" s="7" t="s">
        <v>24</v>
      </c>
      <c r="W31" s="7" t="s">
        <v>1378</v>
      </c>
    </row>
    <row r="32" spans="1:23" x14ac:dyDescent="0.4">
      <c r="A32" t="s">
        <v>262</v>
      </c>
      <c r="B32" t="s">
        <v>2308</v>
      </c>
      <c r="C32" t="s">
        <v>2374</v>
      </c>
      <c r="D32" t="s">
        <v>21</v>
      </c>
      <c r="E32" t="s">
        <v>22</v>
      </c>
      <c r="F32" t="s">
        <v>23</v>
      </c>
      <c r="G32">
        <v>1</v>
      </c>
      <c r="H32">
        <v>9791164372546</v>
      </c>
      <c r="I32" t="s">
        <v>143</v>
      </c>
      <c r="J32" t="s">
        <v>2375</v>
      </c>
      <c r="K32" t="s">
        <v>1378</v>
      </c>
      <c r="L32" t="s">
        <v>27</v>
      </c>
      <c r="M32">
        <v>300</v>
      </c>
      <c r="N32" t="s">
        <v>28</v>
      </c>
      <c r="O32">
        <v>0.25</v>
      </c>
      <c r="P32">
        <v>0.25</v>
      </c>
      <c r="Q32" t="s">
        <v>29</v>
      </c>
      <c r="R32" s="2">
        <v>0.7</v>
      </c>
      <c r="S32">
        <v>0.17</v>
      </c>
      <c r="T32" t="s">
        <v>27</v>
      </c>
      <c r="U32">
        <v>213</v>
      </c>
      <c r="V32" s="7" t="s">
        <v>24</v>
      </c>
      <c r="W32" s="7" t="s">
        <v>1378</v>
      </c>
    </row>
    <row r="33" spans="1:23" x14ac:dyDescent="0.4">
      <c r="A33" t="s">
        <v>262</v>
      </c>
      <c r="B33" t="s">
        <v>2394</v>
      </c>
      <c r="C33" t="s">
        <v>2459</v>
      </c>
      <c r="D33" t="s">
        <v>21</v>
      </c>
      <c r="E33" t="s">
        <v>22</v>
      </c>
      <c r="F33" t="s">
        <v>23</v>
      </c>
      <c r="G33">
        <v>1</v>
      </c>
      <c r="H33">
        <v>9791189084837</v>
      </c>
      <c r="I33" t="s">
        <v>143</v>
      </c>
      <c r="J33" t="s">
        <v>1921</v>
      </c>
      <c r="K33" t="s">
        <v>1378</v>
      </c>
      <c r="L33" t="s">
        <v>27</v>
      </c>
      <c r="M33">
        <v>400</v>
      </c>
      <c r="N33" t="s">
        <v>27</v>
      </c>
      <c r="O33">
        <v>400</v>
      </c>
      <c r="P33">
        <v>400</v>
      </c>
      <c r="Q33" t="s">
        <v>30</v>
      </c>
      <c r="R33" s="2">
        <v>0.7</v>
      </c>
      <c r="S33">
        <v>280</v>
      </c>
      <c r="T33" t="s">
        <v>27</v>
      </c>
      <c r="U33">
        <v>280</v>
      </c>
      <c r="V33" s="7" t="s">
        <v>24</v>
      </c>
      <c r="W33" s="7" t="s">
        <v>1378</v>
      </c>
    </row>
    <row r="34" spans="1:23" x14ac:dyDescent="0.4">
      <c r="A34" t="s">
        <v>262</v>
      </c>
      <c r="B34" t="s">
        <v>2394</v>
      </c>
      <c r="C34" t="s">
        <v>2460</v>
      </c>
      <c r="D34" t="s">
        <v>21</v>
      </c>
      <c r="E34" t="s">
        <v>22</v>
      </c>
      <c r="F34" t="s">
        <v>23</v>
      </c>
      <c r="G34">
        <v>1</v>
      </c>
      <c r="H34">
        <v>9791164372546</v>
      </c>
      <c r="I34" t="s">
        <v>143</v>
      </c>
      <c r="J34" t="s">
        <v>2375</v>
      </c>
      <c r="K34" t="s">
        <v>1378</v>
      </c>
      <c r="L34" t="s">
        <v>27</v>
      </c>
      <c r="M34">
        <v>300</v>
      </c>
      <c r="N34" t="s">
        <v>27</v>
      </c>
      <c r="O34">
        <v>300</v>
      </c>
      <c r="P34">
        <v>300</v>
      </c>
      <c r="Q34" t="s">
        <v>30</v>
      </c>
      <c r="R34" s="2">
        <v>0.7</v>
      </c>
      <c r="S34">
        <v>210</v>
      </c>
      <c r="T34" t="s">
        <v>27</v>
      </c>
      <c r="U34">
        <v>210</v>
      </c>
      <c r="V34" s="7" t="s">
        <v>24</v>
      </c>
      <c r="W34" s="7" t="s">
        <v>1378</v>
      </c>
    </row>
    <row r="35" spans="1:23" x14ac:dyDescent="0.4">
      <c r="A35" t="s">
        <v>262</v>
      </c>
      <c r="B35" t="s">
        <v>262</v>
      </c>
      <c r="C35" t="s">
        <v>2494</v>
      </c>
      <c r="D35" t="s">
        <v>21</v>
      </c>
      <c r="E35" t="s">
        <v>22</v>
      </c>
      <c r="F35" t="s">
        <v>23</v>
      </c>
      <c r="G35">
        <v>1</v>
      </c>
      <c r="H35">
        <v>9791189084448</v>
      </c>
      <c r="I35" t="s">
        <v>143</v>
      </c>
      <c r="J35" t="s">
        <v>1377</v>
      </c>
      <c r="K35" t="s">
        <v>1378</v>
      </c>
      <c r="L35" t="s">
        <v>27</v>
      </c>
      <c r="M35" s="3">
        <v>3000</v>
      </c>
      <c r="N35" t="s">
        <v>27</v>
      </c>
      <c r="O35" s="3">
        <v>3000</v>
      </c>
      <c r="P35" s="3">
        <v>3000</v>
      </c>
      <c r="Q35" t="s">
        <v>30</v>
      </c>
      <c r="R35" s="2">
        <v>0.7</v>
      </c>
      <c r="S35" s="3">
        <v>2100</v>
      </c>
      <c r="T35" t="s">
        <v>27</v>
      </c>
      <c r="U35" s="3">
        <v>2100</v>
      </c>
      <c r="V35" s="7" t="s">
        <v>24</v>
      </c>
      <c r="W35" s="7" t="s">
        <v>1378</v>
      </c>
    </row>
    <row r="36" spans="1:23" x14ac:dyDescent="0.4">
      <c r="A36" t="s">
        <v>262</v>
      </c>
      <c r="B36" t="s">
        <v>262</v>
      </c>
      <c r="C36" t="s">
        <v>2495</v>
      </c>
      <c r="D36" t="s">
        <v>21</v>
      </c>
      <c r="E36" t="s">
        <v>22</v>
      </c>
      <c r="F36" t="s">
        <v>23</v>
      </c>
      <c r="G36">
        <v>1</v>
      </c>
      <c r="H36">
        <v>9791189084455</v>
      </c>
      <c r="I36" t="s">
        <v>143</v>
      </c>
      <c r="J36" t="s">
        <v>1446</v>
      </c>
      <c r="K36" t="s">
        <v>1378</v>
      </c>
      <c r="L36" t="s">
        <v>27</v>
      </c>
      <c r="M36" s="3">
        <v>3000</v>
      </c>
      <c r="N36" t="s">
        <v>27</v>
      </c>
      <c r="O36" s="3">
        <v>3000</v>
      </c>
      <c r="P36" s="3">
        <v>3000</v>
      </c>
      <c r="Q36" t="s">
        <v>30</v>
      </c>
      <c r="R36" s="2">
        <v>0.7</v>
      </c>
      <c r="S36" s="3">
        <v>2100</v>
      </c>
      <c r="T36" t="s">
        <v>27</v>
      </c>
      <c r="U36" s="3">
        <v>2100</v>
      </c>
      <c r="V36" s="7" t="s">
        <v>24</v>
      </c>
      <c r="W36" s="7" t="s">
        <v>1378</v>
      </c>
    </row>
    <row r="37" spans="1:23" x14ac:dyDescent="0.4">
      <c r="A37" t="s">
        <v>262</v>
      </c>
      <c r="B37" t="s">
        <v>262</v>
      </c>
      <c r="C37" t="s">
        <v>2509</v>
      </c>
      <c r="D37" t="s">
        <v>21</v>
      </c>
      <c r="E37" t="s">
        <v>22</v>
      </c>
      <c r="F37" t="s">
        <v>23</v>
      </c>
      <c r="G37">
        <v>1</v>
      </c>
      <c r="H37">
        <v>9791189084462</v>
      </c>
      <c r="I37" t="s">
        <v>143</v>
      </c>
      <c r="J37" t="s">
        <v>1648</v>
      </c>
      <c r="K37" t="s">
        <v>1378</v>
      </c>
      <c r="L37" t="s">
        <v>27</v>
      </c>
      <c r="M37" s="3">
        <v>3000</v>
      </c>
      <c r="N37" t="s">
        <v>27</v>
      </c>
      <c r="O37" s="3">
        <v>3000</v>
      </c>
      <c r="P37" s="3">
        <v>3000</v>
      </c>
      <c r="Q37" t="s">
        <v>30</v>
      </c>
      <c r="R37" s="2">
        <v>0.7</v>
      </c>
      <c r="S37" s="3">
        <v>2100</v>
      </c>
      <c r="T37" t="s">
        <v>27</v>
      </c>
      <c r="U37" s="3">
        <v>2100</v>
      </c>
      <c r="V37" s="7" t="s">
        <v>24</v>
      </c>
      <c r="W37" s="7" t="s">
        <v>1378</v>
      </c>
    </row>
    <row r="38" spans="1:23" x14ac:dyDescent="0.4">
      <c r="A38" t="s">
        <v>262</v>
      </c>
      <c r="B38" t="s">
        <v>262</v>
      </c>
      <c r="C38" t="s">
        <v>2512</v>
      </c>
      <c r="D38" t="s">
        <v>21</v>
      </c>
      <c r="E38" t="s">
        <v>22</v>
      </c>
      <c r="F38" t="s">
        <v>23</v>
      </c>
      <c r="G38">
        <v>1</v>
      </c>
      <c r="H38">
        <v>9791189084448</v>
      </c>
      <c r="I38" t="s">
        <v>143</v>
      </c>
      <c r="J38" t="s">
        <v>1377</v>
      </c>
      <c r="K38" t="s">
        <v>1378</v>
      </c>
      <c r="L38" t="s">
        <v>27</v>
      </c>
      <c r="M38" s="3">
        <v>3000</v>
      </c>
      <c r="N38" t="s">
        <v>27</v>
      </c>
      <c r="O38" s="3">
        <v>3000</v>
      </c>
      <c r="P38" s="3">
        <v>3000</v>
      </c>
      <c r="Q38" t="s">
        <v>30</v>
      </c>
      <c r="R38" s="2">
        <v>0.7</v>
      </c>
      <c r="S38" s="3">
        <v>2100</v>
      </c>
      <c r="T38" t="s">
        <v>27</v>
      </c>
      <c r="U38" s="3">
        <v>2100</v>
      </c>
      <c r="V38" s="7" t="s">
        <v>24</v>
      </c>
      <c r="W38" s="7" t="s">
        <v>1378</v>
      </c>
    </row>
    <row r="39" spans="1:23" x14ac:dyDescent="0.4">
      <c r="A39" t="s">
        <v>262</v>
      </c>
      <c r="B39" t="s">
        <v>262</v>
      </c>
      <c r="C39" t="s">
        <v>2523</v>
      </c>
      <c r="D39" t="s">
        <v>21</v>
      </c>
      <c r="E39" t="s">
        <v>22</v>
      </c>
      <c r="F39" t="s">
        <v>23</v>
      </c>
      <c r="G39">
        <v>1</v>
      </c>
      <c r="H39">
        <v>9791189084455</v>
      </c>
      <c r="I39" t="s">
        <v>143</v>
      </c>
      <c r="J39" t="s">
        <v>1446</v>
      </c>
      <c r="K39" t="s">
        <v>1378</v>
      </c>
      <c r="L39" t="s">
        <v>27</v>
      </c>
      <c r="M39" s="3">
        <v>3000</v>
      </c>
      <c r="N39" t="s">
        <v>27</v>
      </c>
      <c r="O39" s="3">
        <v>3000</v>
      </c>
      <c r="P39" s="3">
        <v>3000</v>
      </c>
      <c r="Q39" t="s">
        <v>30</v>
      </c>
      <c r="R39" s="2">
        <v>0.7</v>
      </c>
      <c r="S39" s="3">
        <v>2100</v>
      </c>
      <c r="T39" t="s">
        <v>27</v>
      </c>
      <c r="U39" s="3">
        <v>2100</v>
      </c>
      <c r="V39" s="7" t="s">
        <v>24</v>
      </c>
      <c r="W39" s="7" t="s">
        <v>1378</v>
      </c>
    </row>
    <row r="40" spans="1:23" x14ac:dyDescent="0.4">
      <c r="A40" t="s">
        <v>262</v>
      </c>
      <c r="B40" t="s">
        <v>262</v>
      </c>
      <c r="C40" t="s">
        <v>2528</v>
      </c>
      <c r="D40" t="s">
        <v>21</v>
      </c>
      <c r="E40" t="s">
        <v>22</v>
      </c>
      <c r="F40" t="s">
        <v>23</v>
      </c>
      <c r="G40">
        <v>1</v>
      </c>
      <c r="H40">
        <v>9791164372058</v>
      </c>
      <c r="I40" t="s">
        <v>143</v>
      </c>
      <c r="J40" t="s">
        <v>2369</v>
      </c>
      <c r="K40" t="s">
        <v>1378</v>
      </c>
      <c r="L40" t="s">
        <v>27</v>
      </c>
      <c r="M40" s="3">
        <v>3200</v>
      </c>
      <c r="N40" t="s">
        <v>27</v>
      </c>
      <c r="O40" s="3">
        <v>3200</v>
      </c>
      <c r="P40" s="3">
        <v>3200</v>
      </c>
      <c r="Q40" t="s">
        <v>30</v>
      </c>
      <c r="R40" s="2">
        <v>0.7</v>
      </c>
      <c r="S40" s="3">
        <v>2240</v>
      </c>
      <c r="T40" t="s">
        <v>27</v>
      </c>
      <c r="U40" s="3">
        <v>2240</v>
      </c>
      <c r="V40" s="7" t="s">
        <v>24</v>
      </c>
      <c r="W40" s="7" t="s">
        <v>1378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44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4.0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1411</v>
      </c>
      <c r="C2" t="s">
        <v>1429</v>
      </c>
      <c r="D2" t="s">
        <v>64</v>
      </c>
      <c r="E2" t="s">
        <v>22</v>
      </c>
      <c r="F2" t="s">
        <v>23</v>
      </c>
      <c r="G2">
        <v>1</v>
      </c>
      <c r="H2">
        <v>9791188630110</v>
      </c>
      <c r="I2" t="s">
        <v>24</v>
      </c>
      <c r="J2" t="s">
        <v>40</v>
      </c>
      <c r="K2" t="s">
        <v>41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  <c r="V2" s="7" t="s">
        <v>24</v>
      </c>
      <c r="W2" s="7" t="s">
        <v>41</v>
      </c>
    </row>
    <row r="3" spans="1:23" x14ac:dyDescent="0.4">
      <c r="A3" t="s">
        <v>262</v>
      </c>
      <c r="B3" t="s">
        <v>1411</v>
      </c>
      <c r="C3" t="s">
        <v>1437</v>
      </c>
      <c r="D3" t="s">
        <v>64</v>
      </c>
      <c r="E3" t="s">
        <v>22</v>
      </c>
      <c r="F3" t="s">
        <v>23</v>
      </c>
      <c r="G3">
        <v>1</v>
      </c>
      <c r="H3">
        <v>9791188630127</v>
      </c>
      <c r="I3" t="s">
        <v>24</v>
      </c>
      <c r="J3" t="s">
        <v>42</v>
      </c>
      <c r="K3" t="s">
        <v>41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  <c r="V3" s="7" t="s">
        <v>24</v>
      </c>
      <c r="W3" s="7" t="s">
        <v>41</v>
      </c>
    </row>
    <row r="4" spans="1:23" x14ac:dyDescent="0.4">
      <c r="A4" t="s">
        <v>262</v>
      </c>
      <c r="B4" t="s">
        <v>1411</v>
      </c>
      <c r="C4" t="s">
        <v>1457</v>
      </c>
      <c r="D4" t="s">
        <v>64</v>
      </c>
      <c r="E4" t="s">
        <v>22</v>
      </c>
      <c r="F4" t="s">
        <v>23</v>
      </c>
      <c r="G4">
        <v>1</v>
      </c>
      <c r="H4">
        <v>9791188630134</v>
      </c>
      <c r="I4" t="s">
        <v>24</v>
      </c>
      <c r="J4" t="s">
        <v>203</v>
      </c>
      <c r="K4" t="s">
        <v>41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  <c r="V4" s="7" t="s">
        <v>24</v>
      </c>
      <c r="W4" s="7" t="s">
        <v>41</v>
      </c>
    </row>
    <row r="5" spans="1:23" x14ac:dyDescent="0.4">
      <c r="A5" t="s">
        <v>262</v>
      </c>
      <c r="B5" t="s">
        <v>1411</v>
      </c>
      <c r="C5" t="s">
        <v>1499</v>
      </c>
      <c r="D5" t="s">
        <v>21</v>
      </c>
      <c r="E5" t="s">
        <v>22</v>
      </c>
      <c r="F5" t="s">
        <v>23</v>
      </c>
      <c r="G5">
        <v>1</v>
      </c>
      <c r="H5">
        <v>9791195863044</v>
      </c>
      <c r="I5" t="s">
        <v>24</v>
      </c>
      <c r="J5" t="s">
        <v>1500</v>
      </c>
      <c r="K5" t="s">
        <v>41</v>
      </c>
      <c r="L5" t="s">
        <v>27</v>
      </c>
      <c r="M5" s="3">
        <v>3200</v>
      </c>
      <c r="N5" t="s">
        <v>28</v>
      </c>
      <c r="O5">
        <v>2.64</v>
      </c>
      <c r="P5">
        <v>2.64</v>
      </c>
      <c r="Q5" t="s">
        <v>29</v>
      </c>
      <c r="R5" s="2">
        <v>0.7</v>
      </c>
      <c r="S5">
        <v>1.85</v>
      </c>
      <c r="T5" t="s">
        <v>27</v>
      </c>
      <c r="U5" s="3">
        <v>2363</v>
      </c>
      <c r="V5" s="7" t="s">
        <v>24</v>
      </c>
      <c r="W5" s="7" t="s">
        <v>41</v>
      </c>
    </row>
    <row r="6" spans="1:23" x14ac:dyDescent="0.4">
      <c r="A6" t="s">
        <v>262</v>
      </c>
      <c r="B6" t="s">
        <v>1411</v>
      </c>
      <c r="C6" t="s">
        <v>1499</v>
      </c>
      <c r="D6" t="s">
        <v>21</v>
      </c>
      <c r="E6" t="s">
        <v>22</v>
      </c>
      <c r="F6" t="s">
        <v>23</v>
      </c>
      <c r="G6">
        <v>1</v>
      </c>
      <c r="H6">
        <v>9791188630035</v>
      </c>
      <c r="I6" t="s">
        <v>24</v>
      </c>
      <c r="J6" t="s">
        <v>1501</v>
      </c>
      <c r="K6" t="s">
        <v>41</v>
      </c>
      <c r="L6" t="s">
        <v>27</v>
      </c>
      <c r="M6" s="3">
        <v>3200</v>
      </c>
      <c r="N6" t="s">
        <v>28</v>
      </c>
      <c r="O6">
        <v>2.64</v>
      </c>
      <c r="P6">
        <v>2.64</v>
      </c>
      <c r="Q6" t="s">
        <v>29</v>
      </c>
      <c r="R6" s="2">
        <v>0.7</v>
      </c>
      <c r="S6">
        <v>1.85</v>
      </c>
      <c r="T6" t="s">
        <v>27</v>
      </c>
      <c r="U6" s="3">
        <v>2363</v>
      </c>
      <c r="V6" s="7" t="s">
        <v>24</v>
      </c>
      <c r="W6" s="7" t="s">
        <v>41</v>
      </c>
    </row>
    <row r="7" spans="1:23" x14ac:dyDescent="0.4">
      <c r="A7" t="s">
        <v>262</v>
      </c>
      <c r="B7" t="s">
        <v>1411</v>
      </c>
      <c r="C7" t="s">
        <v>1499</v>
      </c>
      <c r="D7" t="s">
        <v>21</v>
      </c>
      <c r="E7" t="s">
        <v>22</v>
      </c>
      <c r="F7" t="s">
        <v>23</v>
      </c>
      <c r="G7">
        <v>1</v>
      </c>
      <c r="H7">
        <v>9791188630042</v>
      </c>
      <c r="I7" t="s">
        <v>24</v>
      </c>
      <c r="J7" t="s">
        <v>1502</v>
      </c>
      <c r="K7" t="s">
        <v>41</v>
      </c>
      <c r="L7" t="s">
        <v>27</v>
      </c>
      <c r="M7" s="3">
        <v>3200</v>
      </c>
      <c r="N7" t="s">
        <v>28</v>
      </c>
      <c r="O7">
        <v>2.64</v>
      </c>
      <c r="P7">
        <v>2.64</v>
      </c>
      <c r="Q7" t="s">
        <v>29</v>
      </c>
      <c r="R7" s="2">
        <v>0.7</v>
      </c>
      <c r="S7">
        <v>1.85</v>
      </c>
      <c r="T7" t="s">
        <v>27</v>
      </c>
      <c r="U7" s="3">
        <v>2363</v>
      </c>
      <c r="V7" s="7" t="s">
        <v>24</v>
      </c>
      <c r="W7" s="7" t="s">
        <v>41</v>
      </c>
    </row>
    <row r="8" spans="1:23" x14ac:dyDescent="0.4">
      <c r="A8" t="s">
        <v>262</v>
      </c>
      <c r="B8" t="s">
        <v>1411</v>
      </c>
      <c r="C8" t="s">
        <v>1499</v>
      </c>
      <c r="D8" t="s">
        <v>21</v>
      </c>
      <c r="E8" t="s">
        <v>22</v>
      </c>
      <c r="F8" t="s">
        <v>23</v>
      </c>
      <c r="G8">
        <v>1</v>
      </c>
      <c r="H8">
        <v>9791195863051</v>
      </c>
      <c r="I8" t="s">
        <v>24</v>
      </c>
      <c r="J8" t="s">
        <v>1503</v>
      </c>
      <c r="K8" t="s">
        <v>41</v>
      </c>
      <c r="L8" t="s">
        <v>27</v>
      </c>
      <c r="M8" s="3">
        <v>3200</v>
      </c>
      <c r="N8" t="s">
        <v>28</v>
      </c>
      <c r="O8">
        <v>2.64</v>
      </c>
      <c r="P8">
        <v>2.64</v>
      </c>
      <c r="Q8" t="s">
        <v>29</v>
      </c>
      <c r="R8" s="2">
        <v>0.7</v>
      </c>
      <c r="S8">
        <v>1.85</v>
      </c>
      <c r="T8" t="s">
        <v>27</v>
      </c>
      <c r="U8" s="3">
        <v>2363</v>
      </c>
      <c r="V8" s="7" t="s">
        <v>24</v>
      </c>
      <c r="W8" s="7" t="s">
        <v>41</v>
      </c>
    </row>
    <row r="9" spans="1:23" x14ac:dyDescent="0.4">
      <c r="A9" t="s">
        <v>262</v>
      </c>
      <c r="B9" t="s">
        <v>1411</v>
      </c>
      <c r="C9" t="s">
        <v>1499</v>
      </c>
      <c r="D9" t="s">
        <v>21</v>
      </c>
      <c r="E9" t="s">
        <v>22</v>
      </c>
      <c r="F9" t="s">
        <v>23</v>
      </c>
      <c r="G9">
        <v>1</v>
      </c>
      <c r="H9">
        <v>9791195863068</v>
      </c>
      <c r="I9" t="s">
        <v>24</v>
      </c>
      <c r="J9" t="s">
        <v>1504</v>
      </c>
      <c r="K9" t="s">
        <v>41</v>
      </c>
      <c r="L9" t="s">
        <v>27</v>
      </c>
      <c r="M9" s="3">
        <v>3200</v>
      </c>
      <c r="N9" t="s">
        <v>28</v>
      </c>
      <c r="O9">
        <v>2.64</v>
      </c>
      <c r="P9">
        <v>2.64</v>
      </c>
      <c r="Q9" t="s">
        <v>29</v>
      </c>
      <c r="R9" s="2">
        <v>0.7</v>
      </c>
      <c r="S9">
        <v>1.85</v>
      </c>
      <c r="T9" t="s">
        <v>27</v>
      </c>
      <c r="U9" s="3">
        <v>2363</v>
      </c>
      <c r="V9" s="7" t="s">
        <v>24</v>
      </c>
      <c r="W9" s="7" t="s">
        <v>41</v>
      </c>
    </row>
    <row r="10" spans="1:23" x14ac:dyDescent="0.4">
      <c r="A10" t="s">
        <v>262</v>
      </c>
      <c r="B10" t="s">
        <v>1411</v>
      </c>
      <c r="C10" t="s">
        <v>1499</v>
      </c>
      <c r="D10" t="s">
        <v>21</v>
      </c>
      <c r="E10" t="s">
        <v>22</v>
      </c>
      <c r="F10" t="s">
        <v>23</v>
      </c>
      <c r="G10">
        <v>1</v>
      </c>
      <c r="H10">
        <v>9791195863075</v>
      </c>
      <c r="I10" t="s">
        <v>24</v>
      </c>
      <c r="J10" t="s">
        <v>1505</v>
      </c>
      <c r="K10" t="s">
        <v>41</v>
      </c>
      <c r="L10" t="s">
        <v>27</v>
      </c>
      <c r="M10" s="3">
        <v>3200</v>
      </c>
      <c r="N10" t="s">
        <v>28</v>
      </c>
      <c r="O10">
        <v>2.64</v>
      </c>
      <c r="P10">
        <v>2.64</v>
      </c>
      <c r="Q10" t="s">
        <v>29</v>
      </c>
      <c r="R10" s="2">
        <v>0.7</v>
      </c>
      <c r="S10">
        <v>1.85</v>
      </c>
      <c r="T10" t="s">
        <v>27</v>
      </c>
      <c r="U10" s="3">
        <v>2363</v>
      </c>
      <c r="V10" s="7" t="s">
        <v>24</v>
      </c>
      <c r="W10" s="7" t="s">
        <v>41</v>
      </c>
    </row>
    <row r="11" spans="1:23" x14ac:dyDescent="0.4">
      <c r="A11" t="s">
        <v>262</v>
      </c>
      <c r="B11" t="s">
        <v>1411</v>
      </c>
      <c r="C11" t="s">
        <v>1499</v>
      </c>
      <c r="D11" t="s">
        <v>21</v>
      </c>
      <c r="E11" t="s">
        <v>22</v>
      </c>
      <c r="F11" t="s">
        <v>23</v>
      </c>
      <c r="G11">
        <v>1</v>
      </c>
      <c r="H11">
        <v>9791195863082</v>
      </c>
      <c r="I11" t="s">
        <v>24</v>
      </c>
      <c r="J11" t="s">
        <v>1506</v>
      </c>
      <c r="K11" t="s">
        <v>41</v>
      </c>
      <c r="L11" t="s">
        <v>27</v>
      </c>
      <c r="M11" s="3">
        <v>3200</v>
      </c>
      <c r="N11" t="s">
        <v>28</v>
      </c>
      <c r="O11">
        <v>2.64</v>
      </c>
      <c r="P11">
        <v>2.64</v>
      </c>
      <c r="Q11" t="s">
        <v>29</v>
      </c>
      <c r="R11" s="2">
        <v>0.7</v>
      </c>
      <c r="S11">
        <v>1.85</v>
      </c>
      <c r="T11" t="s">
        <v>27</v>
      </c>
      <c r="U11" s="3">
        <v>2363</v>
      </c>
      <c r="V11" s="7" t="s">
        <v>24</v>
      </c>
      <c r="W11" s="7" t="s">
        <v>41</v>
      </c>
    </row>
    <row r="12" spans="1:23" x14ac:dyDescent="0.4">
      <c r="A12" t="s">
        <v>262</v>
      </c>
      <c r="B12" t="s">
        <v>1411</v>
      </c>
      <c r="C12" t="s">
        <v>1499</v>
      </c>
      <c r="D12" t="s">
        <v>21</v>
      </c>
      <c r="E12" t="s">
        <v>22</v>
      </c>
      <c r="F12" t="s">
        <v>23</v>
      </c>
      <c r="G12">
        <v>1</v>
      </c>
      <c r="H12">
        <v>9791195863099</v>
      </c>
      <c r="I12" t="s">
        <v>24</v>
      </c>
      <c r="J12" t="s">
        <v>1507</v>
      </c>
      <c r="K12" t="s">
        <v>41</v>
      </c>
      <c r="L12" t="s">
        <v>27</v>
      </c>
      <c r="M12" s="3">
        <v>3200</v>
      </c>
      <c r="N12" t="s">
        <v>28</v>
      </c>
      <c r="O12">
        <v>2.64</v>
      </c>
      <c r="P12">
        <v>2.64</v>
      </c>
      <c r="Q12" t="s">
        <v>29</v>
      </c>
      <c r="R12" s="2">
        <v>0.7</v>
      </c>
      <c r="S12">
        <v>1.85</v>
      </c>
      <c r="T12" t="s">
        <v>27</v>
      </c>
      <c r="U12" s="3">
        <v>2363</v>
      </c>
      <c r="V12" s="7" t="s">
        <v>24</v>
      </c>
      <c r="W12" s="7" t="s">
        <v>41</v>
      </c>
    </row>
    <row r="13" spans="1:23" x14ac:dyDescent="0.4">
      <c r="A13" t="s">
        <v>262</v>
      </c>
      <c r="B13" t="s">
        <v>1411</v>
      </c>
      <c r="C13" t="s">
        <v>1499</v>
      </c>
      <c r="D13" t="s">
        <v>21</v>
      </c>
      <c r="E13" t="s">
        <v>22</v>
      </c>
      <c r="F13" t="s">
        <v>23</v>
      </c>
      <c r="G13">
        <v>1</v>
      </c>
      <c r="H13">
        <v>9791188630004</v>
      </c>
      <c r="I13" t="s">
        <v>24</v>
      </c>
      <c r="J13" t="s">
        <v>1508</v>
      </c>
      <c r="K13" t="s">
        <v>41</v>
      </c>
      <c r="L13" t="s">
        <v>27</v>
      </c>
      <c r="M13" s="3">
        <v>3200</v>
      </c>
      <c r="N13" t="s">
        <v>28</v>
      </c>
      <c r="O13">
        <v>2.64</v>
      </c>
      <c r="P13">
        <v>2.64</v>
      </c>
      <c r="Q13" t="s">
        <v>29</v>
      </c>
      <c r="R13" s="2">
        <v>0.7</v>
      </c>
      <c r="S13">
        <v>1.85</v>
      </c>
      <c r="T13" t="s">
        <v>27</v>
      </c>
      <c r="U13" s="3">
        <v>2363</v>
      </c>
      <c r="V13" s="7" t="s">
        <v>24</v>
      </c>
      <c r="W13" s="7" t="s">
        <v>41</v>
      </c>
    </row>
    <row r="14" spans="1:23" x14ac:dyDescent="0.4">
      <c r="A14" t="s">
        <v>262</v>
      </c>
      <c r="B14" t="s">
        <v>1411</v>
      </c>
      <c r="C14" t="s">
        <v>1499</v>
      </c>
      <c r="D14" t="s">
        <v>21</v>
      </c>
      <c r="E14" t="s">
        <v>22</v>
      </c>
      <c r="F14" t="s">
        <v>23</v>
      </c>
      <c r="G14">
        <v>1</v>
      </c>
      <c r="H14">
        <v>9791188630011</v>
      </c>
      <c r="I14" t="s">
        <v>24</v>
      </c>
      <c r="J14" t="s">
        <v>1509</v>
      </c>
      <c r="K14" t="s">
        <v>41</v>
      </c>
      <c r="L14" t="s">
        <v>27</v>
      </c>
      <c r="M14" s="3">
        <v>3200</v>
      </c>
      <c r="N14" t="s">
        <v>28</v>
      </c>
      <c r="O14">
        <v>2.64</v>
      </c>
      <c r="P14">
        <v>2.64</v>
      </c>
      <c r="Q14" t="s">
        <v>29</v>
      </c>
      <c r="R14" s="2">
        <v>0.7</v>
      </c>
      <c r="S14">
        <v>1.85</v>
      </c>
      <c r="T14" t="s">
        <v>27</v>
      </c>
      <c r="U14" s="3">
        <v>2363</v>
      </c>
      <c r="V14" s="7" t="s">
        <v>24</v>
      </c>
      <c r="W14" s="7" t="s">
        <v>41</v>
      </c>
    </row>
    <row r="15" spans="1:23" x14ac:dyDescent="0.4">
      <c r="A15" t="s">
        <v>262</v>
      </c>
      <c r="B15" t="s">
        <v>1411</v>
      </c>
      <c r="C15" t="s">
        <v>1499</v>
      </c>
      <c r="D15" t="s">
        <v>21</v>
      </c>
      <c r="E15" t="s">
        <v>22</v>
      </c>
      <c r="F15" t="s">
        <v>23</v>
      </c>
      <c r="G15">
        <v>1</v>
      </c>
      <c r="H15">
        <v>9791188630028</v>
      </c>
      <c r="I15" t="s">
        <v>24</v>
      </c>
      <c r="J15" t="s">
        <v>1510</v>
      </c>
      <c r="K15" t="s">
        <v>41</v>
      </c>
      <c r="L15" t="s">
        <v>27</v>
      </c>
      <c r="M15" s="3">
        <v>3200</v>
      </c>
      <c r="N15" t="s">
        <v>28</v>
      </c>
      <c r="O15">
        <v>2.64</v>
      </c>
      <c r="P15">
        <v>2.64</v>
      </c>
      <c r="Q15" t="s">
        <v>29</v>
      </c>
      <c r="R15" s="2">
        <v>0.7</v>
      </c>
      <c r="S15">
        <v>1.85</v>
      </c>
      <c r="T15" t="s">
        <v>27</v>
      </c>
      <c r="U15" s="3">
        <v>2363</v>
      </c>
      <c r="V15" s="7" t="s">
        <v>24</v>
      </c>
      <c r="W15" s="7" t="s">
        <v>41</v>
      </c>
    </row>
    <row r="16" spans="1:23" x14ac:dyDescent="0.4">
      <c r="A16" t="s">
        <v>262</v>
      </c>
      <c r="B16" t="s">
        <v>1514</v>
      </c>
      <c r="C16" t="s">
        <v>1535</v>
      </c>
      <c r="D16" t="s">
        <v>64</v>
      </c>
      <c r="E16" t="s">
        <v>22</v>
      </c>
      <c r="F16" t="s">
        <v>23</v>
      </c>
      <c r="G16">
        <v>1</v>
      </c>
      <c r="H16">
        <v>9791188630141</v>
      </c>
      <c r="I16" t="s">
        <v>24</v>
      </c>
      <c r="J16" t="s">
        <v>204</v>
      </c>
      <c r="K16" t="s">
        <v>41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  <c r="V16" s="7" t="s">
        <v>24</v>
      </c>
      <c r="W16" s="7" t="s">
        <v>41</v>
      </c>
    </row>
    <row r="17" spans="1:23" x14ac:dyDescent="0.4">
      <c r="A17" t="s">
        <v>262</v>
      </c>
      <c r="B17" t="s">
        <v>1514</v>
      </c>
      <c r="C17" t="s">
        <v>1560</v>
      </c>
      <c r="D17" t="s">
        <v>64</v>
      </c>
      <c r="E17" t="s">
        <v>22</v>
      </c>
      <c r="F17" t="s">
        <v>23</v>
      </c>
      <c r="G17">
        <v>1</v>
      </c>
      <c r="H17">
        <v>9791188630158</v>
      </c>
      <c r="I17" t="s">
        <v>24</v>
      </c>
      <c r="J17" t="s">
        <v>205</v>
      </c>
      <c r="K17" t="s">
        <v>41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  <c r="V17" s="7" t="s">
        <v>24</v>
      </c>
      <c r="W17" s="7" t="s">
        <v>41</v>
      </c>
    </row>
    <row r="18" spans="1:23" x14ac:dyDescent="0.4">
      <c r="A18" t="s">
        <v>262</v>
      </c>
      <c r="B18" t="s">
        <v>1514</v>
      </c>
      <c r="C18" t="s">
        <v>1578</v>
      </c>
      <c r="D18" t="s">
        <v>64</v>
      </c>
      <c r="E18" t="s">
        <v>22</v>
      </c>
      <c r="F18" t="s">
        <v>23</v>
      </c>
      <c r="G18">
        <v>1</v>
      </c>
      <c r="H18">
        <v>9791188630165</v>
      </c>
      <c r="I18" t="s">
        <v>24</v>
      </c>
      <c r="J18" t="s">
        <v>206</v>
      </c>
      <c r="K18" t="s">
        <v>41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  <c r="V18" s="7" t="s">
        <v>24</v>
      </c>
      <c r="W18" s="7" t="s">
        <v>41</v>
      </c>
    </row>
    <row r="19" spans="1:23" x14ac:dyDescent="0.4">
      <c r="A19" t="s">
        <v>262</v>
      </c>
      <c r="B19" t="s">
        <v>1579</v>
      </c>
      <c r="C19" t="s">
        <v>1593</v>
      </c>
      <c r="D19" t="s">
        <v>64</v>
      </c>
      <c r="E19" t="s">
        <v>22</v>
      </c>
      <c r="F19" t="s">
        <v>23</v>
      </c>
      <c r="G19">
        <v>1</v>
      </c>
      <c r="H19">
        <v>9791188630172</v>
      </c>
      <c r="I19" t="s">
        <v>24</v>
      </c>
      <c r="J19" t="s">
        <v>207</v>
      </c>
      <c r="K19" t="s">
        <v>41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  <c r="V19" s="7" t="s">
        <v>24</v>
      </c>
      <c r="W19" s="7" t="s">
        <v>41</v>
      </c>
    </row>
    <row r="20" spans="1:23" x14ac:dyDescent="0.4">
      <c r="A20" t="s">
        <v>262</v>
      </c>
      <c r="B20" t="s">
        <v>1579</v>
      </c>
      <c r="C20" t="s">
        <v>1628</v>
      </c>
      <c r="D20" t="s">
        <v>64</v>
      </c>
      <c r="E20" t="s">
        <v>22</v>
      </c>
      <c r="F20" t="s">
        <v>23</v>
      </c>
      <c r="G20">
        <v>1</v>
      </c>
      <c r="H20">
        <v>9791188630189</v>
      </c>
      <c r="I20" t="s">
        <v>24</v>
      </c>
      <c r="J20" t="s">
        <v>208</v>
      </c>
      <c r="K20" t="s">
        <v>41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  <c r="V20" s="7" t="s">
        <v>24</v>
      </c>
      <c r="W20" s="7" t="s">
        <v>41</v>
      </c>
    </row>
    <row r="21" spans="1:23" x14ac:dyDescent="0.4">
      <c r="A21" t="s">
        <v>262</v>
      </c>
      <c r="B21" t="s">
        <v>1639</v>
      </c>
      <c r="C21" t="s">
        <v>1642</v>
      </c>
      <c r="D21" t="s">
        <v>64</v>
      </c>
      <c r="E21" t="s">
        <v>22</v>
      </c>
      <c r="F21" t="s">
        <v>23</v>
      </c>
      <c r="G21">
        <v>1</v>
      </c>
      <c r="H21">
        <v>9791188630196</v>
      </c>
      <c r="I21" t="s">
        <v>24</v>
      </c>
      <c r="J21" t="s">
        <v>44</v>
      </c>
      <c r="K21" t="s">
        <v>41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2">
        <v>0.7</v>
      </c>
      <c r="S21">
        <v>441</v>
      </c>
      <c r="T21" t="s">
        <v>27</v>
      </c>
      <c r="U21">
        <v>441</v>
      </c>
      <c r="V21" s="7" t="s">
        <v>24</v>
      </c>
      <c r="W21" s="7" t="s">
        <v>41</v>
      </c>
    </row>
    <row r="22" spans="1:23" x14ac:dyDescent="0.4">
      <c r="A22" t="s">
        <v>262</v>
      </c>
      <c r="B22" t="s">
        <v>1639</v>
      </c>
      <c r="C22" t="s">
        <v>1659</v>
      </c>
      <c r="D22" t="s">
        <v>64</v>
      </c>
      <c r="E22" t="s">
        <v>22</v>
      </c>
      <c r="F22" t="s">
        <v>23</v>
      </c>
      <c r="G22">
        <v>1</v>
      </c>
      <c r="H22">
        <v>9791188630202</v>
      </c>
      <c r="I22" t="s">
        <v>24</v>
      </c>
      <c r="J22" t="s">
        <v>45</v>
      </c>
      <c r="K22" t="s">
        <v>41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  <c r="V22" s="7" t="s">
        <v>24</v>
      </c>
      <c r="W22" s="7" t="s">
        <v>41</v>
      </c>
    </row>
    <row r="23" spans="1:23" x14ac:dyDescent="0.4">
      <c r="A23" t="s">
        <v>262</v>
      </c>
      <c r="B23" t="s">
        <v>1639</v>
      </c>
      <c r="C23" t="s">
        <v>1688</v>
      </c>
      <c r="D23" t="s">
        <v>64</v>
      </c>
      <c r="E23" t="s">
        <v>22</v>
      </c>
      <c r="F23" t="s">
        <v>23</v>
      </c>
      <c r="G23">
        <v>1</v>
      </c>
      <c r="H23">
        <v>9791188630219</v>
      </c>
      <c r="I23" t="s">
        <v>24</v>
      </c>
      <c r="J23" t="s">
        <v>43</v>
      </c>
      <c r="K23" t="s">
        <v>41</v>
      </c>
      <c r="L23" t="s">
        <v>27</v>
      </c>
      <c r="M23">
        <v>630</v>
      </c>
      <c r="N23" t="s">
        <v>27</v>
      </c>
      <c r="O23">
        <v>630</v>
      </c>
      <c r="P23">
        <v>630</v>
      </c>
      <c r="Q23" t="s">
        <v>30</v>
      </c>
      <c r="R23" s="2">
        <v>0.7</v>
      </c>
      <c r="S23">
        <v>441</v>
      </c>
      <c r="T23" t="s">
        <v>27</v>
      </c>
      <c r="U23">
        <v>441</v>
      </c>
      <c r="V23" s="7" t="s">
        <v>24</v>
      </c>
      <c r="W23" s="7" t="s">
        <v>41</v>
      </c>
    </row>
    <row r="24" spans="1:23" x14ac:dyDescent="0.4">
      <c r="A24" t="s">
        <v>262</v>
      </c>
      <c r="B24" t="s">
        <v>1704</v>
      </c>
      <c r="C24" t="s">
        <v>1717</v>
      </c>
      <c r="D24" t="s">
        <v>64</v>
      </c>
      <c r="E24" t="s">
        <v>22</v>
      </c>
      <c r="F24" t="s">
        <v>23</v>
      </c>
      <c r="G24">
        <v>1</v>
      </c>
      <c r="H24">
        <v>9791188630226</v>
      </c>
      <c r="I24" t="s">
        <v>24</v>
      </c>
      <c r="J24" t="s">
        <v>197</v>
      </c>
      <c r="K24" t="s">
        <v>41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2">
        <v>0.7</v>
      </c>
      <c r="S24">
        <v>441</v>
      </c>
      <c r="T24" t="s">
        <v>27</v>
      </c>
      <c r="U24">
        <v>441</v>
      </c>
      <c r="V24" s="7" t="s">
        <v>24</v>
      </c>
      <c r="W24" s="7" t="s">
        <v>41</v>
      </c>
    </row>
    <row r="25" spans="1:23" x14ac:dyDescent="0.4">
      <c r="A25" t="s">
        <v>262</v>
      </c>
      <c r="B25" t="s">
        <v>1704</v>
      </c>
      <c r="C25" t="s">
        <v>1719</v>
      </c>
      <c r="D25" t="s">
        <v>64</v>
      </c>
      <c r="E25" t="s">
        <v>22</v>
      </c>
      <c r="F25" t="s">
        <v>23</v>
      </c>
      <c r="G25">
        <v>1</v>
      </c>
      <c r="H25">
        <v>9791188630110</v>
      </c>
      <c r="I25" t="s">
        <v>24</v>
      </c>
      <c r="J25" t="s">
        <v>40</v>
      </c>
      <c r="K25" t="s">
        <v>41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  <c r="V25" s="7" t="s">
        <v>24</v>
      </c>
      <c r="W25" s="7" t="s">
        <v>41</v>
      </c>
    </row>
    <row r="26" spans="1:23" x14ac:dyDescent="0.4">
      <c r="A26" t="s">
        <v>262</v>
      </c>
      <c r="B26" t="s">
        <v>1704</v>
      </c>
      <c r="C26" t="s">
        <v>1727</v>
      </c>
      <c r="D26" t="s">
        <v>64</v>
      </c>
      <c r="E26" t="s">
        <v>22</v>
      </c>
      <c r="F26" t="s">
        <v>23</v>
      </c>
      <c r="G26">
        <v>1</v>
      </c>
      <c r="H26">
        <v>9791188630233</v>
      </c>
      <c r="I26" t="s">
        <v>24</v>
      </c>
      <c r="J26" t="s">
        <v>198</v>
      </c>
      <c r="K26" t="s">
        <v>41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  <c r="V26" s="7" t="s">
        <v>24</v>
      </c>
      <c r="W26" s="7" t="s">
        <v>41</v>
      </c>
    </row>
    <row r="27" spans="1:23" x14ac:dyDescent="0.4">
      <c r="A27" t="s">
        <v>262</v>
      </c>
      <c r="B27" t="s">
        <v>1704</v>
      </c>
      <c r="C27" t="s">
        <v>1749</v>
      </c>
      <c r="D27" t="s">
        <v>64</v>
      </c>
      <c r="E27" t="s">
        <v>22</v>
      </c>
      <c r="F27" t="s">
        <v>23</v>
      </c>
      <c r="G27">
        <v>1</v>
      </c>
      <c r="H27">
        <v>9791188630127</v>
      </c>
      <c r="I27" t="s">
        <v>24</v>
      </c>
      <c r="J27" t="s">
        <v>42</v>
      </c>
      <c r="K27" t="s">
        <v>41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  <c r="V27" s="7" t="s">
        <v>24</v>
      </c>
      <c r="W27" s="7" t="s">
        <v>41</v>
      </c>
    </row>
    <row r="28" spans="1:23" x14ac:dyDescent="0.4">
      <c r="A28" t="s">
        <v>262</v>
      </c>
      <c r="B28" t="s">
        <v>1704</v>
      </c>
      <c r="C28" t="s">
        <v>1762</v>
      </c>
      <c r="D28" t="s">
        <v>64</v>
      </c>
      <c r="E28" t="s">
        <v>22</v>
      </c>
      <c r="F28" t="s">
        <v>23</v>
      </c>
      <c r="G28">
        <v>1</v>
      </c>
      <c r="H28">
        <v>9791188630240</v>
      </c>
      <c r="I28" t="s">
        <v>24</v>
      </c>
      <c r="J28" t="s">
        <v>195</v>
      </c>
      <c r="K28" t="s">
        <v>41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  <c r="V28" s="7" t="s">
        <v>24</v>
      </c>
      <c r="W28" s="7" t="s">
        <v>41</v>
      </c>
    </row>
    <row r="29" spans="1:23" x14ac:dyDescent="0.4">
      <c r="A29" t="s">
        <v>262</v>
      </c>
      <c r="B29" t="s">
        <v>1766</v>
      </c>
      <c r="C29" t="s">
        <v>1770</v>
      </c>
      <c r="D29" t="s">
        <v>64</v>
      </c>
      <c r="E29" t="s">
        <v>22</v>
      </c>
      <c r="F29" t="s">
        <v>23</v>
      </c>
      <c r="G29">
        <v>1</v>
      </c>
      <c r="H29">
        <v>9791188630134</v>
      </c>
      <c r="I29" t="s">
        <v>24</v>
      </c>
      <c r="J29" t="s">
        <v>203</v>
      </c>
      <c r="K29" t="s">
        <v>41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  <c r="V29" s="7" t="s">
        <v>24</v>
      </c>
      <c r="W29" s="7" t="s">
        <v>41</v>
      </c>
    </row>
    <row r="30" spans="1:23" x14ac:dyDescent="0.4">
      <c r="A30" t="s">
        <v>262</v>
      </c>
      <c r="B30" t="s">
        <v>1766</v>
      </c>
      <c r="C30" t="s">
        <v>1789</v>
      </c>
      <c r="D30" t="s">
        <v>64</v>
      </c>
      <c r="E30" t="s">
        <v>22</v>
      </c>
      <c r="F30" t="s">
        <v>23</v>
      </c>
      <c r="G30">
        <v>1</v>
      </c>
      <c r="H30">
        <v>9791188630141</v>
      </c>
      <c r="I30" t="s">
        <v>24</v>
      </c>
      <c r="J30" t="s">
        <v>204</v>
      </c>
      <c r="K30" t="s">
        <v>41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  <c r="V30" s="7" t="s">
        <v>24</v>
      </c>
      <c r="W30" s="7" t="s">
        <v>41</v>
      </c>
    </row>
    <row r="31" spans="1:23" x14ac:dyDescent="0.4">
      <c r="A31" t="s">
        <v>262</v>
      </c>
      <c r="B31" t="s">
        <v>1766</v>
      </c>
      <c r="C31" t="s">
        <v>1831</v>
      </c>
      <c r="D31" t="s">
        <v>64</v>
      </c>
      <c r="E31" t="s">
        <v>22</v>
      </c>
      <c r="F31" t="s">
        <v>23</v>
      </c>
      <c r="G31">
        <v>1</v>
      </c>
      <c r="H31">
        <v>9791188630158</v>
      </c>
      <c r="I31" t="s">
        <v>24</v>
      </c>
      <c r="J31" t="s">
        <v>205</v>
      </c>
      <c r="K31" t="s">
        <v>41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  <c r="V31" s="7" t="s">
        <v>24</v>
      </c>
      <c r="W31" s="7" t="s">
        <v>41</v>
      </c>
    </row>
    <row r="32" spans="1:23" x14ac:dyDescent="0.4">
      <c r="A32" t="s">
        <v>262</v>
      </c>
      <c r="B32" t="s">
        <v>1840</v>
      </c>
      <c r="C32" t="s">
        <v>1853</v>
      </c>
      <c r="D32" t="s">
        <v>64</v>
      </c>
      <c r="E32" t="s">
        <v>22</v>
      </c>
      <c r="F32" t="s">
        <v>23</v>
      </c>
      <c r="G32">
        <v>1</v>
      </c>
      <c r="H32">
        <v>9791188630110</v>
      </c>
      <c r="I32" t="s">
        <v>24</v>
      </c>
      <c r="J32" t="s">
        <v>40</v>
      </c>
      <c r="K32" t="s">
        <v>41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  <c r="V32" s="7" t="s">
        <v>24</v>
      </c>
      <c r="W32" s="7" t="s">
        <v>41</v>
      </c>
    </row>
    <row r="33" spans="1:23" x14ac:dyDescent="0.4">
      <c r="A33" t="s">
        <v>262</v>
      </c>
      <c r="B33" t="s">
        <v>1840</v>
      </c>
      <c r="C33" t="s">
        <v>1869</v>
      </c>
      <c r="D33" t="s">
        <v>64</v>
      </c>
      <c r="E33" t="s">
        <v>22</v>
      </c>
      <c r="F33" t="s">
        <v>23</v>
      </c>
      <c r="G33">
        <v>1</v>
      </c>
      <c r="H33">
        <v>9791188630165</v>
      </c>
      <c r="I33" t="s">
        <v>24</v>
      </c>
      <c r="J33" t="s">
        <v>206</v>
      </c>
      <c r="K33" t="s">
        <v>41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  <c r="V33" s="7" t="s">
        <v>24</v>
      </c>
      <c r="W33" s="7" t="s">
        <v>41</v>
      </c>
    </row>
    <row r="34" spans="1:23" x14ac:dyDescent="0.4">
      <c r="A34" t="s">
        <v>262</v>
      </c>
      <c r="B34" t="s">
        <v>1840</v>
      </c>
      <c r="C34" t="s">
        <v>1878</v>
      </c>
      <c r="D34" t="s">
        <v>64</v>
      </c>
      <c r="E34" t="s">
        <v>22</v>
      </c>
      <c r="F34" t="s">
        <v>23</v>
      </c>
      <c r="G34">
        <v>1</v>
      </c>
      <c r="H34">
        <v>9791188630127</v>
      </c>
      <c r="I34" t="s">
        <v>24</v>
      </c>
      <c r="J34" t="s">
        <v>42</v>
      </c>
      <c r="K34" t="s">
        <v>41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  <c r="V34" s="7" t="s">
        <v>24</v>
      </c>
      <c r="W34" s="7" t="s">
        <v>41</v>
      </c>
    </row>
    <row r="35" spans="1:23" x14ac:dyDescent="0.4">
      <c r="A35" t="s">
        <v>262</v>
      </c>
      <c r="B35" t="s">
        <v>1840</v>
      </c>
      <c r="C35" t="s">
        <v>1889</v>
      </c>
      <c r="D35" t="s">
        <v>64</v>
      </c>
      <c r="E35" t="s">
        <v>22</v>
      </c>
      <c r="F35" t="s">
        <v>23</v>
      </c>
      <c r="G35">
        <v>1</v>
      </c>
      <c r="H35">
        <v>9791188630172</v>
      </c>
      <c r="I35" t="s">
        <v>24</v>
      </c>
      <c r="J35" t="s">
        <v>207</v>
      </c>
      <c r="K35" t="s">
        <v>41</v>
      </c>
      <c r="L35" t="s">
        <v>27</v>
      </c>
      <c r="M35">
        <v>630</v>
      </c>
      <c r="N35" t="s">
        <v>27</v>
      </c>
      <c r="O35">
        <v>630</v>
      </c>
      <c r="P35">
        <v>630</v>
      </c>
      <c r="Q35" t="s">
        <v>30</v>
      </c>
      <c r="R35" s="2">
        <v>0.7</v>
      </c>
      <c r="S35">
        <v>441</v>
      </c>
      <c r="T35" t="s">
        <v>27</v>
      </c>
      <c r="U35">
        <v>441</v>
      </c>
      <c r="V35" s="7" t="s">
        <v>24</v>
      </c>
      <c r="W35" s="7" t="s">
        <v>41</v>
      </c>
    </row>
    <row r="36" spans="1:23" x14ac:dyDescent="0.4">
      <c r="A36" t="s">
        <v>262</v>
      </c>
      <c r="B36" t="s">
        <v>1840</v>
      </c>
      <c r="C36" t="s">
        <v>1895</v>
      </c>
      <c r="D36" t="s">
        <v>64</v>
      </c>
      <c r="E36" t="s">
        <v>22</v>
      </c>
      <c r="F36" t="s">
        <v>23</v>
      </c>
      <c r="G36">
        <v>1</v>
      </c>
      <c r="H36">
        <v>9791188630134</v>
      </c>
      <c r="I36" t="s">
        <v>24</v>
      </c>
      <c r="J36" t="s">
        <v>203</v>
      </c>
      <c r="K36" t="s">
        <v>41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  <c r="V36" s="7" t="s">
        <v>24</v>
      </c>
      <c r="W36" s="7" t="s">
        <v>41</v>
      </c>
    </row>
    <row r="37" spans="1:23" x14ac:dyDescent="0.4">
      <c r="A37" t="s">
        <v>262</v>
      </c>
      <c r="B37" t="s">
        <v>1898</v>
      </c>
      <c r="C37" t="s">
        <v>1915</v>
      </c>
      <c r="D37" t="s">
        <v>64</v>
      </c>
      <c r="E37" t="s">
        <v>22</v>
      </c>
      <c r="F37" t="s">
        <v>23</v>
      </c>
      <c r="G37">
        <v>1</v>
      </c>
      <c r="H37">
        <v>9791188630189</v>
      </c>
      <c r="I37" t="s">
        <v>24</v>
      </c>
      <c r="J37" t="s">
        <v>208</v>
      </c>
      <c r="K37" t="s">
        <v>41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  <c r="V37" s="7" t="s">
        <v>24</v>
      </c>
      <c r="W37" s="7" t="s">
        <v>41</v>
      </c>
    </row>
    <row r="38" spans="1:23" x14ac:dyDescent="0.4">
      <c r="A38" t="s">
        <v>262</v>
      </c>
      <c r="B38" t="s">
        <v>1898</v>
      </c>
      <c r="C38" t="s">
        <v>1934</v>
      </c>
      <c r="D38" t="s">
        <v>64</v>
      </c>
      <c r="E38" t="s">
        <v>22</v>
      </c>
      <c r="F38" t="s">
        <v>23</v>
      </c>
      <c r="G38">
        <v>1</v>
      </c>
      <c r="H38">
        <v>9791188630141</v>
      </c>
      <c r="I38" t="s">
        <v>24</v>
      </c>
      <c r="J38" t="s">
        <v>204</v>
      </c>
      <c r="K38" t="s">
        <v>41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  <c r="V38" s="7" t="s">
        <v>24</v>
      </c>
      <c r="W38" s="7" t="s">
        <v>41</v>
      </c>
    </row>
    <row r="39" spans="1:23" x14ac:dyDescent="0.4">
      <c r="A39" t="s">
        <v>262</v>
      </c>
      <c r="B39" t="s">
        <v>1898</v>
      </c>
      <c r="C39" t="s">
        <v>1951</v>
      </c>
      <c r="D39" t="s">
        <v>64</v>
      </c>
      <c r="E39" t="s">
        <v>22</v>
      </c>
      <c r="F39" t="s">
        <v>23</v>
      </c>
      <c r="G39">
        <v>1</v>
      </c>
      <c r="H39">
        <v>9791188630196</v>
      </c>
      <c r="I39" t="s">
        <v>24</v>
      </c>
      <c r="J39" t="s">
        <v>44</v>
      </c>
      <c r="K39" t="s">
        <v>41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  <c r="V39" s="7" t="s">
        <v>24</v>
      </c>
      <c r="W39" s="7" t="s">
        <v>41</v>
      </c>
    </row>
    <row r="40" spans="1:23" x14ac:dyDescent="0.4">
      <c r="A40" t="s">
        <v>262</v>
      </c>
      <c r="B40" t="s">
        <v>2017</v>
      </c>
      <c r="C40" t="s">
        <v>2028</v>
      </c>
      <c r="D40" t="s">
        <v>64</v>
      </c>
      <c r="E40" t="s">
        <v>22</v>
      </c>
      <c r="F40" t="s">
        <v>23</v>
      </c>
      <c r="G40">
        <v>1</v>
      </c>
      <c r="H40">
        <v>9791188630202</v>
      </c>
      <c r="I40" t="s">
        <v>24</v>
      </c>
      <c r="J40" t="s">
        <v>45</v>
      </c>
      <c r="K40" t="s">
        <v>41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  <c r="V40" s="7" t="s">
        <v>24</v>
      </c>
      <c r="W40" s="7" t="s">
        <v>41</v>
      </c>
    </row>
    <row r="41" spans="1:23" x14ac:dyDescent="0.4">
      <c r="A41" t="s">
        <v>262</v>
      </c>
      <c r="B41" t="s">
        <v>2017</v>
      </c>
      <c r="C41" t="s">
        <v>2050</v>
      </c>
      <c r="D41" t="s">
        <v>64</v>
      </c>
      <c r="E41" t="s">
        <v>22</v>
      </c>
      <c r="F41" t="s">
        <v>23</v>
      </c>
      <c r="G41">
        <v>1</v>
      </c>
      <c r="H41">
        <v>9791188630219</v>
      </c>
      <c r="I41" t="s">
        <v>24</v>
      </c>
      <c r="J41" t="s">
        <v>43</v>
      </c>
      <c r="K41" t="s">
        <v>41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  <c r="V41" s="7" t="s">
        <v>24</v>
      </c>
      <c r="W41" s="7" t="s">
        <v>41</v>
      </c>
    </row>
    <row r="42" spans="1:23" x14ac:dyDescent="0.4">
      <c r="A42" t="s">
        <v>262</v>
      </c>
      <c r="B42" t="s">
        <v>2075</v>
      </c>
      <c r="C42" t="s">
        <v>2080</v>
      </c>
      <c r="D42" t="s">
        <v>64</v>
      </c>
      <c r="E42" t="s">
        <v>22</v>
      </c>
      <c r="F42" t="s">
        <v>23</v>
      </c>
      <c r="G42">
        <v>1</v>
      </c>
      <c r="H42">
        <v>9791188630226</v>
      </c>
      <c r="I42" t="s">
        <v>24</v>
      </c>
      <c r="J42" t="s">
        <v>197</v>
      </c>
      <c r="K42" t="s">
        <v>41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  <c r="V42" s="7" t="s">
        <v>24</v>
      </c>
      <c r="W42" s="7" t="s">
        <v>41</v>
      </c>
    </row>
    <row r="43" spans="1:23" x14ac:dyDescent="0.4">
      <c r="A43" t="s">
        <v>262</v>
      </c>
      <c r="B43" t="s">
        <v>2159</v>
      </c>
      <c r="C43" t="s">
        <v>2181</v>
      </c>
      <c r="D43" t="s">
        <v>64</v>
      </c>
      <c r="E43" t="s">
        <v>22</v>
      </c>
      <c r="F43" t="s">
        <v>23</v>
      </c>
      <c r="G43">
        <v>1</v>
      </c>
      <c r="H43">
        <v>9791188630233</v>
      </c>
      <c r="I43" t="s">
        <v>24</v>
      </c>
      <c r="J43" t="s">
        <v>198</v>
      </c>
      <c r="K43" t="s">
        <v>41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  <c r="V43" s="7" t="s">
        <v>24</v>
      </c>
      <c r="W43" s="7" t="s">
        <v>41</v>
      </c>
    </row>
    <row r="44" spans="1:23" x14ac:dyDescent="0.4">
      <c r="A44" t="s">
        <v>262</v>
      </c>
      <c r="B44" t="s">
        <v>2236</v>
      </c>
      <c r="C44" t="s">
        <v>2254</v>
      </c>
      <c r="D44" t="s">
        <v>64</v>
      </c>
      <c r="E44" t="s">
        <v>22</v>
      </c>
      <c r="F44" t="s">
        <v>23</v>
      </c>
      <c r="G44">
        <v>1</v>
      </c>
      <c r="H44">
        <v>9791188630240</v>
      </c>
      <c r="I44" t="s">
        <v>24</v>
      </c>
      <c r="J44" t="s">
        <v>195</v>
      </c>
      <c r="K44" t="s">
        <v>41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  <c r="V44" s="7" t="s">
        <v>24</v>
      </c>
      <c r="W44" s="7" t="s">
        <v>41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W6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2.1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1411</v>
      </c>
      <c r="C2" t="s">
        <v>1475</v>
      </c>
      <c r="D2" t="s">
        <v>21</v>
      </c>
      <c r="E2" t="s">
        <v>22</v>
      </c>
      <c r="F2" t="s">
        <v>23</v>
      </c>
      <c r="G2">
        <v>1</v>
      </c>
      <c r="H2">
        <v>9791189627508</v>
      </c>
      <c r="I2" t="s">
        <v>143</v>
      </c>
      <c r="J2" t="s">
        <v>1476</v>
      </c>
      <c r="K2" t="s">
        <v>1477</v>
      </c>
      <c r="L2" t="s">
        <v>27</v>
      </c>
      <c r="M2" s="3">
        <v>3500</v>
      </c>
      <c r="N2" t="s">
        <v>27</v>
      </c>
      <c r="O2" s="3">
        <v>3500</v>
      </c>
      <c r="P2" s="3">
        <v>3500</v>
      </c>
      <c r="Q2" t="s">
        <v>30</v>
      </c>
      <c r="R2" s="2">
        <v>0.7</v>
      </c>
      <c r="S2" s="3">
        <v>2450</v>
      </c>
      <c r="T2" t="s">
        <v>27</v>
      </c>
      <c r="U2" s="3">
        <v>2450</v>
      </c>
      <c r="V2" s="7" t="s">
        <v>24</v>
      </c>
      <c r="W2" s="7" t="s">
        <v>1477</v>
      </c>
    </row>
    <row r="3" spans="1:23" x14ac:dyDescent="0.4">
      <c r="A3" t="s">
        <v>262</v>
      </c>
      <c r="B3" t="s">
        <v>1411</v>
      </c>
      <c r="C3" t="s">
        <v>1478</v>
      </c>
      <c r="D3" t="s">
        <v>21</v>
      </c>
      <c r="E3" t="s">
        <v>22</v>
      </c>
      <c r="F3" t="s">
        <v>23</v>
      </c>
      <c r="G3">
        <v>1</v>
      </c>
      <c r="H3">
        <v>9791189627515</v>
      </c>
      <c r="I3" t="s">
        <v>143</v>
      </c>
      <c r="J3" t="s">
        <v>1479</v>
      </c>
      <c r="K3" t="s">
        <v>1477</v>
      </c>
      <c r="L3" t="s">
        <v>27</v>
      </c>
      <c r="M3" s="3">
        <v>3500</v>
      </c>
      <c r="N3" t="s">
        <v>27</v>
      </c>
      <c r="O3" s="3">
        <v>3500</v>
      </c>
      <c r="P3" s="3">
        <v>3500</v>
      </c>
      <c r="Q3" t="s">
        <v>30</v>
      </c>
      <c r="R3" s="2">
        <v>0.7</v>
      </c>
      <c r="S3" s="3">
        <v>2450</v>
      </c>
      <c r="T3" t="s">
        <v>27</v>
      </c>
      <c r="U3" s="3">
        <v>2450</v>
      </c>
      <c r="V3" s="7" t="s">
        <v>24</v>
      </c>
      <c r="W3" s="7" t="s">
        <v>1477</v>
      </c>
    </row>
    <row r="4" spans="1:23" x14ac:dyDescent="0.4">
      <c r="A4" t="s">
        <v>262</v>
      </c>
      <c r="B4" t="s">
        <v>1411</v>
      </c>
      <c r="C4" t="s">
        <v>1480</v>
      </c>
      <c r="D4" t="s">
        <v>21</v>
      </c>
      <c r="E4" t="s">
        <v>22</v>
      </c>
      <c r="F4" t="s">
        <v>23</v>
      </c>
      <c r="G4">
        <v>1</v>
      </c>
      <c r="H4">
        <v>9791189627522</v>
      </c>
      <c r="I4" t="s">
        <v>143</v>
      </c>
      <c r="J4" t="s">
        <v>1481</v>
      </c>
      <c r="K4" t="s">
        <v>1477</v>
      </c>
      <c r="L4" t="s">
        <v>27</v>
      </c>
      <c r="M4" s="3">
        <v>3500</v>
      </c>
      <c r="N4" t="s">
        <v>27</v>
      </c>
      <c r="O4" s="3">
        <v>3500</v>
      </c>
      <c r="P4" s="3">
        <v>3500</v>
      </c>
      <c r="Q4" t="s">
        <v>30</v>
      </c>
      <c r="R4" s="2">
        <v>0.7</v>
      </c>
      <c r="S4" s="3">
        <v>2450</v>
      </c>
      <c r="T4" t="s">
        <v>27</v>
      </c>
      <c r="U4" s="3">
        <v>2450</v>
      </c>
      <c r="V4" s="7" t="s">
        <v>24</v>
      </c>
      <c r="W4" s="7" t="s">
        <v>1477</v>
      </c>
    </row>
    <row r="5" spans="1:23" x14ac:dyDescent="0.4">
      <c r="A5" t="s">
        <v>262</v>
      </c>
      <c r="B5" t="s">
        <v>1411</v>
      </c>
      <c r="C5" t="s">
        <v>1482</v>
      </c>
      <c r="D5" t="s">
        <v>21</v>
      </c>
      <c r="E5" t="s">
        <v>22</v>
      </c>
      <c r="F5" t="s">
        <v>23</v>
      </c>
      <c r="G5">
        <v>1</v>
      </c>
      <c r="H5">
        <v>9791189627539</v>
      </c>
      <c r="I5" t="s">
        <v>143</v>
      </c>
      <c r="J5" t="s">
        <v>1483</v>
      </c>
      <c r="K5" t="s">
        <v>1477</v>
      </c>
      <c r="L5" t="s">
        <v>27</v>
      </c>
      <c r="M5" s="3">
        <v>3500</v>
      </c>
      <c r="N5" t="s">
        <v>27</v>
      </c>
      <c r="O5" s="3">
        <v>3500</v>
      </c>
      <c r="P5" s="3">
        <v>3500</v>
      </c>
      <c r="Q5" t="s">
        <v>30</v>
      </c>
      <c r="R5" s="2">
        <v>0.7</v>
      </c>
      <c r="S5" s="3">
        <v>2450</v>
      </c>
      <c r="T5" t="s">
        <v>27</v>
      </c>
      <c r="U5" s="3">
        <v>2450</v>
      </c>
      <c r="V5" s="7" t="s">
        <v>24</v>
      </c>
      <c r="W5" s="7" t="s">
        <v>1477</v>
      </c>
    </row>
    <row r="6" spans="1:23" x14ac:dyDescent="0.4">
      <c r="A6" t="s">
        <v>262</v>
      </c>
      <c r="B6" t="s">
        <v>1411</v>
      </c>
      <c r="C6" t="s">
        <v>1484</v>
      </c>
      <c r="D6" t="s">
        <v>21</v>
      </c>
      <c r="E6" t="s">
        <v>22</v>
      </c>
      <c r="F6" t="s">
        <v>23</v>
      </c>
      <c r="G6">
        <v>1</v>
      </c>
      <c r="H6">
        <v>9791189627546</v>
      </c>
      <c r="I6" t="s">
        <v>143</v>
      </c>
      <c r="J6" t="s">
        <v>1485</v>
      </c>
      <c r="K6" t="s">
        <v>1477</v>
      </c>
      <c r="L6" t="s">
        <v>27</v>
      </c>
      <c r="M6" s="3">
        <v>2400</v>
      </c>
      <c r="N6" t="s">
        <v>27</v>
      </c>
      <c r="O6" s="3">
        <v>2400</v>
      </c>
      <c r="P6" s="3">
        <v>2400</v>
      </c>
      <c r="Q6" t="s">
        <v>30</v>
      </c>
      <c r="R6" s="2">
        <v>0.7</v>
      </c>
      <c r="S6" s="3">
        <v>1680</v>
      </c>
      <c r="T6" t="s">
        <v>27</v>
      </c>
      <c r="U6" s="3">
        <v>1680</v>
      </c>
      <c r="V6" s="7" t="s">
        <v>24</v>
      </c>
      <c r="W6" s="7" t="s">
        <v>1477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3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1.296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1579</v>
      </c>
      <c r="C2" t="s">
        <v>1585</v>
      </c>
      <c r="D2" t="s">
        <v>21</v>
      </c>
      <c r="E2" t="s">
        <v>22</v>
      </c>
      <c r="F2" t="s">
        <v>23</v>
      </c>
      <c r="G2">
        <v>1</v>
      </c>
      <c r="H2">
        <v>9791190937153</v>
      </c>
      <c r="I2" t="s">
        <v>24</v>
      </c>
      <c r="J2" t="s">
        <v>240</v>
      </c>
      <c r="K2" t="s">
        <v>241</v>
      </c>
      <c r="L2" t="s">
        <v>27</v>
      </c>
      <c r="M2" s="3">
        <v>3200</v>
      </c>
      <c r="N2" t="s">
        <v>27</v>
      </c>
      <c r="O2" s="3">
        <v>3200</v>
      </c>
      <c r="P2" s="3">
        <v>3200</v>
      </c>
      <c r="Q2" t="s">
        <v>30</v>
      </c>
      <c r="R2" s="2">
        <v>0.7</v>
      </c>
      <c r="S2" s="3">
        <v>2240</v>
      </c>
      <c r="T2" t="s">
        <v>27</v>
      </c>
      <c r="U2" s="3">
        <v>2240</v>
      </c>
      <c r="V2" s="7" t="s">
        <v>24</v>
      </c>
      <c r="W2" s="7" t="s">
        <v>241</v>
      </c>
    </row>
    <row r="3" spans="1:23" x14ac:dyDescent="0.4">
      <c r="A3" t="s">
        <v>262</v>
      </c>
      <c r="B3" t="s">
        <v>1579</v>
      </c>
      <c r="C3" t="s">
        <v>1585</v>
      </c>
      <c r="D3" t="s">
        <v>21</v>
      </c>
      <c r="E3" t="s">
        <v>22</v>
      </c>
      <c r="F3" t="s">
        <v>23</v>
      </c>
      <c r="G3">
        <v>1</v>
      </c>
      <c r="H3">
        <v>9791190937160</v>
      </c>
      <c r="I3" t="s">
        <v>24</v>
      </c>
      <c r="J3" t="s">
        <v>242</v>
      </c>
      <c r="K3" t="s">
        <v>241</v>
      </c>
      <c r="L3" t="s">
        <v>27</v>
      </c>
      <c r="M3" s="3">
        <v>3200</v>
      </c>
      <c r="N3" t="s">
        <v>27</v>
      </c>
      <c r="O3" s="3">
        <v>3200</v>
      </c>
      <c r="P3" s="3">
        <v>3200</v>
      </c>
      <c r="Q3" t="s">
        <v>30</v>
      </c>
      <c r="R3" s="2">
        <v>0.7</v>
      </c>
      <c r="S3" s="3">
        <v>2240</v>
      </c>
      <c r="T3" t="s">
        <v>27</v>
      </c>
      <c r="U3" s="3">
        <v>2240</v>
      </c>
      <c r="V3" s="7" t="s">
        <v>24</v>
      </c>
      <c r="W3" s="7" t="s">
        <v>241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W5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3.6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1639</v>
      </c>
      <c r="C2" t="s">
        <v>1683</v>
      </c>
      <c r="D2" t="s">
        <v>21</v>
      </c>
      <c r="E2" t="s">
        <v>22</v>
      </c>
      <c r="F2" t="s">
        <v>23</v>
      </c>
      <c r="G2">
        <v>1</v>
      </c>
      <c r="H2">
        <v>9791137603400</v>
      </c>
      <c r="I2" t="s">
        <v>143</v>
      </c>
      <c r="J2" t="s">
        <v>1684</v>
      </c>
      <c r="K2" t="s">
        <v>1685</v>
      </c>
      <c r="L2" t="s">
        <v>27</v>
      </c>
      <c r="M2" s="3">
        <v>3500</v>
      </c>
      <c r="N2" t="s">
        <v>223</v>
      </c>
      <c r="O2">
        <v>321.86</v>
      </c>
      <c r="P2">
        <v>321.86</v>
      </c>
      <c r="Q2" t="s">
        <v>224</v>
      </c>
      <c r="R2" s="2">
        <v>0.7</v>
      </c>
      <c r="S2">
        <v>225.3</v>
      </c>
      <c r="T2" t="s">
        <v>27</v>
      </c>
      <c r="U2" s="3">
        <v>2432</v>
      </c>
      <c r="V2" s="7" t="s">
        <v>24</v>
      </c>
      <c r="W2" s="7" t="s">
        <v>1685</v>
      </c>
    </row>
    <row r="3" spans="1:23" x14ac:dyDescent="0.4">
      <c r="A3" t="s">
        <v>262</v>
      </c>
      <c r="B3" t="s">
        <v>2075</v>
      </c>
      <c r="C3" t="s">
        <v>2119</v>
      </c>
      <c r="D3" t="s">
        <v>21</v>
      </c>
      <c r="E3" t="s">
        <v>22</v>
      </c>
      <c r="F3" t="s">
        <v>23</v>
      </c>
      <c r="G3">
        <v>1</v>
      </c>
      <c r="H3">
        <v>9791137603400</v>
      </c>
      <c r="I3" t="s">
        <v>143</v>
      </c>
      <c r="J3" t="s">
        <v>1684</v>
      </c>
      <c r="K3" t="s">
        <v>1685</v>
      </c>
      <c r="L3" t="s">
        <v>27</v>
      </c>
      <c r="M3" s="3">
        <v>3500</v>
      </c>
      <c r="N3" t="s">
        <v>28</v>
      </c>
      <c r="O3">
        <v>2.88</v>
      </c>
      <c r="P3">
        <v>2.88</v>
      </c>
      <c r="Q3" t="s">
        <v>29</v>
      </c>
      <c r="R3" s="2">
        <v>0.7</v>
      </c>
      <c r="S3">
        <v>2.02</v>
      </c>
      <c r="T3" t="s">
        <v>27</v>
      </c>
      <c r="U3" s="3">
        <v>2561</v>
      </c>
      <c r="V3" s="7" t="s">
        <v>24</v>
      </c>
      <c r="W3" s="7" t="s">
        <v>1685</v>
      </c>
    </row>
    <row r="4" spans="1:23" x14ac:dyDescent="0.4">
      <c r="A4" t="s">
        <v>262</v>
      </c>
      <c r="B4" t="s">
        <v>2075</v>
      </c>
      <c r="C4" t="s">
        <v>2124</v>
      </c>
      <c r="D4" t="s">
        <v>21</v>
      </c>
      <c r="E4" t="s">
        <v>22</v>
      </c>
      <c r="F4" t="s">
        <v>23</v>
      </c>
      <c r="G4">
        <v>1</v>
      </c>
      <c r="H4">
        <v>9791137603417</v>
      </c>
      <c r="I4" t="s">
        <v>143</v>
      </c>
      <c r="J4" t="s">
        <v>2125</v>
      </c>
      <c r="K4" t="s">
        <v>1685</v>
      </c>
      <c r="L4" t="s">
        <v>27</v>
      </c>
      <c r="M4" s="3">
        <v>3500</v>
      </c>
      <c r="N4" t="s">
        <v>28</v>
      </c>
      <c r="O4">
        <v>2.88</v>
      </c>
      <c r="P4">
        <v>2.88</v>
      </c>
      <c r="Q4" t="s">
        <v>29</v>
      </c>
      <c r="R4" s="2">
        <v>0.7</v>
      </c>
      <c r="S4">
        <v>2.02</v>
      </c>
      <c r="T4" t="s">
        <v>27</v>
      </c>
      <c r="U4" s="3">
        <v>2561</v>
      </c>
      <c r="V4" s="7" t="s">
        <v>24</v>
      </c>
      <c r="W4" s="7" t="s">
        <v>1685</v>
      </c>
    </row>
    <row r="5" spans="1:23" x14ac:dyDescent="0.4">
      <c r="A5" t="s">
        <v>262</v>
      </c>
      <c r="B5" t="s">
        <v>2075</v>
      </c>
      <c r="C5" t="s">
        <v>2138</v>
      </c>
      <c r="D5" t="s">
        <v>21</v>
      </c>
      <c r="E5" t="s">
        <v>22</v>
      </c>
      <c r="F5" t="s">
        <v>23</v>
      </c>
      <c r="G5">
        <v>1</v>
      </c>
      <c r="H5">
        <v>9791137603424</v>
      </c>
      <c r="I5" t="s">
        <v>143</v>
      </c>
      <c r="J5" t="s">
        <v>2139</v>
      </c>
      <c r="K5" t="s">
        <v>1685</v>
      </c>
      <c r="L5" t="s">
        <v>27</v>
      </c>
      <c r="M5" s="3">
        <v>3500</v>
      </c>
      <c r="N5" t="s">
        <v>28</v>
      </c>
      <c r="O5">
        <v>2.88</v>
      </c>
      <c r="P5">
        <v>2.88</v>
      </c>
      <c r="Q5" t="s">
        <v>29</v>
      </c>
      <c r="R5" s="2">
        <v>0.7</v>
      </c>
      <c r="S5">
        <v>2.02</v>
      </c>
      <c r="T5" t="s">
        <v>27</v>
      </c>
      <c r="U5" s="3">
        <v>2546</v>
      </c>
      <c r="V5" s="7" t="s">
        <v>24</v>
      </c>
      <c r="W5" s="7" t="s">
        <v>1685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W2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3.6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7.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1766</v>
      </c>
      <c r="C2" t="s">
        <v>1771</v>
      </c>
      <c r="D2" t="s">
        <v>21</v>
      </c>
      <c r="E2" t="s">
        <v>22</v>
      </c>
      <c r="F2" t="s">
        <v>23</v>
      </c>
      <c r="G2">
        <v>1</v>
      </c>
      <c r="H2">
        <v>9791189084615</v>
      </c>
      <c r="I2" t="s">
        <v>143</v>
      </c>
      <c r="J2" t="s">
        <v>1772</v>
      </c>
      <c r="K2" t="s">
        <v>1773</v>
      </c>
      <c r="L2" t="s">
        <v>27</v>
      </c>
      <c r="M2" s="3">
        <v>3300</v>
      </c>
      <c r="N2" t="s">
        <v>27</v>
      </c>
      <c r="O2" s="3">
        <v>3300</v>
      </c>
      <c r="P2" s="3">
        <v>3300</v>
      </c>
      <c r="Q2" t="s">
        <v>30</v>
      </c>
      <c r="R2" s="2">
        <v>0.7</v>
      </c>
      <c r="S2" s="3">
        <v>2310</v>
      </c>
      <c r="T2" t="s">
        <v>27</v>
      </c>
      <c r="U2" s="3">
        <v>2310</v>
      </c>
      <c r="V2" s="7" t="s">
        <v>24</v>
      </c>
      <c r="W2" s="7" t="s">
        <v>1773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4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4.796875" bestFit="1" customWidth="1"/>
    <col min="11" max="11" width="8.5976562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8.5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2159</v>
      </c>
      <c r="C2" t="s">
        <v>2183</v>
      </c>
      <c r="D2" t="s">
        <v>21</v>
      </c>
      <c r="E2" t="s">
        <v>22</v>
      </c>
      <c r="F2" t="s">
        <v>23</v>
      </c>
      <c r="G2">
        <v>1</v>
      </c>
      <c r="H2">
        <v>9791164372928</v>
      </c>
      <c r="I2" t="s">
        <v>143</v>
      </c>
      <c r="J2" t="s">
        <v>2184</v>
      </c>
      <c r="K2" t="s">
        <v>2185</v>
      </c>
      <c r="L2" t="s">
        <v>27</v>
      </c>
      <c r="M2" s="3">
        <v>1000</v>
      </c>
      <c r="N2" t="s">
        <v>27</v>
      </c>
      <c r="O2" s="3">
        <v>1000</v>
      </c>
      <c r="P2" s="3">
        <v>1000</v>
      </c>
      <c r="Q2" t="s">
        <v>30</v>
      </c>
      <c r="R2" s="2">
        <v>0.7</v>
      </c>
      <c r="S2">
        <v>700</v>
      </c>
      <c r="T2" t="s">
        <v>27</v>
      </c>
      <c r="U2">
        <v>700</v>
      </c>
      <c r="V2" s="7" t="s">
        <v>24</v>
      </c>
      <c r="W2" s="7" t="s">
        <v>2185</v>
      </c>
    </row>
    <row r="3" spans="1:23" x14ac:dyDescent="0.4">
      <c r="A3" t="s">
        <v>262</v>
      </c>
      <c r="B3" t="s">
        <v>262</v>
      </c>
      <c r="C3" t="s">
        <v>2539</v>
      </c>
      <c r="D3" t="s">
        <v>21</v>
      </c>
      <c r="E3" t="s">
        <v>22</v>
      </c>
      <c r="F3" t="s">
        <v>23</v>
      </c>
      <c r="G3">
        <v>1</v>
      </c>
      <c r="H3">
        <v>9791164372478</v>
      </c>
      <c r="I3" t="s">
        <v>143</v>
      </c>
      <c r="J3" t="s">
        <v>2540</v>
      </c>
      <c r="K3" t="s">
        <v>2185</v>
      </c>
      <c r="L3" t="s">
        <v>27</v>
      </c>
      <c r="M3" s="3">
        <v>4000</v>
      </c>
      <c r="N3" t="s">
        <v>27</v>
      </c>
      <c r="O3" s="3">
        <v>4000</v>
      </c>
      <c r="P3" s="3">
        <v>4000</v>
      </c>
      <c r="Q3" t="s">
        <v>30</v>
      </c>
      <c r="R3" s="2">
        <v>0.7</v>
      </c>
      <c r="S3" s="3">
        <v>2800</v>
      </c>
      <c r="T3" t="s">
        <v>27</v>
      </c>
      <c r="U3" s="3">
        <v>2800</v>
      </c>
      <c r="V3" s="7" t="s">
        <v>24</v>
      </c>
      <c r="W3" s="7" t="s">
        <v>2185</v>
      </c>
    </row>
    <row r="4" spans="1:23" x14ac:dyDescent="0.4">
      <c r="A4" t="s">
        <v>262</v>
      </c>
      <c r="B4" t="s">
        <v>262</v>
      </c>
      <c r="C4" t="s">
        <v>2541</v>
      </c>
      <c r="D4" t="s">
        <v>21</v>
      </c>
      <c r="E4" t="s">
        <v>22</v>
      </c>
      <c r="F4" t="s">
        <v>23</v>
      </c>
      <c r="G4">
        <v>1</v>
      </c>
      <c r="H4">
        <v>9791164372461</v>
      </c>
      <c r="I4" t="s">
        <v>143</v>
      </c>
      <c r="J4" t="s">
        <v>2542</v>
      </c>
      <c r="K4" t="s">
        <v>2185</v>
      </c>
      <c r="L4" t="s">
        <v>27</v>
      </c>
      <c r="M4" s="3">
        <v>4000</v>
      </c>
      <c r="N4" t="s">
        <v>27</v>
      </c>
      <c r="O4" s="3">
        <v>4000</v>
      </c>
      <c r="P4" s="3">
        <v>4000</v>
      </c>
      <c r="Q4" t="s">
        <v>30</v>
      </c>
      <c r="R4" s="2">
        <v>0.7</v>
      </c>
      <c r="S4" s="3">
        <v>2800</v>
      </c>
      <c r="T4" t="s">
        <v>27</v>
      </c>
      <c r="U4" s="3">
        <v>2800</v>
      </c>
      <c r="V4" s="7" t="s">
        <v>24</v>
      </c>
      <c r="W4" s="7" t="s">
        <v>2185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W3"/>
  <sheetViews>
    <sheetView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26.09765625" bestFit="1" customWidth="1"/>
    <col min="11" max="11" width="13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  <col min="23" max="23" width="13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5" t="s">
        <v>2551</v>
      </c>
      <c r="W1" s="6" t="s">
        <v>2552</v>
      </c>
    </row>
    <row r="2" spans="1:23" x14ac:dyDescent="0.4">
      <c r="A2" t="s">
        <v>262</v>
      </c>
      <c r="B2" t="s">
        <v>2236</v>
      </c>
      <c r="C2" t="s">
        <v>2281</v>
      </c>
      <c r="D2" t="s">
        <v>21</v>
      </c>
      <c r="E2" t="s">
        <v>22</v>
      </c>
      <c r="F2" t="s">
        <v>23</v>
      </c>
      <c r="G2">
        <v>1</v>
      </c>
      <c r="H2">
        <v>9791164371051</v>
      </c>
      <c r="I2" t="s">
        <v>143</v>
      </c>
      <c r="J2" t="s">
        <v>2282</v>
      </c>
      <c r="K2" t="s">
        <v>2283</v>
      </c>
      <c r="L2" t="s">
        <v>27</v>
      </c>
      <c r="M2">
        <v>500</v>
      </c>
      <c r="N2" t="s">
        <v>27</v>
      </c>
      <c r="O2">
        <v>500</v>
      </c>
      <c r="P2">
        <v>500</v>
      </c>
      <c r="Q2" t="s">
        <v>30</v>
      </c>
      <c r="R2" s="2">
        <v>0.7</v>
      </c>
      <c r="S2">
        <v>350</v>
      </c>
      <c r="T2" t="s">
        <v>27</v>
      </c>
      <c r="U2">
        <v>350</v>
      </c>
      <c r="V2" s="7" t="s">
        <v>24</v>
      </c>
      <c r="W2" s="7" t="s">
        <v>2283</v>
      </c>
    </row>
    <row r="3" spans="1:23" x14ac:dyDescent="0.4">
      <c r="A3" t="s">
        <v>262</v>
      </c>
      <c r="B3" t="s">
        <v>262</v>
      </c>
      <c r="C3" t="s">
        <v>2533</v>
      </c>
      <c r="D3" t="s">
        <v>21</v>
      </c>
      <c r="E3" t="s">
        <v>22</v>
      </c>
      <c r="F3" t="s">
        <v>23</v>
      </c>
      <c r="G3">
        <v>1</v>
      </c>
      <c r="H3">
        <v>9791164371051</v>
      </c>
      <c r="I3" t="s">
        <v>143</v>
      </c>
      <c r="J3" t="s">
        <v>2282</v>
      </c>
      <c r="K3" t="s">
        <v>2283</v>
      </c>
      <c r="L3" t="s">
        <v>27</v>
      </c>
      <c r="M3">
        <v>500</v>
      </c>
      <c r="N3" t="s">
        <v>27</v>
      </c>
      <c r="O3">
        <v>500</v>
      </c>
      <c r="P3">
        <v>500</v>
      </c>
      <c r="Q3" t="s">
        <v>30</v>
      </c>
      <c r="R3" s="2">
        <v>0.7</v>
      </c>
      <c r="S3">
        <v>350</v>
      </c>
      <c r="T3" t="s">
        <v>27</v>
      </c>
      <c r="U3">
        <v>350</v>
      </c>
      <c r="V3" s="7" t="s">
        <v>24</v>
      </c>
      <c r="W3" s="7" t="s">
        <v>2283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26</vt:i4>
      </vt:variant>
    </vt:vector>
  </HeadingPairs>
  <TitlesOfParts>
    <vt:vector size="53" baseType="lpstr">
      <vt:lpstr>합계(5)</vt:lpstr>
      <vt:lpstr>김광수</vt:lpstr>
      <vt:lpstr>밀리의 서재</vt:lpstr>
      <vt:lpstr>권용찬</vt:lpstr>
      <vt:lpstr>예로나</vt:lpstr>
      <vt:lpstr>독고진</vt:lpstr>
      <vt:lpstr>전혁</vt:lpstr>
      <vt:lpstr>더컴퍼니</vt:lpstr>
      <vt:lpstr>셔틀</vt:lpstr>
      <vt:lpstr>이동열</vt:lpstr>
      <vt:lpstr>온서</vt:lpstr>
      <vt:lpstr>스내치</vt:lpstr>
      <vt:lpstr>라비니안느</vt:lpstr>
      <vt:lpstr>모리미</vt:lpstr>
      <vt:lpstr>진문</vt:lpstr>
      <vt:lpstr>차홍주</vt:lpstr>
      <vt:lpstr>청빙</vt:lpstr>
      <vt:lpstr>블랙커피</vt:lpstr>
      <vt:lpstr>윤비밀</vt:lpstr>
      <vt:lpstr>밈스</vt:lpstr>
      <vt:lpstr>무장</vt:lpstr>
      <vt:lpstr>발상</vt:lpstr>
      <vt:lpstr>루이세</vt:lpstr>
      <vt:lpstr>윈델</vt:lpstr>
      <vt:lpstr>세어</vt:lpstr>
      <vt:lpstr>아이리스</vt:lpstr>
      <vt:lpstr>블 루 스 카 이</vt:lpstr>
      <vt:lpstr>권용찬!Extract</vt:lpstr>
      <vt:lpstr>김광수!Extract</vt:lpstr>
      <vt:lpstr>더컴퍼니!Extract</vt:lpstr>
      <vt:lpstr>독고진!Extract</vt:lpstr>
      <vt:lpstr>라비니안느!Extract</vt:lpstr>
      <vt:lpstr>루이세!Extract</vt:lpstr>
      <vt:lpstr>모리미!Extract</vt:lpstr>
      <vt:lpstr>무장!Extract</vt:lpstr>
      <vt:lpstr>'밀리의 서재'!Extract</vt:lpstr>
      <vt:lpstr>밈스!Extract</vt:lpstr>
      <vt:lpstr>발상!Extract</vt:lpstr>
      <vt:lpstr>'블 루 스 카 이'!Extract</vt:lpstr>
      <vt:lpstr>블랙커피!Extract</vt:lpstr>
      <vt:lpstr>세어!Extract</vt:lpstr>
      <vt:lpstr>셔틀!Extract</vt:lpstr>
      <vt:lpstr>스내치!Extract</vt:lpstr>
      <vt:lpstr>아이리스!Extract</vt:lpstr>
      <vt:lpstr>예로나!Extract</vt:lpstr>
      <vt:lpstr>온서!Extract</vt:lpstr>
      <vt:lpstr>윈델!Extract</vt:lpstr>
      <vt:lpstr>윤비밀!Extract</vt:lpstr>
      <vt:lpstr>이동열!Extract</vt:lpstr>
      <vt:lpstr>전혁!Extract</vt:lpstr>
      <vt:lpstr>진문!Extract</vt:lpstr>
      <vt:lpstr>차홍주!Extract</vt:lpstr>
      <vt:lpstr>청빙!Extract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2022-06-08T15:51:17Z</dcterms:modified>
</cp:coreProperties>
</file>