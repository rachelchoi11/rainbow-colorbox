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카카오페이지\"/>
    </mc:Choice>
  </mc:AlternateContent>
  <bookViews>
    <workbookView xWindow="0" yWindow="0" windowWidth="23040" windowHeight="9300" tabRatio="876"/>
  </bookViews>
  <sheets>
    <sheet name="일반계약(5)" sheetId="145" r:id="rId1"/>
    <sheet name="김정률" sheetId="205" r:id="rId2"/>
    <sheet name="파란영" sheetId="206" r:id="rId3"/>
    <sheet name="제외" sheetId="207" r:id="rId4"/>
    <sheet name="전혁" sheetId="208" r:id="rId5"/>
    <sheet name="권용찬" sheetId="209" r:id="rId6"/>
    <sheet name="한보연" sheetId="210" r:id="rId7"/>
    <sheet name="아타락시아" sheetId="211" r:id="rId8"/>
    <sheet name="블랙커피" sheetId="212" r:id="rId9"/>
    <sheet name="주이서" sheetId="213" r:id="rId10"/>
    <sheet name="아슈크림" sheetId="214" r:id="rId11"/>
    <sheet name="이로세" sheetId="215" r:id="rId12"/>
    <sheet name="DION(디온)" sheetId="216" r:id="rId13"/>
    <sheet name="밈스" sheetId="217" r:id="rId14"/>
    <sheet name="서도연" sheetId="218" r:id="rId15"/>
    <sheet name="독고진" sheetId="219" r:id="rId16"/>
    <sheet name="문스톤" sheetId="220" r:id="rId17"/>
    <sheet name="블 루 스 카 이" sheetId="221" r:id="rId18"/>
    <sheet name="한례" sheetId="222" r:id="rId19"/>
    <sheet name="징구빙구" sheetId="223" r:id="rId20"/>
    <sheet name="김너울" sheetId="224" r:id="rId21"/>
    <sheet name="마뇽" sheetId="225" r:id="rId22"/>
    <sheet name="스내치" sheetId="226" r:id="rId23"/>
    <sheet name="차홍주" sheetId="227" r:id="rId24"/>
    <sheet name="박도아" sheetId="228" r:id="rId25"/>
    <sheet name="모리미" sheetId="229" r:id="rId26"/>
    <sheet name="셔틀" sheetId="230" r:id="rId27"/>
    <sheet name="한서나" sheetId="231" r:id="rId28"/>
    <sheet name="꽃잠" sheetId="232" r:id="rId29"/>
    <sheet name="양이율" sheetId="233" r:id="rId30"/>
    <sheet name="진문" sheetId="234" r:id="rId31"/>
    <sheet name="진새벽" sheetId="235" r:id="rId32"/>
    <sheet name="구이" sheetId="236" r:id="rId33"/>
    <sheet name="두나래" sheetId="237" r:id="rId34"/>
    <sheet name="AliceW" sheetId="238" r:id="rId35"/>
    <sheet name="백열음" sheetId="239" r:id="rId36"/>
    <sheet name="먼나무" sheetId="240" r:id="rId37"/>
    <sheet name="테레자" sheetId="241" r:id="rId38"/>
    <sheet name="윤비밀" sheetId="242" r:id="rId39"/>
    <sheet name="레드트러블" sheetId="243" r:id="rId40"/>
    <sheet name="엘리신" sheetId="244" r:id="rId41"/>
    <sheet name="진숙" sheetId="245" r:id="rId42"/>
    <sheet name="쇠렌센" sheetId="246" r:id="rId43"/>
    <sheet name="라비니안느" sheetId="247" r:id="rId44"/>
    <sheet name="해달화영" sheetId="248" r:id="rId45"/>
    <sheet name="김온별" sheetId="249" r:id="rId46"/>
    <sheet name="Livingston" sheetId="250" r:id="rId47"/>
    <sheet name="세상" sheetId="251" r:id="rId48"/>
    <sheet name="무성매직" sheetId="252" r:id="rId49"/>
    <sheet name="빵양이" sheetId="253" r:id="rId50"/>
    <sheet name="아이리스" sheetId="254" r:id="rId51"/>
    <sheet name="온서" sheetId="255" r:id="rId52"/>
    <sheet name="윈델" sheetId="256" r:id="rId53"/>
    <sheet name="부엉이콩" sheetId="257" r:id="rId54"/>
    <sheet name="빨강뽀뽀" sheetId="258" r:id="rId55"/>
    <sheet name="청빙" sheetId="259" r:id="rId56"/>
    <sheet name="모리미J" sheetId="260" r:id="rId57"/>
    <sheet name="디버스 대도서관" sheetId="261" r:id="rId58"/>
  </sheets>
  <externalReferences>
    <externalReference r:id="rId59"/>
  </externalReferences>
  <definedNames>
    <definedName name="_xlnm._FilterDatabase" localSheetId="0" hidden="1">'일반계약(5)'!$A$1:$AR$434</definedName>
    <definedName name="_xlnm.Extract" localSheetId="34">AliceW!$A$1:$AR$1</definedName>
    <definedName name="_xlnm.Extract" localSheetId="12">'DION(디온)'!$A$1:$AR$1</definedName>
    <definedName name="_xlnm.Extract" localSheetId="46">Livingston!$A$1:$AR$1</definedName>
    <definedName name="_xlnm.Extract" localSheetId="32">구이!$A$1:$AR$1</definedName>
    <definedName name="_xlnm.Extract" localSheetId="5">권용찬!$A$1:$AR$1</definedName>
    <definedName name="_xlnm.Extract" localSheetId="20">김너울!$A$1:$AR$1</definedName>
    <definedName name="_xlnm.Extract" localSheetId="45">김온별!$A$1:$AR$1</definedName>
    <definedName name="_xlnm.Extract" localSheetId="1">김정률!$A$1:$AR$1</definedName>
    <definedName name="_xlnm.Extract" localSheetId="28">꽃잠!$A$1:$AR$1</definedName>
    <definedName name="_xlnm.Extract" localSheetId="15">독고진!$A$1:$AR$1</definedName>
    <definedName name="_xlnm.Extract" localSheetId="33">두나래!$A$1:$AR$1</definedName>
    <definedName name="_xlnm.Extract" localSheetId="57">'디버스 대도서관'!$A$1:$AR$1</definedName>
    <definedName name="_xlnm.Extract" localSheetId="43">라비니안느!$A$1:$AR$1</definedName>
    <definedName name="_xlnm.Extract" localSheetId="39">레드트러블!$A$1:$AR$1</definedName>
    <definedName name="_xlnm.Extract" localSheetId="21">마뇽!$A$1:$AR$1</definedName>
    <definedName name="_xlnm.Extract" localSheetId="36">먼나무!$A$1:$AR$1</definedName>
    <definedName name="_xlnm.Extract" localSheetId="25">모리미!$A$1:$AR$1</definedName>
    <definedName name="_xlnm.Extract" localSheetId="56">모리미J!$A$1:$AR$1</definedName>
    <definedName name="_xlnm.Extract" localSheetId="48">무성매직!$A$1:$AR$1</definedName>
    <definedName name="_xlnm.Extract" localSheetId="16">문스톤!$A$1:$AR$1</definedName>
    <definedName name="_xlnm.Extract" localSheetId="13">밈스!$A$1:$AR$1</definedName>
    <definedName name="_xlnm.Extract" localSheetId="24">박도아!$A$1:$AR$1</definedName>
    <definedName name="_xlnm.Extract" localSheetId="35">백열음!$A$1:$AR$1</definedName>
    <definedName name="_xlnm.Extract" localSheetId="53">부엉이콩!$A$1:$AR$1</definedName>
    <definedName name="_xlnm.Extract" localSheetId="17">'블 루 스 카 이'!$A$1:$AR$1</definedName>
    <definedName name="_xlnm.Extract" localSheetId="8">블랙커피!$A$1:$AR$1</definedName>
    <definedName name="_xlnm.Extract" localSheetId="54">빨강뽀뽀!$A$1:$AR$1</definedName>
    <definedName name="_xlnm.Extract" localSheetId="49">빵양이!$A$1:$AR$1</definedName>
    <definedName name="_xlnm.Extract" localSheetId="14">서도연!$A$1:$AR$1</definedName>
    <definedName name="_xlnm.Extract" localSheetId="47">세상!$A$1:$AR$1</definedName>
    <definedName name="_xlnm.Extract" localSheetId="26">셔틀!$A$1:$AR$1</definedName>
    <definedName name="_xlnm.Extract" localSheetId="42">쇠렌센!$A$1:$AR$1</definedName>
    <definedName name="_xlnm.Extract" localSheetId="22">스내치!$A$1:$AR$1</definedName>
    <definedName name="_xlnm.Extract" localSheetId="10">아슈크림!$A$1:$AR$1</definedName>
    <definedName name="_xlnm.Extract" localSheetId="50">아이리스!$A$1:$AR$1</definedName>
    <definedName name="_xlnm.Extract" localSheetId="7">아타락시아!$A$1:$AR$1</definedName>
    <definedName name="_xlnm.Extract" localSheetId="29">양이율!$A$1:$AR$1</definedName>
    <definedName name="_xlnm.Extract" localSheetId="40">엘리신!$A$1:$AR$1</definedName>
    <definedName name="_xlnm.Extract" localSheetId="51">온서!$A$1:$AR$1</definedName>
    <definedName name="_xlnm.Extract" localSheetId="52">윈델!$A$1:$AR$1</definedName>
    <definedName name="_xlnm.Extract" localSheetId="38">윤비밀!$A$1:$AR$1</definedName>
    <definedName name="_xlnm.Extract" localSheetId="11">이로세!$A$1:$AR$1</definedName>
    <definedName name="_xlnm.Extract" localSheetId="0">'일반계약(5)'!#REF!</definedName>
    <definedName name="_xlnm.Extract" localSheetId="4">전혁!$A$1:$AR$1</definedName>
    <definedName name="_xlnm.Extract" localSheetId="3">제외!$A$1:$AR$1</definedName>
    <definedName name="_xlnm.Extract" localSheetId="9">주이서!$A$1:$AR$1</definedName>
    <definedName name="_xlnm.Extract" localSheetId="30">진문!$A$1:$AR$1</definedName>
    <definedName name="_xlnm.Extract" localSheetId="31">진새벽!$A$1:$AR$1</definedName>
    <definedName name="_xlnm.Extract" localSheetId="41">진숙!$A$1:$AR$1</definedName>
    <definedName name="_xlnm.Extract" localSheetId="19">징구빙구!$A$1:$AR$1</definedName>
    <definedName name="_xlnm.Extract" localSheetId="23">차홍주!$A$1:$AR$1</definedName>
    <definedName name="_xlnm.Extract" localSheetId="55">청빙!$A$1:$AR$1</definedName>
    <definedName name="_xlnm.Extract" localSheetId="37">테레자!$A$1:$AR$1</definedName>
    <definedName name="_xlnm.Extract" localSheetId="2">파란영!$A$1:$AR$1</definedName>
    <definedName name="_xlnm.Extract" localSheetId="18">한례!$A$1:$AR$1</definedName>
    <definedName name="_xlnm.Extract" localSheetId="6">한보연!$A$1:$AR$1</definedName>
    <definedName name="_xlnm.Extract" localSheetId="27">한서나!$A$1:$AR$1</definedName>
    <definedName name="_xlnm.Extract" localSheetId="44">해달화영!$A$1:$AR$1</definedName>
  </definedNames>
  <calcPr calcId="152511"/>
</workbook>
</file>

<file path=xl/calcChain.xml><?xml version="1.0" encoding="utf-8"?>
<calcChain xmlns="http://schemas.openxmlformats.org/spreadsheetml/2006/main">
  <c r="AR3" i="145" l="1"/>
  <c r="AR4" i="145"/>
  <c r="AR5" i="145"/>
  <c r="AR6" i="145"/>
  <c r="AR7" i="145"/>
  <c r="AR8" i="145"/>
  <c r="AR9" i="145"/>
  <c r="AR10" i="145"/>
  <c r="AR11" i="145"/>
  <c r="AR12" i="145"/>
  <c r="AR13" i="145"/>
  <c r="AR14" i="145"/>
  <c r="AR15" i="145"/>
  <c r="AR16" i="145"/>
  <c r="AR17" i="145"/>
  <c r="AR18" i="145"/>
  <c r="AR19" i="145"/>
  <c r="AR20" i="145"/>
  <c r="AR21" i="145"/>
  <c r="AR22" i="145"/>
  <c r="AR23" i="145"/>
  <c r="AR24" i="145"/>
  <c r="AR25" i="145"/>
  <c r="AR26" i="145"/>
  <c r="AR27" i="145"/>
  <c r="AR28" i="145"/>
  <c r="AR29" i="145"/>
  <c r="AR30" i="145"/>
  <c r="AR31" i="145"/>
  <c r="AR32" i="145"/>
  <c r="AR33" i="145"/>
  <c r="AR34" i="145"/>
  <c r="AR35" i="145"/>
  <c r="AR36" i="145"/>
  <c r="AR37" i="145"/>
  <c r="AR38" i="145"/>
  <c r="AR39" i="145"/>
  <c r="AR40" i="145"/>
  <c r="AR41" i="145"/>
  <c r="AR42" i="145"/>
  <c r="AR43" i="145"/>
  <c r="AR44" i="145"/>
  <c r="AR45" i="145"/>
  <c r="AR46" i="145"/>
  <c r="AR47" i="145"/>
  <c r="AR48" i="145"/>
  <c r="AR49" i="145"/>
  <c r="AR50" i="145"/>
  <c r="AR51" i="145"/>
  <c r="AR52" i="145"/>
  <c r="AR53" i="145"/>
  <c r="AR54" i="145"/>
  <c r="AR55" i="145"/>
  <c r="AR56" i="145"/>
  <c r="AR57" i="145"/>
  <c r="AR58" i="145"/>
  <c r="AR59" i="145"/>
  <c r="AR60" i="145"/>
  <c r="AR61" i="145"/>
  <c r="AR62" i="145"/>
  <c r="AR63" i="145"/>
  <c r="AR64" i="145"/>
  <c r="AR65" i="145"/>
  <c r="AR66" i="145"/>
  <c r="AR67" i="145"/>
  <c r="AR68" i="145"/>
  <c r="AR69" i="145"/>
  <c r="AR70" i="145"/>
  <c r="AR71" i="145"/>
  <c r="AR72" i="145"/>
  <c r="AR73" i="145"/>
  <c r="AR74" i="145"/>
  <c r="AR75" i="145"/>
  <c r="AR76" i="145"/>
  <c r="AR77" i="145"/>
  <c r="AR78" i="145"/>
  <c r="AR79" i="145"/>
  <c r="AR80" i="145"/>
  <c r="AR81" i="145"/>
  <c r="AR82" i="145"/>
  <c r="AR83" i="145"/>
  <c r="AR84" i="145"/>
  <c r="AR85" i="145"/>
  <c r="AR86" i="145"/>
  <c r="AR87" i="145"/>
  <c r="AR88" i="145"/>
  <c r="AR89" i="145"/>
  <c r="AR90" i="145"/>
  <c r="AR91" i="145"/>
  <c r="AR92" i="145"/>
  <c r="AR93" i="145"/>
  <c r="AR94" i="145"/>
  <c r="AR95" i="145"/>
  <c r="AR96" i="145"/>
  <c r="AR97" i="145"/>
  <c r="AR98" i="145"/>
  <c r="AR99" i="145"/>
  <c r="AR100" i="145"/>
  <c r="AR101" i="145"/>
  <c r="AR102" i="145"/>
  <c r="AR103" i="145"/>
  <c r="AR104" i="145"/>
  <c r="AR105" i="145"/>
  <c r="AR106" i="145"/>
  <c r="AR107" i="145"/>
  <c r="AR108" i="145"/>
  <c r="AR109" i="145"/>
  <c r="AR110" i="145"/>
  <c r="AR111" i="145"/>
  <c r="AR112" i="145"/>
  <c r="AR113" i="145"/>
  <c r="AR114" i="145"/>
  <c r="AR115" i="145"/>
  <c r="AR116" i="145"/>
  <c r="AR117" i="145"/>
  <c r="AR118" i="145"/>
  <c r="AR119" i="145"/>
  <c r="AR120" i="145"/>
  <c r="AR121" i="145"/>
  <c r="AR122" i="145"/>
  <c r="AR123" i="145"/>
  <c r="AR124" i="145"/>
  <c r="AR125" i="145"/>
  <c r="AR126" i="145"/>
  <c r="AR127" i="145"/>
  <c r="AR128" i="145"/>
  <c r="AR129" i="145"/>
  <c r="AR130" i="145"/>
  <c r="AR131" i="145"/>
  <c r="AR132" i="145"/>
  <c r="AR133" i="145"/>
  <c r="AR134" i="145"/>
  <c r="AR135" i="145"/>
  <c r="AR136" i="145"/>
  <c r="AR137" i="145"/>
  <c r="AR138" i="145"/>
  <c r="AR139" i="145"/>
  <c r="AR140" i="145"/>
  <c r="AR141" i="145"/>
  <c r="AR142" i="145"/>
  <c r="AR143" i="145"/>
  <c r="AR144" i="145"/>
  <c r="AR145" i="145"/>
  <c r="AR146" i="145"/>
  <c r="AR147" i="145"/>
  <c r="AR148" i="145"/>
  <c r="AR149" i="145"/>
  <c r="AR150" i="145"/>
  <c r="AR151" i="145"/>
  <c r="AR152" i="145"/>
  <c r="AR153" i="145"/>
  <c r="AR154" i="145"/>
  <c r="AR155" i="145"/>
  <c r="AR156" i="145"/>
  <c r="AR157" i="145"/>
  <c r="AR158" i="145"/>
  <c r="AR159" i="145"/>
  <c r="AR160" i="145"/>
  <c r="AR161" i="145"/>
  <c r="AR162" i="145"/>
  <c r="AR163" i="145"/>
  <c r="AR164" i="145"/>
  <c r="AR165" i="145"/>
  <c r="AR166" i="145"/>
  <c r="AR167" i="145"/>
  <c r="AR168" i="145"/>
  <c r="AR169" i="145"/>
  <c r="AR170" i="145"/>
  <c r="AR171" i="145"/>
  <c r="AR172" i="145"/>
  <c r="AR173" i="145"/>
  <c r="AR174" i="145"/>
  <c r="AR175" i="145"/>
  <c r="AR176" i="145"/>
  <c r="AR177" i="145"/>
  <c r="AR178" i="145"/>
  <c r="AR179" i="145"/>
  <c r="AR180" i="145"/>
  <c r="AR181" i="145"/>
  <c r="AR182" i="145"/>
  <c r="AR183" i="145"/>
  <c r="AR184" i="145"/>
  <c r="AR185" i="145"/>
  <c r="AR186" i="145"/>
  <c r="AR187" i="145"/>
  <c r="AR188" i="145"/>
  <c r="AR189" i="145"/>
  <c r="AR190" i="145"/>
  <c r="AR191" i="145"/>
  <c r="AR192" i="145"/>
  <c r="AR193" i="145"/>
  <c r="AR194" i="145"/>
  <c r="AR195" i="145"/>
  <c r="AR196" i="145"/>
  <c r="AR197" i="145"/>
  <c r="AR198" i="145"/>
  <c r="AR199" i="145"/>
  <c r="AR200" i="145"/>
  <c r="AR201" i="145"/>
  <c r="AR202" i="145"/>
  <c r="AR203" i="145"/>
  <c r="AR204" i="145"/>
  <c r="AR205" i="145"/>
  <c r="AR206" i="145"/>
  <c r="AR207" i="145"/>
  <c r="AR208" i="145"/>
  <c r="AR209" i="145"/>
  <c r="AR210" i="145"/>
  <c r="AR211" i="145"/>
  <c r="AR212" i="145"/>
  <c r="AR213" i="145"/>
  <c r="AR214" i="145"/>
  <c r="AR215" i="145"/>
  <c r="AR216" i="145"/>
  <c r="AR217" i="145"/>
  <c r="AR218" i="145"/>
  <c r="AR219" i="145"/>
  <c r="AR220" i="145"/>
  <c r="AR221" i="145"/>
  <c r="AR222" i="145"/>
  <c r="AR223" i="145"/>
  <c r="AR224" i="145"/>
  <c r="AR225" i="145"/>
  <c r="AR226" i="145"/>
  <c r="AR227" i="145"/>
  <c r="AR228" i="145"/>
  <c r="AR229" i="145"/>
  <c r="AR230" i="145"/>
  <c r="AR231" i="145"/>
  <c r="AR232" i="145"/>
  <c r="AR233" i="145"/>
  <c r="AR234" i="145"/>
  <c r="AR235" i="145"/>
  <c r="AR236" i="145"/>
  <c r="AR237" i="145"/>
  <c r="AR238" i="145"/>
  <c r="AR239" i="145"/>
  <c r="AR240" i="145"/>
  <c r="AR241" i="145"/>
  <c r="AR242" i="145"/>
  <c r="AR243" i="145"/>
  <c r="AR244" i="145"/>
  <c r="AR245" i="145"/>
  <c r="AR246" i="145"/>
  <c r="AR247" i="145"/>
  <c r="AR248" i="145"/>
  <c r="AR249" i="145"/>
  <c r="AR250" i="145"/>
  <c r="AR251" i="145"/>
  <c r="AR252" i="145"/>
  <c r="AR253" i="145"/>
  <c r="AR254" i="145"/>
  <c r="AR255" i="145"/>
  <c r="AR256" i="145"/>
  <c r="AR257" i="145"/>
  <c r="AR258" i="145"/>
  <c r="AR259" i="145"/>
  <c r="AR260" i="145"/>
  <c r="AR261" i="145"/>
  <c r="AR262" i="145"/>
  <c r="AR263" i="145"/>
  <c r="AR264" i="145"/>
  <c r="AR265" i="145"/>
  <c r="AR266" i="145"/>
  <c r="AR267" i="145"/>
  <c r="AR268" i="145"/>
  <c r="AR269" i="145"/>
  <c r="AR270" i="145"/>
  <c r="AR271" i="145"/>
  <c r="AR272" i="145"/>
  <c r="AR273" i="145"/>
  <c r="AR274" i="145"/>
  <c r="AR275" i="145"/>
  <c r="AR276" i="145"/>
  <c r="AR277" i="145"/>
  <c r="AR278" i="145"/>
  <c r="AR279" i="145"/>
  <c r="AR280" i="145"/>
  <c r="AR281" i="145"/>
  <c r="AR282" i="145"/>
  <c r="AR283" i="145"/>
  <c r="AR284" i="145"/>
  <c r="AR285" i="145"/>
  <c r="AR286" i="145"/>
  <c r="AR287" i="145"/>
  <c r="AR288" i="145"/>
  <c r="AR289" i="145"/>
  <c r="AR290" i="145"/>
  <c r="AR291" i="145"/>
  <c r="AR292" i="145"/>
  <c r="AR293" i="145"/>
  <c r="AR294" i="145"/>
  <c r="AR295" i="145"/>
  <c r="AR296" i="145"/>
  <c r="AR297" i="145"/>
  <c r="AR298" i="145"/>
  <c r="AR299" i="145"/>
  <c r="AR300" i="145"/>
  <c r="AR301" i="145"/>
  <c r="AR302" i="145"/>
  <c r="AR303" i="145"/>
  <c r="AR304" i="145"/>
  <c r="AR305" i="145"/>
  <c r="AR306" i="145"/>
  <c r="AR307" i="145"/>
  <c r="AR308" i="145"/>
  <c r="AR309" i="145"/>
  <c r="AR310" i="145"/>
  <c r="AR311" i="145"/>
  <c r="AR312" i="145"/>
  <c r="AR313" i="145"/>
  <c r="AR314" i="145"/>
  <c r="AR315" i="145"/>
  <c r="AR316" i="145"/>
  <c r="AR317" i="145"/>
  <c r="AR318" i="145"/>
  <c r="AR319" i="145"/>
  <c r="AR320" i="145"/>
  <c r="AR321" i="145"/>
  <c r="AR322" i="145"/>
  <c r="AR323" i="145"/>
  <c r="AR324" i="145"/>
  <c r="AR325" i="145"/>
  <c r="AR326" i="145"/>
  <c r="AR327" i="145"/>
  <c r="AR328" i="145"/>
  <c r="AR329" i="145"/>
  <c r="AR330" i="145"/>
  <c r="AR331" i="145"/>
  <c r="AR332" i="145"/>
  <c r="AR333" i="145"/>
  <c r="AR334" i="145"/>
  <c r="AR335" i="145"/>
  <c r="AR336" i="145"/>
  <c r="AR337" i="145"/>
  <c r="AR338" i="145"/>
  <c r="AR339" i="145"/>
  <c r="AR340" i="145"/>
  <c r="AR341" i="145"/>
  <c r="AR342" i="145"/>
  <c r="AR343" i="145"/>
  <c r="AR344" i="145"/>
  <c r="AR345" i="145"/>
  <c r="AR346" i="145"/>
  <c r="AR347" i="145"/>
  <c r="AR348" i="145"/>
  <c r="AR349" i="145"/>
  <c r="AR350" i="145"/>
  <c r="AR351" i="145"/>
  <c r="AR352" i="145"/>
  <c r="AR353" i="145"/>
  <c r="AR354" i="145"/>
  <c r="AR355" i="145"/>
  <c r="AR356" i="145"/>
  <c r="AR357" i="145"/>
  <c r="AR358" i="145"/>
  <c r="AR359" i="145"/>
  <c r="AR360" i="145"/>
  <c r="AR361" i="145"/>
  <c r="AR362" i="145"/>
  <c r="AR363" i="145"/>
  <c r="AR364" i="145"/>
  <c r="AR365" i="145"/>
  <c r="AR366" i="145"/>
  <c r="AR367" i="145"/>
  <c r="AR368" i="145"/>
  <c r="AR369" i="145"/>
  <c r="AR370" i="145"/>
  <c r="AR371" i="145"/>
  <c r="AR372" i="145"/>
  <c r="AR373" i="145"/>
  <c r="AR374" i="145"/>
  <c r="AR375" i="145"/>
  <c r="AR376" i="145"/>
  <c r="AR377" i="145"/>
  <c r="AR378" i="145"/>
  <c r="AR379" i="145"/>
  <c r="AR380" i="145"/>
  <c r="AR381" i="145"/>
  <c r="AR382" i="145"/>
  <c r="AR383" i="145"/>
  <c r="AR384" i="145"/>
  <c r="AR385" i="145"/>
  <c r="AR386" i="145"/>
  <c r="AR387" i="145"/>
  <c r="AR388" i="145"/>
  <c r="AR389" i="145"/>
  <c r="AR390" i="145"/>
  <c r="AR391" i="145"/>
  <c r="AR392" i="145"/>
  <c r="AR393" i="145"/>
  <c r="AR394" i="145"/>
  <c r="AR395" i="145"/>
  <c r="AR396" i="145"/>
  <c r="AR397" i="145"/>
  <c r="AR398" i="145"/>
  <c r="AR399" i="145"/>
  <c r="AR400" i="145"/>
  <c r="AR401" i="145"/>
  <c r="AR402" i="145"/>
  <c r="AR403" i="145"/>
  <c r="AR404" i="145"/>
  <c r="AR405" i="145"/>
  <c r="AR406" i="145"/>
  <c r="AR407" i="145"/>
  <c r="AR408" i="145"/>
  <c r="AR409" i="145"/>
  <c r="AR410" i="145"/>
  <c r="AR411" i="145"/>
  <c r="AR412" i="145"/>
  <c r="AR413" i="145"/>
  <c r="AR414" i="145"/>
  <c r="AR415" i="145"/>
  <c r="AR416" i="145"/>
  <c r="AR417" i="145"/>
  <c r="AR418" i="145"/>
  <c r="AR419" i="145"/>
  <c r="AR420" i="145"/>
  <c r="AR421" i="145"/>
  <c r="AR422" i="145"/>
  <c r="AR423" i="145"/>
  <c r="AR424" i="145"/>
  <c r="AR425" i="145"/>
  <c r="AR426" i="145"/>
  <c r="AR427" i="145"/>
  <c r="AR428" i="145"/>
  <c r="AR429" i="145"/>
  <c r="AR430" i="145"/>
  <c r="AR431" i="145"/>
  <c r="AR432" i="145"/>
  <c r="AR433" i="145"/>
  <c r="AR2" i="145"/>
  <c r="AQ2" i="145"/>
  <c r="AQ3" i="145"/>
  <c r="AQ4" i="145"/>
  <c r="AQ5" i="145"/>
  <c r="AQ6" i="145"/>
  <c r="AQ7" i="145"/>
  <c r="AQ8" i="145"/>
  <c r="AQ9" i="145"/>
  <c r="AQ10" i="145"/>
  <c r="AQ11" i="145"/>
  <c r="AQ12" i="145"/>
  <c r="AQ13" i="145"/>
  <c r="AQ14" i="145"/>
  <c r="AQ15" i="145"/>
  <c r="AQ16" i="145"/>
  <c r="AQ17" i="145"/>
  <c r="AQ18" i="145"/>
  <c r="AQ19" i="145"/>
  <c r="AQ20" i="145"/>
  <c r="AQ21" i="145"/>
  <c r="AQ22" i="145"/>
  <c r="AQ23" i="145"/>
  <c r="AQ24" i="145"/>
  <c r="AQ25" i="145"/>
  <c r="AQ26" i="145"/>
  <c r="AQ27" i="145"/>
  <c r="AQ28" i="145"/>
  <c r="AQ29" i="145"/>
  <c r="AQ30" i="145"/>
  <c r="AQ31" i="145"/>
  <c r="AQ32" i="145"/>
  <c r="AQ33" i="145"/>
  <c r="AQ34" i="145"/>
  <c r="AQ35" i="145"/>
  <c r="AQ36" i="145"/>
  <c r="AQ37" i="145"/>
  <c r="AQ38" i="145"/>
  <c r="AQ39" i="145"/>
  <c r="AQ40" i="145"/>
  <c r="AQ41" i="145"/>
  <c r="AQ42" i="145"/>
  <c r="AQ43" i="145"/>
  <c r="AQ44" i="145"/>
  <c r="AQ45" i="145"/>
  <c r="AQ46" i="145"/>
  <c r="AQ47" i="145"/>
  <c r="AQ48" i="145"/>
  <c r="AQ49" i="145"/>
  <c r="AQ50" i="145"/>
  <c r="AQ51" i="145"/>
  <c r="AQ52" i="145"/>
  <c r="AQ53" i="145"/>
  <c r="AQ54" i="145"/>
  <c r="AQ55" i="145"/>
  <c r="AQ56" i="145"/>
  <c r="AQ57" i="145"/>
  <c r="AQ58" i="145"/>
  <c r="AQ59" i="145"/>
  <c r="AQ60" i="145"/>
  <c r="AQ61" i="145"/>
  <c r="AQ62" i="145"/>
  <c r="AQ63" i="145"/>
  <c r="AQ64" i="145"/>
  <c r="AQ65" i="145"/>
  <c r="AQ66" i="145"/>
  <c r="AQ67" i="145"/>
  <c r="AQ68" i="145"/>
  <c r="AQ69" i="145"/>
  <c r="AQ70" i="145"/>
  <c r="AQ71" i="145"/>
  <c r="AQ72" i="145"/>
  <c r="AQ73" i="145"/>
  <c r="AQ74" i="145"/>
  <c r="AQ75" i="145"/>
  <c r="AQ76" i="145"/>
  <c r="AQ77" i="145"/>
  <c r="AQ78" i="145"/>
  <c r="AQ79" i="145"/>
  <c r="AQ80" i="145"/>
  <c r="AQ81" i="145"/>
  <c r="AQ82" i="145"/>
  <c r="AQ83" i="145"/>
  <c r="AQ84" i="145"/>
  <c r="AQ85" i="145"/>
  <c r="AQ86" i="145"/>
  <c r="AQ87" i="145"/>
  <c r="AQ88" i="145"/>
  <c r="AQ89" i="145"/>
  <c r="AQ90" i="145"/>
  <c r="AQ91" i="145"/>
  <c r="AQ92" i="145"/>
  <c r="AQ93" i="145"/>
  <c r="AQ94" i="145"/>
  <c r="AQ95" i="145"/>
  <c r="AQ96" i="145"/>
  <c r="AQ97" i="145"/>
  <c r="AQ98" i="145"/>
  <c r="AQ99" i="145"/>
  <c r="AQ100" i="145"/>
  <c r="AQ101" i="145"/>
  <c r="AQ102" i="145"/>
  <c r="AQ103" i="145"/>
  <c r="AQ104" i="145"/>
  <c r="AQ105" i="145"/>
  <c r="AQ106" i="145"/>
  <c r="AQ107" i="145"/>
  <c r="AQ108" i="145"/>
  <c r="AQ109" i="145"/>
  <c r="AQ110" i="145"/>
  <c r="AQ111" i="145"/>
  <c r="AQ112" i="145"/>
  <c r="AQ113" i="145"/>
  <c r="AQ114" i="145"/>
  <c r="AQ115" i="145"/>
  <c r="AQ116" i="145"/>
  <c r="AQ117" i="145"/>
  <c r="AQ118" i="145"/>
  <c r="AQ119" i="145"/>
  <c r="AQ120" i="145"/>
  <c r="AQ121" i="145"/>
  <c r="AQ122" i="145"/>
  <c r="AQ123" i="145"/>
  <c r="AQ124" i="145"/>
  <c r="AQ125" i="145"/>
  <c r="AQ126" i="145"/>
  <c r="AQ127" i="145"/>
  <c r="AQ128" i="145"/>
  <c r="AQ129" i="145"/>
  <c r="AQ130" i="145"/>
  <c r="AQ131" i="145"/>
  <c r="AQ132" i="145"/>
  <c r="AQ133" i="145"/>
  <c r="AQ134" i="145"/>
  <c r="AQ135" i="145"/>
  <c r="AQ136" i="145"/>
  <c r="AQ137" i="145"/>
  <c r="AQ138" i="145"/>
  <c r="AQ139" i="145"/>
  <c r="AQ140" i="145"/>
  <c r="AQ141" i="145"/>
  <c r="AQ142" i="145"/>
  <c r="AQ143" i="145"/>
  <c r="AQ144" i="145"/>
  <c r="AQ145" i="145"/>
  <c r="AQ146" i="145"/>
  <c r="AQ147" i="145"/>
  <c r="AQ148" i="145"/>
  <c r="AQ149" i="145"/>
  <c r="AQ150" i="145"/>
  <c r="AQ151" i="145"/>
  <c r="AQ152" i="145"/>
  <c r="AQ153" i="145"/>
  <c r="AQ154" i="145"/>
  <c r="AQ155" i="145"/>
  <c r="AQ156" i="145"/>
  <c r="AQ157" i="145"/>
  <c r="AQ158" i="145"/>
  <c r="AQ159" i="145"/>
  <c r="AQ160" i="145"/>
  <c r="AQ161" i="145"/>
  <c r="AQ162" i="145"/>
  <c r="AQ163" i="145"/>
  <c r="AQ164" i="145"/>
  <c r="AQ165" i="145"/>
  <c r="AQ166" i="145"/>
  <c r="AQ167" i="145"/>
  <c r="AQ168" i="145"/>
  <c r="AQ169" i="145"/>
  <c r="AQ170" i="145"/>
  <c r="AQ171" i="145"/>
  <c r="AQ172" i="145"/>
  <c r="AQ173" i="145"/>
  <c r="AQ174" i="145"/>
  <c r="AQ175" i="145"/>
  <c r="AQ176" i="145"/>
  <c r="AQ177" i="145"/>
  <c r="AQ178" i="145"/>
  <c r="AQ179" i="145"/>
  <c r="AQ180" i="145"/>
  <c r="AQ181" i="145"/>
  <c r="AQ182" i="145"/>
  <c r="AQ183" i="145"/>
  <c r="AQ184" i="145"/>
  <c r="AQ185" i="145"/>
  <c r="AQ186" i="145"/>
  <c r="AQ187" i="145"/>
  <c r="AQ188" i="145"/>
  <c r="AQ189" i="145"/>
  <c r="AQ190" i="145"/>
  <c r="AQ191" i="145"/>
  <c r="AQ192" i="145"/>
  <c r="AQ193" i="145"/>
  <c r="AQ194" i="145"/>
  <c r="AQ195" i="145"/>
  <c r="AQ196" i="145"/>
  <c r="AQ197" i="145"/>
  <c r="AQ198" i="145"/>
  <c r="AQ199" i="145"/>
  <c r="AQ200" i="145"/>
  <c r="AQ201" i="145"/>
  <c r="AQ202" i="145"/>
  <c r="AQ203" i="145"/>
  <c r="AQ204" i="145"/>
  <c r="AQ205" i="145"/>
  <c r="AQ206" i="145"/>
  <c r="AQ207" i="145"/>
  <c r="AQ208" i="145"/>
  <c r="AQ209" i="145"/>
  <c r="AQ210" i="145"/>
  <c r="AQ211" i="145"/>
  <c r="AQ212" i="145"/>
  <c r="AQ213" i="145"/>
  <c r="AQ214" i="145"/>
  <c r="AQ215" i="145"/>
  <c r="AQ216" i="145"/>
  <c r="AQ217" i="145"/>
  <c r="AQ218" i="145"/>
  <c r="AQ219" i="145"/>
  <c r="AQ220" i="145"/>
  <c r="AQ221" i="145"/>
  <c r="AQ222" i="145"/>
  <c r="AQ223" i="145"/>
  <c r="AQ224" i="145"/>
  <c r="AQ225" i="145"/>
  <c r="AQ226" i="145"/>
  <c r="AQ227" i="145"/>
  <c r="AQ228" i="145"/>
  <c r="AQ229" i="145"/>
  <c r="AQ230" i="145"/>
  <c r="AQ231" i="145"/>
  <c r="AQ232" i="145"/>
  <c r="AQ233" i="145"/>
  <c r="AQ234" i="145"/>
  <c r="AQ235" i="145"/>
  <c r="AQ236" i="145"/>
  <c r="AQ237" i="145"/>
  <c r="AQ238" i="145"/>
  <c r="AQ239" i="145"/>
  <c r="AQ240" i="145"/>
  <c r="AQ241" i="145"/>
  <c r="AQ242" i="145"/>
  <c r="AQ243" i="145"/>
  <c r="AQ244" i="145"/>
  <c r="AQ245" i="145"/>
  <c r="AQ246" i="145"/>
  <c r="AQ247" i="145"/>
  <c r="AQ248" i="145"/>
  <c r="AQ249" i="145"/>
  <c r="AQ250" i="145"/>
  <c r="AQ251" i="145"/>
  <c r="AQ252" i="145"/>
  <c r="AQ253" i="145"/>
  <c r="AQ254" i="145"/>
  <c r="AQ255" i="145"/>
  <c r="AQ256" i="145"/>
  <c r="AQ257" i="145"/>
  <c r="AQ258" i="145"/>
  <c r="AQ259" i="145"/>
  <c r="AQ260" i="145"/>
  <c r="AQ261" i="145"/>
  <c r="AQ262" i="145"/>
  <c r="AQ263" i="145"/>
  <c r="AQ264" i="145"/>
  <c r="AQ265" i="145"/>
  <c r="AQ266" i="145"/>
  <c r="AQ267" i="145"/>
  <c r="AQ268" i="145"/>
  <c r="AQ269" i="145"/>
  <c r="AQ270" i="145"/>
  <c r="AQ271" i="145"/>
  <c r="AQ272" i="145"/>
  <c r="AQ273" i="145"/>
  <c r="AQ274" i="145"/>
  <c r="AQ275" i="145"/>
  <c r="AQ276" i="145"/>
  <c r="AQ277" i="145"/>
  <c r="AQ278" i="145"/>
  <c r="AQ279" i="145"/>
  <c r="AQ280" i="145"/>
  <c r="AQ281" i="145"/>
  <c r="AQ282" i="145"/>
  <c r="AQ283" i="145"/>
  <c r="AQ284" i="145"/>
  <c r="AQ285" i="145"/>
  <c r="AQ286" i="145"/>
  <c r="AQ287" i="145"/>
  <c r="AQ288" i="145"/>
  <c r="AQ289" i="145"/>
  <c r="AQ290" i="145"/>
  <c r="AQ291" i="145"/>
  <c r="AQ292" i="145"/>
  <c r="AQ293" i="145"/>
  <c r="AQ294" i="145"/>
  <c r="AQ295" i="145"/>
  <c r="AQ296" i="145"/>
  <c r="AQ297" i="145"/>
  <c r="AQ298" i="145"/>
  <c r="AQ299" i="145"/>
  <c r="AQ300" i="145"/>
  <c r="AQ301" i="145"/>
  <c r="AQ302" i="145"/>
  <c r="AQ303" i="145"/>
  <c r="AQ304" i="145"/>
  <c r="AQ305" i="145"/>
  <c r="AQ306" i="145"/>
  <c r="AQ307" i="145"/>
  <c r="AQ308" i="145"/>
  <c r="AQ309" i="145"/>
  <c r="AQ310" i="145"/>
  <c r="AQ311" i="145"/>
  <c r="AQ312" i="145"/>
  <c r="AQ313" i="145"/>
  <c r="AQ314" i="145"/>
  <c r="AQ315" i="145"/>
  <c r="AQ316" i="145"/>
  <c r="AQ317" i="145"/>
  <c r="AQ318" i="145"/>
  <c r="AQ319" i="145"/>
  <c r="AQ320" i="145"/>
  <c r="AQ321" i="145"/>
  <c r="AQ322" i="145"/>
  <c r="AQ323" i="145"/>
  <c r="AQ324" i="145"/>
  <c r="AQ325" i="145"/>
  <c r="AQ326" i="145"/>
  <c r="AQ327" i="145"/>
  <c r="AQ328" i="145"/>
  <c r="AQ329" i="145"/>
  <c r="AQ330" i="145"/>
  <c r="AQ331" i="145"/>
  <c r="AQ332" i="145"/>
  <c r="AQ333" i="145"/>
  <c r="AQ334" i="145"/>
  <c r="AQ335" i="145"/>
  <c r="AQ336" i="145"/>
  <c r="AQ337" i="145"/>
  <c r="AQ338" i="145"/>
  <c r="AQ339" i="145"/>
  <c r="AQ340" i="145"/>
  <c r="AQ341" i="145"/>
  <c r="AQ342" i="145"/>
  <c r="AQ343" i="145"/>
  <c r="AQ344" i="145"/>
  <c r="AQ345" i="145"/>
  <c r="AQ346" i="145"/>
  <c r="AQ347" i="145"/>
  <c r="AQ348" i="145"/>
  <c r="AQ349" i="145"/>
  <c r="AQ350" i="145"/>
  <c r="AQ351" i="145"/>
  <c r="AQ352" i="145"/>
  <c r="AQ353" i="145"/>
  <c r="AQ354" i="145"/>
  <c r="AQ355" i="145"/>
  <c r="AQ356" i="145"/>
  <c r="AQ357" i="145"/>
  <c r="AQ358" i="145"/>
  <c r="AQ359" i="145"/>
  <c r="AQ360" i="145"/>
  <c r="AQ361" i="145"/>
  <c r="AQ362" i="145"/>
  <c r="AQ363" i="145"/>
  <c r="AQ364" i="145"/>
  <c r="AQ365" i="145"/>
  <c r="AQ366" i="145"/>
  <c r="AQ367" i="145"/>
  <c r="AQ368" i="145"/>
  <c r="AQ369" i="145"/>
  <c r="AQ370" i="145"/>
  <c r="AQ371" i="145"/>
  <c r="AQ372" i="145"/>
  <c r="AQ373" i="145"/>
  <c r="AQ374" i="145"/>
  <c r="AQ375" i="145"/>
  <c r="AQ376" i="145"/>
  <c r="AQ377" i="145"/>
  <c r="AQ378" i="145"/>
  <c r="AQ379" i="145"/>
  <c r="AQ380" i="145"/>
  <c r="AQ381" i="145"/>
  <c r="AQ382" i="145"/>
  <c r="AQ383" i="145"/>
  <c r="AQ384" i="145"/>
  <c r="AQ385" i="145"/>
  <c r="AQ386" i="145"/>
  <c r="AQ387" i="145"/>
  <c r="AQ388" i="145"/>
  <c r="AQ389" i="145"/>
  <c r="AQ390" i="145"/>
  <c r="AQ391" i="145"/>
  <c r="AQ392" i="145"/>
  <c r="AQ393" i="145"/>
  <c r="AQ394" i="145"/>
  <c r="AQ395" i="145"/>
  <c r="AQ396" i="145"/>
  <c r="AQ397" i="145"/>
  <c r="AQ398" i="145"/>
  <c r="AQ399" i="145"/>
  <c r="AQ400" i="145"/>
  <c r="AQ401" i="145"/>
  <c r="AQ402" i="145"/>
  <c r="AQ403" i="145"/>
  <c r="AQ404" i="145"/>
  <c r="AQ405" i="145"/>
  <c r="AQ406" i="145"/>
  <c r="AQ407" i="145"/>
  <c r="AQ408" i="145"/>
  <c r="AQ409" i="145"/>
  <c r="AQ410" i="145"/>
  <c r="AQ411" i="145"/>
  <c r="AQ412" i="145"/>
  <c r="AQ413" i="145"/>
  <c r="AQ414" i="145"/>
  <c r="AQ415" i="145"/>
  <c r="AQ416" i="145"/>
  <c r="AQ417" i="145"/>
  <c r="AQ418" i="145"/>
  <c r="AQ419" i="145"/>
  <c r="AQ420" i="145"/>
  <c r="AQ421" i="145"/>
  <c r="AQ422" i="145"/>
  <c r="AQ423" i="145"/>
  <c r="AQ424" i="145"/>
  <c r="AQ425" i="145"/>
  <c r="AQ426" i="145"/>
  <c r="AQ427" i="145"/>
  <c r="AQ428" i="145"/>
  <c r="AQ429" i="145"/>
  <c r="AQ430" i="145"/>
  <c r="AQ431" i="145"/>
  <c r="AQ432" i="145"/>
  <c r="AQ433" i="145"/>
  <c r="AP434" i="145" l="1"/>
</calcChain>
</file>

<file path=xl/sharedStrings.xml><?xml version="1.0" encoding="utf-8"?>
<sst xmlns="http://schemas.openxmlformats.org/spreadsheetml/2006/main" count="13826" uniqueCount="277">
  <si>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</si>
  <si>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</si>
  <si>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</si>
  <si>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</si>
  <si>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</si>
  <si>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</si>
  <si>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</si>
  <si>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</si>
  <si>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카테고리</t>
  </si>
  <si>
    <t>시리즈ID</t>
  </si>
  <si>
    <t>시리즈명</t>
  </si>
  <si>
    <t>작가명</t>
  </si>
  <si>
    <t>ISBN(유/무)</t>
  </si>
  <si>
    <t>CP정산율_안드로이드/이벤트캐시</t>
  </si>
  <si>
    <t>CP정산율_iOS</t>
  </si>
  <si>
    <t>이용권 종류</t>
  </si>
  <si>
    <t>이용권 금액</t>
  </si>
  <si>
    <t>공급가액</t>
  </si>
  <si>
    <t>부가세</t>
  </si>
  <si>
    <t>공급대가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</si>
  <si>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</si>
  <si>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</si>
  <si>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</si>
  <si>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</si>
  <si>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</si>
  <si>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</si>
  <si>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</si>
  <si>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</si>
  <si>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</si>
  <si>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</si>
  <si>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</si>
  <si>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</si>
  <si>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</si>
  <si>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</si>
  <si>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</si>
  <si>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</si>
  <si>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</si>
  <si>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</si>
  <si>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</si>
  <si>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</si>
  <si>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</si>
  <si>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</si>
  <si>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일반계약</t>
  </si>
  <si>
    <t>주식회사 스토리위즈</t>
  </si>
  <si>
    <t>3828601768</t>
  </si>
  <si>
    <t>스토리위즈</t>
  </si>
  <si>
    <t/>
  </si>
  <si>
    <t>면세</t>
  </si>
  <si>
    <t>N</t>
  </si>
  <si>
    <t>소설</t>
  </si>
  <si>
    <t>중독</t>
  </si>
  <si>
    <t>문스톤</t>
  </si>
  <si>
    <t>Y</t>
  </si>
  <si>
    <t>시리즈 이용권 패키지</t>
  </si>
  <si>
    <t>뜨거운 항해</t>
  </si>
  <si>
    <t>밈스</t>
  </si>
  <si>
    <t>단일 이용권</t>
  </si>
  <si>
    <t>돌아온 막내 영애님을 조심하세요</t>
  </si>
  <si>
    <t>윈델</t>
  </si>
  <si>
    <t>아프오 안 아프오 나는 [BL]</t>
  </si>
  <si>
    <t>주이서</t>
  </si>
  <si>
    <t>더 라스트 웨어울프 [단독 선공개]</t>
  </si>
  <si>
    <t>블 루 스 카 이</t>
  </si>
  <si>
    <t>스포트라이트</t>
  </si>
  <si>
    <t>전혁</t>
  </si>
  <si>
    <t>세상</t>
  </si>
  <si>
    <t>꿈속의 보스</t>
  </si>
  <si>
    <t>온서</t>
  </si>
  <si>
    <t>컬러 러쉬 [BL]</t>
  </si>
  <si>
    <t>스피릿 소드</t>
  </si>
  <si>
    <t>김정률</t>
  </si>
  <si>
    <t>아나크레온 [단행본]</t>
  </si>
  <si>
    <t>나만의 스타</t>
  </si>
  <si>
    <t>스내치</t>
  </si>
  <si>
    <t>단일 대여 이용권</t>
  </si>
  <si>
    <t>베리타 (verità)</t>
  </si>
  <si>
    <t>블랙커피</t>
  </si>
  <si>
    <t>욕망에 눈뜨다</t>
  </si>
  <si>
    <t>셔틀</t>
  </si>
  <si>
    <t>연애는 아래로부터</t>
  </si>
  <si>
    <t>엘리신</t>
  </si>
  <si>
    <t>내게만 악마 같은 놈 (삽화본)</t>
  </si>
  <si>
    <t>영원한 1위 [BL]</t>
  </si>
  <si>
    <t>羽宸寰(Uchenhu),林珮瑜(Lin Peiyu)</t>
  </si>
  <si>
    <t>사랑은 내가, 너는 행복만</t>
  </si>
  <si>
    <t>아타락시아</t>
  </si>
  <si>
    <t>용중신권 [단행본]</t>
  </si>
  <si>
    <t>권용찬</t>
  </si>
  <si>
    <t>SOTUS S [BL]</t>
  </si>
  <si>
    <t>BitterSweet</t>
  </si>
  <si>
    <t>부엉이콩</t>
  </si>
  <si>
    <t>파계 [단행본]</t>
  </si>
  <si>
    <t>절대자의 귀환</t>
  </si>
  <si>
    <t>장유진</t>
  </si>
  <si>
    <t>데이몬 [단행본]</t>
  </si>
  <si>
    <t>구애</t>
  </si>
  <si>
    <t>마왕 데이몬 [단행본]</t>
  </si>
  <si>
    <t>주님</t>
  </si>
  <si>
    <t>파계</t>
  </si>
  <si>
    <t>트루베니아 연대기 [단행본]</t>
  </si>
  <si>
    <t>푸르디푸른 내 달빛</t>
  </si>
  <si>
    <t>모리미J</t>
  </si>
  <si>
    <t>먼나무</t>
  </si>
  <si>
    <t>나는 너를, 너는 나를 [BL]</t>
  </si>
  <si>
    <t>라비니안느</t>
  </si>
  <si>
    <t>소드마스터의 환생 [단행본]</t>
  </si>
  <si>
    <t>파란영</t>
  </si>
  <si>
    <t>검산도해 [단행본]</t>
  </si>
  <si>
    <t>소드 엠페러 [단행본]</t>
  </si>
  <si>
    <t>바랑둥이 내 남자</t>
  </si>
  <si>
    <t>시리즈 대여 이용권 패키지</t>
  </si>
  <si>
    <t>절대비만</t>
  </si>
  <si>
    <t>황녀, 미친 꽃으로 피어나다</t>
  </si>
  <si>
    <t>한보연</t>
  </si>
  <si>
    <t>스트라이커</t>
  </si>
  <si>
    <t>독고진</t>
  </si>
  <si>
    <t>독종무쌍</t>
  </si>
  <si>
    <t>아나크레온</t>
  </si>
  <si>
    <t>사냥 : 꿈 [BL]</t>
  </si>
  <si>
    <t>게이 하우스 [BL]</t>
  </si>
  <si>
    <t>빨강뽀뽀</t>
  </si>
  <si>
    <t>네가 뭔데 그러세요 [BL]</t>
  </si>
  <si>
    <t>잔혹한 지배자의 달</t>
  </si>
  <si>
    <t>이로세</t>
  </si>
  <si>
    <t>On the air [BL]</t>
  </si>
  <si>
    <t>DION(디온)</t>
  </si>
  <si>
    <t>막상막하 [BL]</t>
  </si>
  <si>
    <t>마뇽</t>
  </si>
  <si>
    <t>그 여름 네 입술</t>
  </si>
  <si>
    <t>레드트러블</t>
  </si>
  <si>
    <t>그땐 미처</t>
  </si>
  <si>
    <t>어쩌다 계약 아내</t>
  </si>
  <si>
    <t>아슈크림</t>
  </si>
  <si>
    <t>스트라이커(완전판) [단행본]</t>
  </si>
  <si>
    <t>신을 죽이러 갑니다 [단행본]</t>
  </si>
  <si>
    <t>레이드 만물상점(완전판) [단행본]</t>
  </si>
  <si>
    <t>독종무쌍 [단행본]</t>
  </si>
  <si>
    <t>만인지상 [단행본]</t>
  </si>
  <si>
    <t>위층 아이 아빠 [BL]</t>
  </si>
  <si>
    <t>신규무사 [단행본]</t>
  </si>
  <si>
    <t>숨결을 삼키다</t>
  </si>
  <si>
    <t>너는 내 숨결이니까</t>
  </si>
  <si>
    <t>퇴마사(巫者) [BL]</t>
  </si>
  <si>
    <t>시무(蒔舞)</t>
  </si>
  <si>
    <t>흔적</t>
  </si>
  <si>
    <t>꽃잠</t>
  </si>
  <si>
    <t>소드 엠페러</t>
  </si>
  <si>
    <t>사랑한다 윤혜영 (삽화본) [개정판]</t>
  </si>
  <si>
    <t>용무쌍</t>
  </si>
  <si>
    <t>아래층에 전남편이 산다</t>
  </si>
  <si>
    <t>살 떨리는 동거 [단독 선공개]</t>
  </si>
  <si>
    <t>사랑, 흘러간다 [BL]</t>
  </si>
  <si>
    <t>철중쟁쟁</t>
  </si>
  <si>
    <t>짝사랑 이별곡 [BL] (특별 외전 포함)</t>
  </si>
  <si>
    <t>모리미</t>
  </si>
  <si>
    <t>스타의 연애 (완전개정판) [BL]</t>
  </si>
  <si>
    <t>책</t>
  </si>
  <si>
    <t>별자리 살인마 : 너를 추억한다</t>
  </si>
  <si>
    <t>징구빙구</t>
  </si>
  <si>
    <t>신규무사</t>
  </si>
  <si>
    <t>레이드 만물상점</t>
  </si>
  <si>
    <t>친구의 고백</t>
  </si>
  <si>
    <t>빵양이</t>
  </si>
  <si>
    <t>수적왕</t>
  </si>
  <si>
    <t>격렬하게 다시 한번</t>
  </si>
  <si>
    <t>허니레몬</t>
  </si>
  <si>
    <t>어처구니없는 결혼 약속</t>
  </si>
  <si>
    <t>욕과 정이 깨어날 때 [단독 선공개]</t>
  </si>
  <si>
    <t>김너울</t>
  </si>
  <si>
    <t>다크메이지 3부작</t>
  </si>
  <si>
    <t>얼어 죽어도, 겨울</t>
  </si>
  <si>
    <t>진새벽</t>
  </si>
  <si>
    <t>신마협도</t>
  </si>
  <si>
    <t>내 남자 길들이기</t>
  </si>
  <si>
    <t>게이트 헌터</t>
  </si>
  <si>
    <t>월급 주는 남편</t>
  </si>
  <si>
    <t>우리 (외전증보 삽화본) [개정판]</t>
  </si>
  <si>
    <t>[BL] 나의 시고르자브종</t>
  </si>
  <si>
    <t>두나래</t>
  </si>
  <si>
    <t>리얼 머니</t>
  </si>
  <si>
    <t>진문</t>
  </si>
  <si>
    <t>아로새긴</t>
  </si>
  <si>
    <t>적왕의 깊은 밤 [단독 선공개]</t>
  </si>
  <si>
    <t>매혹적인 상사</t>
  </si>
  <si>
    <t>절륜공자</t>
  </si>
  <si>
    <t>게이트 헌터(완전판) [단행본]</t>
  </si>
  <si>
    <t>사랑을 놓치고</t>
  </si>
  <si>
    <t>차홍주</t>
  </si>
  <si>
    <t>소드마스터의 환생</t>
  </si>
  <si>
    <t>먼치킨 엑스트라가 인생을 바꿔드립니다</t>
  </si>
  <si>
    <t>AliceW</t>
  </si>
  <si>
    <t>상왕 진우몽 [단행본]</t>
  </si>
  <si>
    <t>야쿠자가 사랑을 한다면 (개정판)</t>
  </si>
  <si>
    <t>꽂히다</t>
  </si>
  <si>
    <t>수적왕 [단행본]</t>
  </si>
  <si>
    <t>시크릿 맨 (외전증보 개정판)</t>
  </si>
  <si>
    <t>철중쟁쟁 [단행본]</t>
  </si>
  <si>
    <t>비서의 유혹</t>
  </si>
  <si>
    <t>사랑도 없이 결혼</t>
  </si>
  <si>
    <t>처음이어도 좋아</t>
  </si>
  <si>
    <t>테레자</t>
  </si>
  <si>
    <t>완벽한 타인과 [단독 선공개]</t>
  </si>
  <si>
    <t>남이 되어 주세요</t>
  </si>
  <si>
    <t>한서나</t>
  </si>
  <si>
    <t>다크메이지 [단행본]</t>
  </si>
  <si>
    <t>완벽한 계략 남편</t>
  </si>
  <si>
    <t>신을 죽이러 갑니다</t>
  </si>
  <si>
    <t>이 비서 다리 좀 치워 [BL]</t>
  </si>
  <si>
    <t>본능에 눈뜨다 (개정증보판)</t>
  </si>
  <si>
    <t>나쁜 이혼</t>
  </si>
  <si>
    <t>진숙</t>
  </si>
  <si>
    <t>두 형사 (개정증보 삽화본) [개정판]</t>
  </si>
  <si>
    <t>야릇한 그놈</t>
  </si>
  <si>
    <t>해달화영</t>
  </si>
  <si>
    <t>썸원(Someone)</t>
  </si>
  <si>
    <t>그 알파 내 오메가 만들기 [BL]</t>
  </si>
  <si>
    <t>충동적인 결혼</t>
  </si>
  <si>
    <t>사라족의 간택 (삽화본) [BL]</t>
  </si>
  <si>
    <t>다크메이지</t>
  </si>
  <si>
    <t>사냥</t>
  </si>
  <si>
    <t>궁성</t>
  </si>
  <si>
    <t>블레이드 헌터 [단행본]</t>
  </si>
  <si>
    <t>칼</t>
  </si>
  <si>
    <t>기어이 사랑</t>
  </si>
  <si>
    <t>골 때리는 사랑 [BL]</t>
  </si>
  <si>
    <t>트리거 [BL]</t>
  </si>
  <si>
    <t>검산도해</t>
  </si>
  <si>
    <t>아저씨, 내 기분 왜 이래요?</t>
  </si>
  <si>
    <t>Livingston</t>
  </si>
  <si>
    <t>내일은 이혼해요</t>
  </si>
  <si>
    <t>윤비밀</t>
  </si>
  <si>
    <t>데이몬</t>
  </si>
  <si>
    <t>우리야, 이리온</t>
  </si>
  <si>
    <t>김온별(러브마인)</t>
  </si>
  <si>
    <t>순백의 아가씨</t>
  </si>
  <si>
    <t>한례</t>
  </si>
  <si>
    <t>공작가의 남루한 신부</t>
  </si>
  <si>
    <t>무성매직</t>
  </si>
  <si>
    <t>마왕 데이몬</t>
  </si>
  <si>
    <t>그땐 그랬었다 [BL]</t>
  </si>
  <si>
    <t>앙팡테리블</t>
  </si>
  <si>
    <t>쇠렌센</t>
  </si>
  <si>
    <t>하프블러드</t>
  </si>
  <si>
    <t>[BL] NPC의 사정</t>
  </si>
  <si>
    <t>양이율</t>
  </si>
  <si>
    <t>황설</t>
  </si>
  <si>
    <t>칼 [단행본]</t>
  </si>
  <si>
    <t>신마협도 [단행본]</t>
  </si>
  <si>
    <t>브레이크 포레스트</t>
  </si>
  <si>
    <t>구이</t>
  </si>
  <si>
    <t>용무쌍 [단행본]</t>
  </si>
  <si>
    <t>블레이드헌터</t>
  </si>
  <si>
    <t>트루베니아 연대기</t>
  </si>
  <si>
    <t>보좌관</t>
  </si>
  <si>
    <t>그레이슬린의 붉은 마녀</t>
  </si>
  <si>
    <t>서도연</t>
  </si>
  <si>
    <t>스포트라이트 [단행본]</t>
  </si>
  <si>
    <t>순백의 아가씨 외전 [단행본]</t>
  </si>
  <si>
    <t>질주무왕</t>
  </si>
  <si>
    <t>내 몸을 돌려줘요 [단독 선공개]</t>
  </si>
  <si>
    <t>박도아</t>
  </si>
  <si>
    <t>브레이크 포레스트 [단행본]</t>
  </si>
  <si>
    <t>용중신권</t>
  </si>
  <si>
    <t>소환수를 길들이는 101가지 방법</t>
  </si>
  <si>
    <t>백열음</t>
  </si>
  <si>
    <t>쉿, 그놈을 부탁해 [단행본]</t>
  </si>
  <si>
    <t>컬러 러쉬 [BL] [단행본]</t>
  </si>
  <si>
    <t>호랑이 신을 길들여 버렸다 [단행본]</t>
  </si>
  <si>
    <t>내 사랑 스토커 (외전 선공개)</t>
  </si>
  <si>
    <t>디버스 대도서관</t>
  </si>
  <si>
    <t>절대자의 귀환 [단행본]</t>
  </si>
  <si>
    <t>출판사</t>
    <phoneticPr fontId="6" type="noConversion"/>
  </si>
  <si>
    <r>
      <rPr>
        <sz val="10"/>
        <rFont val="돋움"/>
        <family val="3"/>
        <charset val="129"/>
      </rPr>
      <t>작가</t>
    </r>
    <r>
      <rPr>
        <sz val="11"/>
        <color indexed="8"/>
        <rFont val="맑은 고딕"/>
        <family val="2"/>
        <scheme val="minor"/>
      </rPr>
      <t xml:space="preserve"> CP</t>
    </r>
    <phoneticPr fontId="6" type="noConversion"/>
  </si>
  <si>
    <t>제외</t>
  </si>
  <si>
    <t>김온별</t>
  </si>
  <si>
    <t>아이리스</t>
  </si>
  <si>
    <t>청빙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</si>
</sst>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7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/>
    <xf numFmtId="3" fontId="0" fillId="0" borderId="2" xfId="0" applyNumberFormat="1" applyBorder="1" applyAlignment="1"/>
    <xf numFmtId="3" fontId="0" fillId="3" borderId="0" xfId="0" applyNumberFormat="1" applyFill="1">
      <alignment vertical="center"/>
    </xf>
    <xf numFmtId="0" fontId="5" fillId="4" borderId="3" xfId="0" applyFont="1" applyFill="1" applyBorder="1" applyAlignment="1"/>
    <xf numFmtId="0" fontId="0" fillId="4" borderId="4" xfId="0" applyFill="1" applyBorder="1" applyAlignment="1"/>
  </cellXfs>
  <cellStyles count="4">
    <cellStyle name="쉼표 [0] 3" xfId="2"/>
    <cellStyle name="표준" xfId="0" builtinId="0"/>
    <cellStyle name="표준 3" xfId="1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5&#50900;%20&#47588;&#52636;\cnrk1\202205_&#47588;&#52636;&#52397;&#44396;&#45236;&#50669;_&#52852;&#52852;&#50724;_&#51204;&#5240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체(5)"/>
      <sheetName val="특별계약"/>
      <sheetName val="일반계약"/>
      <sheetName val="컨헤라_마딸,옹주"/>
      <sheetName val="컨헤라_회귀"/>
      <sheetName val="구디스튜디오_간신이 나라를 살림"/>
    </sheetNames>
    <sheetDataSet>
      <sheetData sheetId="0">
        <row r="1">
          <cell r="N1" t="str">
            <v>작가명</v>
          </cell>
          <cell r="O1" t="str">
            <v>ISBN(유/무)</v>
          </cell>
          <cell r="P1" t="str">
            <v>CP정산율_안드로이드/이벤트캐시</v>
          </cell>
          <cell r="Q1" t="str">
            <v>CP정산율_iOS</v>
          </cell>
          <cell r="R1" t="str">
            <v>이용권 종류</v>
          </cell>
          <cell r="S1" t="str">
            <v>이용권 금액</v>
          </cell>
          <cell r="T1" t="str">
            <v>캐시_합계</v>
          </cell>
          <cell r="U1" t="str">
            <v>캐시_CPP</v>
          </cell>
          <cell r="V1" t="str">
            <v>캐시_CPI</v>
          </cell>
          <cell r="W1" t="str">
            <v>캐시_CP1</v>
          </cell>
          <cell r="X1" t="str">
            <v>캐시_CP2</v>
          </cell>
          <cell r="Y1" t="str">
            <v>캐시_CP3</v>
          </cell>
          <cell r="Z1" t="str">
            <v>캐시_CP7</v>
          </cell>
          <cell r="AA1" t="str">
            <v>캐시_CP8</v>
          </cell>
          <cell r="AB1" t="str">
            <v>캐시_CP9</v>
          </cell>
          <cell r="AC1" t="str">
            <v>캐시_이벤트캐시</v>
          </cell>
          <cell r="AD1" t="str">
            <v>원화_합계</v>
          </cell>
          <cell r="AE1" t="str">
            <v>원화_CPP</v>
          </cell>
          <cell r="AF1" t="str">
            <v>원화_CPI</v>
          </cell>
          <cell r="AG1" t="str">
            <v>원화_CP1</v>
          </cell>
          <cell r="AH1" t="str">
            <v>원화_CP2</v>
          </cell>
          <cell r="AI1" t="str">
            <v>원화_CP3</v>
          </cell>
          <cell r="AJ1" t="str">
            <v>원화_CP7</v>
          </cell>
          <cell r="AK1" t="str">
            <v>원화_CP8</v>
          </cell>
          <cell r="AL1" t="str">
            <v>원화_CP9</v>
          </cell>
          <cell r="AM1" t="str">
            <v>원화_이벤트캐시</v>
          </cell>
          <cell r="AN1" t="str">
            <v>공급가액</v>
          </cell>
          <cell r="AO1" t="str">
            <v>부가세</v>
          </cell>
          <cell r="AP1" t="str">
            <v>공급대가</v>
          </cell>
          <cell r="AQ1" t="str">
            <v>출판사</v>
          </cell>
          <cell r="AR1" t="str">
            <v>작가 CP</v>
          </cell>
        </row>
        <row r="2">
          <cell r="N2" t="str">
            <v>김광수</v>
          </cell>
          <cell r="O2" t="str">
            <v>Y</v>
          </cell>
          <cell r="P2">
            <v>0.55000000000000004</v>
          </cell>
          <cell r="Q2">
            <v>0.55000000000000004</v>
          </cell>
          <cell r="R2" t="str">
            <v>단일 이용권</v>
          </cell>
          <cell r="S2">
            <v>100</v>
          </cell>
          <cell r="T2">
            <v>47000</v>
          </cell>
          <cell r="U2">
            <v>1100</v>
          </cell>
          <cell r="V2">
            <v>0</v>
          </cell>
          <cell r="W2">
            <v>0</v>
          </cell>
          <cell r="X2">
            <v>0</v>
          </cell>
          <cell r="Y2">
            <v>50</v>
          </cell>
          <cell r="Z2">
            <v>0</v>
          </cell>
          <cell r="AA2">
            <v>0</v>
          </cell>
          <cell r="AB2">
            <v>0</v>
          </cell>
          <cell r="AC2">
            <v>45850</v>
          </cell>
          <cell r="AD2">
            <v>47010</v>
          </cell>
          <cell r="AE2">
            <v>1100</v>
          </cell>
          <cell r="AF2">
            <v>0</v>
          </cell>
          <cell r="AG2">
            <v>0</v>
          </cell>
          <cell r="AH2">
            <v>0</v>
          </cell>
          <cell r="AI2">
            <v>60</v>
          </cell>
          <cell r="AJ2">
            <v>0</v>
          </cell>
          <cell r="AK2">
            <v>0</v>
          </cell>
          <cell r="AL2">
            <v>0</v>
          </cell>
          <cell r="AM2">
            <v>45850</v>
          </cell>
          <cell r="AN2">
            <v>25856</v>
          </cell>
          <cell r="AO2">
            <v>0</v>
          </cell>
          <cell r="AP2">
            <v>25856</v>
          </cell>
          <cell r="AQ2" t="str">
            <v>스토리위즈</v>
          </cell>
          <cell r="AR2" t="str">
            <v>김광수</v>
          </cell>
        </row>
        <row r="3">
          <cell r="N3" t="str">
            <v>김광수</v>
          </cell>
          <cell r="O3" t="str">
            <v>Y</v>
          </cell>
          <cell r="P3">
            <v>0.55000000000000004</v>
          </cell>
          <cell r="Q3">
            <v>0.55000000000000004</v>
          </cell>
          <cell r="R3" t="str">
            <v>시리즈 이용권 패키지</v>
          </cell>
          <cell r="S3">
            <v>1800</v>
          </cell>
          <cell r="T3">
            <v>52500</v>
          </cell>
          <cell r="U3">
            <v>34500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18000</v>
          </cell>
          <cell r="AD3">
            <v>52500</v>
          </cell>
          <cell r="AE3">
            <v>34500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18000</v>
          </cell>
          <cell r="AN3">
            <v>28875</v>
          </cell>
          <cell r="AO3">
            <v>0</v>
          </cell>
          <cell r="AP3">
            <v>28875</v>
          </cell>
          <cell r="AQ3" t="str">
            <v>스토리위즈</v>
          </cell>
          <cell r="AR3" t="str">
            <v>김광수</v>
          </cell>
        </row>
        <row r="4">
          <cell r="N4" t="str">
            <v>김광수</v>
          </cell>
          <cell r="O4" t="str">
            <v>Y</v>
          </cell>
          <cell r="P4">
            <v>0.55000000000000004</v>
          </cell>
          <cell r="Q4">
            <v>0.55000000000000004</v>
          </cell>
          <cell r="R4" t="str">
            <v>시리즈 이용권 패키지</v>
          </cell>
          <cell r="S4">
            <v>18000</v>
          </cell>
          <cell r="T4">
            <v>54000</v>
          </cell>
          <cell r="U4">
            <v>54000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54000</v>
          </cell>
          <cell r="AE4">
            <v>54000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29700</v>
          </cell>
          <cell r="AO4">
            <v>0</v>
          </cell>
          <cell r="AP4">
            <v>29700</v>
          </cell>
          <cell r="AQ4" t="str">
            <v>스토리위즈</v>
          </cell>
          <cell r="AR4" t="str">
            <v>김광수</v>
          </cell>
        </row>
        <row r="5">
          <cell r="N5" t="str">
            <v>김광수</v>
          </cell>
          <cell r="O5" t="str">
            <v>Y</v>
          </cell>
          <cell r="P5">
            <v>0.55000000000000004</v>
          </cell>
          <cell r="Q5">
            <v>0.55000000000000004</v>
          </cell>
          <cell r="R5" t="str">
            <v>단일 이용권</v>
          </cell>
          <cell r="S5">
            <v>100</v>
          </cell>
          <cell r="T5">
            <v>3900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3900</v>
          </cell>
          <cell r="AD5">
            <v>3900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3900</v>
          </cell>
          <cell r="AN5">
            <v>2145</v>
          </cell>
          <cell r="AO5">
            <v>0</v>
          </cell>
          <cell r="AP5">
            <v>2145</v>
          </cell>
          <cell r="AQ5" t="str">
            <v>스토리위즈</v>
          </cell>
          <cell r="AR5" t="str">
            <v>김광수</v>
          </cell>
        </row>
        <row r="6">
          <cell r="N6" t="str">
            <v>김광수</v>
          </cell>
          <cell r="O6" t="str">
            <v>Y</v>
          </cell>
          <cell r="P6">
            <v>0.55000000000000004</v>
          </cell>
          <cell r="Q6">
            <v>0.55000000000000004</v>
          </cell>
          <cell r="R6" t="str">
            <v>단일 이용권</v>
          </cell>
          <cell r="S6">
            <v>100</v>
          </cell>
          <cell r="T6">
            <v>102900</v>
          </cell>
          <cell r="U6">
            <v>51780</v>
          </cell>
          <cell r="V6">
            <v>0</v>
          </cell>
          <cell r="W6">
            <v>0</v>
          </cell>
          <cell r="X6">
            <v>0</v>
          </cell>
          <cell r="Y6">
            <v>500</v>
          </cell>
          <cell r="Z6">
            <v>1300</v>
          </cell>
          <cell r="AA6">
            <v>0</v>
          </cell>
          <cell r="AB6">
            <v>0</v>
          </cell>
          <cell r="AC6">
            <v>49320</v>
          </cell>
          <cell r="AD6">
            <v>103130</v>
          </cell>
          <cell r="AE6">
            <v>51780</v>
          </cell>
          <cell r="AF6">
            <v>0</v>
          </cell>
          <cell r="AG6">
            <v>0</v>
          </cell>
          <cell r="AH6">
            <v>0</v>
          </cell>
          <cell r="AI6">
            <v>600</v>
          </cell>
          <cell r="AJ6">
            <v>1430</v>
          </cell>
          <cell r="AK6">
            <v>0</v>
          </cell>
          <cell r="AL6">
            <v>0</v>
          </cell>
          <cell r="AM6">
            <v>49320</v>
          </cell>
          <cell r="AN6">
            <v>56722</v>
          </cell>
          <cell r="AO6">
            <v>0</v>
          </cell>
          <cell r="AP6">
            <v>56722</v>
          </cell>
          <cell r="AQ6" t="str">
            <v>스토리위즈</v>
          </cell>
          <cell r="AR6" t="str">
            <v>김광수</v>
          </cell>
        </row>
        <row r="7">
          <cell r="N7" t="str">
            <v>김광수</v>
          </cell>
          <cell r="O7" t="str">
            <v>Y</v>
          </cell>
          <cell r="P7">
            <v>0.55000000000000004</v>
          </cell>
          <cell r="Q7">
            <v>0.55000000000000004</v>
          </cell>
          <cell r="R7" t="str">
            <v>시리즈 이용권 패키지</v>
          </cell>
          <cell r="S7">
            <v>1800</v>
          </cell>
          <cell r="T7">
            <v>232500</v>
          </cell>
          <cell r="U7">
            <v>197600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800</v>
          </cell>
          <cell r="AA7">
            <v>0</v>
          </cell>
          <cell r="AB7">
            <v>0</v>
          </cell>
          <cell r="AC7">
            <v>34100</v>
          </cell>
          <cell r="AD7">
            <v>232580</v>
          </cell>
          <cell r="AE7">
            <v>197600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880</v>
          </cell>
          <cell r="AK7">
            <v>0</v>
          </cell>
          <cell r="AL7">
            <v>0</v>
          </cell>
          <cell r="AM7">
            <v>34100</v>
          </cell>
          <cell r="AN7">
            <v>127919</v>
          </cell>
          <cell r="AO7">
            <v>0</v>
          </cell>
          <cell r="AP7">
            <v>127919</v>
          </cell>
          <cell r="AQ7" t="str">
            <v>스토리위즈</v>
          </cell>
          <cell r="AR7" t="str">
            <v>김광수</v>
          </cell>
        </row>
        <row r="8">
          <cell r="N8" t="str">
            <v>김광수</v>
          </cell>
          <cell r="O8" t="str">
            <v>Y</v>
          </cell>
          <cell r="P8">
            <v>0.55000000000000004</v>
          </cell>
          <cell r="Q8">
            <v>0.55000000000000004</v>
          </cell>
          <cell r="R8" t="str">
            <v>시리즈 이용권 패키지</v>
          </cell>
          <cell r="S8">
            <v>9000</v>
          </cell>
          <cell r="T8">
            <v>384700</v>
          </cell>
          <cell r="U8">
            <v>377600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7100</v>
          </cell>
          <cell r="AD8">
            <v>384700</v>
          </cell>
          <cell r="AE8">
            <v>377600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7100</v>
          </cell>
          <cell r="AN8">
            <v>211585</v>
          </cell>
          <cell r="AO8">
            <v>0</v>
          </cell>
          <cell r="AP8">
            <v>211585</v>
          </cell>
          <cell r="AQ8" t="str">
            <v>스토리위즈</v>
          </cell>
          <cell r="AR8" t="str">
            <v>김광수</v>
          </cell>
        </row>
        <row r="9">
          <cell r="N9" t="str">
            <v>김광수</v>
          </cell>
          <cell r="O9" t="str">
            <v>Y</v>
          </cell>
          <cell r="P9">
            <v>0.55000000000000004</v>
          </cell>
          <cell r="Q9">
            <v>0.55000000000000004</v>
          </cell>
          <cell r="R9" t="str">
            <v>시리즈 이용권 패키지</v>
          </cell>
          <cell r="S9">
            <v>27000</v>
          </cell>
          <cell r="T9">
            <v>27000</v>
          </cell>
          <cell r="U9">
            <v>27000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27000</v>
          </cell>
          <cell r="AE9">
            <v>27000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14850</v>
          </cell>
          <cell r="AO9">
            <v>0</v>
          </cell>
          <cell r="AP9">
            <v>14850</v>
          </cell>
          <cell r="AQ9" t="str">
            <v>스토리위즈</v>
          </cell>
          <cell r="AR9" t="str">
            <v>김광수</v>
          </cell>
        </row>
        <row r="10">
          <cell r="N10" t="str">
            <v>김광수</v>
          </cell>
          <cell r="O10" t="str">
            <v>Y</v>
          </cell>
          <cell r="P10">
            <v>0.55000000000000004</v>
          </cell>
          <cell r="Q10">
            <v>0.55000000000000004</v>
          </cell>
          <cell r="R10" t="str">
            <v>단일 이용권</v>
          </cell>
          <cell r="S10">
            <v>100</v>
          </cell>
          <cell r="T10">
            <v>2400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2400</v>
          </cell>
          <cell r="AD10">
            <v>2400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2400</v>
          </cell>
          <cell r="AN10">
            <v>1320</v>
          </cell>
          <cell r="AO10">
            <v>0</v>
          </cell>
          <cell r="AP10">
            <v>1320</v>
          </cell>
          <cell r="AQ10" t="str">
            <v>스토리위즈</v>
          </cell>
          <cell r="AR10" t="str">
            <v>김광수</v>
          </cell>
        </row>
        <row r="11">
          <cell r="N11" t="str">
            <v>김광수</v>
          </cell>
          <cell r="O11" t="str">
            <v>Y</v>
          </cell>
          <cell r="P11">
            <v>0.55000000000000004</v>
          </cell>
          <cell r="Q11">
            <v>0.55000000000000004</v>
          </cell>
          <cell r="R11" t="str">
            <v>시리즈 이용권 패키지</v>
          </cell>
          <cell r="S11">
            <v>2300</v>
          </cell>
          <cell r="T11">
            <v>1600</v>
          </cell>
          <cell r="U11">
            <v>1600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1600</v>
          </cell>
          <cell r="AE11">
            <v>1600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880</v>
          </cell>
          <cell r="AO11">
            <v>0</v>
          </cell>
          <cell r="AP11">
            <v>880</v>
          </cell>
          <cell r="AQ11" t="str">
            <v>스토리위즈</v>
          </cell>
          <cell r="AR11" t="str">
            <v>김광수</v>
          </cell>
        </row>
        <row r="12">
          <cell r="N12" t="str">
            <v>김광수</v>
          </cell>
          <cell r="O12" t="str">
            <v>Y</v>
          </cell>
          <cell r="P12">
            <v>0.55000000000000004</v>
          </cell>
          <cell r="Q12">
            <v>0.55000000000000004</v>
          </cell>
          <cell r="R12" t="str">
            <v>단일 이용권</v>
          </cell>
          <cell r="S12">
            <v>100</v>
          </cell>
          <cell r="T12">
            <v>9107400</v>
          </cell>
          <cell r="U12">
            <v>2572880</v>
          </cell>
          <cell r="V12">
            <v>0</v>
          </cell>
          <cell r="W12">
            <v>0</v>
          </cell>
          <cell r="X12">
            <v>0</v>
          </cell>
          <cell r="Y12">
            <v>25200</v>
          </cell>
          <cell r="Z12">
            <v>190150</v>
          </cell>
          <cell r="AA12">
            <v>0</v>
          </cell>
          <cell r="AB12">
            <v>0</v>
          </cell>
          <cell r="AC12">
            <v>6319170</v>
          </cell>
          <cell r="AD12">
            <v>9131455</v>
          </cell>
          <cell r="AE12">
            <v>2572880</v>
          </cell>
          <cell r="AF12">
            <v>0</v>
          </cell>
          <cell r="AG12">
            <v>0</v>
          </cell>
          <cell r="AH12">
            <v>0</v>
          </cell>
          <cell r="AI12">
            <v>30240</v>
          </cell>
          <cell r="AJ12">
            <v>209165</v>
          </cell>
          <cell r="AK12">
            <v>0</v>
          </cell>
          <cell r="AL12">
            <v>0</v>
          </cell>
          <cell r="AM12">
            <v>6319170</v>
          </cell>
          <cell r="AN12">
            <v>5022300</v>
          </cell>
          <cell r="AO12">
            <v>0</v>
          </cell>
          <cell r="AP12">
            <v>5022300</v>
          </cell>
          <cell r="AQ12" t="str">
            <v>스토리위즈</v>
          </cell>
          <cell r="AR12" t="str">
            <v>김광수</v>
          </cell>
        </row>
        <row r="13">
          <cell r="N13" t="str">
            <v>김광수</v>
          </cell>
          <cell r="O13" t="str">
            <v>Y</v>
          </cell>
          <cell r="P13">
            <v>0.55000000000000004</v>
          </cell>
          <cell r="Q13">
            <v>0.55000000000000004</v>
          </cell>
          <cell r="R13" t="str">
            <v>시리즈 이용권 패키지</v>
          </cell>
          <cell r="S13">
            <v>2700</v>
          </cell>
          <cell r="T13">
            <v>10469500</v>
          </cell>
          <cell r="U13">
            <v>7683820</v>
          </cell>
          <cell r="V13">
            <v>0</v>
          </cell>
          <cell r="W13">
            <v>0</v>
          </cell>
          <cell r="X13">
            <v>0</v>
          </cell>
          <cell r="Y13">
            <v>45900</v>
          </cell>
          <cell r="Z13">
            <v>436280</v>
          </cell>
          <cell r="AA13">
            <v>0</v>
          </cell>
          <cell r="AB13">
            <v>0</v>
          </cell>
          <cell r="AC13">
            <v>2303500</v>
          </cell>
          <cell r="AD13">
            <v>10522308</v>
          </cell>
          <cell r="AE13">
            <v>7683820</v>
          </cell>
          <cell r="AF13">
            <v>0</v>
          </cell>
          <cell r="AG13">
            <v>0</v>
          </cell>
          <cell r="AH13">
            <v>0</v>
          </cell>
          <cell r="AI13">
            <v>55080</v>
          </cell>
          <cell r="AJ13">
            <v>479908</v>
          </cell>
          <cell r="AK13">
            <v>0</v>
          </cell>
          <cell r="AL13">
            <v>0</v>
          </cell>
          <cell r="AM13">
            <v>2303500</v>
          </cell>
          <cell r="AN13">
            <v>5787269</v>
          </cell>
          <cell r="AO13">
            <v>0</v>
          </cell>
          <cell r="AP13">
            <v>5787269</v>
          </cell>
          <cell r="AQ13" t="str">
            <v>스토리위즈</v>
          </cell>
          <cell r="AR13" t="str">
            <v>김광수</v>
          </cell>
        </row>
        <row r="14">
          <cell r="N14" t="str">
            <v>김광수</v>
          </cell>
          <cell r="O14" t="str">
            <v>Y</v>
          </cell>
          <cell r="P14">
            <v>0.55000000000000004</v>
          </cell>
          <cell r="Q14">
            <v>0.55000000000000004</v>
          </cell>
          <cell r="R14" t="str">
            <v>시리즈 이용권 패키지</v>
          </cell>
          <cell r="S14">
            <v>4500</v>
          </cell>
          <cell r="T14">
            <v>8505900</v>
          </cell>
          <cell r="U14">
            <v>6787070</v>
          </cell>
          <cell r="V14">
            <v>0</v>
          </cell>
          <cell r="W14">
            <v>0</v>
          </cell>
          <cell r="X14">
            <v>0</v>
          </cell>
          <cell r="Y14">
            <v>18400</v>
          </cell>
          <cell r="Z14">
            <v>373820</v>
          </cell>
          <cell r="AA14">
            <v>0</v>
          </cell>
          <cell r="AB14">
            <v>0</v>
          </cell>
          <cell r="AC14">
            <v>1326610</v>
          </cell>
          <cell r="AD14">
            <v>8546962</v>
          </cell>
          <cell r="AE14">
            <v>6787070</v>
          </cell>
          <cell r="AF14">
            <v>0</v>
          </cell>
          <cell r="AG14">
            <v>0</v>
          </cell>
          <cell r="AH14">
            <v>0</v>
          </cell>
          <cell r="AI14">
            <v>22080</v>
          </cell>
          <cell r="AJ14">
            <v>411202</v>
          </cell>
          <cell r="AK14">
            <v>0</v>
          </cell>
          <cell r="AL14">
            <v>0</v>
          </cell>
          <cell r="AM14">
            <v>1326610</v>
          </cell>
          <cell r="AN14">
            <v>4700829</v>
          </cell>
          <cell r="AO14">
            <v>0</v>
          </cell>
          <cell r="AP14">
            <v>4700829</v>
          </cell>
          <cell r="AQ14" t="str">
            <v>스토리위즈</v>
          </cell>
          <cell r="AR14" t="str">
            <v>김광수</v>
          </cell>
        </row>
        <row r="15">
          <cell r="N15" t="str">
            <v>김광수</v>
          </cell>
          <cell r="O15" t="str">
            <v>Y</v>
          </cell>
          <cell r="P15">
            <v>0.55000000000000004</v>
          </cell>
          <cell r="Q15">
            <v>0.55000000000000004</v>
          </cell>
          <cell r="R15" t="str">
            <v>시리즈 이용권 패키지</v>
          </cell>
          <cell r="S15">
            <v>9000</v>
          </cell>
          <cell r="T15">
            <v>19860900</v>
          </cell>
          <cell r="U15">
            <v>16510220</v>
          </cell>
          <cell r="V15">
            <v>0</v>
          </cell>
          <cell r="W15">
            <v>0</v>
          </cell>
          <cell r="X15">
            <v>0</v>
          </cell>
          <cell r="Y15">
            <v>7600</v>
          </cell>
          <cell r="Z15">
            <v>1658300</v>
          </cell>
          <cell r="AA15">
            <v>0</v>
          </cell>
          <cell r="AB15">
            <v>0</v>
          </cell>
          <cell r="AC15">
            <v>1684780</v>
          </cell>
          <cell r="AD15">
            <v>20028250</v>
          </cell>
          <cell r="AE15">
            <v>16510220</v>
          </cell>
          <cell r="AF15">
            <v>0</v>
          </cell>
          <cell r="AG15">
            <v>0</v>
          </cell>
          <cell r="AH15">
            <v>0</v>
          </cell>
          <cell r="AI15">
            <v>9120</v>
          </cell>
          <cell r="AJ15">
            <v>1824130</v>
          </cell>
          <cell r="AK15">
            <v>0</v>
          </cell>
          <cell r="AL15">
            <v>0</v>
          </cell>
          <cell r="AM15">
            <v>1684780</v>
          </cell>
          <cell r="AN15">
            <v>11015538</v>
          </cell>
          <cell r="AO15">
            <v>0</v>
          </cell>
          <cell r="AP15">
            <v>11015538</v>
          </cell>
          <cell r="AQ15" t="str">
            <v>스토리위즈</v>
          </cell>
          <cell r="AR15" t="str">
            <v>김광수</v>
          </cell>
        </row>
        <row r="16">
          <cell r="N16" t="str">
            <v>김광수</v>
          </cell>
          <cell r="O16" t="str">
            <v>Y</v>
          </cell>
          <cell r="P16">
            <v>0.55000000000000004</v>
          </cell>
          <cell r="Q16">
            <v>0.55000000000000004</v>
          </cell>
          <cell r="R16" t="str">
            <v>단일 이용권</v>
          </cell>
          <cell r="S16">
            <v>100</v>
          </cell>
          <cell r="T16">
            <v>3000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3000</v>
          </cell>
          <cell r="AD16">
            <v>3000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3000</v>
          </cell>
          <cell r="AN16">
            <v>1650</v>
          </cell>
          <cell r="AO16">
            <v>0</v>
          </cell>
          <cell r="AP16">
            <v>1650</v>
          </cell>
          <cell r="AQ16" t="str">
            <v>스토리위즈</v>
          </cell>
          <cell r="AR16" t="str">
            <v>김광수</v>
          </cell>
        </row>
        <row r="17">
          <cell r="N17" t="str">
            <v>김광수</v>
          </cell>
          <cell r="O17" t="str">
            <v>Y</v>
          </cell>
          <cell r="P17">
            <v>0.55000000000000004</v>
          </cell>
          <cell r="Q17">
            <v>0.55000000000000004</v>
          </cell>
          <cell r="R17" t="str">
            <v>단일 이용권</v>
          </cell>
          <cell r="S17">
            <v>3200</v>
          </cell>
          <cell r="T17">
            <v>3228800</v>
          </cell>
          <cell r="U17">
            <v>2681260</v>
          </cell>
          <cell r="V17">
            <v>0</v>
          </cell>
          <cell r="W17">
            <v>0</v>
          </cell>
          <cell r="X17">
            <v>0</v>
          </cell>
          <cell r="Y17">
            <v>1430</v>
          </cell>
          <cell r="Z17">
            <v>243610</v>
          </cell>
          <cell r="AA17">
            <v>0</v>
          </cell>
          <cell r="AB17">
            <v>0</v>
          </cell>
          <cell r="AC17">
            <v>302500</v>
          </cell>
          <cell r="AD17">
            <v>3253447</v>
          </cell>
          <cell r="AE17">
            <v>2681260</v>
          </cell>
          <cell r="AF17">
            <v>0</v>
          </cell>
          <cell r="AG17">
            <v>0</v>
          </cell>
          <cell r="AH17">
            <v>0</v>
          </cell>
          <cell r="AI17">
            <v>1716</v>
          </cell>
          <cell r="AJ17">
            <v>267971</v>
          </cell>
          <cell r="AK17">
            <v>0</v>
          </cell>
          <cell r="AL17">
            <v>0</v>
          </cell>
          <cell r="AM17">
            <v>302500</v>
          </cell>
          <cell r="AN17">
            <v>1789396</v>
          </cell>
          <cell r="AO17">
            <v>0</v>
          </cell>
          <cell r="AP17">
            <v>1789396</v>
          </cell>
          <cell r="AQ17" t="str">
            <v>스토리위즈</v>
          </cell>
          <cell r="AR17" t="str">
            <v>김광수</v>
          </cell>
        </row>
        <row r="18">
          <cell r="N18" t="str">
            <v>김광수</v>
          </cell>
          <cell r="O18" t="str">
            <v>Y</v>
          </cell>
          <cell r="P18">
            <v>0.55000000000000004</v>
          </cell>
          <cell r="Q18">
            <v>0.55000000000000004</v>
          </cell>
          <cell r="R18" t="str">
            <v>시리즈 이용권 패키지</v>
          </cell>
          <cell r="S18">
            <v>67200</v>
          </cell>
          <cell r="T18">
            <v>67200</v>
          </cell>
          <cell r="U18">
            <v>67200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67200</v>
          </cell>
          <cell r="AE18">
            <v>67200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36960</v>
          </cell>
          <cell r="AO18">
            <v>0</v>
          </cell>
          <cell r="AP18">
            <v>36960</v>
          </cell>
          <cell r="AQ18" t="str">
            <v>스토리위즈</v>
          </cell>
          <cell r="AR18" t="str">
            <v>김광수</v>
          </cell>
        </row>
        <row r="19">
          <cell r="N19" t="str">
            <v>김광수</v>
          </cell>
          <cell r="O19" t="str">
            <v>Y</v>
          </cell>
          <cell r="P19">
            <v>0.55000000000000004</v>
          </cell>
          <cell r="Q19">
            <v>0.55000000000000004</v>
          </cell>
          <cell r="R19" t="str">
            <v>단일 대여 이용권</v>
          </cell>
          <cell r="S19">
            <v>900</v>
          </cell>
          <cell r="T19">
            <v>41400</v>
          </cell>
          <cell r="U19">
            <v>18830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22570</v>
          </cell>
          <cell r="AD19">
            <v>41400</v>
          </cell>
          <cell r="AE19">
            <v>18830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22570</v>
          </cell>
          <cell r="AN19">
            <v>22770</v>
          </cell>
          <cell r="AO19">
            <v>0</v>
          </cell>
          <cell r="AP19">
            <v>22770</v>
          </cell>
          <cell r="AQ19" t="str">
            <v>스토리위즈</v>
          </cell>
          <cell r="AR19" t="str">
            <v>김광수</v>
          </cell>
        </row>
        <row r="20">
          <cell r="N20" t="str">
            <v>김광수</v>
          </cell>
          <cell r="O20" t="str">
            <v>Y</v>
          </cell>
          <cell r="P20">
            <v>0.55000000000000004</v>
          </cell>
          <cell r="Q20">
            <v>0.55000000000000004</v>
          </cell>
          <cell r="R20" t="str">
            <v>시리즈 대여 이용권 패키지</v>
          </cell>
          <cell r="S20">
            <v>15300</v>
          </cell>
          <cell r="T20">
            <v>30600</v>
          </cell>
          <cell r="U20">
            <v>28600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2000</v>
          </cell>
          <cell r="AD20">
            <v>30600</v>
          </cell>
          <cell r="AE20">
            <v>28600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2000</v>
          </cell>
          <cell r="AN20">
            <v>16830</v>
          </cell>
          <cell r="AO20">
            <v>0</v>
          </cell>
          <cell r="AP20">
            <v>16830</v>
          </cell>
          <cell r="AQ20" t="str">
            <v>스토리위즈</v>
          </cell>
          <cell r="AR20" t="str">
            <v>김광수</v>
          </cell>
        </row>
        <row r="21">
          <cell r="N21" t="str">
            <v>김광수</v>
          </cell>
          <cell r="O21" t="str">
            <v>Y</v>
          </cell>
          <cell r="P21">
            <v>0.55000000000000004</v>
          </cell>
          <cell r="Q21">
            <v>0.55000000000000004</v>
          </cell>
          <cell r="R21" t="str">
            <v>단일 대여 이용권</v>
          </cell>
          <cell r="S21">
            <v>900</v>
          </cell>
          <cell r="T21">
            <v>6300</v>
          </cell>
          <cell r="U21">
            <v>6200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100</v>
          </cell>
          <cell r="AD21">
            <v>6300</v>
          </cell>
          <cell r="AE21">
            <v>6200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100</v>
          </cell>
          <cell r="AN21">
            <v>3465</v>
          </cell>
          <cell r="AO21">
            <v>0</v>
          </cell>
          <cell r="AP21">
            <v>3465</v>
          </cell>
          <cell r="AQ21" t="str">
            <v>스토리위즈</v>
          </cell>
          <cell r="AR21" t="str">
            <v>김광수</v>
          </cell>
        </row>
        <row r="22">
          <cell r="N22" t="str">
            <v>김광수</v>
          </cell>
          <cell r="O22" t="str">
            <v>Y</v>
          </cell>
          <cell r="P22">
            <v>0.55000000000000004</v>
          </cell>
          <cell r="Q22">
            <v>0.55000000000000004</v>
          </cell>
          <cell r="R22" t="str">
            <v>단일 이용권</v>
          </cell>
          <cell r="S22">
            <v>3200</v>
          </cell>
          <cell r="T22">
            <v>22400</v>
          </cell>
          <cell r="U22">
            <v>22200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200</v>
          </cell>
          <cell r="AD22">
            <v>22400</v>
          </cell>
          <cell r="AE22">
            <v>22200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200</v>
          </cell>
          <cell r="AN22">
            <v>12320</v>
          </cell>
          <cell r="AO22">
            <v>0</v>
          </cell>
          <cell r="AP22">
            <v>12320</v>
          </cell>
          <cell r="AQ22" t="str">
            <v>스토리위즈</v>
          </cell>
          <cell r="AR22" t="str">
            <v>김광수</v>
          </cell>
        </row>
        <row r="23">
          <cell r="N23" t="str">
            <v>김광수</v>
          </cell>
          <cell r="O23" t="str">
            <v>Y</v>
          </cell>
          <cell r="P23">
            <v>0.55000000000000004</v>
          </cell>
          <cell r="Q23">
            <v>0.55000000000000004</v>
          </cell>
          <cell r="R23" t="str">
            <v>단일 이용권</v>
          </cell>
          <cell r="S23">
            <v>3200</v>
          </cell>
          <cell r="T23">
            <v>16000</v>
          </cell>
          <cell r="U23">
            <v>14500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1500</v>
          </cell>
          <cell r="AD23">
            <v>16000</v>
          </cell>
          <cell r="AE23">
            <v>14500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1500</v>
          </cell>
          <cell r="AN23">
            <v>8800</v>
          </cell>
          <cell r="AO23">
            <v>0</v>
          </cell>
          <cell r="AP23">
            <v>8800</v>
          </cell>
          <cell r="AQ23" t="str">
            <v>스토리위즈</v>
          </cell>
          <cell r="AR23" t="str">
            <v>김광수</v>
          </cell>
        </row>
        <row r="24">
          <cell r="N24" t="str">
            <v>김광수</v>
          </cell>
          <cell r="O24" t="str">
            <v>Y</v>
          </cell>
          <cell r="P24">
            <v>0.55000000000000004</v>
          </cell>
          <cell r="Q24">
            <v>0.55000000000000004</v>
          </cell>
          <cell r="R24" t="str">
            <v>단일 이용권</v>
          </cell>
          <cell r="S24">
            <v>3200</v>
          </cell>
          <cell r="T24">
            <v>3200</v>
          </cell>
          <cell r="U24">
            <v>3200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3200</v>
          </cell>
          <cell r="AE24">
            <v>3200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1760</v>
          </cell>
          <cell r="AO24">
            <v>0</v>
          </cell>
          <cell r="AP24">
            <v>1760</v>
          </cell>
          <cell r="AQ24" t="str">
            <v>스토리위즈</v>
          </cell>
          <cell r="AR24" t="str">
            <v>김광수</v>
          </cell>
        </row>
        <row r="25">
          <cell r="N25" t="str">
            <v>김광수</v>
          </cell>
          <cell r="O25" t="str">
            <v>Y</v>
          </cell>
          <cell r="P25">
            <v>0.55000000000000004</v>
          </cell>
          <cell r="Q25">
            <v>0.55000000000000004</v>
          </cell>
          <cell r="R25" t="str">
            <v>단일 대여 이용권</v>
          </cell>
          <cell r="S25">
            <v>900</v>
          </cell>
          <cell r="T25">
            <v>108000</v>
          </cell>
          <cell r="U25">
            <v>70600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37400</v>
          </cell>
          <cell r="AD25">
            <v>108000</v>
          </cell>
          <cell r="AE25">
            <v>70600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37400</v>
          </cell>
          <cell r="AN25">
            <v>59400</v>
          </cell>
          <cell r="AO25">
            <v>0</v>
          </cell>
          <cell r="AP25">
            <v>59400</v>
          </cell>
          <cell r="AQ25" t="str">
            <v>스토리위즈</v>
          </cell>
          <cell r="AR25" t="str">
            <v>김광수</v>
          </cell>
        </row>
        <row r="26">
          <cell r="N26" t="str">
            <v>김광수</v>
          </cell>
          <cell r="O26" t="str">
            <v>Y</v>
          </cell>
          <cell r="P26">
            <v>0.55000000000000004</v>
          </cell>
          <cell r="Q26">
            <v>0.55000000000000004</v>
          </cell>
          <cell r="R26" t="str">
            <v>시리즈 대여 이용권 패키지</v>
          </cell>
          <cell r="S26">
            <v>26100</v>
          </cell>
          <cell r="T26">
            <v>26100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24100</v>
          </cell>
          <cell r="AA26">
            <v>0</v>
          </cell>
          <cell r="AB26">
            <v>0</v>
          </cell>
          <cell r="AC26">
            <v>2000</v>
          </cell>
          <cell r="AD26">
            <v>28510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26510</v>
          </cell>
          <cell r="AK26">
            <v>0</v>
          </cell>
          <cell r="AL26">
            <v>0</v>
          </cell>
          <cell r="AM26">
            <v>2000</v>
          </cell>
          <cell r="AN26">
            <v>15681</v>
          </cell>
          <cell r="AO26">
            <v>0</v>
          </cell>
          <cell r="AP26">
            <v>15681</v>
          </cell>
          <cell r="AQ26" t="str">
            <v>스토리위즈</v>
          </cell>
          <cell r="AR26" t="str">
            <v>김광수</v>
          </cell>
        </row>
        <row r="27">
          <cell r="N27" t="str">
            <v>김광수</v>
          </cell>
          <cell r="O27" t="str">
            <v>Y</v>
          </cell>
          <cell r="P27">
            <v>0.55000000000000004</v>
          </cell>
          <cell r="Q27">
            <v>0.55000000000000004</v>
          </cell>
          <cell r="R27" t="str">
            <v>단일 대여 이용권</v>
          </cell>
          <cell r="S27">
            <v>900</v>
          </cell>
          <cell r="T27">
            <v>64800</v>
          </cell>
          <cell r="U27">
            <v>62100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2700</v>
          </cell>
          <cell r="AD27">
            <v>64800</v>
          </cell>
          <cell r="AE27">
            <v>62100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2700</v>
          </cell>
          <cell r="AN27">
            <v>35640</v>
          </cell>
          <cell r="AO27">
            <v>0</v>
          </cell>
          <cell r="AP27">
            <v>35640</v>
          </cell>
          <cell r="AQ27" t="str">
            <v>스토리위즈</v>
          </cell>
          <cell r="AR27" t="str">
            <v>김광수</v>
          </cell>
        </row>
        <row r="28">
          <cell r="N28" t="str">
            <v>김광수</v>
          </cell>
          <cell r="O28" t="str">
            <v>Y</v>
          </cell>
          <cell r="P28">
            <v>0.55000000000000004</v>
          </cell>
          <cell r="Q28">
            <v>0.55000000000000004</v>
          </cell>
          <cell r="R28" t="str">
            <v>단일 대여 이용권</v>
          </cell>
          <cell r="S28">
            <v>900</v>
          </cell>
          <cell r="T28">
            <v>23400</v>
          </cell>
          <cell r="U28">
            <v>21800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1600</v>
          </cell>
          <cell r="AD28">
            <v>23400</v>
          </cell>
          <cell r="AE28">
            <v>21800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1600</v>
          </cell>
          <cell r="AN28">
            <v>12870</v>
          </cell>
          <cell r="AO28">
            <v>0</v>
          </cell>
          <cell r="AP28">
            <v>12870</v>
          </cell>
          <cell r="AQ28" t="str">
            <v>스토리위즈</v>
          </cell>
          <cell r="AR28" t="str">
            <v>김광수</v>
          </cell>
        </row>
        <row r="29">
          <cell r="N29" t="str">
            <v>김광수</v>
          </cell>
          <cell r="O29" t="str">
            <v>Y</v>
          </cell>
          <cell r="P29">
            <v>0.55000000000000004</v>
          </cell>
          <cell r="Q29">
            <v>0.55000000000000004</v>
          </cell>
          <cell r="R29" t="str">
            <v>시리즈 대여 이용권 패키지</v>
          </cell>
          <cell r="S29">
            <v>8100</v>
          </cell>
          <cell r="T29">
            <v>8100</v>
          </cell>
          <cell r="U29">
            <v>8100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8100</v>
          </cell>
          <cell r="AE29">
            <v>8100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4455</v>
          </cell>
          <cell r="AO29">
            <v>0</v>
          </cell>
          <cell r="AP29">
            <v>4455</v>
          </cell>
          <cell r="AQ29" t="str">
            <v>스토리위즈</v>
          </cell>
          <cell r="AR29" t="str">
            <v>김광수</v>
          </cell>
        </row>
        <row r="30">
          <cell r="N30" t="str">
            <v>김광수</v>
          </cell>
          <cell r="O30" t="str">
            <v>Y</v>
          </cell>
          <cell r="P30">
            <v>0.55000000000000004</v>
          </cell>
          <cell r="Q30">
            <v>0.55000000000000004</v>
          </cell>
          <cell r="R30" t="str">
            <v>단일 대여 이용권</v>
          </cell>
          <cell r="S30">
            <v>900</v>
          </cell>
          <cell r="T30">
            <v>46800</v>
          </cell>
          <cell r="U30">
            <v>38200</v>
          </cell>
          <cell r="V30">
            <v>0</v>
          </cell>
          <cell r="W30">
            <v>0</v>
          </cell>
          <cell r="X30">
            <v>0</v>
          </cell>
          <cell r="Y30">
            <v>8100</v>
          </cell>
          <cell r="Z30">
            <v>0</v>
          </cell>
          <cell r="AA30">
            <v>0</v>
          </cell>
          <cell r="AB30">
            <v>0</v>
          </cell>
          <cell r="AC30">
            <v>500</v>
          </cell>
          <cell r="AD30">
            <v>48420</v>
          </cell>
          <cell r="AE30">
            <v>38200</v>
          </cell>
          <cell r="AF30">
            <v>0</v>
          </cell>
          <cell r="AG30">
            <v>0</v>
          </cell>
          <cell r="AH30">
            <v>0</v>
          </cell>
          <cell r="AI30">
            <v>9720</v>
          </cell>
          <cell r="AJ30">
            <v>0</v>
          </cell>
          <cell r="AK30">
            <v>0</v>
          </cell>
          <cell r="AL30">
            <v>0</v>
          </cell>
          <cell r="AM30">
            <v>500</v>
          </cell>
          <cell r="AN30">
            <v>26631</v>
          </cell>
          <cell r="AO30">
            <v>0</v>
          </cell>
          <cell r="AP30">
            <v>26631</v>
          </cell>
          <cell r="AQ30" t="str">
            <v>스토리위즈</v>
          </cell>
          <cell r="AR30" t="str">
            <v>김광수</v>
          </cell>
        </row>
        <row r="31">
          <cell r="N31" t="str">
            <v>김정연</v>
          </cell>
          <cell r="O31" t="str">
            <v>Y</v>
          </cell>
          <cell r="P31">
            <v>0.55000000000000004</v>
          </cell>
          <cell r="Q31">
            <v>0.55000000000000004</v>
          </cell>
          <cell r="R31" t="str">
            <v>단일 이용권</v>
          </cell>
          <cell r="S31">
            <v>100</v>
          </cell>
          <cell r="T31">
            <v>916900</v>
          </cell>
          <cell r="U31">
            <v>497430</v>
          </cell>
          <cell r="V31">
            <v>0</v>
          </cell>
          <cell r="W31">
            <v>0</v>
          </cell>
          <cell r="X31">
            <v>0</v>
          </cell>
          <cell r="Y31">
            <v>3500</v>
          </cell>
          <cell r="Z31">
            <v>36400</v>
          </cell>
          <cell r="AA31">
            <v>0</v>
          </cell>
          <cell r="AB31">
            <v>0</v>
          </cell>
          <cell r="AC31">
            <v>379570</v>
          </cell>
          <cell r="AD31">
            <v>921240</v>
          </cell>
          <cell r="AE31">
            <v>497430</v>
          </cell>
          <cell r="AF31">
            <v>0</v>
          </cell>
          <cell r="AG31">
            <v>0</v>
          </cell>
          <cell r="AH31">
            <v>0</v>
          </cell>
          <cell r="AI31">
            <v>4200</v>
          </cell>
          <cell r="AJ31">
            <v>40040</v>
          </cell>
          <cell r="AK31">
            <v>0</v>
          </cell>
          <cell r="AL31">
            <v>0</v>
          </cell>
          <cell r="AM31">
            <v>379570</v>
          </cell>
          <cell r="AN31">
            <v>506682</v>
          </cell>
          <cell r="AO31">
            <v>0</v>
          </cell>
          <cell r="AP31">
            <v>506682</v>
          </cell>
          <cell r="AQ31" t="str">
            <v>스토리위즈</v>
          </cell>
          <cell r="AR31" t="str">
            <v>김정연</v>
          </cell>
        </row>
        <row r="32">
          <cell r="N32" t="str">
            <v>김운담</v>
          </cell>
          <cell r="O32" t="str">
            <v>Y</v>
          </cell>
          <cell r="P32">
            <v>0.55000000000000004</v>
          </cell>
          <cell r="Q32">
            <v>0.55000000000000004</v>
          </cell>
          <cell r="R32" t="str">
            <v>단일 이용권</v>
          </cell>
          <cell r="S32">
            <v>100</v>
          </cell>
          <cell r="T32">
            <v>1083000</v>
          </cell>
          <cell r="U32">
            <v>243760</v>
          </cell>
          <cell r="V32">
            <v>0</v>
          </cell>
          <cell r="W32">
            <v>0</v>
          </cell>
          <cell r="X32">
            <v>0</v>
          </cell>
          <cell r="Y32">
            <v>20350</v>
          </cell>
          <cell r="Z32">
            <v>13130</v>
          </cell>
          <cell r="AA32">
            <v>0</v>
          </cell>
          <cell r="AB32">
            <v>0</v>
          </cell>
          <cell r="AC32">
            <v>805760</v>
          </cell>
          <cell r="AD32">
            <v>1088383</v>
          </cell>
          <cell r="AE32">
            <v>243760</v>
          </cell>
          <cell r="AF32">
            <v>0</v>
          </cell>
          <cell r="AG32">
            <v>0</v>
          </cell>
          <cell r="AH32">
            <v>0</v>
          </cell>
          <cell r="AI32">
            <v>24420</v>
          </cell>
          <cell r="AJ32">
            <v>14443</v>
          </cell>
          <cell r="AK32">
            <v>0</v>
          </cell>
          <cell r="AL32">
            <v>0</v>
          </cell>
          <cell r="AM32">
            <v>805760</v>
          </cell>
          <cell r="AN32">
            <v>598611</v>
          </cell>
          <cell r="AO32">
            <v>0</v>
          </cell>
          <cell r="AP32">
            <v>598611</v>
          </cell>
          <cell r="AQ32" t="str">
            <v>스토리위즈</v>
          </cell>
          <cell r="AR32" t="str">
            <v>김운담</v>
          </cell>
        </row>
        <row r="33">
          <cell r="N33" t="str">
            <v>김운담</v>
          </cell>
          <cell r="O33" t="str">
            <v>Y</v>
          </cell>
          <cell r="P33">
            <v>0.55000000000000004</v>
          </cell>
          <cell r="Q33">
            <v>0.55000000000000004</v>
          </cell>
          <cell r="R33" t="str">
            <v>시리즈 이용권 패키지</v>
          </cell>
          <cell r="S33">
            <v>1900</v>
          </cell>
          <cell r="T33">
            <v>665000</v>
          </cell>
          <cell r="U33">
            <v>405420</v>
          </cell>
          <cell r="V33">
            <v>0</v>
          </cell>
          <cell r="W33">
            <v>0</v>
          </cell>
          <cell r="X33">
            <v>0</v>
          </cell>
          <cell r="Y33">
            <v>21200</v>
          </cell>
          <cell r="Z33">
            <v>18680</v>
          </cell>
          <cell r="AA33">
            <v>0</v>
          </cell>
          <cell r="AB33">
            <v>0</v>
          </cell>
          <cell r="AC33">
            <v>219700</v>
          </cell>
          <cell r="AD33">
            <v>671108</v>
          </cell>
          <cell r="AE33">
            <v>405420</v>
          </cell>
          <cell r="AF33">
            <v>0</v>
          </cell>
          <cell r="AG33">
            <v>0</v>
          </cell>
          <cell r="AH33">
            <v>0</v>
          </cell>
          <cell r="AI33">
            <v>25440</v>
          </cell>
          <cell r="AJ33">
            <v>20548</v>
          </cell>
          <cell r="AK33">
            <v>0</v>
          </cell>
          <cell r="AL33">
            <v>0</v>
          </cell>
          <cell r="AM33">
            <v>219700</v>
          </cell>
          <cell r="AN33">
            <v>369109</v>
          </cell>
          <cell r="AO33">
            <v>0</v>
          </cell>
          <cell r="AP33">
            <v>369109</v>
          </cell>
          <cell r="AQ33" t="str">
            <v>스토리위즈</v>
          </cell>
          <cell r="AR33" t="str">
            <v>김운담</v>
          </cell>
        </row>
        <row r="34">
          <cell r="N34" t="str">
            <v>김운담</v>
          </cell>
          <cell r="O34" t="str">
            <v>Y</v>
          </cell>
          <cell r="P34">
            <v>0.55000000000000004</v>
          </cell>
          <cell r="Q34">
            <v>0.55000000000000004</v>
          </cell>
          <cell r="R34" t="str">
            <v>시리즈 이용권 패키지</v>
          </cell>
          <cell r="S34">
            <v>3700</v>
          </cell>
          <cell r="T34">
            <v>416900</v>
          </cell>
          <cell r="U34">
            <v>324910</v>
          </cell>
          <cell r="V34">
            <v>0</v>
          </cell>
          <cell r="W34">
            <v>0</v>
          </cell>
          <cell r="X34">
            <v>0</v>
          </cell>
          <cell r="Y34">
            <v>3700</v>
          </cell>
          <cell r="Z34">
            <v>18500</v>
          </cell>
          <cell r="AA34">
            <v>0</v>
          </cell>
          <cell r="AB34">
            <v>0</v>
          </cell>
          <cell r="AC34">
            <v>69790</v>
          </cell>
          <cell r="AD34">
            <v>419490</v>
          </cell>
          <cell r="AE34">
            <v>324910</v>
          </cell>
          <cell r="AF34">
            <v>0</v>
          </cell>
          <cell r="AG34">
            <v>0</v>
          </cell>
          <cell r="AH34">
            <v>0</v>
          </cell>
          <cell r="AI34">
            <v>4440</v>
          </cell>
          <cell r="AJ34">
            <v>20350</v>
          </cell>
          <cell r="AK34">
            <v>0</v>
          </cell>
          <cell r="AL34">
            <v>0</v>
          </cell>
          <cell r="AM34">
            <v>69790</v>
          </cell>
          <cell r="AN34">
            <v>230720</v>
          </cell>
          <cell r="AO34">
            <v>0</v>
          </cell>
          <cell r="AP34">
            <v>230720</v>
          </cell>
          <cell r="AQ34" t="str">
            <v>스토리위즈</v>
          </cell>
          <cell r="AR34" t="str">
            <v>김운담</v>
          </cell>
        </row>
        <row r="35">
          <cell r="N35" t="str">
            <v>김운담</v>
          </cell>
          <cell r="O35" t="str">
            <v>Y</v>
          </cell>
          <cell r="P35">
            <v>0.55000000000000004</v>
          </cell>
          <cell r="Q35">
            <v>0.55000000000000004</v>
          </cell>
          <cell r="R35" t="str">
            <v>시리즈 이용권 패키지</v>
          </cell>
          <cell r="S35">
            <v>7200</v>
          </cell>
          <cell r="T35">
            <v>390300</v>
          </cell>
          <cell r="U35">
            <v>322180</v>
          </cell>
          <cell r="V35">
            <v>0</v>
          </cell>
          <cell r="W35">
            <v>0</v>
          </cell>
          <cell r="X35">
            <v>0</v>
          </cell>
          <cell r="Y35">
            <v>450</v>
          </cell>
          <cell r="Z35">
            <v>36450</v>
          </cell>
          <cell r="AA35">
            <v>0</v>
          </cell>
          <cell r="AB35">
            <v>0</v>
          </cell>
          <cell r="AC35">
            <v>31220</v>
          </cell>
          <cell r="AD35">
            <v>394035</v>
          </cell>
          <cell r="AE35">
            <v>322180</v>
          </cell>
          <cell r="AF35">
            <v>0</v>
          </cell>
          <cell r="AG35">
            <v>0</v>
          </cell>
          <cell r="AH35">
            <v>0</v>
          </cell>
          <cell r="AI35">
            <v>540</v>
          </cell>
          <cell r="AJ35">
            <v>40095</v>
          </cell>
          <cell r="AK35">
            <v>0</v>
          </cell>
          <cell r="AL35">
            <v>0</v>
          </cell>
          <cell r="AM35">
            <v>31220</v>
          </cell>
          <cell r="AN35">
            <v>216719</v>
          </cell>
          <cell r="AO35">
            <v>0</v>
          </cell>
          <cell r="AP35">
            <v>216719</v>
          </cell>
          <cell r="AQ35" t="str">
            <v>스토리위즈</v>
          </cell>
          <cell r="AR35" t="str">
            <v>김운담</v>
          </cell>
        </row>
        <row r="36">
          <cell r="N36" t="str">
            <v>틴타</v>
          </cell>
          <cell r="O36" t="str">
            <v>Y</v>
          </cell>
          <cell r="P36">
            <v>0.55000000000000004</v>
          </cell>
          <cell r="Q36">
            <v>0.55000000000000004</v>
          </cell>
          <cell r="R36" t="str">
            <v>단일 이용권</v>
          </cell>
          <cell r="S36">
            <v>100</v>
          </cell>
          <cell r="T36">
            <v>61400</v>
          </cell>
          <cell r="U36">
            <v>28580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32820</v>
          </cell>
          <cell r="AD36">
            <v>61400</v>
          </cell>
          <cell r="AE36">
            <v>28580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32820</v>
          </cell>
          <cell r="AN36">
            <v>33770</v>
          </cell>
          <cell r="AO36">
            <v>0</v>
          </cell>
          <cell r="AP36">
            <v>33770</v>
          </cell>
          <cell r="AQ36" t="str">
            <v>스토리위즈</v>
          </cell>
          <cell r="AR36" t="str">
            <v>틴타</v>
          </cell>
        </row>
        <row r="37">
          <cell r="N37" t="str">
            <v>틴타</v>
          </cell>
          <cell r="O37" t="str">
            <v>Y</v>
          </cell>
          <cell r="P37">
            <v>0.55000000000000004</v>
          </cell>
          <cell r="Q37">
            <v>0.55000000000000004</v>
          </cell>
          <cell r="R37" t="str">
            <v>시리즈 이용권 패키지</v>
          </cell>
          <cell r="S37">
            <v>2400</v>
          </cell>
          <cell r="T37">
            <v>68000</v>
          </cell>
          <cell r="U37">
            <v>64800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1700</v>
          </cell>
          <cell r="AA37">
            <v>0</v>
          </cell>
          <cell r="AB37">
            <v>0</v>
          </cell>
          <cell r="AC37">
            <v>1500</v>
          </cell>
          <cell r="AD37">
            <v>68170</v>
          </cell>
          <cell r="AE37">
            <v>64800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1870</v>
          </cell>
          <cell r="AK37">
            <v>0</v>
          </cell>
          <cell r="AL37">
            <v>0</v>
          </cell>
          <cell r="AM37">
            <v>1500</v>
          </cell>
          <cell r="AN37">
            <v>37494</v>
          </cell>
          <cell r="AO37">
            <v>0</v>
          </cell>
          <cell r="AP37">
            <v>37494</v>
          </cell>
          <cell r="AQ37" t="str">
            <v>스토리위즈</v>
          </cell>
          <cell r="AR37" t="str">
            <v>틴타</v>
          </cell>
        </row>
        <row r="38">
          <cell r="N38" t="str">
            <v>틴타</v>
          </cell>
          <cell r="O38" t="str">
            <v>Y</v>
          </cell>
          <cell r="P38">
            <v>0.55000000000000004</v>
          </cell>
          <cell r="Q38">
            <v>0.55000000000000004</v>
          </cell>
          <cell r="R38" t="str">
            <v>시리즈 이용권 패키지</v>
          </cell>
          <cell r="S38">
            <v>4600</v>
          </cell>
          <cell r="T38">
            <v>38000</v>
          </cell>
          <cell r="U38">
            <v>37200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800</v>
          </cell>
          <cell r="AD38">
            <v>38000</v>
          </cell>
          <cell r="AE38">
            <v>37200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800</v>
          </cell>
          <cell r="AN38">
            <v>20900</v>
          </cell>
          <cell r="AO38">
            <v>0</v>
          </cell>
          <cell r="AP38">
            <v>20900</v>
          </cell>
          <cell r="AQ38" t="str">
            <v>스토리위즈</v>
          </cell>
          <cell r="AR38" t="str">
            <v>틴타</v>
          </cell>
        </row>
        <row r="39">
          <cell r="N39" t="str">
            <v>틴타</v>
          </cell>
          <cell r="O39" t="str">
            <v>Y</v>
          </cell>
          <cell r="P39">
            <v>0.55000000000000004</v>
          </cell>
          <cell r="Q39">
            <v>0.55000000000000004</v>
          </cell>
          <cell r="R39" t="str">
            <v>시리즈 이용권 패키지</v>
          </cell>
          <cell r="S39">
            <v>9000</v>
          </cell>
          <cell r="T39">
            <v>46800</v>
          </cell>
          <cell r="U39">
            <v>44400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2400</v>
          </cell>
          <cell r="AD39">
            <v>46800</v>
          </cell>
          <cell r="AE39">
            <v>44400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2400</v>
          </cell>
          <cell r="AN39">
            <v>25740</v>
          </cell>
          <cell r="AO39">
            <v>0</v>
          </cell>
          <cell r="AP39">
            <v>25740</v>
          </cell>
          <cell r="AQ39" t="str">
            <v>스토리위즈</v>
          </cell>
          <cell r="AR39" t="str">
            <v>틴타</v>
          </cell>
        </row>
        <row r="40">
          <cell r="N40" t="str">
            <v>프레인</v>
          </cell>
          <cell r="O40" t="str">
            <v>Y</v>
          </cell>
          <cell r="P40">
            <v>0.55000000000000004</v>
          </cell>
          <cell r="Q40">
            <v>0.55000000000000004</v>
          </cell>
          <cell r="R40" t="str">
            <v>단일 이용권</v>
          </cell>
          <cell r="S40">
            <v>100</v>
          </cell>
          <cell r="T40">
            <v>46600</v>
          </cell>
          <cell r="U40">
            <v>10900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35700</v>
          </cell>
          <cell r="AD40">
            <v>46600</v>
          </cell>
          <cell r="AE40">
            <v>10900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35700</v>
          </cell>
          <cell r="AN40">
            <v>25630</v>
          </cell>
          <cell r="AO40">
            <v>0</v>
          </cell>
          <cell r="AP40">
            <v>25630</v>
          </cell>
          <cell r="AQ40" t="str">
            <v>스토리위즈</v>
          </cell>
          <cell r="AR40" t="str">
            <v>프레인</v>
          </cell>
        </row>
        <row r="41">
          <cell r="N41" t="str">
            <v>프레인</v>
          </cell>
          <cell r="O41" t="str">
            <v>Y</v>
          </cell>
          <cell r="P41">
            <v>0.55000000000000004</v>
          </cell>
          <cell r="Q41">
            <v>0.55000000000000004</v>
          </cell>
          <cell r="R41" t="str">
            <v>시리즈 이용권 패키지</v>
          </cell>
          <cell r="S41">
            <v>4500</v>
          </cell>
          <cell r="T41">
            <v>73100</v>
          </cell>
          <cell r="U41">
            <v>73000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100</v>
          </cell>
          <cell r="AD41">
            <v>73100</v>
          </cell>
          <cell r="AE41">
            <v>73000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100</v>
          </cell>
          <cell r="AN41">
            <v>40205</v>
          </cell>
          <cell r="AO41">
            <v>0</v>
          </cell>
          <cell r="AP41">
            <v>40205</v>
          </cell>
          <cell r="AQ41" t="str">
            <v>스토리위즈</v>
          </cell>
          <cell r="AR41" t="str">
            <v>프레인</v>
          </cell>
        </row>
        <row r="42">
          <cell r="N42" t="str">
            <v>프레인</v>
          </cell>
          <cell r="O42" t="str">
            <v>Y</v>
          </cell>
          <cell r="P42">
            <v>0.55000000000000004</v>
          </cell>
          <cell r="Q42">
            <v>0.55000000000000004</v>
          </cell>
          <cell r="R42" t="str">
            <v>시리즈 이용권 패키지</v>
          </cell>
          <cell r="S42">
            <v>9000</v>
          </cell>
          <cell r="T42">
            <v>9000</v>
          </cell>
          <cell r="U42">
            <v>9000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9000</v>
          </cell>
          <cell r="AE42">
            <v>9000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4950</v>
          </cell>
          <cell r="AO42">
            <v>0</v>
          </cell>
          <cell r="AP42">
            <v>4950</v>
          </cell>
          <cell r="AQ42" t="str">
            <v>스토리위즈</v>
          </cell>
          <cell r="AR42" t="str">
            <v>프레인</v>
          </cell>
        </row>
        <row r="43">
          <cell r="N43" t="str">
            <v>프레인</v>
          </cell>
          <cell r="O43" t="str">
            <v>Y</v>
          </cell>
          <cell r="P43">
            <v>0.55000000000000004</v>
          </cell>
          <cell r="Q43">
            <v>0.55000000000000004</v>
          </cell>
          <cell r="R43" t="str">
            <v>시리즈 이용권 패키지</v>
          </cell>
          <cell r="S43">
            <v>13500</v>
          </cell>
          <cell r="T43">
            <v>49400</v>
          </cell>
          <cell r="U43">
            <v>48900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500</v>
          </cell>
          <cell r="AD43">
            <v>49400</v>
          </cell>
          <cell r="AE43">
            <v>48900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500</v>
          </cell>
          <cell r="AN43">
            <v>27170</v>
          </cell>
          <cell r="AO43">
            <v>0</v>
          </cell>
          <cell r="AP43">
            <v>27170</v>
          </cell>
          <cell r="AQ43" t="str">
            <v>스토리위즈</v>
          </cell>
          <cell r="AR43" t="str">
            <v>프레인</v>
          </cell>
        </row>
        <row r="44">
          <cell r="N44" t="str">
            <v>아이리스</v>
          </cell>
          <cell r="O44" t="str">
            <v>Y</v>
          </cell>
          <cell r="P44">
            <v>0.55000000000000004</v>
          </cell>
          <cell r="Q44">
            <v>0.55000000000000004</v>
          </cell>
          <cell r="R44" t="str">
            <v>단일 이용권</v>
          </cell>
          <cell r="S44">
            <v>100</v>
          </cell>
          <cell r="T44">
            <v>11700</v>
          </cell>
          <cell r="U44">
            <v>8700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3000</v>
          </cell>
          <cell r="AD44">
            <v>11700</v>
          </cell>
          <cell r="AE44">
            <v>8700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3000</v>
          </cell>
          <cell r="AN44">
            <v>6435</v>
          </cell>
          <cell r="AO44">
            <v>0</v>
          </cell>
          <cell r="AP44">
            <v>6435</v>
          </cell>
          <cell r="AQ44" t="str">
            <v>스토리위즈</v>
          </cell>
          <cell r="AR44" t="str">
            <v>아이리스</v>
          </cell>
        </row>
        <row r="45">
          <cell r="N45" t="str">
            <v>아이리스</v>
          </cell>
          <cell r="O45" t="str">
            <v>Y</v>
          </cell>
          <cell r="P45">
            <v>0.55000000000000004</v>
          </cell>
          <cell r="Q45">
            <v>0.55000000000000004</v>
          </cell>
          <cell r="R45" t="str">
            <v>시리즈 이용권 패키지</v>
          </cell>
          <cell r="S45">
            <v>900</v>
          </cell>
          <cell r="T45">
            <v>10200</v>
          </cell>
          <cell r="U45">
            <v>8400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1800</v>
          </cell>
          <cell r="AD45">
            <v>10200</v>
          </cell>
          <cell r="AE45">
            <v>8400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1800</v>
          </cell>
          <cell r="AN45">
            <v>5610</v>
          </cell>
          <cell r="AO45">
            <v>0</v>
          </cell>
          <cell r="AP45">
            <v>5610</v>
          </cell>
          <cell r="AQ45" t="str">
            <v>스토리위즈</v>
          </cell>
          <cell r="AR45" t="str">
            <v>아이리스</v>
          </cell>
        </row>
        <row r="46">
          <cell r="N46" t="str">
            <v>아이리스</v>
          </cell>
          <cell r="O46" t="str">
            <v>Y</v>
          </cell>
          <cell r="P46">
            <v>0.55000000000000004</v>
          </cell>
          <cell r="Q46">
            <v>0.55000000000000004</v>
          </cell>
          <cell r="R46" t="str">
            <v>시리즈 이용권 패키지</v>
          </cell>
          <cell r="S46">
            <v>2700</v>
          </cell>
          <cell r="T46">
            <v>10800</v>
          </cell>
          <cell r="U46">
            <v>8100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2700</v>
          </cell>
          <cell r="AD46">
            <v>10800</v>
          </cell>
          <cell r="AE46">
            <v>8100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2700</v>
          </cell>
          <cell r="AN46">
            <v>5940</v>
          </cell>
          <cell r="AO46">
            <v>0</v>
          </cell>
          <cell r="AP46">
            <v>5940</v>
          </cell>
          <cell r="AQ46" t="str">
            <v>스토리위즈</v>
          </cell>
          <cell r="AR46" t="str">
            <v>아이리스</v>
          </cell>
        </row>
        <row r="47">
          <cell r="N47" t="str">
            <v>아이리스</v>
          </cell>
          <cell r="O47" t="str">
            <v>Y</v>
          </cell>
          <cell r="P47">
            <v>0.55000000000000004</v>
          </cell>
          <cell r="Q47">
            <v>0.55000000000000004</v>
          </cell>
          <cell r="R47" t="str">
            <v>시리즈 이용권 패키지</v>
          </cell>
          <cell r="S47">
            <v>4500</v>
          </cell>
          <cell r="T47">
            <v>13500</v>
          </cell>
          <cell r="U47">
            <v>9000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4500</v>
          </cell>
          <cell r="AD47">
            <v>13500</v>
          </cell>
          <cell r="AE47">
            <v>9000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4500</v>
          </cell>
          <cell r="AN47">
            <v>7425</v>
          </cell>
          <cell r="AO47">
            <v>0</v>
          </cell>
          <cell r="AP47">
            <v>7425</v>
          </cell>
          <cell r="AQ47" t="str">
            <v>스토리위즈</v>
          </cell>
          <cell r="AR47" t="str">
            <v>아이리스</v>
          </cell>
        </row>
        <row r="48">
          <cell r="N48" t="str">
            <v>아이리스</v>
          </cell>
          <cell r="O48" t="str">
            <v>Y</v>
          </cell>
          <cell r="P48">
            <v>0.55000000000000004</v>
          </cell>
          <cell r="Q48">
            <v>0.55000000000000004</v>
          </cell>
          <cell r="R48" t="str">
            <v>단일 이용권</v>
          </cell>
          <cell r="S48">
            <v>100</v>
          </cell>
          <cell r="T48">
            <v>1515600</v>
          </cell>
          <cell r="U48">
            <v>496340</v>
          </cell>
          <cell r="V48">
            <v>0</v>
          </cell>
          <cell r="W48">
            <v>0</v>
          </cell>
          <cell r="X48">
            <v>0</v>
          </cell>
          <cell r="Y48">
            <v>7500</v>
          </cell>
          <cell r="Z48">
            <v>15800</v>
          </cell>
          <cell r="AA48">
            <v>0</v>
          </cell>
          <cell r="AB48">
            <v>0</v>
          </cell>
          <cell r="AC48">
            <v>995960</v>
          </cell>
          <cell r="AD48">
            <v>1518680</v>
          </cell>
          <cell r="AE48">
            <v>496340</v>
          </cell>
          <cell r="AF48">
            <v>0</v>
          </cell>
          <cell r="AG48">
            <v>0</v>
          </cell>
          <cell r="AH48">
            <v>0</v>
          </cell>
          <cell r="AI48">
            <v>9000</v>
          </cell>
          <cell r="AJ48">
            <v>17380</v>
          </cell>
          <cell r="AK48">
            <v>0</v>
          </cell>
          <cell r="AL48">
            <v>0</v>
          </cell>
          <cell r="AM48">
            <v>995960</v>
          </cell>
          <cell r="AN48">
            <v>835274</v>
          </cell>
          <cell r="AO48">
            <v>0</v>
          </cell>
          <cell r="AP48">
            <v>835274</v>
          </cell>
          <cell r="AQ48" t="str">
            <v>스토리위즈</v>
          </cell>
          <cell r="AR48" t="str">
            <v>아이리스</v>
          </cell>
        </row>
        <row r="49">
          <cell r="N49" t="str">
            <v>아이리스</v>
          </cell>
          <cell r="O49" t="str">
            <v>Y</v>
          </cell>
          <cell r="P49">
            <v>0.55000000000000004</v>
          </cell>
          <cell r="Q49">
            <v>0.55000000000000004</v>
          </cell>
          <cell r="R49" t="str">
            <v>시리즈 이용권 패키지</v>
          </cell>
          <cell r="S49">
            <v>1900</v>
          </cell>
          <cell r="T49">
            <v>743500</v>
          </cell>
          <cell r="U49">
            <v>523500</v>
          </cell>
          <cell r="V49">
            <v>0</v>
          </cell>
          <cell r="W49">
            <v>0</v>
          </cell>
          <cell r="X49">
            <v>0</v>
          </cell>
          <cell r="Y49">
            <v>2100</v>
          </cell>
          <cell r="Z49">
            <v>5100</v>
          </cell>
          <cell r="AA49">
            <v>0</v>
          </cell>
          <cell r="AB49">
            <v>0</v>
          </cell>
          <cell r="AC49">
            <v>212800</v>
          </cell>
          <cell r="AD49">
            <v>744430</v>
          </cell>
          <cell r="AE49">
            <v>523500</v>
          </cell>
          <cell r="AF49">
            <v>0</v>
          </cell>
          <cell r="AG49">
            <v>0</v>
          </cell>
          <cell r="AH49">
            <v>0</v>
          </cell>
          <cell r="AI49">
            <v>2520</v>
          </cell>
          <cell r="AJ49">
            <v>5610</v>
          </cell>
          <cell r="AK49">
            <v>0</v>
          </cell>
          <cell r="AL49">
            <v>0</v>
          </cell>
          <cell r="AM49">
            <v>212800</v>
          </cell>
          <cell r="AN49">
            <v>409437</v>
          </cell>
          <cell r="AO49">
            <v>0</v>
          </cell>
          <cell r="AP49">
            <v>409437</v>
          </cell>
          <cell r="AQ49" t="str">
            <v>스토리위즈</v>
          </cell>
          <cell r="AR49" t="str">
            <v>아이리스</v>
          </cell>
        </row>
        <row r="50">
          <cell r="N50" t="str">
            <v>아이리스</v>
          </cell>
          <cell r="O50" t="str">
            <v>Y</v>
          </cell>
          <cell r="P50">
            <v>0.55000000000000004</v>
          </cell>
          <cell r="Q50">
            <v>0.55000000000000004</v>
          </cell>
          <cell r="R50" t="str">
            <v>시리즈 이용권 패키지</v>
          </cell>
          <cell r="S50">
            <v>3700</v>
          </cell>
          <cell r="T50">
            <v>318100</v>
          </cell>
          <cell r="U50">
            <v>254980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7860</v>
          </cell>
          <cell r="AA50">
            <v>0</v>
          </cell>
          <cell r="AB50">
            <v>0</v>
          </cell>
          <cell r="AC50">
            <v>55260</v>
          </cell>
          <cell r="AD50">
            <v>318886</v>
          </cell>
          <cell r="AE50">
            <v>254980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8646</v>
          </cell>
          <cell r="AK50">
            <v>0</v>
          </cell>
          <cell r="AL50">
            <v>0</v>
          </cell>
          <cell r="AM50">
            <v>55260</v>
          </cell>
          <cell r="AN50">
            <v>175387</v>
          </cell>
          <cell r="AO50">
            <v>0</v>
          </cell>
          <cell r="AP50">
            <v>175387</v>
          </cell>
          <cell r="AQ50" t="str">
            <v>스토리위즈</v>
          </cell>
          <cell r="AR50" t="str">
            <v>아이리스</v>
          </cell>
        </row>
        <row r="51">
          <cell r="N51" t="str">
            <v>아이리스</v>
          </cell>
          <cell r="O51" t="str">
            <v>Y</v>
          </cell>
          <cell r="P51">
            <v>0.55000000000000004</v>
          </cell>
          <cell r="Q51">
            <v>0.55000000000000004</v>
          </cell>
          <cell r="R51" t="str">
            <v>시리즈 이용권 패키지</v>
          </cell>
          <cell r="S51">
            <v>7200</v>
          </cell>
          <cell r="T51">
            <v>325400</v>
          </cell>
          <cell r="U51">
            <v>272900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26800</v>
          </cell>
          <cell r="AA51">
            <v>0</v>
          </cell>
          <cell r="AB51">
            <v>0</v>
          </cell>
          <cell r="AC51">
            <v>25700</v>
          </cell>
          <cell r="AD51">
            <v>328080</v>
          </cell>
          <cell r="AE51">
            <v>272900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29480</v>
          </cell>
          <cell r="AK51">
            <v>0</v>
          </cell>
          <cell r="AL51">
            <v>0</v>
          </cell>
          <cell r="AM51">
            <v>25700</v>
          </cell>
          <cell r="AN51">
            <v>180444</v>
          </cell>
          <cell r="AO51">
            <v>0</v>
          </cell>
          <cell r="AP51">
            <v>180444</v>
          </cell>
          <cell r="AQ51" t="str">
            <v>스토리위즈</v>
          </cell>
          <cell r="AR51" t="str">
            <v>아이리스</v>
          </cell>
        </row>
        <row r="52">
          <cell r="N52" t="str">
            <v>몸서리</v>
          </cell>
          <cell r="O52" t="str">
            <v>Y</v>
          </cell>
          <cell r="P52">
            <v>0.55000000000000004</v>
          </cell>
          <cell r="Q52">
            <v>0.55000000000000004</v>
          </cell>
          <cell r="R52" t="str">
            <v>단일 이용권</v>
          </cell>
          <cell r="S52">
            <v>100</v>
          </cell>
          <cell r="T52">
            <v>623100</v>
          </cell>
          <cell r="U52">
            <v>368540</v>
          </cell>
          <cell r="V52">
            <v>0</v>
          </cell>
          <cell r="W52">
            <v>0</v>
          </cell>
          <cell r="X52">
            <v>0</v>
          </cell>
          <cell r="Y52">
            <v>8400</v>
          </cell>
          <cell r="Z52">
            <v>21800</v>
          </cell>
          <cell r="AA52">
            <v>0</v>
          </cell>
          <cell r="AB52">
            <v>0</v>
          </cell>
          <cell r="AC52">
            <v>224360</v>
          </cell>
          <cell r="AD52">
            <v>626960</v>
          </cell>
          <cell r="AE52">
            <v>368540</v>
          </cell>
          <cell r="AF52">
            <v>0</v>
          </cell>
          <cell r="AG52">
            <v>0</v>
          </cell>
          <cell r="AH52">
            <v>0</v>
          </cell>
          <cell r="AI52">
            <v>10080</v>
          </cell>
          <cell r="AJ52">
            <v>23980</v>
          </cell>
          <cell r="AK52">
            <v>0</v>
          </cell>
          <cell r="AL52">
            <v>0</v>
          </cell>
          <cell r="AM52">
            <v>224360</v>
          </cell>
          <cell r="AN52">
            <v>344828</v>
          </cell>
          <cell r="AO52">
            <v>0</v>
          </cell>
          <cell r="AP52">
            <v>344828</v>
          </cell>
          <cell r="AQ52" t="str">
            <v>스토리위즈</v>
          </cell>
          <cell r="AR52" t="str">
            <v>몸서리</v>
          </cell>
        </row>
        <row r="53">
          <cell r="N53" t="str">
            <v>몸서리</v>
          </cell>
          <cell r="O53" t="str">
            <v>Y</v>
          </cell>
          <cell r="P53">
            <v>0.55000000000000004</v>
          </cell>
          <cell r="Q53">
            <v>0.55000000000000004</v>
          </cell>
          <cell r="R53" t="str">
            <v>시리즈 이용권 패키지</v>
          </cell>
          <cell r="S53">
            <v>1900</v>
          </cell>
          <cell r="T53">
            <v>440200</v>
          </cell>
          <cell r="U53">
            <v>327820</v>
          </cell>
          <cell r="V53">
            <v>0</v>
          </cell>
          <cell r="W53">
            <v>0</v>
          </cell>
          <cell r="X53">
            <v>0</v>
          </cell>
          <cell r="Y53">
            <v>1900</v>
          </cell>
          <cell r="Z53">
            <v>41100</v>
          </cell>
          <cell r="AA53">
            <v>0</v>
          </cell>
          <cell r="AB53">
            <v>0</v>
          </cell>
          <cell r="AC53">
            <v>69380</v>
          </cell>
          <cell r="AD53">
            <v>444690</v>
          </cell>
          <cell r="AE53">
            <v>327820</v>
          </cell>
          <cell r="AF53">
            <v>0</v>
          </cell>
          <cell r="AG53">
            <v>0</v>
          </cell>
          <cell r="AH53">
            <v>0</v>
          </cell>
          <cell r="AI53">
            <v>2280</v>
          </cell>
          <cell r="AJ53">
            <v>45210</v>
          </cell>
          <cell r="AK53">
            <v>0</v>
          </cell>
          <cell r="AL53">
            <v>0</v>
          </cell>
          <cell r="AM53">
            <v>69380</v>
          </cell>
          <cell r="AN53">
            <v>244580</v>
          </cell>
          <cell r="AO53">
            <v>0</v>
          </cell>
          <cell r="AP53">
            <v>244580</v>
          </cell>
          <cell r="AQ53" t="str">
            <v>스토리위즈</v>
          </cell>
          <cell r="AR53" t="str">
            <v>몸서리</v>
          </cell>
        </row>
        <row r="54">
          <cell r="N54" t="str">
            <v>몸서리</v>
          </cell>
          <cell r="O54" t="str">
            <v>Y</v>
          </cell>
          <cell r="P54">
            <v>0.55000000000000004</v>
          </cell>
          <cell r="Q54">
            <v>0.55000000000000004</v>
          </cell>
          <cell r="R54" t="str">
            <v>시리즈 이용권 패키지</v>
          </cell>
          <cell r="S54">
            <v>4600</v>
          </cell>
          <cell r="T54">
            <v>175200</v>
          </cell>
          <cell r="U54">
            <v>149200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18400</v>
          </cell>
          <cell r="AA54">
            <v>0</v>
          </cell>
          <cell r="AB54">
            <v>0</v>
          </cell>
          <cell r="AC54">
            <v>7600</v>
          </cell>
          <cell r="AD54">
            <v>177040</v>
          </cell>
          <cell r="AE54">
            <v>149200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20240</v>
          </cell>
          <cell r="AK54">
            <v>0</v>
          </cell>
          <cell r="AL54">
            <v>0</v>
          </cell>
          <cell r="AM54">
            <v>7600</v>
          </cell>
          <cell r="AN54">
            <v>97372</v>
          </cell>
          <cell r="AO54">
            <v>0</v>
          </cell>
          <cell r="AP54">
            <v>97372</v>
          </cell>
          <cell r="AQ54" t="str">
            <v>스토리위즈</v>
          </cell>
          <cell r="AR54" t="str">
            <v>몸서리</v>
          </cell>
        </row>
        <row r="55">
          <cell r="N55" t="str">
            <v>몸서리</v>
          </cell>
          <cell r="O55" t="str">
            <v>Y</v>
          </cell>
          <cell r="P55">
            <v>0.55000000000000004</v>
          </cell>
          <cell r="Q55">
            <v>0.55000000000000004</v>
          </cell>
          <cell r="R55" t="str">
            <v>시리즈 이용권 패키지</v>
          </cell>
          <cell r="S55">
            <v>7200</v>
          </cell>
          <cell r="T55">
            <v>224700</v>
          </cell>
          <cell r="U55">
            <v>203980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14400</v>
          </cell>
          <cell r="AA55">
            <v>0</v>
          </cell>
          <cell r="AB55">
            <v>0</v>
          </cell>
          <cell r="AC55">
            <v>6320</v>
          </cell>
          <cell r="AD55">
            <v>226140</v>
          </cell>
          <cell r="AE55">
            <v>203980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15840</v>
          </cell>
          <cell r="AK55">
            <v>0</v>
          </cell>
          <cell r="AL55">
            <v>0</v>
          </cell>
          <cell r="AM55">
            <v>6320</v>
          </cell>
          <cell r="AN55">
            <v>124377</v>
          </cell>
          <cell r="AO55">
            <v>0</v>
          </cell>
          <cell r="AP55">
            <v>124377</v>
          </cell>
          <cell r="AQ55" t="str">
            <v>스토리위즈</v>
          </cell>
          <cell r="AR55" t="str">
            <v>몸서리</v>
          </cell>
        </row>
        <row r="56">
          <cell r="N56" t="str">
            <v>김정률</v>
          </cell>
          <cell r="O56" t="str">
            <v>Y</v>
          </cell>
          <cell r="P56">
            <v>0.7</v>
          </cell>
          <cell r="Q56">
            <v>0.6</v>
          </cell>
          <cell r="R56" t="str">
            <v>단일 이용권</v>
          </cell>
          <cell r="S56">
            <v>3200</v>
          </cell>
          <cell r="T56">
            <v>60800</v>
          </cell>
          <cell r="U56">
            <v>60700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100</v>
          </cell>
          <cell r="AD56">
            <v>60800</v>
          </cell>
          <cell r="AE56">
            <v>60700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100</v>
          </cell>
          <cell r="AN56">
            <v>42560</v>
          </cell>
          <cell r="AO56">
            <v>0</v>
          </cell>
          <cell r="AP56">
            <v>42560</v>
          </cell>
          <cell r="AQ56" t="str">
            <v>스토리위즈</v>
          </cell>
          <cell r="AR56" t="str">
            <v>김정률</v>
          </cell>
        </row>
        <row r="57">
          <cell r="N57" t="str">
            <v>김정률</v>
          </cell>
          <cell r="O57" t="str">
            <v>Y</v>
          </cell>
          <cell r="P57">
            <v>0.7</v>
          </cell>
          <cell r="Q57">
            <v>0.6</v>
          </cell>
          <cell r="R57" t="str">
            <v>단일 대여 이용권</v>
          </cell>
          <cell r="S57">
            <v>900</v>
          </cell>
          <cell r="T57">
            <v>99900</v>
          </cell>
          <cell r="U57">
            <v>67300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32600</v>
          </cell>
          <cell r="AD57">
            <v>99900</v>
          </cell>
          <cell r="AE57">
            <v>67300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32600</v>
          </cell>
          <cell r="AN57">
            <v>69930</v>
          </cell>
          <cell r="AO57">
            <v>0</v>
          </cell>
          <cell r="AP57">
            <v>69930</v>
          </cell>
          <cell r="AQ57" t="str">
            <v>스토리위즈</v>
          </cell>
          <cell r="AR57" t="str">
            <v>김정률</v>
          </cell>
        </row>
        <row r="58">
          <cell r="N58" t="str">
            <v>파란영</v>
          </cell>
          <cell r="O58" t="str">
            <v>Y</v>
          </cell>
          <cell r="P58">
            <v>0.7</v>
          </cell>
          <cell r="Q58">
            <v>0.6</v>
          </cell>
          <cell r="R58" t="str">
            <v>단일 이용권</v>
          </cell>
          <cell r="S58">
            <v>3200</v>
          </cell>
          <cell r="T58">
            <v>19200</v>
          </cell>
          <cell r="U58">
            <v>19200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19200</v>
          </cell>
          <cell r="AE58">
            <v>19200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13440</v>
          </cell>
          <cell r="AO58">
            <v>0</v>
          </cell>
          <cell r="AP58">
            <v>13440</v>
          </cell>
          <cell r="AQ58" t="str">
            <v>스토리위즈</v>
          </cell>
          <cell r="AR58" t="str">
            <v>파란영</v>
          </cell>
        </row>
        <row r="59">
          <cell r="N59" t="str">
            <v>羽宸寰(Uchenhu),林珮瑜(Lin Peiyu)</v>
          </cell>
          <cell r="O59" t="str">
            <v>Y</v>
          </cell>
          <cell r="P59">
            <v>0.7</v>
          </cell>
          <cell r="Q59">
            <v>0.6</v>
          </cell>
          <cell r="R59" t="str">
            <v>단일 이용권</v>
          </cell>
          <cell r="S59">
            <v>100</v>
          </cell>
          <cell r="T59">
            <v>57800</v>
          </cell>
          <cell r="U59">
            <v>3900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53900</v>
          </cell>
          <cell r="AD59">
            <v>57800</v>
          </cell>
          <cell r="AE59">
            <v>3900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53900</v>
          </cell>
          <cell r="AN59">
            <v>40460</v>
          </cell>
          <cell r="AO59">
            <v>0</v>
          </cell>
          <cell r="AP59">
            <v>40460</v>
          </cell>
          <cell r="AQ59" t="str">
            <v>스토리위즈</v>
          </cell>
          <cell r="AR59" t="str">
            <v>제외</v>
          </cell>
        </row>
        <row r="60">
          <cell r="N60" t="str">
            <v>김정률</v>
          </cell>
          <cell r="O60" t="str">
            <v>Y</v>
          </cell>
          <cell r="P60">
            <v>0.7</v>
          </cell>
          <cell r="Q60">
            <v>0.6</v>
          </cell>
          <cell r="R60" t="str">
            <v>시리즈 대여 이용권 패키지</v>
          </cell>
          <cell r="S60">
            <v>15300</v>
          </cell>
          <cell r="T60">
            <v>15300</v>
          </cell>
          <cell r="U60">
            <v>15300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15300</v>
          </cell>
          <cell r="AE60">
            <v>15300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10710</v>
          </cell>
          <cell r="AO60">
            <v>0</v>
          </cell>
          <cell r="AP60">
            <v>10710</v>
          </cell>
          <cell r="AQ60" t="str">
            <v>스토리위즈</v>
          </cell>
          <cell r="AR60" t="str">
            <v>김정률</v>
          </cell>
        </row>
        <row r="61">
          <cell r="N61" t="str">
            <v>羽宸寰(Uchenhu),林珮瑜(Lin Peiyu)</v>
          </cell>
          <cell r="O61" t="str">
            <v>Y</v>
          </cell>
          <cell r="P61">
            <v>0.7</v>
          </cell>
          <cell r="Q61">
            <v>0.6</v>
          </cell>
          <cell r="R61" t="str">
            <v>시리즈 이용권 패키지</v>
          </cell>
          <cell r="S61">
            <v>900</v>
          </cell>
          <cell r="T61">
            <v>17100</v>
          </cell>
          <cell r="U61">
            <v>5900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11200</v>
          </cell>
          <cell r="AD61">
            <v>17100</v>
          </cell>
          <cell r="AE61">
            <v>5900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11200</v>
          </cell>
          <cell r="AN61">
            <v>11970</v>
          </cell>
          <cell r="AO61">
            <v>0</v>
          </cell>
          <cell r="AP61">
            <v>11970</v>
          </cell>
          <cell r="AQ61" t="str">
            <v>스토리위즈</v>
          </cell>
          <cell r="AR61" t="str">
            <v>제외</v>
          </cell>
        </row>
        <row r="62">
          <cell r="N62" t="str">
            <v>羽宸寰(Uchenhu),林珮瑜(Lin Peiyu)</v>
          </cell>
          <cell r="O62" t="str">
            <v>Y</v>
          </cell>
          <cell r="P62">
            <v>0.7</v>
          </cell>
          <cell r="Q62">
            <v>0.6</v>
          </cell>
          <cell r="R62" t="str">
            <v>시리즈 이용권 패키지</v>
          </cell>
          <cell r="S62">
            <v>1800</v>
          </cell>
          <cell r="T62">
            <v>65000</v>
          </cell>
          <cell r="U62">
            <v>35000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3600</v>
          </cell>
          <cell r="AA62">
            <v>0</v>
          </cell>
          <cell r="AB62">
            <v>0</v>
          </cell>
          <cell r="AC62">
            <v>26400</v>
          </cell>
          <cell r="AD62">
            <v>65360</v>
          </cell>
          <cell r="AE62">
            <v>35000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3960</v>
          </cell>
          <cell r="AK62">
            <v>0</v>
          </cell>
          <cell r="AL62">
            <v>0</v>
          </cell>
          <cell r="AM62">
            <v>26400</v>
          </cell>
          <cell r="AN62">
            <v>45356</v>
          </cell>
          <cell r="AO62">
            <v>0</v>
          </cell>
          <cell r="AP62">
            <v>45356</v>
          </cell>
          <cell r="AQ62" t="str">
            <v>스토리위즈</v>
          </cell>
          <cell r="AR62" t="str">
            <v>제외</v>
          </cell>
        </row>
        <row r="63">
          <cell r="N63" t="str">
            <v>전혁</v>
          </cell>
          <cell r="O63" t="str">
            <v>Y</v>
          </cell>
          <cell r="P63">
            <v>0.7</v>
          </cell>
          <cell r="Q63">
            <v>0.6</v>
          </cell>
          <cell r="R63" t="str">
            <v>단일 이용권</v>
          </cell>
          <cell r="S63">
            <v>100</v>
          </cell>
          <cell r="T63">
            <v>18400</v>
          </cell>
          <cell r="U63">
            <v>4900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3100</v>
          </cell>
          <cell r="AA63">
            <v>0</v>
          </cell>
          <cell r="AB63">
            <v>0</v>
          </cell>
          <cell r="AC63">
            <v>10400</v>
          </cell>
          <cell r="AD63">
            <v>18710</v>
          </cell>
          <cell r="AE63">
            <v>4900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3410</v>
          </cell>
          <cell r="AK63">
            <v>0</v>
          </cell>
          <cell r="AL63">
            <v>0</v>
          </cell>
          <cell r="AM63">
            <v>10400</v>
          </cell>
          <cell r="AN63">
            <v>12756</v>
          </cell>
          <cell r="AO63">
            <v>0</v>
          </cell>
          <cell r="AP63">
            <v>12756</v>
          </cell>
          <cell r="AQ63" t="str">
            <v>스토리위즈</v>
          </cell>
          <cell r="AR63" t="str">
            <v>전혁</v>
          </cell>
        </row>
        <row r="64">
          <cell r="N64" t="str">
            <v>전혁</v>
          </cell>
          <cell r="O64" t="str">
            <v>Y</v>
          </cell>
          <cell r="P64">
            <v>0.7</v>
          </cell>
          <cell r="Q64">
            <v>0.6</v>
          </cell>
          <cell r="R64" t="str">
            <v>시리즈 이용권 패키지</v>
          </cell>
          <cell r="S64">
            <v>2700</v>
          </cell>
          <cell r="T64">
            <v>18900</v>
          </cell>
          <cell r="U64">
            <v>18700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200</v>
          </cell>
          <cell r="AD64">
            <v>18900</v>
          </cell>
          <cell r="AE64">
            <v>18700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200</v>
          </cell>
          <cell r="AN64">
            <v>13230</v>
          </cell>
          <cell r="AO64">
            <v>0</v>
          </cell>
          <cell r="AP64">
            <v>13230</v>
          </cell>
          <cell r="AQ64" t="str">
            <v>스토리위즈</v>
          </cell>
          <cell r="AR64" t="str">
            <v>전혁</v>
          </cell>
        </row>
        <row r="65">
          <cell r="N65" t="str">
            <v>권용찬</v>
          </cell>
          <cell r="O65" t="str">
            <v>Y</v>
          </cell>
          <cell r="P65">
            <v>0.7</v>
          </cell>
          <cell r="Q65">
            <v>0.6</v>
          </cell>
          <cell r="R65" t="str">
            <v>단일 이용권</v>
          </cell>
          <cell r="S65">
            <v>100</v>
          </cell>
          <cell r="T65">
            <v>100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100</v>
          </cell>
          <cell r="AD65">
            <v>100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100</v>
          </cell>
          <cell r="AN65">
            <v>70</v>
          </cell>
          <cell r="AO65">
            <v>0</v>
          </cell>
          <cell r="AP65">
            <v>70</v>
          </cell>
          <cell r="AQ65" t="str">
            <v>스토리위즈</v>
          </cell>
          <cell r="AR65" t="str">
            <v>권용찬</v>
          </cell>
        </row>
        <row r="66">
          <cell r="N66" t="str">
            <v>전혁</v>
          </cell>
          <cell r="O66" t="str">
            <v>Y</v>
          </cell>
          <cell r="P66">
            <v>0.7</v>
          </cell>
          <cell r="Q66">
            <v>0.6</v>
          </cell>
          <cell r="R66" t="str">
            <v>시리즈 이용권 패키지</v>
          </cell>
          <cell r="S66">
            <v>4500</v>
          </cell>
          <cell r="T66">
            <v>1800</v>
          </cell>
          <cell r="U66">
            <v>1800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1800</v>
          </cell>
          <cell r="AE66">
            <v>1800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1260</v>
          </cell>
          <cell r="AO66">
            <v>0</v>
          </cell>
          <cell r="AP66">
            <v>1260</v>
          </cell>
          <cell r="AQ66" t="str">
            <v>스토리위즈</v>
          </cell>
          <cell r="AR66" t="str">
            <v>전혁</v>
          </cell>
        </row>
        <row r="67">
          <cell r="N67" t="str">
            <v>권용찬</v>
          </cell>
          <cell r="O67" t="str">
            <v>Y</v>
          </cell>
          <cell r="P67">
            <v>0.7</v>
          </cell>
          <cell r="Q67">
            <v>0.6</v>
          </cell>
          <cell r="R67" t="str">
            <v>시리즈 이용권 패키지</v>
          </cell>
          <cell r="S67">
            <v>2300</v>
          </cell>
          <cell r="T67">
            <v>2300</v>
          </cell>
          <cell r="U67">
            <v>1800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500</v>
          </cell>
          <cell r="AD67">
            <v>2300</v>
          </cell>
          <cell r="AE67">
            <v>1800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500</v>
          </cell>
          <cell r="AN67">
            <v>1610</v>
          </cell>
          <cell r="AO67">
            <v>0</v>
          </cell>
          <cell r="AP67">
            <v>1610</v>
          </cell>
          <cell r="AQ67" t="str">
            <v>스토리위즈</v>
          </cell>
          <cell r="AR67" t="str">
            <v>권용찬</v>
          </cell>
        </row>
        <row r="68">
          <cell r="N68" t="str">
            <v>전혁</v>
          </cell>
          <cell r="O68" t="str">
            <v>Y</v>
          </cell>
          <cell r="P68">
            <v>0.7</v>
          </cell>
          <cell r="Q68">
            <v>0.6</v>
          </cell>
          <cell r="R68" t="str">
            <v>시리즈 이용권 패키지</v>
          </cell>
          <cell r="S68">
            <v>9000</v>
          </cell>
          <cell r="T68">
            <v>-8200</v>
          </cell>
          <cell r="U68">
            <v>-8200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-8200</v>
          </cell>
          <cell r="AE68">
            <v>-8200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-5740</v>
          </cell>
          <cell r="AO68">
            <v>0</v>
          </cell>
          <cell r="AP68">
            <v>-5740</v>
          </cell>
          <cell r="AQ68" t="str">
            <v>스토리위즈</v>
          </cell>
          <cell r="AR68" t="str">
            <v>전혁</v>
          </cell>
        </row>
        <row r="69">
          <cell r="N69" t="str">
            <v>한보연</v>
          </cell>
          <cell r="O69" t="str">
            <v>Y</v>
          </cell>
          <cell r="P69">
            <v>0.7</v>
          </cell>
          <cell r="Q69">
            <v>0.6</v>
          </cell>
          <cell r="R69" t="str">
            <v>단일 이용권</v>
          </cell>
          <cell r="S69">
            <v>100</v>
          </cell>
          <cell r="T69">
            <v>551100</v>
          </cell>
          <cell r="U69">
            <v>144320</v>
          </cell>
          <cell r="V69">
            <v>0</v>
          </cell>
          <cell r="W69">
            <v>0</v>
          </cell>
          <cell r="X69">
            <v>0</v>
          </cell>
          <cell r="Y69">
            <v>3100</v>
          </cell>
          <cell r="Z69">
            <v>2100</v>
          </cell>
          <cell r="AA69">
            <v>0</v>
          </cell>
          <cell r="AB69">
            <v>0</v>
          </cell>
          <cell r="AC69">
            <v>401580</v>
          </cell>
          <cell r="AD69">
            <v>551930</v>
          </cell>
          <cell r="AE69">
            <v>144320</v>
          </cell>
          <cell r="AF69">
            <v>0</v>
          </cell>
          <cell r="AG69">
            <v>0</v>
          </cell>
          <cell r="AH69">
            <v>0</v>
          </cell>
          <cell r="AI69">
            <v>3720</v>
          </cell>
          <cell r="AJ69">
            <v>2310</v>
          </cell>
          <cell r="AK69">
            <v>0</v>
          </cell>
          <cell r="AL69">
            <v>0</v>
          </cell>
          <cell r="AM69">
            <v>401580</v>
          </cell>
          <cell r="AN69">
            <v>385748</v>
          </cell>
          <cell r="AO69">
            <v>0</v>
          </cell>
          <cell r="AP69">
            <v>385748</v>
          </cell>
          <cell r="AQ69" t="str">
            <v>스토리위즈</v>
          </cell>
          <cell r="AR69" t="str">
            <v>한보연</v>
          </cell>
        </row>
        <row r="70">
          <cell r="N70" t="str">
            <v>권용찬</v>
          </cell>
          <cell r="O70" t="str">
            <v>Y</v>
          </cell>
          <cell r="P70">
            <v>0.7</v>
          </cell>
          <cell r="Q70">
            <v>0.6</v>
          </cell>
          <cell r="R70" t="str">
            <v>시리즈 이용권 패키지</v>
          </cell>
          <cell r="S70">
            <v>6800</v>
          </cell>
          <cell r="T70">
            <v>13600</v>
          </cell>
          <cell r="U70">
            <v>13600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13600</v>
          </cell>
          <cell r="AE70">
            <v>13600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9520</v>
          </cell>
          <cell r="AO70">
            <v>0</v>
          </cell>
          <cell r="AP70">
            <v>9520</v>
          </cell>
          <cell r="AQ70" t="str">
            <v>스토리위즈</v>
          </cell>
          <cell r="AR70" t="str">
            <v>권용찬</v>
          </cell>
        </row>
        <row r="71">
          <cell r="N71" t="str">
            <v>아타락시아</v>
          </cell>
          <cell r="O71" t="str">
            <v>Y</v>
          </cell>
          <cell r="P71">
            <v>0.7</v>
          </cell>
          <cell r="Q71">
            <v>0.6</v>
          </cell>
          <cell r="R71" t="str">
            <v>단일 이용권</v>
          </cell>
          <cell r="S71">
            <v>100</v>
          </cell>
          <cell r="T71">
            <v>500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500</v>
          </cell>
          <cell r="AD71">
            <v>500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500</v>
          </cell>
          <cell r="AN71">
            <v>350</v>
          </cell>
          <cell r="AO71">
            <v>0</v>
          </cell>
          <cell r="AP71">
            <v>350</v>
          </cell>
          <cell r="AQ71" t="str">
            <v>스토리위즈</v>
          </cell>
          <cell r="AR71" t="str">
            <v>아타락시아</v>
          </cell>
        </row>
        <row r="72">
          <cell r="N72" t="str">
            <v>한보연</v>
          </cell>
          <cell r="O72" t="str">
            <v>Y</v>
          </cell>
          <cell r="P72">
            <v>0.7</v>
          </cell>
          <cell r="Q72">
            <v>0.6</v>
          </cell>
          <cell r="R72" t="str">
            <v>시리즈 이용권 패키지</v>
          </cell>
          <cell r="S72">
            <v>2400</v>
          </cell>
          <cell r="T72">
            <v>376100</v>
          </cell>
          <cell r="U72">
            <v>252040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19200</v>
          </cell>
          <cell r="AA72">
            <v>0</v>
          </cell>
          <cell r="AB72">
            <v>0</v>
          </cell>
          <cell r="AC72">
            <v>104860</v>
          </cell>
          <cell r="AD72">
            <v>378020</v>
          </cell>
          <cell r="AE72">
            <v>252040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21120</v>
          </cell>
          <cell r="AK72">
            <v>0</v>
          </cell>
          <cell r="AL72">
            <v>0</v>
          </cell>
          <cell r="AM72">
            <v>104860</v>
          </cell>
          <cell r="AN72">
            <v>262502</v>
          </cell>
          <cell r="AO72">
            <v>0</v>
          </cell>
          <cell r="AP72">
            <v>262502</v>
          </cell>
          <cell r="AQ72" t="str">
            <v>스토리위즈</v>
          </cell>
          <cell r="AR72" t="str">
            <v>한보연</v>
          </cell>
        </row>
        <row r="73">
          <cell r="N73" t="str">
            <v>아타락시아</v>
          </cell>
          <cell r="O73" t="str">
            <v>Y</v>
          </cell>
          <cell r="P73">
            <v>0.7</v>
          </cell>
          <cell r="Q73">
            <v>0.6</v>
          </cell>
          <cell r="R73" t="str">
            <v>시리즈 이용권 패키지</v>
          </cell>
          <cell r="S73">
            <v>900</v>
          </cell>
          <cell r="T73">
            <v>2700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2700</v>
          </cell>
          <cell r="AD73">
            <v>2700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2700</v>
          </cell>
          <cell r="AN73">
            <v>1890</v>
          </cell>
          <cell r="AO73">
            <v>0</v>
          </cell>
          <cell r="AP73">
            <v>1890</v>
          </cell>
          <cell r="AQ73" t="str">
            <v>스토리위즈</v>
          </cell>
          <cell r="AR73" t="str">
            <v>아타락시아</v>
          </cell>
        </row>
        <row r="74">
          <cell r="N74" t="str">
            <v>한보연</v>
          </cell>
          <cell r="O74" t="str">
            <v>Y</v>
          </cell>
          <cell r="P74">
            <v>0.7</v>
          </cell>
          <cell r="Q74">
            <v>0.6</v>
          </cell>
          <cell r="R74" t="str">
            <v>시리즈 이용권 패키지</v>
          </cell>
          <cell r="S74">
            <v>5000</v>
          </cell>
          <cell r="T74">
            <v>205200</v>
          </cell>
          <cell r="U74">
            <v>157300</v>
          </cell>
          <cell r="V74">
            <v>0</v>
          </cell>
          <cell r="W74">
            <v>0</v>
          </cell>
          <cell r="X74">
            <v>0</v>
          </cell>
          <cell r="Y74">
            <v>-2300</v>
          </cell>
          <cell r="Z74">
            <v>7100</v>
          </cell>
          <cell r="AA74">
            <v>0</v>
          </cell>
          <cell r="AB74">
            <v>0</v>
          </cell>
          <cell r="AC74">
            <v>43100</v>
          </cell>
          <cell r="AD74">
            <v>205450</v>
          </cell>
          <cell r="AE74">
            <v>157300</v>
          </cell>
          <cell r="AF74">
            <v>0</v>
          </cell>
          <cell r="AG74">
            <v>0</v>
          </cell>
          <cell r="AH74">
            <v>0</v>
          </cell>
          <cell r="AI74">
            <v>-2760</v>
          </cell>
          <cell r="AJ74">
            <v>7810</v>
          </cell>
          <cell r="AK74">
            <v>0</v>
          </cell>
          <cell r="AL74">
            <v>0</v>
          </cell>
          <cell r="AM74">
            <v>43100</v>
          </cell>
          <cell r="AN74">
            <v>143310</v>
          </cell>
          <cell r="AO74">
            <v>0</v>
          </cell>
          <cell r="AP74">
            <v>143310</v>
          </cell>
          <cell r="AQ74" t="str">
            <v>스토리위즈</v>
          </cell>
          <cell r="AR74" t="str">
            <v>한보연</v>
          </cell>
        </row>
        <row r="75">
          <cell r="N75" t="str">
            <v>블랙커피</v>
          </cell>
          <cell r="O75" t="str">
            <v>Y</v>
          </cell>
          <cell r="P75">
            <v>0.7</v>
          </cell>
          <cell r="Q75">
            <v>0.6</v>
          </cell>
          <cell r="R75" t="str">
            <v>단일 이용권</v>
          </cell>
          <cell r="S75">
            <v>100</v>
          </cell>
          <cell r="T75">
            <v>9200</v>
          </cell>
          <cell r="U75">
            <v>2600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6600</v>
          </cell>
          <cell r="AD75">
            <v>9200</v>
          </cell>
          <cell r="AE75">
            <v>2600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6600</v>
          </cell>
          <cell r="AN75">
            <v>6440</v>
          </cell>
          <cell r="AO75">
            <v>0</v>
          </cell>
          <cell r="AP75">
            <v>6440</v>
          </cell>
          <cell r="AQ75" t="str">
            <v>스토리위즈</v>
          </cell>
          <cell r="AR75" t="str">
            <v>블랙커피</v>
          </cell>
        </row>
        <row r="76">
          <cell r="N76" t="str">
            <v>한보연</v>
          </cell>
          <cell r="O76" t="str">
            <v>Y</v>
          </cell>
          <cell r="P76">
            <v>0.7</v>
          </cell>
          <cell r="Q76">
            <v>0.6</v>
          </cell>
          <cell r="R76" t="str">
            <v>시리즈 이용권 패키지</v>
          </cell>
          <cell r="S76">
            <v>10000</v>
          </cell>
          <cell r="T76">
            <v>415500</v>
          </cell>
          <cell r="U76">
            <v>409810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-22600</v>
          </cell>
          <cell r="AA76">
            <v>0</v>
          </cell>
          <cell r="AB76">
            <v>0</v>
          </cell>
          <cell r="AC76">
            <v>28290</v>
          </cell>
          <cell r="AD76">
            <v>413240</v>
          </cell>
          <cell r="AE76">
            <v>409810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-24860</v>
          </cell>
          <cell r="AK76">
            <v>0</v>
          </cell>
          <cell r="AL76">
            <v>0</v>
          </cell>
          <cell r="AM76">
            <v>28290</v>
          </cell>
          <cell r="AN76">
            <v>291754</v>
          </cell>
          <cell r="AO76">
            <v>0</v>
          </cell>
          <cell r="AP76">
            <v>291754</v>
          </cell>
          <cell r="AQ76" t="str">
            <v>스토리위즈</v>
          </cell>
          <cell r="AR76" t="str">
            <v>한보연</v>
          </cell>
        </row>
        <row r="77">
          <cell r="N77" t="str">
            <v>블랙커피</v>
          </cell>
          <cell r="O77" t="str">
            <v>Y</v>
          </cell>
          <cell r="P77">
            <v>0.7</v>
          </cell>
          <cell r="Q77">
            <v>0.6</v>
          </cell>
          <cell r="R77" t="str">
            <v>시리즈 이용권 패키지</v>
          </cell>
          <cell r="S77">
            <v>3800</v>
          </cell>
          <cell r="T77">
            <v>-3000</v>
          </cell>
          <cell r="U77">
            <v>-3000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-3000</v>
          </cell>
          <cell r="AE77">
            <v>-3000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-2100</v>
          </cell>
          <cell r="AO77">
            <v>0</v>
          </cell>
          <cell r="AP77">
            <v>-2100</v>
          </cell>
          <cell r="AQ77" t="str">
            <v>스토리위즈</v>
          </cell>
          <cell r="AR77" t="str">
            <v>블랙커피</v>
          </cell>
        </row>
        <row r="78">
          <cell r="N78" t="str">
            <v>권용찬</v>
          </cell>
          <cell r="O78" t="str">
            <v>Y</v>
          </cell>
          <cell r="P78">
            <v>0.7</v>
          </cell>
          <cell r="Q78">
            <v>0.6</v>
          </cell>
          <cell r="R78" t="str">
            <v>단일 이용권</v>
          </cell>
          <cell r="S78">
            <v>100</v>
          </cell>
          <cell r="T78">
            <v>112900</v>
          </cell>
          <cell r="U78">
            <v>103480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500</v>
          </cell>
          <cell r="AA78">
            <v>0</v>
          </cell>
          <cell r="AB78">
            <v>0</v>
          </cell>
          <cell r="AC78">
            <v>8920</v>
          </cell>
          <cell r="AD78">
            <v>112950</v>
          </cell>
          <cell r="AE78">
            <v>103480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550</v>
          </cell>
          <cell r="AK78">
            <v>0</v>
          </cell>
          <cell r="AL78">
            <v>0</v>
          </cell>
          <cell r="AM78">
            <v>8920</v>
          </cell>
          <cell r="AN78">
            <v>79010</v>
          </cell>
          <cell r="AO78">
            <v>0</v>
          </cell>
          <cell r="AP78">
            <v>79010</v>
          </cell>
          <cell r="AQ78" t="str">
            <v>스토리위즈</v>
          </cell>
          <cell r="AR78" t="str">
            <v>권용찬</v>
          </cell>
        </row>
        <row r="79">
          <cell r="N79" t="str">
            <v>전혁</v>
          </cell>
          <cell r="O79" t="str">
            <v>Y</v>
          </cell>
          <cell r="P79">
            <v>0.7</v>
          </cell>
          <cell r="Q79">
            <v>0.6</v>
          </cell>
          <cell r="R79" t="str">
            <v>단일 이용권</v>
          </cell>
          <cell r="S79">
            <v>100</v>
          </cell>
          <cell r="T79">
            <v>2400</v>
          </cell>
          <cell r="U79">
            <v>2400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2400</v>
          </cell>
          <cell r="AE79">
            <v>2400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1680</v>
          </cell>
          <cell r="AO79">
            <v>0</v>
          </cell>
          <cell r="AP79">
            <v>1680</v>
          </cell>
          <cell r="AQ79" t="str">
            <v>스토리위즈</v>
          </cell>
          <cell r="AR79" t="str">
            <v>전혁</v>
          </cell>
        </row>
        <row r="80">
          <cell r="N80" t="str">
            <v>주이서</v>
          </cell>
          <cell r="O80" t="str">
            <v>Y</v>
          </cell>
          <cell r="P80">
            <v>0.7</v>
          </cell>
          <cell r="Q80">
            <v>0.6</v>
          </cell>
          <cell r="R80" t="str">
            <v>단일 이용권</v>
          </cell>
          <cell r="S80">
            <v>100</v>
          </cell>
          <cell r="T80">
            <v>8800</v>
          </cell>
          <cell r="U80">
            <v>1500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7300</v>
          </cell>
          <cell r="AD80">
            <v>8800</v>
          </cell>
          <cell r="AE80">
            <v>1500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7300</v>
          </cell>
          <cell r="AN80">
            <v>6160</v>
          </cell>
          <cell r="AO80">
            <v>0</v>
          </cell>
          <cell r="AP80">
            <v>6160</v>
          </cell>
          <cell r="AQ80" t="str">
            <v>스토리위즈</v>
          </cell>
          <cell r="AR80" t="str">
            <v>주이서</v>
          </cell>
        </row>
        <row r="81">
          <cell r="N81" t="str">
            <v>권용찬</v>
          </cell>
          <cell r="O81" t="str">
            <v>Y</v>
          </cell>
          <cell r="P81">
            <v>0.7</v>
          </cell>
          <cell r="Q81">
            <v>0.6</v>
          </cell>
          <cell r="R81" t="str">
            <v>시리즈 이용권 패키지</v>
          </cell>
          <cell r="S81">
            <v>2700</v>
          </cell>
          <cell r="T81">
            <v>183900</v>
          </cell>
          <cell r="U81">
            <v>166700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5400</v>
          </cell>
          <cell r="AA81">
            <v>0</v>
          </cell>
          <cell r="AB81">
            <v>0</v>
          </cell>
          <cell r="AC81">
            <v>11800</v>
          </cell>
          <cell r="AD81">
            <v>184440</v>
          </cell>
          <cell r="AE81">
            <v>166700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5940</v>
          </cell>
          <cell r="AK81">
            <v>0</v>
          </cell>
          <cell r="AL81">
            <v>0</v>
          </cell>
          <cell r="AM81">
            <v>11800</v>
          </cell>
          <cell r="AN81">
            <v>128514</v>
          </cell>
          <cell r="AO81">
            <v>0</v>
          </cell>
          <cell r="AP81">
            <v>128514</v>
          </cell>
          <cell r="AQ81" t="str">
            <v>스토리위즈</v>
          </cell>
          <cell r="AR81" t="str">
            <v>권용찬</v>
          </cell>
        </row>
        <row r="82">
          <cell r="N82" t="str">
            <v>전혁</v>
          </cell>
          <cell r="O82" t="str">
            <v>Y</v>
          </cell>
          <cell r="P82">
            <v>0.7</v>
          </cell>
          <cell r="Q82">
            <v>0.6</v>
          </cell>
          <cell r="R82" t="str">
            <v>시리즈 이용권 패키지</v>
          </cell>
          <cell r="S82">
            <v>2400</v>
          </cell>
          <cell r="T82">
            <v>14400</v>
          </cell>
          <cell r="U82">
            <v>6700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7700</v>
          </cell>
          <cell r="AD82">
            <v>14400</v>
          </cell>
          <cell r="AE82">
            <v>6700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7700</v>
          </cell>
          <cell r="AN82">
            <v>10080</v>
          </cell>
          <cell r="AO82">
            <v>0</v>
          </cell>
          <cell r="AP82">
            <v>10080</v>
          </cell>
          <cell r="AQ82" t="str">
            <v>스토리위즈</v>
          </cell>
          <cell r="AR82" t="str">
            <v>전혁</v>
          </cell>
        </row>
        <row r="83">
          <cell r="N83" t="str">
            <v>주이서</v>
          </cell>
          <cell r="O83" t="str">
            <v>Y</v>
          </cell>
          <cell r="P83">
            <v>0.7</v>
          </cell>
          <cell r="Q83">
            <v>0.6</v>
          </cell>
          <cell r="R83" t="str">
            <v>시리즈 이용권 패키지</v>
          </cell>
          <cell r="S83">
            <v>900</v>
          </cell>
          <cell r="T83">
            <v>9500</v>
          </cell>
          <cell r="U83">
            <v>4500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5000</v>
          </cell>
          <cell r="AD83">
            <v>9500</v>
          </cell>
          <cell r="AE83">
            <v>4500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5000</v>
          </cell>
          <cell r="AN83">
            <v>6650</v>
          </cell>
          <cell r="AO83">
            <v>0</v>
          </cell>
          <cell r="AP83">
            <v>6650</v>
          </cell>
          <cell r="AQ83" t="str">
            <v>스토리위즈</v>
          </cell>
          <cell r="AR83" t="str">
            <v>주이서</v>
          </cell>
        </row>
        <row r="84">
          <cell r="N84" t="str">
            <v>권용찬</v>
          </cell>
          <cell r="O84" t="str">
            <v>Y</v>
          </cell>
          <cell r="P84">
            <v>0.7</v>
          </cell>
          <cell r="Q84">
            <v>0.6</v>
          </cell>
          <cell r="R84" t="str">
            <v>시리즈 이용권 패키지</v>
          </cell>
          <cell r="S84">
            <v>4500</v>
          </cell>
          <cell r="T84">
            <v>91600</v>
          </cell>
          <cell r="U84">
            <v>91600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91600</v>
          </cell>
          <cell r="AE84">
            <v>91600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64120</v>
          </cell>
          <cell r="AO84">
            <v>0</v>
          </cell>
          <cell r="AP84">
            <v>64120</v>
          </cell>
          <cell r="AQ84" t="str">
            <v>스토리위즈</v>
          </cell>
          <cell r="AR84" t="str">
            <v>권용찬</v>
          </cell>
        </row>
        <row r="85">
          <cell r="N85" t="str">
            <v>주이서</v>
          </cell>
          <cell r="O85" t="str">
            <v>Y</v>
          </cell>
          <cell r="P85">
            <v>0.7</v>
          </cell>
          <cell r="Q85">
            <v>0.6</v>
          </cell>
          <cell r="R85" t="str">
            <v>시리즈 이용권 패키지</v>
          </cell>
          <cell r="S85">
            <v>2700</v>
          </cell>
          <cell r="T85">
            <v>2700</v>
          </cell>
          <cell r="U85">
            <v>2700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2700</v>
          </cell>
          <cell r="AE85">
            <v>2700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1890</v>
          </cell>
          <cell r="AO85">
            <v>0</v>
          </cell>
          <cell r="AP85">
            <v>1890</v>
          </cell>
          <cell r="AQ85" t="str">
            <v>스토리위즈</v>
          </cell>
          <cell r="AR85" t="str">
            <v>주이서</v>
          </cell>
        </row>
        <row r="86">
          <cell r="N86" t="str">
            <v>권용찬</v>
          </cell>
          <cell r="O86" t="str">
            <v>Y</v>
          </cell>
          <cell r="P86">
            <v>0.7</v>
          </cell>
          <cell r="Q86">
            <v>0.6</v>
          </cell>
          <cell r="R86" t="str">
            <v>시리즈 이용권 패키지</v>
          </cell>
          <cell r="S86">
            <v>9000</v>
          </cell>
          <cell r="T86">
            <v>92700</v>
          </cell>
          <cell r="U86">
            <v>72900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17800</v>
          </cell>
          <cell r="AA86">
            <v>0</v>
          </cell>
          <cell r="AB86">
            <v>0</v>
          </cell>
          <cell r="AC86">
            <v>2000</v>
          </cell>
          <cell r="AD86">
            <v>94480</v>
          </cell>
          <cell r="AE86">
            <v>72900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19580</v>
          </cell>
          <cell r="AK86">
            <v>0</v>
          </cell>
          <cell r="AL86">
            <v>0</v>
          </cell>
          <cell r="AM86">
            <v>2000</v>
          </cell>
          <cell r="AN86">
            <v>64178</v>
          </cell>
          <cell r="AO86">
            <v>0</v>
          </cell>
          <cell r="AP86">
            <v>64178</v>
          </cell>
          <cell r="AQ86" t="str">
            <v>스토리위즈</v>
          </cell>
          <cell r="AR86" t="str">
            <v>권용찬</v>
          </cell>
        </row>
        <row r="87">
          <cell r="N87" t="str">
            <v>주이서</v>
          </cell>
          <cell r="O87" t="str">
            <v>Y</v>
          </cell>
          <cell r="P87">
            <v>0.7</v>
          </cell>
          <cell r="Q87">
            <v>0.6</v>
          </cell>
          <cell r="R87" t="str">
            <v>시리즈 이용권 패키지</v>
          </cell>
          <cell r="S87">
            <v>4500</v>
          </cell>
          <cell r="T87">
            <v>4500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4500</v>
          </cell>
          <cell r="AD87">
            <v>4500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4500</v>
          </cell>
          <cell r="AN87">
            <v>3150</v>
          </cell>
          <cell r="AO87">
            <v>0</v>
          </cell>
          <cell r="AP87">
            <v>3150</v>
          </cell>
          <cell r="AQ87" t="str">
            <v>스토리위즈</v>
          </cell>
          <cell r="AR87" t="str">
            <v>주이서</v>
          </cell>
        </row>
        <row r="88">
          <cell r="N88" t="str">
            <v>블랙커피</v>
          </cell>
          <cell r="O88" t="str">
            <v>Y</v>
          </cell>
          <cell r="P88">
            <v>0.7</v>
          </cell>
          <cell r="Q88">
            <v>0.6</v>
          </cell>
          <cell r="R88" t="str">
            <v>단일 이용권</v>
          </cell>
          <cell r="S88">
            <v>100</v>
          </cell>
          <cell r="T88">
            <v>5500</v>
          </cell>
          <cell r="U88">
            <v>1500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4000</v>
          </cell>
          <cell r="AD88">
            <v>5500</v>
          </cell>
          <cell r="AE88">
            <v>1500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4000</v>
          </cell>
          <cell r="AN88">
            <v>3850</v>
          </cell>
          <cell r="AO88">
            <v>0</v>
          </cell>
          <cell r="AP88">
            <v>3850</v>
          </cell>
          <cell r="AQ88" t="str">
            <v>스토리위즈</v>
          </cell>
          <cell r="AR88" t="str">
            <v>블랙커피</v>
          </cell>
        </row>
        <row r="89">
          <cell r="N89" t="str">
            <v>아슈크림</v>
          </cell>
          <cell r="O89" t="str">
            <v>Y</v>
          </cell>
          <cell r="P89">
            <v>0.7</v>
          </cell>
          <cell r="Q89">
            <v>0.6</v>
          </cell>
          <cell r="R89" t="str">
            <v>단일 이용권</v>
          </cell>
          <cell r="S89">
            <v>100</v>
          </cell>
          <cell r="T89">
            <v>105500</v>
          </cell>
          <cell r="U89">
            <v>62240</v>
          </cell>
          <cell r="V89">
            <v>0</v>
          </cell>
          <cell r="W89">
            <v>0</v>
          </cell>
          <cell r="X89">
            <v>0</v>
          </cell>
          <cell r="Y89">
            <v>580</v>
          </cell>
          <cell r="Z89">
            <v>11300</v>
          </cell>
          <cell r="AA89">
            <v>0</v>
          </cell>
          <cell r="AB89">
            <v>0</v>
          </cell>
          <cell r="AC89">
            <v>31380</v>
          </cell>
          <cell r="AD89">
            <v>106746</v>
          </cell>
          <cell r="AE89">
            <v>62240</v>
          </cell>
          <cell r="AF89">
            <v>0</v>
          </cell>
          <cell r="AG89">
            <v>0</v>
          </cell>
          <cell r="AH89">
            <v>0</v>
          </cell>
          <cell r="AI89">
            <v>696</v>
          </cell>
          <cell r="AJ89">
            <v>12430</v>
          </cell>
          <cell r="AK89">
            <v>0</v>
          </cell>
          <cell r="AL89">
            <v>0</v>
          </cell>
          <cell r="AM89">
            <v>31380</v>
          </cell>
          <cell r="AN89">
            <v>73410</v>
          </cell>
          <cell r="AO89">
            <v>0</v>
          </cell>
          <cell r="AP89">
            <v>73410</v>
          </cell>
          <cell r="AQ89" t="str">
            <v>스토리위즈</v>
          </cell>
          <cell r="AR89" t="str">
            <v>아슈크림</v>
          </cell>
        </row>
        <row r="90">
          <cell r="N90" t="str">
            <v>블랙커피</v>
          </cell>
          <cell r="O90" t="str">
            <v>Y</v>
          </cell>
          <cell r="P90">
            <v>0.7</v>
          </cell>
          <cell r="Q90">
            <v>0.6</v>
          </cell>
          <cell r="R90" t="str">
            <v>시리즈 이용권 패키지</v>
          </cell>
          <cell r="S90">
            <v>3600</v>
          </cell>
          <cell r="T90">
            <v>3600</v>
          </cell>
          <cell r="U90">
            <v>3600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3600</v>
          </cell>
          <cell r="AE90">
            <v>3600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2520</v>
          </cell>
          <cell r="AO90">
            <v>0</v>
          </cell>
          <cell r="AP90">
            <v>2520</v>
          </cell>
          <cell r="AQ90" t="str">
            <v>스토리위즈</v>
          </cell>
          <cell r="AR90" t="str">
            <v>블랙커피</v>
          </cell>
        </row>
        <row r="91">
          <cell r="N91" t="str">
            <v>아슈크림</v>
          </cell>
          <cell r="O91" t="str">
            <v>Y</v>
          </cell>
          <cell r="P91">
            <v>0.7</v>
          </cell>
          <cell r="Q91">
            <v>0.6</v>
          </cell>
          <cell r="R91" t="str">
            <v>시리즈 이용권 패키지</v>
          </cell>
          <cell r="S91">
            <v>900</v>
          </cell>
          <cell r="T91">
            <v>122000</v>
          </cell>
          <cell r="U91">
            <v>86080</v>
          </cell>
          <cell r="V91">
            <v>0</v>
          </cell>
          <cell r="W91">
            <v>0</v>
          </cell>
          <cell r="X91">
            <v>0</v>
          </cell>
          <cell r="Y91">
            <v>820</v>
          </cell>
          <cell r="Z91">
            <v>9900</v>
          </cell>
          <cell r="AA91">
            <v>0</v>
          </cell>
          <cell r="AB91">
            <v>0</v>
          </cell>
          <cell r="AC91">
            <v>25200</v>
          </cell>
          <cell r="AD91">
            <v>123154</v>
          </cell>
          <cell r="AE91">
            <v>86080</v>
          </cell>
          <cell r="AF91">
            <v>0</v>
          </cell>
          <cell r="AG91">
            <v>0</v>
          </cell>
          <cell r="AH91">
            <v>0</v>
          </cell>
          <cell r="AI91">
            <v>984</v>
          </cell>
          <cell r="AJ91">
            <v>10890</v>
          </cell>
          <cell r="AK91">
            <v>0</v>
          </cell>
          <cell r="AL91">
            <v>0</v>
          </cell>
          <cell r="AM91">
            <v>25200</v>
          </cell>
          <cell r="AN91">
            <v>85020</v>
          </cell>
          <cell r="AO91">
            <v>0</v>
          </cell>
          <cell r="AP91">
            <v>85020</v>
          </cell>
          <cell r="AQ91" t="str">
            <v>스토리위즈</v>
          </cell>
          <cell r="AR91" t="str">
            <v>아슈크림</v>
          </cell>
        </row>
        <row r="92">
          <cell r="N92" t="str">
            <v>아슈크림</v>
          </cell>
          <cell r="O92" t="str">
            <v>Y</v>
          </cell>
          <cell r="P92">
            <v>0.7</v>
          </cell>
          <cell r="Q92">
            <v>0.6</v>
          </cell>
          <cell r="R92" t="str">
            <v>시리즈 이용권 패키지</v>
          </cell>
          <cell r="S92">
            <v>2700</v>
          </cell>
          <cell r="T92">
            <v>77200</v>
          </cell>
          <cell r="U92">
            <v>69200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4300</v>
          </cell>
          <cell r="AA92">
            <v>0</v>
          </cell>
          <cell r="AB92">
            <v>0</v>
          </cell>
          <cell r="AC92">
            <v>3700</v>
          </cell>
          <cell r="AD92">
            <v>77630</v>
          </cell>
          <cell r="AE92">
            <v>69200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4730</v>
          </cell>
          <cell r="AK92">
            <v>0</v>
          </cell>
          <cell r="AL92">
            <v>0</v>
          </cell>
          <cell r="AM92">
            <v>3700</v>
          </cell>
          <cell r="AN92">
            <v>53868</v>
          </cell>
          <cell r="AO92">
            <v>0</v>
          </cell>
          <cell r="AP92">
            <v>53868</v>
          </cell>
          <cell r="AQ92" t="str">
            <v>스토리위즈</v>
          </cell>
          <cell r="AR92" t="str">
            <v>아슈크림</v>
          </cell>
        </row>
        <row r="93">
          <cell r="N93" t="str">
            <v>이로세</v>
          </cell>
          <cell r="O93" t="str">
            <v>Y</v>
          </cell>
          <cell r="P93">
            <v>0.7</v>
          </cell>
          <cell r="Q93">
            <v>0.6</v>
          </cell>
          <cell r="R93" t="str">
            <v>단일 이용권</v>
          </cell>
          <cell r="S93">
            <v>100</v>
          </cell>
          <cell r="T93">
            <v>10800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10800</v>
          </cell>
          <cell r="AD93">
            <v>10800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10800</v>
          </cell>
          <cell r="AN93">
            <v>7560</v>
          </cell>
          <cell r="AO93">
            <v>0</v>
          </cell>
          <cell r="AP93">
            <v>7560</v>
          </cell>
          <cell r="AQ93" t="str">
            <v>스토리위즈</v>
          </cell>
          <cell r="AR93" t="str">
            <v>이로세</v>
          </cell>
        </row>
        <row r="94">
          <cell r="N94" t="str">
            <v>아슈크림</v>
          </cell>
          <cell r="O94" t="str">
            <v>Y</v>
          </cell>
          <cell r="P94">
            <v>0.7</v>
          </cell>
          <cell r="Q94">
            <v>0.6</v>
          </cell>
          <cell r="R94" t="str">
            <v>시리즈 이용권 패키지</v>
          </cell>
          <cell r="S94">
            <v>4500</v>
          </cell>
          <cell r="T94">
            <v>195200</v>
          </cell>
          <cell r="U94">
            <v>157800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31400</v>
          </cell>
          <cell r="AA94">
            <v>0</v>
          </cell>
          <cell r="AB94">
            <v>0</v>
          </cell>
          <cell r="AC94">
            <v>6000</v>
          </cell>
          <cell r="AD94">
            <v>198340</v>
          </cell>
          <cell r="AE94">
            <v>157800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34540</v>
          </cell>
          <cell r="AK94">
            <v>0</v>
          </cell>
          <cell r="AL94">
            <v>0</v>
          </cell>
          <cell r="AM94">
            <v>6000</v>
          </cell>
          <cell r="AN94">
            <v>135384</v>
          </cell>
          <cell r="AO94">
            <v>0</v>
          </cell>
          <cell r="AP94">
            <v>135384</v>
          </cell>
          <cell r="AQ94" t="str">
            <v>스토리위즈</v>
          </cell>
          <cell r="AR94" t="str">
            <v>아슈크림</v>
          </cell>
        </row>
        <row r="95">
          <cell r="N95" t="str">
            <v>이로세</v>
          </cell>
          <cell r="O95" t="str">
            <v>Y</v>
          </cell>
          <cell r="P95">
            <v>0.7</v>
          </cell>
          <cell r="Q95">
            <v>0.6</v>
          </cell>
          <cell r="R95" t="str">
            <v>시리즈 이용권 패키지</v>
          </cell>
          <cell r="S95">
            <v>900</v>
          </cell>
          <cell r="T95">
            <v>7200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7200</v>
          </cell>
          <cell r="AD95">
            <v>7200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7200</v>
          </cell>
          <cell r="AN95">
            <v>5040</v>
          </cell>
          <cell r="AO95">
            <v>0</v>
          </cell>
          <cell r="AP95">
            <v>5040</v>
          </cell>
          <cell r="AQ95" t="str">
            <v>스토리위즈</v>
          </cell>
          <cell r="AR95" t="str">
            <v>이로세</v>
          </cell>
        </row>
        <row r="96">
          <cell r="N96" t="str">
            <v>블랙커피</v>
          </cell>
          <cell r="O96" t="str">
            <v>Y</v>
          </cell>
          <cell r="P96">
            <v>0.7</v>
          </cell>
          <cell r="Q96">
            <v>0.6</v>
          </cell>
          <cell r="R96" t="str">
            <v>단일 이용권</v>
          </cell>
          <cell r="S96">
            <v>100</v>
          </cell>
          <cell r="T96">
            <v>4900</v>
          </cell>
          <cell r="U96">
            <v>2200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2700</v>
          </cell>
          <cell r="AD96">
            <v>4900</v>
          </cell>
          <cell r="AE96">
            <v>2200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2700</v>
          </cell>
          <cell r="AN96">
            <v>3430</v>
          </cell>
          <cell r="AO96">
            <v>0</v>
          </cell>
          <cell r="AP96">
            <v>3430</v>
          </cell>
          <cell r="AQ96" t="str">
            <v>스토리위즈</v>
          </cell>
          <cell r="AR96" t="str">
            <v>블랙커피</v>
          </cell>
        </row>
        <row r="97">
          <cell r="N97" t="str">
            <v>이로세</v>
          </cell>
          <cell r="O97" t="str">
            <v>Y</v>
          </cell>
          <cell r="P97">
            <v>0.7</v>
          </cell>
          <cell r="Q97">
            <v>0.6</v>
          </cell>
          <cell r="R97" t="str">
            <v>시리즈 이용권 패키지</v>
          </cell>
          <cell r="S97">
            <v>2700</v>
          </cell>
          <cell r="T97">
            <v>2700</v>
          </cell>
          <cell r="U97">
            <v>2700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2700</v>
          </cell>
          <cell r="AE97">
            <v>2700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1890</v>
          </cell>
          <cell r="AO97">
            <v>0</v>
          </cell>
          <cell r="AP97">
            <v>1890</v>
          </cell>
          <cell r="AQ97" t="str">
            <v>스토리위즈</v>
          </cell>
          <cell r="AR97" t="str">
            <v>이로세</v>
          </cell>
        </row>
        <row r="98">
          <cell r="N98" t="str">
            <v>블랙커피</v>
          </cell>
          <cell r="O98" t="str">
            <v>Y</v>
          </cell>
          <cell r="P98">
            <v>0.7</v>
          </cell>
          <cell r="Q98">
            <v>0.6</v>
          </cell>
          <cell r="R98" t="str">
            <v>시리즈 이용권 패키지</v>
          </cell>
          <cell r="S98">
            <v>900</v>
          </cell>
          <cell r="T98">
            <v>3600</v>
          </cell>
          <cell r="U98">
            <v>2700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900</v>
          </cell>
          <cell r="AD98">
            <v>3600</v>
          </cell>
          <cell r="AE98">
            <v>2700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900</v>
          </cell>
          <cell r="AN98">
            <v>2520</v>
          </cell>
          <cell r="AO98">
            <v>0</v>
          </cell>
          <cell r="AP98">
            <v>2520</v>
          </cell>
          <cell r="AQ98" t="str">
            <v>스토리위즈</v>
          </cell>
          <cell r="AR98" t="str">
            <v>블랙커피</v>
          </cell>
        </row>
        <row r="99">
          <cell r="N99" t="str">
            <v>이로세</v>
          </cell>
          <cell r="O99" t="str">
            <v>Y</v>
          </cell>
          <cell r="P99">
            <v>0.7</v>
          </cell>
          <cell r="Q99">
            <v>0.6</v>
          </cell>
          <cell r="R99" t="str">
            <v>시리즈 이용권 패키지</v>
          </cell>
          <cell r="S99">
            <v>4500</v>
          </cell>
          <cell r="T99">
            <v>4500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4500</v>
          </cell>
          <cell r="AD99">
            <v>4500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4500</v>
          </cell>
          <cell r="AN99">
            <v>3150</v>
          </cell>
          <cell r="AO99">
            <v>0</v>
          </cell>
          <cell r="AP99">
            <v>3150</v>
          </cell>
          <cell r="AQ99" t="str">
            <v>스토리위즈</v>
          </cell>
          <cell r="AR99" t="str">
            <v>이로세</v>
          </cell>
        </row>
        <row r="100">
          <cell r="N100" t="str">
            <v>블랙커피</v>
          </cell>
          <cell r="O100" t="str">
            <v>Y</v>
          </cell>
          <cell r="P100">
            <v>0.7</v>
          </cell>
          <cell r="Q100">
            <v>0.6</v>
          </cell>
          <cell r="R100" t="str">
            <v>시리즈 이용권 패키지</v>
          </cell>
          <cell r="S100">
            <v>2700</v>
          </cell>
          <cell r="T100">
            <v>2700</v>
          </cell>
          <cell r="U100">
            <v>2700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2700</v>
          </cell>
          <cell r="AE100">
            <v>2700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1890</v>
          </cell>
          <cell r="AO100">
            <v>0</v>
          </cell>
          <cell r="AP100">
            <v>1890</v>
          </cell>
          <cell r="AQ100" t="str">
            <v>스토리위즈</v>
          </cell>
          <cell r="AR100" t="str">
            <v>블랙커피</v>
          </cell>
        </row>
        <row r="101">
          <cell r="N101" t="str">
            <v>DION(디온)</v>
          </cell>
          <cell r="O101" t="str">
            <v>Y</v>
          </cell>
          <cell r="P101">
            <v>0.7</v>
          </cell>
          <cell r="Q101">
            <v>0.6</v>
          </cell>
          <cell r="R101" t="str">
            <v>단일 이용권</v>
          </cell>
          <cell r="S101">
            <v>100</v>
          </cell>
          <cell r="T101">
            <v>10000</v>
          </cell>
          <cell r="U101">
            <v>1600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8400</v>
          </cell>
          <cell r="AD101">
            <v>10000</v>
          </cell>
          <cell r="AE101">
            <v>1600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8400</v>
          </cell>
          <cell r="AN101">
            <v>7000</v>
          </cell>
          <cell r="AO101">
            <v>0</v>
          </cell>
          <cell r="AP101">
            <v>7000</v>
          </cell>
          <cell r="AQ101" t="str">
            <v>스토리위즈</v>
          </cell>
          <cell r="AR101" t="str">
            <v>DION(디온)</v>
          </cell>
        </row>
        <row r="102">
          <cell r="N102" t="str">
            <v>DION(디온)</v>
          </cell>
          <cell r="O102" t="str">
            <v>Y</v>
          </cell>
          <cell r="P102">
            <v>0.7</v>
          </cell>
          <cell r="Q102">
            <v>0.6</v>
          </cell>
          <cell r="R102" t="str">
            <v>시리즈 이용권 패키지</v>
          </cell>
          <cell r="S102">
            <v>900</v>
          </cell>
          <cell r="T102">
            <v>6000</v>
          </cell>
          <cell r="U102">
            <v>700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5300</v>
          </cell>
          <cell r="AD102">
            <v>6000</v>
          </cell>
          <cell r="AE102">
            <v>700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5300</v>
          </cell>
          <cell r="AN102">
            <v>4200</v>
          </cell>
          <cell r="AO102">
            <v>0</v>
          </cell>
          <cell r="AP102">
            <v>4200</v>
          </cell>
          <cell r="AQ102" t="str">
            <v>스토리위즈</v>
          </cell>
          <cell r="AR102" t="str">
            <v>DION(디온)</v>
          </cell>
        </row>
        <row r="103">
          <cell r="N103" t="str">
            <v>DION(디온)</v>
          </cell>
          <cell r="O103" t="str">
            <v>Y</v>
          </cell>
          <cell r="P103">
            <v>0.7</v>
          </cell>
          <cell r="Q103">
            <v>0.6</v>
          </cell>
          <cell r="R103" t="str">
            <v>시리즈 이용권 패키지</v>
          </cell>
          <cell r="S103">
            <v>2700</v>
          </cell>
          <cell r="T103">
            <v>9600</v>
          </cell>
          <cell r="U103">
            <v>6900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2700</v>
          </cell>
          <cell r="AD103">
            <v>9600</v>
          </cell>
          <cell r="AE103">
            <v>6900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2700</v>
          </cell>
          <cell r="AN103">
            <v>6720</v>
          </cell>
          <cell r="AO103">
            <v>0</v>
          </cell>
          <cell r="AP103">
            <v>6720</v>
          </cell>
          <cell r="AQ103" t="str">
            <v>스토리위즈</v>
          </cell>
          <cell r="AR103" t="str">
            <v>DION(디온)</v>
          </cell>
        </row>
        <row r="104">
          <cell r="N104" t="str">
            <v>밈스</v>
          </cell>
          <cell r="O104" t="str">
            <v>Y</v>
          </cell>
          <cell r="P104">
            <v>0.7</v>
          </cell>
          <cell r="Q104">
            <v>0.6</v>
          </cell>
          <cell r="R104" t="str">
            <v>단일 이용권</v>
          </cell>
          <cell r="S104">
            <v>100</v>
          </cell>
          <cell r="T104">
            <v>14100</v>
          </cell>
          <cell r="U104">
            <v>12100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2000</v>
          </cell>
          <cell r="AD104">
            <v>14100</v>
          </cell>
          <cell r="AE104">
            <v>12100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2000</v>
          </cell>
          <cell r="AN104">
            <v>9870</v>
          </cell>
          <cell r="AO104">
            <v>0</v>
          </cell>
          <cell r="AP104">
            <v>9870</v>
          </cell>
          <cell r="AQ104" t="str">
            <v>스토리위즈</v>
          </cell>
          <cell r="AR104" t="str">
            <v>밈스</v>
          </cell>
        </row>
        <row r="105">
          <cell r="N105" t="str">
            <v>서도연</v>
          </cell>
          <cell r="O105" t="str">
            <v>Y</v>
          </cell>
          <cell r="P105">
            <v>0.7</v>
          </cell>
          <cell r="Q105">
            <v>0.6</v>
          </cell>
          <cell r="R105" t="str">
            <v>단일 이용권</v>
          </cell>
          <cell r="S105">
            <v>100</v>
          </cell>
          <cell r="T105">
            <v>213800</v>
          </cell>
          <cell r="U105">
            <v>134900</v>
          </cell>
          <cell r="V105">
            <v>0</v>
          </cell>
          <cell r="W105">
            <v>0</v>
          </cell>
          <cell r="X105">
            <v>0</v>
          </cell>
          <cell r="Y105">
            <v>2900</v>
          </cell>
          <cell r="Z105">
            <v>4300</v>
          </cell>
          <cell r="AA105">
            <v>0</v>
          </cell>
          <cell r="AB105">
            <v>0</v>
          </cell>
          <cell r="AC105">
            <v>71700</v>
          </cell>
          <cell r="AD105">
            <v>214810</v>
          </cell>
          <cell r="AE105">
            <v>134900</v>
          </cell>
          <cell r="AF105">
            <v>0</v>
          </cell>
          <cell r="AG105">
            <v>0</v>
          </cell>
          <cell r="AH105">
            <v>0</v>
          </cell>
          <cell r="AI105">
            <v>3480</v>
          </cell>
          <cell r="AJ105">
            <v>4730</v>
          </cell>
          <cell r="AK105">
            <v>0</v>
          </cell>
          <cell r="AL105">
            <v>0</v>
          </cell>
          <cell r="AM105">
            <v>71700</v>
          </cell>
          <cell r="AN105">
            <v>149546</v>
          </cell>
          <cell r="AO105">
            <v>0</v>
          </cell>
          <cell r="AP105">
            <v>149546</v>
          </cell>
          <cell r="AQ105" t="str">
            <v>스토리위즈</v>
          </cell>
          <cell r="AR105" t="str">
            <v>서도연</v>
          </cell>
        </row>
        <row r="106">
          <cell r="N106" t="str">
            <v>밈스</v>
          </cell>
          <cell r="O106" t="str">
            <v>Y</v>
          </cell>
          <cell r="P106">
            <v>0.7</v>
          </cell>
          <cell r="Q106">
            <v>0.6</v>
          </cell>
          <cell r="R106" t="str">
            <v>시리즈 이용권 패키지</v>
          </cell>
          <cell r="S106">
            <v>900</v>
          </cell>
          <cell r="T106">
            <v>12500</v>
          </cell>
          <cell r="U106">
            <v>10600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1800</v>
          </cell>
          <cell r="AA106">
            <v>0</v>
          </cell>
          <cell r="AB106">
            <v>0</v>
          </cell>
          <cell r="AC106">
            <v>100</v>
          </cell>
          <cell r="AD106">
            <v>12680</v>
          </cell>
          <cell r="AE106">
            <v>10600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1980</v>
          </cell>
          <cell r="AK106">
            <v>0</v>
          </cell>
          <cell r="AL106">
            <v>0</v>
          </cell>
          <cell r="AM106">
            <v>100</v>
          </cell>
          <cell r="AN106">
            <v>8678</v>
          </cell>
          <cell r="AO106">
            <v>0</v>
          </cell>
          <cell r="AP106">
            <v>8678</v>
          </cell>
          <cell r="AQ106" t="str">
            <v>스토리위즈</v>
          </cell>
          <cell r="AR106" t="str">
            <v>밈스</v>
          </cell>
        </row>
        <row r="107">
          <cell r="N107" t="str">
            <v>독고진</v>
          </cell>
          <cell r="O107" t="str">
            <v>Y</v>
          </cell>
          <cell r="P107">
            <v>0.7</v>
          </cell>
          <cell r="Q107">
            <v>0.6</v>
          </cell>
          <cell r="R107" t="str">
            <v>단일 대여 이용권</v>
          </cell>
          <cell r="S107">
            <v>900</v>
          </cell>
          <cell r="T107">
            <v>38700</v>
          </cell>
          <cell r="U107">
            <v>27000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11700</v>
          </cell>
          <cell r="AD107">
            <v>38700</v>
          </cell>
          <cell r="AE107">
            <v>27000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11700</v>
          </cell>
          <cell r="AN107">
            <v>27090</v>
          </cell>
          <cell r="AO107">
            <v>0</v>
          </cell>
          <cell r="AP107">
            <v>27090</v>
          </cell>
          <cell r="AQ107" t="str">
            <v>스토리위즈</v>
          </cell>
          <cell r="AR107" t="str">
            <v>독고진</v>
          </cell>
        </row>
        <row r="108">
          <cell r="N108" t="str">
            <v>서도연</v>
          </cell>
          <cell r="O108" t="str">
            <v>Y</v>
          </cell>
          <cell r="P108">
            <v>0.7</v>
          </cell>
          <cell r="Q108">
            <v>0.6</v>
          </cell>
          <cell r="R108" t="str">
            <v>시리즈 이용권 패키지</v>
          </cell>
          <cell r="S108">
            <v>1900</v>
          </cell>
          <cell r="T108">
            <v>313500</v>
          </cell>
          <cell r="U108">
            <v>265000</v>
          </cell>
          <cell r="V108">
            <v>0</v>
          </cell>
          <cell r="W108">
            <v>0</v>
          </cell>
          <cell r="X108">
            <v>0</v>
          </cell>
          <cell r="Y108">
            <v>7000</v>
          </cell>
          <cell r="Z108">
            <v>10700</v>
          </cell>
          <cell r="AA108">
            <v>0</v>
          </cell>
          <cell r="AB108">
            <v>0</v>
          </cell>
          <cell r="AC108">
            <v>30800</v>
          </cell>
          <cell r="AD108">
            <v>315970</v>
          </cell>
          <cell r="AE108">
            <v>265000</v>
          </cell>
          <cell r="AF108">
            <v>0</v>
          </cell>
          <cell r="AG108">
            <v>0</v>
          </cell>
          <cell r="AH108">
            <v>0</v>
          </cell>
          <cell r="AI108">
            <v>8400</v>
          </cell>
          <cell r="AJ108">
            <v>11770</v>
          </cell>
          <cell r="AK108">
            <v>0</v>
          </cell>
          <cell r="AL108">
            <v>0</v>
          </cell>
          <cell r="AM108">
            <v>30800</v>
          </cell>
          <cell r="AN108">
            <v>219162</v>
          </cell>
          <cell r="AO108">
            <v>0</v>
          </cell>
          <cell r="AP108">
            <v>219162</v>
          </cell>
          <cell r="AQ108" t="str">
            <v>스토리위즈</v>
          </cell>
          <cell r="AR108" t="str">
            <v>서도연</v>
          </cell>
        </row>
        <row r="109">
          <cell r="N109" t="str">
            <v>밈스</v>
          </cell>
          <cell r="O109" t="str">
            <v>Y</v>
          </cell>
          <cell r="P109">
            <v>0.7</v>
          </cell>
          <cell r="Q109">
            <v>0.6</v>
          </cell>
          <cell r="R109" t="str">
            <v>시리즈 이용권 패키지</v>
          </cell>
          <cell r="S109">
            <v>2700</v>
          </cell>
          <cell r="T109">
            <v>10400</v>
          </cell>
          <cell r="U109">
            <v>5800</v>
          </cell>
          <cell r="V109">
            <v>0</v>
          </cell>
          <cell r="W109">
            <v>0</v>
          </cell>
          <cell r="X109">
            <v>0</v>
          </cell>
          <cell r="Y109">
            <v>2700</v>
          </cell>
          <cell r="Z109">
            <v>400</v>
          </cell>
          <cell r="AA109">
            <v>0</v>
          </cell>
          <cell r="AB109">
            <v>0</v>
          </cell>
          <cell r="AC109">
            <v>1500</v>
          </cell>
          <cell r="AD109">
            <v>10980</v>
          </cell>
          <cell r="AE109">
            <v>5800</v>
          </cell>
          <cell r="AF109">
            <v>0</v>
          </cell>
          <cell r="AG109">
            <v>0</v>
          </cell>
          <cell r="AH109">
            <v>0</v>
          </cell>
          <cell r="AI109">
            <v>3240</v>
          </cell>
          <cell r="AJ109">
            <v>440</v>
          </cell>
          <cell r="AK109">
            <v>0</v>
          </cell>
          <cell r="AL109">
            <v>0</v>
          </cell>
          <cell r="AM109">
            <v>1500</v>
          </cell>
          <cell r="AN109">
            <v>7318</v>
          </cell>
          <cell r="AO109">
            <v>0</v>
          </cell>
          <cell r="AP109">
            <v>7318</v>
          </cell>
          <cell r="AQ109" t="str">
            <v>스토리위즈</v>
          </cell>
          <cell r="AR109" t="str">
            <v>밈스</v>
          </cell>
        </row>
        <row r="110">
          <cell r="N110" t="str">
            <v>독고진</v>
          </cell>
          <cell r="O110" t="str">
            <v>Y</v>
          </cell>
          <cell r="P110">
            <v>0.7</v>
          </cell>
          <cell r="Q110">
            <v>0.6</v>
          </cell>
          <cell r="R110" t="str">
            <v>시리즈 대여 이용권 패키지</v>
          </cell>
          <cell r="S110">
            <v>13500</v>
          </cell>
          <cell r="T110">
            <v>13500</v>
          </cell>
          <cell r="U110">
            <v>13500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13500</v>
          </cell>
          <cell r="AE110">
            <v>13500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9450</v>
          </cell>
          <cell r="AO110">
            <v>0</v>
          </cell>
          <cell r="AP110">
            <v>9450</v>
          </cell>
          <cell r="AQ110" t="str">
            <v>스토리위즈</v>
          </cell>
          <cell r="AR110" t="str">
            <v>독고진</v>
          </cell>
        </row>
        <row r="111">
          <cell r="N111" t="str">
            <v>BitterSweet</v>
          </cell>
          <cell r="O111" t="str">
            <v>Y</v>
          </cell>
          <cell r="P111">
            <v>0.7</v>
          </cell>
          <cell r="Q111">
            <v>0.6</v>
          </cell>
          <cell r="R111" t="str">
            <v>단일 이용권</v>
          </cell>
          <cell r="S111">
            <v>100</v>
          </cell>
          <cell r="T111">
            <v>16000</v>
          </cell>
          <cell r="U111">
            <v>2200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13800</v>
          </cell>
          <cell r="AD111">
            <v>16000</v>
          </cell>
          <cell r="AE111">
            <v>2200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13800</v>
          </cell>
          <cell r="AN111">
            <v>11200</v>
          </cell>
          <cell r="AO111">
            <v>0</v>
          </cell>
          <cell r="AP111">
            <v>11200</v>
          </cell>
          <cell r="AQ111" t="str">
            <v>스토리위즈</v>
          </cell>
          <cell r="AR111" t="str">
            <v>제외</v>
          </cell>
        </row>
        <row r="112">
          <cell r="N112" t="str">
            <v>서도연</v>
          </cell>
          <cell r="O112" t="str">
            <v>Y</v>
          </cell>
          <cell r="P112">
            <v>0.7</v>
          </cell>
          <cell r="Q112">
            <v>0.6</v>
          </cell>
          <cell r="R112" t="str">
            <v>시리즈 이용권 패키지</v>
          </cell>
          <cell r="S112">
            <v>3700</v>
          </cell>
          <cell r="T112">
            <v>152100</v>
          </cell>
          <cell r="U112">
            <v>131100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21000</v>
          </cell>
          <cell r="AD112">
            <v>152100</v>
          </cell>
          <cell r="AE112">
            <v>131100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21000</v>
          </cell>
          <cell r="AN112">
            <v>106470</v>
          </cell>
          <cell r="AO112">
            <v>0</v>
          </cell>
          <cell r="AP112">
            <v>106470</v>
          </cell>
          <cell r="AQ112" t="str">
            <v>스토리위즈</v>
          </cell>
          <cell r="AR112" t="str">
            <v>서도연</v>
          </cell>
        </row>
        <row r="113">
          <cell r="N113" t="str">
            <v>밈스</v>
          </cell>
          <cell r="O113" t="str">
            <v>Y</v>
          </cell>
          <cell r="P113">
            <v>0.7</v>
          </cell>
          <cell r="Q113">
            <v>0.6</v>
          </cell>
          <cell r="R113" t="str">
            <v>시리즈 이용권 패키지</v>
          </cell>
          <cell r="S113">
            <v>4500</v>
          </cell>
          <cell r="T113">
            <v>6600</v>
          </cell>
          <cell r="U113">
            <v>6300</v>
          </cell>
          <cell r="V113">
            <v>0</v>
          </cell>
          <cell r="W113">
            <v>0</v>
          </cell>
          <cell r="X113">
            <v>0</v>
          </cell>
          <cell r="Y113">
            <v>-2600</v>
          </cell>
          <cell r="Z113">
            <v>0</v>
          </cell>
          <cell r="AA113">
            <v>0</v>
          </cell>
          <cell r="AB113">
            <v>0</v>
          </cell>
          <cell r="AC113">
            <v>2900</v>
          </cell>
          <cell r="AD113">
            <v>6080</v>
          </cell>
          <cell r="AE113">
            <v>6300</v>
          </cell>
          <cell r="AF113">
            <v>0</v>
          </cell>
          <cell r="AG113">
            <v>0</v>
          </cell>
          <cell r="AH113">
            <v>0</v>
          </cell>
          <cell r="AI113">
            <v>-3120</v>
          </cell>
          <cell r="AJ113">
            <v>0</v>
          </cell>
          <cell r="AK113">
            <v>0</v>
          </cell>
          <cell r="AL113">
            <v>0</v>
          </cell>
          <cell r="AM113">
            <v>2900</v>
          </cell>
          <cell r="AN113">
            <v>4568</v>
          </cell>
          <cell r="AO113">
            <v>0</v>
          </cell>
          <cell r="AP113">
            <v>4568</v>
          </cell>
          <cell r="AQ113" t="str">
            <v>스토리위즈</v>
          </cell>
          <cell r="AR113" t="str">
            <v>밈스</v>
          </cell>
        </row>
        <row r="114">
          <cell r="N114" t="str">
            <v>독고진</v>
          </cell>
          <cell r="O114" t="str">
            <v>Y</v>
          </cell>
          <cell r="P114">
            <v>0.7</v>
          </cell>
          <cell r="Q114">
            <v>0.6</v>
          </cell>
          <cell r="R114" t="str">
            <v>단일 이용권</v>
          </cell>
          <cell r="S114">
            <v>3200</v>
          </cell>
          <cell r="T114">
            <v>48000</v>
          </cell>
          <cell r="U114">
            <v>46000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2000</v>
          </cell>
          <cell r="AD114">
            <v>48000</v>
          </cell>
          <cell r="AE114">
            <v>46000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2000</v>
          </cell>
          <cell r="AN114">
            <v>33600</v>
          </cell>
          <cell r="AO114">
            <v>0</v>
          </cell>
          <cell r="AP114">
            <v>33600</v>
          </cell>
          <cell r="AQ114" t="str">
            <v>스토리위즈</v>
          </cell>
          <cell r="AR114" t="str">
            <v>독고진</v>
          </cell>
        </row>
        <row r="115">
          <cell r="N115" t="str">
            <v>BitterSweet</v>
          </cell>
          <cell r="O115" t="str">
            <v>Y</v>
          </cell>
          <cell r="P115">
            <v>0.7</v>
          </cell>
          <cell r="Q115">
            <v>0.6</v>
          </cell>
          <cell r="R115" t="str">
            <v>시리즈 이용권 패키지</v>
          </cell>
          <cell r="S115">
            <v>4500</v>
          </cell>
          <cell r="T115">
            <v>4500</v>
          </cell>
          <cell r="U115">
            <v>4500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4500</v>
          </cell>
          <cell r="AE115">
            <v>4500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3150</v>
          </cell>
          <cell r="AO115">
            <v>0</v>
          </cell>
          <cell r="AP115">
            <v>3150</v>
          </cell>
          <cell r="AQ115" t="str">
            <v>스토리위즈</v>
          </cell>
          <cell r="AR115" t="str">
            <v>제외</v>
          </cell>
        </row>
        <row r="116">
          <cell r="N116" t="str">
            <v>서도연</v>
          </cell>
          <cell r="O116" t="str">
            <v>Y</v>
          </cell>
          <cell r="P116">
            <v>0.7</v>
          </cell>
          <cell r="Q116">
            <v>0.6</v>
          </cell>
          <cell r="R116" t="str">
            <v>시리즈 이용권 패키지</v>
          </cell>
          <cell r="S116">
            <v>7200</v>
          </cell>
          <cell r="T116">
            <v>89700</v>
          </cell>
          <cell r="U116">
            <v>67700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14400</v>
          </cell>
          <cell r="AA116">
            <v>0</v>
          </cell>
          <cell r="AB116">
            <v>0</v>
          </cell>
          <cell r="AC116">
            <v>7600</v>
          </cell>
          <cell r="AD116">
            <v>91140</v>
          </cell>
          <cell r="AE116">
            <v>67700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15840</v>
          </cell>
          <cell r="AK116">
            <v>0</v>
          </cell>
          <cell r="AL116">
            <v>0</v>
          </cell>
          <cell r="AM116">
            <v>7600</v>
          </cell>
          <cell r="AN116">
            <v>62214</v>
          </cell>
          <cell r="AO116">
            <v>0</v>
          </cell>
          <cell r="AP116">
            <v>62214</v>
          </cell>
          <cell r="AQ116" t="str">
            <v>스토리위즈</v>
          </cell>
          <cell r="AR116" t="str">
            <v>서도연</v>
          </cell>
        </row>
        <row r="117">
          <cell r="N117" t="str">
            <v>전혁</v>
          </cell>
          <cell r="O117" t="str">
            <v>Y</v>
          </cell>
          <cell r="P117">
            <v>0.7</v>
          </cell>
          <cell r="Q117">
            <v>0.6</v>
          </cell>
          <cell r="R117" t="str">
            <v>단일 대여 이용권</v>
          </cell>
          <cell r="S117">
            <v>900</v>
          </cell>
          <cell r="T117">
            <v>12600</v>
          </cell>
          <cell r="U117">
            <v>7210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5390</v>
          </cell>
          <cell r="AD117">
            <v>12600</v>
          </cell>
          <cell r="AE117">
            <v>7210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5390</v>
          </cell>
          <cell r="AN117">
            <v>8820</v>
          </cell>
          <cell r="AO117">
            <v>0</v>
          </cell>
          <cell r="AP117">
            <v>8820</v>
          </cell>
          <cell r="AQ117" t="str">
            <v>스토리위즈</v>
          </cell>
          <cell r="AR117" t="str">
            <v>전혁</v>
          </cell>
        </row>
        <row r="118">
          <cell r="N118" t="str">
            <v>BitterSweet</v>
          </cell>
          <cell r="O118" t="str">
            <v>Y</v>
          </cell>
          <cell r="P118">
            <v>0.7</v>
          </cell>
          <cell r="Q118">
            <v>0.6</v>
          </cell>
          <cell r="R118" t="str">
            <v>시리즈 이용권 패키지</v>
          </cell>
          <cell r="S118">
            <v>9000</v>
          </cell>
          <cell r="T118">
            <v>9000</v>
          </cell>
          <cell r="U118">
            <v>9000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9000</v>
          </cell>
          <cell r="AE118">
            <v>9000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6300</v>
          </cell>
          <cell r="AO118">
            <v>0</v>
          </cell>
          <cell r="AP118">
            <v>6300</v>
          </cell>
          <cell r="AQ118" t="str">
            <v>스토리위즈</v>
          </cell>
          <cell r="AR118" t="str">
            <v>제외</v>
          </cell>
        </row>
        <row r="119">
          <cell r="N119" t="str">
            <v>전혁</v>
          </cell>
          <cell r="O119" t="str">
            <v>Y</v>
          </cell>
          <cell r="P119">
            <v>0.7</v>
          </cell>
          <cell r="Q119">
            <v>0.6</v>
          </cell>
          <cell r="R119" t="str">
            <v>단일 이용권</v>
          </cell>
          <cell r="S119">
            <v>3200</v>
          </cell>
          <cell r="T119">
            <v>32000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32000</v>
          </cell>
          <cell r="AD119">
            <v>32000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32000</v>
          </cell>
          <cell r="AN119">
            <v>22400</v>
          </cell>
          <cell r="AO119">
            <v>0</v>
          </cell>
          <cell r="AP119">
            <v>22400</v>
          </cell>
          <cell r="AQ119" t="str">
            <v>스토리위즈</v>
          </cell>
          <cell r="AR119" t="str">
            <v>전혁</v>
          </cell>
        </row>
        <row r="120">
          <cell r="N120" t="str">
            <v>전혁</v>
          </cell>
          <cell r="O120" t="str">
            <v>Y</v>
          </cell>
          <cell r="P120">
            <v>0.7</v>
          </cell>
          <cell r="Q120">
            <v>0.6</v>
          </cell>
          <cell r="R120" t="str">
            <v>단일 대여 이용권</v>
          </cell>
          <cell r="S120">
            <v>900</v>
          </cell>
          <cell r="T120">
            <v>1800</v>
          </cell>
          <cell r="U120">
            <v>1800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1800</v>
          </cell>
          <cell r="AE120">
            <v>1800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1260</v>
          </cell>
          <cell r="AO120">
            <v>0</v>
          </cell>
          <cell r="AP120">
            <v>1260</v>
          </cell>
          <cell r="AQ120" t="str">
            <v>스토리위즈</v>
          </cell>
          <cell r="AR120" t="str">
            <v>전혁</v>
          </cell>
        </row>
        <row r="121">
          <cell r="N121" t="str">
            <v>전혁</v>
          </cell>
          <cell r="O121" t="str">
            <v>Y</v>
          </cell>
          <cell r="P121">
            <v>0.7</v>
          </cell>
          <cell r="Q121">
            <v>0.6</v>
          </cell>
          <cell r="R121" t="str">
            <v>단일 이용권</v>
          </cell>
          <cell r="S121">
            <v>3200</v>
          </cell>
          <cell r="T121">
            <v>32000</v>
          </cell>
          <cell r="U121">
            <v>28500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3500</v>
          </cell>
          <cell r="AD121">
            <v>32000</v>
          </cell>
          <cell r="AE121">
            <v>28500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3500</v>
          </cell>
          <cell r="AN121">
            <v>22400</v>
          </cell>
          <cell r="AO121">
            <v>0</v>
          </cell>
          <cell r="AP121">
            <v>22400</v>
          </cell>
          <cell r="AQ121" t="str">
            <v>스토리위즈</v>
          </cell>
          <cell r="AR121" t="str">
            <v>전혁</v>
          </cell>
        </row>
        <row r="122">
          <cell r="N122" t="str">
            <v>전혁</v>
          </cell>
          <cell r="O122" t="str">
            <v>Y</v>
          </cell>
          <cell r="P122">
            <v>0.7</v>
          </cell>
          <cell r="Q122">
            <v>0.6</v>
          </cell>
          <cell r="R122" t="str">
            <v>단일 대여 이용권</v>
          </cell>
          <cell r="S122">
            <v>900</v>
          </cell>
          <cell r="T122">
            <v>47700</v>
          </cell>
          <cell r="U122">
            <v>29000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2700</v>
          </cell>
          <cell r="AA122">
            <v>0</v>
          </cell>
          <cell r="AB122">
            <v>0</v>
          </cell>
          <cell r="AC122">
            <v>16000</v>
          </cell>
          <cell r="AD122">
            <v>47970</v>
          </cell>
          <cell r="AE122">
            <v>29000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2970</v>
          </cell>
          <cell r="AK122">
            <v>0</v>
          </cell>
          <cell r="AL122">
            <v>0</v>
          </cell>
          <cell r="AM122">
            <v>16000</v>
          </cell>
          <cell r="AN122">
            <v>33282</v>
          </cell>
          <cell r="AO122">
            <v>0</v>
          </cell>
          <cell r="AP122">
            <v>33282</v>
          </cell>
          <cell r="AQ122" t="str">
            <v>스토리위즈</v>
          </cell>
          <cell r="AR122" t="str">
            <v>전혁</v>
          </cell>
        </row>
        <row r="123">
          <cell r="N123" t="str">
            <v>전혁</v>
          </cell>
          <cell r="O123" t="str">
            <v>Y</v>
          </cell>
          <cell r="P123">
            <v>0.7</v>
          </cell>
          <cell r="Q123">
            <v>0.6</v>
          </cell>
          <cell r="R123" t="str">
            <v>시리즈 대여 이용권 패키지</v>
          </cell>
          <cell r="S123">
            <v>8100</v>
          </cell>
          <cell r="T123">
            <v>8100</v>
          </cell>
          <cell r="U123">
            <v>7200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900</v>
          </cell>
          <cell r="AD123">
            <v>8100</v>
          </cell>
          <cell r="AE123">
            <v>7200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900</v>
          </cell>
          <cell r="AN123">
            <v>5670</v>
          </cell>
          <cell r="AO123">
            <v>0</v>
          </cell>
          <cell r="AP123">
            <v>5670</v>
          </cell>
          <cell r="AQ123" t="str">
            <v>스토리위즈</v>
          </cell>
          <cell r="AR123" t="str">
            <v>전혁</v>
          </cell>
        </row>
        <row r="124">
          <cell r="N124" t="str">
            <v>김정률</v>
          </cell>
          <cell r="O124" t="str">
            <v>Y</v>
          </cell>
          <cell r="P124">
            <v>0.7</v>
          </cell>
          <cell r="Q124">
            <v>0.6</v>
          </cell>
          <cell r="R124" t="str">
            <v>단일 이용권</v>
          </cell>
          <cell r="S124">
            <v>100</v>
          </cell>
          <cell r="T124">
            <v>27500</v>
          </cell>
          <cell r="U124">
            <v>11200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16300</v>
          </cell>
          <cell r="AD124">
            <v>27500</v>
          </cell>
          <cell r="AE124">
            <v>11200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16300</v>
          </cell>
          <cell r="AN124">
            <v>19250</v>
          </cell>
          <cell r="AO124">
            <v>0</v>
          </cell>
          <cell r="AP124">
            <v>19250</v>
          </cell>
          <cell r="AQ124" t="str">
            <v>스토리위즈</v>
          </cell>
          <cell r="AR124" t="str">
            <v>김정률</v>
          </cell>
        </row>
        <row r="125">
          <cell r="N125" t="str">
            <v>문스톤</v>
          </cell>
          <cell r="O125" t="str">
            <v>Y</v>
          </cell>
          <cell r="P125">
            <v>0.7</v>
          </cell>
          <cell r="Q125">
            <v>0.6</v>
          </cell>
          <cell r="R125" t="str">
            <v>단일 이용권</v>
          </cell>
          <cell r="S125">
            <v>100</v>
          </cell>
          <cell r="T125">
            <v>25400</v>
          </cell>
          <cell r="U125">
            <v>17300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8100</v>
          </cell>
          <cell r="AD125">
            <v>25400</v>
          </cell>
          <cell r="AE125">
            <v>17300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8100</v>
          </cell>
          <cell r="AN125">
            <v>17780</v>
          </cell>
          <cell r="AO125">
            <v>0</v>
          </cell>
          <cell r="AP125">
            <v>17780</v>
          </cell>
          <cell r="AQ125" t="str">
            <v>스토리위즈</v>
          </cell>
          <cell r="AR125" t="str">
            <v>문스톤</v>
          </cell>
        </row>
        <row r="126">
          <cell r="N126" t="str">
            <v>김정률</v>
          </cell>
          <cell r="O126" t="str">
            <v>Y</v>
          </cell>
          <cell r="P126">
            <v>0.7</v>
          </cell>
          <cell r="Q126">
            <v>0.6</v>
          </cell>
          <cell r="R126" t="str">
            <v>시리즈 이용권 패키지</v>
          </cell>
          <cell r="S126">
            <v>2300</v>
          </cell>
          <cell r="T126">
            <v>30400</v>
          </cell>
          <cell r="U126">
            <v>25800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4600</v>
          </cell>
          <cell r="AD126">
            <v>30400</v>
          </cell>
          <cell r="AE126">
            <v>25800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4600</v>
          </cell>
          <cell r="AN126">
            <v>21280</v>
          </cell>
          <cell r="AO126">
            <v>0</v>
          </cell>
          <cell r="AP126">
            <v>21280</v>
          </cell>
          <cell r="AQ126" t="str">
            <v>스토리위즈</v>
          </cell>
          <cell r="AR126" t="str">
            <v>김정률</v>
          </cell>
        </row>
        <row r="127">
          <cell r="N127" t="str">
            <v>문스톤</v>
          </cell>
          <cell r="O127" t="str">
            <v>Y</v>
          </cell>
          <cell r="P127">
            <v>0.7</v>
          </cell>
          <cell r="Q127">
            <v>0.6</v>
          </cell>
          <cell r="R127" t="str">
            <v>시리즈 이용권 패키지</v>
          </cell>
          <cell r="S127">
            <v>900</v>
          </cell>
          <cell r="T127">
            <v>27000</v>
          </cell>
          <cell r="U127">
            <v>21900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5100</v>
          </cell>
          <cell r="AD127">
            <v>27000</v>
          </cell>
          <cell r="AE127">
            <v>21900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5100</v>
          </cell>
          <cell r="AN127">
            <v>18900</v>
          </cell>
          <cell r="AO127">
            <v>0</v>
          </cell>
          <cell r="AP127">
            <v>18900</v>
          </cell>
          <cell r="AQ127" t="str">
            <v>스토리위즈</v>
          </cell>
          <cell r="AR127" t="str">
            <v>문스톤</v>
          </cell>
        </row>
        <row r="128">
          <cell r="N128" t="str">
            <v>김정률</v>
          </cell>
          <cell r="O128" t="str">
            <v>Y</v>
          </cell>
          <cell r="P128">
            <v>0.7</v>
          </cell>
          <cell r="Q128">
            <v>0.6</v>
          </cell>
          <cell r="R128" t="str">
            <v>시리즈 이용권 패키지</v>
          </cell>
          <cell r="S128">
            <v>4500</v>
          </cell>
          <cell r="T128">
            <v>13500</v>
          </cell>
          <cell r="U128">
            <v>13500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13500</v>
          </cell>
          <cell r="AE128">
            <v>13500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9450</v>
          </cell>
          <cell r="AO128">
            <v>0</v>
          </cell>
          <cell r="AP128">
            <v>9450</v>
          </cell>
          <cell r="AQ128" t="str">
            <v>스토리위즈</v>
          </cell>
          <cell r="AR128" t="str">
            <v>김정률</v>
          </cell>
        </row>
        <row r="129">
          <cell r="N129" t="str">
            <v>문스톤</v>
          </cell>
          <cell r="O129" t="str">
            <v>Y</v>
          </cell>
          <cell r="P129">
            <v>0.7</v>
          </cell>
          <cell r="Q129">
            <v>0.6</v>
          </cell>
          <cell r="R129" t="str">
            <v>시리즈 이용권 패키지</v>
          </cell>
          <cell r="S129">
            <v>1800</v>
          </cell>
          <cell r="T129">
            <v>5400</v>
          </cell>
          <cell r="U129">
            <v>4900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500</v>
          </cell>
          <cell r="AD129">
            <v>5400</v>
          </cell>
          <cell r="AE129">
            <v>4900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500</v>
          </cell>
          <cell r="AN129">
            <v>3780</v>
          </cell>
          <cell r="AO129">
            <v>0</v>
          </cell>
          <cell r="AP129">
            <v>3780</v>
          </cell>
          <cell r="AQ129" t="str">
            <v>스토리위즈</v>
          </cell>
          <cell r="AR129" t="str">
            <v>문스톤</v>
          </cell>
        </row>
        <row r="130">
          <cell r="N130" t="str">
            <v>블 루 스 카 이</v>
          </cell>
          <cell r="O130" t="str">
            <v>Y</v>
          </cell>
          <cell r="P130">
            <v>0.7</v>
          </cell>
          <cell r="Q130">
            <v>0.6</v>
          </cell>
          <cell r="R130" t="str">
            <v>단일 이용권</v>
          </cell>
          <cell r="S130">
            <v>100</v>
          </cell>
          <cell r="T130">
            <v>700</v>
          </cell>
          <cell r="U130">
            <v>600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100</v>
          </cell>
          <cell r="AD130">
            <v>700</v>
          </cell>
          <cell r="AE130">
            <v>600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100</v>
          </cell>
          <cell r="AN130">
            <v>490</v>
          </cell>
          <cell r="AO130">
            <v>0</v>
          </cell>
          <cell r="AP130">
            <v>490</v>
          </cell>
          <cell r="AQ130" t="str">
            <v>스토리위즈</v>
          </cell>
          <cell r="AR130" t="str">
            <v>블 루 스 카 이</v>
          </cell>
        </row>
        <row r="131">
          <cell r="N131" t="str">
            <v>김정률</v>
          </cell>
          <cell r="O131" t="str">
            <v>Y</v>
          </cell>
          <cell r="P131">
            <v>0.7</v>
          </cell>
          <cell r="Q131">
            <v>0.6</v>
          </cell>
          <cell r="R131" t="str">
            <v>시리즈 이용권 패키지</v>
          </cell>
          <cell r="S131">
            <v>9000</v>
          </cell>
          <cell r="T131">
            <v>59400</v>
          </cell>
          <cell r="U131">
            <v>58400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1000</v>
          </cell>
          <cell r="AD131">
            <v>59400</v>
          </cell>
          <cell r="AE131">
            <v>58400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1000</v>
          </cell>
          <cell r="AN131">
            <v>41580</v>
          </cell>
          <cell r="AO131">
            <v>0</v>
          </cell>
          <cell r="AP131">
            <v>41580</v>
          </cell>
          <cell r="AQ131" t="str">
            <v>스토리위즈</v>
          </cell>
          <cell r="AR131" t="str">
            <v>김정률</v>
          </cell>
        </row>
        <row r="132">
          <cell r="N132" t="str">
            <v>문스톤</v>
          </cell>
          <cell r="O132" t="str">
            <v>Y</v>
          </cell>
          <cell r="P132">
            <v>0.7</v>
          </cell>
          <cell r="Q132">
            <v>0.6</v>
          </cell>
          <cell r="R132" t="str">
            <v>시리즈 이용권 패키지</v>
          </cell>
          <cell r="S132">
            <v>2700</v>
          </cell>
          <cell r="T132">
            <v>5300</v>
          </cell>
          <cell r="U132">
            <v>10800</v>
          </cell>
          <cell r="V132">
            <v>0</v>
          </cell>
          <cell r="W132">
            <v>0</v>
          </cell>
          <cell r="X132">
            <v>0</v>
          </cell>
          <cell r="Y132">
            <v>-5500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4200</v>
          </cell>
          <cell r="AE132">
            <v>10800</v>
          </cell>
          <cell r="AF132">
            <v>0</v>
          </cell>
          <cell r="AG132">
            <v>0</v>
          </cell>
          <cell r="AH132">
            <v>0</v>
          </cell>
          <cell r="AI132">
            <v>-6600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3600</v>
          </cell>
          <cell r="AO132">
            <v>0</v>
          </cell>
          <cell r="AP132">
            <v>3600</v>
          </cell>
          <cell r="AQ132" t="str">
            <v>스토리위즈</v>
          </cell>
          <cell r="AR132" t="str">
            <v>문스톤</v>
          </cell>
        </row>
        <row r="133">
          <cell r="N133" t="str">
            <v>블 루 스 카 이</v>
          </cell>
          <cell r="O133" t="str">
            <v>Y</v>
          </cell>
          <cell r="P133">
            <v>0.7</v>
          </cell>
          <cell r="Q133">
            <v>0.6</v>
          </cell>
          <cell r="R133" t="str">
            <v>시리즈 이용권 패키지</v>
          </cell>
          <cell r="S133">
            <v>900</v>
          </cell>
          <cell r="T133">
            <v>1800</v>
          </cell>
          <cell r="U133">
            <v>1800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1800</v>
          </cell>
          <cell r="AE133">
            <v>1800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1260</v>
          </cell>
          <cell r="AO133">
            <v>0</v>
          </cell>
          <cell r="AP133">
            <v>1260</v>
          </cell>
          <cell r="AQ133" t="str">
            <v>스토리위즈</v>
          </cell>
          <cell r="AR133" t="str">
            <v>블 루 스 카 이</v>
          </cell>
        </row>
        <row r="134">
          <cell r="N134" t="str">
            <v>권용찬</v>
          </cell>
          <cell r="O134" t="str">
            <v>Y</v>
          </cell>
          <cell r="P134">
            <v>0.7</v>
          </cell>
          <cell r="Q134">
            <v>0.6</v>
          </cell>
          <cell r="R134" t="str">
            <v>단일 대여 이용권</v>
          </cell>
          <cell r="S134">
            <v>900</v>
          </cell>
          <cell r="T134">
            <v>4500</v>
          </cell>
          <cell r="U134">
            <v>4500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4500</v>
          </cell>
          <cell r="AE134">
            <v>4500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3150</v>
          </cell>
          <cell r="AO134">
            <v>0</v>
          </cell>
          <cell r="AP134">
            <v>3150</v>
          </cell>
          <cell r="AQ134" t="str">
            <v>스토리위즈</v>
          </cell>
          <cell r="AR134" t="str">
            <v>권용찬</v>
          </cell>
        </row>
        <row r="135">
          <cell r="N135" t="str">
            <v>한례</v>
          </cell>
          <cell r="O135" t="str">
            <v>Y</v>
          </cell>
          <cell r="P135">
            <v>0.7</v>
          </cell>
          <cell r="Q135">
            <v>0.6</v>
          </cell>
          <cell r="R135" t="str">
            <v>단일 이용권</v>
          </cell>
          <cell r="S135">
            <v>400</v>
          </cell>
          <cell r="T135">
            <v>800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800</v>
          </cell>
          <cell r="AD135">
            <v>800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800</v>
          </cell>
          <cell r="AN135">
            <v>560</v>
          </cell>
          <cell r="AO135">
            <v>0</v>
          </cell>
          <cell r="AP135">
            <v>560</v>
          </cell>
          <cell r="AQ135" t="str">
            <v>스토리위즈</v>
          </cell>
          <cell r="AR135" t="str">
            <v>한례</v>
          </cell>
        </row>
        <row r="136">
          <cell r="N136" t="str">
            <v>징구빙구</v>
          </cell>
          <cell r="O136" t="str">
            <v>Y</v>
          </cell>
          <cell r="P136">
            <v>0.7</v>
          </cell>
          <cell r="Q136">
            <v>0.6</v>
          </cell>
          <cell r="R136" t="str">
            <v>단일 이용권</v>
          </cell>
          <cell r="S136">
            <v>100</v>
          </cell>
          <cell r="T136">
            <v>2600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2600</v>
          </cell>
          <cell r="AD136">
            <v>2600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2600</v>
          </cell>
          <cell r="AN136">
            <v>1820</v>
          </cell>
          <cell r="AO136">
            <v>0</v>
          </cell>
          <cell r="AP136">
            <v>1820</v>
          </cell>
          <cell r="AQ136" t="str">
            <v>스토리위즈</v>
          </cell>
          <cell r="AR136" t="str">
            <v>징구빙구</v>
          </cell>
        </row>
        <row r="137">
          <cell r="N137" t="str">
            <v>권용찬</v>
          </cell>
          <cell r="O137" t="str">
            <v>Y</v>
          </cell>
          <cell r="P137">
            <v>0.7</v>
          </cell>
          <cell r="Q137">
            <v>0.6</v>
          </cell>
          <cell r="R137" t="str">
            <v>단일 이용권</v>
          </cell>
          <cell r="S137">
            <v>100</v>
          </cell>
          <cell r="T137">
            <v>21100</v>
          </cell>
          <cell r="U137">
            <v>20100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1000</v>
          </cell>
          <cell r="AD137">
            <v>21100</v>
          </cell>
          <cell r="AE137">
            <v>20100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1000</v>
          </cell>
          <cell r="AN137">
            <v>14770</v>
          </cell>
          <cell r="AO137">
            <v>0</v>
          </cell>
          <cell r="AP137">
            <v>14770</v>
          </cell>
          <cell r="AQ137" t="str">
            <v>스토리위즈</v>
          </cell>
          <cell r="AR137" t="str">
            <v>권용찬</v>
          </cell>
        </row>
        <row r="138">
          <cell r="N138" t="str">
            <v>주이서</v>
          </cell>
          <cell r="O138" t="str">
            <v>Y</v>
          </cell>
          <cell r="P138">
            <v>0.7</v>
          </cell>
          <cell r="Q138">
            <v>0.6</v>
          </cell>
          <cell r="R138" t="str">
            <v>단일 이용권</v>
          </cell>
          <cell r="S138">
            <v>100</v>
          </cell>
          <cell r="T138">
            <v>1700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1700</v>
          </cell>
          <cell r="AD138">
            <v>1700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1700</v>
          </cell>
          <cell r="AN138">
            <v>1190</v>
          </cell>
          <cell r="AO138">
            <v>0</v>
          </cell>
          <cell r="AP138">
            <v>1190</v>
          </cell>
          <cell r="AQ138" t="str">
            <v>스토리위즈</v>
          </cell>
          <cell r="AR138" t="str">
            <v>주이서</v>
          </cell>
        </row>
        <row r="139">
          <cell r="N139" t="str">
            <v>권용찬</v>
          </cell>
          <cell r="O139" t="str">
            <v>Y</v>
          </cell>
          <cell r="P139">
            <v>0.7</v>
          </cell>
          <cell r="Q139">
            <v>0.6</v>
          </cell>
          <cell r="R139" t="str">
            <v>시리즈 이용권 패키지</v>
          </cell>
          <cell r="S139">
            <v>2300</v>
          </cell>
          <cell r="T139">
            <v>9200</v>
          </cell>
          <cell r="U139">
            <v>8900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300</v>
          </cell>
          <cell r="AD139">
            <v>9200</v>
          </cell>
          <cell r="AE139">
            <v>8900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300</v>
          </cell>
          <cell r="AN139">
            <v>6440</v>
          </cell>
          <cell r="AO139">
            <v>0</v>
          </cell>
          <cell r="AP139">
            <v>6440</v>
          </cell>
          <cell r="AQ139" t="str">
            <v>스토리위즈</v>
          </cell>
          <cell r="AR139" t="str">
            <v>권용찬</v>
          </cell>
        </row>
        <row r="140">
          <cell r="N140" t="str">
            <v>주이서</v>
          </cell>
          <cell r="O140" t="str">
            <v>Y</v>
          </cell>
          <cell r="P140">
            <v>0.7</v>
          </cell>
          <cell r="Q140">
            <v>0.6</v>
          </cell>
          <cell r="R140" t="str">
            <v>시리즈 이용권 패키지</v>
          </cell>
          <cell r="S140">
            <v>900</v>
          </cell>
          <cell r="T140">
            <v>1800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1800</v>
          </cell>
          <cell r="AD140">
            <v>1800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1800</v>
          </cell>
          <cell r="AN140">
            <v>1260</v>
          </cell>
          <cell r="AO140">
            <v>0</v>
          </cell>
          <cell r="AP140">
            <v>1260</v>
          </cell>
          <cell r="AQ140" t="str">
            <v>스토리위즈</v>
          </cell>
          <cell r="AR140" t="str">
            <v>주이서</v>
          </cell>
        </row>
        <row r="141">
          <cell r="N141" t="str">
            <v>밈스</v>
          </cell>
          <cell r="O141" t="str">
            <v>Y</v>
          </cell>
          <cell r="P141">
            <v>0.7</v>
          </cell>
          <cell r="Q141">
            <v>0.6</v>
          </cell>
          <cell r="R141" t="str">
            <v>단일 이용권</v>
          </cell>
          <cell r="S141">
            <v>100</v>
          </cell>
          <cell r="T141">
            <v>25200</v>
          </cell>
          <cell r="U141">
            <v>15400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700</v>
          </cell>
          <cell r="AA141">
            <v>0</v>
          </cell>
          <cell r="AB141">
            <v>0</v>
          </cell>
          <cell r="AC141">
            <v>9100</v>
          </cell>
          <cell r="AD141">
            <v>25270</v>
          </cell>
          <cell r="AE141">
            <v>15400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770</v>
          </cell>
          <cell r="AK141">
            <v>0</v>
          </cell>
          <cell r="AL141">
            <v>0</v>
          </cell>
          <cell r="AM141">
            <v>9100</v>
          </cell>
          <cell r="AN141">
            <v>17612</v>
          </cell>
          <cell r="AO141">
            <v>0</v>
          </cell>
          <cell r="AP141">
            <v>17612</v>
          </cell>
          <cell r="AQ141" t="str">
            <v>스토리위즈</v>
          </cell>
          <cell r="AR141" t="str">
            <v>밈스</v>
          </cell>
        </row>
        <row r="142">
          <cell r="N142" t="str">
            <v>밈스</v>
          </cell>
          <cell r="O142" t="str">
            <v>Y</v>
          </cell>
          <cell r="P142">
            <v>0.7</v>
          </cell>
          <cell r="Q142">
            <v>0.6</v>
          </cell>
          <cell r="R142" t="str">
            <v>시리즈 이용권 패키지</v>
          </cell>
          <cell r="S142">
            <v>900</v>
          </cell>
          <cell r="T142">
            <v>40200</v>
          </cell>
          <cell r="U142">
            <v>29300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1900</v>
          </cell>
          <cell r="AA142">
            <v>0</v>
          </cell>
          <cell r="AB142">
            <v>0</v>
          </cell>
          <cell r="AC142">
            <v>9000</v>
          </cell>
          <cell r="AD142">
            <v>40390</v>
          </cell>
          <cell r="AE142">
            <v>29300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2090</v>
          </cell>
          <cell r="AK142">
            <v>0</v>
          </cell>
          <cell r="AL142">
            <v>0</v>
          </cell>
          <cell r="AM142">
            <v>9000</v>
          </cell>
          <cell r="AN142">
            <v>28064</v>
          </cell>
          <cell r="AO142">
            <v>0</v>
          </cell>
          <cell r="AP142">
            <v>28064</v>
          </cell>
          <cell r="AQ142" t="str">
            <v>스토리위즈</v>
          </cell>
          <cell r="AR142" t="str">
            <v>밈스</v>
          </cell>
        </row>
        <row r="143">
          <cell r="N143" t="str">
            <v>김너울</v>
          </cell>
          <cell r="O143" t="str">
            <v>Y</v>
          </cell>
          <cell r="P143">
            <v>0.7</v>
          </cell>
          <cell r="Q143">
            <v>0.6</v>
          </cell>
          <cell r="R143" t="str">
            <v>단일 이용권</v>
          </cell>
          <cell r="S143">
            <v>100</v>
          </cell>
          <cell r="T143">
            <v>6000</v>
          </cell>
          <cell r="U143">
            <v>3400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2600</v>
          </cell>
          <cell r="AD143">
            <v>6000</v>
          </cell>
          <cell r="AE143">
            <v>3400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2600</v>
          </cell>
          <cell r="AN143">
            <v>4200</v>
          </cell>
          <cell r="AO143">
            <v>0</v>
          </cell>
          <cell r="AP143">
            <v>4200</v>
          </cell>
          <cell r="AQ143" t="str">
            <v>스토리위즈</v>
          </cell>
          <cell r="AR143" t="str">
            <v>김너울</v>
          </cell>
        </row>
        <row r="144">
          <cell r="N144" t="str">
            <v>밈스</v>
          </cell>
          <cell r="O144" t="str">
            <v>Y</v>
          </cell>
          <cell r="P144">
            <v>0.7</v>
          </cell>
          <cell r="Q144">
            <v>0.6</v>
          </cell>
          <cell r="R144" t="str">
            <v>시리즈 이용권 패키지</v>
          </cell>
          <cell r="S144">
            <v>3600</v>
          </cell>
          <cell r="T144">
            <v>7200</v>
          </cell>
          <cell r="U144">
            <v>3600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3600</v>
          </cell>
          <cell r="AA144">
            <v>0</v>
          </cell>
          <cell r="AB144">
            <v>0</v>
          </cell>
          <cell r="AC144">
            <v>0</v>
          </cell>
          <cell r="AD144">
            <v>7560</v>
          </cell>
          <cell r="AE144">
            <v>3600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3960</v>
          </cell>
          <cell r="AK144">
            <v>0</v>
          </cell>
          <cell r="AL144">
            <v>0</v>
          </cell>
          <cell r="AM144">
            <v>0</v>
          </cell>
          <cell r="AN144">
            <v>4896</v>
          </cell>
          <cell r="AO144">
            <v>0</v>
          </cell>
          <cell r="AP144">
            <v>4896</v>
          </cell>
          <cell r="AQ144" t="str">
            <v>스토리위즈</v>
          </cell>
          <cell r="AR144" t="str">
            <v>밈스</v>
          </cell>
        </row>
        <row r="145">
          <cell r="N145" t="str">
            <v>김너울</v>
          </cell>
          <cell r="O145" t="str">
            <v>Y</v>
          </cell>
          <cell r="P145">
            <v>0.7</v>
          </cell>
          <cell r="Q145">
            <v>0.6</v>
          </cell>
          <cell r="R145" t="str">
            <v>시리즈 이용권 패키지</v>
          </cell>
          <cell r="S145">
            <v>900</v>
          </cell>
          <cell r="T145">
            <v>11700</v>
          </cell>
          <cell r="U145">
            <v>7200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4500</v>
          </cell>
          <cell r="AD145">
            <v>11700</v>
          </cell>
          <cell r="AE145">
            <v>7200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4500</v>
          </cell>
          <cell r="AN145">
            <v>8190</v>
          </cell>
          <cell r="AO145">
            <v>0</v>
          </cell>
          <cell r="AP145">
            <v>8190</v>
          </cell>
          <cell r="AQ145" t="str">
            <v>스토리위즈</v>
          </cell>
          <cell r="AR145" t="str">
            <v>김너울</v>
          </cell>
        </row>
        <row r="146">
          <cell r="N146" t="str">
            <v>밈스</v>
          </cell>
          <cell r="O146" t="str">
            <v>Y</v>
          </cell>
          <cell r="P146">
            <v>0.7</v>
          </cell>
          <cell r="Q146">
            <v>0.6</v>
          </cell>
          <cell r="R146" t="str">
            <v>시리즈 이용권 패키지</v>
          </cell>
          <cell r="S146">
            <v>6300</v>
          </cell>
          <cell r="T146">
            <v>25200</v>
          </cell>
          <cell r="U146">
            <v>25200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25200</v>
          </cell>
          <cell r="AE146">
            <v>25200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17640</v>
          </cell>
          <cell r="AO146">
            <v>0</v>
          </cell>
          <cell r="AP146">
            <v>17640</v>
          </cell>
          <cell r="AQ146" t="str">
            <v>스토리위즈</v>
          </cell>
          <cell r="AR146" t="str">
            <v>밈스</v>
          </cell>
        </row>
        <row r="147">
          <cell r="N147" t="str">
            <v>마뇽</v>
          </cell>
          <cell r="O147" t="str">
            <v>Y</v>
          </cell>
          <cell r="P147">
            <v>0.7</v>
          </cell>
          <cell r="Q147">
            <v>0.6</v>
          </cell>
          <cell r="R147" t="str">
            <v>단일 이용권</v>
          </cell>
          <cell r="S147">
            <v>100</v>
          </cell>
          <cell r="T147">
            <v>216700</v>
          </cell>
          <cell r="U147">
            <v>113210</v>
          </cell>
          <cell r="V147">
            <v>0</v>
          </cell>
          <cell r="W147">
            <v>0</v>
          </cell>
          <cell r="X147">
            <v>0</v>
          </cell>
          <cell r="Y147">
            <v>8430</v>
          </cell>
          <cell r="Z147">
            <v>2670</v>
          </cell>
          <cell r="AA147">
            <v>0</v>
          </cell>
          <cell r="AB147">
            <v>0</v>
          </cell>
          <cell r="AC147">
            <v>92390</v>
          </cell>
          <cell r="AD147">
            <v>218653</v>
          </cell>
          <cell r="AE147">
            <v>113210</v>
          </cell>
          <cell r="AF147">
            <v>0</v>
          </cell>
          <cell r="AG147">
            <v>0</v>
          </cell>
          <cell r="AH147">
            <v>0</v>
          </cell>
          <cell r="AI147">
            <v>10116</v>
          </cell>
          <cell r="AJ147">
            <v>2937</v>
          </cell>
          <cell r="AK147">
            <v>0</v>
          </cell>
          <cell r="AL147">
            <v>0</v>
          </cell>
          <cell r="AM147">
            <v>92390</v>
          </cell>
          <cell r="AN147">
            <v>151752</v>
          </cell>
          <cell r="AO147">
            <v>0</v>
          </cell>
          <cell r="AP147">
            <v>151752</v>
          </cell>
          <cell r="AQ147" t="str">
            <v>스토리위즈</v>
          </cell>
          <cell r="AR147" t="str">
            <v>마뇽</v>
          </cell>
        </row>
        <row r="148">
          <cell r="N148" t="str">
            <v>김너울</v>
          </cell>
          <cell r="O148" t="str">
            <v>Y</v>
          </cell>
          <cell r="P148">
            <v>0.7</v>
          </cell>
          <cell r="Q148">
            <v>0.6</v>
          </cell>
          <cell r="R148" t="str">
            <v>시리즈 이용권 패키지</v>
          </cell>
          <cell r="S148">
            <v>2700</v>
          </cell>
          <cell r="T148">
            <v>2700</v>
          </cell>
          <cell r="U148">
            <v>2700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2700</v>
          </cell>
          <cell r="AE148">
            <v>2700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1890</v>
          </cell>
          <cell r="AO148">
            <v>0</v>
          </cell>
          <cell r="AP148">
            <v>1890</v>
          </cell>
          <cell r="AQ148" t="str">
            <v>스토리위즈</v>
          </cell>
          <cell r="AR148" t="str">
            <v>김너울</v>
          </cell>
        </row>
        <row r="149">
          <cell r="N149" t="str">
            <v>마뇽</v>
          </cell>
          <cell r="O149" t="str">
            <v>Y</v>
          </cell>
          <cell r="P149">
            <v>0.7</v>
          </cell>
          <cell r="Q149">
            <v>0.6</v>
          </cell>
          <cell r="R149" t="str">
            <v>시리즈 이용권 패키지</v>
          </cell>
          <cell r="S149">
            <v>900</v>
          </cell>
          <cell r="T149">
            <v>162500</v>
          </cell>
          <cell r="U149">
            <v>95650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4500</v>
          </cell>
          <cell r="AA149">
            <v>0</v>
          </cell>
          <cell r="AB149">
            <v>0</v>
          </cell>
          <cell r="AC149">
            <v>62350</v>
          </cell>
          <cell r="AD149">
            <v>162950</v>
          </cell>
          <cell r="AE149">
            <v>95650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4950</v>
          </cell>
          <cell r="AK149">
            <v>0</v>
          </cell>
          <cell r="AL149">
            <v>0</v>
          </cell>
          <cell r="AM149">
            <v>62350</v>
          </cell>
          <cell r="AN149">
            <v>113570</v>
          </cell>
          <cell r="AO149">
            <v>0</v>
          </cell>
          <cell r="AP149">
            <v>113570</v>
          </cell>
          <cell r="AQ149" t="str">
            <v>스토리위즈</v>
          </cell>
          <cell r="AR149" t="str">
            <v>마뇽</v>
          </cell>
        </row>
        <row r="150">
          <cell r="N150" t="str">
            <v>마뇽</v>
          </cell>
          <cell r="O150" t="str">
            <v>Y</v>
          </cell>
          <cell r="P150">
            <v>0.7</v>
          </cell>
          <cell r="Q150">
            <v>0.6</v>
          </cell>
          <cell r="R150" t="str">
            <v>시리즈 이용권 패키지</v>
          </cell>
          <cell r="S150">
            <v>2700</v>
          </cell>
          <cell r="T150">
            <v>51900</v>
          </cell>
          <cell r="U150">
            <v>40500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5300</v>
          </cell>
          <cell r="AA150">
            <v>0</v>
          </cell>
          <cell r="AB150">
            <v>0</v>
          </cell>
          <cell r="AC150">
            <v>6100</v>
          </cell>
          <cell r="AD150">
            <v>52430</v>
          </cell>
          <cell r="AE150">
            <v>40500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5830</v>
          </cell>
          <cell r="AK150">
            <v>0</v>
          </cell>
          <cell r="AL150">
            <v>0</v>
          </cell>
          <cell r="AM150">
            <v>6100</v>
          </cell>
          <cell r="AN150">
            <v>36118</v>
          </cell>
          <cell r="AO150">
            <v>0</v>
          </cell>
          <cell r="AP150">
            <v>36118</v>
          </cell>
          <cell r="AQ150" t="str">
            <v>스토리위즈</v>
          </cell>
          <cell r="AR150" t="str">
            <v>마뇽</v>
          </cell>
        </row>
        <row r="151">
          <cell r="N151" t="str">
            <v>마뇽</v>
          </cell>
          <cell r="O151" t="str">
            <v>Y</v>
          </cell>
          <cell r="P151">
            <v>0.7</v>
          </cell>
          <cell r="Q151">
            <v>0.6</v>
          </cell>
          <cell r="R151" t="str">
            <v>시리즈 이용권 패키지</v>
          </cell>
          <cell r="S151">
            <v>4500</v>
          </cell>
          <cell r="T151">
            <v>99000</v>
          </cell>
          <cell r="U151">
            <v>79000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9000</v>
          </cell>
          <cell r="AA151">
            <v>0</v>
          </cell>
          <cell r="AB151">
            <v>0</v>
          </cell>
          <cell r="AC151">
            <v>11000</v>
          </cell>
          <cell r="AD151">
            <v>99900</v>
          </cell>
          <cell r="AE151">
            <v>79000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9900</v>
          </cell>
          <cell r="AK151">
            <v>0</v>
          </cell>
          <cell r="AL151">
            <v>0</v>
          </cell>
          <cell r="AM151">
            <v>11000</v>
          </cell>
          <cell r="AN151">
            <v>68940</v>
          </cell>
          <cell r="AO151">
            <v>0</v>
          </cell>
          <cell r="AP151">
            <v>68940</v>
          </cell>
          <cell r="AQ151" t="str">
            <v>스토리위즈</v>
          </cell>
          <cell r="AR151" t="str">
            <v>마뇽</v>
          </cell>
        </row>
        <row r="152">
          <cell r="N152" t="str">
            <v>김정률</v>
          </cell>
          <cell r="O152" t="str">
            <v>Y</v>
          </cell>
          <cell r="P152">
            <v>0.7</v>
          </cell>
          <cell r="Q152">
            <v>0.6</v>
          </cell>
          <cell r="R152" t="str">
            <v>단일 이용권</v>
          </cell>
          <cell r="S152">
            <v>100</v>
          </cell>
          <cell r="T152">
            <v>6500</v>
          </cell>
          <cell r="U152">
            <v>500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6000</v>
          </cell>
          <cell r="AD152">
            <v>6500</v>
          </cell>
          <cell r="AE152">
            <v>500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6000</v>
          </cell>
          <cell r="AN152">
            <v>4550</v>
          </cell>
          <cell r="AO152">
            <v>0</v>
          </cell>
          <cell r="AP152">
            <v>4550</v>
          </cell>
          <cell r="AQ152" t="str">
            <v>스토리위즈</v>
          </cell>
          <cell r="AR152" t="str">
            <v>김정률</v>
          </cell>
        </row>
        <row r="153">
          <cell r="N153" t="str">
            <v>김정률</v>
          </cell>
          <cell r="O153" t="str">
            <v>Y</v>
          </cell>
          <cell r="P153">
            <v>0.7</v>
          </cell>
          <cell r="Q153">
            <v>0.6</v>
          </cell>
          <cell r="R153" t="str">
            <v>시리즈 이용권 패키지</v>
          </cell>
          <cell r="S153">
            <v>2700</v>
          </cell>
          <cell r="T153">
            <v>23200</v>
          </cell>
          <cell r="U153">
            <v>23200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23200</v>
          </cell>
          <cell r="AE153">
            <v>23200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16240</v>
          </cell>
          <cell r="AO153">
            <v>0</v>
          </cell>
          <cell r="AP153">
            <v>16240</v>
          </cell>
          <cell r="AQ153" t="str">
            <v>스토리위즈</v>
          </cell>
          <cell r="AR153" t="str">
            <v>김정률</v>
          </cell>
        </row>
        <row r="154">
          <cell r="N154" t="str">
            <v>스내치</v>
          </cell>
          <cell r="O154" t="str">
            <v>Y</v>
          </cell>
          <cell r="P154">
            <v>0.7</v>
          </cell>
          <cell r="Q154">
            <v>0.6</v>
          </cell>
          <cell r="R154" t="str">
            <v>단일 이용권</v>
          </cell>
          <cell r="S154">
            <v>100</v>
          </cell>
          <cell r="T154">
            <v>8500</v>
          </cell>
          <cell r="U154">
            <v>4100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4400</v>
          </cell>
          <cell r="AD154">
            <v>8500</v>
          </cell>
          <cell r="AE154">
            <v>4100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4400</v>
          </cell>
          <cell r="AN154">
            <v>5950</v>
          </cell>
          <cell r="AO154">
            <v>0</v>
          </cell>
          <cell r="AP154">
            <v>5950</v>
          </cell>
          <cell r="AQ154" t="str">
            <v>스토리위즈</v>
          </cell>
          <cell r="AR154" t="str">
            <v>스내치</v>
          </cell>
        </row>
        <row r="155">
          <cell r="N155" t="str">
            <v>김정률</v>
          </cell>
          <cell r="O155" t="str">
            <v>Y</v>
          </cell>
          <cell r="P155">
            <v>0.7</v>
          </cell>
          <cell r="Q155">
            <v>0.6</v>
          </cell>
          <cell r="R155" t="str">
            <v>시리즈 이용권 패키지</v>
          </cell>
          <cell r="S155">
            <v>9000</v>
          </cell>
          <cell r="T155">
            <v>5700</v>
          </cell>
          <cell r="U155">
            <v>9000</v>
          </cell>
          <cell r="V155">
            <v>0</v>
          </cell>
          <cell r="W155">
            <v>0</v>
          </cell>
          <cell r="X155">
            <v>0</v>
          </cell>
          <cell r="Y155">
            <v>-3300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5040</v>
          </cell>
          <cell r="AE155">
            <v>9000</v>
          </cell>
          <cell r="AF155">
            <v>0</v>
          </cell>
          <cell r="AG155">
            <v>0</v>
          </cell>
          <cell r="AH155">
            <v>0</v>
          </cell>
          <cell r="AI155">
            <v>-3960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3924</v>
          </cell>
          <cell r="AO155">
            <v>0</v>
          </cell>
          <cell r="AP155">
            <v>3924</v>
          </cell>
          <cell r="AQ155" t="str">
            <v>스토리위즈</v>
          </cell>
          <cell r="AR155" t="str">
            <v>김정률</v>
          </cell>
        </row>
        <row r="156">
          <cell r="N156" t="str">
            <v>스내치</v>
          </cell>
          <cell r="O156" t="str">
            <v>Y</v>
          </cell>
          <cell r="P156">
            <v>0.7</v>
          </cell>
          <cell r="Q156">
            <v>0.6</v>
          </cell>
          <cell r="R156" t="str">
            <v>시리즈 이용권 패키지</v>
          </cell>
          <cell r="S156">
            <v>900</v>
          </cell>
          <cell r="T156">
            <v>8600</v>
          </cell>
          <cell r="U156">
            <v>6300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2300</v>
          </cell>
          <cell r="AD156">
            <v>8600</v>
          </cell>
          <cell r="AE156">
            <v>6300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2300</v>
          </cell>
          <cell r="AN156">
            <v>6020</v>
          </cell>
          <cell r="AO156">
            <v>0</v>
          </cell>
          <cell r="AP156">
            <v>6020</v>
          </cell>
          <cell r="AQ156" t="str">
            <v>스토리위즈</v>
          </cell>
          <cell r="AR156" t="str">
            <v>스내치</v>
          </cell>
        </row>
        <row r="157">
          <cell r="N157" t="str">
            <v>스내치</v>
          </cell>
          <cell r="O157" t="str">
            <v>Y</v>
          </cell>
          <cell r="P157">
            <v>0.7</v>
          </cell>
          <cell r="Q157">
            <v>0.6</v>
          </cell>
          <cell r="R157" t="str">
            <v>시리즈 이용권 패키지</v>
          </cell>
          <cell r="S157">
            <v>2700</v>
          </cell>
          <cell r="T157">
            <v>8100</v>
          </cell>
          <cell r="U157">
            <v>8100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8100</v>
          </cell>
          <cell r="AE157">
            <v>8100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5670</v>
          </cell>
          <cell r="AO157">
            <v>0</v>
          </cell>
          <cell r="AP157">
            <v>5670</v>
          </cell>
          <cell r="AQ157" t="str">
            <v>스토리위즈</v>
          </cell>
          <cell r="AR157" t="str">
            <v>스내치</v>
          </cell>
        </row>
        <row r="158">
          <cell r="N158" t="str">
            <v>스내치</v>
          </cell>
          <cell r="O158" t="str">
            <v>Y</v>
          </cell>
          <cell r="P158">
            <v>0.7</v>
          </cell>
          <cell r="Q158">
            <v>0.6</v>
          </cell>
          <cell r="R158" t="str">
            <v>시리즈 이용권 패키지</v>
          </cell>
          <cell r="S158">
            <v>4500</v>
          </cell>
          <cell r="T158">
            <v>13500</v>
          </cell>
          <cell r="U158">
            <v>11700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1800</v>
          </cell>
          <cell r="AD158">
            <v>13500</v>
          </cell>
          <cell r="AE158">
            <v>11700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1800</v>
          </cell>
          <cell r="AN158">
            <v>9450</v>
          </cell>
          <cell r="AO158">
            <v>0</v>
          </cell>
          <cell r="AP158">
            <v>9450</v>
          </cell>
          <cell r="AQ158" t="str">
            <v>스토리위즈</v>
          </cell>
          <cell r="AR158" t="str">
            <v>스내치</v>
          </cell>
        </row>
        <row r="159">
          <cell r="N159" t="str">
            <v>권용찬</v>
          </cell>
          <cell r="O159" t="str">
            <v>Y</v>
          </cell>
          <cell r="P159">
            <v>0.7</v>
          </cell>
          <cell r="Q159">
            <v>0.6</v>
          </cell>
          <cell r="R159" t="str">
            <v>단일 이용권</v>
          </cell>
          <cell r="S159">
            <v>100</v>
          </cell>
          <cell r="T159">
            <v>229300</v>
          </cell>
          <cell r="U159">
            <v>135400</v>
          </cell>
          <cell r="V159">
            <v>0</v>
          </cell>
          <cell r="W159">
            <v>0</v>
          </cell>
          <cell r="X159">
            <v>0</v>
          </cell>
          <cell r="Y159">
            <v>100</v>
          </cell>
          <cell r="Z159">
            <v>4700</v>
          </cell>
          <cell r="AA159">
            <v>0</v>
          </cell>
          <cell r="AB159">
            <v>0</v>
          </cell>
          <cell r="AC159">
            <v>89100</v>
          </cell>
          <cell r="AD159">
            <v>229790</v>
          </cell>
          <cell r="AE159">
            <v>135400</v>
          </cell>
          <cell r="AF159">
            <v>0</v>
          </cell>
          <cell r="AG159">
            <v>0</v>
          </cell>
          <cell r="AH159">
            <v>0</v>
          </cell>
          <cell r="AI159">
            <v>120</v>
          </cell>
          <cell r="AJ159">
            <v>5170</v>
          </cell>
          <cell r="AK159">
            <v>0</v>
          </cell>
          <cell r="AL159">
            <v>0</v>
          </cell>
          <cell r="AM159">
            <v>89100</v>
          </cell>
          <cell r="AN159">
            <v>160324</v>
          </cell>
          <cell r="AO159">
            <v>0</v>
          </cell>
          <cell r="AP159">
            <v>160324</v>
          </cell>
          <cell r="AQ159" t="str">
            <v>스토리위즈</v>
          </cell>
          <cell r="AR159" t="str">
            <v>권용찬</v>
          </cell>
        </row>
        <row r="160">
          <cell r="N160" t="str">
            <v>차홍주</v>
          </cell>
          <cell r="O160" t="str">
            <v>Y</v>
          </cell>
          <cell r="P160">
            <v>0.7</v>
          </cell>
          <cell r="Q160">
            <v>0.6</v>
          </cell>
          <cell r="R160" t="str">
            <v>단일 이용권</v>
          </cell>
          <cell r="S160">
            <v>100</v>
          </cell>
          <cell r="T160">
            <v>8900</v>
          </cell>
          <cell r="U160">
            <v>7000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1900</v>
          </cell>
          <cell r="AD160">
            <v>8900</v>
          </cell>
          <cell r="AE160">
            <v>7000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1900</v>
          </cell>
          <cell r="AN160">
            <v>6230</v>
          </cell>
          <cell r="AO160">
            <v>0</v>
          </cell>
          <cell r="AP160">
            <v>6230</v>
          </cell>
          <cell r="AQ160" t="str">
            <v>스토리위즈</v>
          </cell>
          <cell r="AR160" t="str">
            <v>차홍주</v>
          </cell>
        </row>
        <row r="161">
          <cell r="N161" t="str">
            <v>권용찬</v>
          </cell>
          <cell r="O161" t="str">
            <v>Y</v>
          </cell>
          <cell r="P161">
            <v>0.7</v>
          </cell>
          <cell r="Q161">
            <v>0.6</v>
          </cell>
          <cell r="R161" t="str">
            <v>시리즈 이용권 패키지</v>
          </cell>
          <cell r="S161">
            <v>2700</v>
          </cell>
          <cell r="T161">
            <v>300600</v>
          </cell>
          <cell r="U161">
            <v>249360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13500</v>
          </cell>
          <cell r="AA161">
            <v>0</v>
          </cell>
          <cell r="AB161">
            <v>0</v>
          </cell>
          <cell r="AC161">
            <v>37740</v>
          </cell>
          <cell r="AD161">
            <v>301950</v>
          </cell>
          <cell r="AE161">
            <v>249360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14850</v>
          </cell>
          <cell r="AK161">
            <v>0</v>
          </cell>
          <cell r="AL161">
            <v>0</v>
          </cell>
          <cell r="AM161">
            <v>37740</v>
          </cell>
          <cell r="AN161">
            <v>209880</v>
          </cell>
          <cell r="AO161">
            <v>0</v>
          </cell>
          <cell r="AP161">
            <v>209880</v>
          </cell>
          <cell r="AQ161" t="str">
            <v>스토리위즈</v>
          </cell>
          <cell r="AR161" t="str">
            <v>권용찬</v>
          </cell>
        </row>
        <row r="162">
          <cell r="N162" t="str">
            <v>차홍주</v>
          </cell>
          <cell r="O162" t="str">
            <v>Y</v>
          </cell>
          <cell r="P162">
            <v>0.7</v>
          </cell>
          <cell r="Q162">
            <v>0.6</v>
          </cell>
          <cell r="R162" t="str">
            <v>시리즈 이용권 패키지</v>
          </cell>
          <cell r="S162">
            <v>900</v>
          </cell>
          <cell r="T162">
            <v>3200</v>
          </cell>
          <cell r="U162">
            <v>3200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3200</v>
          </cell>
          <cell r="AE162">
            <v>3200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2240</v>
          </cell>
          <cell r="AO162">
            <v>0</v>
          </cell>
          <cell r="AP162">
            <v>2240</v>
          </cell>
          <cell r="AQ162" t="str">
            <v>스토리위즈</v>
          </cell>
          <cell r="AR162" t="str">
            <v>차홍주</v>
          </cell>
        </row>
        <row r="163">
          <cell r="N163" t="str">
            <v>권용찬</v>
          </cell>
          <cell r="O163" t="str">
            <v>Y</v>
          </cell>
          <cell r="P163">
            <v>0.7</v>
          </cell>
          <cell r="Q163">
            <v>0.6</v>
          </cell>
          <cell r="R163" t="str">
            <v>시리즈 이용권 패키지</v>
          </cell>
          <cell r="S163">
            <v>4500</v>
          </cell>
          <cell r="T163">
            <v>214100</v>
          </cell>
          <cell r="U163">
            <v>185080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9000</v>
          </cell>
          <cell r="AA163">
            <v>0</v>
          </cell>
          <cell r="AB163">
            <v>0</v>
          </cell>
          <cell r="AC163">
            <v>20020</v>
          </cell>
          <cell r="AD163">
            <v>215000</v>
          </cell>
          <cell r="AE163">
            <v>185080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9900</v>
          </cell>
          <cell r="AK163">
            <v>0</v>
          </cell>
          <cell r="AL163">
            <v>0</v>
          </cell>
          <cell r="AM163">
            <v>20020</v>
          </cell>
          <cell r="AN163">
            <v>149510</v>
          </cell>
          <cell r="AO163">
            <v>0</v>
          </cell>
          <cell r="AP163">
            <v>149510</v>
          </cell>
          <cell r="AQ163" t="str">
            <v>스토리위즈</v>
          </cell>
          <cell r="AR163" t="str">
            <v>권용찬</v>
          </cell>
        </row>
        <row r="164">
          <cell r="N164" t="str">
            <v>주이서</v>
          </cell>
          <cell r="O164" t="str">
            <v>Y</v>
          </cell>
          <cell r="P164">
            <v>0.7</v>
          </cell>
          <cell r="Q164">
            <v>0.6</v>
          </cell>
          <cell r="R164" t="str">
            <v>단일 이용권</v>
          </cell>
          <cell r="S164">
            <v>100</v>
          </cell>
          <cell r="T164">
            <v>12400</v>
          </cell>
          <cell r="U164">
            <v>7400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400</v>
          </cell>
          <cell r="AA164">
            <v>0</v>
          </cell>
          <cell r="AB164">
            <v>0</v>
          </cell>
          <cell r="AC164">
            <v>4600</v>
          </cell>
          <cell r="AD164">
            <v>12440</v>
          </cell>
          <cell r="AE164">
            <v>7400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440</v>
          </cell>
          <cell r="AK164">
            <v>0</v>
          </cell>
          <cell r="AL164">
            <v>0</v>
          </cell>
          <cell r="AM164">
            <v>4600</v>
          </cell>
          <cell r="AN164">
            <v>8664</v>
          </cell>
          <cell r="AO164">
            <v>0</v>
          </cell>
          <cell r="AP164">
            <v>8664</v>
          </cell>
          <cell r="AQ164" t="str">
            <v>스토리위즈</v>
          </cell>
          <cell r="AR164" t="str">
            <v>주이서</v>
          </cell>
        </row>
        <row r="165">
          <cell r="N165" t="str">
            <v>차홍주</v>
          </cell>
          <cell r="O165" t="str">
            <v>Y</v>
          </cell>
          <cell r="P165">
            <v>0.7</v>
          </cell>
          <cell r="Q165">
            <v>0.6</v>
          </cell>
          <cell r="R165" t="str">
            <v>시리즈 이용권 패키지</v>
          </cell>
          <cell r="S165">
            <v>1800</v>
          </cell>
          <cell r="T165">
            <v>3800</v>
          </cell>
          <cell r="U165">
            <v>3600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200</v>
          </cell>
          <cell r="AD165">
            <v>3800</v>
          </cell>
          <cell r="AE165">
            <v>3600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200</v>
          </cell>
          <cell r="AN165">
            <v>2660</v>
          </cell>
          <cell r="AO165">
            <v>0</v>
          </cell>
          <cell r="AP165">
            <v>2660</v>
          </cell>
          <cell r="AQ165" t="str">
            <v>스토리위즈</v>
          </cell>
          <cell r="AR165" t="str">
            <v>차홍주</v>
          </cell>
        </row>
        <row r="166">
          <cell r="N166" t="str">
            <v>권용찬</v>
          </cell>
          <cell r="O166" t="str">
            <v>Y</v>
          </cell>
          <cell r="P166">
            <v>0.7</v>
          </cell>
          <cell r="Q166">
            <v>0.6</v>
          </cell>
          <cell r="R166" t="str">
            <v>시리즈 이용권 패키지</v>
          </cell>
          <cell r="S166">
            <v>9000</v>
          </cell>
          <cell r="T166">
            <v>180000</v>
          </cell>
          <cell r="U166">
            <v>169700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9500</v>
          </cell>
          <cell r="AA166">
            <v>0</v>
          </cell>
          <cell r="AB166">
            <v>0</v>
          </cell>
          <cell r="AC166">
            <v>800</v>
          </cell>
          <cell r="AD166">
            <v>180950</v>
          </cell>
          <cell r="AE166">
            <v>169700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10450</v>
          </cell>
          <cell r="AK166">
            <v>0</v>
          </cell>
          <cell r="AL166">
            <v>0</v>
          </cell>
          <cell r="AM166">
            <v>800</v>
          </cell>
          <cell r="AN166">
            <v>125620</v>
          </cell>
          <cell r="AO166">
            <v>0</v>
          </cell>
          <cell r="AP166">
            <v>125620</v>
          </cell>
          <cell r="AQ166" t="str">
            <v>스토리위즈</v>
          </cell>
          <cell r="AR166" t="str">
            <v>권용찬</v>
          </cell>
        </row>
        <row r="167">
          <cell r="N167" t="str">
            <v>박도아</v>
          </cell>
          <cell r="O167" t="str">
            <v>Y</v>
          </cell>
          <cell r="P167">
            <v>0.7</v>
          </cell>
          <cell r="Q167">
            <v>0.6</v>
          </cell>
          <cell r="R167" t="str">
            <v>단일 이용권</v>
          </cell>
          <cell r="S167">
            <v>100</v>
          </cell>
          <cell r="T167">
            <v>100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100</v>
          </cell>
          <cell r="AD167">
            <v>100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100</v>
          </cell>
          <cell r="AN167">
            <v>70</v>
          </cell>
          <cell r="AO167">
            <v>0</v>
          </cell>
          <cell r="AP167">
            <v>70</v>
          </cell>
          <cell r="AQ167" t="str">
            <v>스토리위즈</v>
          </cell>
          <cell r="AR167" t="str">
            <v>박도아</v>
          </cell>
        </row>
        <row r="168">
          <cell r="N168" t="str">
            <v>주이서</v>
          </cell>
          <cell r="O168" t="str">
            <v>Y</v>
          </cell>
          <cell r="P168">
            <v>0.7</v>
          </cell>
          <cell r="Q168">
            <v>0.6</v>
          </cell>
          <cell r="R168" t="str">
            <v>시리즈 이용권 패키지</v>
          </cell>
          <cell r="S168">
            <v>1400</v>
          </cell>
          <cell r="T168">
            <v>19600</v>
          </cell>
          <cell r="U168">
            <v>7000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4200</v>
          </cell>
          <cell r="AA168">
            <v>0</v>
          </cell>
          <cell r="AB168">
            <v>0</v>
          </cell>
          <cell r="AC168">
            <v>8400</v>
          </cell>
          <cell r="AD168">
            <v>20020</v>
          </cell>
          <cell r="AE168">
            <v>7000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4620</v>
          </cell>
          <cell r="AK168">
            <v>0</v>
          </cell>
          <cell r="AL168">
            <v>0</v>
          </cell>
          <cell r="AM168">
            <v>8400</v>
          </cell>
          <cell r="AN168">
            <v>13552</v>
          </cell>
          <cell r="AO168">
            <v>0</v>
          </cell>
          <cell r="AP168">
            <v>13552</v>
          </cell>
          <cell r="AQ168" t="str">
            <v>스토리위즈</v>
          </cell>
          <cell r="AR168" t="str">
            <v>주이서</v>
          </cell>
        </row>
        <row r="169">
          <cell r="N169" t="str">
            <v>모리미</v>
          </cell>
          <cell r="O169" t="str">
            <v>Y</v>
          </cell>
          <cell r="P169">
            <v>0.7</v>
          </cell>
          <cell r="Q169">
            <v>0.6</v>
          </cell>
          <cell r="R169" t="str">
            <v>단일 이용권</v>
          </cell>
          <cell r="S169">
            <v>100</v>
          </cell>
          <cell r="T169">
            <v>40200</v>
          </cell>
          <cell r="U169">
            <v>10900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100</v>
          </cell>
          <cell r="AA169">
            <v>0</v>
          </cell>
          <cell r="AB169">
            <v>0</v>
          </cell>
          <cell r="AC169">
            <v>29200</v>
          </cell>
          <cell r="AD169">
            <v>40210</v>
          </cell>
          <cell r="AE169">
            <v>10900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110</v>
          </cell>
          <cell r="AK169">
            <v>0</v>
          </cell>
          <cell r="AL169">
            <v>0</v>
          </cell>
          <cell r="AM169">
            <v>29200</v>
          </cell>
          <cell r="AN169">
            <v>28136</v>
          </cell>
          <cell r="AO169">
            <v>0</v>
          </cell>
          <cell r="AP169">
            <v>28136</v>
          </cell>
          <cell r="AQ169" t="str">
            <v>스토리위즈</v>
          </cell>
          <cell r="AR169" t="str">
            <v>모리미</v>
          </cell>
        </row>
        <row r="170">
          <cell r="N170" t="str">
            <v>차홍주</v>
          </cell>
          <cell r="O170" t="str">
            <v>Y</v>
          </cell>
          <cell r="P170">
            <v>0.7</v>
          </cell>
          <cell r="Q170">
            <v>0.6</v>
          </cell>
          <cell r="R170" t="str">
            <v>시리즈 이용권 패키지</v>
          </cell>
          <cell r="S170">
            <v>4500</v>
          </cell>
          <cell r="T170">
            <v>9000</v>
          </cell>
          <cell r="U170">
            <v>9000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9000</v>
          </cell>
          <cell r="AE170">
            <v>9000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6300</v>
          </cell>
          <cell r="AO170">
            <v>0</v>
          </cell>
          <cell r="AP170">
            <v>6300</v>
          </cell>
          <cell r="AQ170" t="str">
            <v>스토리위즈</v>
          </cell>
          <cell r="AR170" t="str">
            <v>차홍주</v>
          </cell>
        </row>
        <row r="171">
          <cell r="N171" t="str">
            <v>셔틀</v>
          </cell>
          <cell r="O171" t="str">
            <v>Y</v>
          </cell>
          <cell r="P171">
            <v>0.7</v>
          </cell>
          <cell r="Q171">
            <v>0.6</v>
          </cell>
          <cell r="R171" t="str">
            <v>단일 이용권</v>
          </cell>
          <cell r="S171">
            <v>100</v>
          </cell>
          <cell r="T171">
            <v>3200</v>
          </cell>
          <cell r="U171">
            <v>2700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500</v>
          </cell>
          <cell r="AA171">
            <v>0</v>
          </cell>
          <cell r="AB171">
            <v>0</v>
          </cell>
          <cell r="AC171">
            <v>0</v>
          </cell>
          <cell r="AD171">
            <v>3250</v>
          </cell>
          <cell r="AE171">
            <v>2700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550</v>
          </cell>
          <cell r="AK171">
            <v>0</v>
          </cell>
          <cell r="AL171">
            <v>0</v>
          </cell>
          <cell r="AM171">
            <v>0</v>
          </cell>
          <cell r="AN171">
            <v>2220</v>
          </cell>
          <cell r="AO171">
            <v>0</v>
          </cell>
          <cell r="AP171">
            <v>2220</v>
          </cell>
          <cell r="AQ171" t="str">
            <v>스토리위즈</v>
          </cell>
          <cell r="AR171" t="str">
            <v>셔틀</v>
          </cell>
        </row>
        <row r="172">
          <cell r="N172" t="str">
            <v>주이서</v>
          </cell>
          <cell r="O172" t="str">
            <v>Y</v>
          </cell>
          <cell r="P172">
            <v>0.7</v>
          </cell>
          <cell r="Q172">
            <v>0.6</v>
          </cell>
          <cell r="R172" t="str">
            <v>시리즈 이용권 패키지</v>
          </cell>
          <cell r="S172">
            <v>4000</v>
          </cell>
          <cell r="T172">
            <v>13500</v>
          </cell>
          <cell r="U172">
            <v>11800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1700</v>
          </cell>
          <cell r="AA172">
            <v>0</v>
          </cell>
          <cell r="AB172">
            <v>0</v>
          </cell>
          <cell r="AC172">
            <v>0</v>
          </cell>
          <cell r="AD172">
            <v>13670</v>
          </cell>
          <cell r="AE172">
            <v>11800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1870</v>
          </cell>
          <cell r="AK172">
            <v>0</v>
          </cell>
          <cell r="AL172">
            <v>0</v>
          </cell>
          <cell r="AM172">
            <v>0</v>
          </cell>
          <cell r="AN172">
            <v>9382</v>
          </cell>
          <cell r="AO172">
            <v>0</v>
          </cell>
          <cell r="AP172">
            <v>9382</v>
          </cell>
          <cell r="AQ172" t="str">
            <v>스토리위즈</v>
          </cell>
          <cell r="AR172" t="str">
            <v>주이서</v>
          </cell>
        </row>
        <row r="173">
          <cell r="N173" t="str">
            <v>모리미</v>
          </cell>
          <cell r="O173" t="str">
            <v>Y</v>
          </cell>
          <cell r="P173">
            <v>0.7</v>
          </cell>
          <cell r="Q173">
            <v>0.6</v>
          </cell>
          <cell r="R173" t="str">
            <v>시리즈 이용권 패키지</v>
          </cell>
          <cell r="S173">
            <v>900</v>
          </cell>
          <cell r="T173">
            <v>31700</v>
          </cell>
          <cell r="U173">
            <v>20300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11400</v>
          </cell>
          <cell r="AD173">
            <v>31700</v>
          </cell>
          <cell r="AE173">
            <v>20300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11400</v>
          </cell>
          <cell r="AN173">
            <v>22190</v>
          </cell>
          <cell r="AO173">
            <v>0</v>
          </cell>
          <cell r="AP173">
            <v>22190</v>
          </cell>
          <cell r="AQ173" t="str">
            <v>스토리위즈</v>
          </cell>
          <cell r="AR173" t="str">
            <v>모리미</v>
          </cell>
        </row>
        <row r="174">
          <cell r="N174" t="str">
            <v>한서나</v>
          </cell>
          <cell r="O174" t="str">
            <v>Y</v>
          </cell>
          <cell r="P174">
            <v>0.7</v>
          </cell>
          <cell r="Q174">
            <v>0.6</v>
          </cell>
          <cell r="R174" t="str">
            <v>시리즈 이용권 패키지</v>
          </cell>
          <cell r="S174">
            <v>1800</v>
          </cell>
          <cell r="T174">
            <v>1800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1800</v>
          </cell>
          <cell r="AA174">
            <v>0</v>
          </cell>
          <cell r="AB174">
            <v>0</v>
          </cell>
          <cell r="AC174">
            <v>0</v>
          </cell>
          <cell r="AD174">
            <v>1980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1980</v>
          </cell>
          <cell r="AK174">
            <v>0</v>
          </cell>
          <cell r="AL174">
            <v>0</v>
          </cell>
          <cell r="AM174">
            <v>0</v>
          </cell>
          <cell r="AN174">
            <v>1188</v>
          </cell>
          <cell r="AO174">
            <v>0</v>
          </cell>
          <cell r="AP174">
            <v>1188</v>
          </cell>
          <cell r="AQ174" t="str">
            <v>스토리위즈</v>
          </cell>
          <cell r="AR174" t="str">
            <v>한서나</v>
          </cell>
        </row>
        <row r="175">
          <cell r="N175" t="str">
            <v>셔틀</v>
          </cell>
          <cell r="O175" t="str">
            <v>Y</v>
          </cell>
          <cell r="P175">
            <v>0.7</v>
          </cell>
          <cell r="Q175">
            <v>0.6</v>
          </cell>
          <cell r="R175" t="str">
            <v>시리즈 이용권 패키지</v>
          </cell>
          <cell r="S175">
            <v>900</v>
          </cell>
          <cell r="T175">
            <v>6800</v>
          </cell>
          <cell r="U175">
            <v>5900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900</v>
          </cell>
          <cell r="AA175">
            <v>0</v>
          </cell>
          <cell r="AB175">
            <v>0</v>
          </cell>
          <cell r="AC175">
            <v>0</v>
          </cell>
          <cell r="AD175">
            <v>6890</v>
          </cell>
          <cell r="AE175">
            <v>5900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990</v>
          </cell>
          <cell r="AK175">
            <v>0</v>
          </cell>
          <cell r="AL175">
            <v>0</v>
          </cell>
          <cell r="AM175">
            <v>0</v>
          </cell>
          <cell r="AN175">
            <v>4724</v>
          </cell>
          <cell r="AO175">
            <v>0</v>
          </cell>
          <cell r="AP175">
            <v>4724</v>
          </cell>
          <cell r="AQ175" t="str">
            <v>스토리위즈</v>
          </cell>
          <cell r="AR175" t="str">
            <v>셔틀</v>
          </cell>
        </row>
        <row r="176">
          <cell r="N176" t="str">
            <v>문스톤</v>
          </cell>
          <cell r="O176" t="str">
            <v>Y</v>
          </cell>
          <cell r="P176">
            <v>0.7</v>
          </cell>
          <cell r="Q176">
            <v>0.6</v>
          </cell>
          <cell r="R176" t="str">
            <v>단일 이용권</v>
          </cell>
          <cell r="S176">
            <v>100</v>
          </cell>
          <cell r="T176">
            <v>23800</v>
          </cell>
          <cell r="U176">
            <v>11300</v>
          </cell>
          <cell r="V176">
            <v>0</v>
          </cell>
          <cell r="W176">
            <v>0</v>
          </cell>
          <cell r="X176">
            <v>0</v>
          </cell>
          <cell r="Y176">
            <v>200</v>
          </cell>
          <cell r="Z176">
            <v>5100</v>
          </cell>
          <cell r="AA176">
            <v>0</v>
          </cell>
          <cell r="AB176">
            <v>0</v>
          </cell>
          <cell r="AC176">
            <v>7200</v>
          </cell>
          <cell r="AD176">
            <v>24350</v>
          </cell>
          <cell r="AE176">
            <v>11300</v>
          </cell>
          <cell r="AF176">
            <v>0</v>
          </cell>
          <cell r="AG176">
            <v>0</v>
          </cell>
          <cell r="AH176">
            <v>0</v>
          </cell>
          <cell r="AI176">
            <v>240</v>
          </cell>
          <cell r="AJ176">
            <v>5610</v>
          </cell>
          <cell r="AK176">
            <v>0</v>
          </cell>
          <cell r="AL176">
            <v>0</v>
          </cell>
          <cell r="AM176">
            <v>7200</v>
          </cell>
          <cell r="AN176">
            <v>16460</v>
          </cell>
          <cell r="AO176">
            <v>0</v>
          </cell>
          <cell r="AP176">
            <v>16460</v>
          </cell>
          <cell r="AQ176" t="str">
            <v>스토리위즈</v>
          </cell>
          <cell r="AR176" t="str">
            <v>문스톤</v>
          </cell>
        </row>
        <row r="177">
          <cell r="N177" t="str">
            <v>모리미</v>
          </cell>
          <cell r="O177" t="str">
            <v>Y</v>
          </cell>
          <cell r="P177">
            <v>0.7</v>
          </cell>
          <cell r="Q177">
            <v>0.6</v>
          </cell>
          <cell r="R177" t="str">
            <v>시리즈 이용권 패키지</v>
          </cell>
          <cell r="S177">
            <v>1800</v>
          </cell>
          <cell r="T177">
            <v>18400</v>
          </cell>
          <cell r="U177">
            <v>12600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5800</v>
          </cell>
          <cell r="AD177">
            <v>18400</v>
          </cell>
          <cell r="AE177">
            <v>12600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5800</v>
          </cell>
          <cell r="AN177">
            <v>12880</v>
          </cell>
          <cell r="AO177">
            <v>0</v>
          </cell>
          <cell r="AP177">
            <v>12880</v>
          </cell>
          <cell r="AQ177" t="str">
            <v>스토리위즈</v>
          </cell>
          <cell r="AR177" t="str">
            <v>모리미</v>
          </cell>
        </row>
        <row r="178">
          <cell r="N178" t="str">
            <v>셔틀</v>
          </cell>
          <cell r="O178" t="str">
            <v>Y</v>
          </cell>
          <cell r="P178">
            <v>0.7</v>
          </cell>
          <cell r="Q178">
            <v>0.6</v>
          </cell>
          <cell r="R178" t="str">
            <v>시리즈 이용권 패키지</v>
          </cell>
          <cell r="S178">
            <v>5400</v>
          </cell>
          <cell r="T178">
            <v>5400</v>
          </cell>
          <cell r="U178">
            <v>5400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5400</v>
          </cell>
          <cell r="AE178">
            <v>5400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3780</v>
          </cell>
          <cell r="AO178">
            <v>0</v>
          </cell>
          <cell r="AP178">
            <v>3780</v>
          </cell>
          <cell r="AQ178" t="str">
            <v>스토리위즈</v>
          </cell>
          <cell r="AR178" t="str">
            <v>셔틀</v>
          </cell>
        </row>
        <row r="179">
          <cell r="N179" t="str">
            <v>문스톤</v>
          </cell>
          <cell r="O179" t="str">
            <v>Y</v>
          </cell>
          <cell r="P179">
            <v>0.7</v>
          </cell>
          <cell r="Q179">
            <v>0.6</v>
          </cell>
          <cell r="R179" t="str">
            <v>시리즈 이용권 패키지</v>
          </cell>
          <cell r="S179">
            <v>900</v>
          </cell>
          <cell r="T179">
            <v>33000</v>
          </cell>
          <cell r="U179">
            <v>22200</v>
          </cell>
          <cell r="V179">
            <v>0</v>
          </cell>
          <cell r="W179">
            <v>0</v>
          </cell>
          <cell r="X179">
            <v>0</v>
          </cell>
          <cell r="Y179">
            <v>900</v>
          </cell>
          <cell r="Z179">
            <v>4900</v>
          </cell>
          <cell r="AA179">
            <v>0</v>
          </cell>
          <cell r="AB179">
            <v>0</v>
          </cell>
          <cell r="AC179">
            <v>5000</v>
          </cell>
          <cell r="AD179">
            <v>33670</v>
          </cell>
          <cell r="AE179">
            <v>22200</v>
          </cell>
          <cell r="AF179">
            <v>0</v>
          </cell>
          <cell r="AG179">
            <v>0</v>
          </cell>
          <cell r="AH179">
            <v>0</v>
          </cell>
          <cell r="AI179">
            <v>1080</v>
          </cell>
          <cell r="AJ179">
            <v>5390</v>
          </cell>
          <cell r="AK179">
            <v>0</v>
          </cell>
          <cell r="AL179">
            <v>0</v>
          </cell>
          <cell r="AM179">
            <v>5000</v>
          </cell>
          <cell r="AN179">
            <v>22922</v>
          </cell>
          <cell r="AO179">
            <v>0</v>
          </cell>
          <cell r="AP179">
            <v>22922</v>
          </cell>
          <cell r="AQ179" t="str">
            <v>스토리위즈</v>
          </cell>
          <cell r="AR179" t="str">
            <v>문스톤</v>
          </cell>
        </row>
        <row r="180">
          <cell r="N180" t="str">
            <v>모리미</v>
          </cell>
          <cell r="O180" t="str">
            <v>Y</v>
          </cell>
          <cell r="P180">
            <v>0.7</v>
          </cell>
          <cell r="Q180">
            <v>0.6</v>
          </cell>
          <cell r="R180" t="str">
            <v>시리즈 이용권 패키지</v>
          </cell>
          <cell r="S180">
            <v>3600</v>
          </cell>
          <cell r="T180">
            <v>25200</v>
          </cell>
          <cell r="U180">
            <v>21600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3600</v>
          </cell>
          <cell r="AD180">
            <v>25200</v>
          </cell>
          <cell r="AE180">
            <v>21600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3600</v>
          </cell>
          <cell r="AN180">
            <v>17640</v>
          </cell>
          <cell r="AO180">
            <v>0</v>
          </cell>
          <cell r="AP180">
            <v>17640</v>
          </cell>
          <cell r="AQ180" t="str">
            <v>스토리위즈</v>
          </cell>
          <cell r="AR180" t="str">
            <v>모리미</v>
          </cell>
        </row>
        <row r="181">
          <cell r="N181" t="str">
            <v>문스톤</v>
          </cell>
          <cell r="O181" t="str">
            <v>Y</v>
          </cell>
          <cell r="P181">
            <v>0.7</v>
          </cell>
          <cell r="Q181">
            <v>0.6</v>
          </cell>
          <cell r="R181" t="str">
            <v>시리즈 이용권 패키지</v>
          </cell>
          <cell r="S181">
            <v>1800</v>
          </cell>
          <cell r="T181">
            <v>5400</v>
          </cell>
          <cell r="U181">
            <v>3600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1800</v>
          </cell>
          <cell r="AD181">
            <v>5400</v>
          </cell>
          <cell r="AE181">
            <v>3600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1800</v>
          </cell>
          <cell r="AN181">
            <v>3780</v>
          </cell>
          <cell r="AO181">
            <v>0</v>
          </cell>
          <cell r="AP181">
            <v>3780</v>
          </cell>
          <cell r="AQ181" t="str">
            <v>스토리위즈</v>
          </cell>
          <cell r="AR181" t="str">
            <v>문스톤</v>
          </cell>
        </row>
        <row r="182">
          <cell r="N182" t="str">
            <v>문스톤</v>
          </cell>
          <cell r="O182" t="str">
            <v>Y</v>
          </cell>
          <cell r="P182">
            <v>0.7</v>
          </cell>
          <cell r="Q182">
            <v>0.6</v>
          </cell>
          <cell r="R182" t="str">
            <v>시리즈 이용권 패키지</v>
          </cell>
          <cell r="S182">
            <v>2700</v>
          </cell>
          <cell r="T182">
            <v>21600</v>
          </cell>
          <cell r="U182">
            <v>21600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21600</v>
          </cell>
          <cell r="AE182">
            <v>21600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15120</v>
          </cell>
          <cell r="AO182">
            <v>0</v>
          </cell>
          <cell r="AP182">
            <v>15120</v>
          </cell>
          <cell r="AQ182" t="str">
            <v>스토리위즈</v>
          </cell>
          <cell r="AR182" t="str">
            <v>문스톤</v>
          </cell>
        </row>
        <row r="183">
          <cell r="N183" t="str">
            <v>스내치</v>
          </cell>
          <cell r="O183" t="str">
            <v>Y</v>
          </cell>
          <cell r="P183">
            <v>0.7</v>
          </cell>
          <cell r="Q183">
            <v>0.6</v>
          </cell>
          <cell r="R183" t="str">
            <v>단일 이용권</v>
          </cell>
          <cell r="S183">
            <v>100</v>
          </cell>
          <cell r="T183">
            <v>4000</v>
          </cell>
          <cell r="U183">
            <v>1600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400</v>
          </cell>
          <cell r="AA183">
            <v>0</v>
          </cell>
          <cell r="AB183">
            <v>0</v>
          </cell>
          <cell r="AC183">
            <v>2000</v>
          </cell>
          <cell r="AD183">
            <v>4040</v>
          </cell>
          <cell r="AE183">
            <v>1600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440</v>
          </cell>
          <cell r="AK183">
            <v>0</v>
          </cell>
          <cell r="AL183">
            <v>0</v>
          </cell>
          <cell r="AM183">
            <v>2000</v>
          </cell>
          <cell r="AN183">
            <v>2784</v>
          </cell>
          <cell r="AO183">
            <v>0</v>
          </cell>
          <cell r="AP183">
            <v>2784</v>
          </cell>
          <cell r="AQ183" t="str">
            <v>스토리위즈</v>
          </cell>
          <cell r="AR183" t="str">
            <v>스내치</v>
          </cell>
        </row>
        <row r="184">
          <cell r="N184" t="str">
            <v>스내치</v>
          </cell>
          <cell r="O184" t="str">
            <v>Y</v>
          </cell>
          <cell r="P184">
            <v>0.7</v>
          </cell>
          <cell r="Q184">
            <v>0.6</v>
          </cell>
          <cell r="R184" t="str">
            <v>시리즈 이용권 패키지</v>
          </cell>
          <cell r="S184">
            <v>900</v>
          </cell>
          <cell r="T184">
            <v>14400</v>
          </cell>
          <cell r="U184">
            <v>10500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3900</v>
          </cell>
          <cell r="AD184">
            <v>14400</v>
          </cell>
          <cell r="AE184">
            <v>10500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3900</v>
          </cell>
          <cell r="AN184">
            <v>10080</v>
          </cell>
          <cell r="AO184">
            <v>0</v>
          </cell>
          <cell r="AP184">
            <v>10080</v>
          </cell>
          <cell r="AQ184" t="str">
            <v>스토리위즈</v>
          </cell>
          <cell r="AR184" t="str">
            <v>스내치</v>
          </cell>
        </row>
        <row r="185">
          <cell r="N185" t="str">
            <v>스내치</v>
          </cell>
          <cell r="O185" t="str">
            <v>Y</v>
          </cell>
          <cell r="P185">
            <v>0.7</v>
          </cell>
          <cell r="Q185">
            <v>0.6</v>
          </cell>
          <cell r="R185" t="str">
            <v>시리즈 이용권 패키지</v>
          </cell>
          <cell r="S185">
            <v>2700</v>
          </cell>
          <cell r="T185">
            <v>16200</v>
          </cell>
          <cell r="U185">
            <v>10800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2700</v>
          </cell>
          <cell r="AA185">
            <v>0</v>
          </cell>
          <cell r="AB185">
            <v>0</v>
          </cell>
          <cell r="AC185">
            <v>2700</v>
          </cell>
          <cell r="AD185">
            <v>16470</v>
          </cell>
          <cell r="AE185">
            <v>10800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2970</v>
          </cell>
          <cell r="AK185">
            <v>0</v>
          </cell>
          <cell r="AL185">
            <v>0</v>
          </cell>
          <cell r="AM185">
            <v>2700</v>
          </cell>
          <cell r="AN185">
            <v>11232</v>
          </cell>
          <cell r="AO185">
            <v>0</v>
          </cell>
          <cell r="AP185">
            <v>11232</v>
          </cell>
          <cell r="AQ185" t="str">
            <v>스토리위즈</v>
          </cell>
          <cell r="AR185" t="str">
            <v>스내치</v>
          </cell>
        </row>
        <row r="186">
          <cell r="N186" t="str">
            <v>셔틀</v>
          </cell>
          <cell r="O186" t="str">
            <v>Y</v>
          </cell>
          <cell r="P186">
            <v>0.7</v>
          </cell>
          <cell r="Q186">
            <v>0.6</v>
          </cell>
          <cell r="R186" t="str">
            <v>단일 이용권</v>
          </cell>
          <cell r="S186">
            <v>100</v>
          </cell>
          <cell r="T186">
            <v>13000</v>
          </cell>
          <cell r="U186">
            <v>6000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3000</v>
          </cell>
          <cell r="AA186">
            <v>0</v>
          </cell>
          <cell r="AB186">
            <v>0</v>
          </cell>
          <cell r="AC186">
            <v>4000</v>
          </cell>
          <cell r="AD186">
            <v>13300</v>
          </cell>
          <cell r="AE186">
            <v>6000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3300</v>
          </cell>
          <cell r="AK186">
            <v>0</v>
          </cell>
          <cell r="AL186">
            <v>0</v>
          </cell>
          <cell r="AM186">
            <v>4000</v>
          </cell>
          <cell r="AN186">
            <v>8980</v>
          </cell>
          <cell r="AO186">
            <v>0</v>
          </cell>
          <cell r="AP186">
            <v>8980</v>
          </cell>
          <cell r="AQ186" t="str">
            <v>스토리위즈</v>
          </cell>
          <cell r="AR186" t="str">
            <v>셔틀</v>
          </cell>
        </row>
        <row r="187">
          <cell r="N187" t="str">
            <v>스내치</v>
          </cell>
          <cell r="O187" t="str">
            <v>Y</v>
          </cell>
          <cell r="P187">
            <v>0.7</v>
          </cell>
          <cell r="Q187">
            <v>0.6</v>
          </cell>
          <cell r="R187" t="str">
            <v>시리즈 이용권 패키지</v>
          </cell>
          <cell r="S187">
            <v>4500</v>
          </cell>
          <cell r="T187">
            <v>11300</v>
          </cell>
          <cell r="U187">
            <v>2300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4500</v>
          </cell>
          <cell r="AA187">
            <v>0</v>
          </cell>
          <cell r="AB187">
            <v>0</v>
          </cell>
          <cell r="AC187">
            <v>4500</v>
          </cell>
          <cell r="AD187">
            <v>11750</v>
          </cell>
          <cell r="AE187">
            <v>2300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4950</v>
          </cell>
          <cell r="AK187">
            <v>0</v>
          </cell>
          <cell r="AL187">
            <v>0</v>
          </cell>
          <cell r="AM187">
            <v>4500</v>
          </cell>
          <cell r="AN187">
            <v>7730</v>
          </cell>
          <cell r="AO187">
            <v>0</v>
          </cell>
          <cell r="AP187">
            <v>7730</v>
          </cell>
          <cell r="AQ187" t="str">
            <v>스토리위즈</v>
          </cell>
          <cell r="AR187" t="str">
            <v>스내치</v>
          </cell>
        </row>
        <row r="188">
          <cell r="N188" t="str">
            <v>셔틀</v>
          </cell>
          <cell r="O188" t="str">
            <v>Y</v>
          </cell>
          <cell r="P188">
            <v>0.7</v>
          </cell>
          <cell r="Q188">
            <v>0.6</v>
          </cell>
          <cell r="R188" t="str">
            <v>시리즈 이용권 패키지</v>
          </cell>
          <cell r="S188">
            <v>900</v>
          </cell>
          <cell r="T188">
            <v>9500</v>
          </cell>
          <cell r="U188">
            <v>6300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2800</v>
          </cell>
          <cell r="AA188">
            <v>0</v>
          </cell>
          <cell r="AB188">
            <v>0</v>
          </cell>
          <cell r="AC188">
            <v>400</v>
          </cell>
          <cell r="AD188">
            <v>9780</v>
          </cell>
          <cell r="AE188">
            <v>6300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3080</v>
          </cell>
          <cell r="AK188">
            <v>0</v>
          </cell>
          <cell r="AL188">
            <v>0</v>
          </cell>
          <cell r="AM188">
            <v>400</v>
          </cell>
          <cell r="AN188">
            <v>6538</v>
          </cell>
          <cell r="AO188">
            <v>0</v>
          </cell>
          <cell r="AP188">
            <v>6538</v>
          </cell>
          <cell r="AQ188" t="str">
            <v>스토리위즈</v>
          </cell>
          <cell r="AR188" t="str">
            <v>셔틀</v>
          </cell>
        </row>
        <row r="189">
          <cell r="N189" t="str">
            <v>셔틀</v>
          </cell>
          <cell r="O189" t="str">
            <v>Y</v>
          </cell>
          <cell r="P189">
            <v>0.7</v>
          </cell>
          <cell r="Q189">
            <v>0.6</v>
          </cell>
          <cell r="R189" t="str">
            <v>시리즈 이용권 패키지</v>
          </cell>
          <cell r="S189">
            <v>3600</v>
          </cell>
          <cell r="T189">
            <v>7200</v>
          </cell>
          <cell r="U189">
            <v>7000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200</v>
          </cell>
          <cell r="AD189">
            <v>7200</v>
          </cell>
          <cell r="AE189">
            <v>7000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200</v>
          </cell>
          <cell r="AN189">
            <v>5040</v>
          </cell>
          <cell r="AO189">
            <v>0</v>
          </cell>
          <cell r="AP189">
            <v>5040</v>
          </cell>
          <cell r="AQ189" t="str">
            <v>스토리위즈</v>
          </cell>
          <cell r="AR189" t="str">
            <v>셔틀</v>
          </cell>
        </row>
        <row r="190">
          <cell r="N190" t="str">
            <v>꽃잠</v>
          </cell>
          <cell r="O190" t="str">
            <v>Y</v>
          </cell>
          <cell r="P190">
            <v>0.7</v>
          </cell>
          <cell r="Q190">
            <v>0.6</v>
          </cell>
          <cell r="R190" t="str">
            <v>단일 이용권</v>
          </cell>
          <cell r="S190">
            <v>100</v>
          </cell>
          <cell r="T190">
            <v>24800</v>
          </cell>
          <cell r="U190">
            <v>21800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3000</v>
          </cell>
          <cell r="AD190">
            <v>24800</v>
          </cell>
          <cell r="AE190">
            <v>21800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3000</v>
          </cell>
          <cell r="AN190">
            <v>17360</v>
          </cell>
          <cell r="AO190">
            <v>0</v>
          </cell>
          <cell r="AP190">
            <v>17360</v>
          </cell>
          <cell r="AQ190" t="str">
            <v>스토리위즈</v>
          </cell>
          <cell r="AR190" t="str">
            <v>꽃잠</v>
          </cell>
        </row>
        <row r="191">
          <cell r="N191" t="str">
            <v>양이율</v>
          </cell>
          <cell r="O191" t="str">
            <v>Y</v>
          </cell>
          <cell r="P191">
            <v>0.7</v>
          </cell>
          <cell r="Q191">
            <v>0.6</v>
          </cell>
          <cell r="R191" t="str">
            <v>단일 이용권</v>
          </cell>
          <cell r="S191">
            <v>100</v>
          </cell>
          <cell r="T191">
            <v>244600</v>
          </cell>
          <cell r="U191">
            <v>45510</v>
          </cell>
          <cell r="V191">
            <v>0</v>
          </cell>
          <cell r="W191">
            <v>0</v>
          </cell>
          <cell r="X191">
            <v>0</v>
          </cell>
          <cell r="Y191">
            <v>4100</v>
          </cell>
          <cell r="Z191">
            <v>900</v>
          </cell>
          <cell r="AA191">
            <v>0</v>
          </cell>
          <cell r="AB191">
            <v>0</v>
          </cell>
          <cell r="AC191">
            <v>194090</v>
          </cell>
          <cell r="AD191">
            <v>245510</v>
          </cell>
          <cell r="AE191">
            <v>45510</v>
          </cell>
          <cell r="AF191">
            <v>0</v>
          </cell>
          <cell r="AG191">
            <v>0</v>
          </cell>
          <cell r="AH191">
            <v>0</v>
          </cell>
          <cell r="AI191">
            <v>4920</v>
          </cell>
          <cell r="AJ191">
            <v>990</v>
          </cell>
          <cell r="AK191">
            <v>0</v>
          </cell>
          <cell r="AL191">
            <v>0</v>
          </cell>
          <cell r="AM191">
            <v>194090</v>
          </cell>
          <cell r="AN191">
            <v>171266</v>
          </cell>
          <cell r="AO191">
            <v>0</v>
          </cell>
          <cell r="AP191">
            <v>171266</v>
          </cell>
          <cell r="AQ191" t="str">
            <v>스토리위즈</v>
          </cell>
          <cell r="AR191" t="str">
            <v>양이율</v>
          </cell>
        </row>
        <row r="192">
          <cell r="N192" t="str">
            <v>셔틀</v>
          </cell>
          <cell r="O192" t="str">
            <v>Y</v>
          </cell>
          <cell r="P192">
            <v>0.7</v>
          </cell>
          <cell r="Q192">
            <v>0.6</v>
          </cell>
          <cell r="R192" t="str">
            <v>시리즈 이용권 패키지</v>
          </cell>
          <cell r="S192">
            <v>6300</v>
          </cell>
          <cell r="T192">
            <v>18600</v>
          </cell>
          <cell r="U192">
            <v>17600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1000</v>
          </cell>
          <cell r="AD192">
            <v>18600</v>
          </cell>
          <cell r="AE192">
            <v>17600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1000</v>
          </cell>
          <cell r="AN192">
            <v>13020</v>
          </cell>
          <cell r="AO192">
            <v>0</v>
          </cell>
          <cell r="AP192">
            <v>13020</v>
          </cell>
          <cell r="AQ192" t="str">
            <v>스토리위즈</v>
          </cell>
          <cell r="AR192" t="str">
            <v>셔틀</v>
          </cell>
        </row>
        <row r="193">
          <cell r="N193" t="str">
            <v>꽃잠</v>
          </cell>
          <cell r="O193" t="str">
            <v>Y</v>
          </cell>
          <cell r="P193">
            <v>0.7</v>
          </cell>
          <cell r="Q193">
            <v>0.6</v>
          </cell>
          <cell r="R193" t="str">
            <v>시리즈 이용권 패키지</v>
          </cell>
          <cell r="S193">
            <v>900</v>
          </cell>
          <cell r="T193">
            <v>33300</v>
          </cell>
          <cell r="U193">
            <v>26200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7100</v>
          </cell>
          <cell r="AD193">
            <v>33300</v>
          </cell>
          <cell r="AE193">
            <v>26200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7100</v>
          </cell>
          <cell r="AN193">
            <v>23310</v>
          </cell>
          <cell r="AO193">
            <v>0</v>
          </cell>
          <cell r="AP193">
            <v>23310</v>
          </cell>
          <cell r="AQ193" t="str">
            <v>스토리위즈</v>
          </cell>
          <cell r="AR193" t="str">
            <v>꽃잠</v>
          </cell>
        </row>
        <row r="194">
          <cell r="N194" t="str">
            <v>양이율</v>
          </cell>
          <cell r="O194" t="str">
            <v>Y</v>
          </cell>
          <cell r="P194">
            <v>0.7</v>
          </cell>
          <cell r="Q194">
            <v>0.6</v>
          </cell>
          <cell r="R194" t="str">
            <v>시리즈 이용권 패키지</v>
          </cell>
          <cell r="S194">
            <v>1900</v>
          </cell>
          <cell r="T194">
            <v>117600</v>
          </cell>
          <cell r="U194">
            <v>86060</v>
          </cell>
          <cell r="V194">
            <v>0</v>
          </cell>
          <cell r="W194">
            <v>0</v>
          </cell>
          <cell r="X194">
            <v>0</v>
          </cell>
          <cell r="Y194">
            <v>1100</v>
          </cell>
          <cell r="Z194">
            <v>800</v>
          </cell>
          <cell r="AA194">
            <v>0</v>
          </cell>
          <cell r="AB194">
            <v>0</v>
          </cell>
          <cell r="AC194">
            <v>29640</v>
          </cell>
          <cell r="AD194">
            <v>117900</v>
          </cell>
          <cell r="AE194">
            <v>86060</v>
          </cell>
          <cell r="AF194">
            <v>0</v>
          </cell>
          <cell r="AG194">
            <v>0</v>
          </cell>
          <cell r="AH194">
            <v>0</v>
          </cell>
          <cell r="AI194">
            <v>1320</v>
          </cell>
          <cell r="AJ194">
            <v>880</v>
          </cell>
          <cell r="AK194">
            <v>0</v>
          </cell>
          <cell r="AL194">
            <v>0</v>
          </cell>
          <cell r="AM194">
            <v>29640</v>
          </cell>
          <cell r="AN194">
            <v>82310</v>
          </cell>
          <cell r="AO194">
            <v>0</v>
          </cell>
          <cell r="AP194">
            <v>82310</v>
          </cell>
          <cell r="AQ194" t="str">
            <v>스토리위즈</v>
          </cell>
          <cell r="AR194" t="str">
            <v>양이율</v>
          </cell>
        </row>
        <row r="195">
          <cell r="N195" t="str">
            <v>꽃잠</v>
          </cell>
          <cell r="O195" t="str">
            <v>Y</v>
          </cell>
          <cell r="P195">
            <v>0.7</v>
          </cell>
          <cell r="Q195">
            <v>0.6</v>
          </cell>
          <cell r="R195" t="str">
            <v>시리즈 이용권 패키지</v>
          </cell>
          <cell r="S195">
            <v>2700</v>
          </cell>
          <cell r="T195">
            <v>21600</v>
          </cell>
          <cell r="U195">
            <v>18900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2700</v>
          </cell>
          <cell r="AD195">
            <v>21600</v>
          </cell>
          <cell r="AE195">
            <v>18900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2700</v>
          </cell>
          <cell r="AN195">
            <v>15120</v>
          </cell>
          <cell r="AO195">
            <v>0</v>
          </cell>
          <cell r="AP195">
            <v>15120</v>
          </cell>
          <cell r="AQ195" t="str">
            <v>스토리위즈</v>
          </cell>
          <cell r="AR195" t="str">
            <v>꽃잠</v>
          </cell>
        </row>
        <row r="196">
          <cell r="N196" t="str">
            <v>양이율</v>
          </cell>
          <cell r="O196" t="str">
            <v>Y</v>
          </cell>
          <cell r="P196">
            <v>0.7</v>
          </cell>
          <cell r="Q196">
            <v>0.6</v>
          </cell>
          <cell r="R196" t="str">
            <v>시리즈 이용권 패키지</v>
          </cell>
          <cell r="S196">
            <v>4700</v>
          </cell>
          <cell r="T196">
            <v>58000</v>
          </cell>
          <cell r="U196">
            <v>44400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13600</v>
          </cell>
          <cell r="AD196">
            <v>58000</v>
          </cell>
          <cell r="AE196">
            <v>44400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13600</v>
          </cell>
          <cell r="AN196">
            <v>40600</v>
          </cell>
          <cell r="AO196">
            <v>0</v>
          </cell>
          <cell r="AP196">
            <v>40600</v>
          </cell>
          <cell r="AQ196" t="str">
            <v>스토리위즈</v>
          </cell>
          <cell r="AR196" t="str">
            <v>양이율</v>
          </cell>
        </row>
        <row r="197">
          <cell r="N197" t="str">
            <v>꽃잠</v>
          </cell>
          <cell r="O197" t="str">
            <v>Y</v>
          </cell>
          <cell r="P197">
            <v>0.7</v>
          </cell>
          <cell r="Q197">
            <v>0.6</v>
          </cell>
          <cell r="R197" t="str">
            <v>시리즈 이용권 패키지</v>
          </cell>
          <cell r="S197">
            <v>4500</v>
          </cell>
          <cell r="T197">
            <v>40500</v>
          </cell>
          <cell r="U197">
            <v>39900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600</v>
          </cell>
          <cell r="AD197">
            <v>40500</v>
          </cell>
          <cell r="AE197">
            <v>39900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600</v>
          </cell>
          <cell r="AN197">
            <v>28350</v>
          </cell>
          <cell r="AO197">
            <v>0</v>
          </cell>
          <cell r="AP197">
            <v>28350</v>
          </cell>
          <cell r="AQ197" t="str">
            <v>스토리위즈</v>
          </cell>
          <cell r="AR197" t="str">
            <v>꽃잠</v>
          </cell>
        </row>
        <row r="198">
          <cell r="N198" t="str">
            <v>양이율</v>
          </cell>
          <cell r="O198" t="str">
            <v>Y</v>
          </cell>
          <cell r="P198">
            <v>0.7</v>
          </cell>
          <cell r="Q198">
            <v>0.6</v>
          </cell>
          <cell r="R198" t="str">
            <v>시리즈 이용권 패키지</v>
          </cell>
          <cell r="S198">
            <v>9200</v>
          </cell>
          <cell r="T198">
            <v>74000</v>
          </cell>
          <cell r="U198">
            <v>55100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18400</v>
          </cell>
          <cell r="AA198">
            <v>0</v>
          </cell>
          <cell r="AB198">
            <v>0</v>
          </cell>
          <cell r="AC198">
            <v>500</v>
          </cell>
          <cell r="AD198">
            <v>75840</v>
          </cell>
          <cell r="AE198">
            <v>55100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20240</v>
          </cell>
          <cell r="AK198">
            <v>0</v>
          </cell>
          <cell r="AL198">
            <v>0</v>
          </cell>
          <cell r="AM198">
            <v>500</v>
          </cell>
          <cell r="AN198">
            <v>51064</v>
          </cell>
          <cell r="AO198">
            <v>0</v>
          </cell>
          <cell r="AP198">
            <v>51064</v>
          </cell>
          <cell r="AQ198" t="str">
            <v>스토리위즈</v>
          </cell>
          <cell r="AR198" t="str">
            <v>양이율</v>
          </cell>
        </row>
        <row r="199">
          <cell r="N199" t="str">
            <v>파란영</v>
          </cell>
          <cell r="O199" t="str">
            <v>Y</v>
          </cell>
          <cell r="P199">
            <v>0.7</v>
          </cell>
          <cell r="Q199">
            <v>0.6</v>
          </cell>
          <cell r="R199" t="str">
            <v>단일 이용권</v>
          </cell>
          <cell r="S199">
            <v>100</v>
          </cell>
          <cell r="T199">
            <v>49900</v>
          </cell>
          <cell r="U199">
            <v>25600</v>
          </cell>
          <cell r="V199">
            <v>0</v>
          </cell>
          <cell r="W199">
            <v>0</v>
          </cell>
          <cell r="X199">
            <v>0</v>
          </cell>
          <cell r="Y199">
            <v>1000</v>
          </cell>
          <cell r="Z199">
            <v>4500</v>
          </cell>
          <cell r="AA199">
            <v>0</v>
          </cell>
          <cell r="AB199">
            <v>0</v>
          </cell>
          <cell r="AC199">
            <v>18800</v>
          </cell>
          <cell r="AD199">
            <v>50550</v>
          </cell>
          <cell r="AE199">
            <v>25600</v>
          </cell>
          <cell r="AF199">
            <v>0</v>
          </cell>
          <cell r="AG199">
            <v>0</v>
          </cell>
          <cell r="AH199">
            <v>0</v>
          </cell>
          <cell r="AI199">
            <v>1200</v>
          </cell>
          <cell r="AJ199">
            <v>4950</v>
          </cell>
          <cell r="AK199">
            <v>0</v>
          </cell>
          <cell r="AL199">
            <v>0</v>
          </cell>
          <cell r="AM199">
            <v>18800</v>
          </cell>
          <cell r="AN199">
            <v>34770</v>
          </cell>
          <cell r="AO199">
            <v>0</v>
          </cell>
          <cell r="AP199">
            <v>34770</v>
          </cell>
          <cell r="AQ199" t="str">
            <v>스토리위즈</v>
          </cell>
          <cell r="AR199" t="str">
            <v>파란영</v>
          </cell>
        </row>
        <row r="200">
          <cell r="N200" t="str">
            <v>파란영</v>
          </cell>
          <cell r="O200" t="str">
            <v>Y</v>
          </cell>
          <cell r="P200">
            <v>0.7</v>
          </cell>
          <cell r="Q200">
            <v>0.6</v>
          </cell>
          <cell r="R200" t="str">
            <v>시리즈 이용권 패키지</v>
          </cell>
          <cell r="S200">
            <v>2700</v>
          </cell>
          <cell r="T200">
            <v>104600</v>
          </cell>
          <cell r="U200">
            <v>83700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11000</v>
          </cell>
          <cell r="AA200">
            <v>0</v>
          </cell>
          <cell r="AB200">
            <v>0</v>
          </cell>
          <cell r="AC200">
            <v>9900</v>
          </cell>
          <cell r="AD200">
            <v>105700</v>
          </cell>
          <cell r="AE200">
            <v>83700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12100</v>
          </cell>
          <cell r="AK200">
            <v>0</v>
          </cell>
          <cell r="AL200">
            <v>0</v>
          </cell>
          <cell r="AM200">
            <v>9900</v>
          </cell>
          <cell r="AN200">
            <v>72780</v>
          </cell>
          <cell r="AO200">
            <v>0</v>
          </cell>
          <cell r="AP200">
            <v>72780</v>
          </cell>
          <cell r="AQ200" t="str">
            <v>스토리위즈</v>
          </cell>
          <cell r="AR200" t="str">
            <v>파란영</v>
          </cell>
        </row>
        <row r="201">
          <cell r="N201" t="str">
            <v>파란영</v>
          </cell>
          <cell r="O201" t="str">
            <v>Y</v>
          </cell>
          <cell r="P201">
            <v>0.7</v>
          </cell>
          <cell r="Q201">
            <v>0.6</v>
          </cell>
          <cell r="R201" t="str">
            <v>시리즈 이용권 패키지</v>
          </cell>
          <cell r="S201">
            <v>4500</v>
          </cell>
          <cell r="T201">
            <v>67500</v>
          </cell>
          <cell r="U201">
            <v>58500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9000</v>
          </cell>
          <cell r="AA201">
            <v>0</v>
          </cell>
          <cell r="AB201">
            <v>0</v>
          </cell>
          <cell r="AC201">
            <v>0</v>
          </cell>
          <cell r="AD201">
            <v>68400</v>
          </cell>
          <cell r="AE201">
            <v>58500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9900</v>
          </cell>
          <cell r="AK201">
            <v>0</v>
          </cell>
          <cell r="AL201">
            <v>0</v>
          </cell>
          <cell r="AM201">
            <v>0</v>
          </cell>
          <cell r="AN201">
            <v>46890</v>
          </cell>
          <cell r="AO201">
            <v>0</v>
          </cell>
          <cell r="AP201">
            <v>46890</v>
          </cell>
          <cell r="AQ201" t="str">
            <v>스토리위즈</v>
          </cell>
          <cell r="AR201" t="str">
            <v>파란영</v>
          </cell>
        </row>
        <row r="202">
          <cell r="N202" t="str">
            <v>블랙커피</v>
          </cell>
          <cell r="O202" t="str">
            <v>Y</v>
          </cell>
          <cell r="P202">
            <v>0.7</v>
          </cell>
          <cell r="Q202">
            <v>0.6</v>
          </cell>
          <cell r="R202" t="str">
            <v>단일 이용권</v>
          </cell>
          <cell r="S202">
            <v>100</v>
          </cell>
          <cell r="T202">
            <v>1400</v>
          </cell>
          <cell r="U202">
            <v>900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500</v>
          </cell>
          <cell r="AD202">
            <v>1400</v>
          </cell>
          <cell r="AE202">
            <v>900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500</v>
          </cell>
          <cell r="AN202">
            <v>980</v>
          </cell>
          <cell r="AO202">
            <v>0</v>
          </cell>
          <cell r="AP202">
            <v>980</v>
          </cell>
          <cell r="AQ202" t="str">
            <v>스토리위즈</v>
          </cell>
          <cell r="AR202" t="str">
            <v>블랙커피</v>
          </cell>
        </row>
        <row r="203">
          <cell r="N203" t="str">
            <v>파란영</v>
          </cell>
          <cell r="O203" t="str">
            <v>Y</v>
          </cell>
          <cell r="P203">
            <v>0.7</v>
          </cell>
          <cell r="Q203">
            <v>0.6</v>
          </cell>
          <cell r="R203" t="str">
            <v>시리즈 이용권 패키지</v>
          </cell>
          <cell r="S203">
            <v>6300</v>
          </cell>
          <cell r="T203">
            <v>142500</v>
          </cell>
          <cell r="U203">
            <v>113200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25200</v>
          </cell>
          <cell r="AA203">
            <v>0</v>
          </cell>
          <cell r="AB203">
            <v>0</v>
          </cell>
          <cell r="AC203">
            <v>4100</v>
          </cell>
          <cell r="AD203">
            <v>145020</v>
          </cell>
          <cell r="AE203">
            <v>113200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27720</v>
          </cell>
          <cell r="AK203">
            <v>0</v>
          </cell>
          <cell r="AL203">
            <v>0</v>
          </cell>
          <cell r="AM203">
            <v>4100</v>
          </cell>
          <cell r="AN203">
            <v>98742</v>
          </cell>
          <cell r="AO203">
            <v>0</v>
          </cell>
          <cell r="AP203">
            <v>98742</v>
          </cell>
          <cell r="AQ203" t="str">
            <v>스토리위즈</v>
          </cell>
          <cell r="AR203" t="str">
            <v>파란영</v>
          </cell>
        </row>
        <row r="204">
          <cell r="N204" t="str">
            <v>블랙커피</v>
          </cell>
          <cell r="O204" t="str">
            <v>Y</v>
          </cell>
          <cell r="P204">
            <v>0.7</v>
          </cell>
          <cell r="Q204">
            <v>0.6</v>
          </cell>
          <cell r="R204" t="str">
            <v>단일 이용권</v>
          </cell>
          <cell r="S204">
            <v>100</v>
          </cell>
          <cell r="T204">
            <v>1300</v>
          </cell>
          <cell r="U204">
            <v>1100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200</v>
          </cell>
          <cell r="AD204">
            <v>1300</v>
          </cell>
          <cell r="AE204">
            <v>1100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200</v>
          </cell>
          <cell r="AN204">
            <v>910</v>
          </cell>
          <cell r="AO204">
            <v>0</v>
          </cell>
          <cell r="AP204">
            <v>910</v>
          </cell>
          <cell r="AQ204" t="str">
            <v>스토리위즈</v>
          </cell>
          <cell r="AR204" t="str">
            <v>블랙커피</v>
          </cell>
        </row>
        <row r="205">
          <cell r="N205" t="str">
            <v>블랙커피</v>
          </cell>
          <cell r="O205" t="str">
            <v>Y</v>
          </cell>
          <cell r="P205">
            <v>0.7</v>
          </cell>
          <cell r="Q205">
            <v>0.6</v>
          </cell>
          <cell r="R205" t="str">
            <v>시리즈 이용권 패키지</v>
          </cell>
          <cell r="S205">
            <v>900</v>
          </cell>
          <cell r="T205">
            <v>1800</v>
          </cell>
          <cell r="U205">
            <v>1800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1800</v>
          </cell>
          <cell r="AE205">
            <v>1800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1260</v>
          </cell>
          <cell r="AO205">
            <v>0</v>
          </cell>
          <cell r="AP205">
            <v>1260</v>
          </cell>
          <cell r="AQ205" t="str">
            <v>스토리위즈</v>
          </cell>
          <cell r="AR205" t="str">
            <v>블랙커피</v>
          </cell>
        </row>
        <row r="206">
          <cell r="N206" t="str">
            <v>블랙커피</v>
          </cell>
          <cell r="O206" t="str">
            <v>Y</v>
          </cell>
          <cell r="P206">
            <v>0.7</v>
          </cell>
          <cell r="Q206">
            <v>0.6</v>
          </cell>
          <cell r="R206" t="str">
            <v>시리즈 이용권 패키지</v>
          </cell>
          <cell r="S206">
            <v>1800</v>
          </cell>
          <cell r="T206">
            <v>1800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1800</v>
          </cell>
          <cell r="AD206">
            <v>1800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1800</v>
          </cell>
          <cell r="AN206">
            <v>1260</v>
          </cell>
          <cell r="AO206">
            <v>0</v>
          </cell>
          <cell r="AP206">
            <v>1260</v>
          </cell>
          <cell r="AQ206" t="str">
            <v>스토리위즈</v>
          </cell>
          <cell r="AR206" t="str">
            <v>블랙커피</v>
          </cell>
        </row>
        <row r="207">
          <cell r="N207" t="str">
            <v>주이서</v>
          </cell>
          <cell r="O207" t="str">
            <v>Y</v>
          </cell>
          <cell r="P207">
            <v>0.7</v>
          </cell>
          <cell r="Q207">
            <v>0.6</v>
          </cell>
          <cell r="R207" t="str">
            <v>단일 이용권</v>
          </cell>
          <cell r="S207">
            <v>100</v>
          </cell>
          <cell r="T207">
            <v>200</v>
          </cell>
          <cell r="U207">
            <v>200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200</v>
          </cell>
          <cell r="AE207">
            <v>200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140</v>
          </cell>
          <cell r="AO207">
            <v>0</v>
          </cell>
          <cell r="AP207">
            <v>140</v>
          </cell>
          <cell r="AQ207" t="str">
            <v>스토리위즈</v>
          </cell>
          <cell r="AR207" t="str">
            <v>주이서</v>
          </cell>
        </row>
        <row r="208">
          <cell r="N208" t="str">
            <v>진문</v>
          </cell>
          <cell r="O208" t="str">
            <v>Y</v>
          </cell>
          <cell r="P208">
            <v>0.7</v>
          </cell>
          <cell r="Q208">
            <v>0.6</v>
          </cell>
          <cell r="R208" t="str">
            <v>단일 이용권</v>
          </cell>
          <cell r="S208">
            <v>100</v>
          </cell>
          <cell r="T208">
            <v>24600</v>
          </cell>
          <cell r="U208">
            <v>15700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8900</v>
          </cell>
          <cell r="AD208">
            <v>24600</v>
          </cell>
          <cell r="AE208">
            <v>15700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8900</v>
          </cell>
          <cell r="AN208">
            <v>17220</v>
          </cell>
          <cell r="AO208">
            <v>0</v>
          </cell>
          <cell r="AP208">
            <v>17220</v>
          </cell>
          <cell r="AQ208" t="str">
            <v>스토리위즈</v>
          </cell>
          <cell r="AR208" t="str">
            <v>진문</v>
          </cell>
        </row>
        <row r="209">
          <cell r="N209" t="str">
            <v>전혁</v>
          </cell>
          <cell r="O209" t="str">
            <v>Y</v>
          </cell>
          <cell r="P209">
            <v>0.7</v>
          </cell>
          <cell r="Q209">
            <v>0.6</v>
          </cell>
          <cell r="R209" t="str">
            <v>단일 이용권</v>
          </cell>
          <cell r="S209">
            <v>100</v>
          </cell>
          <cell r="T209">
            <v>300</v>
          </cell>
          <cell r="U209">
            <v>100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200</v>
          </cell>
          <cell r="AD209">
            <v>300</v>
          </cell>
          <cell r="AE209">
            <v>100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200</v>
          </cell>
          <cell r="AN209">
            <v>210</v>
          </cell>
          <cell r="AO209">
            <v>0</v>
          </cell>
          <cell r="AP209">
            <v>210</v>
          </cell>
          <cell r="AQ209" t="str">
            <v>스토리위즈</v>
          </cell>
          <cell r="AR209" t="str">
            <v>전혁</v>
          </cell>
        </row>
        <row r="210">
          <cell r="N210" t="str">
            <v>진새벽</v>
          </cell>
          <cell r="O210" t="str">
            <v>Y</v>
          </cell>
          <cell r="P210">
            <v>0.7</v>
          </cell>
          <cell r="Q210">
            <v>0.6</v>
          </cell>
          <cell r="R210" t="str">
            <v>단일 이용권</v>
          </cell>
          <cell r="S210">
            <v>100</v>
          </cell>
          <cell r="T210">
            <v>100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100</v>
          </cell>
          <cell r="AD210">
            <v>100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100</v>
          </cell>
          <cell r="AN210">
            <v>70</v>
          </cell>
          <cell r="AO210">
            <v>0</v>
          </cell>
          <cell r="AP210">
            <v>70</v>
          </cell>
          <cell r="AQ210" t="str">
            <v>스토리위즈</v>
          </cell>
          <cell r="AR210" t="str">
            <v>진새벽</v>
          </cell>
        </row>
        <row r="211">
          <cell r="N211" t="str">
            <v>진문</v>
          </cell>
          <cell r="O211" t="str">
            <v>Y</v>
          </cell>
          <cell r="P211">
            <v>0.7</v>
          </cell>
          <cell r="Q211">
            <v>0.6</v>
          </cell>
          <cell r="R211" t="str">
            <v>시리즈 이용권 패키지</v>
          </cell>
          <cell r="S211">
            <v>4900</v>
          </cell>
          <cell r="T211">
            <v>4900</v>
          </cell>
          <cell r="U211">
            <v>4900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4900</v>
          </cell>
          <cell r="AE211">
            <v>4900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3430</v>
          </cell>
          <cell r="AO211">
            <v>0</v>
          </cell>
          <cell r="AP211">
            <v>3430</v>
          </cell>
          <cell r="AQ211" t="str">
            <v>스토리위즈</v>
          </cell>
          <cell r="AR211" t="str">
            <v>진문</v>
          </cell>
        </row>
        <row r="212">
          <cell r="N212" t="str">
            <v>전혁</v>
          </cell>
          <cell r="O212" t="str">
            <v>Y</v>
          </cell>
          <cell r="P212">
            <v>0.7</v>
          </cell>
          <cell r="Q212">
            <v>0.6</v>
          </cell>
          <cell r="R212" t="str">
            <v>시리즈 이용권 패키지</v>
          </cell>
          <cell r="S212">
            <v>9000</v>
          </cell>
          <cell r="T212">
            <v>9000</v>
          </cell>
          <cell r="U212">
            <v>9000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9000</v>
          </cell>
          <cell r="AE212">
            <v>9000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6300</v>
          </cell>
          <cell r="AO212">
            <v>0</v>
          </cell>
          <cell r="AP212">
            <v>6300</v>
          </cell>
          <cell r="AQ212" t="str">
            <v>스토리위즈</v>
          </cell>
          <cell r="AR212" t="str">
            <v>전혁</v>
          </cell>
        </row>
        <row r="213">
          <cell r="N213" t="str">
            <v>진새벽</v>
          </cell>
          <cell r="O213" t="str">
            <v>Y</v>
          </cell>
          <cell r="P213">
            <v>0.7</v>
          </cell>
          <cell r="Q213">
            <v>0.6</v>
          </cell>
          <cell r="R213" t="str">
            <v>시리즈 이용권 패키지</v>
          </cell>
          <cell r="S213">
            <v>900</v>
          </cell>
          <cell r="T213">
            <v>900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900</v>
          </cell>
          <cell r="AD213">
            <v>900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900</v>
          </cell>
          <cell r="AN213">
            <v>630</v>
          </cell>
          <cell r="AO213">
            <v>0</v>
          </cell>
          <cell r="AP213">
            <v>630</v>
          </cell>
          <cell r="AQ213" t="str">
            <v>스토리위즈</v>
          </cell>
          <cell r="AR213" t="str">
            <v>진새벽</v>
          </cell>
        </row>
        <row r="214">
          <cell r="N214" t="str">
            <v>진문</v>
          </cell>
          <cell r="O214" t="str">
            <v>Y</v>
          </cell>
          <cell r="P214">
            <v>0.7</v>
          </cell>
          <cell r="Q214">
            <v>0.6</v>
          </cell>
          <cell r="R214" t="str">
            <v>시리즈 이용권 패키지</v>
          </cell>
          <cell r="S214">
            <v>9500</v>
          </cell>
          <cell r="T214">
            <v>15400</v>
          </cell>
          <cell r="U214">
            <v>5900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9500</v>
          </cell>
          <cell r="AD214">
            <v>15400</v>
          </cell>
          <cell r="AE214">
            <v>5900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9500</v>
          </cell>
          <cell r="AN214">
            <v>10780</v>
          </cell>
          <cell r="AO214">
            <v>0</v>
          </cell>
          <cell r="AP214">
            <v>10780</v>
          </cell>
          <cell r="AQ214" t="str">
            <v>스토리위즈</v>
          </cell>
          <cell r="AR214" t="str">
            <v>진문</v>
          </cell>
        </row>
        <row r="215">
          <cell r="N215" t="str">
            <v>구이</v>
          </cell>
          <cell r="O215" t="str">
            <v>Y</v>
          </cell>
          <cell r="P215">
            <v>0.7</v>
          </cell>
          <cell r="Q215">
            <v>0.6</v>
          </cell>
          <cell r="R215" t="str">
            <v>단일 이용권</v>
          </cell>
          <cell r="S215">
            <v>2500</v>
          </cell>
          <cell r="T215">
            <v>7500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7500</v>
          </cell>
          <cell r="AD215">
            <v>7500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7500</v>
          </cell>
          <cell r="AN215">
            <v>5250</v>
          </cell>
          <cell r="AO215">
            <v>0</v>
          </cell>
          <cell r="AP215">
            <v>5250</v>
          </cell>
          <cell r="AQ215" t="str">
            <v>스토리위즈</v>
          </cell>
          <cell r="AR215" t="str">
            <v>구이</v>
          </cell>
        </row>
        <row r="216">
          <cell r="N216" t="str">
            <v>밈스</v>
          </cell>
          <cell r="O216" t="str">
            <v>Y</v>
          </cell>
          <cell r="P216">
            <v>0.7</v>
          </cell>
          <cell r="Q216">
            <v>0.6</v>
          </cell>
          <cell r="R216" t="str">
            <v>단일 이용권</v>
          </cell>
          <cell r="S216">
            <v>100</v>
          </cell>
          <cell r="T216">
            <v>5700</v>
          </cell>
          <cell r="U216">
            <v>4800</v>
          </cell>
          <cell r="V216">
            <v>0</v>
          </cell>
          <cell r="W216">
            <v>0</v>
          </cell>
          <cell r="X216">
            <v>0</v>
          </cell>
          <cell r="Y216">
            <v>300</v>
          </cell>
          <cell r="Z216">
            <v>0</v>
          </cell>
          <cell r="AA216">
            <v>0</v>
          </cell>
          <cell r="AB216">
            <v>0</v>
          </cell>
          <cell r="AC216">
            <v>600</v>
          </cell>
          <cell r="AD216">
            <v>5760</v>
          </cell>
          <cell r="AE216">
            <v>4800</v>
          </cell>
          <cell r="AF216">
            <v>0</v>
          </cell>
          <cell r="AG216">
            <v>0</v>
          </cell>
          <cell r="AH216">
            <v>0</v>
          </cell>
          <cell r="AI216">
            <v>360</v>
          </cell>
          <cell r="AJ216">
            <v>0</v>
          </cell>
          <cell r="AK216">
            <v>0</v>
          </cell>
          <cell r="AL216">
            <v>0</v>
          </cell>
          <cell r="AM216">
            <v>600</v>
          </cell>
          <cell r="AN216">
            <v>3996</v>
          </cell>
          <cell r="AO216">
            <v>0</v>
          </cell>
          <cell r="AP216">
            <v>3996</v>
          </cell>
          <cell r="AQ216" t="str">
            <v>스토리위즈</v>
          </cell>
          <cell r="AR216" t="str">
            <v>밈스</v>
          </cell>
        </row>
        <row r="217">
          <cell r="N217" t="str">
            <v>밈스</v>
          </cell>
          <cell r="O217" t="str">
            <v>Y</v>
          </cell>
          <cell r="P217">
            <v>0.7</v>
          </cell>
          <cell r="Q217">
            <v>0.6</v>
          </cell>
          <cell r="R217" t="str">
            <v>시리즈 이용권 패키지</v>
          </cell>
          <cell r="S217">
            <v>900</v>
          </cell>
          <cell r="T217">
            <v>17100</v>
          </cell>
          <cell r="U217">
            <v>17100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17100</v>
          </cell>
          <cell r="AE217">
            <v>17100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11970</v>
          </cell>
          <cell r="AO217">
            <v>0</v>
          </cell>
          <cell r="AP217">
            <v>11970</v>
          </cell>
          <cell r="AQ217" t="str">
            <v>스토리위즈</v>
          </cell>
          <cell r="AR217" t="str">
            <v>밈스</v>
          </cell>
        </row>
        <row r="218">
          <cell r="N218" t="str">
            <v>독고진</v>
          </cell>
          <cell r="O218" t="str">
            <v>Y</v>
          </cell>
          <cell r="P218">
            <v>0.7</v>
          </cell>
          <cell r="Q218">
            <v>0.6</v>
          </cell>
          <cell r="R218" t="str">
            <v>단일 이용권</v>
          </cell>
          <cell r="S218">
            <v>100</v>
          </cell>
          <cell r="T218">
            <v>87400</v>
          </cell>
          <cell r="U218">
            <v>26300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61100</v>
          </cell>
          <cell r="AD218">
            <v>87400</v>
          </cell>
          <cell r="AE218">
            <v>26300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61100</v>
          </cell>
          <cell r="AN218">
            <v>61180</v>
          </cell>
          <cell r="AO218">
            <v>0</v>
          </cell>
          <cell r="AP218">
            <v>61180</v>
          </cell>
          <cell r="AQ218" t="str">
            <v>스토리위즈</v>
          </cell>
          <cell r="AR218" t="str">
            <v>독고진</v>
          </cell>
        </row>
        <row r="219">
          <cell r="N219" t="str">
            <v>밈스</v>
          </cell>
          <cell r="O219" t="str">
            <v>Y</v>
          </cell>
          <cell r="P219">
            <v>0.7</v>
          </cell>
          <cell r="Q219">
            <v>0.6</v>
          </cell>
          <cell r="R219" t="str">
            <v>시리즈 이용권 패키지</v>
          </cell>
          <cell r="S219">
            <v>2700</v>
          </cell>
          <cell r="T219">
            <v>13500</v>
          </cell>
          <cell r="U219">
            <v>13200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300</v>
          </cell>
          <cell r="AD219">
            <v>13500</v>
          </cell>
          <cell r="AE219">
            <v>13200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300</v>
          </cell>
          <cell r="AN219">
            <v>9450</v>
          </cell>
          <cell r="AO219">
            <v>0</v>
          </cell>
          <cell r="AP219">
            <v>9450</v>
          </cell>
          <cell r="AQ219" t="str">
            <v>스토리위즈</v>
          </cell>
          <cell r="AR219" t="str">
            <v>밈스</v>
          </cell>
        </row>
        <row r="220">
          <cell r="N220" t="str">
            <v>권용찬</v>
          </cell>
          <cell r="O220" t="str">
            <v>Y</v>
          </cell>
          <cell r="P220">
            <v>0.7</v>
          </cell>
          <cell r="Q220">
            <v>0.6</v>
          </cell>
          <cell r="R220" t="str">
            <v>단일 대여 이용권</v>
          </cell>
          <cell r="S220">
            <v>900</v>
          </cell>
          <cell r="T220">
            <v>2700</v>
          </cell>
          <cell r="U220">
            <v>2700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2700</v>
          </cell>
          <cell r="AE220">
            <v>2700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1890</v>
          </cell>
          <cell r="AO220">
            <v>0</v>
          </cell>
          <cell r="AP220">
            <v>1890</v>
          </cell>
          <cell r="AQ220" t="str">
            <v>스토리위즈</v>
          </cell>
          <cell r="AR220" t="str">
            <v>권용찬</v>
          </cell>
        </row>
        <row r="221">
          <cell r="N221" t="str">
            <v>독고진</v>
          </cell>
          <cell r="O221" t="str">
            <v>Y</v>
          </cell>
          <cell r="P221">
            <v>0.7</v>
          </cell>
          <cell r="Q221">
            <v>0.6</v>
          </cell>
          <cell r="R221" t="str">
            <v>시리즈 이용권 패키지</v>
          </cell>
          <cell r="S221">
            <v>2300</v>
          </cell>
          <cell r="T221">
            <v>86100</v>
          </cell>
          <cell r="U221">
            <v>53940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600</v>
          </cell>
          <cell r="AA221">
            <v>0</v>
          </cell>
          <cell r="AB221">
            <v>0</v>
          </cell>
          <cell r="AC221">
            <v>31560</v>
          </cell>
          <cell r="AD221">
            <v>86160</v>
          </cell>
          <cell r="AE221">
            <v>53940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660</v>
          </cell>
          <cell r="AK221">
            <v>0</v>
          </cell>
          <cell r="AL221">
            <v>0</v>
          </cell>
          <cell r="AM221">
            <v>31560</v>
          </cell>
          <cell r="AN221">
            <v>60246</v>
          </cell>
          <cell r="AO221">
            <v>0</v>
          </cell>
          <cell r="AP221">
            <v>60246</v>
          </cell>
          <cell r="AQ221" t="str">
            <v>스토리위즈</v>
          </cell>
          <cell r="AR221" t="str">
            <v>독고진</v>
          </cell>
        </row>
        <row r="222">
          <cell r="N222" t="str">
            <v>밈스</v>
          </cell>
          <cell r="O222" t="str">
            <v>Y</v>
          </cell>
          <cell r="P222">
            <v>0.7</v>
          </cell>
          <cell r="Q222">
            <v>0.6</v>
          </cell>
          <cell r="R222" t="str">
            <v>시리즈 이용권 패키지</v>
          </cell>
          <cell r="S222">
            <v>4500</v>
          </cell>
          <cell r="T222">
            <v>9000</v>
          </cell>
          <cell r="U222">
            <v>9000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9000</v>
          </cell>
          <cell r="AE222">
            <v>9000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6300</v>
          </cell>
          <cell r="AO222">
            <v>0</v>
          </cell>
          <cell r="AP222">
            <v>6300</v>
          </cell>
          <cell r="AQ222" t="str">
            <v>스토리위즈</v>
          </cell>
          <cell r="AR222" t="str">
            <v>밈스</v>
          </cell>
        </row>
        <row r="223">
          <cell r="N223" t="str">
            <v>권용찬</v>
          </cell>
          <cell r="O223" t="str">
            <v>Y</v>
          </cell>
          <cell r="P223">
            <v>0.7</v>
          </cell>
          <cell r="Q223">
            <v>0.6</v>
          </cell>
          <cell r="R223" t="str">
            <v>단일 대여 이용권</v>
          </cell>
          <cell r="S223">
            <v>900</v>
          </cell>
          <cell r="T223">
            <v>3600</v>
          </cell>
          <cell r="U223">
            <v>2400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1200</v>
          </cell>
          <cell r="AD223">
            <v>3600</v>
          </cell>
          <cell r="AE223">
            <v>2400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1200</v>
          </cell>
          <cell r="AN223">
            <v>2520</v>
          </cell>
          <cell r="AO223">
            <v>0</v>
          </cell>
          <cell r="AP223">
            <v>2520</v>
          </cell>
          <cell r="AQ223" t="str">
            <v>스토리위즈</v>
          </cell>
          <cell r="AR223" t="str">
            <v>권용찬</v>
          </cell>
        </row>
        <row r="224">
          <cell r="N224" t="str">
            <v>독고진</v>
          </cell>
          <cell r="O224" t="str">
            <v>Y</v>
          </cell>
          <cell r="P224">
            <v>0.7</v>
          </cell>
          <cell r="Q224">
            <v>0.6</v>
          </cell>
          <cell r="R224" t="str">
            <v>시리즈 이용권 패키지</v>
          </cell>
          <cell r="S224">
            <v>6800</v>
          </cell>
          <cell r="T224">
            <v>58100</v>
          </cell>
          <cell r="U224">
            <v>57200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900</v>
          </cell>
          <cell r="AD224">
            <v>58100</v>
          </cell>
          <cell r="AE224">
            <v>57200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900</v>
          </cell>
          <cell r="AN224">
            <v>40670</v>
          </cell>
          <cell r="AO224">
            <v>0</v>
          </cell>
          <cell r="AP224">
            <v>40670</v>
          </cell>
          <cell r="AQ224" t="str">
            <v>스토리위즈</v>
          </cell>
          <cell r="AR224" t="str">
            <v>독고진</v>
          </cell>
        </row>
        <row r="225">
          <cell r="N225" t="str">
            <v>블 루 스 카 이</v>
          </cell>
          <cell r="O225" t="str">
            <v>Y</v>
          </cell>
          <cell r="P225">
            <v>0.7</v>
          </cell>
          <cell r="Q225">
            <v>0.6</v>
          </cell>
          <cell r="R225" t="str">
            <v>단일 이용권</v>
          </cell>
          <cell r="S225">
            <v>100</v>
          </cell>
          <cell r="T225">
            <v>700</v>
          </cell>
          <cell r="U225">
            <v>700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700</v>
          </cell>
          <cell r="AE225">
            <v>700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490</v>
          </cell>
          <cell r="AO225">
            <v>0</v>
          </cell>
          <cell r="AP225">
            <v>490</v>
          </cell>
          <cell r="AQ225" t="str">
            <v>스토리위즈</v>
          </cell>
          <cell r="AR225" t="str">
            <v>블 루 스 카 이</v>
          </cell>
        </row>
        <row r="226">
          <cell r="N226" t="str">
            <v>독고진</v>
          </cell>
          <cell r="O226" t="str">
            <v>Y</v>
          </cell>
          <cell r="P226">
            <v>0.7</v>
          </cell>
          <cell r="Q226">
            <v>0.6</v>
          </cell>
          <cell r="R226" t="str">
            <v>시리즈 이용권 패키지</v>
          </cell>
          <cell r="S226">
            <v>13500</v>
          </cell>
          <cell r="T226">
            <v>48900</v>
          </cell>
          <cell r="U226">
            <v>44800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4100</v>
          </cell>
          <cell r="AD226">
            <v>48900</v>
          </cell>
          <cell r="AE226">
            <v>44800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4100</v>
          </cell>
          <cell r="AN226">
            <v>34230</v>
          </cell>
          <cell r="AO226">
            <v>0</v>
          </cell>
          <cell r="AP226">
            <v>34230</v>
          </cell>
          <cell r="AQ226" t="str">
            <v>스토리위즈</v>
          </cell>
          <cell r="AR226" t="str">
            <v>독고진</v>
          </cell>
        </row>
        <row r="227">
          <cell r="N227" t="str">
            <v>권용찬</v>
          </cell>
          <cell r="O227" t="str">
            <v>Y</v>
          </cell>
          <cell r="P227">
            <v>0.7</v>
          </cell>
          <cell r="Q227">
            <v>0.6</v>
          </cell>
          <cell r="R227" t="str">
            <v>단일 대여 이용권</v>
          </cell>
          <cell r="S227">
            <v>900</v>
          </cell>
          <cell r="T227">
            <v>2700</v>
          </cell>
          <cell r="U227">
            <v>900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1800</v>
          </cell>
          <cell r="AD227">
            <v>2700</v>
          </cell>
          <cell r="AE227">
            <v>900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1800</v>
          </cell>
          <cell r="AN227">
            <v>1890</v>
          </cell>
          <cell r="AO227">
            <v>0</v>
          </cell>
          <cell r="AP227">
            <v>1890</v>
          </cell>
          <cell r="AQ227" t="str">
            <v>스토리위즈</v>
          </cell>
          <cell r="AR227" t="str">
            <v>권용찬</v>
          </cell>
        </row>
        <row r="228">
          <cell r="N228" t="str">
            <v>권용찬</v>
          </cell>
          <cell r="O228" t="str">
            <v>Y</v>
          </cell>
          <cell r="P228">
            <v>0.7</v>
          </cell>
          <cell r="Q228">
            <v>0.6</v>
          </cell>
          <cell r="R228" t="str">
            <v>단일 이용권</v>
          </cell>
          <cell r="S228">
            <v>3200</v>
          </cell>
          <cell r="T228">
            <v>22400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22400</v>
          </cell>
          <cell r="AD228">
            <v>22400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22400</v>
          </cell>
          <cell r="AN228">
            <v>15680</v>
          </cell>
          <cell r="AO228">
            <v>0</v>
          </cell>
          <cell r="AP228">
            <v>15680</v>
          </cell>
          <cell r="AQ228" t="str">
            <v>스토리위즈</v>
          </cell>
          <cell r="AR228" t="str">
            <v>권용찬</v>
          </cell>
        </row>
        <row r="229">
          <cell r="N229" t="str">
            <v>권용찬</v>
          </cell>
          <cell r="O229" t="str">
            <v>Y</v>
          </cell>
          <cell r="P229">
            <v>0.7</v>
          </cell>
          <cell r="Q229">
            <v>0.6</v>
          </cell>
          <cell r="R229" t="str">
            <v>단일 대여 이용권</v>
          </cell>
          <cell r="S229">
            <v>900</v>
          </cell>
          <cell r="T229">
            <v>13500</v>
          </cell>
          <cell r="U229">
            <v>12700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800</v>
          </cell>
          <cell r="AD229">
            <v>13500</v>
          </cell>
          <cell r="AE229">
            <v>12700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800</v>
          </cell>
          <cell r="AN229">
            <v>9450</v>
          </cell>
          <cell r="AO229">
            <v>0</v>
          </cell>
          <cell r="AP229">
            <v>9450</v>
          </cell>
          <cell r="AQ229" t="str">
            <v>스토리위즈</v>
          </cell>
          <cell r="AR229" t="str">
            <v>권용찬</v>
          </cell>
        </row>
        <row r="230">
          <cell r="N230" t="str">
            <v>블랙커피</v>
          </cell>
          <cell r="O230" t="str">
            <v>Y</v>
          </cell>
          <cell r="P230">
            <v>0.7</v>
          </cell>
          <cell r="Q230">
            <v>0.6</v>
          </cell>
          <cell r="R230" t="str">
            <v>단일 이용권</v>
          </cell>
          <cell r="S230">
            <v>100</v>
          </cell>
          <cell r="T230">
            <v>800</v>
          </cell>
          <cell r="U230">
            <v>250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550</v>
          </cell>
          <cell r="AD230">
            <v>800</v>
          </cell>
          <cell r="AE230">
            <v>250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550</v>
          </cell>
          <cell r="AN230">
            <v>560</v>
          </cell>
          <cell r="AO230">
            <v>0</v>
          </cell>
          <cell r="AP230">
            <v>560</v>
          </cell>
          <cell r="AQ230" t="str">
            <v>스토리위즈</v>
          </cell>
          <cell r="AR230" t="str">
            <v>블랙커피</v>
          </cell>
        </row>
        <row r="231">
          <cell r="N231" t="str">
            <v>블랙커피</v>
          </cell>
          <cell r="O231" t="str">
            <v>Y</v>
          </cell>
          <cell r="P231">
            <v>0.7</v>
          </cell>
          <cell r="Q231">
            <v>0.6</v>
          </cell>
          <cell r="R231" t="str">
            <v>시리즈 이용권 패키지</v>
          </cell>
          <cell r="S231">
            <v>2700</v>
          </cell>
          <cell r="T231">
            <v>-1400</v>
          </cell>
          <cell r="U231">
            <v>-1400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-1400</v>
          </cell>
          <cell r="AE231">
            <v>-1400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-980</v>
          </cell>
          <cell r="AO231">
            <v>0</v>
          </cell>
          <cell r="AP231">
            <v>-980</v>
          </cell>
          <cell r="AQ231" t="str">
            <v>스토리위즈</v>
          </cell>
          <cell r="AR231" t="str">
            <v>블랙커피</v>
          </cell>
        </row>
        <row r="232">
          <cell r="N232" t="str">
            <v>아슈크림</v>
          </cell>
          <cell r="O232" t="str">
            <v>Y</v>
          </cell>
          <cell r="P232">
            <v>0.7</v>
          </cell>
          <cell r="Q232">
            <v>0.6</v>
          </cell>
          <cell r="R232" t="str">
            <v>단일 이용권</v>
          </cell>
          <cell r="S232">
            <v>100</v>
          </cell>
          <cell r="T232">
            <v>11700</v>
          </cell>
          <cell r="U232">
            <v>9100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2600</v>
          </cell>
          <cell r="AD232">
            <v>11700</v>
          </cell>
          <cell r="AE232">
            <v>9100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2600</v>
          </cell>
          <cell r="AN232">
            <v>8190</v>
          </cell>
          <cell r="AO232">
            <v>0</v>
          </cell>
          <cell r="AP232">
            <v>8190</v>
          </cell>
          <cell r="AQ232" t="str">
            <v>스토리위즈</v>
          </cell>
          <cell r="AR232" t="str">
            <v>아슈크림</v>
          </cell>
        </row>
        <row r="233">
          <cell r="N233" t="str">
            <v>아슈크림</v>
          </cell>
          <cell r="O233" t="str">
            <v>Y</v>
          </cell>
          <cell r="P233">
            <v>0.7</v>
          </cell>
          <cell r="Q233">
            <v>0.6</v>
          </cell>
          <cell r="R233" t="str">
            <v>시리즈 이용권 패키지</v>
          </cell>
          <cell r="S233">
            <v>900</v>
          </cell>
          <cell r="T233">
            <v>11900</v>
          </cell>
          <cell r="U233">
            <v>9480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2420</v>
          </cell>
          <cell r="AD233">
            <v>11900</v>
          </cell>
          <cell r="AE233">
            <v>9480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2420</v>
          </cell>
          <cell r="AN233">
            <v>8330</v>
          </cell>
          <cell r="AO233">
            <v>0</v>
          </cell>
          <cell r="AP233">
            <v>8330</v>
          </cell>
          <cell r="AQ233" t="str">
            <v>스토리위즈</v>
          </cell>
          <cell r="AR233" t="str">
            <v>아슈크림</v>
          </cell>
        </row>
        <row r="234">
          <cell r="N234" t="str">
            <v>아슈크림</v>
          </cell>
          <cell r="O234" t="str">
            <v>Y</v>
          </cell>
          <cell r="P234">
            <v>0.7</v>
          </cell>
          <cell r="Q234">
            <v>0.6</v>
          </cell>
          <cell r="R234" t="str">
            <v>시리즈 이용권 패키지</v>
          </cell>
          <cell r="S234">
            <v>2700</v>
          </cell>
          <cell r="T234">
            <v>8100</v>
          </cell>
          <cell r="U234">
            <v>8100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8100</v>
          </cell>
          <cell r="AE234">
            <v>8100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5670</v>
          </cell>
          <cell r="AO234">
            <v>0</v>
          </cell>
          <cell r="AP234">
            <v>5670</v>
          </cell>
          <cell r="AQ234" t="str">
            <v>스토리위즈</v>
          </cell>
          <cell r="AR234" t="str">
            <v>아슈크림</v>
          </cell>
        </row>
        <row r="235">
          <cell r="N235" t="str">
            <v>권용찬</v>
          </cell>
          <cell r="O235" t="str">
            <v>Y</v>
          </cell>
          <cell r="P235">
            <v>0.7</v>
          </cell>
          <cell r="Q235">
            <v>0.6</v>
          </cell>
          <cell r="R235" t="str">
            <v>단일 이용권</v>
          </cell>
          <cell r="S235">
            <v>100</v>
          </cell>
          <cell r="T235">
            <v>200</v>
          </cell>
          <cell r="U235">
            <v>200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200</v>
          </cell>
          <cell r="AE235">
            <v>200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140</v>
          </cell>
          <cell r="AO235">
            <v>0</v>
          </cell>
          <cell r="AP235">
            <v>140</v>
          </cell>
          <cell r="AQ235" t="str">
            <v>스토리위즈</v>
          </cell>
          <cell r="AR235" t="str">
            <v>권용찬</v>
          </cell>
        </row>
        <row r="236">
          <cell r="N236" t="str">
            <v>아슈크림</v>
          </cell>
          <cell r="O236" t="str">
            <v>Y</v>
          </cell>
          <cell r="P236">
            <v>0.7</v>
          </cell>
          <cell r="Q236">
            <v>0.6</v>
          </cell>
          <cell r="R236" t="str">
            <v>시리즈 이용권 패키지</v>
          </cell>
          <cell r="S236">
            <v>4500</v>
          </cell>
          <cell r="T236">
            <v>20100</v>
          </cell>
          <cell r="U236">
            <v>20100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20100</v>
          </cell>
          <cell r="AE236">
            <v>20100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14070</v>
          </cell>
          <cell r="AO236">
            <v>0</v>
          </cell>
          <cell r="AP236">
            <v>14070</v>
          </cell>
          <cell r="AQ236" t="str">
            <v>스토리위즈</v>
          </cell>
          <cell r="AR236" t="str">
            <v>아슈크림</v>
          </cell>
        </row>
        <row r="237">
          <cell r="N237" t="str">
            <v>시무(蒔舞)</v>
          </cell>
          <cell r="O237" t="str">
            <v>Y</v>
          </cell>
          <cell r="P237">
            <v>0.7</v>
          </cell>
          <cell r="Q237">
            <v>0.6</v>
          </cell>
          <cell r="R237" t="str">
            <v>단일 이용권</v>
          </cell>
          <cell r="S237">
            <v>100</v>
          </cell>
          <cell r="T237">
            <v>300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300</v>
          </cell>
          <cell r="AD237">
            <v>300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300</v>
          </cell>
          <cell r="AN237">
            <v>210</v>
          </cell>
          <cell r="AO237">
            <v>0</v>
          </cell>
          <cell r="AP237">
            <v>210</v>
          </cell>
          <cell r="AQ237" t="str">
            <v>스토리위즈</v>
          </cell>
          <cell r="AR237" t="str">
            <v>제외</v>
          </cell>
        </row>
        <row r="238">
          <cell r="N238" t="str">
            <v>김정률</v>
          </cell>
          <cell r="O238" t="str">
            <v>Y</v>
          </cell>
          <cell r="P238">
            <v>0.7</v>
          </cell>
          <cell r="Q238">
            <v>0.6</v>
          </cell>
          <cell r="R238" t="str">
            <v>단일 이용권</v>
          </cell>
          <cell r="S238">
            <v>100</v>
          </cell>
          <cell r="T238">
            <v>103800</v>
          </cell>
          <cell r="U238">
            <v>45500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58300</v>
          </cell>
          <cell r="AD238">
            <v>103800</v>
          </cell>
          <cell r="AE238">
            <v>45500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58300</v>
          </cell>
          <cell r="AN238">
            <v>72660</v>
          </cell>
          <cell r="AO238">
            <v>0</v>
          </cell>
          <cell r="AP238">
            <v>72660</v>
          </cell>
          <cell r="AQ238" t="str">
            <v>스토리위즈</v>
          </cell>
          <cell r="AR238" t="str">
            <v>김정률</v>
          </cell>
        </row>
        <row r="239">
          <cell r="N239" t="str">
            <v>두나래</v>
          </cell>
          <cell r="O239" t="str">
            <v>Y</v>
          </cell>
          <cell r="P239">
            <v>0.7</v>
          </cell>
          <cell r="Q239">
            <v>0.6</v>
          </cell>
          <cell r="R239" t="str">
            <v>단일 이용권</v>
          </cell>
          <cell r="S239">
            <v>100</v>
          </cell>
          <cell r="T239">
            <v>105900</v>
          </cell>
          <cell r="U239">
            <v>23950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100</v>
          </cell>
          <cell r="AA239">
            <v>0</v>
          </cell>
          <cell r="AB239">
            <v>0</v>
          </cell>
          <cell r="AC239">
            <v>81850</v>
          </cell>
          <cell r="AD239">
            <v>105910</v>
          </cell>
          <cell r="AE239">
            <v>23950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110</v>
          </cell>
          <cell r="AK239">
            <v>0</v>
          </cell>
          <cell r="AL239">
            <v>0</v>
          </cell>
          <cell r="AM239">
            <v>81850</v>
          </cell>
          <cell r="AN239">
            <v>74126</v>
          </cell>
          <cell r="AO239">
            <v>0</v>
          </cell>
          <cell r="AP239">
            <v>74126</v>
          </cell>
          <cell r="AQ239" t="str">
            <v>스토리위즈</v>
          </cell>
          <cell r="AR239" t="str">
            <v>두나래</v>
          </cell>
        </row>
        <row r="240">
          <cell r="N240" t="str">
            <v>김정률</v>
          </cell>
          <cell r="O240" t="str">
            <v>Y</v>
          </cell>
          <cell r="P240">
            <v>0.7</v>
          </cell>
          <cell r="Q240">
            <v>0.6</v>
          </cell>
          <cell r="R240" t="str">
            <v>시리즈 이용권 패키지</v>
          </cell>
          <cell r="S240">
            <v>2300</v>
          </cell>
          <cell r="T240">
            <v>92000</v>
          </cell>
          <cell r="U240">
            <v>83700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8300</v>
          </cell>
          <cell r="AD240">
            <v>92000</v>
          </cell>
          <cell r="AE240">
            <v>83700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8300</v>
          </cell>
          <cell r="AN240">
            <v>64400</v>
          </cell>
          <cell r="AO240">
            <v>0</v>
          </cell>
          <cell r="AP240">
            <v>64400</v>
          </cell>
          <cell r="AQ240" t="str">
            <v>스토리위즈</v>
          </cell>
          <cell r="AR240" t="str">
            <v>김정률</v>
          </cell>
        </row>
        <row r="241">
          <cell r="N241" t="str">
            <v>한례</v>
          </cell>
          <cell r="O241" t="str">
            <v>Y</v>
          </cell>
          <cell r="P241">
            <v>0.7</v>
          </cell>
          <cell r="Q241">
            <v>0.6</v>
          </cell>
          <cell r="R241" t="str">
            <v>단일 이용권</v>
          </cell>
          <cell r="S241">
            <v>100</v>
          </cell>
          <cell r="T241">
            <v>8300</v>
          </cell>
          <cell r="U241">
            <v>4700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3600</v>
          </cell>
          <cell r="AD241">
            <v>8300</v>
          </cell>
          <cell r="AE241">
            <v>4700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3600</v>
          </cell>
          <cell r="AN241">
            <v>5810</v>
          </cell>
          <cell r="AO241">
            <v>0</v>
          </cell>
          <cell r="AP241">
            <v>5810</v>
          </cell>
          <cell r="AQ241" t="str">
            <v>스토리위즈</v>
          </cell>
          <cell r="AR241" t="str">
            <v>한례</v>
          </cell>
        </row>
        <row r="242">
          <cell r="N242" t="str">
            <v>AliceW</v>
          </cell>
          <cell r="O242" t="str">
            <v>Y</v>
          </cell>
          <cell r="P242">
            <v>0.7</v>
          </cell>
          <cell r="Q242">
            <v>0.6</v>
          </cell>
          <cell r="R242" t="str">
            <v>단일 이용권</v>
          </cell>
          <cell r="S242">
            <v>100</v>
          </cell>
          <cell r="T242">
            <v>19800</v>
          </cell>
          <cell r="U242">
            <v>11000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100</v>
          </cell>
          <cell r="AA242">
            <v>0</v>
          </cell>
          <cell r="AB242">
            <v>0</v>
          </cell>
          <cell r="AC242">
            <v>8700</v>
          </cell>
          <cell r="AD242">
            <v>19810</v>
          </cell>
          <cell r="AE242">
            <v>11000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110</v>
          </cell>
          <cell r="AK242">
            <v>0</v>
          </cell>
          <cell r="AL242">
            <v>0</v>
          </cell>
          <cell r="AM242">
            <v>8700</v>
          </cell>
          <cell r="AN242">
            <v>13856</v>
          </cell>
          <cell r="AO242">
            <v>0</v>
          </cell>
          <cell r="AP242">
            <v>13856</v>
          </cell>
          <cell r="AQ242" t="str">
            <v>스토리위즈</v>
          </cell>
          <cell r="AR242" t="str">
            <v>AliceW</v>
          </cell>
        </row>
        <row r="243">
          <cell r="N243" t="str">
            <v>두나래</v>
          </cell>
          <cell r="O243" t="str">
            <v>Y</v>
          </cell>
          <cell r="P243">
            <v>0.7</v>
          </cell>
          <cell r="Q243">
            <v>0.6</v>
          </cell>
          <cell r="R243" t="str">
            <v>시리즈 이용권 패키지</v>
          </cell>
          <cell r="S243">
            <v>1900</v>
          </cell>
          <cell r="T243">
            <v>29200</v>
          </cell>
          <cell r="U243">
            <v>17460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11740</v>
          </cell>
          <cell r="AD243">
            <v>29200</v>
          </cell>
          <cell r="AE243">
            <v>17460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11740</v>
          </cell>
          <cell r="AN243">
            <v>20440</v>
          </cell>
          <cell r="AO243">
            <v>0</v>
          </cell>
          <cell r="AP243">
            <v>20440</v>
          </cell>
          <cell r="AQ243" t="str">
            <v>스토리위즈</v>
          </cell>
          <cell r="AR243" t="str">
            <v>두나래</v>
          </cell>
        </row>
        <row r="244">
          <cell r="N244" t="str">
            <v>김정률</v>
          </cell>
          <cell r="O244" t="str">
            <v>Y</v>
          </cell>
          <cell r="P244">
            <v>0.7</v>
          </cell>
          <cell r="Q244">
            <v>0.6</v>
          </cell>
          <cell r="R244" t="str">
            <v>시리즈 이용권 패키지</v>
          </cell>
          <cell r="S244">
            <v>4500</v>
          </cell>
          <cell r="T244">
            <v>67500</v>
          </cell>
          <cell r="U244">
            <v>54800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12700</v>
          </cell>
          <cell r="AD244">
            <v>67500</v>
          </cell>
          <cell r="AE244">
            <v>54800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12700</v>
          </cell>
          <cell r="AN244">
            <v>47250</v>
          </cell>
          <cell r="AO244">
            <v>0</v>
          </cell>
          <cell r="AP244">
            <v>47250</v>
          </cell>
          <cell r="AQ244" t="str">
            <v>스토리위즈</v>
          </cell>
          <cell r="AR244" t="str">
            <v>김정률</v>
          </cell>
        </row>
        <row r="245">
          <cell r="N245" t="str">
            <v>한례</v>
          </cell>
          <cell r="O245" t="str">
            <v>Y</v>
          </cell>
          <cell r="P245">
            <v>0.7</v>
          </cell>
          <cell r="Q245">
            <v>0.6</v>
          </cell>
          <cell r="R245" t="str">
            <v>시리즈 이용권 패키지</v>
          </cell>
          <cell r="S245">
            <v>1800</v>
          </cell>
          <cell r="T245">
            <v>600</v>
          </cell>
          <cell r="U245">
            <v>600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600</v>
          </cell>
          <cell r="AE245">
            <v>600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420</v>
          </cell>
          <cell r="AO245">
            <v>0</v>
          </cell>
          <cell r="AP245">
            <v>420</v>
          </cell>
          <cell r="AQ245" t="str">
            <v>스토리위즈</v>
          </cell>
          <cell r="AR245" t="str">
            <v>한례</v>
          </cell>
        </row>
        <row r="246">
          <cell r="N246" t="str">
            <v>AliceW</v>
          </cell>
          <cell r="O246" t="str">
            <v>Y</v>
          </cell>
          <cell r="P246">
            <v>0.7</v>
          </cell>
          <cell r="Q246">
            <v>0.6</v>
          </cell>
          <cell r="R246" t="str">
            <v>시리즈 이용권 패키지</v>
          </cell>
          <cell r="S246">
            <v>1900</v>
          </cell>
          <cell r="T246">
            <v>11500</v>
          </cell>
          <cell r="U246">
            <v>11700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-200</v>
          </cell>
          <cell r="AD246">
            <v>11500</v>
          </cell>
          <cell r="AE246">
            <v>11700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-200</v>
          </cell>
          <cell r="AN246">
            <v>8050</v>
          </cell>
          <cell r="AO246">
            <v>0</v>
          </cell>
          <cell r="AP246">
            <v>8050</v>
          </cell>
          <cell r="AQ246" t="str">
            <v>스토리위즈</v>
          </cell>
          <cell r="AR246" t="str">
            <v>AliceW</v>
          </cell>
        </row>
        <row r="247">
          <cell r="N247" t="str">
            <v>두나래</v>
          </cell>
          <cell r="O247" t="str">
            <v>Y</v>
          </cell>
          <cell r="P247">
            <v>0.7</v>
          </cell>
          <cell r="Q247">
            <v>0.6</v>
          </cell>
          <cell r="R247" t="str">
            <v>시리즈 이용권 패키지</v>
          </cell>
          <cell r="S247">
            <v>3700</v>
          </cell>
          <cell r="T247">
            <v>25600</v>
          </cell>
          <cell r="U247">
            <v>17100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8500</v>
          </cell>
          <cell r="AD247">
            <v>25600</v>
          </cell>
          <cell r="AE247">
            <v>17100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8500</v>
          </cell>
          <cell r="AN247">
            <v>17920</v>
          </cell>
          <cell r="AO247">
            <v>0</v>
          </cell>
          <cell r="AP247">
            <v>17920</v>
          </cell>
          <cell r="AQ247" t="str">
            <v>스토리위즈</v>
          </cell>
          <cell r="AR247" t="str">
            <v>두나래</v>
          </cell>
        </row>
        <row r="248">
          <cell r="N248" t="str">
            <v>김정률</v>
          </cell>
          <cell r="O248" t="str">
            <v>Y</v>
          </cell>
          <cell r="P248">
            <v>0.7</v>
          </cell>
          <cell r="Q248">
            <v>0.6</v>
          </cell>
          <cell r="R248" t="str">
            <v>시리즈 이용권 패키지</v>
          </cell>
          <cell r="S248">
            <v>9000</v>
          </cell>
          <cell r="T248">
            <v>135000</v>
          </cell>
          <cell r="U248">
            <v>100200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9000</v>
          </cell>
          <cell r="AA248">
            <v>0</v>
          </cell>
          <cell r="AB248">
            <v>0</v>
          </cell>
          <cell r="AC248">
            <v>25800</v>
          </cell>
          <cell r="AD248">
            <v>135900</v>
          </cell>
          <cell r="AE248">
            <v>100200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9900</v>
          </cell>
          <cell r="AK248">
            <v>0</v>
          </cell>
          <cell r="AL248">
            <v>0</v>
          </cell>
          <cell r="AM248">
            <v>25800</v>
          </cell>
          <cell r="AN248">
            <v>94140</v>
          </cell>
          <cell r="AO248">
            <v>0</v>
          </cell>
          <cell r="AP248">
            <v>94140</v>
          </cell>
          <cell r="AQ248" t="str">
            <v>스토리위즈</v>
          </cell>
          <cell r="AR248" t="str">
            <v>김정률</v>
          </cell>
        </row>
        <row r="249">
          <cell r="N249" t="str">
            <v>한례</v>
          </cell>
          <cell r="O249" t="str">
            <v>Y</v>
          </cell>
          <cell r="P249">
            <v>0.7</v>
          </cell>
          <cell r="Q249">
            <v>0.6</v>
          </cell>
          <cell r="R249" t="str">
            <v>시리즈 이용권 패키지</v>
          </cell>
          <cell r="S249">
            <v>6300</v>
          </cell>
          <cell r="T249">
            <v>3800</v>
          </cell>
          <cell r="U249">
            <v>6380</v>
          </cell>
          <cell r="V249">
            <v>0</v>
          </cell>
          <cell r="W249">
            <v>0</v>
          </cell>
          <cell r="X249">
            <v>0</v>
          </cell>
          <cell r="Y249">
            <v>-4000</v>
          </cell>
          <cell r="Z249">
            <v>0</v>
          </cell>
          <cell r="AA249">
            <v>0</v>
          </cell>
          <cell r="AB249">
            <v>0</v>
          </cell>
          <cell r="AC249">
            <v>1420</v>
          </cell>
          <cell r="AD249">
            <v>3000</v>
          </cell>
          <cell r="AE249">
            <v>6380</v>
          </cell>
          <cell r="AF249">
            <v>0</v>
          </cell>
          <cell r="AG249">
            <v>0</v>
          </cell>
          <cell r="AH249">
            <v>0</v>
          </cell>
          <cell r="AI249">
            <v>-4800</v>
          </cell>
          <cell r="AJ249">
            <v>0</v>
          </cell>
          <cell r="AK249">
            <v>0</v>
          </cell>
          <cell r="AL249">
            <v>0</v>
          </cell>
          <cell r="AM249">
            <v>1420</v>
          </cell>
          <cell r="AN249">
            <v>2580</v>
          </cell>
          <cell r="AO249">
            <v>0</v>
          </cell>
          <cell r="AP249">
            <v>2580</v>
          </cell>
          <cell r="AQ249" t="str">
            <v>스토리위즈</v>
          </cell>
          <cell r="AR249" t="str">
            <v>한례</v>
          </cell>
        </row>
        <row r="250">
          <cell r="N250" t="str">
            <v>AliceW</v>
          </cell>
          <cell r="O250" t="str">
            <v>Y</v>
          </cell>
          <cell r="P250">
            <v>0.7</v>
          </cell>
          <cell r="Q250">
            <v>0.6</v>
          </cell>
          <cell r="R250" t="str">
            <v>시리즈 이용권 패키지</v>
          </cell>
          <cell r="S250">
            <v>4700</v>
          </cell>
          <cell r="T250">
            <v>14900</v>
          </cell>
          <cell r="U250">
            <v>14900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14900</v>
          </cell>
          <cell r="AE250">
            <v>14900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10430</v>
          </cell>
          <cell r="AO250">
            <v>0</v>
          </cell>
          <cell r="AP250">
            <v>10430</v>
          </cell>
          <cell r="AQ250" t="str">
            <v>스토리위즈</v>
          </cell>
          <cell r="AR250" t="str">
            <v>AliceW</v>
          </cell>
        </row>
        <row r="251">
          <cell r="N251" t="str">
            <v>두나래</v>
          </cell>
          <cell r="O251" t="str">
            <v>Y</v>
          </cell>
          <cell r="P251">
            <v>0.7</v>
          </cell>
          <cell r="Q251">
            <v>0.6</v>
          </cell>
          <cell r="R251" t="str">
            <v>시리즈 이용권 패키지</v>
          </cell>
          <cell r="S251">
            <v>7200</v>
          </cell>
          <cell r="T251">
            <v>41400</v>
          </cell>
          <cell r="U251">
            <v>36000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5400</v>
          </cell>
          <cell r="AD251">
            <v>41400</v>
          </cell>
          <cell r="AE251">
            <v>36000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5400</v>
          </cell>
          <cell r="AN251">
            <v>28980</v>
          </cell>
          <cell r="AO251">
            <v>0</v>
          </cell>
          <cell r="AP251">
            <v>28980</v>
          </cell>
          <cell r="AQ251" t="str">
            <v>스토리위즈</v>
          </cell>
          <cell r="AR251" t="str">
            <v>두나래</v>
          </cell>
        </row>
        <row r="252">
          <cell r="N252" t="str">
            <v>김정률</v>
          </cell>
          <cell r="O252" t="str">
            <v>Y</v>
          </cell>
          <cell r="P252">
            <v>0.7</v>
          </cell>
          <cell r="Q252">
            <v>0.6</v>
          </cell>
          <cell r="R252" t="str">
            <v>단일 이용권</v>
          </cell>
          <cell r="S252">
            <v>3200</v>
          </cell>
          <cell r="T252">
            <v>246400</v>
          </cell>
          <cell r="U252">
            <v>120600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74600</v>
          </cell>
          <cell r="AA252">
            <v>0</v>
          </cell>
          <cell r="AB252">
            <v>0</v>
          </cell>
          <cell r="AC252">
            <v>51200</v>
          </cell>
          <cell r="AD252">
            <v>253860</v>
          </cell>
          <cell r="AE252">
            <v>120600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82060</v>
          </cell>
          <cell r="AK252">
            <v>0</v>
          </cell>
          <cell r="AL252">
            <v>0</v>
          </cell>
          <cell r="AM252">
            <v>51200</v>
          </cell>
          <cell r="AN252">
            <v>169496</v>
          </cell>
          <cell r="AO252">
            <v>0</v>
          </cell>
          <cell r="AP252">
            <v>169496</v>
          </cell>
          <cell r="AQ252" t="str">
            <v>스토리위즈</v>
          </cell>
          <cell r="AR252" t="str">
            <v>김정률</v>
          </cell>
        </row>
        <row r="253">
          <cell r="N253" t="str">
            <v>스내치</v>
          </cell>
          <cell r="O253" t="str">
            <v>Y</v>
          </cell>
          <cell r="P253">
            <v>0.7</v>
          </cell>
          <cell r="Q253">
            <v>0.6</v>
          </cell>
          <cell r="R253" t="str">
            <v>단일 이용권</v>
          </cell>
          <cell r="S253">
            <v>100</v>
          </cell>
          <cell r="T253">
            <v>2500</v>
          </cell>
          <cell r="U253">
            <v>2200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300</v>
          </cell>
          <cell r="AD253">
            <v>2500</v>
          </cell>
          <cell r="AE253">
            <v>2200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300</v>
          </cell>
          <cell r="AN253">
            <v>1750</v>
          </cell>
          <cell r="AO253">
            <v>0</v>
          </cell>
          <cell r="AP253">
            <v>1750</v>
          </cell>
          <cell r="AQ253" t="str">
            <v>스토리위즈</v>
          </cell>
          <cell r="AR253" t="str">
            <v>스내치</v>
          </cell>
        </row>
        <row r="254">
          <cell r="N254" t="str">
            <v>스내치</v>
          </cell>
          <cell r="O254" t="str">
            <v>Y</v>
          </cell>
          <cell r="P254">
            <v>0.7</v>
          </cell>
          <cell r="Q254">
            <v>0.6</v>
          </cell>
          <cell r="R254" t="str">
            <v>시리즈 이용권 패키지</v>
          </cell>
          <cell r="S254">
            <v>900</v>
          </cell>
          <cell r="T254">
            <v>500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500</v>
          </cell>
          <cell r="AD254">
            <v>500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500</v>
          </cell>
          <cell r="AN254">
            <v>350</v>
          </cell>
          <cell r="AO254">
            <v>0</v>
          </cell>
          <cell r="AP254">
            <v>350</v>
          </cell>
          <cell r="AQ254" t="str">
            <v>스토리위즈</v>
          </cell>
          <cell r="AR254" t="str">
            <v>스내치</v>
          </cell>
        </row>
        <row r="255">
          <cell r="N255" t="str">
            <v>스내치</v>
          </cell>
          <cell r="O255" t="str">
            <v>Y</v>
          </cell>
          <cell r="P255">
            <v>0.7</v>
          </cell>
          <cell r="Q255">
            <v>0.6</v>
          </cell>
          <cell r="R255" t="str">
            <v>시리즈 이용권 패키지</v>
          </cell>
          <cell r="S255">
            <v>2700</v>
          </cell>
          <cell r="T255">
            <v>2700</v>
          </cell>
          <cell r="U255">
            <v>2700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2700</v>
          </cell>
          <cell r="AE255">
            <v>2700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1890</v>
          </cell>
          <cell r="AO255">
            <v>0</v>
          </cell>
          <cell r="AP255">
            <v>1890</v>
          </cell>
          <cell r="AQ255" t="str">
            <v>스토리위즈</v>
          </cell>
          <cell r="AR255" t="str">
            <v>스내치</v>
          </cell>
        </row>
        <row r="256">
          <cell r="N256" t="str">
            <v>백열음</v>
          </cell>
          <cell r="O256" t="str">
            <v>Y</v>
          </cell>
          <cell r="P256">
            <v>0.7</v>
          </cell>
          <cell r="Q256">
            <v>0.6</v>
          </cell>
          <cell r="R256" t="str">
            <v>단일 이용권</v>
          </cell>
          <cell r="S256">
            <v>100</v>
          </cell>
          <cell r="T256">
            <v>126600</v>
          </cell>
          <cell r="U256">
            <v>93580</v>
          </cell>
          <cell r="V256">
            <v>0</v>
          </cell>
          <cell r="W256">
            <v>0</v>
          </cell>
          <cell r="X256">
            <v>0</v>
          </cell>
          <cell r="Y256">
            <v>5120</v>
          </cell>
          <cell r="Z256">
            <v>1580</v>
          </cell>
          <cell r="AA256">
            <v>0</v>
          </cell>
          <cell r="AB256">
            <v>0</v>
          </cell>
          <cell r="AC256">
            <v>26320</v>
          </cell>
          <cell r="AD256">
            <v>127782</v>
          </cell>
          <cell r="AE256">
            <v>93580</v>
          </cell>
          <cell r="AF256">
            <v>0</v>
          </cell>
          <cell r="AG256">
            <v>0</v>
          </cell>
          <cell r="AH256">
            <v>0</v>
          </cell>
          <cell r="AI256">
            <v>6144</v>
          </cell>
          <cell r="AJ256">
            <v>1738</v>
          </cell>
          <cell r="AK256">
            <v>0</v>
          </cell>
          <cell r="AL256">
            <v>0</v>
          </cell>
          <cell r="AM256">
            <v>26320</v>
          </cell>
          <cell r="AN256">
            <v>88659</v>
          </cell>
          <cell r="AO256">
            <v>0</v>
          </cell>
          <cell r="AP256">
            <v>88659</v>
          </cell>
          <cell r="AQ256" t="str">
            <v>스토리위즈</v>
          </cell>
          <cell r="AR256" t="str">
            <v>백열음</v>
          </cell>
        </row>
        <row r="257">
          <cell r="N257" t="str">
            <v>백열음</v>
          </cell>
          <cell r="O257" t="str">
            <v>Y</v>
          </cell>
          <cell r="P257">
            <v>0.7</v>
          </cell>
          <cell r="Q257">
            <v>0.6</v>
          </cell>
          <cell r="R257" t="str">
            <v>시리즈 이용권 패키지</v>
          </cell>
          <cell r="S257">
            <v>1900</v>
          </cell>
          <cell r="T257">
            <v>98300</v>
          </cell>
          <cell r="U257">
            <v>85600</v>
          </cell>
          <cell r="V257">
            <v>0</v>
          </cell>
          <cell r="W257">
            <v>0</v>
          </cell>
          <cell r="X257">
            <v>0</v>
          </cell>
          <cell r="Y257">
            <v>1900</v>
          </cell>
          <cell r="Z257">
            <v>0</v>
          </cell>
          <cell r="AA257">
            <v>0</v>
          </cell>
          <cell r="AB257">
            <v>0</v>
          </cell>
          <cell r="AC257">
            <v>10800</v>
          </cell>
          <cell r="AD257">
            <v>98680</v>
          </cell>
          <cell r="AE257">
            <v>85600</v>
          </cell>
          <cell r="AF257">
            <v>0</v>
          </cell>
          <cell r="AG257">
            <v>0</v>
          </cell>
          <cell r="AH257">
            <v>0</v>
          </cell>
          <cell r="AI257">
            <v>2280</v>
          </cell>
          <cell r="AJ257">
            <v>0</v>
          </cell>
          <cell r="AK257">
            <v>0</v>
          </cell>
          <cell r="AL257">
            <v>0</v>
          </cell>
          <cell r="AM257">
            <v>10800</v>
          </cell>
          <cell r="AN257">
            <v>68848</v>
          </cell>
          <cell r="AO257">
            <v>0</v>
          </cell>
          <cell r="AP257">
            <v>68848</v>
          </cell>
          <cell r="AQ257" t="str">
            <v>스토리위즈</v>
          </cell>
          <cell r="AR257" t="str">
            <v>백열음</v>
          </cell>
        </row>
        <row r="258">
          <cell r="N258" t="str">
            <v>블랙커피</v>
          </cell>
          <cell r="O258" t="str">
            <v>Y</v>
          </cell>
          <cell r="P258">
            <v>0.7</v>
          </cell>
          <cell r="Q258">
            <v>0.6</v>
          </cell>
          <cell r="R258" t="str">
            <v>단일 이용권</v>
          </cell>
          <cell r="S258">
            <v>100</v>
          </cell>
          <cell r="T258">
            <v>13200</v>
          </cell>
          <cell r="U258">
            <v>4500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8700</v>
          </cell>
          <cell r="AD258">
            <v>13200</v>
          </cell>
          <cell r="AE258">
            <v>4500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8700</v>
          </cell>
          <cell r="AN258">
            <v>9240</v>
          </cell>
          <cell r="AO258">
            <v>0</v>
          </cell>
          <cell r="AP258">
            <v>9240</v>
          </cell>
          <cell r="AQ258" t="str">
            <v>스토리위즈</v>
          </cell>
          <cell r="AR258" t="str">
            <v>블랙커피</v>
          </cell>
        </row>
        <row r="259">
          <cell r="N259" t="str">
            <v>백열음</v>
          </cell>
          <cell r="O259" t="str">
            <v>Y</v>
          </cell>
          <cell r="P259">
            <v>0.7</v>
          </cell>
          <cell r="Q259">
            <v>0.6</v>
          </cell>
          <cell r="R259" t="str">
            <v>시리즈 이용권 패키지</v>
          </cell>
          <cell r="S259">
            <v>4700</v>
          </cell>
          <cell r="T259">
            <v>67100</v>
          </cell>
          <cell r="U259">
            <v>49500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17600</v>
          </cell>
          <cell r="AD259">
            <v>67100</v>
          </cell>
          <cell r="AE259">
            <v>49500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17600</v>
          </cell>
          <cell r="AN259">
            <v>46970</v>
          </cell>
          <cell r="AO259">
            <v>0</v>
          </cell>
          <cell r="AP259">
            <v>46970</v>
          </cell>
          <cell r="AQ259" t="str">
            <v>스토리위즈</v>
          </cell>
          <cell r="AR259" t="str">
            <v>백열음</v>
          </cell>
        </row>
        <row r="260">
          <cell r="N260" t="str">
            <v>블 루 스 카 이</v>
          </cell>
          <cell r="O260" t="str">
            <v>Y</v>
          </cell>
          <cell r="P260">
            <v>0.7</v>
          </cell>
          <cell r="Q260">
            <v>0.6</v>
          </cell>
          <cell r="R260" t="str">
            <v>단일 이용권</v>
          </cell>
          <cell r="S260">
            <v>100</v>
          </cell>
          <cell r="T260">
            <v>21600</v>
          </cell>
          <cell r="U260">
            <v>16700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4900</v>
          </cell>
          <cell r="AD260">
            <v>21600</v>
          </cell>
          <cell r="AE260">
            <v>16700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4900</v>
          </cell>
          <cell r="AN260">
            <v>15120</v>
          </cell>
          <cell r="AO260">
            <v>0</v>
          </cell>
          <cell r="AP260">
            <v>15120</v>
          </cell>
          <cell r="AQ260" t="str">
            <v>스토리위즈</v>
          </cell>
          <cell r="AR260" t="str">
            <v>블 루 스 카 이</v>
          </cell>
        </row>
        <row r="261">
          <cell r="N261" t="str">
            <v>블랙커피</v>
          </cell>
          <cell r="O261" t="str">
            <v>Y</v>
          </cell>
          <cell r="P261">
            <v>0.7</v>
          </cell>
          <cell r="Q261">
            <v>0.6</v>
          </cell>
          <cell r="R261" t="str">
            <v>시리즈 이용권 패키지</v>
          </cell>
          <cell r="S261">
            <v>900</v>
          </cell>
          <cell r="T261">
            <v>5400</v>
          </cell>
          <cell r="U261">
            <v>3600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1800</v>
          </cell>
          <cell r="AD261">
            <v>5400</v>
          </cell>
          <cell r="AE261">
            <v>3600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1800</v>
          </cell>
          <cell r="AN261">
            <v>3780</v>
          </cell>
          <cell r="AO261">
            <v>0</v>
          </cell>
          <cell r="AP261">
            <v>3780</v>
          </cell>
          <cell r="AQ261" t="str">
            <v>스토리위즈</v>
          </cell>
          <cell r="AR261" t="str">
            <v>블랙커피</v>
          </cell>
        </row>
        <row r="262">
          <cell r="N262" t="str">
            <v>백열음</v>
          </cell>
          <cell r="O262" t="str">
            <v>Y</v>
          </cell>
          <cell r="P262">
            <v>0.7</v>
          </cell>
          <cell r="Q262">
            <v>0.6</v>
          </cell>
          <cell r="R262" t="str">
            <v>시리즈 이용권 패키지</v>
          </cell>
          <cell r="S262">
            <v>9200</v>
          </cell>
          <cell r="T262">
            <v>46200</v>
          </cell>
          <cell r="U262">
            <v>43500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2700</v>
          </cell>
          <cell r="AD262">
            <v>46200</v>
          </cell>
          <cell r="AE262">
            <v>43500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2700</v>
          </cell>
          <cell r="AN262">
            <v>32340</v>
          </cell>
          <cell r="AO262">
            <v>0</v>
          </cell>
          <cell r="AP262">
            <v>32340</v>
          </cell>
          <cell r="AQ262" t="str">
            <v>스토리위즈</v>
          </cell>
          <cell r="AR262" t="str">
            <v>백열음</v>
          </cell>
        </row>
        <row r="263">
          <cell r="N263" t="str">
            <v>블 루 스 카 이</v>
          </cell>
          <cell r="O263" t="str">
            <v>Y</v>
          </cell>
          <cell r="P263">
            <v>0.7</v>
          </cell>
          <cell r="Q263">
            <v>0.6</v>
          </cell>
          <cell r="R263" t="str">
            <v>시리즈 이용권 패키지</v>
          </cell>
          <cell r="S263">
            <v>900</v>
          </cell>
          <cell r="T263">
            <v>9100</v>
          </cell>
          <cell r="U263">
            <v>8100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1000</v>
          </cell>
          <cell r="AD263">
            <v>9100</v>
          </cell>
          <cell r="AE263">
            <v>8100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1000</v>
          </cell>
          <cell r="AN263">
            <v>6370</v>
          </cell>
          <cell r="AO263">
            <v>0</v>
          </cell>
          <cell r="AP263">
            <v>6370</v>
          </cell>
          <cell r="AQ263" t="str">
            <v>스토리위즈</v>
          </cell>
          <cell r="AR263" t="str">
            <v>블 루 스 카 이</v>
          </cell>
        </row>
        <row r="264">
          <cell r="N264" t="str">
            <v>권용찬</v>
          </cell>
          <cell r="O264" t="str">
            <v>Y</v>
          </cell>
          <cell r="P264">
            <v>0.7</v>
          </cell>
          <cell r="Q264">
            <v>0.6</v>
          </cell>
          <cell r="R264" t="str">
            <v>단일 이용권</v>
          </cell>
          <cell r="S264">
            <v>100</v>
          </cell>
          <cell r="T264">
            <v>1900</v>
          </cell>
          <cell r="U264">
            <v>1000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900</v>
          </cell>
          <cell r="AD264">
            <v>1900</v>
          </cell>
          <cell r="AE264">
            <v>1000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900</v>
          </cell>
          <cell r="AN264">
            <v>1330</v>
          </cell>
          <cell r="AO264">
            <v>0</v>
          </cell>
          <cell r="AP264">
            <v>1330</v>
          </cell>
          <cell r="AQ264" t="str">
            <v>스토리위즈</v>
          </cell>
          <cell r="AR264" t="str">
            <v>권용찬</v>
          </cell>
        </row>
        <row r="265">
          <cell r="N265" t="str">
            <v>블 루 스 카 이</v>
          </cell>
          <cell r="O265" t="str">
            <v>Y</v>
          </cell>
          <cell r="P265">
            <v>0.7</v>
          </cell>
          <cell r="Q265">
            <v>0.6</v>
          </cell>
          <cell r="R265" t="str">
            <v>시리즈 이용권 패키지</v>
          </cell>
          <cell r="S265">
            <v>2700</v>
          </cell>
          <cell r="T265">
            <v>16300</v>
          </cell>
          <cell r="U265">
            <v>15800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500</v>
          </cell>
          <cell r="AD265">
            <v>16300</v>
          </cell>
          <cell r="AE265">
            <v>15800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500</v>
          </cell>
          <cell r="AN265">
            <v>11410</v>
          </cell>
          <cell r="AO265">
            <v>0</v>
          </cell>
          <cell r="AP265">
            <v>11410</v>
          </cell>
          <cell r="AQ265" t="str">
            <v>스토리위즈</v>
          </cell>
          <cell r="AR265" t="str">
            <v>블 루 스 카 이</v>
          </cell>
        </row>
        <row r="266">
          <cell r="N266" t="str">
            <v>블 루 스 카 이</v>
          </cell>
          <cell r="O266" t="str">
            <v>Y</v>
          </cell>
          <cell r="P266">
            <v>0.7</v>
          </cell>
          <cell r="Q266">
            <v>0.6</v>
          </cell>
          <cell r="R266" t="str">
            <v>시리즈 이용권 패키지</v>
          </cell>
          <cell r="S266">
            <v>4500</v>
          </cell>
          <cell r="T266">
            <v>13500</v>
          </cell>
          <cell r="U266">
            <v>13500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13500</v>
          </cell>
          <cell r="AE266">
            <v>13500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9450</v>
          </cell>
          <cell r="AO266">
            <v>0</v>
          </cell>
          <cell r="AP266">
            <v>9450</v>
          </cell>
          <cell r="AQ266" t="str">
            <v>스토리위즈</v>
          </cell>
          <cell r="AR266" t="str">
            <v>블 루 스 카 이</v>
          </cell>
        </row>
        <row r="267">
          <cell r="N267" t="str">
            <v>먼나무</v>
          </cell>
          <cell r="O267" t="str">
            <v>Y</v>
          </cell>
          <cell r="P267">
            <v>0.7</v>
          </cell>
          <cell r="Q267">
            <v>0.6</v>
          </cell>
          <cell r="R267" t="str">
            <v>단일 이용권</v>
          </cell>
          <cell r="S267">
            <v>2000</v>
          </cell>
          <cell r="T267">
            <v>4000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4000</v>
          </cell>
          <cell r="AD267">
            <v>4000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4000</v>
          </cell>
          <cell r="AN267">
            <v>2800</v>
          </cell>
          <cell r="AO267">
            <v>0</v>
          </cell>
          <cell r="AP267">
            <v>2800</v>
          </cell>
          <cell r="AQ267" t="str">
            <v>스토리위즈</v>
          </cell>
          <cell r="AR267" t="str">
            <v>먼나무</v>
          </cell>
        </row>
        <row r="268">
          <cell r="N268" t="str">
            <v>테레자</v>
          </cell>
          <cell r="O268" t="str">
            <v>Y</v>
          </cell>
          <cell r="P268">
            <v>0.7</v>
          </cell>
          <cell r="Q268">
            <v>0.6</v>
          </cell>
          <cell r="R268" t="str">
            <v>시리즈 이용권 패키지</v>
          </cell>
          <cell r="S268">
            <v>900</v>
          </cell>
          <cell r="T268">
            <v>900</v>
          </cell>
          <cell r="U268">
            <v>900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900</v>
          </cell>
          <cell r="AE268">
            <v>900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630</v>
          </cell>
          <cell r="AO268">
            <v>0</v>
          </cell>
          <cell r="AP268">
            <v>630</v>
          </cell>
          <cell r="AQ268" t="str">
            <v>스토리위즈</v>
          </cell>
          <cell r="AR268" t="str">
            <v>테레자</v>
          </cell>
        </row>
        <row r="269">
          <cell r="N269" t="str">
            <v>테레자</v>
          </cell>
          <cell r="O269" t="str">
            <v>Y</v>
          </cell>
          <cell r="P269">
            <v>0.7</v>
          </cell>
          <cell r="Q269">
            <v>0.6</v>
          </cell>
          <cell r="R269" t="str">
            <v>시리즈 이용권 패키지</v>
          </cell>
          <cell r="S269">
            <v>2700</v>
          </cell>
          <cell r="T269">
            <v>2700</v>
          </cell>
          <cell r="U269">
            <v>2700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2700</v>
          </cell>
          <cell r="AE269">
            <v>2700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1890</v>
          </cell>
          <cell r="AO269">
            <v>0</v>
          </cell>
          <cell r="AP269">
            <v>1890</v>
          </cell>
          <cell r="AQ269" t="str">
            <v>스토리위즈</v>
          </cell>
          <cell r="AR269" t="str">
            <v>테레자</v>
          </cell>
        </row>
        <row r="270">
          <cell r="N270" t="str">
            <v>스내치</v>
          </cell>
          <cell r="O270" t="str">
            <v>Y</v>
          </cell>
          <cell r="P270">
            <v>0.7</v>
          </cell>
          <cell r="Q270">
            <v>0.6</v>
          </cell>
          <cell r="R270" t="str">
            <v>단일 이용권</v>
          </cell>
          <cell r="S270">
            <v>100</v>
          </cell>
          <cell r="T270">
            <v>2200</v>
          </cell>
          <cell r="U270">
            <v>1600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600</v>
          </cell>
          <cell r="AD270">
            <v>2200</v>
          </cell>
          <cell r="AE270">
            <v>1600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600</v>
          </cell>
          <cell r="AN270">
            <v>1540</v>
          </cell>
          <cell r="AO270">
            <v>0</v>
          </cell>
          <cell r="AP270">
            <v>1540</v>
          </cell>
          <cell r="AQ270" t="str">
            <v>스토리위즈</v>
          </cell>
          <cell r="AR270" t="str">
            <v>스내치</v>
          </cell>
        </row>
        <row r="271">
          <cell r="N271" t="str">
            <v>윤비밀</v>
          </cell>
          <cell r="O271" t="str">
            <v>Y</v>
          </cell>
          <cell r="P271">
            <v>0.7</v>
          </cell>
          <cell r="Q271">
            <v>0.6</v>
          </cell>
          <cell r="R271" t="str">
            <v>단일 이용권</v>
          </cell>
          <cell r="S271">
            <v>100</v>
          </cell>
          <cell r="T271">
            <v>8700</v>
          </cell>
          <cell r="U271">
            <v>7700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1000</v>
          </cell>
          <cell r="AD271">
            <v>8700</v>
          </cell>
          <cell r="AE271">
            <v>7700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1000</v>
          </cell>
          <cell r="AN271">
            <v>6090</v>
          </cell>
          <cell r="AO271">
            <v>0</v>
          </cell>
          <cell r="AP271">
            <v>6090</v>
          </cell>
          <cell r="AQ271" t="str">
            <v>스토리위즈</v>
          </cell>
          <cell r="AR271" t="str">
            <v>윤비밀</v>
          </cell>
        </row>
        <row r="272">
          <cell r="N272" t="str">
            <v>스내치</v>
          </cell>
          <cell r="O272" t="str">
            <v>Y</v>
          </cell>
          <cell r="P272">
            <v>0.7</v>
          </cell>
          <cell r="Q272">
            <v>0.6</v>
          </cell>
          <cell r="R272" t="str">
            <v>시리즈 이용권 패키지</v>
          </cell>
          <cell r="S272">
            <v>900</v>
          </cell>
          <cell r="T272">
            <v>6300</v>
          </cell>
          <cell r="U272">
            <v>900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5400</v>
          </cell>
          <cell r="AD272">
            <v>6300</v>
          </cell>
          <cell r="AE272">
            <v>900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5400</v>
          </cell>
          <cell r="AN272">
            <v>4410</v>
          </cell>
          <cell r="AO272">
            <v>0</v>
          </cell>
          <cell r="AP272">
            <v>4410</v>
          </cell>
          <cell r="AQ272" t="str">
            <v>스토리위즈</v>
          </cell>
          <cell r="AR272" t="str">
            <v>스내치</v>
          </cell>
        </row>
        <row r="273">
          <cell r="N273" t="str">
            <v>윤비밀</v>
          </cell>
          <cell r="O273" t="str">
            <v>Y</v>
          </cell>
          <cell r="P273">
            <v>0.7</v>
          </cell>
          <cell r="Q273">
            <v>0.6</v>
          </cell>
          <cell r="R273" t="str">
            <v>시리즈 이용권 패키지</v>
          </cell>
          <cell r="S273">
            <v>7400</v>
          </cell>
          <cell r="T273">
            <v>14800</v>
          </cell>
          <cell r="U273">
            <v>14800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14800</v>
          </cell>
          <cell r="AE273">
            <v>14800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10360</v>
          </cell>
          <cell r="AO273">
            <v>0</v>
          </cell>
          <cell r="AP273">
            <v>10360</v>
          </cell>
          <cell r="AQ273" t="str">
            <v>스토리위즈</v>
          </cell>
          <cell r="AR273" t="str">
            <v>윤비밀</v>
          </cell>
        </row>
        <row r="274">
          <cell r="N274" t="str">
            <v>스내치</v>
          </cell>
          <cell r="O274" t="str">
            <v>Y</v>
          </cell>
          <cell r="P274">
            <v>0.7</v>
          </cell>
          <cell r="Q274">
            <v>0.6</v>
          </cell>
          <cell r="R274" t="str">
            <v>시리즈 이용권 패키지</v>
          </cell>
          <cell r="S274">
            <v>2700</v>
          </cell>
          <cell r="T274">
            <v>2700</v>
          </cell>
          <cell r="U274">
            <v>2200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500</v>
          </cell>
          <cell r="AD274">
            <v>2700</v>
          </cell>
          <cell r="AE274">
            <v>2200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500</v>
          </cell>
          <cell r="AN274">
            <v>1890</v>
          </cell>
          <cell r="AO274">
            <v>0</v>
          </cell>
          <cell r="AP274">
            <v>1890</v>
          </cell>
          <cell r="AQ274" t="str">
            <v>스토리위즈</v>
          </cell>
          <cell r="AR274" t="str">
            <v>스내치</v>
          </cell>
        </row>
        <row r="275">
          <cell r="N275" t="str">
            <v>스내치</v>
          </cell>
          <cell r="O275" t="str">
            <v>Y</v>
          </cell>
          <cell r="P275">
            <v>0.7</v>
          </cell>
          <cell r="Q275">
            <v>0.6</v>
          </cell>
          <cell r="R275" t="str">
            <v>시리즈 이용권 패키지</v>
          </cell>
          <cell r="S275">
            <v>4500</v>
          </cell>
          <cell r="T275">
            <v>4500</v>
          </cell>
          <cell r="U275">
            <v>4500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4500</v>
          </cell>
          <cell r="AE275">
            <v>4500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3150</v>
          </cell>
          <cell r="AO275">
            <v>0</v>
          </cell>
          <cell r="AP275">
            <v>3150</v>
          </cell>
          <cell r="AQ275" t="str">
            <v>스토리위즈</v>
          </cell>
          <cell r="AR275" t="str">
            <v>스내치</v>
          </cell>
        </row>
        <row r="276">
          <cell r="N276" t="str">
            <v>차홍주</v>
          </cell>
          <cell r="O276" t="str">
            <v>Y</v>
          </cell>
          <cell r="P276">
            <v>0.7</v>
          </cell>
          <cell r="Q276">
            <v>0.6</v>
          </cell>
          <cell r="R276" t="str">
            <v>단일 이용권</v>
          </cell>
          <cell r="S276">
            <v>100</v>
          </cell>
          <cell r="T276">
            <v>32400</v>
          </cell>
          <cell r="U276">
            <v>12540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19860</v>
          </cell>
          <cell r="AD276">
            <v>32400</v>
          </cell>
          <cell r="AE276">
            <v>12540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19860</v>
          </cell>
          <cell r="AN276">
            <v>22680</v>
          </cell>
          <cell r="AO276">
            <v>0</v>
          </cell>
          <cell r="AP276">
            <v>22680</v>
          </cell>
          <cell r="AQ276" t="str">
            <v>스토리위즈</v>
          </cell>
          <cell r="AR276" t="str">
            <v>차홍주</v>
          </cell>
        </row>
        <row r="277">
          <cell r="N277" t="str">
            <v>차홍주</v>
          </cell>
          <cell r="O277" t="str">
            <v>Y</v>
          </cell>
          <cell r="P277">
            <v>0.7</v>
          </cell>
          <cell r="Q277">
            <v>0.6</v>
          </cell>
          <cell r="R277" t="str">
            <v>시리즈 이용권 패키지</v>
          </cell>
          <cell r="S277">
            <v>900</v>
          </cell>
          <cell r="T277">
            <v>45500</v>
          </cell>
          <cell r="U277">
            <v>30100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1800</v>
          </cell>
          <cell r="AA277">
            <v>0</v>
          </cell>
          <cell r="AB277">
            <v>0</v>
          </cell>
          <cell r="AC277">
            <v>13600</v>
          </cell>
          <cell r="AD277">
            <v>45680</v>
          </cell>
          <cell r="AE277">
            <v>30100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1980</v>
          </cell>
          <cell r="AK277">
            <v>0</v>
          </cell>
          <cell r="AL277">
            <v>0</v>
          </cell>
          <cell r="AM277">
            <v>13600</v>
          </cell>
          <cell r="AN277">
            <v>31778</v>
          </cell>
          <cell r="AO277">
            <v>0</v>
          </cell>
          <cell r="AP277">
            <v>31778</v>
          </cell>
          <cell r="AQ277" t="str">
            <v>스토리위즈</v>
          </cell>
          <cell r="AR277" t="str">
            <v>차홍주</v>
          </cell>
        </row>
        <row r="278">
          <cell r="N278" t="str">
            <v>권용찬</v>
          </cell>
          <cell r="O278" t="str">
            <v>Y</v>
          </cell>
          <cell r="P278">
            <v>0.7</v>
          </cell>
          <cell r="Q278">
            <v>0.6</v>
          </cell>
          <cell r="R278" t="str">
            <v>단일 이용권</v>
          </cell>
          <cell r="S278">
            <v>100</v>
          </cell>
          <cell r="T278">
            <v>13500</v>
          </cell>
          <cell r="U278">
            <v>2700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10800</v>
          </cell>
          <cell r="AD278">
            <v>13500</v>
          </cell>
          <cell r="AE278">
            <v>2700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10800</v>
          </cell>
          <cell r="AN278">
            <v>9450</v>
          </cell>
          <cell r="AO278">
            <v>0</v>
          </cell>
          <cell r="AP278">
            <v>9450</v>
          </cell>
          <cell r="AQ278" t="str">
            <v>스토리위즈</v>
          </cell>
          <cell r="AR278" t="str">
            <v>권용찬</v>
          </cell>
        </row>
        <row r="279">
          <cell r="N279" t="str">
            <v>차홍주</v>
          </cell>
          <cell r="O279" t="str">
            <v>Y</v>
          </cell>
          <cell r="P279">
            <v>0.7</v>
          </cell>
          <cell r="Q279">
            <v>0.6</v>
          </cell>
          <cell r="R279" t="str">
            <v>시리즈 이용권 패키지</v>
          </cell>
          <cell r="S279">
            <v>2700</v>
          </cell>
          <cell r="T279">
            <v>13300</v>
          </cell>
          <cell r="U279">
            <v>10600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1700</v>
          </cell>
          <cell r="AA279">
            <v>0</v>
          </cell>
          <cell r="AB279">
            <v>0</v>
          </cell>
          <cell r="AC279">
            <v>1000</v>
          </cell>
          <cell r="AD279">
            <v>13470</v>
          </cell>
          <cell r="AE279">
            <v>10600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1870</v>
          </cell>
          <cell r="AK279">
            <v>0</v>
          </cell>
          <cell r="AL279">
            <v>0</v>
          </cell>
          <cell r="AM279">
            <v>1000</v>
          </cell>
          <cell r="AN279">
            <v>9242</v>
          </cell>
          <cell r="AO279">
            <v>0</v>
          </cell>
          <cell r="AP279">
            <v>9242</v>
          </cell>
          <cell r="AQ279" t="str">
            <v>스토리위즈</v>
          </cell>
          <cell r="AR279" t="str">
            <v>차홍주</v>
          </cell>
        </row>
        <row r="280">
          <cell r="N280" t="str">
            <v>권용찬</v>
          </cell>
          <cell r="O280" t="str">
            <v>Y</v>
          </cell>
          <cell r="P280">
            <v>0.7</v>
          </cell>
          <cell r="Q280">
            <v>0.6</v>
          </cell>
          <cell r="R280" t="str">
            <v>시리즈 이용권 패키지</v>
          </cell>
          <cell r="S280">
            <v>6800</v>
          </cell>
          <cell r="T280">
            <v>6800</v>
          </cell>
          <cell r="U280">
            <v>6800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6800</v>
          </cell>
          <cell r="AE280">
            <v>6800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4760</v>
          </cell>
          <cell r="AO280">
            <v>0</v>
          </cell>
          <cell r="AP280">
            <v>4760</v>
          </cell>
          <cell r="AQ280" t="str">
            <v>스토리위즈</v>
          </cell>
          <cell r="AR280" t="str">
            <v>권용찬</v>
          </cell>
        </row>
        <row r="281">
          <cell r="N281" t="str">
            <v>차홍주</v>
          </cell>
          <cell r="O281" t="str">
            <v>Y</v>
          </cell>
          <cell r="P281">
            <v>0.7</v>
          </cell>
          <cell r="Q281">
            <v>0.6</v>
          </cell>
          <cell r="R281" t="str">
            <v>시리즈 이용권 패키지</v>
          </cell>
          <cell r="S281">
            <v>4500</v>
          </cell>
          <cell r="T281">
            <v>41500</v>
          </cell>
          <cell r="U281">
            <v>40600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900</v>
          </cell>
          <cell r="AD281">
            <v>41500</v>
          </cell>
          <cell r="AE281">
            <v>40600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900</v>
          </cell>
          <cell r="AN281">
            <v>29050</v>
          </cell>
          <cell r="AO281">
            <v>0</v>
          </cell>
          <cell r="AP281">
            <v>29050</v>
          </cell>
          <cell r="AQ281" t="str">
            <v>스토리위즈</v>
          </cell>
          <cell r="AR281" t="str">
            <v>차홍주</v>
          </cell>
        </row>
        <row r="282">
          <cell r="N282" t="str">
            <v>레드트러블</v>
          </cell>
          <cell r="O282" t="str">
            <v>Y</v>
          </cell>
          <cell r="P282">
            <v>0.7</v>
          </cell>
          <cell r="Q282">
            <v>0.6</v>
          </cell>
          <cell r="R282" t="str">
            <v>단일 이용권</v>
          </cell>
          <cell r="S282">
            <v>100</v>
          </cell>
          <cell r="T282">
            <v>2200</v>
          </cell>
          <cell r="U282">
            <v>2000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200</v>
          </cell>
          <cell r="AD282">
            <v>2200</v>
          </cell>
          <cell r="AE282">
            <v>2000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200</v>
          </cell>
          <cell r="AN282">
            <v>1540</v>
          </cell>
          <cell r="AO282">
            <v>0</v>
          </cell>
          <cell r="AP282">
            <v>1540</v>
          </cell>
          <cell r="AQ282" t="str">
            <v>스토리위즈</v>
          </cell>
          <cell r="AR282" t="str">
            <v>레드트러블</v>
          </cell>
        </row>
        <row r="283">
          <cell r="N283" t="str">
            <v>스내치</v>
          </cell>
          <cell r="O283" t="str">
            <v>Y</v>
          </cell>
          <cell r="P283">
            <v>0.7</v>
          </cell>
          <cell r="Q283">
            <v>0.6</v>
          </cell>
          <cell r="R283" t="str">
            <v>단일 이용권</v>
          </cell>
          <cell r="S283">
            <v>100</v>
          </cell>
          <cell r="T283">
            <v>2700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800</v>
          </cell>
          <cell r="AA283">
            <v>0</v>
          </cell>
          <cell r="AB283">
            <v>0</v>
          </cell>
          <cell r="AC283">
            <v>1900</v>
          </cell>
          <cell r="AD283">
            <v>2780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880</v>
          </cell>
          <cell r="AK283">
            <v>0</v>
          </cell>
          <cell r="AL283">
            <v>0</v>
          </cell>
          <cell r="AM283">
            <v>1900</v>
          </cell>
          <cell r="AN283">
            <v>1858</v>
          </cell>
          <cell r="AO283">
            <v>0</v>
          </cell>
          <cell r="AP283">
            <v>1858</v>
          </cell>
          <cell r="AQ283" t="str">
            <v>스토리위즈</v>
          </cell>
          <cell r="AR283" t="str">
            <v>스내치</v>
          </cell>
        </row>
        <row r="284">
          <cell r="N284" t="str">
            <v>레드트러블</v>
          </cell>
          <cell r="O284" t="str">
            <v>Y</v>
          </cell>
          <cell r="P284">
            <v>0.7</v>
          </cell>
          <cell r="Q284">
            <v>0.6</v>
          </cell>
          <cell r="R284" t="str">
            <v>시리즈 이용권 패키지</v>
          </cell>
          <cell r="S284">
            <v>900</v>
          </cell>
          <cell r="T284">
            <v>1800</v>
          </cell>
          <cell r="U284">
            <v>900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900</v>
          </cell>
          <cell r="AD284">
            <v>1800</v>
          </cell>
          <cell r="AE284">
            <v>900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900</v>
          </cell>
          <cell r="AN284">
            <v>1260</v>
          </cell>
          <cell r="AO284">
            <v>0</v>
          </cell>
          <cell r="AP284">
            <v>1260</v>
          </cell>
          <cell r="AQ284" t="str">
            <v>스토리위즈</v>
          </cell>
          <cell r="AR284" t="str">
            <v>레드트러블</v>
          </cell>
        </row>
        <row r="285">
          <cell r="N285" t="str">
            <v>스내치</v>
          </cell>
          <cell r="O285" t="str">
            <v>Y</v>
          </cell>
          <cell r="P285">
            <v>0.7</v>
          </cell>
          <cell r="Q285">
            <v>0.6</v>
          </cell>
          <cell r="R285" t="str">
            <v>시리즈 이용권 패키지</v>
          </cell>
          <cell r="S285">
            <v>900</v>
          </cell>
          <cell r="T285">
            <v>400</v>
          </cell>
          <cell r="U285">
            <v>-500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900</v>
          </cell>
          <cell r="AD285">
            <v>400</v>
          </cell>
          <cell r="AE285">
            <v>-500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900</v>
          </cell>
          <cell r="AN285">
            <v>280</v>
          </cell>
          <cell r="AO285">
            <v>0</v>
          </cell>
          <cell r="AP285">
            <v>280</v>
          </cell>
          <cell r="AQ285" t="str">
            <v>스토리위즈</v>
          </cell>
          <cell r="AR285" t="str">
            <v>스내치</v>
          </cell>
        </row>
        <row r="286">
          <cell r="N286" t="str">
            <v>권용찬</v>
          </cell>
          <cell r="O286" t="str">
            <v>Y</v>
          </cell>
          <cell r="P286">
            <v>0.7</v>
          </cell>
          <cell r="Q286">
            <v>0.6</v>
          </cell>
          <cell r="R286" t="str">
            <v>단일 이용권</v>
          </cell>
          <cell r="S286">
            <v>100</v>
          </cell>
          <cell r="T286">
            <v>25400</v>
          </cell>
          <cell r="U286">
            <v>9000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16400</v>
          </cell>
          <cell r="AD286">
            <v>25400</v>
          </cell>
          <cell r="AE286">
            <v>9000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16400</v>
          </cell>
          <cell r="AN286">
            <v>17780</v>
          </cell>
          <cell r="AO286">
            <v>0</v>
          </cell>
          <cell r="AP286">
            <v>17780</v>
          </cell>
          <cell r="AQ286" t="str">
            <v>스토리위즈</v>
          </cell>
          <cell r="AR286" t="str">
            <v>권용찬</v>
          </cell>
        </row>
        <row r="287">
          <cell r="N287" t="str">
            <v>스내치</v>
          </cell>
          <cell r="O287" t="str">
            <v>Y</v>
          </cell>
          <cell r="P287">
            <v>0.7</v>
          </cell>
          <cell r="Q287">
            <v>0.6</v>
          </cell>
          <cell r="R287" t="str">
            <v>시리즈 이용권 패키지</v>
          </cell>
          <cell r="S287">
            <v>1800</v>
          </cell>
          <cell r="T287">
            <v>1800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1800</v>
          </cell>
          <cell r="AD287">
            <v>1800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1800</v>
          </cell>
          <cell r="AN287">
            <v>1260</v>
          </cell>
          <cell r="AO287">
            <v>0</v>
          </cell>
          <cell r="AP287">
            <v>1260</v>
          </cell>
          <cell r="AQ287" t="str">
            <v>스토리위즈</v>
          </cell>
          <cell r="AR287" t="str">
            <v>스내치</v>
          </cell>
        </row>
        <row r="288">
          <cell r="N288" t="str">
            <v>엘리신</v>
          </cell>
          <cell r="O288" t="str">
            <v>Y</v>
          </cell>
          <cell r="P288">
            <v>0.7</v>
          </cell>
          <cell r="Q288">
            <v>0.6</v>
          </cell>
          <cell r="R288" t="str">
            <v>단일 이용권</v>
          </cell>
          <cell r="S288">
            <v>100</v>
          </cell>
          <cell r="T288">
            <v>1500</v>
          </cell>
          <cell r="U288">
            <v>500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500</v>
          </cell>
          <cell r="AA288">
            <v>0</v>
          </cell>
          <cell r="AB288">
            <v>0</v>
          </cell>
          <cell r="AC288">
            <v>500</v>
          </cell>
          <cell r="AD288">
            <v>1550</v>
          </cell>
          <cell r="AE288">
            <v>500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550</v>
          </cell>
          <cell r="AK288">
            <v>0</v>
          </cell>
          <cell r="AL288">
            <v>0</v>
          </cell>
          <cell r="AM288">
            <v>500</v>
          </cell>
          <cell r="AN288">
            <v>1030</v>
          </cell>
          <cell r="AO288">
            <v>0</v>
          </cell>
          <cell r="AP288">
            <v>1030</v>
          </cell>
          <cell r="AQ288" t="str">
            <v>스토리위즈</v>
          </cell>
          <cell r="AR288" t="str">
            <v>엘리신</v>
          </cell>
        </row>
        <row r="289">
          <cell r="N289" t="str">
            <v>진숙</v>
          </cell>
          <cell r="O289" t="str">
            <v>Y</v>
          </cell>
          <cell r="P289">
            <v>0.7</v>
          </cell>
          <cell r="Q289">
            <v>0.6</v>
          </cell>
          <cell r="R289" t="str">
            <v>단일 이용권</v>
          </cell>
          <cell r="S289">
            <v>100</v>
          </cell>
          <cell r="T289">
            <v>3500</v>
          </cell>
          <cell r="U289">
            <v>2900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400</v>
          </cell>
          <cell r="AA289">
            <v>0</v>
          </cell>
          <cell r="AB289">
            <v>0</v>
          </cell>
          <cell r="AC289">
            <v>200</v>
          </cell>
          <cell r="AD289">
            <v>3540</v>
          </cell>
          <cell r="AE289">
            <v>2900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440</v>
          </cell>
          <cell r="AK289">
            <v>0</v>
          </cell>
          <cell r="AL289">
            <v>0</v>
          </cell>
          <cell r="AM289">
            <v>200</v>
          </cell>
          <cell r="AN289">
            <v>2434</v>
          </cell>
          <cell r="AO289">
            <v>0</v>
          </cell>
          <cell r="AP289">
            <v>2434</v>
          </cell>
          <cell r="AQ289" t="str">
            <v>스토리위즈</v>
          </cell>
          <cell r="AR289" t="str">
            <v>진숙</v>
          </cell>
        </row>
        <row r="290">
          <cell r="N290" t="str">
            <v>권용찬</v>
          </cell>
          <cell r="O290" t="str">
            <v>Y</v>
          </cell>
          <cell r="P290">
            <v>0.7</v>
          </cell>
          <cell r="Q290">
            <v>0.6</v>
          </cell>
          <cell r="R290" t="str">
            <v>시리즈 이용권 패키지</v>
          </cell>
          <cell r="S290">
            <v>2300</v>
          </cell>
          <cell r="T290">
            <v>5400</v>
          </cell>
          <cell r="U290">
            <v>5600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-200</v>
          </cell>
          <cell r="AD290">
            <v>5400</v>
          </cell>
          <cell r="AE290">
            <v>5600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-200</v>
          </cell>
          <cell r="AN290">
            <v>3780</v>
          </cell>
          <cell r="AO290">
            <v>0</v>
          </cell>
          <cell r="AP290">
            <v>3780</v>
          </cell>
          <cell r="AQ290" t="str">
            <v>스토리위즈</v>
          </cell>
          <cell r="AR290" t="str">
            <v>권용찬</v>
          </cell>
        </row>
        <row r="291">
          <cell r="N291" t="str">
            <v>스내치</v>
          </cell>
          <cell r="O291" t="str">
            <v>Y</v>
          </cell>
          <cell r="P291">
            <v>0.7</v>
          </cell>
          <cell r="Q291">
            <v>0.6</v>
          </cell>
          <cell r="R291" t="str">
            <v>시리즈 이용권 패키지</v>
          </cell>
          <cell r="S291">
            <v>2700</v>
          </cell>
          <cell r="T291">
            <v>5400</v>
          </cell>
          <cell r="U291">
            <v>500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2700</v>
          </cell>
          <cell r="AA291">
            <v>0</v>
          </cell>
          <cell r="AB291">
            <v>0</v>
          </cell>
          <cell r="AC291">
            <v>2200</v>
          </cell>
          <cell r="AD291">
            <v>5670</v>
          </cell>
          <cell r="AE291">
            <v>500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2970</v>
          </cell>
          <cell r="AK291">
            <v>0</v>
          </cell>
          <cell r="AL291">
            <v>0</v>
          </cell>
          <cell r="AM291">
            <v>2200</v>
          </cell>
          <cell r="AN291">
            <v>3672</v>
          </cell>
          <cell r="AO291">
            <v>0</v>
          </cell>
          <cell r="AP291">
            <v>3672</v>
          </cell>
          <cell r="AQ291" t="str">
            <v>스토리위즈</v>
          </cell>
          <cell r="AR291" t="str">
            <v>스내치</v>
          </cell>
        </row>
        <row r="292">
          <cell r="N292" t="str">
            <v>엘리신</v>
          </cell>
          <cell r="O292" t="str">
            <v>Y</v>
          </cell>
          <cell r="P292">
            <v>0.7</v>
          </cell>
          <cell r="Q292">
            <v>0.6</v>
          </cell>
          <cell r="R292" t="str">
            <v>시리즈 이용권 패키지</v>
          </cell>
          <cell r="S292">
            <v>900</v>
          </cell>
          <cell r="T292">
            <v>5400</v>
          </cell>
          <cell r="U292">
            <v>4500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900</v>
          </cell>
          <cell r="AA292">
            <v>0</v>
          </cell>
          <cell r="AB292">
            <v>0</v>
          </cell>
          <cell r="AC292">
            <v>0</v>
          </cell>
          <cell r="AD292">
            <v>5490</v>
          </cell>
          <cell r="AE292">
            <v>4500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990</v>
          </cell>
          <cell r="AK292">
            <v>0</v>
          </cell>
          <cell r="AL292">
            <v>0</v>
          </cell>
          <cell r="AM292">
            <v>0</v>
          </cell>
          <cell r="AN292">
            <v>3744</v>
          </cell>
          <cell r="AO292">
            <v>0</v>
          </cell>
          <cell r="AP292">
            <v>3744</v>
          </cell>
          <cell r="AQ292" t="str">
            <v>스토리위즈</v>
          </cell>
          <cell r="AR292" t="str">
            <v>엘리신</v>
          </cell>
        </row>
        <row r="293">
          <cell r="N293" t="str">
            <v>블랙커피</v>
          </cell>
          <cell r="O293" t="str">
            <v>Y</v>
          </cell>
          <cell r="P293">
            <v>0.7</v>
          </cell>
          <cell r="Q293">
            <v>0.6</v>
          </cell>
          <cell r="R293" t="str">
            <v>단일 이용권</v>
          </cell>
          <cell r="S293">
            <v>100</v>
          </cell>
          <cell r="T293">
            <v>13300</v>
          </cell>
          <cell r="U293">
            <v>9000</v>
          </cell>
          <cell r="V293">
            <v>0</v>
          </cell>
          <cell r="W293">
            <v>0</v>
          </cell>
          <cell r="X293">
            <v>0</v>
          </cell>
          <cell r="Y293">
            <v>1900</v>
          </cell>
          <cell r="Z293">
            <v>0</v>
          </cell>
          <cell r="AA293">
            <v>0</v>
          </cell>
          <cell r="AB293">
            <v>0</v>
          </cell>
          <cell r="AC293">
            <v>2400</v>
          </cell>
          <cell r="AD293">
            <v>13680</v>
          </cell>
          <cell r="AE293">
            <v>9000</v>
          </cell>
          <cell r="AF293">
            <v>0</v>
          </cell>
          <cell r="AG293">
            <v>0</v>
          </cell>
          <cell r="AH293">
            <v>0</v>
          </cell>
          <cell r="AI293">
            <v>2280</v>
          </cell>
          <cell r="AJ293">
            <v>0</v>
          </cell>
          <cell r="AK293">
            <v>0</v>
          </cell>
          <cell r="AL293">
            <v>0</v>
          </cell>
          <cell r="AM293">
            <v>2400</v>
          </cell>
          <cell r="AN293">
            <v>9348</v>
          </cell>
          <cell r="AO293">
            <v>0</v>
          </cell>
          <cell r="AP293">
            <v>9348</v>
          </cell>
          <cell r="AQ293" t="str">
            <v>스토리위즈</v>
          </cell>
          <cell r="AR293" t="str">
            <v>블랙커피</v>
          </cell>
        </row>
        <row r="294">
          <cell r="N294" t="str">
            <v>진숙</v>
          </cell>
          <cell r="O294" t="str">
            <v>Y</v>
          </cell>
          <cell r="P294">
            <v>0.7</v>
          </cell>
          <cell r="Q294">
            <v>0.6</v>
          </cell>
          <cell r="R294" t="str">
            <v>시리즈 이용권 패키지</v>
          </cell>
          <cell r="S294">
            <v>900</v>
          </cell>
          <cell r="T294">
            <v>6300</v>
          </cell>
          <cell r="U294">
            <v>6300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6300</v>
          </cell>
          <cell r="AE294">
            <v>6300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4410</v>
          </cell>
          <cell r="AO294">
            <v>0</v>
          </cell>
          <cell r="AP294">
            <v>4410</v>
          </cell>
          <cell r="AQ294" t="str">
            <v>스토리위즈</v>
          </cell>
          <cell r="AR294" t="str">
            <v>진숙</v>
          </cell>
        </row>
        <row r="295">
          <cell r="N295" t="str">
            <v>전혁</v>
          </cell>
          <cell r="O295" t="str">
            <v>Y</v>
          </cell>
          <cell r="P295">
            <v>0.7</v>
          </cell>
          <cell r="Q295">
            <v>0.6</v>
          </cell>
          <cell r="R295" t="str">
            <v>단일 이용권</v>
          </cell>
          <cell r="S295">
            <v>100</v>
          </cell>
          <cell r="T295">
            <v>30500</v>
          </cell>
          <cell r="U295">
            <v>14400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16100</v>
          </cell>
          <cell r="AD295">
            <v>30500</v>
          </cell>
          <cell r="AE295">
            <v>14400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16100</v>
          </cell>
          <cell r="AN295">
            <v>21350</v>
          </cell>
          <cell r="AO295">
            <v>0</v>
          </cell>
          <cell r="AP295">
            <v>21350</v>
          </cell>
          <cell r="AQ295" t="str">
            <v>스토리위즈</v>
          </cell>
          <cell r="AR295" t="str">
            <v>전혁</v>
          </cell>
        </row>
        <row r="296">
          <cell r="N296" t="str">
            <v>권용찬</v>
          </cell>
          <cell r="O296" t="str">
            <v>Y</v>
          </cell>
          <cell r="P296">
            <v>0.7</v>
          </cell>
          <cell r="Q296">
            <v>0.6</v>
          </cell>
          <cell r="R296" t="str">
            <v>시리즈 이용권 패키지</v>
          </cell>
          <cell r="S296">
            <v>6800</v>
          </cell>
          <cell r="T296">
            <v>-5300</v>
          </cell>
          <cell r="U296">
            <v>-5300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-5300</v>
          </cell>
          <cell r="AE296">
            <v>-5300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-3710</v>
          </cell>
          <cell r="AO296">
            <v>0</v>
          </cell>
          <cell r="AP296">
            <v>-3710</v>
          </cell>
          <cell r="AQ296" t="str">
            <v>스토리위즈</v>
          </cell>
          <cell r="AR296" t="str">
            <v>권용찬</v>
          </cell>
        </row>
        <row r="297">
          <cell r="N297" t="str">
            <v>엘리신</v>
          </cell>
          <cell r="O297" t="str">
            <v>Y</v>
          </cell>
          <cell r="P297">
            <v>0.7</v>
          </cell>
          <cell r="Q297">
            <v>0.6</v>
          </cell>
          <cell r="R297" t="str">
            <v>시리즈 이용권 패키지</v>
          </cell>
          <cell r="S297">
            <v>1800</v>
          </cell>
          <cell r="T297">
            <v>5400</v>
          </cell>
          <cell r="U297">
            <v>5400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5400</v>
          </cell>
          <cell r="AE297">
            <v>5400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3780</v>
          </cell>
          <cell r="AO297">
            <v>0</v>
          </cell>
          <cell r="AP297">
            <v>3780</v>
          </cell>
          <cell r="AQ297" t="str">
            <v>스토리위즈</v>
          </cell>
          <cell r="AR297" t="str">
            <v>엘리신</v>
          </cell>
        </row>
        <row r="298">
          <cell r="N298" t="str">
            <v>블랙커피</v>
          </cell>
          <cell r="O298" t="str">
            <v>Y</v>
          </cell>
          <cell r="P298">
            <v>0.7</v>
          </cell>
          <cell r="Q298">
            <v>0.6</v>
          </cell>
          <cell r="R298" t="str">
            <v>시리즈 이용권 패키지</v>
          </cell>
          <cell r="S298">
            <v>900</v>
          </cell>
          <cell r="T298">
            <v>3600</v>
          </cell>
          <cell r="U298">
            <v>2200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1400</v>
          </cell>
          <cell r="AD298">
            <v>3600</v>
          </cell>
          <cell r="AE298">
            <v>2200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1400</v>
          </cell>
          <cell r="AN298">
            <v>2520</v>
          </cell>
          <cell r="AO298">
            <v>0</v>
          </cell>
          <cell r="AP298">
            <v>2520</v>
          </cell>
          <cell r="AQ298" t="str">
            <v>스토리위즈</v>
          </cell>
          <cell r="AR298" t="str">
            <v>블랙커피</v>
          </cell>
        </row>
        <row r="299">
          <cell r="N299" t="str">
            <v>진숙</v>
          </cell>
          <cell r="O299" t="str">
            <v>Y</v>
          </cell>
          <cell r="P299">
            <v>0.7</v>
          </cell>
          <cell r="Q299">
            <v>0.6</v>
          </cell>
          <cell r="R299" t="str">
            <v>시리즈 이용권 패키지</v>
          </cell>
          <cell r="S299">
            <v>2700</v>
          </cell>
          <cell r="T299">
            <v>2700</v>
          </cell>
          <cell r="U299">
            <v>2700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2700</v>
          </cell>
          <cell r="AE299">
            <v>2700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1890</v>
          </cell>
          <cell r="AO299">
            <v>0</v>
          </cell>
          <cell r="AP299">
            <v>1890</v>
          </cell>
          <cell r="AQ299" t="str">
            <v>스토리위즈</v>
          </cell>
          <cell r="AR299" t="str">
            <v>진숙</v>
          </cell>
        </row>
        <row r="300">
          <cell r="N300" t="str">
            <v>김정률</v>
          </cell>
          <cell r="O300" t="str">
            <v>Y</v>
          </cell>
          <cell r="P300">
            <v>0.7</v>
          </cell>
          <cell r="Q300">
            <v>0.6</v>
          </cell>
          <cell r="R300" t="str">
            <v>단일 이용권</v>
          </cell>
          <cell r="S300">
            <v>3200</v>
          </cell>
          <cell r="T300">
            <v>35200</v>
          </cell>
          <cell r="U300">
            <v>21400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13800</v>
          </cell>
          <cell r="AD300">
            <v>35200</v>
          </cell>
          <cell r="AE300">
            <v>21400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13800</v>
          </cell>
          <cell r="AN300">
            <v>24640</v>
          </cell>
          <cell r="AO300">
            <v>0</v>
          </cell>
          <cell r="AP300">
            <v>24640</v>
          </cell>
          <cell r="AQ300" t="str">
            <v>스토리위즈</v>
          </cell>
          <cell r="AR300" t="str">
            <v>김정률</v>
          </cell>
        </row>
        <row r="301">
          <cell r="N301" t="str">
            <v>전혁</v>
          </cell>
          <cell r="O301" t="str">
            <v>Y</v>
          </cell>
          <cell r="P301">
            <v>0.7</v>
          </cell>
          <cell r="Q301">
            <v>0.6</v>
          </cell>
          <cell r="R301" t="str">
            <v>시리즈 이용권 패키지</v>
          </cell>
          <cell r="S301">
            <v>2300</v>
          </cell>
          <cell r="T301">
            <v>25600</v>
          </cell>
          <cell r="U301">
            <v>25200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400</v>
          </cell>
          <cell r="AD301">
            <v>25600</v>
          </cell>
          <cell r="AE301">
            <v>25200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400</v>
          </cell>
          <cell r="AN301">
            <v>17920</v>
          </cell>
          <cell r="AO301">
            <v>0</v>
          </cell>
          <cell r="AP301">
            <v>17920</v>
          </cell>
          <cell r="AQ301" t="str">
            <v>스토리위즈</v>
          </cell>
          <cell r="AR301" t="str">
            <v>전혁</v>
          </cell>
        </row>
        <row r="302">
          <cell r="N302" t="str">
            <v>권용찬</v>
          </cell>
          <cell r="O302" t="str">
            <v>Y</v>
          </cell>
          <cell r="P302">
            <v>0.7</v>
          </cell>
          <cell r="Q302">
            <v>0.6</v>
          </cell>
          <cell r="R302" t="str">
            <v>시리즈 이용권 패키지</v>
          </cell>
          <cell r="S302">
            <v>13500</v>
          </cell>
          <cell r="T302">
            <v>22400</v>
          </cell>
          <cell r="U302">
            <v>22400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22400</v>
          </cell>
          <cell r="AE302">
            <v>22400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15680</v>
          </cell>
          <cell r="AO302">
            <v>0</v>
          </cell>
          <cell r="AP302">
            <v>15680</v>
          </cell>
          <cell r="AQ302" t="str">
            <v>스토리위즈</v>
          </cell>
          <cell r="AR302" t="str">
            <v>권용찬</v>
          </cell>
        </row>
        <row r="303">
          <cell r="N303" t="str">
            <v>엘리신</v>
          </cell>
          <cell r="O303" t="str">
            <v>Y</v>
          </cell>
          <cell r="P303">
            <v>0.7</v>
          </cell>
          <cell r="Q303">
            <v>0.6</v>
          </cell>
          <cell r="R303" t="str">
            <v>시리즈 이용권 패키지</v>
          </cell>
          <cell r="S303">
            <v>4500</v>
          </cell>
          <cell r="T303">
            <v>9000</v>
          </cell>
          <cell r="U303">
            <v>200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4500</v>
          </cell>
          <cell r="AA303">
            <v>0</v>
          </cell>
          <cell r="AB303">
            <v>0</v>
          </cell>
          <cell r="AC303">
            <v>4300</v>
          </cell>
          <cell r="AD303">
            <v>9450</v>
          </cell>
          <cell r="AE303">
            <v>200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4950</v>
          </cell>
          <cell r="AK303">
            <v>0</v>
          </cell>
          <cell r="AL303">
            <v>0</v>
          </cell>
          <cell r="AM303">
            <v>4300</v>
          </cell>
          <cell r="AN303">
            <v>6120</v>
          </cell>
          <cell r="AO303">
            <v>0</v>
          </cell>
          <cell r="AP303">
            <v>6120</v>
          </cell>
          <cell r="AQ303" t="str">
            <v>스토리위즈</v>
          </cell>
          <cell r="AR303" t="str">
            <v>엘리신</v>
          </cell>
        </row>
        <row r="304">
          <cell r="N304" t="str">
            <v>블랙커피</v>
          </cell>
          <cell r="O304" t="str">
            <v>Y</v>
          </cell>
          <cell r="P304">
            <v>0.7</v>
          </cell>
          <cell r="Q304">
            <v>0.6</v>
          </cell>
          <cell r="R304" t="str">
            <v>시리즈 이용권 패키지</v>
          </cell>
          <cell r="S304">
            <v>2700</v>
          </cell>
          <cell r="T304">
            <v>5400</v>
          </cell>
          <cell r="U304">
            <v>5400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5400</v>
          </cell>
          <cell r="AE304">
            <v>5400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3780</v>
          </cell>
          <cell r="AO304">
            <v>0</v>
          </cell>
          <cell r="AP304">
            <v>3780</v>
          </cell>
          <cell r="AQ304" t="str">
            <v>스토리위즈</v>
          </cell>
          <cell r="AR304" t="str">
            <v>블랙커피</v>
          </cell>
        </row>
        <row r="305">
          <cell r="N305" t="str">
            <v>스내치</v>
          </cell>
          <cell r="O305" t="str">
            <v>Y</v>
          </cell>
          <cell r="P305">
            <v>0.7</v>
          </cell>
          <cell r="Q305">
            <v>0.6</v>
          </cell>
          <cell r="R305" t="str">
            <v>단일 이용권</v>
          </cell>
          <cell r="S305">
            <v>100</v>
          </cell>
          <cell r="T305">
            <v>6800</v>
          </cell>
          <cell r="U305">
            <v>4800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2000</v>
          </cell>
          <cell r="AD305">
            <v>6800</v>
          </cell>
          <cell r="AE305">
            <v>4800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2000</v>
          </cell>
          <cell r="AN305">
            <v>4760</v>
          </cell>
          <cell r="AO305">
            <v>0</v>
          </cell>
          <cell r="AP305">
            <v>4760</v>
          </cell>
          <cell r="AQ305" t="str">
            <v>스토리위즈</v>
          </cell>
          <cell r="AR305" t="str">
            <v>스내치</v>
          </cell>
        </row>
        <row r="306">
          <cell r="N306" t="str">
            <v>김정률</v>
          </cell>
          <cell r="O306" t="str">
            <v>Y</v>
          </cell>
          <cell r="P306">
            <v>0.7</v>
          </cell>
          <cell r="Q306">
            <v>0.6</v>
          </cell>
          <cell r="R306" t="str">
            <v>단일 대여 이용권</v>
          </cell>
          <cell r="S306">
            <v>900</v>
          </cell>
          <cell r="T306">
            <v>35100</v>
          </cell>
          <cell r="U306">
            <v>30900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4200</v>
          </cell>
          <cell r="AD306">
            <v>35100</v>
          </cell>
          <cell r="AE306">
            <v>30900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4200</v>
          </cell>
          <cell r="AN306">
            <v>24570</v>
          </cell>
          <cell r="AO306">
            <v>0</v>
          </cell>
          <cell r="AP306">
            <v>24570</v>
          </cell>
          <cell r="AQ306" t="str">
            <v>스토리위즈</v>
          </cell>
          <cell r="AR306" t="str">
            <v>김정률</v>
          </cell>
        </row>
        <row r="307">
          <cell r="N307" t="str">
            <v>전혁</v>
          </cell>
          <cell r="O307" t="str">
            <v>Y</v>
          </cell>
          <cell r="P307">
            <v>0.7</v>
          </cell>
          <cell r="Q307">
            <v>0.6</v>
          </cell>
          <cell r="R307" t="str">
            <v>시리즈 이용권 패키지</v>
          </cell>
          <cell r="S307">
            <v>4500</v>
          </cell>
          <cell r="T307">
            <v>5500</v>
          </cell>
          <cell r="U307">
            <v>5500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5500</v>
          </cell>
          <cell r="AE307">
            <v>5500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3850</v>
          </cell>
          <cell r="AO307">
            <v>0</v>
          </cell>
          <cell r="AP307">
            <v>3850</v>
          </cell>
          <cell r="AQ307" t="str">
            <v>스토리위즈</v>
          </cell>
          <cell r="AR307" t="str">
            <v>전혁</v>
          </cell>
        </row>
        <row r="308">
          <cell r="N308" t="str">
            <v>스내치</v>
          </cell>
          <cell r="O308" t="str">
            <v>Y</v>
          </cell>
          <cell r="P308">
            <v>0.7</v>
          </cell>
          <cell r="Q308">
            <v>0.6</v>
          </cell>
          <cell r="R308" t="str">
            <v>단일 이용권</v>
          </cell>
          <cell r="S308">
            <v>100</v>
          </cell>
          <cell r="T308">
            <v>1700</v>
          </cell>
          <cell r="U308">
            <v>900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800</v>
          </cell>
          <cell r="AD308">
            <v>1700</v>
          </cell>
          <cell r="AE308">
            <v>900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800</v>
          </cell>
          <cell r="AN308">
            <v>1190</v>
          </cell>
          <cell r="AO308">
            <v>0</v>
          </cell>
          <cell r="AP308">
            <v>1190</v>
          </cell>
          <cell r="AQ308" t="str">
            <v>스토리위즈</v>
          </cell>
          <cell r="AR308" t="str">
            <v>스내치</v>
          </cell>
        </row>
        <row r="309">
          <cell r="N309" t="str">
            <v>블랙커피</v>
          </cell>
          <cell r="O309" t="str">
            <v>Y</v>
          </cell>
          <cell r="P309">
            <v>0.7</v>
          </cell>
          <cell r="Q309">
            <v>0.6</v>
          </cell>
          <cell r="R309" t="str">
            <v>시리즈 이용권 패키지</v>
          </cell>
          <cell r="S309">
            <v>4500</v>
          </cell>
          <cell r="T309">
            <v>9000</v>
          </cell>
          <cell r="U309">
            <v>9000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9000</v>
          </cell>
          <cell r="AE309">
            <v>9000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6300</v>
          </cell>
          <cell r="AO309">
            <v>0</v>
          </cell>
          <cell r="AP309">
            <v>6300</v>
          </cell>
          <cell r="AQ309" t="str">
            <v>스토리위즈</v>
          </cell>
          <cell r="AR309" t="str">
            <v>블랙커피</v>
          </cell>
        </row>
        <row r="310">
          <cell r="N310" t="str">
            <v>스내치</v>
          </cell>
          <cell r="O310" t="str">
            <v>Y</v>
          </cell>
          <cell r="P310">
            <v>0.7</v>
          </cell>
          <cell r="Q310">
            <v>0.6</v>
          </cell>
          <cell r="R310" t="str">
            <v>시리즈 이용권 패키지</v>
          </cell>
          <cell r="S310">
            <v>900</v>
          </cell>
          <cell r="T310">
            <v>900</v>
          </cell>
          <cell r="U310">
            <v>900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900</v>
          </cell>
          <cell r="AE310">
            <v>900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630</v>
          </cell>
          <cell r="AO310">
            <v>0</v>
          </cell>
          <cell r="AP310">
            <v>630</v>
          </cell>
          <cell r="AQ310" t="str">
            <v>스토리위즈</v>
          </cell>
          <cell r="AR310" t="str">
            <v>스내치</v>
          </cell>
        </row>
        <row r="311">
          <cell r="N311" t="str">
            <v>김정률</v>
          </cell>
          <cell r="O311" t="str">
            <v>Y</v>
          </cell>
          <cell r="P311">
            <v>0.7</v>
          </cell>
          <cell r="Q311">
            <v>0.6</v>
          </cell>
          <cell r="R311" t="str">
            <v>시리즈 대여 이용권 패키지</v>
          </cell>
          <cell r="S311">
            <v>8100</v>
          </cell>
          <cell r="T311">
            <v>8100</v>
          </cell>
          <cell r="U311">
            <v>8100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8100</v>
          </cell>
          <cell r="AE311">
            <v>8100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5670</v>
          </cell>
          <cell r="AO311">
            <v>0</v>
          </cell>
          <cell r="AP311">
            <v>5670</v>
          </cell>
          <cell r="AQ311" t="str">
            <v>스토리위즈</v>
          </cell>
          <cell r="AR311" t="str">
            <v>김정률</v>
          </cell>
        </row>
        <row r="312">
          <cell r="N312" t="str">
            <v>전혁</v>
          </cell>
          <cell r="O312" t="str">
            <v>Y</v>
          </cell>
          <cell r="P312">
            <v>0.7</v>
          </cell>
          <cell r="Q312">
            <v>0.6</v>
          </cell>
          <cell r="R312" t="str">
            <v>시리즈 이용권 패키지</v>
          </cell>
          <cell r="S312">
            <v>9000</v>
          </cell>
          <cell r="T312">
            <v>9000</v>
          </cell>
          <cell r="U312">
            <v>9000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9000</v>
          </cell>
          <cell r="AE312">
            <v>9000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6300</v>
          </cell>
          <cell r="AO312">
            <v>0</v>
          </cell>
          <cell r="AP312">
            <v>6300</v>
          </cell>
          <cell r="AQ312" t="str">
            <v>스토리위즈</v>
          </cell>
          <cell r="AR312" t="str">
            <v>전혁</v>
          </cell>
        </row>
        <row r="313">
          <cell r="N313" t="str">
            <v>스내치</v>
          </cell>
          <cell r="O313" t="str">
            <v>Y</v>
          </cell>
          <cell r="P313">
            <v>0.7</v>
          </cell>
          <cell r="Q313">
            <v>0.6</v>
          </cell>
          <cell r="R313" t="str">
            <v>시리즈 이용권 패키지</v>
          </cell>
          <cell r="S313">
            <v>900</v>
          </cell>
          <cell r="T313">
            <v>2700</v>
          </cell>
          <cell r="U313">
            <v>2700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2700</v>
          </cell>
          <cell r="AE313">
            <v>2700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1890</v>
          </cell>
          <cell r="AO313">
            <v>0</v>
          </cell>
          <cell r="AP313">
            <v>1890</v>
          </cell>
          <cell r="AQ313" t="str">
            <v>스토리위즈</v>
          </cell>
          <cell r="AR313" t="str">
            <v>스내치</v>
          </cell>
        </row>
        <row r="314">
          <cell r="N314" t="str">
            <v>스내치</v>
          </cell>
          <cell r="O314" t="str">
            <v>Y</v>
          </cell>
          <cell r="P314">
            <v>0.7</v>
          </cell>
          <cell r="Q314">
            <v>0.6</v>
          </cell>
          <cell r="R314" t="str">
            <v>시리즈 이용권 패키지</v>
          </cell>
          <cell r="S314">
            <v>2700</v>
          </cell>
          <cell r="T314">
            <v>2700</v>
          </cell>
          <cell r="U314">
            <v>2700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2700</v>
          </cell>
          <cell r="AE314">
            <v>2700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1890</v>
          </cell>
          <cell r="AO314">
            <v>0</v>
          </cell>
          <cell r="AP314">
            <v>1890</v>
          </cell>
          <cell r="AQ314" t="str">
            <v>스토리위즈</v>
          </cell>
          <cell r="AR314" t="str">
            <v>스내치</v>
          </cell>
        </row>
        <row r="315">
          <cell r="N315" t="str">
            <v>스내치</v>
          </cell>
          <cell r="O315" t="str">
            <v>Y</v>
          </cell>
          <cell r="P315">
            <v>0.7</v>
          </cell>
          <cell r="Q315">
            <v>0.6</v>
          </cell>
          <cell r="R315" t="str">
            <v>시리즈 이용권 패키지</v>
          </cell>
          <cell r="S315">
            <v>4500</v>
          </cell>
          <cell r="T315">
            <v>9000</v>
          </cell>
          <cell r="U315">
            <v>9000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9000</v>
          </cell>
          <cell r="AE315">
            <v>9000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6300</v>
          </cell>
          <cell r="AO315">
            <v>0</v>
          </cell>
          <cell r="AP315">
            <v>6300</v>
          </cell>
          <cell r="AQ315" t="str">
            <v>스토리위즈</v>
          </cell>
          <cell r="AR315" t="str">
            <v>스내치</v>
          </cell>
        </row>
        <row r="316">
          <cell r="N316" t="str">
            <v>권용찬</v>
          </cell>
          <cell r="O316" t="str">
            <v>Y</v>
          </cell>
          <cell r="P316">
            <v>0.7</v>
          </cell>
          <cell r="Q316">
            <v>0.6</v>
          </cell>
          <cell r="R316" t="str">
            <v>단일 이용권</v>
          </cell>
          <cell r="S316">
            <v>100</v>
          </cell>
          <cell r="T316">
            <v>3100</v>
          </cell>
          <cell r="U316">
            <v>600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2500</v>
          </cell>
          <cell r="AD316">
            <v>3100</v>
          </cell>
          <cell r="AE316">
            <v>600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2500</v>
          </cell>
          <cell r="AN316">
            <v>2170</v>
          </cell>
          <cell r="AO316">
            <v>0</v>
          </cell>
          <cell r="AP316">
            <v>2170</v>
          </cell>
          <cell r="AQ316" t="str">
            <v>스토리위즈</v>
          </cell>
          <cell r="AR316" t="str">
            <v>권용찬</v>
          </cell>
        </row>
        <row r="317">
          <cell r="N317" t="str">
            <v>권용찬</v>
          </cell>
          <cell r="O317" t="str">
            <v>Y</v>
          </cell>
          <cell r="P317">
            <v>0.7</v>
          </cell>
          <cell r="Q317">
            <v>0.6</v>
          </cell>
          <cell r="R317" t="str">
            <v>시리즈 이용권 패키지</v>
          </cell>
          <cell r="S317">
            <v>2300</v>
          </cell>
          <cell r="T317">
            <v>4600</v>
          </cell>
          <cell r="U317">
            <v>4600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4600</v>
          </cell>
          <cell r="AE317">
            <v>4600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3220</v>
          </cell>
          <cell r="AO317">
            <v>0</v>
          </cell>
          <cell r="AP317">
            <v>3220</v>
          </cell>
          <cell r="AQ317" t="str">
            <v>스토리위즈</v>
          </cell>
          <cell r="AR317" t="str">
            <v>권용찬</v>
          </cell>
        </row>
        <row r="318">
          <cell r="N318" t="str">
            <v>권용찬</v>
          </cell>
          <cell r="O318" t="str">
            <v>Y</v>
          </cell>
          <cell r="P318">
            <v>0.7</v>
          </cell>
          <cell r="Q318">
            <v>0.6</v>
          </cell>
          <cell r="R318" t="str">
            <v>시리즈 이용권 패키지</v>
          </cell>
          <cell r="S318">
            <v>6800</v>
          </cell>
          <cell r="T318">
            <v>6800</v>
          </cell>
          <cell r="U318">
            <v>6800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6800</v>
          </cell>
          <cell r="AE318">
            <v>6800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4760</v>
          </cell>
          <cell r="AO318">
            <v>0</v>
          </cell>
          <cell r="AP318">
            <v>4760</v>
          </cell>
          <cell r="AQ318" t="str">
            <v>스토리위즈</v>
          </cell>
          <cell r="AR318" t="str">
            <v>권용찬</v>
          </cell>
        </row>
        <row r="319">
          <cell r="N319" t="str">
            <v>쇠렌센</v>
          </cell>
          <cell r="O319" t="str">
            <v>Y</v>
          </cell>
          <cell r="P319">
            <v>0.7</v>
          </cell>
          <cell r="Q319">
            <v>0.6</v>
          </cell>
          <cell r="R319" t="str">
            <v>단일 이용권</v>
          </cell>
          <cell r="S319">
            <v>100</v>
          </cell>
          <cell r="T319">
            <v>7300</v>
          </cell>
          <cell r="U319">
            <v>3400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3900</v>
          </cell>
          <cell r="AD319">
            <v>7300</v>
          </cell>
          <cell r="AE319">
            <v>3400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3900</v>
          </cell>
          <cell r="AN319">
            <v>5110</v>
          </cell>
          <cell r="AO319">
            <v>0</v>
          </cell>
          <cell r="AP319">
            <v>5110</v>
          </cell>
          <cell r="AQ319" t="str">
            <v>스토리위즈</v>
          </cell>
          <cell r="AR319" t="str">
            <v>쇠렌센</v>
          </cell>
        </row>
        <row r="320">
          <cell r="N320" t="str">
            <v>쇠렌센</v>
          </cell>
          <cell r="O320" t="str">
            <v>Y</v>
          </cell>
          <cell r="P320">
            <v>0.7</v>
          </cell>
          <cell r="Q320">
            <v>0.6</v>
          </cell>
          <cell r="R320" t="str">
            <v>시리즈 이용권 패키지</v>
          </cell>
          <cell r="S320">
            <v>9000</v>
          </cell>
          <cell r="T320">
            <v>9000</v>
          </cell>
          <cell r="U320">
            <v>9000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9000</v>
          </cell>
          <cell r="AE320">
            <v>9000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6300</v>
          </cell>
          <cell r="AO320">
            <v>0</v>
          </cell>
          <cell r="AP320">
            <v>6300</v>
          </cell>
          <cell r="AQ320" t="str">
            <v>스토리위즈</v>
          </cell>
          <cell r="AR320" t="str">
            <v>쇠렌센</v>
          </cell>
        </row>
        <row r="321">
          <cell r="N321" t="str">
            <v>쇠렌센</v>
          </cell>
          <cell r="O321" t="str">
            <v>Y</v>
          </cell>
          <cell r="P321">
            <v>0.7</v>
          </cell>
          <cell r="Q321">
            <v>0.6</v>
          </cell>
          <cell r="R321" t="str">
            <v>시리즈 이용권 패키지</v>
          </cell>
          <cell r="S321">
            <v>18000</v>
          </cell>
          <cell r="T321">
            <v>18000</v>
          </cell>
          <cell r="U321">
            <v>18000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18000</v>
          </cell>
          <cell r="AE321">
            <v>18000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12600</v>
          </cell>
          <cell r="AO321">
            <v>0</v>
          </cell>
          <cell r="AP321">
            <v>12600</v>
          </cell>
          <cell r="AQ321" t="str">
            <v>스토리위즈</v>
          </cell>
          <cell r="AR321" t="str">
            <v>쇠렌센</v>
          </cell>
        </row>
        <row r="322">
          <cell r="N322" t="str">
            <v>스내치</v>
          </cell>
          <cell r="O322" t="str">
            <v>Y</v>
          </cell>
          <cell r="P322">
            <v>0.7</v>
          </cell>
          <cell r="Q322">
            <v>0.6</v>
          </cell>
          <cell r="R322" t="str">
            <v>단일 이용권</v>
          </cell>
          <cell r="S322">
            <v>100</v>
          </cell>
          <cell r="T322">
            <v>6200</v>
          </cell>
          <cell r="U322">
            <v>4200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2000</v>
          </cell>
          <cell r="AD322">
            <v>6200</v>
          </cell>
          <cell r="AE322">
            <v>4200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2000</v>
          </cell>
          <cell r="AN322">
            <v>4340</v>
          </cell>
          <cell r="AO322">
            <v>0</v>
          </cell>
          <cell r="AP322">
            <v>4340</v>
          </cell>
          <cell r="AQ322" t="str">
            <v>스토리위즈</v>
          </cell>
          <cell r="AR322" t="str">
            <v>스내치</v>
          </cell>
        </row>
        <row r="323">
          <cell r="N323" t="str">
            <v>쇠렌센</v>
          </cell>
          <cell r="O323" t="str">
            <v>Y</v>
          </cell>
          <cell r="P323">
            <v>0.7</v>
          </cell>
          <cell r="Q323">
            <v>0.6</v>
          </cell>
          <cell r="R323" t="str">
            <v>시리즈 이용권 패키지</v>
          </cell>
          <cell r="S323">
            <v>27000</v>
          </cell>
          <cell r="T323">
            <v>27000</v>
          </cell>
          <cell r="U323">
            <v>27000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27000</v>
          </cell>
          <cell r="AE323">
            <v>27000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18900</v>
          </cell>
          <cell r="AO323">
            <v>0</v>
          </cell>
          <cell r="AP323">
            <v>18900</v>
          </cell>
          <cell r="AQ323" t="str">
            <v>스토리위즈</v>
          </cell>
          <cell r="AR323" t="str">
            <v>쇠렌센</v>
          </cell>
        </row>
        <row r="324">
          <cell r="N324" t="str">
            <v>라비니안느</v>
          </cell>
          <cell r="O324" t="str">
            <v>Y</v>
          </cell>
          <cell r="P324">
            <v>0.7</v>
          </cell>
          <cell r="Q324">
            <v>0.6</v>
          </cell>
          <cell r="R324" t="str">
            <v>단일 이용권</v>
          </cell>
          <cell r="S324">
            <v>100</v>
          </cell>
          <cell r="T324">
            <v>4400</v>
          </cell>
          <cell r="U324">
            <v>3900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500</v>
          </cell>
          <cell r="AD324">
            <v>4400</v>
          </cell>
          <cell r="AE324">
            <v>3900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500</v>
          </cell>
          <cell r="AN324">
            <v>3080</v>
          </cell>
          <cell r="AO324">
            <v>0</v>
          </cell>
          <cell r="AP324">
            <v>3080</v>
          </cell>
          <cell r="AQ324" t="str">
            <v>스토리위즈</v>
          </cell>
          <cell r="AR324" t="str">
            <v>라비니안느</v>
          </cell>
        </row>
        <row r="325">
          <cell r="N325" t="str">
            <v>해달화영</v>
          </cell>
          <cell r="O325" t="str">
            <v>Y</v>
          </cell>
          <cell r="P325">
            <v>0.7</v>
          </cell>
          <cell r="Q325">
            <v>0.6</v>
          </cell>
          <cell r="R325" t="str">
            <v>단일 이용권</v>
          </cell>
          <cell r="S325">
            <v>100</v>
          </cell>
          <cell r="T325">
            <v>5700</v>
          </cell>
          <cell r="U325">
            <v>5000</v>
          </cell>
          <cell r="V325">
            <v>0</v>
          </cell>
          <cell r="W325">
            <v>0</v>
          </cell>
          <cell r="X325">
            <v>0</v>
          </cell>
          <cell r="Y325">
            <v>200</v>
          </cell>
          <cell r="Z325">
            <v>0</v>
          </cell>
          <cell r="AA325">
            <v>0</v>
          </cell>
          <cell r="AB325">
            <v>0</v>
          </cell>
          <cell r="AC325">
            <v>500</v>
          </cell>
          <cell r="AD325">
            <v>5740</v>
          </cell>
          <cell r="AE325">
            <v>5000</v>
          </cell>
          <cell r="AF325">
            <v>0</v>
          </cell>
          <cell r="AG325">
            <v>0</v>
          </cell>
          <cell r="AH325">
            <v>0</v>
          </cell>
          <cell r="AI325">
            <v>240</v>
          </cell>
          <cell r="AJ325">
            <v>0</v>
          </cell>
          <cell r="AK325">
            <v>0</v>
          </cell>
          <cell r="AL325">
            <v>0</v>
          </cell>
          <cell r="AM325">
            <v>500</v>
          </cell>
          <cell r="AN325">
            <v>3994</v>
          </cell>
          <cell r="AO325">
            <v>0</v>
          </cell>
          <cell r="AP325">
            <v>3994</v>
          </cell>
          <cell r="AQ325" t="str">
            <v>스토리위즈</v>
          </cell>
          <cell r="AR325" t="str">
            <v>해달화영</v>
          </cell>
        </row>
        <row r="326">
          <cell r="N326" t="str">
            <v>라비니안느</v>
          </cell>
          <cell r="O326" t="str">
            <v>Y</v>
          </cell>
          <cell r="P326">
            <v>0.7</v>
          </cell>
          <cell r="Q326">
            <v>0.6</v>
          </cell>
          <cell r="R326" t="str">
            <v>시리즈 이용권 패키지</v>
          </cell>
          <cell r="S326">
            <v>900</v>
          </cell>
          <cell r="T326">
            <v>9400</v>
          </cell>
          <cell r="U326">
            <v>6900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2500</v>
          </cell>
          <cell r="AD326">
            <v>9400</v>
          </cell>
          <cell r="AE326">
            <v>6900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2500</v>
          </cell>
          <cell r="AN326">
            <v>6580</v>
          </cell>
          <cell r="AO326">
            <v>0</v>
          </cell>
          <cell r="AP326">
            <v>6580</v>
          </cell>
          <cell r="AQ326" t="str">
            <v>스토리위즈</v>
          </cell>
          <cell r="AR326" t="str">
            <v>라비니안느</v>
          </cell>
        </row>
        <row r="327">
          <cell r="N327" t="str">
            <v>해달화영</v>
          </cell>
          <cell r="O327" t="str">
            <v>Y</v>
          </cell>
          <cell r="P327">
            <v>0.7</v>
          </cell>
          <cell r="Q327">
            <v>0.6</v>
          </cell>
          <cell r="R327" t="str">
            <v>시리즈 이용권 패키지</v>
          </cell>
          <cell r="S327">
            <v>900</v>
          </cell>
          <cell r="T327">
            <v>1800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1800</v>
          </cell>
          <cell r="AD327">
            <v>1800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1800</v>
          </cell>
          <cell r="AN327">
            <v>1260</v>
          </cell>
          <cell r="AO327">
            <v>0</v>
          </cell>
          <cell r="AP327">
            <v>1260</v>
          </cell>
          <cell r="AQ327" t="str">
            <v>스토리위즈</v>
          </cell>
          <cell r="AR327" t="str">
            <v>해달화영</v>
          </cell>
        </row>
        <row r="328">
          <cell r="N328" t="str">
            <v>라비니안느</v>
          </cell>
          <cell r="O328" t="str">
            <v>Y</v>
          </cell>
          <cell r="P328">
            <v>0.7</v>
          </cell>
          <cell r="Q328">
            <v>0.6</v>
          </cell>
          <cell r="R328" t="str">
            <v>시리즈 이용권 패키지</v>
          </cell>
          <cell r="S328">
            <v>2700</v>
          </cell>
          <cell r="T328">
            <v>2700</v>
          </cell>
          <cell r="U328">
            <v>2100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600</v>
          </cell>
          <cell r="AD328">
            <v>2700</v>
          </cell>
          <cell r="AE328">
            <v>2100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600</v>
          </cell>
          <cell r="AN328">
            <v>1890</v>
          </cell>
          <cell r="AO328">
            <v>0</v>
          </cell>
          <cell r="AP328">
            <v>1890</v>
          </cell>
          <cell r="AQ328" t="str">
            <v>스토리위즈</v>
          </cell>
          <cell r="AR328" t="str">
            <v>라비니안느</v>
          </cell>
        </row>
        <row r="329">
          <cell r="N329" t="str">
            <v>해달화영</v>
          </cell>
          <cell r="O329" t="str">
            <v>Y</v>
          </cell>
          <cell r="P329">
            <v>0.7</v>
          </cell>
          <cell r="Q329">
            <v>0.6</v>
          </cell>
          <cell r="R329" t="str">
            <v>시리즈 이용권 패키지</v>
          </cell>
          <cell r="S329">
            <v>2700</v>
          </cell>
          <cell r="T329">
            <v>2700</v>
          </cell>
          <cell r="U329">
            <v>2700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2700</v>
          </cell>
          <cell r="AE329">
            <v>2700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1890</v>
          </cell>
          <cell r="AO329">
            <v>0</v>
          </cell>
          <cell r="AP329">
            <v>1890</v>
          </cell>
          <cell r="AQ329" t="str">
            <v>스토리위즈</v>
          </cell>
          <cell r="AR329" t="str">
            <v>해달화영</v>
          </cell>
        </row>
        <row r="330">
          <cell r="N330" t="str">
            <v>해달화영</v>
          </cell>
          <cell r="O330" t="str">
            <v>Y</v>
          </cell>
          <cell r="P330">
            <v>0.7</v>
          </cell>
          <cell r="Q330">
            <v>0.6</v>
          </cell>
          <cell r="R330" t="str">
            <v>시리즈 이용권 패키지</v>
          </cell>
          <cell r="S330">
            <v>4500</v>
          </cell>
          <cell r="T330">
            <v>-3600</v>
          </cell>
          <cell r="U330">
            <v>-3600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-3600</v>
          </cell>
          <cell r="AE330">
            <v>-3600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-2520</v>
          </cell>
          <cell r="AO330">
            <v>0</v>
          </cell>
          <cell r="AP330">
            <v>-2520</v>
          </cell>
          <cell r="AQ330" t="str">
            <v>스토리위즈</v>
          </cell>
          <cell r="AR330" t="str">
            <v>해달화영</v>
          </cell>
        </row>
        <row r="331">
          <cell r="N331" t="str">
            <v>스내치</v>
          </cell>
          <cell r="O331" t="str">
            <v>Y</v>
          </cell>
          <cell r="P331">
            <v>0.7</v>
          </cell>
          <cell r="Q331">
            <v>0.6</v>
          </cell>
          <cell r="R331" t="str">
            <v>단일 이용권</v>
          </cell>
          <cell r="S331">
            <v>100</v>
          </cell>
          <cell r="T331">
            <v>3600</v>
          </cell>
          <cell r="U331">
            <v>3300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300</v>
          </cell>
          <cell r="AD331">
            <v>3600</v>
          </cell>
          <cell r="AE331">
            <v>3300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300</v>
          </cell>
          <cell r="AN331">
            <v>2520</v>
          </cell>
          <cell r="AO331">
            <v>0</v>
          </cell>
          <cell r="AP331">
            <v>2520</v>
          </cell>
          <cell r="AQ331" t="str">
            <v>스토리위즈</v>
          </cell>
          <cell r="AR331" t="str">
            <v>스내치</v>
          </cell>
        </row>
        <row r="332">
          <cell r="N332" t="str">
            <v>스내치</v>
          </cell>
          <cell r="O332" t="str">
            <v>Y</v>
          </cell>
          <cell r="P332">
            <v>0.7</v>
          </cell>
          <cell r="Q332">
            <v>0.6</v>
          </cell>
          <cell r="R332" t="str">
            <v>시리즈 이용권 패키지</v>
          </cell>
          <cell r="S332">
            <v>900</v>
          </cell>
          <cell r="T332">
            <v>7200</v>
          </cell>
          <cell r="U332">
            <v>7200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7200</v>
          </cell>
          <cell r="AE332">
            <v>7200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5040</v>
          </cell>
          <cell r="AO332">
            <v>0</v>
          </cell>
          <cell r="AP332">
            <v>5040</v>
          </cell>
          <cell r="AQ332" t="str">
            <v>스토리위즈</v>
          </cell>
          <cell r="AR332" t="str">
            <v>스내치</v>
          </cell>
        </row>
        <row r="333">
          <cell r="N333" t="str">
            <v>스내치</v>
          </cell>
          <cell r="O333" t="str">
            <v>Y</v>
          </cell>
          <cell r="P333">
            <v>0.7</v>
          </cell>
          <cell r="Q333">
            <v>0.6</v>
          </cell>
          <cell r="R333" t="str">
            <v>시리즈 이용권 패키지</v>
          </cell>
          <cell r="S333">
            <v>2700</v>
          </cell>
          <cell r="T333">
            <v>5400</v>
          </cell>
          <cell r="U333">
            <v>2700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2700</v>
          </cell>
          <cell r="AD333">
            <v>5400</v>
          </cell>
          <cell r="AE333">
            <v>2700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2700</v>
          </cell>
          <cell r="AN333">
            <v>3780</v>
          </cell>
          <cell r="AO333">
            <v>0</v>
          </cell>
          <cell r="AP333">
            <v>3780</v>
          </cell>
          <cell r="AQ333" t="str">
            <v>스토리위즈</v>
          </cell>
          <cell r="AR333" t="str">
            <v>스내치</v>
          </cell>
        </row>
        <row r="334">
          <cell r="N334" t="str">
            <v>스내치</v>
          </cell>
          <cell r="O334" t="str">
            <v>Y</v>
          </cell>
          <cell r="P334">
            <v>0.7</v>
          </cell>
          <cell r="Q334">
            <v>0.6</v>
          </cell>
          <cell r="R334" t="str">
            <v>시리즈 이용권 패키지</v>
          </cell>
          <cell r="S334">
            <v>4500</v>
          </cell>
          <cell r="T334">
            <v>4800</v>
          </cell>
          <cell r="U334">
            <v>300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4500</v>
          </cell>
          <cell r="AD334">
            <v>4800</v>
          </cell>
          <cell r="AE334">
            <v>300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4500</v>
          </cell>
          <cell r="AN334">
            <v>3360</v>
          </cell>
          <cell r="AO334">
            <v>0</v>
          </cell>
          <cell r="AP334">
            <v>3360</v>
          </cell>
          <cell r="AQ334" t="str">
            <v>스토리위즈</v>
          </cell>
          <cell r="AR334" t="str">
            <v>스내치</v>
          </cell>
        </row>
        <row r="335">
          <cell r="N335" t="str">
            <v>모리미</v>
          </cell>
          <cell r="O335" t="str">
            <v>Y</v>
          </cell>
          <cell r="P335">
            <v>0.7</v>
          </cell>
          <cell r="Q335">
            <v>0.6</v>
          </cell>
          <cell r="R335" t="str">
            <v>단일 이용권</v>
          </cell>
          <cell r="S335">
            <v>100</v>
          </cell>
          <cell r="T335">
            <v>5600</v>
          </cell>
          <cell r="U335">
            <v>3000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2600</v>
          </cell>
          <cell r="AD335">
            <v>5600</v>
          </cell>
          <cell r="AE335">
            <v>3000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2600</v>
          </cell>
          <cell r="AN335">
            <v>3920</v>
          </cell>
          <cell r="AO335">
            <v>0</v>
          </cell>
          <cell r="AP335">
            <v>3920</v>
          </cell>
          <cell r="AQ335" t="str">
            <v>스토리위즈</v>
          </cell>
          <cell r="AR335" t="str">
            <v>모리미</v>
          </cell>
        </row>
        <row r="336">
          <cell r="N336" t="str">
            <v>블랙커피</v>
          </cell>
          <cell r="O336" t="str">
            <v>Y</v>
          </cell>
          <cell r="P336">
            <v>0.7</v>
          </cell>
          <cell r="Q336">
            <v>0.6</v>
          </cell>
          <cell r="R336" t="str">
            <v>단일 이용권</v>
          </cell>
          <cell r="S336">
            <v>100</v>
          </cell>
          <cell r="T336">
            <v>12700</v>
          </cell>
          <cell r="U336">
            <v>2000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10700</v>
          </cell>
          <cell r="AD336">
            <v>12700</v>
          </cell>
          <cell r="AE336">
            <v>2000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10700</v>
          </cell>
          <cell r="AN336">
            <v>8890</v>
          </cell>
          <cell r="AO336">
            <v>0</v>
          </cell>
          <cell r="AP336">
            <v>8890</v>
          </cell>
          <cell r="AQ336" t="str">
            <v>스토리위즈</v>
          </cell>
          <cell r="AR336" t="str">
            <v>블랙커피</v>
          </cell>
        </row>
        <row r="337">
          <cell r="N337" t="str">
            <v>모리미</v>
          </cell>
          <cell r="O337" t="str">
            <v>Y</v>
          </cell>
          <cell r="P337">
            <v>0.7</v>
          </cell>
          <cell r="Q337">
            <v>0.6</v>
          </cell>
          <cell r="R337" t="str">
            <v>시리즈 이용권 패키지</v>
          </cell>
          <cell r="S337">
            <v>900</v>
          </cell>
          <cell r="T337">
            <v>12000</v>
          </cell>
          <cell r="U337">
            <v>9300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2700</v>
          </cell>
          <cell r="AD337">
            <v>12000</v>
          </cell>
          <cell r="AE337">
            <v>9300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2700</v>
          </cell>
          <cell r="AN337">
            <v>8400</v>
          </cell>
          <cell r="AO337">
            <v>0</v>
          </cell>
          <cell r="AP337">
            <v>8400</v>
          </cell>
          <cell r="AQ337" t="str">
            <v>스토리위즈</v>
          </cell>
          <cell r="AR337" t="str">
            <v>모리미</v>
          </cell>
        </row>
        <row r="338">
          <cell r="N338" t="str">
            <v>엘리신</v>
          </cell>
          <cell r="O338" t="str">
            <v>Y</v>
          </cell>
          <cell r="P338">
            <v>0.7</v>
          </cell>
          <cell r="Q338">
            <v>0.6</v>
          </cell>
          <cell r="R338" t="str">
            <v>단일 이용권</v>
          </cell>
          <cell r="S338">
            <v>100</v>
          </cell>
          <cell r="T338">
            <v>60800</v>
          </cell>
          <cell r="U338">
            <v>40400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2000</v>
          </cell>
          <cell r="AA338">
            <v>0</v>
          </cell>
          <cell r="AB338">
            <v>0</v>
          </cell>
          <cell r="AC338">
            <v>18400</v>
          </cell>
          <cell r="AD338">
            <v>61000</v>
          </cell>
          <cell r="AE338">
            <v>40400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2200</v>
          </cell>
          <cell r="AK338">
            <v>0</v>
          </cell>
          <cell r="AL338">
            <v>0</v>
          </cell>
          <cell r="AM338">
            <v>18400</v>
          </cell>
          <cell r="AN338">
            <v>42480</v>
          </cell>
          <cell r="AO338">
            <v>0</v>
          </cell>
          <cell r="AP338">
            <v>42480</v>
          </cell>
          <cell r="AQ338" t="str">
            <v>스토리위즈</v>
          </cell>
          <cell r="AR338" t="str">
            <v>엘리신</v>
          </cell>
        </row>
        <row r="339">
          <cell r="N339" t="str">
            <v>블랙커피</v>
          </cell>
          <cell r="O339" t="str">
            <v>Y</v>
          </cell>
          <cell r="P339">
            <v>0.7</v>
          </cell>
          <cell r="Q339">
            <v>0.6</v>
          </cell>
          <cell r="R339" t="str">
            <v>시리즈 이용권 패키지</v>
          </cell>
          <cell r="S339">
            <v>900</v>
          </cell>
          <cell r="T339">
            <v>12600</v>
          </cell>
          <cell r="U339">
            <v>4450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8150</v>
          </cell>
          <cell r="AD339">
            <v>12600</v>
          </cell>
          <cell r="AE339">
            <v>4450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8150</v>
          </cell>
          <cell r="AN339">
            <v>8820</v>
          </cell>
          <cell r="AO339">
            <v>0</v>
          </cell>
          <cell r="AP339">
            <v>8820</v>
          </cell>
          <cell r="AQ339" t="str">
            <v>스토리위즈</v>
          </cell>
          <cell r="AR339" t="str">
            <v>블랙커피</v>
          </cell>
        </row>
        <row r="340">
          <cell r="N340" t="str">
            <v>모리미</v>
          </cell>
          <cell r="O340" t="str">
            <v>Y</v>
          </cell>
          <cell r="P340">
            <v>0.7</v>
          </cell>
          <cell r="Q340">
            <v>0.6</v>
          </cell>
          <cell r="R340" t="str">
            <v>시리즈 이용권 패키지</v>
          </cell>
          <cell r="S340">
            <v>1800</v>
          </cell>
          <cell r="T340">
            <v>3100</v>
          </cell>
          <cell r="U340">
            <v>2600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500</v>
          </cell>
          <cell r="AD340">
            <v>3100</v>
          </cell>
          <cell r="AE340">
            <v>2600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500</v>
          </cell>
          <cell r="AN340">
            <v>2170</v>
          </cell>
          <cell r="AO340">
            <v>0</v>
          </cell>
          <cell r="AP340">
            <v>2170</v>
          </cell>
          <cell r="AQ340" t="str">
            <v>스토리위즈</v>
          </cell>
          <cell r="AR340" t="str">
            <v>모리미</v>
          </cell>
        </row>
        <row r="341">
          <cell r="N341" t="str">
            <v>엘리신</v>
          </cell>
          <cell r="O341" t="str">
            <v>Y</v>
          </cell>
          <cell r="P341">
            <v>0.7</v>
          </cell>
          <cell r="Q341">
            <v>0.6</v>
          </cell>
          <cell r="R341" t="str">
            <v>시리즈 이용권 패키지</v>
          </cell>
          <cell r="S341">
            <v>900</v>
          </cell>
          <cell r="T341">
            <v>86000</v>
          </cell>
          <cell r="U341">
            <v>58800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3500</v>
          </cell>
          <cell r="AA341">
            <v>0</v>
          </cell>
          <cell r="AB341">
            <v>0</v>
          </cell>
          <cell r="AC341">
            <v>23700</v>
          </cell>
          <cell r="AD341">
            <v>86350</v>
          </cell>
          <cell r="AE341">
            <v>58800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3850</v>
          </cell>
          <cell r="AK341">
            <v>0</v>
          </cell>
          <cell r="AL341">
            <v>0</v>
          </cell>
          <cell r="AM341">
            <v>23700</v>
          </cell>
          <cell r="AN341">
            <v>60060</v>
          </cell>
          <cell r="AO341">
            <v>0</v>
          </cell>
          <cell r="AP341">
            <v>60060</v>
          </cell>
          <cell r="AQ341" t="str">
            <v>스토리위즈</v>
          </cell>
          <cell r="AR341" t="str">
            <v>엘리신</v>
          </cell>
        </row>
        <row r="342">
          <cell r="N342" t="str">
            <v>블랙커피</v>
          </cell>
          <cell r="O342" t="str">
            <v>Y</v>
          </cell>
          <cell r="P342">
            <v>0.7</v>
          </cell>
          <cell r="Q342">
            <v>0.6</v>
          </cell>
          <cell r="R342" t="str">
            <v>시리즈 이용권 패키지</v>
          </cell>
          <cell r="S342">
            <v>1800</v>
          </cell>
          <cell r="T342">
            <v>1800</v>
          </cell>
          <cell r="U342">
            <v>1800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1800</v>
          </cell>
          <cell r="AE342">
            <v>1800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1260</v>
          </cell>
          <cell r="AO342">
            <v>0</v>
          </cell>
          <cell r="AP342">
            <v>1260</v>
          </cell>
          <cell r="AQ342" t="str">
            <v>스토리위즈</v>
          </cell>
          <cell r="AR342" t="str">
            <v>블랙커피</v>
          </cell>
        </row>
        <row r="343">
          <cell r="N343" t="str">
            <v>모리미</v>
          </cell>
          <cell r="O343" t="str">
            <v>Y</v>
          </cell>
          <cell r="P343">
            <v>0.7</v>
          </cell>
          <cell r="Q343">
            <v>0.6</v>
          </cell>
          <cell r="R343" t="str">
            <v>시리즈 이용권 패키지</v>
          </cell>
          <cell r="S343">
            <v>2700</v>
          </cell>
          <cell r="T343">
            <v>16300</v>
          </cell>
          <cell r="U343">
            <v>10900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5400</v>
          </cell>
          <cell r="AD343">
            <v>16300</v>
          </cell>
          <cell r="AE343">
            <v>10900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5400</v>
          </cell>
          <cell r="AN343">
            <v>11410</v>
          </cell>
          <cell r="AO343">
            <v>0</v>
          </cell>
          <cell r="AP343">
            <v>11410</v>
          </cell>
          <cell r="AQ343" t="str">
            <v>스토리위즈</v>
          </cell>
          <cell r="AR343" t="str">
            <v>모리미</v>
          </cell>
        </row>
        <row r="344">
          <cell r="N344" t="str">
            <v>엘리신</v>
          </cell>
          <cell r="O344" t="str">
            <v>Y</v>
          </cell>
          <cell r="P344">
            <v>0.7</v>
          </cell>
          <cell r="Q344">
            <v>0.6</v>
          </cell>
          <cell r="R344" t="str">
            <v>시리즈 이용권 패키지</v>
          </cell>
          <cell r="S344">
            <v>4500</v>
          </cell>
          <cell r="T344">
            <v>63100</v>
          </cell>
          <cell r="U344">
            <v>61860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1240</v>
          </cell>
          <cell r="AD344">
            <v>63100</v>
          </cell>
          <cell r="AE344">
            <v>61860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1240</v>
          </cell>
          <cell r="AN344">
            <v>44170</v>
          </cell>
          <cell r="AO344">
            <v>0</v>
          </cell>
          <cell r="AP344">
            <v>44170</v>
          </cell>
          <cell r="AQ344" t="str">
            <v>스토리위즈</v>
          </cell>
          <cell r="AR344" t="str">
            <v>엘리신</v>
          </cell>
        </row>
        <row r="345">
          <cell r="N345" t="str">
            <v>블랙커피</v>
          </cell>
          <cell r="O345" t="str">
            <v>Y</v>
          </cell>
          <cell r="P345">
            <v>0.7</v>
          </cell>
          <cell r="Q345">
            <v>0.6</v>
          </cell>
          <cell r="R345" t="str">
            <v>시리즈 이용권 패키지</v>
          </cell>
          <cell r="S345">
            <v>2700</v>
          </cell>
          <cell r="T345">
            <v>13500</v>
          </cell>
          <cell r="U345">
            <v>8100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5400</v>
          </cell>
          <cell r="AD345">
            <v>13500</v>
          </cell>
          <cell r="AE345">
            <v>8100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5400</v>
          </cell>
          <cell r="AN345">
            <v>9450</v>
          </cell>
          <cell r="AO345">
            <v>0</v>
          </cell>
          <cell r="AP345">
            <v>9450</v>
          </cell>
          <cell r="AQ345" t="str">
            <v>스토리위즈</v>
          </cell>
          <cell r="AR345" t="str">
            <v>블랙커피</v>
          </cell>
        </row>
        <row r="346">
          <cell r="N346" t="str">
            <v>엘리신</v>
          </cell>
          <cell r="O346" t="str">
            <v>Y</v>
          </cell>
          <cell r="P346">
            <v>0.7</v>
          </cell>
          <cell r="Q346">
            <v>0.6</v>
          </cell>
          <cell r="R346" t="str">
            <v>시리즈 이용권 패키지</v>
          </cell>
          <cell r="S346">
            <v>8100</v>
          </cell>
          <cell r="T346">
            <v>48600</v>
          </cell>
          <cell r="U346">
            <v>47700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900</v>
          </cell>
          <cell r="AD346">
            <v>48600</v>
          </cell>
          <cell r="AE346">
            <v>47700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900</v>
          </cell>
          <cell r="AN346">
            <v>34020</v>
          </cell>
          <cell r="AO346">
            <v>0</v>
          </cell>
          <cell r="AP346">
            <v>34020</v>
          </cell>
          <cell r="AQ346" t="str">
            <v>스토리위즈</v>
          </cell>
          <cell r="AR346" t="str">
            <v>엘리신</v>
          </cell>
        </row>
        <row r="347">
          <cell r="N347" t="str">
            <v>권용찬</v>
          </cell>
          <cell r="O347" t="str">
            <v>Y</v>
          </cell>
          <cell r="P347">
            <v>0.7</v>
          </cell>
          <cell r="Q347">
            <v>0.6</v>
          </cell>
          <cell r="R347" t="str">
            <v>단일 이용권</v>
          </cell>
          <cell r="S347">
            <v>100</v>
          </cell>
          <cell r="T347">
            <v>2700</v>
          </cell>
          <cell r="U347">
            <v>1400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1000</v>
          </cell>
          <cell r="AA347">
            <v>0</v>
          </cell>
          <cell r="AB347">
            <v>0</v>
          </cell>
          <cell r="AC347">
            <v>300</v>
          </cell>
          <cell r="AD347">
            <v>2800</v>
          </cell>
          <cell r="AE347">
            <v>1400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1100</v>
          </cell>
          <cell r="AK347">
            <v>0</v>
          </cell>
          <cell r="AL347">
            <v>0</v>
          </cell>
          <cell r="AM347">
            <v>300</v>
          </cell>
          <cell r="AN347">
            <v>1850</v>
          </cell>
          <cell r="AO347">
            <v>0</v>
          </cell>
          <cell r="AP347">
            <v>1850</v>
          </cell>
          <cell r="AQ347" t="str">
            <v>스토리위즈</v>
          </cell>
          <cell r="AR347" t="str">
            <v>권용찬</v>
          </cell>
        </row>
        <row r="348">
          <cell r="N348" t="str">
            <v>권용찬</v>
          </cell>
          <cell r="O348" t="str">
            <v>Y</v>
          </cell>
          <cell r="P348">
            <v>0.7</v>
          </cell>
          <cell r="Q348">
            <v>0.6</v>
          </cell>
          <cell r="R348" t="str">
            <v>시리즈 이용권 패키지</v>
          </cell>
          <cell r="S348">
            <v>2700</v>
          </cell>
          <cell r="T348">
            <v>19600</v>
          </cell>
          <cell r="U348">
            <v>19400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200</v>
          </cell>
          <cell r="AD348">
            <v>19600</v>
          </cell>
          <cell r="AE348">
            <v>19400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200</v>
          </cell>
          <cell r="AN348">
            <v>13720</v>
          </cell>
          <cell r="AO348">
            <v>0</v>
          </cell>
          <cell r="AP348">
            <v>13720</v>
          </cell>
          <cell r="AQ348" t="str">
            <v>스토리위즈</v>
          </cell>
          <cell r="AR348" t="str">
            <v>권용찬</v>
          </cell>
        </row>
        <row r="349">
          <cell r="N349" t="str">
            <v>권용찬</v>
          </cell>
          <cell r="O349" t="str">
            <v>Y</v>
          </cell>
          <cell r="P349">
            <v>0.7</v>
          </cell>
          <cell r="Q349">
            <v>0.6</v>
          </cell>
          <cell r="R349" t="str">
            <v>단일 이용권</v>
          </cell>
          <cell r="S349">
            <v>100</v>
          </cell>
          <cell r="T349">
            <v>10300</v>
          </cell>
          <cell r="U349">
            <v>6200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4100</v>
          </cell>
          <cell r="AD349">
            <v>10300</v>
          </cell>
          <cell r="AE349">
            <v>6200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4100</v>
          </cell>
          <cell r="AN349">
            <v>7210</v>
          </cell>
          <cell r="AO349">
            <v>0</v>
          </cell>
          <cell r="AP349">
            <v>7210</v>
          </cell>
          <cell r="AQ349" t="str">
            <v>스토리위즈</v>
          </cell>
          <cell r="AR349" t="str">
            <v>권용찬</v>
          </cell>
        </row>
        <row r="350">
          <cell r="N350" t="str">
            <v>김온별(러브마인)</v>
          </cell>
          <cell r="O350" t="str">
            <v>Y</v>
          </cell>
          <cell r="P350">
            <v>0.7</v>
          </cell>
          <cell r="Q350">
            <v>0.6</v>
          </cell>
          <cell r="R350" t="str">
            <v>단일 이용권</v>
          </cell>
          <cell r="S350">
            <v>100</v>
          </cell>
          <cell r="T350">
            <v>4400</v>
          </cell>
          <cell r="U350">
            <v>300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4100</v>
          </cell>
          <cell r="AD350">
            <v>4400</v>
          </cell>
          <cell r="AE350">
            <v>300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4100</v>
          </cell>
          <cell r="AN350">
            <v>3080</v>
          </cell>
          <cell r="AO350">
            <v>0</v>
          </cell>
          <cell r="AP350">
            <v>3080</v>
          </cell>
          <cell r="AQ350" t="str">
            <v>스토리위즈</v>
          </cell>
          <cell r="AR350" t="str">
            <v>김온별</v>
          </cell>
        </row>
        <row r="351">
          <cell r="N351" t="str">
            <v>권용찬</v>
          </cell>
          <cell r="O351" t="str">
            <v>Y</v>
          </cell>
          <cell r="P351">
            <v>0.7</v>
          </cell>
          <cell r="Q351">
            <v>0.6</v>
          </cell>
          <cell r="R351" t="str">
            <v>시리즈 이용권 패키지</v>
          </cell>
          <cell r="S351">
            <v>4500</v>
          </cell>
          <cell r="T351">
            <v>13500</v>
          </cell>
          <cell r="U351">
            <v>8500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4500</v>
          </cell>
          <cell r="AA351">
            <v>0</v>
          </cell>
          <cell r="AB351">
            <v>0</v>
          </cell>
          <cell r="AC351">
            <v>500</v>
          </cell>
          <cell r="AD351">
            <v>13950</v>
          </cell>
          <cell r="AE351">
            <v>8500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4950</v>
          </cell>
          <cell r="AK351">
            <v>0</v>
          </cell>
          <cell r="AL351">
            <v>0</v>
          </cell>
          <cell r="AM351">
            <v>500</v>
          </cell>
          <cell r="AN351">
            <v>9270</v>
          </cell>
          <cell r="AO351">
            <v>0</v>
          </cell>
          <cell r="AP351">
            <v>9270</v>
          </cell>
          <cell r="AQ351" t="str">
            <v>스토리위즈</v>
          </cell>
          <cell r="AR351" t="str">
            <v>권용찬</v>
          </cell>
        </row>
        <row r="352">
          <cell r="N352" t="str">
            <v>권용찬</v>
          </cell>
          <cell r="O352" t="str">
            <v>Y</v>
          </cell>
          <cell r="P352">
            <v>0.7</v>
          </cell>
          <cell r="Q352">
            <v>0.6</v>
          </cell>
          <cell r="R352" t="str">
            <v>시리즈 이용권 패키지</v>
          </cell>
          <cell r="S352">
            <v>2300</v>
          </cell>
          <cell r="T352">
            <v>46000</v>
          </cell>
          <cell r="U352">
            <v>43200</v>
          </cell>
          <cell r="V352">
            <v>0</v>
          </cell>
          <cell r="W352">
            <v>0</v>
          </cell>
          <cell r="X352">
            <v>0</v>
          </cell>
          <cell r="Y352">
            <v>2300</v>
          </cell>
          <cell r="Z352">
            <v>0</v>
          </cell>
          <cell r="AA352">
            <v>0</v>
          </cell>
          <cell r="AB352">
            <v>0</v>
          </cell>
          <cell r="AC352">
            <v>500</v>
          </cell>
          <cell r="AD352">
            <v>46460</v>
          </cell>
          <cell r="AE352">
            <v>43200</v>
          </cell>
          <cell r="AF352">
            <v>0</v>
          </cell>
          <cell r="AG352">
            <v>0</v>
          </cell>
          <cell r="AH352">
            <v>0</v>
          </cell>
          <cell r="AI352">
            <v>2760</v>
          </cell>
          <cell r="AJ352">
            <v>0</v>
          </cell>
          <cell r="AK352">
            <v>0</v>
          </cell>
          <cell r="AL352">
            <v>0</v>
          </cell>
          <cell r="AM352">
            <v>500</v>
          </cell>
          <cell r="AN352">
            <v>32246</v>
          </cell>
          <cell r="AO352">
            <v>0</v>
          </cell>
          <cell r="AP352">
            <v>32246</v>
          </cell>
          <cell r="AQ352" t="str">
            <v>스토리위즈</v>
          </cell>
          <cell r="AR352" t="str">
            <v>권용찬</v>
          </cell>
        </row>
        <row r="353">
          <cell r="N353" t="str">
            <v>김온별(러브마인)</v>
          </cell>
          <cell r="O353" t="str">
            <v>Y</v>
          </cell>
          <cell r="P353">
            <v>0.7</v>
          </cell>
          <cell r="Q353">
            <v>0.6</v>
          </cell>
          <cell r="R353" t="str">
            <v>시리즈 이용권 패키지</v>
          </cell>
          <cell r="S353">
            <v>900</v>
          </cell>
          <cell r="T353">
            <v>5400</v>
          </cell>
          <cell r="U353">
            <v>4300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1100</v>
          </cell>
          <cell r="AD353">
            <v>5400</v>
          </cell>
          <cell r="AE353">
            <v>4300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1100</v>
          </cell>
          <cell r="AN353">
            <v>3780</v>
          </cell>
          <cell r="AO353">
            <v>0</v>
          </cell>
          <cell r="AP353">
            <v>3780</v>
          </cell>
          <cell r="AQ353" t="str">
            <v>스토리위즈</v>
          </cell>
          <cell r="AR353" t="str">
            <v>김온별</v>
          </cell>
        </row>
        <row r="354">
          <cell r="N354" t="str">
            <v>권용찬</v>
          </cell>
          <cell r="O354" t="str">
            <v>Y</v>
          </cell>
          <cell r="P354">
            <v>0.7</v>
          </cell>
          <cell r="Q354">
            <v>0.6</v>
          </cell>
          <cell r="R354" t="str">
            <v>시리즈 이용권 패키지</v>
          </cell>
          <cell r="S354">
            <v>9000</v>
          </cell>
          <cell r="T354">
            <v>19400</v>
          </cell>
          <cell r="U354">
            <v>9900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9000</v>
          </cell>
          <cell r="AA354">
            <v>0</v>
          </cell>
          <cell r="AB354">
            <v>0</v>
          </cell>
          <cell r="AC354">
            <v>500</v>
          </cell>
          <cell r="AD354">
            <v>20300</v>
          </cell>
          <cell r="AE354">
            <v>9900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9900</v>
          </cell>
          <cell r="AK354">
            <v>0</v>
          </cell>
          <cell r="AL354">
            <v>0</v>
          </cell>
          <cell r="AM354">
            <v>500</v>
          </cell>
          <cell r="AN354">
            <v>13220</v>
          </cell>
          <cell r="AO354">
            <v>0</v>
          </cell>
          <cell r="AP354">
            <v>13220</v>
          </cell>
          <cell r="AQ354" t="str">
            <v>스토리위즈</v>
          </cell>
          <cell r="AR354" t="str">
            <v>권용찬</v>
          </cell>
        </row>
        <row r="355">
          <cell r="N355" t="str">
            <v>권용찬</v>
          </cell>
          <cell r="O355" t="str">
            <v>Y</v>
          </cell>
          <cell r="P355">
            <v>0.7</v>
          </cell>
          <cell r="Q355">
            <v>0.6</v>
          </cell>
          <cell r="R355" t="str">
            <v>시리즈 이용권 패키지</v>
          </cell>
          <cell r="S355">
            <v>9100</v>
          </cell>
          <cell r="T355">
            <v>9100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9100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10920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10920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6552</v>
          </cell>
          <cell r="AO355">
            <v>0</v>
          </cell>
          <cell r="AP355">
            <v>6552</v>
          </cell>
          <cell r="AQ355" t="str">
            <v>스토리위즈</v>
          </cell>
          <cell r="AR355" t="str">
            <v>권용찬</v>
          </cell>
        </row>
        <row r="356">
          <cell r="N356" t="str">
            <v>독고진</v>
          </cell>
          <cell r="O356" t="str">
            <v>Y</v>
          </cell>
          <cell r="P356">
            <v>0.7</v>
          </cell>
          <cell r="Q356">
            <v>0.6</v>
          </cell>
          <cell r="R356" t="str">
            <v>단일 이용권</v>
          </cell>
          <cell r="S356">
            <v>100</v>
          </cell>
          <cell r="T356">
            <v>52100</v>
          </cell>
          <cell r="U356">
            <v>12600</v>
          </cell>
          <cell r="V356">
            <v>0</v>
          </cell>
          <cell r="W356">
            <v>0</v>
          </cell>
          <cell r="X356">
            <v>0</v>
          </cell>
          <cell r="Y356">
            <v>1500</v>
          </cell>
          <cell r="Z356">
            <v>100</v>
          </cell>
          <cell r="AA356">
            <v>0</v>
          </cell>
          <cell r="AB356">
            <v>0</v>
          </cell>
          <cell r="AC356">
            <v>37900</v>
          </cell>
          <cell r="AD356">
            <v>52410</v>
          </cell>
          <cell r="AE356">
            <v>12600</v>
          </cell>
          <cell r="AF356">
            <v>0</v>
          </cell>
          <cell r="AG356">
            <v>0</v>
          </cell>
          <cell r="AH356">
            <v>0</v>
          </cell>
          <cell r="AI356">
            <v>1800</v>
          </cell>
          <cell r="AJ356">
            <v>110</v>
          </cell>
          <cell r="AK356">
            <v>0</v>
          </cell>
          <cell r="AL356">
            <v>0</v>
          </cell>
          <cell r="AM356">
            <v>37900</v>
          </cell>
          <cell r="AN356">
            <v>36496</v>
          </cell>
          <cell r="AO356">
            <v>0</v>
          </cell>
          <cell r="AP356">
            <v>36496</v>
          </cell>
          <cell r="AQ356" t="str">
            <v>스토리위즈</v>
          </cell>
          <cell r="AR356" t="str">
            <v>독고진</v>
          </cell>
        </row>
        <row r="357">
          <cell r="N357" t="str">
            <v>김온별(러브마인)</v>
          </cell>
          <cell r="O357" t="str">
            <v>Y</v>
          </cell>
          <cell r="P357">
            <v>0.7</v>
          </cell>
          <cell r="Q357">
            <v>0.6</v>
          </cell>
          <cell r="R357" t="str">
            <v>시리즈 이용권 패키지</v>
          </cell>
          <cell r="S357">
            <v>4500</v>
          </cell>
          <cell r="T357">
            <v>13500</v>
          </cell>
          <cell r="U357">
            <v>13500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13500</v>
          </cell>
          <cell r="AE357">
            <v>13500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9450</v>
          </cell>
          <cell r="AO357">
            <v>0</v>
          </cell>
          <cell r="AP357">
            <v>9450</v>
          </cell>
          <cell r="AQ357" t="str">
            <v>스토리위즈</v>
          </cell>
          <cell r="AR357" t="str">
            <v>김온별</v>
          </cell>
        </row>
        <row r="358">
          <cell r="N358" t="str">
            <v>권용찬</v>
          </cell>
          <cell r="O358" t="str">
            <v>Y</v>
          </cell>
          <cell r="P358">
            <v>0.7</v>
          </cell>
          <cell r="Q358">
            <v>0.6</v>
          </cell>
          <cell r="R358" t="str">
            <v>시리즈 이용권 패키지</v>
          </cell>
          <cell r="S358">
            <v>24800</v>
          </cell>
          <cell r="T358">
            <v>6100</v>
          </cell>
          <cell r="U358">
            <v>6100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6100</v>
          </cell>
          <cell r="AE358">
            <v>6100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4270</v>
          </cell>
          <cell r="AO358">
            <v>0</v>
          </cell>
          <cell r="AP358">
            <v>4270</v>
          </cell>
          <cell r="AQ358" t="str">
            <v>스토리위즈</v>
          </cell>
          <cell r="AR358" t="str">
            <v>권용찬</v>
          </cell>
        </row>
        <row r="359">
          <cell r="N359" t="str">
            <v>독고진</v>
          </cell>
          <cell r="O359" t="str">
            <v>Y</v>
          </cell>
          <cell r="P359">
            <v>0.7</v>
          </cell>
          <cell r="Q359">
            <v>0.6</v>
          </cell>
          <cell r="R359" t="str">
            <v>시리즈 이용권 패키지</v>
          </cell>
          <cell r="S359">
            <v>2700</v>
          </cell>
          <cell r="T359">
            <v>32100</v>
          </cell>
          <cell r="U359">
            <v>17500</v>
          </cell>
          <cell r="V359">
            <v>0</v>
          </cell>
          <cell r="W359">
            <v>0</v>
          </cell>
          <cell r="X359">
            <v>0</v>
          </cell>
          <cell r="Y359">
            <v>2700</v>
          </cell>
          <cell r="Z359">
            <v>0</v>
          </cell>
          <cell r="AA359">
            <v>0</v>
          </cell>
          <cell r="AB359">
            <v>0</v>
          </cell>
          <cell r="AC359">
            <v>11900</v>
          </cell>
          <cell r="AD359">
            <v>32640</v>
          </cell>
          <cell r="AE359">
            <v>17500</v>
          </cell>
          <cell r="AF359">
            <v>0</v>
          </cell>
          <cell r="AG359">
            <v>0</v>
          </cell>
          <cell r="AH359">
            <v>0</v>
          </cell>
          <cell r="AI359">
            <v>3240</v>
          </cell>
          <cell r="AJ359">
            <v>0</v>
          </cell>
          <cell r="AK359">
            <v>0</v>
          </cell>
          <cell r="AL359">
            <v>0</v>
          </cell>
          <cell r="AM359">
            <v>11900</v>
          </cell>
          <cell r="AN359">
            <v>22524</v>
          </cell>
          <cell r="AO359">
            <v>0</v>
          </cell>
          <cell r="AP359">
            <v>22524</v>
          </cell>
          <cell r="AQ359" t="str">
            <v>스토리위즈</v>
          </cell>
          <cell r="AR359" t="str">
            <v>독고진</v>
          </cell>
        </row>
        <row r="360">
          <cell r="N360" t="str">
            <v>독고진</v>
          </cell>
          <cell r="O360" t="str">
            <v>Y</v>
          </cell>
          <cell r="P360">
            <v>0.7</v>
          </cell>
          <cell r="Q360">
            <v>0.6</v>
          </cell>
          <cell r="R360" t="str">
            <v>시리즈 이용권 패키지</v>
          </cell>
          <cell r="S360">
            <v>4500</v>
          </cell>
          <cell r="T360">
            <v>19000</v>
          </cell>
          <cell r="U360">
            <v>19200</v>
          </cell>
          <cell r="V360">
            <v>0</v>
          </cell>
          <cell r="W360">
            <v>0</v>
          </cell>
          <cell r="X360">
            <v>0</v>
          </cell>
          <cell r="Y360">
            <v>-200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18960</v>
          </cell>
          <cell r="AE360">
            <v>19200</v>
          </cell>
          <cell r="AF360">
            <v>0</v>
          </cell>
          <cell r="AG360">
            <v>0</v>
          </cell>
          <cell r="AH360">
            <v>0</v>
          </cell>
          <cell r="AI360">
            <v>-240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13296</v>
          </cell>
          <cell r="AO360">
            <v>0</v>
          </cell>
          <cell r="AP360">
            <v>13296</v>
          </cell>
          <cell r="AQ360" t="str">
            <v>스토리위즈</v>
          </cell>
          <cell r="AR360" t="str">
            <v>독고진</v>
          </cell>
        </row>
        <row r="361">
          <cell r="N361" t="str">
            <v>Livingston</v>
          </cell>
          <cell r="O361" t="str">
            <v>Y</v>
          </cell>
          <cell r="P361">
            <v>0.7</v>
          </cell>
          <cell r="Q361">
            <v>0.6</v>
          </cell>
          <cell r="R361" t="str">
            <v>단일 이용권</v>
          </cell>
          <cell r="S361">
            <v>100</v>
          </cell>
          <cell r="T361">
            <v>2500</v>
          </cell>
          <cell r="U361">
            <v>500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2000</v>
          </cell>
          <cell r="AD361">
            <v>2500</v>
          </cell>
          <cell r="AE361">
            <v>500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2000</v>
          </cell>
          <cell r="AN361">
            <v>1750</v>
          </cell>
          <cell r="AO361">
            <v>0</v>
          </cell>
          <cell r="AP361">
            <v>1750</v>
          </cell>
          <cell r="AQ361" t="str">
            <v>스토리위즈</v>
          </cell>
          <cell r="AR361" t="str">
            <v>Livingston</v>
          </cell>
        </row>
        <row r="362">
          <cell r="N362" t="str">
            <v>세상</v>
          </cell>
          <cell r="O362" t="str">
            <v>Y</v>
          </cell>
          <cell r="P362">
            <v>0.7</v>
          </cell>
          <cell r="Q362">
            <v>0.6</v>
          </cell>
          <cell r="R362" t="str">
            <v>시리즈 이용권 패키지</v>
          </cell>
          <cell r="S362">
            <v>8400</v>
          </cell>
          <cell r="T362">
            <v>8400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8400</v>
          </cell>
          <cell r="AD362">
            <v>8400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8400</v>
          </cell>
          <cell r="AN362">
            <v>5880</v>
          </cell>
          <cell r="AO362">
            <v>0</v>
          </cell>
          <cell r="AP362">
            <v>5880</v>
          </cell>
          <cell r="AQ362" t="str">
            <v>스토리위즈</v>
          </cell>
          <cell r="AR362" t="str">
            <v>세상</v>
          </cell>
        </row>
        <row r="363">
          <cell r="N363" t="str">
            <v>독고진</v>
          </cell>
          <cell r="O363" t="str">
            <v>Y</v>
          </cell>
          <cell r="P363">
            <v>0.7</v>
          </cell>
          <cell r="Q363">
            <v>0.6</v>
          </cell>
          <cell r="R363" t="str">
            <v>시리즈 이용권 패키지</v>
          </cell>
          <cell r="S363">
            <v>9000</v>
          </cell>
          <cell r="T363">
            <v>135300</v>
          </cell>
          <cell r="U363">
            <v>107800</v>
          </cell>
          <cell r="V363">
            <v>0</v>
          </cell>
          <cell r="W363">
            <v>0</v>
          </cell>
          <cell r="X363">
            <v>-2200</v>
          </cell>
          <cell r="Y363">
            <v>27000</v>
          </cell>
          <cell r="Z363">
            <v>0</v>
          </cell>
          <cell r="AA363">
            <v>0</v>
          </cell>
          <cell r="AB363">
            <v>0</v>
          </cell>
          <cell r="AC363">
            <v>2700</v>
          </cell>
          <cell r="AD363">
            <v>139854.8278</v>
          </cell>
          <cell r="AE363">
            <v>107800</v>
          </cell>
          <cell r="AF363">
            <v>0</v>
          </cell>
          <cell r="AG363">
            <v>0</v>
          </cell>
          <cell r="AH363">
            <v>-3045.1722</v>
          </cell>
          <cell r="AI363">
            <v>32400</v>
          </cell>
          <cell r="AJ363">
            <v>0</v>
          </cell>
          <cell r="AK363">
            <v>0</v>
          </cell>
          <cell r="AL363">
            <v>0</v>
          </cell>
          <cell r="AM363">
            <v>2700</v>
          </cell>
          <cell r="AN363">
            <v>94963</v>
          </cell>
          <cell r="AO363">
            <v>0</v>
          </cell>
          <cell r="AP363">
            <v>94963</v>
          </cell>
          <cell r="AQ363" t="str">
            <v>스토리위즈</v>
          </cell>
          <cell r="AR363" t="str">
            <v>독고진</v>
          </cell>
        </row>
        <row r="364">
          <cell r="N364" t="str">
            <v>무성매직</v>
          </cell>
          <cell r="O364" t="str">
            <v>Y</v>
          </cell>
          <cell r="P364">
            <v>0.7</v>
          </cell>
          <cell r="Q364">
            <v>0.6</v>
          </cell>
          <cell r="R364" t="str">
            <v>단일 이용권</v>
          </cell>
          <cell r="S364">
            <v>100</v>
          </cell>
          <cell r="T364">
            <v>7800</v>
          </cell>
          <cell r="U364">
            <v>3000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4800</v>
          </cell>
          <cell r="AD364">
            <v>7800</v>
          </cell>
          <cell r="AE364">
            <v>3000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4800</v>
          </cell>
          <cell r="AN364">
            <v>5460</v>
          </cell>
          <cell r="AO364">
            <v>0</v>
          </cell>
          <cell r="AP364">
            <v>5460</v>
          </cell>
          <cell r="AQ364" t="str">
            <v>스토리위즈</v>
          </cell>
          <cell r="AR364" t="str">
            <v>무성매직</v>
          </cell>
        </row>
        <row r="365">
          <cell r="N365" t="str">
            <v>전혁</v>
          </cell>
          <cell r="O365" t="str">
            <v>Y</v>
          </cell>
          <cell r="P365">
            <v>0.7</v>
          </cell>
          <cell r="Q365">
            <v>0.6</v>
          </cell>
          <cell r="R365" t="str">
            <v>단일 이용권</v>
          </cell>
          <cell r="S365">
            <v>100</v>
          </cell>
          <cell r="T365">
            <v>7100</v>
          </cell>
          <cell r="U365">
            <v>2000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5100</v>
          </cell>
          <cell r="AD365">
            <v>7100</v>
          </cell>
          <cell r="AE365">
            <v>2000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5100</v>
          </cell>
          <cell r="AN365">
            <v>4970</v>
          </cell>
          <cell r="AO365">
            <v>0</v>
          </cell>
          <cell r="AP365">
            <v>4970</v>
          </cell>
          <cell r="AQ365" t="str">
            <v>스토리위즈</v>
          </cell>
          <cell r="AR365" t="str">
            <v>전혁</v>
          </cell>
        </row>
        <row r="366">
          <cell r="N366" t="str">
            <v>무성매직</v>
          </cell>
          <cell r="O366" t="str">
            <v>Y</v>
          </cell>
          <cell r="P366">
            <v>0.7</v>
          </cell>
          <cell r="Q366">
            <v>0.6</v>
          </cell>
          <cell r="R366" t="str">
            <v>시리즈 이용권 패키지</v>
          </cell>
          <cell r="S366">
            <v>2700</v>
          </cell>
          <cell r="T366">
            <v>11600</v>
          </cell>
          <cell r="U366">
            <v>11400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200</v>
          </cell>
          <cell r="AD366">
            <v>11600</v>
          </cell>
          <cell r="AE366">
            <v>11400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200</v>
          </cell>
          <cell r="AN366">
            <v>8120</v>
          </cell>
          <cell r="AO366">
            <v>0</v>
          </cell>
          <cell r="AP366">
            <v>8120</v>
          </cell>
          <cell r="AQ366" t="str">
            <v>스토리위즈</v>
          </cell>
          <cell r="AR366" t="str">
            <v>무성매직</v>
          </cell>
        </row>
        <row r="367">
          <cell r="N367" t="str">
            <v>전혁</v>
          </cell>
          <cell r="O367" t="str">
            <v>Y</v>
          </cell>
          <cell r="P367">
            <v>0.7</v>
          </cell>
          <cell r="Q367">
            <v>0.6</v>
          </cell>
          <cell r="R367" t="str">
            <v>시리즈 이용권 패키지</v>
          </cell>
          <cell r="S367">
            <v>2700</v>
          </cell>
          <cell r="T367">
            <v>4200</v>
          </cell>
          <cell r="U367">
            <v>3400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800</v>
          </cell>
          <cell r="AD367">
            <v>4200</v>
          </cell>
          <cell r="AE367">
            <v>3400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800</v>
          </cell>
          <cell r="AN367">
            <v>2940</v>
          </cell>
          <cell r="AO367">
            <v>0</v>
          </cell>
          <cell r="AP367">
            <v>2940</v>
          </cell>
          <cell r="AQ367" t="str">
            <v>스토리위즈</v>
          </cell>
          <cell r="AR367" t="str">
            <v>전혁</v>
          </cell>
        </row>
        <row r="368">
          <cell r="N368" t="str">
            <v>무성매직</v>
          </cell>
          <cell r="O368" t="str">
            <v>Y</v>
          </cell>
          <cell r="P368">
            <v>0.7</v>
          </cell>
          <cell r="Q368">
            <v>0.6</v>
          </cell>
          <cell r="R368" t="str">
            <v>시리즈 이용권 패키지</v>
          </cell>
          <cell r="S368">
            <v>4500</v>
          </cell>
          <cell r="T368">
            <v>4500</v>
          </cell>
          <cell r="U368">
            <v>4500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4500</v>
          </cell>
          <cell r="AE368">
            <v>4500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3150</v>
          </cell>
          <cell r="AO368">
            <v>0</v>
          </cell>
          <cell r="AP368">
            <v>3150</v>
          </cell>
          <cell r="AQ368" t="str">
            <v>스토리위즈</v>
          </cell>
          <cell r="AR368" t="str">
            <v>무성매직</v>
          </cell>
        </row>
        <row r="369">
          <cell r="N369" t="str">
            <v>밈스</v>
          </cell>
          <cell r="O369" t="str">
            <v>Y</v>
          </cell>
          <cell r="P369">
            <v>0.7</v>
          </cell>
          <cell r="Q369">
            <v>0.6</v>
          </cell>
          <cell r="R369" t="str">
            <v>단일 이용권</v>
          </cell>
          <cell r="S369">
            <v>100</v>
          </cell>
          <cell r="T369">
            <v>5700</v>
          </cell>
          <cell r="U369">
            <v>3260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2440</v>
          </cell>
          <cell r="AD369">
            <v>5700</v>
          </cell>
          <cell r="AE369">
            <v>3260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2440</v>
          </cell>
          <cell r="AN369">
            <v>3990</v>
          </cell>
          <cell r="AO369">
            <v>0</v>
          </cell>
          <cell r="AP369">
            <v>3990</v>
          </cell>
          <cell r="AQ369" t="str">
            <v>스토리위즈</v>
          </cell>
          <cell r="AR369" t="str">
            <v>밈스</v>
          </cell>
        </row>
        <row r="370">
          <cell r="N370" t="str">
            <v>전혁</v>
          </cell>
          <cell r="O370" t="str">
            <v>Y</v>
          </cell>
          <cell r="P370">
            <v>0.7</v>
          </cell>
          <cell r="Q370">
            <v>0.6</v>
          </cell>
          <cell r="R370" t="str">
            <v>시리즈 이용권 패키지</v>
          </cell>
          <cell r="S370">
            <v>4500</v>
          </cell>
          <cell r="T370">
            <v>13500</v>
          </cell>
          <cell r="U370">
            <v>13300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200</v>
          </cell>
          <cell r="AD370">
            <v>13500</v>
          </cell>
          <cell r="AE370">
            <v>13300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200</v>
          </cell>
          <cell r="AN370">
            <v>9450</v>
          </cell>
          <cell r="AO370">
            <v>0</v>
          </cell>
          <cell r="AP370">
            <v>9450</v>
          </cell>
          <cell r="AQ370" t="str">
            <v>스토리위즈</v>
          </cell>
          <cell r="AR370" t="str">
            <v>전혁</v>
          </cell>
        </row>
        <row r="371">
          <cell r="N371" t="str">
            <v>밈스</v>
          </cell>
          <cell r="O371" t="str">
            <v>Y</v>
          </cell>
          <cell r="P371">
            <v>0.7</v>
          </cell>
          <cell r="Q371">
            <v>0.6</v>
          </cell>
          <cell r="R371" t="str">
            <v>시리즈 이용권 패키지</v>
          </cell>
          <cell r="S371">
            <v>900</v>
          </cell>
          <cell r="T371">
            <v>11700</v>
          </cell>
          <cell r="U371">
            <v>9900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1800</v>
          </cell>
          <cell r="AD371">
            <v>11700</v>
          </cell>
          <cell r="AE371">
            <v>9900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1800</v>
          </cell>
          <cell r="AN371">
            <v>8190</v>
          </cell>
          <cell r="AO371">
            <v>0</v>
          </cell>
          <cell r="AP371">
            <v>8190</v>
          </cell>
          <cell r="AQ371" t="str">
            <v>스토리위즈</v>
          </cell>
          <cell r="AR371" t="str">
            <v>밈스</v>
          </cell>
        </row>
        <row r="372">
          <cell r="N372" t="str">
            <v>전혁</v>
          </cell>
          <cell r="O372" t="str">
            <v>Y</v>
          </cell>
          <cell r="P372">
            <v>0.7</v>
          </cell>
          <cell r="Q372">
            <v>0.6</v>
          </cell>
          <cell r="R372" t="str">
            <v>시리즈 이용권 패키지</v>
          </cell>
          <cell r="S372">
            <v>9000</v>
          </cell>
          <cell r="T372">
            <v>9000</v>
          </cell>
          <cell r="U372">
            <v>9000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9000</v>
          </cell>
          <cell r="AE372">
            <v>9000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6300</v>
          </cell>
          <cell r="AO372">
            <v>0</v>
          </cell>
          <cell r="AP372">
            <v>6300</v>
          </cell>
          <cell r="AQ372" t="str">
            <v>스토리위즈</v>
          </cell>
          <cell r="AR372" t="str">
            <v>전혁</v>
          </cell>
        </row>
        <row r="373">
          <cell r="N373" t="str">
            <v>밈스</v>
          </cell>
          <cell r="O373" t="str">
            <v>Y</v>
          </cell>
          <cell r="P373">
            <v>0.7</v>
          </cell>
          <cell r="Q373">
            <v>0.6</v>
          </cell>
          <cell r="R373" t="str">
            <v>시리즈 이용권 패키지</v>
          </cell>
          <cell r="S373">
            <v>1800</v>
          </cell>
          <cell r="T373">
            <v>10800</v>
          </cell>
          <cell r="U373">
            <v>7600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3200</v>
          </cell>
          <cell r="AD373">
            <v>10800</v>
          </cell>
          <cell r="AE373">
            <v>7600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3200</v>
          </cell>
          <cell r="AN373">
            <v>7560</v>
          </cell>
          <cell r="AO373">
            <v>0</v>
          </cell>
          <cell r="AP373">
            <v>7560</v>
          </cell>
          <cell r="AQ373" t="str">
            <v>스토리위즈</v>
          </cell>
          <cell r="AR373" t="str">
            <v>밈스</v>
          </cell>
        </row>
        <row r="374">
          <cell r="N374" t="str">
            <v>밈스</v>
          </cell>
          <cell r="O374" t="str">
            <v>Y</v>
          </cell>
          <cell r="P374">
            <v>0.7</v>
          </cell>
          <cell r="Q374">
            <v>0.6</v>
          </cell>
          <cell r="R374" t="str">
            <v>시리즈 이용권 패키지</v>
          </cell>
          <cell r="S374">
            <v>2700</v>
          </cell>
          <cell r="T374">
            <v>23800</v>
          </cell>
          <cell r="U374">
            <v>19600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4200</v>
          </cell>
          <cell r="AD374">
            <v>23800</v>
          </cell>
          <cell r="AE374">
            <v>19600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4200</v>
          </cell>
          <cell r="AN374">
            <v>16660</v>
          </cell>
          <cell r="AO374">
            <v>0</v>
          </cell>
          <cell r="AP374">
            <v>16660</v>
          </cell>
          <cell r="AQ374" t="str">
            <v>스토리위즈</v>
          </cell>
          <cell r="AR374" t="str">
            <v>밈스</v>
          </cell>
        </row>
        <row r="375">
          <cell r="N375" t="str">
            <v>빵양이</v>
          </cell>
          <cell r="O375" t="str">
            <v>Y</v>
          </cell>
          <cell r="P375">
            <v>0.7</v>
          </cell>
          <cell r="Q375">
            <v>0.6</v>
          </cell>
          <cell r="R375" t="str">
            <v>단일 이용권</v>
          </cell>
          <cell r="S375">
            <v>100</v>
          </cell>
          <cell r="T375">
            <v>20800</v>
          </cell>
          <cell r="U375">
            <v>1900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18900</v>
          </cell>
          <cell r="AD375">
            <v>20800</v>
          </cell>
          <cell r="AE375">
            <v>1900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18900</v>
          </cell>
          <cell r="AN375">
            <v>14560</v>
          </cell>
          <cell r="AO375">
            <v>0</v>
          </cell>
          <cell r="AP375">
            <v>14560</v>
          </cell>
          <cell r="AQ375" t="str">
            <v>스토리위즈</v>
          </cell>
          <cell r="AR375" t="str">
            <v>빵양이</v>
          </cell>
        </row>
        <row r="376">
          <cell r="N376" t="str">
            <v>구이</v>
          </cell>
          <cell r="O376" t="str">
            <v>Y</v>
          </cell>
          <cell r="P376">
            <v>0.7</v>
          </cell>
          <cell r="Q376">
            <v>0.6</v>
          </cell>
          <cell r="R376" t="str">
            <v>단일 이용권</v>
          </cell>
          <cell r="S376">
            <v>100</v>
          </cell>
          <cell r="T376">
            <v>400</v>
          </cell>
          <cell r="U376">
            <v>400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400</v>
          </cell>
          <cell r="AE376">
            <v>400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280</v>
          </cell>
          <cell r="AO376">
            <v>0</v>
          </cell>
          <cell r="AP376">
            <v>280</v>
          </cell>
          <cell r="AQ376" t="str">
            <v>스토리위즈</v>
          </cell>
          <cell r="AR376" t="str">
            <v>구이</v>
          </cell>
        </row>
        <row r="377">
          <cell r="N377" t="str">
            <v>빵양이</v>
          </cell>
          <cell r="O377" t="str">
            <v>Y</v>
          </cell>
          <cell r="P377">
            <v>0.7</v>
          </cell>
          <cell r="Q377">
            <v>0.6</v>
          </cell>
          <cell r="R377" t="str">
            <v>시리즈 이용권 패키지</v>
          </cell>
          <cell r="S377">
            <v>900</v>
          </cell>
          <cell r="T377">
            <v>7700</v>
          </cell>
          <cell r="U377">
            <v>1770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5930</v>
          </cell>
          <cell r="AD377">
            <v>7700</v>
          </cell>
          <cell r="AE377">
            <v>1770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5930</v>
          </cell>
          <cell r="AN377">
            <v>5390</v>
          </cell>
          <cell r="AO377">
            <v>0</v>
          </cell>
          <cell r="AP377">
            <v>5390</v>
          </cell>
          <cell r="AQ377" t="str">
            <v>스토리위즈</v>
          </cell>
          <cell r="AR377" t="str">
            <v>빵양이</v>
          </cell>
        </row>
        <row r="378">
          <cell r="N378" t="str">
            <v>권용찬</v>
          </cell>
          <cell r="O378" t="str">
            <v>Y</v>
          </cell>
          <cell r="P378">
            <v>0.7</v>
          </cell>
          <cell r="Q378">
            <v>0.6</v>
          </cell>
          <cell r="R378" t="str">
            <v>단일 대여 이용권</v>
          </cell>
          <cell r="S378">
            <v>900</v>
          </cell>
          <cell r="T378">
            <v>18900</v>
          </cell>
          <cell r="U378">
            <v>17100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1800</v>
          </cell>
          <cell r="AD378">
            <v>18900</v>
          </cell>
          <cell r="AE378">
            <v>17100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1800</v>
          </cell>
          <cell r="AN378">
            <v>13230</v>
          </cell>
          <cell r="AO378">
            <v>0</v>
          </cell>
          <cell r="AP378">
            <v>13230</v>
          </cell>
          <cell r="AQ378" t="str">
            <v>스토리위즈</v>
          </cell>
          <cell r="AR378" t="str">
            <v>권용찬</v>
          </cell>
        </row>
        <row r="379">
          <cell r="N379" t="str">
            <v>빵양이</v>
          </cell>
          <cell r="O379" t="str">
            <v>Y</v>
          </cell>
          <cell r="P379">
            <v>0.7</v>
          </cell>
          <cell r="Q379">
            <v>0.6</v>
          </cell>
          <cell r="R379" t="str">
            <v>시리즈 이용권 패키지</v>
          </cell>
          <cell r="S379">
            <v>2700</v>
          </cell>
          <cell r="T379">
            <v>2700</v>
          </cell>
          <cell r="U379">
            <v>2700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2700</v>
          </cell>
          <cell r="AE379">
            <v>2700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1890</v>
          </cell>
          <cell r="AO379">
            <v>0</v>
          </cell>
          <cell r="AP379">
            <v>1890</v>
          </cell>
          <cell r="AQ379" t="str">
            <v>스토리위즈</v>
          </cell>
          <cell r="AR379" t="str">
            <v>빵양이</v>
          </cell>
        </row>
        <row r="380">
          <cell r="N380" t="str">
            <v>블 루 스 카 이</v>
          </cell>
          <cell r="O380" t="str">
            <v>Y</v>
          </cell>
          <cell r="P380">
            <v>0.7</v>
          </cell>
          <cell r="Q380">
            <v>0.6</v>
          </cell>
          <cell r="R380" t="str">
            <v>단일 이용권</v>
          </cell>
          <cell r="S380">
            <v>100</v>
          </cell>
          <cell r="T380">
            <v>1900</v>
          </cell>
          <cell r="U380">
            <v>1000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900</v>
          </cell>
          <cell r="AD380">
            <v>1900</v>
          </cell>
          <cell r="AE380">
            <v>1000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900</v>
          </cell>
          <cell r="AN380">
            <v>1330</v>
          </cell>
          <cell r="AO380">
            <v>0</v>
          </cell>
          <cell r="AP380">
            <v>1330</v>
          </cell>
          <cell r="AQ380" t="str">
            <v>스토리위즈</v>
          </cell>
          <cell r="AR380" t="str">
            <v>블 루 스 카 이</v>
          </cell>
        </row>
        <row r="381">
          <cell r="N381" t="str">
            <v>권용찬</v>
          </cell>
          <cell r="O381" t="str">
            <v>Y</v>
          </cell>
          <cell r="P381">
            <v>0.7</v>
          </cell>
          <cell r="Q381">
            <v>0.6</v>
          </cell>
          <cell r="R381" t="str">
            <v>단일 대여 이용권</v>
          </cell>
          <cell r="S381">
            <v>900</v>
          </cell>
          <cell r="T381">
            <v>21600</v>
          </cell>
          <cell r="U381">
            <v>21500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100</v>
          </cell>
          <cell r="AD381">
            <v>21600</v>
          </cell>
          <cell r="AE381">
            <v>21500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100</v>
          </cell>
          <cell r="AN381">
            <v>15120</v>
          </cell>
          <cell r="AO381">
            <v>0</v>
          </cell>
          <cell r="AP381">
            <v>15120</v>
          </cell>
          <cell r="AQ381" t="str">
            <v>스토리위즈</v>
          </cell>
          <cell r="AR381" t="str">
            <v>권용찬</v>
          </cell>
        </row>
        <row r="382">
          <cell r="N382" t="str">
            <v>세상</v>
          </cell>
          <cell r="O382" t="str">
            <v>Y</v>
          </cell>
          <cell r="P382">
            <v>0.7</v>
          </cell>
          <cell r="Q382">
            <v>0.6</v>
          </cell>
          <cell r="R382" t="str">
            <v>단일 이용권</v>
          </cell>
          <cell r="S382">
            <v>100</v>
          </cell>
          <cell r="T382">
            <v>6300</v>
          </cell>
          <cell r="U382">
            <v>1100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1000</v>
          </cell>
          <cell r="AA382">
            <v>0</v>
          </cell>
          <cell r="AB382">
            <v>0</v>
          </cell>
          <cell r="AC382">
            <v>4200</v>
          </cell>
          <cell r="AD382">
            <v>6400</v>
          </cell>
          <cell r="AE382">
            <v>1100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1100</v>
          </cell>
          <cell r="AK382">
            <v>0</v>
          </cell>
          <cell r="AL382">
            <v>0</v>
          </cell>
          <cell r="AM382">
            <v>4200</v>
          </cell>
          <cell r="AN382">
            <v>4370</v>
          </cell>
          <cell r="AO382">
            <v>0</v>
          </cell>
          <cell r="AP382">
            <v>4370</v>
          </cell>
          <cell r="AQ382" t="str">
            <v>스토리위즈</v>
          </cell>
          <cell r="AR382" t="str">
            <v>세상</v>
          </cell>
        </row>
        <row r="383">
          <cell r="N383" t="str">
            <v>허니레몬</v>
          </cell>
          <cell r="O383" t="str">
            <v>Y</v>
          </cell>
          <cell r="P383">
            <v>0.7</v>
          </cell>
          <cell r="Q383">
            <v>0.6</v>
          </cell>
          <cell r="R383" t="str">
            <v>단일 이용권</v>
          </cell>
          <cell r="S383">
            <v>100</v>
          </cell>
          <cell r="T383">
            <v>200</v>
          </cell>
          <cell r="U383">
            <v>100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100</v>
          </cell>
          <cell r="AD383">
            <v>200</v>
          </cell>
          <cell r="AE383">
            <v>100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100</v>
          </cell>
          <cell r="AN383">
            <v>140</v>
          </cell>
          <cell r="AO383">
            <v>0</v>
          </cell>
          <cell r="AP383">
            <v>140</v>
          </cell>
          <cell r="AQ383" t="str">
            <v>스토리위즈</v>
          </cell>
          <cell r="AR383" t="str">
            <v>아이리스</v>
          </cell>
        </row>
        <row r="384">
          <cell r="N384" t="str">
            <v>블 루 스 카 이</v>
          </cell>
          <cell r="O384" t="str">
            <v>Y</v>
          </cell>
          <cell r="P384">
            <v>0.7</v>
          </cell>
          <cell r="Q384">
            <v>0.6</v>
          </cell>
          <cell r="R384" t="str">
            <v>시리즈 이용권 패키지</v>
          </cell>
          <cell r="S384">
            <v>900</v>
          </cell>
          <cell r="T384">
            <v>7700</v>
          </cell>
          <cell r="U384">
            <v>7200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500</v>
          </cell>
          <cell r="AD384">
            <v>7700</v>
          </cell>
          <cell r="AE384">
            <v>7200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500</v>
          </cell>
          <cell r="AN384">
            <v>5390</v>
          </cell>
          <cell r="AO384">
            <v>0</v>
          </cell>
          <cell r="AP384">
            <v>5390</v>
          </cell>
          <cell r="AQ384" t="str">
            <v>스토리위즈</v>
          </cell>
          <cell r="AR384" t="str">
            <v>블 루 스 카 이</v>
          </cell>
        </row>
        <row r="385">
          <cell r="N385" t="str">
            <v>권용찬</v>
          </cell>
          <cell r="O385" t="str">
            <v>Y</v>
          </cell>
          <cell r="P385">
            <v>0.7</v>
          </cell>
          <cell r="Q385">
            <v>0.6</v>
          </cell>
          <cell r="R385" t="str">
            <v>단일 대여 이용권</v>
          </cell>
          <cell r="S385">
            <v>900</v>
          </cell>
          <cell r="T385">
            <v>17100</v>
          </cell>
          <cell r="U385">
            <v>15300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1800</v>
          </cell>
          <cell r="AD385">
            <v>17100</v>
          </cell>
          <cell r="AE385">
            <v>15300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1800</v>
          </cell>
          <cell r="AN385">
            <v>11970</v>
          </cell>
          <cell r="AO385">
            <v>0</v>
          </cell>
          <cell r="AP385">
            <v>11970</v>
          </cell>
          <cell r="AQ385" t="str">
            <v>스토리위즈</v>
          </cell>
          <cell r="AR385" t="str">
            <v>권용찬</v>
          </cell>
        </row>
        <row r="386">
          <cell r="N386" t="str">
            <v>세상</v>
          </cell>
          <cell r="O386" t="str">
            <v>Y</v>
          </cell>
          <cell r="P386">
            <v>0.7</v>
          </cell>
          <cell r="Q386">
            <v>0.6</v>
          </cell>
          <cell r="R386" t="str">
            <v>시리즈 이용권 패키지</v>
          </cell>
          <cell r="S386">
            <v>1900</v>
          </cell>
          <cell r="T386">
            <v>7600</v>
          </cell>
          <cell r="U386">
            <v>3800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1900</v>
          </cell>
          <cell r="AA386">
            <v>0</v>
          </cell>
          <cell r="AB386">
            <v>0</v>
          </cell>
          <cell r="AC386">
            <v>1900</v>
          </cell>
          <cell r="AD386">
            <v>7790</v>
          </cell>
          <cell r="AE386">
            <v>3800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2090</v>
          </cell>
          <cell r="AK386">
            <v>0</v>
          </cell>
          <cell r="AL386">
            <v>0</v>
          </cell>
          <cell r="AM386">
            <v>1900</v>
          </cell>
          <cell r="AN386">
            <v>5244</v>
          </cell>
          <cell r="AO386">
            <v>0</v>
          </cell>
          <cell r="AP386">
            <v>5244</v>
          </cell>
          <cell r="AQ386" t="str">
            <v>스토리위즈</v>
          </cell>
          <cell r="AR386" t="str">
            <v>세상</v>
          </cell>
        </row>
        <row r="387">
          <cell r="N387" t="str">
            <v>허니레몬</v>
          </cell>
          <cell r="O387" t="str">
            <v>Y</v>
          </cell>
          <cell r="P387">
            <v>0.7</v>
          </cell>
          <cell r="Q387">
            <v>0.6</v>
          </cell>
          <cell r="R387" t="str">
            <v>시리즈 이용권 패키지</v>
          </cell>
          <cell r="S387">
            <v>900</v>
          </cell>
          <cell r="T387">
            <v>1800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1800</v>
          </cell>
          <cell r="AD387">
            <v>1800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1800</v>
          </cell>
          <cell r="AN387">
            <v>1260</v>
          </cell>
          <cell r="AO387">
            <v>0</v>
          </cell>
          <cell r="AP387">
            <v>1260</v>
          </cell>
          <cell r="AQ387" t="str">
            <v>스토리위즈</v>
          </cell>
          <cell r="AR387" t="str">
            <v>아이리스</v>
          </cell>
        </row>
        <row r="388">
          <cell r="N388" t="str">
            <v>블 루 스 카 이</v>
          </cell>
          <cell r="O388" t="str">
            <v>Y</v>
          </cell>
          <cell r="P388">
            <v>0.7</v>
          </cell>
          <cell r="Q388">
            <v>0.6</v>
          </cell>
          <cell r="R388" t="str">
            <v>시리즈 이용권 패키지</v>
          </cell>
          <cell r="S388">
            <v>7200</v>
          </cell>
          <cell r="T388">
            <v>5400</v>
          </cell>
          <cell r="U388">
            <v>5400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5400</v>
          </cell>
          <cell r="AE388">
            <v>5400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3780</v>
          </cell>
          <cell r="AO388">
            <v>0</v>
          </cell>
          <cell r="AP388">
            <v>3780</v>
          </cell>
          <cell r="AQ388" t="str">
            <v>스토리위즈</v>
          </cell>
          <cell r="AR388" t="str">
            <v>블 루 스 카 이</v>
          </cell>
        </row>
        <row r="389">
          <cell r="N389" t="str">
            <v>온서</v>
          </cell>
          <cell r="O389" t="str">
            <v>Y</v>
          </cell>
          <cell r="P389">
            <v>0.7</v>
          </cell>
          <cell r="Q389">
            <v>0.6</v>
          </cell>
          <cell r="R389" t="str">
            <v>단일 이용권</v>
          </cell>
          <cell r="S389">
            <v>100</v>
          </cell>
          <cell r="T389">
            <v>500</v>
          </cell>
          <cell r="U389">
            <v>500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500</v>
          </cell>
          <cell r="AE389">
            <v>500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350</v>
          </cell>
          <cell r="AO389">
            <v>0</v>
          </cell>
          <cell r="AP389">
            <v>350</v>
          </cell>
          <cell r="AQ389" t="str">
            <v>스토리위즈</v>
          </cell>
          <cell r="AR389" t="str">
            <v>온서</v>
          </cell>
        </row>
        <row r="390">
          <cell r="N390" t="str">
            <v>세상</v>
          </cell>
          <cell r="O390" t="str">
            <v>Y</v>
          </cell>
          <cell r="P390">
            <v>0.7</v>
          </cell>
          <cell r="Q390">
            <v>0.6</v>
          </cell>
          <cell r="R390" t="str">
            <v>시리즈 이용권 패키지</v>
          </cell>
          <cell r="S390">
            <v>5400</v>
          </cell>
          <cell r="T390">
            <v>5400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5400</v>
          </cell>
          <cell r="AA390">
            <v>0</v>
          </cell>
          <cell r="AB390">
            <v>0</v>
          </cell>
          <cell r="AC390">
            <v>0</v>
          </cell>
          <cell r="AD390">
            <v>5940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5940</v>
          </cell>
          <cell r="AK390">
            <v>0</v>
          </cell>
          <cell r="AL390">
            <v>0</v>
          </cell>
          <cell r="AM390">
            <v>0</v>
          </cell>
          <cell r="AN390">
            <v>3564</v>
          </cell>
          <cell r="AO390">
            <v>0</v>
          </cell>
          <cell r="AP390">
            <v>3564</v>
          </cell>
          <cell r="AQ390" t="str">
            <v>스토리위즈</v>
          </cell>
          <cell r="AR390" t="str">
            <v>세상</v>
          </cell>
        </row>
        <row r="391">
          <cell r="N391" t="str">
            <v>김정률</v>
          </cell>
          <cell r="O391" t="str">
            <v>Y</v>
          </cell>
          <cell r="P391">
            <v>0.7</v>
          </cell>
          <cell r="Q391">
            <v>0.6</v>
          </cell>
          <cell r="R391" t="str">
            <v>단일 이용권</v>
          </cell>
          <cell r="S391">
            <v>100</v>
          </cell>
          <cell r="T391">
            <v>65200</v>
          </cell>
          <cell r="U391">
            <v>9000</v>
          </cell>
          <cell r="V391">
            <v>0</v>
          </cell>
          <cell r="W391">
            <v>0</v>
          </cell>
          <cell r="X391">
            <v>0</v>
          </cell>
          <cell r="Y391">
            <v>1100</v>
          </cell>
          <cell r="Z391">
            <v>2800</v>
          </cell>
          <cell r="AA391">
            <v>0</v>
          </cell>
          <cell r="AB391">
            <v>0</v>
          </cell>
          <cell r="AC391">
            <v>52300</v>
          </cell>
          <cell r="AD391">
            <v>65700</v>
          </cell>
          <cell r="AE391">
            <v>9000</v>
          </cell>
          <cell r="AF391">
            <v>0</v>
          </cell>
          <cell r="AG391">
            <v>0</v>
          </cell>
          <cell r="AH391">
            <v>0</v>
          </cell>
          <cell r="AI391">
            <v>1320</v>
          </cell>
          <cell r="AJ391">
            <v>3080</v>
          </cell>
          <cell r="AK391">
            <v>0</v>
          </cell>
          <cell r="AL391">
            <v>0</v>
          </cell>
          <cell r="AM391">
            <v>52300</v>
          </cell>
          <cell r="AN391">
            <v>45550</v>
          </cell>
          <cell r="AO391">
            <v>0</v>
          </cell>
          <cell r="AP391">
            <v>45550</v>
          </cell>
          <cell r="AQ391" t="str">
            <v>스토리위즈</v>
          </cell>
          <cell r="AR391" t="str">
            <v>김정률</v>
          </cell>
        </row>
        <row r="392">
          <cell r="N392" t="str">
            <v>김정률</v>
          </cell>
          <cell r="O392" t="str">
            <v>Y</v>
          </cell>
          <cell r="P392">
            <v>0.7</v>
          </cell>
          <cell r="Q392">
            <v>0.6</v>
          </cell>
          <cell r="R392" t="str">
            <v>시리즈 이용권 패키지</v>
          </cell>
          <cell r="S392">
            <v>2300</v>
          </cell>
          <cell r="T392">
            <v>80500</v>
          </cell>
          <cell r="U392">
            <v>70900</v>
          </cell>
          <cell r="V392">
            <v>0</v>
          </cell>
          <cell r="W392">
            <v>0</v>
          </cell>
          <cell r="X392">
            <v>0</v>
          </cell>
          <cell r="Y392">
            <v>4600</v>
          </cell>
          <cell r="Z392">
            <v>0</v>
          </cell>
          <cell r="AA392">
            <v>0</v>
          </cell>
          <cell r="AB392">
            <v>0</v>
          </cell>
          <cell r="AC392">
            <v>5000</v>
          </cell>
          <cell r="AD392">
            <v>81420</v>
          </cell>
          <cell r="AE392">
            <v>70900</v>
          </cell>
          <cell r="AF392">
            <v>0</v>
          </cell>
          <cell r="AG392">
            <v>0</v>
          </cell>
          <cell r="AH392">
            <v>0</v>
          </cell>
          <cell r="AI392">
            <v>5520</v>
          </cell>
          <cell r="AJ392">
            <v>0</v>
          </cell>
          <cell r="AK392">
            <v>0</v>
          </cell>
          <cell r="AL392">
            <v>0</v>
          </cell>
          <cell r="AM392">
            <v>5000</v>
          </cell>
          <cell r="AN392">
            <v>56442</v>
          </cell>
          <cell r="AO392">
            <v>0</v>
          </cell>
          <cell r="AP392">
            <v>56442</v>
          </cell>
          <cell r="AQ392" t="str">
            <v>스토리위즈</v>
          </cell>
          <cell r="AR392" t="str">
            <v>김정률</v>
          </cell>
        </row>
        <row r="393">
          <cell r="N393" t="str">
            <v>스내치</v>
          </cell>
          <cell r="O393" t="str">
            <v>Y</v>
          </cell>
          <cell r="P393">
            <v>0.7</v>
          </cell>
          <cell r="Q393">
            <v>0.6</v>
          </cell>
          <cell r="R393" t="str">
            <v>단일 이용권</v>
          </cell>
          <cell r="S393">
            <v>100</v>
          </cell>
          <cell r="T393">
            <v>1600</v>
          </cell>
          <cell r="U393">
            <v>200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1400</v>
          </cell>
          <cell r="AD393">
            <v>1600</v>
          </cell>
          <cell r="AE393">
            <v>200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1400</v>
          </cell>
          <cell r="AN393">
            <v>1120</v>
          </cell>
          <cell r="AO393">
            <v>0</v>
          </cell>
          <cell r="AP393">
            <v>1120</v>
          </cell>
          <cell r="AQ393" t="str">
            <v>스토리위즈</v>
          </cell>
          <cell r="AR393" t="str">
            <v>스내치</v>
          </cell>
        </row>
        <row r="394">
          <cell r="N394" t="str">
            <v>김정률</v>
          </cell>
          <cell r="O394" t="str">
            <v>Y</v>
          </cell>
          <cell r="P394">
            <v>0.7</v>
          </cell>
          <cell r="Q394">
            <v>0.6</v>
          </cell>
          <cell r="R394" t="str">
            <v>시리즈 이용권 패키지</v>
          </cell>
          <cell r="S394">
            <v>9000</v>
          </cell>
          <cell r="T394">
            <v>189000</v>
          </cell>
          <cell r="U394">
            <v>121100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45000</v>
          </cell>
          <cell r="AA394">
            <v>0</v>
          </cell>
          <cell r="AB394">
            <v>0</v>
          </cell>
          <cell r="AC394">
            <v>22900</v>
          </cell>
          <cell r="AD394">
            <v>193500</v>
          </cell>
          <cell r="AE394">
            <v>121100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49500</v>
          </cell>
          <cell r="AK394">
            <v>0</v>
          </cell>
          <cell r="AL394">
            <v>0</v>
          </cell>
          <cell r="AM394">
            <v>22900</v>
          </cell>
          <cell r="AN394">
            <v>130500</v>
          </cell>
          <cell r="AO394">
            <v>0</v>
          </cell>
          <cell r="AP394">
            <v>130500</v>
          </cell>
          <cell r="AQ394" t="str">
            <v>스토리위즈</v>
          </cell>
          <cell r="AR394" t="str">
            <v>김정률</v>
          </cell>
        </row>
        <row r="395">
          <cell r="N395" t="str">
            <v>스내치</v>
          </cell>
          <cell r="O395" t="str">
            <v>Y</v>
          </cell>
          <cell r="P395">
            <v>0.7</v>
          </cell>
          <cell r="Q395">
            <v>0.6</v>
          </cell>
          <cell r="R395" t="str">
            <v>시리즈 이용권 패키지</v>
          </cell>
          <cell r="S395">
            <v>900</v>
          </cell>
          <cell r="T395">
            <v>4500</v>
          </cell>
          <cell r="U395">
            <v>1000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3500</v>
          </cell>
          <cell r="AD395">
            <v>4500</v>
          </cell>
          <cell r="AE395">
            <v>1000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3500</v>
          </cell>
          <cell r="AN395">
            <v>3150</v>
          </cell>
          <cell r="AO395">
            <v>0</v>
          </cell>
          <cell r="AP395">
            <v>3150</v>
          </cell>
          <cell r="AQ395" t="str">
            <v>스토리위즈</v>
          </cell>
          <cell r="AR395" t="str">
            <v>스내치</v>
          </cell>
        </row>
        <row r="396">
          <cell r="N396" t="str">
            <v>김정률</v>
          </cell>
          <cell r="O396" t="str">
            <v>Y</v>
          </cell>
          <cell r="P396">
            <v>0.7</v>
          </cell>
          <cell r="Q396">
            <v>0.6</v>
          </cell>
          <cell r="R396" t="str">
            <v>시리즈 이용권 패키지</v>
          </cell>
          <cell r="S396">
            <v>27000</v>
          </cell>
          <cell r="T396">
            <v>-19200</v>
          </cell>
          <cell r="U396">
            <v>-19200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-19200</v>
          </cell>
          <cell r="AE396">
            <v>-19200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-13440</v>
          </cell>
          <cell r="AO396">
            <v>0</v>
          </cell>
          <cell r="AP396">
            <v>-13440</v>
          </cell>
          <cell r="AQ396" t="str">
            <v>스토리위즈</v>
          </cell>
          <cell r="AR396" t="str">
            <v>김정률</v>
          </cell>
        </row>
        <row r="397">
          <cell r="N397" t="str">
            <v>스내치</v>
          </cell>
          <cell r="O397" t="str">
            <v>Y</v>
          </cell>
          <cell r="P397">
            <v>0.7</v>
          </cell>
          <cell r="Q397">
            <v>0.6</v>
          </cell>
          <cell r="R397" t="str">
            <v>시리즈 이용권 패키지</v>
          </cell>
          <cell r="S397">
            <v>1800</v>
          </cell>
          <cell r="T397">
            <v>1800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1800</v>
          </cell>
          <cell r="AD397">
            <v>1800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1800</v>
          </cell>
          <cell r="AN397">
            <v>1260</v>
          </cell>
          <cell r="AO397">
            <v>0</v>
          </cell>
          <cell r="AP397">
            <v>1260</v>
          </cell>
          <cell r="AQ397" t="str">
            <v>스토리위즈</v>
          </cell>
          <cell r="AR397" t="str">
            <v>스내치</v>
          </cell>
        </row>
        <row r="398">
          <cell r="N398" t="str">
            <v>모리미</v>
          </cell>
          <cell r="O398" t="str">
            <v>Y</v>
          </cell>
          <cell r="P398">
            <v>0.7</v>
          </cell>
          <cell r="Q398">
            <v>0.6</v>
          </cell>
          <cell r="R398" t="str">
            <v>단일 이용권</v>
          </cell>
          <cell r="S398">
            <v>100</v>
          </cell>
          <cell r="T398">
            <v>33100</v>
          </cell>
          <cell r="U398">
            <v>17600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300</v>
          </cell>
          <cell r="AA398">
            <v>0</v>
          </cell>
          <cell r="AB398">
            <v>0</v>
          </cell>
          <cell r="AC398">
            <v>15200</v>
          </cell>
          <cell r="AD398">
            <v>33130</v>
          </cell>
          <cell r="AE398">
            <v>17600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330</v>
          </cell>
          <cell r="AK398">
            <v>0</v>
          </cell>
          <cell r="AL398">
            <v>0</v>
          </cell>
          <cell r="AM398">
            <v>15200</v>
          </cell>
          <cell r="AN398">
            <v>23158</v>
          </cell>
          <cell r="AO398">
            <v>0</v>
          </cell>
          <cell r="AP398">
            <v>23158</v>
          </cell>
          <cell r="AQ398" t="str">
            <v>스토리위즈</v>
          </cell>
          <cell r="AR398" t="str">
            <v>모리미</v>
          </cell>
        </row>
        <row r="399">
          <cell r="N399" t="str">
            <v>모리미</v>
          </cell>
          <cell r="O399" t="str">
            <v>Y</v>
          </cell>
          <cell r="P399">
            <v>0.7</v>
          </cell>
          <cell r="Q399">
            <v>0.6</v>
          </cell>
          <cell r="R399" t="str">
            <v>단일 이용권</v>
          </cell>
          <cell r="S399">
            <v>100</v>
          </cell>
          <cell r="T399">
            <v>21600</v>
          </cell>
          <cell r="U399">
            <v>5600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1200</v>
          </cell>
          <cell r="AA399">
            <v>0</v>
          </cell>
          <cell r="AB399">
            <v>0</v>
          </cell>
          <cell r="AC399">
            <v>14800</v>
          </cell>
          <cell r="AD399">
            <v>21720</v>
          </cell>
          <cell r="AE399">
            <v>5600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1320</v>
          </cell>
          <cell r="AK399">
            <v>0</v>
          </cell>
          <cell r="AL399">
            <v>0</v>
          </cell>
          <cell r="AM399">
            <v>14800</v>
          </cell>
          <cell r="AN399">
            <v>15072</v>
          </cell>
          <cell r="AO399">
            <v>0</v>
          </cell>
          <cell r="AP399">
            <v>15072</v>
          </cell>
          <cell r="AQ399" t="str">
            <v>스토리위즈</v>
          </cell>
          <cell r="AR399" t="str">
            <v>모리미</v>
          </cell>
        </row>
        <row r="400">
          <cell r="N400" t="str">
            <v>모리미</v>
          </cell>
          <cell r="O400" t="str">
            <v>Y</v>
          </cell>
          <cell r="P400">
            <v>0.7</v>
          </cell>
          <cell r="Q400">
            <v>0.6</v>
          </cell>
          <cell r="R400" t="str">
            <v>시리즈 이용권 패키지</v>
          </cell>
          <cell r="S400">
            <v>900</v>
          </cell>
          <cell r="T400">
            <v>31700</v>
          </cell>
          <cell r="U400">
            <v>25100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6600</v>
          </cell>
          <cell r="AD400">
            <v>31700</v>
          </cell>
          <cell r="AE400">
            <v>25100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6600</v>
          </cell>
          <cell r="AN400">
            <v>22190</v>
          </cell>
          <cell r="AO400">
            <v>0</v>
          </cell>
          <cell r="AP400">
            <v>22190</v>
          </cell>
          <cell r="AQ400" t="str">
            <v>스토리위즈</v>
          </cell>
          <cell r="AR400" t="str">
            <v>모리미</v>
          </cell>
        </row>
        <row r="401">
          <cell r="N401" t="str">
            <v>모리미</v>
          </cell>
          <cell r="O401" t="str">
            <v>Y</v>
          </cell>
          <cell r="P401">
            <v>0.7</v>
          </cell>
          <cell r="Q401">
            <v>0.6</v>
          </cell>
          <cell r="R401" t="str">
            <v>시리즈 이용권 패키지</v>
          </cell>
          <cell r="S401">
            <v>900</v>
          </cell>
          <cell r="T401">
            <v>21700</v>
          </cell>
          <cell r="U401">
            <v>12700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9000</v>
          </cell>
          <cell r="AD401">
            <v>21700</v>
          </cell>
          <cell r="AE401">
            <v>12700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9000</v>
          </cell>
          <cell r="AN401">
            <v>15190</v>
          </cell>
          <cell r="AO401">
            <v>0</v>
          </cell>
          <cell r="AP401">
            <v>15190</v>
          </cell>
          <cell r="AQ401" t="str">
            <v>스토리위즈</v>
          </cell>
          <cell r="AR401" t="str">
            <v>모리미</v>
          </cell>
        </row>
        <row r="402">
          <cell r="N402" t="str">
            <v>윈델</v>
          </cell>
          <cell r="O402" t="str">
            <v>Y</v>
          </cell>
          <cell r="P402">
            <v>0.7</v>
          </cell>
          <cell r="Q402">
            <v>0.6</v>
          </cell>
          <cell r="R402" t="str">
            <v>단일 이용권</v>
          </cell>
          <cell r="S402">
            <v>100</v>
          </cell>
          <cell r="T402">
            <v>163300</v>
          </cell>
          <cell r="U402">
            <v>52800</v>
          </cell>
          <cell r="V402">
            <v>0</v>
          </cell>
          <cell r="W402">
            <v>0</v>
          </cell>
          <cell r="X402">
            <v>0</v>
          </cell>
          <cell r="Y402">
            <v>600</v>
          </cell>
          <cell r="Z402">
            <v>700</v>
          </cell>
          <cell r="AA402">
            <v>0</v>
          </cell>
          <cell r="AB402">
            <v>0</v>
          </cell>
          <cell r="AC402">
            <v>109200</v>
          </cell>
          <cell r="AD402">
            <v>163490</v>
          </cell>
          <cell r="AE402">
            <v>52800</v>
          </cell>
          <cell r="AF402">
            <v>0</v>
          </cell>
          <cell r="AG402">
            <v>0</v>
          </cell>
          <cell r="AH402">
            <v>0</v>
          </cell>
          <cell r="AI402">
            <v>720</v>
          </cell>
          <cell r="AJ402">
            <v>770</v>
          </cell>
          <cell r="AK402">
            <v>0</v>
          </cell>
          <cell r="AL402">
            <v>0</v>
          </cell>
          <cell r="AM402">
            <v>109200</v>
          </cell>
          <cell r="AN402">
            <v>114294</v>
          </cell>
          <cell r="AO402">
            <v>0</v>
          </cell>
          <cell r="AP402">
            <v>114294</v>
          </cell>
          <cell r="AQ402" t="str">
            <v>스토리위즈</v>
          </cell>
          <cell r="AR402" t="str">
            <v>윈델</v>
          </cell>
        </row>
        <row r="403">
          <cell r="N403" t="str">
            <v>모리미</v>
          </cell>
          <cell r="O403" t="str">
            <v>Y</v>
          </cell>
          <cell r="P403">
            <v>0.7</v>
          </cell>
          <cell r="Q403">
            <v>0.6</v>
          </cell>
          <cell r="R403" t="str">
            <v>시리즈 이용권 패키지</v>
          </cell>
          <cell r="S403">
            <v>2700</v>
          </cell>
          <cell r="T403">
            <v>10800</v>
          </cell>
          <cell r="U403">
            <v>10700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100</v>
          </cell>
          <cell r="AD403">
            <v>10800</v>
          </cell>
          <cell r="AE403">
            <v>10700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100</v>
          </cell>
          <cell r="AN403">
            <v>7560</v>
          </cell>
          <cell r="AO403">
            <v>0</v>
          </cell>
          <cell r="AP403">
            <v>7560</v>
          </cell>
          <cell r="AQ403" t="str">
            <v>스토리위즈</v>
          </cell>
          <cell r="AR403" t="str">
            <v>모리미</v>
          </cell>
        </row>
        <row r="404">
          <cell r="N404" t="str">
            <v>모리미</v>
          </cell>
          <cell r="O404" t="str">
            <v>Y</v>
          </cell>
          <cell r="P404">
            <v>0.7</v>
          </cell>
          <cell r="Q404">
            <v>0.6</v>
          </cell>
          <cell r="R404" t="str">
            <v>시리즈 이용권 패키지</v>
          </cell>
          <cell r="S404">
            <v>2700</v>
          </cell>
          <cell r="T404">
            <v>8100</v>
          </cell>
          <cell r="U404">
            <v>5400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2700</v>
          </cell>
          <cell r="AD404">
            <v>8100</v>
          </cell>
          <cell r="AE404">
            <v>5400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2700</v>
          </cell>
          <cell r="AN404">
            <v>5670</v>
          </cell>
          <cell r="AO404">
            <v>0</v>
          </cell>
          <cell r="AP404">
            <v>5670</v>
          </cell>
          <cell r="AQ404" t="str">
            <v>스토리위즈</v>
          </cell>
          <cell r="AR404" t="str">
            <v>모리미</v>
          </cell>
        </row>
        <row r="405">
          <cell r="N405" t="str">
            <v>윈델</v>
          </cell>
          <cell r="O405" t="str">
            <v>Y</v>
          </cell>
          <cell r="P405">
            <v>0.7</v>
          </cell>
          <cell r="Q405">
            <v>0.6</v>
          </cell>
          <cell r="R405" t="str">
            <v>시리즈 이용권 패키지</v>
          </cell>
          <cell r="S405">
            <v>2400</v>
          </cell>
          <cell r="T405">
            <v>144000</v>
          </cell>
          <cell r="U405">
            <v>115480</v>
          </cell>
          <cell r="V405">
            <v>0</v>
          </cell>
          <cell r="W405">
            <v>0</v>
          </cell>
          <cell r="X405">
            <v>0</v>
          </cell>
          <cell r="Y405">
            <v>400</v>
          </cell>
          <cell r="Z405">
            <v>4800</v>
          </cell>
          <cell r="AA405">
            <v>0</v>
          </cell>
          <cell r="AB405">
            <v>0</v>
          </cell>
          <cell r="AC405">
            <v>23320</v>
          </cell>
          <cell r="AD405">
            <v>144560</v>
          </cell>
          <cell r="AE405">
            <v>115480</v>
          </cell>
          <cell r="AF405">
            <v>0</v>
          </cell>
          <cell r="AG405">
            <v>0</v>
          </cell>
          <cell r="AH405">
            <v>0</v>
          </cell>
          <cell r="AI405">
            <v>480</v>
          </cell>
          <cell r="AJ405">
            <v>5280</v>
          </cell>
          <cell r="AK405">
            <v>0</v>
          </cell>
          <cell r="AL405">
            <v>0</v>
          </cell>
          <cell r="AM405">
            <v>23320</v>
          </cell>
          <cell r="AN405">
            <v>100616</v>
          </cell>
          <cell r="AO405">
            <v>0</v>
          </cell>
          <cell r="AP405">
            <v>100616</v>
          </cell>
          <cell r="AQ405" t="str">
            <v>스토리위즈</v>
          </cell>
          <cell r="AR405" t="str">
            <v>윈델</v>
          </cell>
        </row>
        <row r="406">
          <cell r="N406" t="str">
            <v>김정률</v>
          </cell>
          <cell r="O406" t="str">
            <v>Y</v>
          </cell>
          <cell r="P406">
            <v>0.7</v>
          </cell>
          <cell r="Q406">
            <v>0.6</v>
          </cell>
          <cell r="R406" t="str">
            <v>단일 이용권</v>
          </cell>
          <cell r="S406">
            <v>100</v>
          </cell>
          <cell r="T406">
            <v>16600</v>
          </cell>
          <cell r="U406">
            <v>4300</v>
          </cell>
          <cell r="V406">
            <v>0</v>
          </cell>
          <cell r="W406">
            <v>0</v>
          </cell>
          <cell r="X406">
            <v>0</v>
          </cell>
          <cell r="Y406">
            <v>200</v>
          </cell>
          <cell r="Z406">
            <v>2300</v>
          </cell>
          <cell r="AA406">
            <v>0</v>
          </cell>
          <cell r="AB406">
            <v>0</v>
          </cell>
          <cell r="AC406">
            <v>9800</v>
          </cell>
          <cell r="AD406">
            <v>16870</v>
          </cell>
          <cell r="AE406">
            <v>4300</v>
          </cell>
          <cell r="AF406">
            <v>0</v>
          </cell>
          <cell r="AG406">
            <v>0</v>
          </cell>
          <cell r="AH406">
            <v>0</v>
          </cell>
          <cell r="AI406">
            <v>240</v>
          </cell>
          <cell r="AJ406">
            <v>2530</v>
          </cell>
          <cell r="AK406">
            <v>0</v>
          </cell>
          <cell r="AL406">
            <v>0</v>
          </cell>
          <cell r="AM406">
            <v>9800</v>
          </cell>
          <cell r="AN406">
            <v>11532</v>
          </cell>
          <cell r="AO406">
            <v>0</v>
          </cell>
          <cell r="AP406">
            <v>11532</v>
          </cell>
          <cell r="AQ406" t="str">
            <v>스토리위즈</v>
          </cell>
          <cell r="AR406" t="str">
            <v>김정률</v>
          </cell>
        </row>
        <row r="407">
          <cell r="N407" t="str">
            <v>주이서</v>
          </cell>
          <cell r="O407" t="str">
            <v>Y</v>
          </cell>
          <cell r="P407">
            <v>0.7</v>
          </cell>
          <cell r="Q407">
            <v>0.6</v>
          </cell>
          <cell r="R407" t="str">
            <v>단일 이용권</v>
          </cell>
          <cell r="S407">
            <v>100</v>
          </cell>
          <cell r="T407">
            <v>7400</v>
          </cell>
          <cell r="U407">
            <v>2200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5200</v>
          </cell>
          <cell r="AD407">
            <v>7400</v>
          </cell>
          <cell r="AE407">
            <v>2200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5200</v>
          </cell>
          <cell r="AN407">
            <v>5180</v>
          </cell>
          <cell r="AO407">
            <v>0</v>
          </cell>
          <cell r="AP407">
            <v>5180</v>
          </cell>
          <cell r="AQ407" t="str">
            <v>스토리위즈</v>
          </cell>
          <cell r="AR407" t="str">
            <v>주이서</v>
          </cell>
        </row>
        <row r="408">
          <cell r="N408" t="str">
            <v>아슈크림</v>
          </cell>
          <cell r="O408" t="str">
            <v>Y</v>
          </cell>
          <cell r="P408">
            <v>0.7</v>
          </cell>
          <cell r="Q408">
            <v>0.6</v>
          </cell>
          <cell r="R408" t="str">
            <v>단일 이용권</v>
          </cell>
          <cell r="S408">
            <v>100</v>
          </cell>
          <cell r="T408">
            <v>8000</v>
          </cell>
          <cell r="U408">
            <v>5800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2200</v>
          </cell>
          <cell r="AD408">
            <v>8000</v>
          </cell>
          <cell r="AE408">
            <v>5800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2200</v>
          </cell>
          <cell r="AN408">
            <v>5600</v>
          </cell>
          <cell r="AO408">
            <v>0</v>
          </cell>
          <cell r="AP408">
            <v>5600</v>
          </cell>
          <cell r="AQ408" t="str">
            <v>스토리위즈</v>
          </cell>
          <cell r="AR408" t="str">
            <v>아슈크림</v>
          </cell>
        </row>
        <row r="409">
          <cell r="N409" t="str">
            <v>모리미</v>
          </cell>
          <cell r="O409" t="str">
            <v>Y</v>
          </cell>
          <cell r="P409">
            <v>0.7</v>
          </cell>
          <cell r="Q409">
            <v>0.6</v>
          </cell>
          <cell r="R409" t="str">
            <v>시리즈 이용권 패키지</v>
          </cell>
          <cell r="S409">
            <v>5400</v>
          </cell>
          <cell r="T409">
            <v>27300</v>
          </cell>
          <cell r="U409">
            <v>21100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300</v>
          </cell>
          <cell r="AA409">
            <v>0</v>
          </cell>
          <cell r="AB409">
            <v>0</v>
          </cell>
          <cell r="AC409">
            <v>5900</v>
          </cell>
          <cell r="AD409">
            <v>27330</v>
          </cell>
          <cell r="AE409">
            <v>21100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330</v>
          </cell>
          <cell r="AK409">
            <v>0</v>
          </cell>
          <cell r="AL409">
            <v>0</v>
          </cell>
          <cell r="AM409">
            <v>5900</v>
          </cell>
          <cell r="AN409">
            <v>19098</v>
          </cell>
          <cell r="AO409">
            <v>0</v>
          </cell>
          <cell r="AP409">
            <v>19098</v>
          </cell>
          <cell r="AQ409" t="str">
            <v>스토리위즈</v>
          </cell>
          <cell r="AR409" t="str">
            <v>모리미</v>
          </cell>
        </row>
        <row r="410">
          <cell r="N410" t="str">
            <v>꽃잠</v>
          </cell>
          <cell r="O410" t="str">
            <v>Y</v>
          </cell>
          <cell r="P410">
            <v>0.7</v>
          </cell>
          <cell r="Q410">
            <v>0.6</v>
          </cell>
          <cell r="R410" t="str">
            <v>단일 이용권</v>
          </cell>
          <cell r="S410">
            <v>100</v>
          </cell>
          <cell r="T410">
            <v>1800</v>
          </cell>
          <cell r="U410">
            <v>500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1300</v>
          </cell>
          <cell r="AD410">
            <v>1800</v>
          </cell>
          <cell r="AE410">
            <v>500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1300</v>
          </cell>
          <cell r="AN410">
            <v>1260</v>
          </cell>
          <cell r="AO410">
            <v>0</v>
          </cell>
          <cell r="AP410">
            <v>1260</v>
          </cell>
          <cell r="AQ410" t="str">
            <v>스토리위즈</v>
          </cell>
          <cell r="AR410" t="str">
            <v>꽃잠</v>
          </cell>
        </row>
        <row r="411">
          <cell r="N411" t="str">
            <v>모리미</v>
          </cell>
          <cell r="O411" t="str">
            <v>Y</v>
          </cell>
          <cell r="P411">
            <v>0.7</v>
          </cell>
          <cell r="Q411">
            <v>0.6</v>
          </cell>
          <cell r="R411" t="str">
            <v>시리즈 이용권 패키지</v>
          </cell>
          <cell r="S411">
            <v>4500</v>
          </cell>
          <cell r="T411">
            <v>27000</v>
          </cell>
          <cell r="U411">
            <v>22500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4500</v>
          </cell>
          <cell r="AA411">
            <v>0</v>
          </cell>
          <cell r="AB411">
            <v>0</v>
          </cell>
          <cell r="AC411">
            <v>0</v>
          </cell>
          <cell r="AD411">
            <v>27450</v>
          </cell>
          <cell r="AE411">
            <v>22500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4950</v>
          </cell>
          <cell r="AK411">
            <v>0</v>
          </cell>
          <cell r="AL411">
            <v>0</v>
          </cell>
          <cell r="AM411">
            <v>0</v>
          </cell>
          <cell r="AN411">
            <v>18720</v>
          </cell>
          <cell r="AO411">
            <v>0</v>
          </cell>
          <cell r="AP411">
            <v>18720</v>
          </cell>
          <cell r="AQ411" t="str">
            <v>스토리위즈</v>
          </cell>
          <cell r="AR411" t="str">
            <v>모리미</v>
          </cell>
        </row>
        <row r="412">
          <cell r="N412" t="str">
            <v>윈델</v>
          </cell>
          <cell r="O412" t="str">
            <v>Y</v>
          </cell>
          <cell r="P412">
            <v>0.7</v>
          </cell>
          <cell r="Q412">
            <v>0.6</v>
          </cell>
          <cell r="R412" t="str">
            <v>시리즈 이용권 패키지</v>
          </cell>
          <cell r="S412">
            <v>4700</v>
          </cell>
          <cell r="T412">
            <v>152700</v>
          </cell>
          <cell r="U412">
            <v>119080</v>
          </cell>
          <cell r="V412">
            <v>0</v>
          </cell>
          <cell r="W412">
            <v>0</v>
          </cell>
          <cell r="X412">
            <v>0</v>
          </cell>
          <cell r="Y412">
            <v>-100</v>
          </cell>
          <cell r="Z412">
            <v>17900</v>
          </cell>
          <cell r="AA412">
            <v>0</v>
          </cell>
          <cell r="AB412">
            <v>0</v>
          </cell>
          <cell r="AC412">
            <v>15820</v>
          </cell>
          <cell r="AD412">
            <v>154470</v>
          </cell>
          <cell r="AE412">
            <v>119080</v>
          </cell>
          <cell r="AF412">
            <v>0</v>
          </cell>
          <cell r="AG412">
            <v>0</v>
          </cell>
          <cell r="AH412">
            <v>0</v>
          </cell>
          <cell r="AI412">
            <v>-120</v>
          </cell>
          <cell r="AJ412">
            <v>19690</v>
          </cell>
          <cell r="AK412">
            <v>0</v>
          </cell>
          <cell r="AL412">
            <v>0</v>
          </cell>
          <cell r="AM412">
            <v>15820</v>
          </cell>
          <cell r="AN412">
            <v>106172</v>
          </cell>
          <cell r="AO412">
            <v>0</v>
          </cell>
          <cell r="AP412">
            <v>106172</v>
          </cell>
          <cell r="AQ412" t="str">
            <v>스토리위즈</v>
          </cell>
          <cell r="AR412" t="str">
            <v>윈델</v>
          </cell>
        </row>
        <row r="413">
          <cell r="N413" t="str">
            <v>김정률</v>
          </cell>
          <cell r="O413" t="str">
            <v>Y</v>
          </cell>
          <cell r="P413">
            <v>0.7</v>
          </cell>
          <cell r="Q413">
            <v>0.6</v>
          </cell>
          <cell r="R413" t="str">
            <v>시리즈 이용권 패키지</v>
          </cell>
          <cell r="S413">
            <v>2300</v>
          </cell>
          <cell r="T413">
            <v>23000</v>
          </cell>
          <cell r="U413">
            <v>11500</v>
          </cell>
          <cell r="V413">
            <v>0</v>
          </cell>
          <cell r="W413">
            <v>0</v>
          </cell>
          <cell r="X413">
            <v>0</v>
          </cell>
          <cell r="Y413">
            <v>4600</v>
          </cell>
          <cell r="Z413">
            <v>6900</v>
          </cell>
          <cell r="AA413">
            <v>0</v>
          </cell>
          <cell r="AB413">
            <v>0</v>
          </cell>
          <cell r="AC413">
            <v>0</v>
          </cell>
          <cell r="AD413">
            <v>24610</v>
          </cell>
          <cell r="AE413">
            <v>11500</v>
          </cell>
          <cell r="AF413">
            <v>0</v>
          </cell>
          <cell r="AG413">
            <v>0</v>
          </cell>
          <cell r="AH413">
            <v>0</v>
          </cell>
          <cell r="AI413">
            <v>5520</v>
          </cell>
          <cell r="AJ413">
            <v>7590</v>
          </cell>
          <cell r="AK413">
            <v>0</v>
          </cell>
          <cell r="AL413">
            <v>0</v>
          </cell>
          <cell r="AM413">
            <v>0</v>
          </cell>
          <cell r="AN413">
            <v>15916</v>
          </cell>
          <cell r="AO413">
            <v>0</v>
          </cell>
          <cell r="AP413">
            <v>15916</v>
          </cell>
          <cell r="AQ413" t="str">
            <v>스토리위즈</v>
          </cell>
          <cell r="AR413" t="str">
            <v>김정률</v>
          </cell>
        </row>
        <row r="414">
          <cell r="N414" t="str">
            <v>주이서</v>
          </cell>
          <cell r="O414" t="str">
            <v>Y</v>
          </cell>
          <cell r="P414">
            <v>0.7</v>
          </cell>
          <cell r="Q414">
            <v>0.6</v>
          </cell>
          <cell r="R414" t="str">
            <v>시리즈 이용권 패키지</v>
          </cell>
          <cell r="S414">
            <v>900</v>
          </cell>
          <cell r="T414">
            <v>6300</v>
          </cell>
          <cell r="U414">
            <v>3600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2700</v>
          </cell>
          <cell r="AD414">
            <v>6300</v>
          </cell>
          <cell r="AE414">
            <v>3600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2700</v>
          </cell>
          <cell r="AN414">
            <v>4410</v>
          </cell>
          <cell r="AO414">
            <v>0</v>
          </cell>
          <cell r="AP414">
            <v>4410</v>
          </cell>
          <cell r="AQ414" t="str">
            <v>스토리위즈</v>
          </cell>
          <cell r="AR414" t="str">
            <v>주이서</v>
          </cell>
        </row>
        <row r="415">
          <cell r="N415" t="str">
            <v>아슈크림</v>
          </cell>
          <cell r="O415" t="str">
            <v>Y</v>
          </cell>
          <cell r="P415">
            <v>0.7</v>
          </cell>
          <cell r="Q415">
            <v>0.6</v>
          </cell>
          <cell r="R415" t="str">
            <v>시리즈 이용권 패키지</v>
          </cell>
          <cell r="S415">
            <v>900</v>
          </cell>
          <cell r="T415">
            <v>10800</v>
          </cell>
          <cell r="U415">
            <v>6380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4420</v>
          </cell>
          <cell r="AD415">
            <v>10800</v>
          </cell>
          <cell r="AE415">
            <v>6380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4420</v>
          </cell>
          <cell r="AN415">
            <v>7560</v>
          </cell>
          <cell r="AO415">
            <v>0</v>
          </cell>
          <cell r="AP415">
            <v>7560</v>
          </cell>
          <cell r="AQ415" t="str">
            <v>스토리위즈</v>
          </cell>
          <cell r="AR415" t="str">
            <v>아슈크림</v>
          </cell>
        </row>
        <row r="416">
          <cell r="N416" t="str">
            <v>꽃잠</v>
          </cell>
          <cell r="O416" t="str">
            <v>Y</v>
          </cell>
          <cell r="P416">
            <v>0.7</v>
          </cell>
          <cell r="Q416">
            <v>0.6</v>
          </cell>
          <cell r="R416" t="str">
            <v>시리즈 이용권 패키지</v>
          </cell>
          <cell r="S416">
            <v>900</v>
          </cell>
          <cell r="T416">
            <v>3200</v>
          </cell>
          <cell r="U416">
            <v>3200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3200</v>
          </cell>
          <cell r="AE416">
            <v>3200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2240</v>
          </cell>
          <cell r="AO416">
            <v>0</v>
          </cell>
          <cell r="AP416">
            <v>2240</v>
          </cell>
          <cell r="AQ416" t="str">
            <v>스토리위즈</v>
          </cell>
          <cell r="AR416" t="str">
            <v>꽃잠</v>
          </cell>
        </row>
        <row r="417">
          <cell r="N417" t="str">
            <v>윈델</v>
          </cell>
          <cell r="O417" t="str">
            <v>Y</v>
          </cell>
          <cell r="P417">
            <v>0.7</v>
          </cell>
          <cell r="Q417">
            <v>0.6</v>
          </cell>
          <cell r="R417" t="str">
            <v>시리즈 이용권 패키지</v>
          </cell>
          <cell r="S417">
            <v>7400</v>
          </cell>
          <cell r="T417">
            <v>174400</v>
          </cell>
          <cell r="U417">
            <v>135980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7400</v>
          </cell>
          <cell r="AA417">
            <v>0</v>
          </cell>
          <cell r="AB417">
            <v>0</v>
          </cell>
          <cell r="AC417">
            <v>31020</v>
          </cell>
          <cell r="AD417">
            <v>175140</v>
          </cell>
          <cell r="AE417">
            <v>135980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8140</v>
          </cell>
          <cell r="AK417">
            <v>0</v>
          </cell>
          <cell r="AL417">
            <v>0</v>
          </cell>
          <cell r="AM417">
            <v>31020</v>
          </cell>
          <cell r="AN417">
            <v>121784</v>
          </cell>
          <cell r="AO417">
            <v>0</v>
          </cell>
          <cell r="AP417">
            <v>121784</v>
          </cell>
          <cell r="AQ417" t="str">
            <v>스토리위즈</v>
          </cell>
          <cell r="AR417" t="str">
            <v>윈델</v>
          </cell>
        </row>
        <row r="418">
          <cell r="N418" t="str">
            <v>김정률</v>
          </cell>
          <cell r="O418" t="str">
            <v>Y</v>
          </cell>
          <cell r="P418">
            <v>0.7</v>
          </cell>
          <cell r="Q418">
            <v>0.6</v>
          </cell>
          <cell r="R418" t="str">
            <v>시리즈 이용권 패키지</v>
          </cell>
          <cell r="S418">
            <v>9000</v>
          </cell>
          <cell r="T418">
            <v>36000</v>
          </cell>
          <cell r="U418">
            <v>26980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9000</v>
          </cell>
          <cell r="AA418">
            <v>0</v>
          </cell>
          <cell r="AB418">
            <v>0</v>
          </cell>
          <cell r="AC418">
            <v>20</v>
          </cell>
          <cell r="AD418">
            <v>36900</v>
          </cell>
          <cell r="AE418">
            <v>26980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9900</v>
          </cell>
          <cell r="AK418">
            <v>0</v>
          </cell>
          <cell r="AL418">
            <v>0</v>
          </cell>
          <cell r="AM418">
            <v>20</v>
          </cell>
          <cell r="AN418">
            <v>24840</v>
          </cell>
          <cell r="AO418">
            <v>0</v>
          </cell>
          <cell r="AP418">
            <v>24840</v>
          </cell>
          <cell r="AQ418" t="str">
            <v>스토리위즈</v>
          </cell>
          <cell r="AR418" t="str">
            <v>김정률</v>
          </cell>
        </row>
        <row r="419">
          <cell r="N419" t="str">
            <v>주이서</v>
          </cell>
          <cell r="O419" t="str">
            <v>Y</v>
          </cell>
          <cell r="P419">
            <v>0.7</v>
          </cell>
          <cell r="Q419">
            <v>0.6</v>
          </cell>
          <cell r="R419" t="str">
            <v>시리즈 이용권 패키지</v>
          </cell>
          <cell r="S419">
            <v>1800</v>
          </cell>
          <cell r="T419">
            <v>2500</v>
          </cell>
          <cell r="U419">
            <v>700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1800</v>
          </cell>
          <cell r="AD419">
            <v>2500</v>
          </cell>
          <cell r="AE419">
            <v>700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1800</v>
          </cell>
          <cell r="AN419">
            <v>1750</v>
          </cell>
          <cell r="AO419">
            <v>0</v>
          </cell>
          <cell r="AP419">
            <v>1750</v>
          </cell>
          <cell r="AQ419" t="str">
            <v>스토리위즈</v>
          </cell>
          <cell r="AR419" t="str">
            <v>주이서</v>
          </cell>
        </row>
        <row r="420">
          <cell r="N420" t="str">
            <v>아슈크림</v>
          </cell>
          <cell r="O420" t="str">
            <v>Y</v>
          </cell>
          <cell r="P420">
            <v>0.7</v>
          </cell>
          <cell r="Q420">
            <v>0.6</v>
          </cell>
          <cell r="R420" t="str">
            <v>시리즈 이용권 패키지</v>
          </cell>
          <cell r="S420">
            <v>2700</v>
          </cell>
          <cell r="T420">
            <v>15200</v>
          </cell>
          <cell r="U420">
            <v>14500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700</v>
          </cell>
          <cell r="AD420">
            <v>15200</v>
          </cell>
          <cell r="AE420">
            <v>14500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700</v>
          </cell>
          <cell r="AN420">
            <v>10640</v>
          </cell>
          <cell r="AO420">
            <v>0</v>
          </cell>
          <cell r="AP420">
            <v>10640</v>
          </cell>
          <cell r="AQ420" t="str">
            <v>스토리위즈</v>
          </cell>
          <cell r="AR420" t="str">
            <v>아슈크림</v>
          </cell>
        </row>
        <row r="421">
          <cell r="N421" t="str">
            <v>꽃잠</v>
          </cell>
          <cell r="O421" t="str">
            <v>Y</v>
          </cell>
          <cell r="P421">
            <v>0.7</v>
          </cell>
          <cell r="Q421">
            <v>0.6</v>
          </cell>
          <cell r="R421" t="str">
            <v>시리즈 이용권 패키지</v>
          </cell>
          <cell r="S421">
            <v>2700</v>
          </cell>
          <cell r="T421">
            <v>2700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2700</v>
          </cell>
          <cell r="AD421">
            <v>2700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2700</v>
          </cell>
          <cell r="AN421">
            <v>1890</v>
          </cell>
          <cell r="AO421">
            <v>0</v>
          </cell>
          <cell r="AP421">
            <v>1890</v>
          </cell>
          <cell r="AQ421" t="str">
            <v>스토리위즈</v>
          </cell>
          <cell r="AR421" t="str">
            <v>꽃잠</v>
          </cell>
        </row>
        <row r="422">
          <cell r="N422" t="str">
            <v>부엉이콩</v>
          </cell>
          <cell r="O422" t="str">
            <v>Y</v>
          </cell>
          <cell r="P422">
            <v>0.7</v>
          </cell>
          <cell r="Q422">
            <v>0.6</v>
          </cell>
          <cell r="R422" t="str">
            <v>단일 이용권</v>
          </cell>
          <cell r="S422">
            <v>2200</v>
          </cell>
          <cell r="T422">
            <v>4400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4400</v>
          </cell>
          <cell r="AD422">
            <v>4400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4400</v>
          </cell>
          <cell r="AN422">
            <v>3080</v>
          </cell>
          <cell r="AO422">
            <v>0</v>
          </cell>
          <cell r="AP422">
            <v>3080</v>
          </cell>
          <cell r="AQ422" t="str">
            <v>스토리위즈</v>
          </cell>
          <cell r="AR422" t="str">
            <v>부엉이콩</v>
          </cell>
        </row>
        <row r="423">
          <cell r="N423" t="str">
            <v>주이서</v>
          </cell>
          <cell r="O423" t="str">
            <v>Y</v>
          </cell>
          <cell r="P423">
            <v>0.7</v>
          </cell>
          <cell r="Q423">
            <v>0.6</v>
          </cell>
          <cell r="R423" t="str">
            <v>시리즈 이용권 패키지</v>
          </cell>
          <cell r="S423">
            <v>4500</v>
          </cell>
          <cell r="T423">
            <v>4500</v>
          </cell>
          <cell r="U423">
            <v>4500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4500</v>
          </cell>
          <cell r="AE423">
            <v>4500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3150</v>
          </cell>
          <cell r="AO423">
            <v>0</v>
          </cell>
          <cell r="AP423">
            <v>3150</v>
          </cell>
          <cell r="AQ423" t="str">
            <v>스토리위즈</v>
          </cell>
          <cell r="AR423" t="str">
            <v>주이서</v>
          </cell>
        </row>
        <row r="424">
          <cell r="N424" t="str">
            <v>아슈크림</v>
          </cell>
          <cell r="O424" t="str">
            <v>Y</v>
          </cell>
          <cell r="P424">
            <v>0.7</v>
          </cell>
          <cell r="Q424">
            <v>0.6</v>
          </cell>
          <cell r="R424" t="str">
            <v>시리즈 이용권 패키지</v>
          </cell>
          <cell r="S424">
            <v>4500</v>
          </cell>
          <cell r="T424">
            <v>9000</v>
          </cell>
          <cell r="U424">
            <v>9000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9000</v>
          </cell>
          <cell r="AE424">
            <v>9000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6300</v>
          </cell>
          <cell r="AO424">
            <v>0</v>
          </cell>
          <cell r="AP424">
            <v>6300</v>
          </cell>
          <cell r="AQ424" t="str">
            <v>스토리위즈</v>
          </cell>
          <cell r="AR424" t="str">
            <v>아슈크림</v>
          </cell>
        </row>
        <row r="425">
          <cell r="N425" t="str">
            <v>블랙커피</v>
          </cell>
          <cell r="O425" t="str">
            <v>Y</v>
          </cell>
          <cell r="P425">
            <v>0.7</v>
          </cell>
          <cell r="Q425">
            <v>0.6</v>
          </cell>
          <cell r="R425" t="str">
            <v>단일 이용권</v>
          </cell>
          <cell r="S425">
            <v>100</v>
          </cell>
          <cell r="T425">
            <v>4000</v>
          </cell>
          <cell r="U425">
            <v>1000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3000</v>
          </cell>
          <cell r="AD425">
            <v>4000</v>
          </cell>
          <cell r="AE425">
            <v>1000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3000</v>
          </cell>
          <cell r="AN425">
            <v>2800</v>
          </cell>
          <cell r="AO425">
            <v>0</v>
          </cell>
          <cell r="AP425">
            <v>2800</v>
          </cell>
          <cell r="AQ425" t="str">
            <v>스토리위즈</v>
          </cell>
          <cell r="AR425" t="str">
            <v>블랙커피</v>
          </cell>
        </row>
        <row r="426">
          <cell r="N426" t="str">
            <v>블랙커피</v>
          </cell>
          <cell r="O426" t="str">
            <v>Y</v>
          </cell>
          <cell r="P426">
            <v>0.7</v>
          </cell>
          <cell r="Q426">
            <v>0.6</v>
          </cell>
          <cell r="R426" t="str">
            <v>시리즈 이용권 패키지</v>
          </cell>
          <cell r="S426">
            <v>900</v>
          </cell>
          <cell r="T426">
            <v>3600</v>
          </cell>
          <cell r="U426">
            <v>2700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900</v>
          </cell>
          <cell r="AD426">
            <v>3600</v>
          </cell>
          <cell r="AE426">
            <v>2700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900</v>
          </cell>
          <cell r="AN426">
            <v>2520</v>
          </cell>
          <cell r="AO426">
            <v>0</v>
          </cell>
          <cell r="AP426">
            <v>2520</v>
          </cell>
          <cell r="AQ426" t="str">
            <v>스토리위즈</v>
          </cell>
          <cell r="AR426" t="str">
            <v>블랙커피</v>
          </cell>
        </row>
        <row r="427">
          <cell r="N427" t="str">
            <v>블랙커피</v>
          </cell>
          <cell r="O427" t="str">
            <v>Y</v>
          </cell>
          <cell r="P427">
            <v>0.7</v>
          </cell>
          <cell r="Q427">
            <v>0.6</v>
          </cell>
          <cell r="R427" t="str">
            <v>시리즈 이용권 패키지</v>
          </cell>
          <cell r="S427">
            <v>2700</v>
          </cell>
          <cell r="T427">
            <v>2700</v>
          </cell>
          <cell r="U427">
            <v>2700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2700</v>
          </cell>
          <cell r="AE427">
            <v>2700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1890</v>
          </cell>
          <cell r="AO427">
            <v>0</v>
          </cell>
          <cell r="AP427">
            <v>1890</v>
          </cell>
          <cell r="AQ427" t="str">
            <v>스토리위즈</v>
          </cell>
          <cell r="AR427" t="str">
            <v>블랙커피</v>
          </cell>
        </row>
        <row r="428">
          <cell r="N428" t="str">
            <v>김정률</v>
          </cell>
          <cell r="O428" t="str">
            <v>Y</v>
          </cell>
          <cell r="P428">
            <v>0.7</v>
          </cell>
          <cell r="Q428">
            <v>0.6</v>
          </cell>
          <cell r="R428" t="str">
            <v>단일 이용권</v>
          </cell>
          <cell r="S428">
            <v>100</v>
          </cell>
          <cell r="T428">
            <v>64900</v>
          </cell>
          <cell r="U428">
            <v>3800</v>
          </cell>
          <cell r="V428">
            <v>0</v>
          </cell>
          <cell r="W428">
            <v>0</v>
          </cell>
          <cell r="X428">
            <v>0</v>
          </cell>
          <cell r="Y428">
            <v>300</v>
          </cell>
          <cell r="Z428">
            <v>0</v>
          </cell>
          <cell r="AA428">
            <v>0</v>
          </cell>
          <cell r="AB428">
            <v>0</v>
          </cell>
          <cell r="AC428">
            <v>60800</v>
          </cell>
          <cell r="AD428">
            <v>64960</v>
          </cell>
          <cell r="AE428">
            <v>3800</v>
          </cell>
          <cell r="AF428">
            <v>0</v>
          </cell>
          <cell r="AG428">
            <v>0</v>
          </cell>
          <cell r="AH428">
            <v>0</v>
          </cell>
          <cell r="AI428">
            <v>360</v>
          </cell>
          <cell r="AJ428">
            <v>0</v>
          </cell>
          <cell r="AK428">
            <v>0</v>
          </cell>
          <cell r="AL428">
            <v>0</v>
          </cell>
          <cell r="AM428">
            <v>60800</v>
          </cell>
          <cell r="AN428">
            <v>45436</v>
          </cell>
          <cell r="AO428">
            <v>0</v>
          </cell>
          <cell r="AP428">
            <v>45436</v>
          </cell>
          <cell r="AQ428" t="str">
            <v>스토리위즈</v>
          </cell>
          <cell r="AR428" t="str">
            <v>김정률</v>
          </cell>
        </row>
        <row r="429">
          <cell r="N429" t="str">
            <v>김정률</v>
          </cell>
          <cell r="O429" t="str">
            <v>Y</v>
          </cell>
          <cell r="P429">
            <v>0.7</v>
          </cell>
          <cell r="Q429">
            <v>0.6</v>
          </cell>
          <cell r="R429" t="str">
            <v>단일 대여 이용권</v>
          </cell>
          <cell r="S429">
            <v>900</v>
          </cell>
          <cell r="T429">
            <v>44100</v>
          </cell>
          <cell r="U429">
            <v>32900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11200</v>
          </cell>
          <cell r="AD429">
            <v>44100</v>
          </cell>
          <cell r="AE429">
            <v>32900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11200</v>
          </cell>
          <cell r="AN429">
            <v>30870</v>
          </cell>
          <cell r="AO429">
            <v>0</v>
          </cell>
          <cell r="AP429">
            <v>30870</v>
          </cell>
          <cell r="AQ429" t="str">
            <v>스토리위즈</v>
          </cell>
          <cell r="AR429" t="str">
            <v>김정률</v>
          </cell>
        </row>
        <row r="430">
          <cell r="N430" t="str">
            <v>김정률</v>
          </cell>
          <cell r="O430" t="str">
            <v>Y</v>
          </cell>
          <cell r="P430">
            <v>0.7</v>
          </cell>
          <cell r="Q430">
            <v>0.6</v>
          </cell>
          <cell r="R430" t="str">
            <v>시리즈 이용권 패키지</v>
          </cell>
          <cell r="S430">
            <v>2200</v>
          </cell>
          <cell r="T430">
            <v>59400</v>
          </cell>
          <cell r="U430">
            <v>46290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6600</v>
          </cell>
          <cell r="AA430">
            <v>0</v>
          </cell>
          <cell r="AB430">
            <v>0</v>
          </cell>
          <cell r="AC430">
            <v>6510</v>
          </cell>
          <cell r="AD430">
            <v>60060</v>
          </cell>
          <cell r="AE430">
            <v>46290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7260</v>
          </cell>
          <cell r="AK430">
            <v>0</v>
          </cell>
          <cell r="AL430">
            <v>0</v>
          </cell>
          <cell r="AM430">
            <v>6510</v>
          </cell>
          <cell r="AN430">
            <v>41316</v>
          </cell>
          <cell r="AO430">
            <v>0</v>
          </cell>
          <cell r="AP430">
            <v>41316</v>
          </cell>
          <cell r="AQ430" t="str">
            <v>스토리위즈</v>
          </cell>
          <cell r="AR430" t="str">
            <v>김정률</v>
          </cell>
        </row>
        <row r="431">
          <cell r="N431" t="str">
            <v>차홍주</v>
          </cell>
          <cell r="O431" t="str">
            <v>Y</v>
          </cell>
          <cell r="P431">
            <v>0.7</v>
          </cell>
          <cell r="Q431">
            <v>0.6</v>
          </cell>
          <cell r="R431" t="str">
            <v>단일 이용권</v>
          </cell>
          <cell r="S431">
            <v>100</v>
          </cell>
          <cell r="T431">
            <v>8700</v>
          </cell>
          <cell r="U431">
            <v>6500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2200</v>
          </cell>
          <cell r="AD431">
            <v>8700</v>
          </cell>
          <cell r="AE431">
            <v>6500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2200</v>
          </cell>
          <cell r="AN431">
            <v>6090</v>
          </cell>
          <cell r="AO431">
            <v>0</v>
          </cell>
          <cell r="AP431">
            <v>6090</v>
          </cell>
          <cell r="AQ431" t="str">
            <v>스토리위즈</v>
          </cell>
          <cell r="AR431" t="str">
            <v>차홍주</v>
          </cell>
        </row>
        <row r="432">
          <cell r="N432" t="str">
            <v>김정률</v>
          </cell>
          <cell r="O432" t="str">
            <v>Y</v>
          </cell>
          <cell r="P432">
            <v>0.7</v>
          </cell>
          <cell r="Q432">
            <v>0.6</v>
          </cell>
          <cell r="R432" t="str">
            <v>시리즈 이용권 패키지</v>
          </cell>
          <cell r="S432">
            <v>7000</v>
          </cell>
          <cell r="T432">
            <v>70000</v>
          </cell>
          <cell r="U432">
            <v>41300</v>
          </cell>
          <cell r="V432">
            <v>0</v>
          </cell>
          <cell r="W432">
            <v>0</v>
          </cell>
          <cell r="X432">
            <v>0</v>
          </cell>
          <cell r="Y432">
            <v>8700</v>
          </cell>
          <cell r="Z432">
            <v>19300</v>
          </cell>
          <cell r="AA432">
            <v>0</v>
          </cell>
          <cell r="AB432">
            <v>0</v>
          </cell>
          <cell r="AC432">
            <v>700</v>
          </cell>
          <cell r="AD432">
            <v>73670</v>
          </cell>
          <cell r="AE432">
            <v>41300</v>
          </cell>
          <cell r="AF432">
            <v>0</v>
          </cell>
          <cell r="AG432">
            <v>0</v>
          </cell>
          <cell r="AH432">
            <v>0</v>
          </cell>
          <cell r="AI432">
            <v>10440</v>
          </cell>
          <cell r="AJ432">
            <v>21230</v>
          </cell>
          <cell r="AK432">
            <v>0</v>
          </cell>
          <cell r="AL432">
            <v>0</v>
          </cell>
          <cell r="AM432">
            <v>700</v>
          </cell>
          <cell r="AN432">
            <v>48402</v>
          </cell>
          <cell r="AO432">
            <v>0</v>
          </cell>
          <cell r="AP432">
            <v>48402</v>
          </cell>
          <cell r="AQ432" t="str">
            <v>스토리위즈</v>
          </cell>
          <cell r="AR432" t="str">
            <v>김정률</v>
          </cell>
        </row>
        <row r="433">
          <cell r="N433" t="str">
            <v>빨강뽀뽀</v>
          </cell>
          <cell r="O433" t="str">
            <v>Y</v>
          </cell>
          <cell r="P433">
            <v>0.7</v>
          </cell>
          <cell r="Q433">
            <v>0.6</v>
          </cell>
          <cell r="R433" t="str">
            <v>단일 이용권</v>
          </cell>
          <cell r="S433">
            <v>100</v>
          </cell>
          <cell r="T433">
            <v>200</v>
          </cell>
          <cell r="U433">
            <v>200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200</v>
          </cell>
          <cell r="AE433">
            <v>200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140</v>
          </cell>
          <cell r="AO433">
            <v>0</v>
          </cell>
          <cell r="AP433">
            <v>140</v>
          </cell>
          <cell r="AQ433" t="str">
            <v>스토리위즈</v>
          </cell>
          <cell r="AR433" t="str">
            <v>빨강뽀뽀</v>
          </cell>
        </row>
        <row r="434">
          <cell r="N434" t="str">
            <v>차홍주</v>
          </cell>
          <cell r="O434" t="str">
            <v>Y</v>
          </cell>
          <cell r="P434">
            <v>0.7</v>
          </cell>
          <cell r="Q434">
            <v>0.6</v>
          </cell>
          <cell r="R434" t="str">
            <v>시리즈 이용권 패키지</v>
          </cell>
          <cell r="S434">
            <v>900</v>
          </cell>
          <cell r="T434">
            <v>8100</v>
          </cell>
          <cell r="U434">
            <v>5300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2800</v>
          </cell>
          <cell r="AD434">
            <v>8100</v>
          </cell>
          <cell r="AE434">
            <v>5300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2800</v>
          </cell>
          <cell r="AN434">
            <v>5670</v>
          </cell>
          <cell r="AO434">
            <v>0</v>
          </cell>
          <cell r="AP434">
            <v>5670</v>
          </cell>
          <cell r="AQ434" t="str">
            <v>스토리위즈</v>
          </cell>
          <cell r="AR434" t="str">
            <v>차홍주</v>
          </cell>
        </row>
        <row r="435">
          <cell r="N435" t="str">
            <v>차홍주</v>
          </cell>
          <cell r="O435" t="str">
            <v>Y</v>
          </cell>
          <cell r="P435">
            <v>0.7</v>
          </cell>
          <cell r="Q435">
            <v>0.6</v>
          </cell>
          <cell r="R435" t="str">
            <v>시리즈 이용권 패키지</v>
          </cell>
          <cell r="S435">
            <v>2700</v>
          </cell>
          <cell r="T435">
            <v>7100</v>
          </cell>
          <cell r="U435">
            <v>2700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4400</v>
          </cell>
          <cell r="AD435">
            <v>7100</v>
          </cell>
          <cell r="AE435">
            <v>2700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4400</v>
          </cell>
          <cell r="AN435">
            <v>4970</v>
          </cell>
          <cell r="AO435">
            <v>0</v>
          </cell>
          <cell r="AP435">
            <v>4970</v>
          </cell>
          <cell r="AQ435" t="str">
            <v>스토리위즈</v>
          </cell>
          <cell r="AR435" t="str">
            <v>차홍주</v>
          </cell>
        </row>
        <row r="436">
          <cell r="N436" t="str">
            <v>차홍주</v>
          </cell>
          <cell r="O436" t="str">
            <v>Y</v>
          </cell>
          <cell r="P436">
            <v>0.7</v>
          </cell>
          <cell r="Q436">
            <v>0.6</v>
          </cell>
          <cell r="R436" t="str">
            <v>시리즈 이용권 패키지</v>
          </cell>
          <cell r="S436">
            <v>4500</v>
          </cell>
          <cell r="T436">
            <v>6200</v>
          </cell>
          <cell r="U436">
            <v>6200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6200</v>
          </cell>
          <cell r="AE436">
            <v>6200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4340</v>
          </cell>
          <cell r="AO436">
            <v>0</v>
          </cell>
          <cell r="AP436">
            <v>4340</v>
          </cell>
          <cell r="AQ436" t="str">
            <v>스토리위즈</v>
          </cell>
          <cell r="AR436" t="str">
            <v>차홍주</v>
          </cell>
        </row>
        <row r="437">
          <cell r="N437" t="str">
            <v>장유진</v>
          </cell>
          <cell r="O437" t="str">
            <v>Y</v>
          </cell>
          <cell r="P437">
            <v>0.7</v>
          </cell>
          <cell r="Q437">
            <v>0.6</v>
          </cell>
          <cell r="R437" t="str">
            <v>단일 이용권</v>
          </cell>
          <cell r="S437">
            <v>100</v>
          </cell>
          <cell r="T437">
            <v>5000</v>
          </cell>
          <cell r="U437">
            <v>2700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2300</v>
          </cell>
          <cell r="AD437">
            <v>5000</v>
          </cell>
          <cell r="AE437">
            <v>2700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2300</v>
          </cell>
          <cell r="AN437">
            <v>3500</v>
          </cell>
          <cell r="AO437">
            <v>0</v>
          </cell>
          <cell r="AP437">
            <v>3500</v>
          </cell>
          <cell r="AQ437" t="str">
            <v>스토리위즈</v>
          </cell>
          <cell r="AR437" t="str">
            <v>청빙</v>
          </cell>
        </row>
        <row r="438">
          <cell r="N438" t="str">
            <v>장유진</v>
          </cell>
          <cell r="O438" t="str">
            <v>Y</v>
          </cell>
          <cell r="P438">
            <v>0.7</v>
          </cell>
          <cell r="Q438">
            <v>0.6</v>
          </cell>
          <cell r="R438" t="str">
            <v>시리즈 이용권 패키지</v>
          </cell>
          <cell r="S438">
            <v>2400</v>
          </cell>
          <cell r="T438">
            <v>10900</v>
          </cell>
          <cell r="U438">
            <v>9800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1100</v>
          </cell>
          <cell r="AD438">
            <v>10900</v>
          </cell>
          <cell r="AE438">
            <v>9800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1100</v>
          </cell>
          <cell r="AN438">
            <v>7630</v>
          </cell>
          <cell r="AO438">
            <v>0</v>
          </cell>
          <cell r="AP438">
            <v>7630</v>
          </cell>
          <cell r="AQ438" t="str">
            <v>스토리위즈</v>
          </cell>
          <cell r="AR438" t="str">
            <v>청빙</v>
          </cell>
        </row>
        <row r="439">
          <cell r="N439" t="str">
            <v>장유진</v>
          </cell>
          <cell r="O439" t="str">
            <v>Y</v>
          </cell>
          <cell r="P439">
            <v>0.7</v>
          </cell>
          <cell r="Q439">
            <v>0.6</v>
          </cell>
          <cell r="R439" t="str">
            <v>시리즈 이용권 패키지</v>
          </cell>
          <cell r="S439">
            <v>9200</v>
          </cell>
          <cell r="T439">
            <v>2700</v>
          </cell>
          <cell r="U439">
            <v>2700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2700</v>
          </cell>
          <cell r="AE439">
            <v>2700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1890</v>
          </cell>
          <cell r="AO439">
            <v>0</v>
          </cell>
          <cell r="AP439">
            <v>1890</v>
          </cell>
          <cell r="AQ439" t="str">
            <v>스토리위즈</v>
          </cell>
          <cell r="AR439" t="str">
            <v>청빙</v>
          </cell>
        </row>
        <row r="440">
          <cell r="N440" t="str">
            <v>김정률</v>
          </cell>
          <cell r="O440" t="str">
            <v>Y</v>
          </cell>
          <cell r="P440">
            <v>0.7</v>
          </cell>
          <cell r="Q440">
            <v>0.6</v>
          </cell>
          <cell r="R440" t="str">
            <v>단일 이용권</v>
          </cell>
          <cell r="S440">
            <v>100</v>
          </cell>
          <cell r="T440">
            <v>43100</v>
          </cell>
          <cell r="U440">
            <v>4600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38500</v>
          </cell>
          <cell r="AD440">
            <v>43100</v>
          </cell>
          <cell r="AE440">
            <v>4600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38500</v>
          </cell>
          <cell r="AN440">
            <v>30170</v>
          </cell>
          <cell r="AO440">
            <v>0</v>
          </cell>
          <cell r="AP440">
            <v>30170</v>
          </cell>
          <cell r="AQ440" t="str">
            <v>스토리위즈</v>
          </cell>
          <cell r="AR440" t="str">
            <v>김정률</v>
          </cell>
        </row>
        <row r="441">
          <cell r="N441" t="str">
            <v>김정률</v>
          </cell>
          <cell r="O441" t="str">
            <v>Y</v>
          </cell>
          <cell r="P441">
            <v>0.7</v>
          </cell>
          <cell r="Q441">
            <v>0.6</v>
          </cell>
          <cell r="R441" t="str">
            <v>시리즈 이용권 패키지</v>
          </cell>
          <cell r="S441">
            <v>2300</v>
          </cell>
          <cell r="T441">
            <v>11500</v>
          </cell>
          <cell r="U441">
            <v>6200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5300</v>
          </cell>
          <cell r="AD441">
            <v>11500</v>
          </cell>
          <cell r="AE441">
            <v>6200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5300</v>
          </cell>
          <cell r="AN441">
            <v>8050</v>
          </cell>
          <cell r="AO441">
            <v>0</v>
          </cell>
          <cell r="AP441">
            <v>8050</v>
          </cell>
          <cell r="AQ441" t="str">
            <v>스토리위즈</v>
          </cell>
          <cell r="AR441" t="str">
            <v>김정률</v>
          </cell>
        </row>
        <row r="442">
          <cell r="N442" t="str">
            <v>김정률</v>
          </cell>
          <cell r="O442" t="str">
            <v>Y</v>
          </cell>
          <cell r="P442">
            <v>0.7</v>
          </cell>
          <cell r="Q442">
            <v>0.6</v>
          </cell>
          <cell r="R442" t="str">
            <v>단일 이용권</v>
          </cell>
          <cell r="S442">
            <v>100</v>
          </cell>
          <cell r="T442">
            <v>222900</v>
          </cell>
          <cell r="U442">
            <v>38500</v>
          </cell>
          <cell r="V442">
            <v>0</v>
          </cell>
          <cell r="W442">
            <v>0</v>
          </cell>
          <cell r="X442">
            <v>0</v>
          </cell>
          <cell r="Y442">
            <v>400</v>
          </cell>
          <cell r="Z442">
            <v>1500</v>
          </cell>
          <cell r="AA442">
            <v>0</v>
          </cell>
          <cell r="AB442">
            <v>0</v>
          </cell>
          <cell r="AC442">
            <v>182500</v>
          </cell>
          <cell r="AD442">
            <v>223130</v>
          </cell>
          <cell r="AE442">
            <v>38500</v>
          </cell>
          <cell r="AF442">
            <v>0</v>
          </cell>
          <cell r="AG442">
            <v>0</v>
          </cell>
          <cell r="AH442">
            <v>0</v>
          </cell>
          <cell r="AI442">
            <v>480</v>
          </cell>
          <cell r="AJ442">
            <v>1650</v>
          </cell>
          <cell r="AK442">
            <v>0</v>
          </cell>
          <cell r="AL442">
            <v>0</v>
          </cell>
          <cell r="AM442">
            <v>182500</v>
          </cell>
          <cell r="AN442">
            <v>155978</v>
          </cell>
          <cell r="AO442">
            <v>0</v>
          </cell>
          <cell r="AP442">
            <v>155978</v>
          </cell>
          <cell r="AQ442" t="str">
            <v>스토리위즈</v>
          </cell>
          <cell r="AR442" t="str">
            <v>김정률</v>
          </cell>
        </row>
        <row r="443">
          <cell r="N443" t="str">
            <v>김정률</v>
          </cell>
          <cell r="O443" t="str">
            <v>Y</v>
          </cell>
          <cell r="P443">
            <v>0.7</v>
          </cell>
          <cell r="Q443">
            <v>0.6</v>
          </cell>
          <cell r="R443" t="str">
            <v>시리즈 이용권 패키지</v>
          </cell>
          <cell r="S443">
            <v>4500</v>
          </cell>
          <cell r="T443">
            <v>31500</v>
          </cell>
          <cell r="U443">
            <v>29800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1700</v>
          </cell>
          <cell r="AD443">
            <v>31500</v>
          </cell>
          <cell r="AE443">
            <v>29800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1700</v>
          </cell>
          <cell r="AN443">
            <v>22050</v>
          </cell>
          <cell r="AO443">
            <v>0</v>
          </cell>
          <cell r="AP443">
            <v>22050</v>
          </cell>
          <cell r="AQ443" t="str">
            <v>스토리위즈</v>
          </cell>
          <cell r="AR443" t="str">
            <v>김정률</v>
          </cell>
        </row>
        <row r="444">
          <cell r="N444" t="str">
            <v>김정률</v>
          </cell>
          <cell r="O444" t="str">
            <v>Y</v>
          </cell>
          <cell r="P444">
            <v>0.7</v>
          </cell>
          <cell r="Q444">
            <v>0.6</v>
          </cell>
          <cell r="R444" t="str">
            <v>시리즈 이용권 패키지</v>
          </cell>
          <cell r="S444">
            <v>2300</v>
          </cell>
          <cell r="T444">
            <v>347300</v>
          </cell>
          <cell r="U444">
            <v>290580</v>
          </cell>
          <cell r="V444">
            <v>0</v>
          </cell>
          <cell r="W444">
            <v>0</v>
          </cell>
          <cell r="X444">
            <v>0</v>
          </cell>
          <cell r="Y444">
            <v>4100</v>
          </cell>
          <cell r="Z444">
            <v>0</v>
          </cell>
          <cell r="AA444">
            <v>0</v>
          </cell>
          <cell r="AB444">
            <v>0</v>
          </cell>
          <cell r="AC444">
            <v>52620</v>
          </cell>
          <cell r="AD444">
            <v>348120</v>
          </cell>
          <cell r="AE444">
            <v>290580</v>
          </cell>
          <cell r="AF444">
            <v>0</v>
          </cell>
          <cell r="AG444">
            <v>0</v>
          </cell>
          <cell r="AH444">
            <v>0</v>
          </cell>
          <cell r="AI444">
            <v>4920</v>
          </cell>
          <cell r="AJ444">
            <v>0</v>
          </cell>
          <cell r="AK444">
            <v>0</v>
          </cell>
          <cell r="AL444">
            <v>0</v>
          </cell>
          <cell r="AM444">
            <v>52620</v>
          </cell>
          <cell r="AN444">
            <v>243192</v>
          </cell>
          <cell r="AO444">
            <v>0</v>
          </cell>
          <cell r="AP444">
            <v>243192</v>
          </cell>
          <cell r="AQ444" t="str">
            <v>스토리위즈</v>
          </cell>
          <cell r="AR444" t="str">
            <v>김정률</v>
          </cell>
        </row>
        <row r="445">
          <cell r="N445" t="str">
            <v>김정률</v>
          </cell>
          <cell r="O445" t="str">
            <v>Y</v>
          </cell>
          <cell r="P445">
            <v>0.7</v>
          </cell>
          <cell r="Q445">
            <v>0.6</v>
          </cell>
          <cell r="R445" t="str">
            <v>시리즈 이용권 패키지</v>
          </cell>
          <cell r="S445">
            <v>9000</v>
          </cell>
          <cell r="T445">
            <v>72000</v>
          </cell>
          <cell r="U445">
            <v>71460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540</v>
          </cell>
          <cell r="AD445">
            <v>72000</v>
          </cell>
          <cell r="AE445">
            <v>71460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540</v>
          </cell>
          <cell r="AN445">
            <v>50400</v>
          </cell>
          <cell r="AO445">
            <v>0</v>
          </cell>
          <cell r="AP445">
            <v>50400</v>
          </cell>
          <cell r="AQ445" t="str">
            <v>스토리위즈</v>
          </cell>
          <cell r="AR445" t="str">
            <v>김정률</v>
          </cell>
        </row>
        <row r="446">
          <cell r="N446" t="str">
            <v>김정률</v>
          </cell>
          <cell r="O446" t="str">
            <v>Y</v>
          </cell>
          <cell r="P446">
            <v>0.7</v>
          </cell>
          <cell r="Q446">
            <v>0.6</v>
          </cell>
          <cell r="R446" t="str">
            <v>시리즈 이용권 패키지</v>
          </cell>
          <cell r="S446">
            <v>9000</v>
          </cell>
          <cell r="T446">
            <v>313600</v>
          </cell>
          <cell r="U446">
            <v>222600</v>
          </cell>
          <cell r="V446">
            <v>0</v>
          </cell>
          <cell r="W446">
            <v>0</v>
          </cell>
          <cell r="X446">
            <v>0</v>
          </cell>
          <cell r="Y446">
            <v>401</v>
          </cell>
          <cell r="Z446">
            <v>35599</v>
          </cell>
          <cell r="AA446">
            <v>0</v>
          </cell>
          <cell r="AB446">
            <v>0</v>
          </cell>
          <cell r="AC446">
            <v>55000</v>
          </cell>
          <cell r="AD446">
            <v>317240.09999999998</v>
          </cell>
          <cell r="AE446">
            <v>222600</v>
          </cell>
          <cell r="AF446">
            <v>0</v>
          </cell>
          <cell r="AG446">
            <v>0</v>
          </cell>
          <cell r="AH446">
            <v>0</v>
          </cell>
          <cell r="AI446">
            <v>481.2</v>
          </cell>
          <cell r="AJ446">
            <v>39158.9</v>
          </cell>
          <cell r="AK446">
            <v>0</v>
          </cell>
          <cell r="AL446">
            <v>0</v>
          </cell>
          <cell r="AM446">
            <v>55000</v>
          </cell>
          <cell r="AN446">
            <v>218104</v>
          </cell>
          <cell r="AO446">
            <v>0</v>
          </cell>
          <cell r="AP446">
            <v>218104</v>
          </cell>
          <cell r="AQ446" t="str">
            <v>스토리위즈</v>
          </cell>
          <cell r="AR446" t="str">
            <v>김정률</v>
          </cell>
        </row>
        <row r="447">
          <cell r="N447" t="str">
            <v>김정률</v>
          </cell>
          <cell r="O447" t="str">
            <v>Y</v>
          </cell>
          <cell r="P447">
            <v>0.7</v>
          </cell>
          <cell r="Q447">
            <v>0.6</v>
          </cell>
          <cell r="R447" t="str">
            <v>시리즈 이용권 패키지</v>
          </cell>
          <cell r="S447">
            <v>18000</v>
          </cell>
          <cell r="T447">
            <v>150400</v>
          </cell>
          <cell r="U447">
            <v>140200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10200</v>
          </cell>
          <cell r="AD447">
            <v>150400</v>
          </cell>
          <cell r="AE447">
            <v>140200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10200</v>
          </cell>
          <cell r="AN447">
            <v>105280</v>
          </cell>
          <cell r="AO447">
            <v>0</v>
          </cell>
          <cell r="AP447">
            <v>105280</v>
          </cell>
          <cell r="AQ447" t="str">
            <v>스토리위즈</v>
          </cell>
          <cell r="AR447" t="str">
            <v>김정률</v>
          </cell>
        </row>
        <row r="448">
          <cell r="N448" t="str">
            <v>셔틀</v>
          </cell>
          <cell r="O448" t="str">
            <v>Y</v>
          </cell>
          <cell r="P448">
            <v>0.7</v>
          </cell>
          <cell r="Q448">
            <v>0.6</v>
          </cell>
          <cell r="R448" t="str">
            <v>단일 이용권</v>
          </cell>
          <cell r="S448">
            <v>100</v>
          </cell>
          <cell r="T448">
            <v>17700</v>
          </cell>
          <cell r="U448">
            <v>15600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300</v>
          </cell>
          <cell r="AA448">
            <v>0</v>
          </cell>
          <cell r="AB448">
            <v>0</v>
          </cell>
          <cell r="AC448">
            <v>1800</v>
          </cell>
          <cell r="AD448">
            <v>17730</v>
          </cell>
          <cell r="AE448">
            <v>15600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330</v>
          </cell>
          <cell r="AK448">
            <v>0</v>
          </cell>
          <cell r="AL448">
            <v>0</v>
          </cell>
          <cell r="AM448">
            <v>1800</v>
          </cell>
          <cell r="AN448">
            <v>12378</v>
          </cell>
          <cell r="AO448">
            <v>0</v>
          </cell>
          <cell r="AP448">
            <v>12378</v>
          </cell>
          <cell r="AQ448" t="str">
            <v>스토리위즈</v>
          </cell>
          <cell r="AR448" t="str">
            <v>셔틀</v>
          </cell>
        </row>
        <row r="449">
          <cell r="N449" t="str">
            <v>셔틀</v>
          </cell>
          <cell r="O449" t="str">
            <v>Y</v>
          </cell>
          <cell r="P449">
            <v>0.7</v>
          </cell>
          <cell r="Q449">
            <v>0.6</v>
          </cell>
          <cell r="R449" t="str">
            <v>시리즈 이용권 패키지</v>
          </cell>
          <cell r="S449">
            <v>900</v>
          </cell>
          <cell r="T449">
            <v>9000</v>
          </cell>
          <cell r="U449">
            <v>8700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300</v>
          </cell>
          <cell r="AD449">
            <v>9000</v>
          </cell>
          <cell r="AE449">
            <v>8700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300</v>
          </cell>
          <cell r="AN449">
            <v>6300</v>
          </cell>
          <cell r="AO449">
            <v>0</v>
          </cell>
          <cell r="AP449">
            <v>6300</v>
          </cell>
          <cell r="AQ449" t="str">
            <v>스토리위즈</v>
          </cell>
          <cell r="AR449" t="str">
            <v>셔틀</v>
          </cell>
        </row>
        <row r="450">
          <cell r="N450" t="str">
            <v>권용찬</v>
          </cell>
          <cell r="O450" t="str">
            <v>Y</v>
          </cell>
          <cell r="P450">
            <v>0.7</v>
          </cell>
          <cell r="Q450">
            <v>0.6</v>
          </cell>
          <cell r="R450" t="str">
            <v>단일 대여 이용권</v>
          </cell>
          <cell r="S450">
            <v>900</v>
          </cell>
          <cell r="T450">
            <v>10800</v>
          </cell>
          <cell r="U450">
            <v>10600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200</v>
          </cell>
          <cell r="AD450">
            <v>10800</v>
          </cell>
          <cell r="AE450">
            <v>10600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200</v>
          </cell>
          <cell r="AN450">
            <v>7560</v>
          </cell>
          <cell r="AO450">
            <v>0</v>
          </cell>
          <cell r="AP450">
            <v>7560</v>
          </cell>
          <cell r="AQ450" t="str">
            <v>스토리위즈</v>
          </cell>
          <cell r="AR450" t="str">
            <v>권용찬</v>
          </cell>
        </row>
        <row r="451">
          <cell r="N451" t="str">
            <v>김정률</v>
          </cell>
          <cell r="O451" t="str">
            <v>Y</v>
          </cell>
          <cell r="P451">
            <v>0.7</v>
          </cell>
          <cell r="Q451">
            <v>0.6</v>
          </cell>
          <cell r="R451" t="str">
            <v>단일 이용권</v>
          </cell>
          <cell r="S451">
            <v>100</v>
          </cell>
          <cell r="T451">
            <v>57300</v>
          </cell>
          <cell r="U451">
            <v>11500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45800</v>
          </cell>
          <cell r="AD451">
            <v>57300</v>
          </cell>
          <cell r="AE451">
            <v>11500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45800</v>
          </cell>
          <cell r="AN451">
            <v>40110</v>
          </cell>
          <cell r="AO451">
            <v>0</v>
          </cell>
          <cell r="AP451">
            <v>40110</v>
          </cell>
          <cell r="AQ451" t="str">
            <v>스토리위즈</v>
          </cell>
          <cell r="AR451" t="str">
            <v>김정률</v>
          </cell>
        </row>
        <row r="452">
          <cell r="N452" t="str">
            <v>셔틀</v>
          </cell>
          <cell r="O452" t="str">
            <v>Y</v>
          </cell>
          <cell r="P452">
            <v>0.7</v>
          </cell>
          <cell r="Q452">
            <v>0.6</v>
          </cell>
          <cell r="R452" t="str">
            <v>시리즈 이용권 패키지</v>
          </cell>
          <cell r="S452">
            <v>1800</v>
          </cell>
          <cell r="T452">
            <v>9000</v>
          </cell>
          <cell r="U452">
            <v>7800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1200</v>
          </cell>
          <cell r="AD452">
            <v>9000</v>
          </cell>
          <cell r="AE452">
            <v>7800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1200</v>
          </cell>
          <cell r="AN452">
            <v>6300</v>
          </cell>
          <cell r="AO452">
            <v>0</v>
          </cell>
          <cell r="AP452">
            <v>6300</v>
          </cell>
          <cell r="AQ452" t="str">
            <v>스토리위즈</v>
          </cell>
          <cell r="AR452" t="str">
            <v>셔틀</v>
          </cell>
        </row>
        <row r="453">
          <cell r="N453" t="str">
            <v>권용찬</v>
          </cell>
          <cell r="O453" t="str">
            <v>Y</v>
          </cell>
          <cell r="P453">
            <v>0.7</v>
          </cell>
          <cell r="Q453">
            <v>0.6</v>
          </cell>
          <cell r="R453" t="str">
            <v>시리즈 대여 이용권 패키지</v>
          </cell>
          <cell r="S453">
            <v>5400</v>
          </cell>
          <cell r="T453">
            <v>10800</v>
          </cell>
          <cell r="U453">
            <v>10800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10800</v>
          </cell>
          <cell r="AE453">
            <v>10800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7560</v>
          </cell>
          <cell r="AO453">
            <v>0</v>
          </cell>
          <cell r="AP453">
            <v>7560</v>
          </cell>
          <cell r="AQ453" t="str">
            <v>스토리위즈</v>
          </cell>
          <cell r="AR453" t="str">
            <v>권용찬</v>
          </cell>
        </row>
        <row r="454">
          <cell r="N454" t="str">
            <v>김정률</v>
          </cell>
          <cell r="O454" t="str">
            <v>Y</v>
          </cell>
          <cell r="P454">
            <v>0.7</v>
          </cell>
          <cell r="Q454">
            <v>0.6</v>
          </cell>
          <cell r="R454" t="str">
            <v>시리즈 이용권 패키지</v>
          </cell>
          <cell r="S454">
            <v>2300</v>
          </cell>
          <cell r="T454">
            <v>82800</v>
          </cell>
          <cell r="U454">
            <v>76800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6000</v>
          </cell>
          <cell r="AD454">
            <v>82800</v>
          </cell>
          <cell r="AE454">
            <v>76800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6000</v>
          </cell>
          <cell r="AN454">
            <v>57960</v>
          </cell>
          <cell r="AO454">
            <v>0</v>
          </cell>
          <cell r="AP454">
            <v>57960</v>
          </cell>
          <cell r="AQ454" t="str">
            <v>스토리위즈</v>
          </cell>
          <cell r="AR454" t="str">
            <v>김정률</v>
          </cell>
        </row>
        <row r="455">
          <cell r="N455" t="str">
            <v>셔틀</v>
          </cell>
          <cell r="O455" t="str">
            <v>Y</v>
          </cell>
          <cell r="P455">
            <v>0.7</v>
          </cell>
          <cell r="Q455">
            <v>0.6</v>
          </cell>
          <cell r="R455" t="str">
            <v>시리즈 이용권 패키지</v>
          </cell>
          <cell r="S455">
            <v>3600</v>
          </cell>
          <cell r="T455">
            <v>9800</v>
          </cell>
          <cell r="U455">
            <v>6800</v>
          </cell>
          <cell r="V455">
            <v>0</v>
          </cell>
          <cell r="W455">
            <v>0</v>
          </cell>
          <cell r="X455">
            <v>0</v>
          </cell>
          <cell r="Y455">
            <v>-800</v>
          </cell>
          <cell r="Z455">
            <v>0</v>
          </cell>
          <cell r="AA455">
            <v>0</v>
          </cell>
          <cell r="AB455">
            <v>0</v>
          </cell>
          <cell r="AC455">
            <v>3800</v>
          </cell>
          <cell r="AD455">
            <v>9640</v>
          </cell>
          <cell r="AE455">
            <v>6800</v>
          </cell>
          <cell r="AF455">
            <v>0</v>
          </cell>
          <cell r="AG455">
            <v>0</v>
          </cell>
          <cell r="AH455">
            <v>0</v>
          </cell>
          <cell r="AI455">
            <v>-960</v>
          </cell>
          <cell r="AJ455">
            <v>0</v>
          </cell>
          <cell r="AK455">
            <v>0</v>
          </cell>
          <cell r="AL455">
            <v>0</v>
          </cell>
          <cell r="AM455">
            <v>3800</v>
          </cell>
          <cell r="AN455">
            <v>6844</v>
          </cell>
          <cell r="AO455">
            <v>0</v>
          </cell>
          <cell r="AP455">
            <v>6844</v>
          </cell>
          <cell r="AQ455" t="str">
            <v>스토리위즈</v>
          </cell>
          <cell r="AR455" t="str">
            <v>셔틀</v>
          </cell>
        </row>
        <row r="456">
          <cell r="N456" t="str">
            <v>권용찬</v>
          </cell>
          <cell r="O456" t="str">
            <v>Y</v>
          </cell>
          <cell r="P456">
            <v>0.7</v>
          </cell>
          <cell r="Q456">
            <v>0.6</v>
          </cell>
          <cell r="R456" t="str">
            <v>단일 이용권</v>
          </cell>
          <cell r="S456">
            <v>3200</v>
          </cell>
          <cell r="T456">
            <v>9600</v>
          </cell>
          <cell r="U456">
            <v>9600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9600</v>
          </cell>
          <cell r="AE456">
            <v>9600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6720</v>
          </cell>
          <cell r="AO456">
            <v>0</v>
          </cell>
          <cell r="AP456">
            <v>6720</v>
          </cell>
          <cell r="AQ456" t="str">
            <v>스토리위즈</v>
          </cell>
          <cell r="AR456" t="str">
            <v>권용찬</v>
          </cell>
        </row>
        <row r="457">
          <cell r="N457" t="str">
            <v>김정률</v>
          </cell>
          <cell r="O457" t="str">
            <v>Y</v>
          </cell>
          <cell r="P457">
            <v>0.7</v>
          </cell>
          <cell r="Q457">
            <v>0.6</v>
          </cell>
          <cell r="R457" t="str">
            <v>단일 이용권</v>
          </cell>
          <cell r="S457">
            <v>3200</v>
          </cell>
          <cell r="T457">
            <v>16000</v>
          </cell>
          <cell r="U457">
            <v>16000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16000</v>
          </cell>
          <cell r="AE457">
            <v>16000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11200</v>
          </cell>
          <cell r="AO457">
            <v>0</v>
          </cell>
          <cell r="AP457">
            <v>11200</v>
          </cell>
          <cell r="AQ457" t="str">
            <v>스토리위즈</v>
          </cell>
          <cell r="AR457" t="str">
            <v>김정률</v>
          </cell>
        </row>
        <row r="458">
          <cell r="N458" t="str">
            <v>김정률</v>
          </cell>
          <cell r="O458" t="str">
            <v>Y</v>
          </cell>
          <cell r="P458">
            <v>0.7</v>
          </cell>
          <cell r="Q458">
            <v>0.6</v>
          </cell>
          <cell r="R458" t="str">
            <v>시리즈 이용권 패키지</v>
          </cell>
          <cell r="S458">
            <v>4500</v>
          </cell>
          <cell r="T458">
            <v>20300</v>
          </cell>
          <cell r="U458">
            <v>20300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20300</v>
          </cell>
          <cell r="AE458">
            <v>20300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14210</v>
          </cell>
          <cell r="AO458">
            <v>0</v>
          </cell>
          <cell r="AP458">
            <v>14210</v>
          </cell>
          <cell r="AQ458" t="str">
            <v>스토리위즈</v>
          </cell>
          <cell r="AR458" t="str">
            <v>김정률</v>
          </cell>
        </row>
        <row r="459">
          <cell r="N459" t="str">
            <v>권용찬</v>
          </cell>
          <cell r="O459" t="str">
            <v>Y</v>
          </cell>
          <cell r="P459">
            <v>0.7</v>
          </cell>
          <cell r="Q459">
            <v>0.6</v>
          </cell>
          <cell r="R459" t="str">
            <v>단일 대여 이용권</v>
          </cell>
          <cell r="S459">
            <v>900</v>
          </cell>
          <cell r="T459">
            <v>53100</v>
          </cell>
          <cell r="U459">
            <v>45900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5400</v>
          </cell>
          <cell r="AA459">
            <v>0</v>
          </cell>
          <cell r="AB459">
            <v>0</v>
          </cell>
          <cell r="AC459">
            <v>1800</v>
          </cell>
          <cell r="AD459">
            <v>53640</v>
          </cell>
          <cell r="AE459">
            <v>45900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5940</v>
          </cell>
          <cell r="AK459">
            <v>0</v>
          </cell>
          <cell r="AL459">
            <v>0</v>
          </cell>
          <cell r="AM459">
            <v>1800</v>
          </cell>
          <cell r="AN459">
            <v>36954</v>
          </cell>
          <cell r="AO459">
            <v>0</v>
          </cell>
          <cell r="AP459">
            <v>36954</v>
          </cell>
          <cell r="AQ459" t="str">
            <v>스토리위즈</v>
          </cell>
          <cell r="AR459" t="str">
            <v>권용찬</v>
          </cell>
        </row>
        <row r="460">
          <cell r="N460" t="str">
            <v>김정률</v>
          </cell>
          <cell r="O460" t="str">
            <v>Y</v>
          </cell>
          <cell r="P460">
            <v>0.7</v>
          </cell>
          <cell r="Q460">
            <v>0.6</v>
          </cell>
          <cell r="R460" t="str">
            <v>단일 대여 이용권</v>
          </cell>
          <cell r="S460">
            <v>900</v>
          </cell>
          <cell r="T460">
            <v>17100</v>
          </cell>
          <cell r="U460">
            <v>6700</v>
          </cell>
          <cell r="V460">
            <v>0</v>
          </cell>
          <cell r="W460">
            <v>0</v>
          </cell>
          <cell r="X460">
            <v>0</v>
          </cell>
          <cell r="Y460">
            <v>900</v>
          </cell>
          <cell r="Z460">
            <v>0</v>
          </cell>
          <cell r="AA460">
            <v>0</v>
          </cell>
          <cell r="AB460">
            <v>0</v>
          </cell>
          <cell r="AC460">
            <v>9500</v>
          </cell>
          <cell r="AD460">
            <v>17280</v>
          </cell>
          <cell r="AE460">
            <v>6700</v>
          </cell>
          <cell r="AF460">
            <v>0</v>
          </cell>
          <cell r="AG460">
            <v>0</v>
          </cell>
          <cell r="AH460">
            <v>0</v>
          </cell>
          <cell r="AI460">
            <v>1080</v>
          </cell>
          <cell r="AJ460">
            <v>0</v>
          </cell>
          <cell r="AK460">
            <v>0</v>
          </cell>
          <cell r="AL460">
            <v>0</v>
          </cell>
          <cell r="AM460">
            <v>9500</v>
          </cell>
          <cell r="AN460">
            <v>11988</v>
          </cell>
          <cell r="AO460">
            <v>0</v>
          </cell>
          <cell r="AP460">
            <v>11988</v>
          </cell>
          <cell r="AQ460" t="str">
            <v>스토리위즈</v>
          </cell>
          <cell r="AR460" t="str">
            <v>김정률</v>
          </cell>
        </row>
        <row r="461">
          <cell r="N461" t="str">
            <v>김정률</v>
          </cell>
          <cell r="O461" t="str">
            <v>Y</v>
          </cell>
          <cell r="P461">
            <v>0.7</v>
          </cell>
          <cell r="Q461">
            <v>0.6</v>
          </cell>
          <cell r="R461" t="str">
            <v>시리즈 이용권 패키지</v>
          </cell>
          <cell r="S461">
            <v>9000</v>
          </cell>
          <cell r="T461">
            <v>117000</v>
          </cell>
          <cell r="U461">
            <v>117000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117000</v>
          </cell>
          <cell r="AE461">
            <v>117000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81900</v>
          </cell>
          <cell r="AO461">
            <v>0</v>
          </cell>
          <cell r="AP461">
            <v>81900</v>
          </cell>
          <cell r="AQ461" t="str">
            <v>스토리위즈</v>
          </cell>
          <cell r="AR461" t="str">
            <v>김정률</v>
          </cell>
        </row>
        <row r="462">
          <cell r="N462" t="str">
            <v>김정률</v>
          </cell>
          <cell r="O462" t="str">
            <v>Y</v>
          </cell>
          <cell r="P462">
            <v>0.7</v>
          </cell>
          <cell r="Q462">
            <v>0.6</v>
          </cell>
          <cell r="R462" t="str">
            <v>단일 이용권</v>
          </cell>
          <cell r="S462">
            <v>3200</v>
          </cell>
          <cell r="T462">
            <v>19200</v>
          </cell>
          <cell r="U462">
            <v>4600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14600</v>
          </cell>
          <cell r="AD462">
            <v>19200</v>
          </cell>
          <cell r="AE462">
            <v>4600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14600</v>
          </cell>
          <cell r="AN462">
            <v>13440</v>
          </cell>
          <cell r="AO462">
            <v>0</v>
          </cell>
          <cell r="AP462">
            <v>13440</v>
          </cell>
          <cell r="AQ462" t="str">
            <v>스토리위즈</v>
          </cell>
          <cell r="AR462" t="str">
            <v>김정률</v>
          </cell>
        </row>
        <row r="463">
          <cell r="N463" t="str">
            <v>허니레몬</v>
          </cell>
          <cell r="O463" t="str">
            <v>Y</v>
          </cell>
          <cell r="P463">
            <v>0.7</v>
          </cell>
          <cell r="Q463">
            <v>0.6</v>
          </cell>
          <cell r="R463" t="str">
            <v>단일 이용권</v>
          </cell>
          <cell r="S463">
            <v>100</v>
          </cell>
          <cell r="T463">
            <v>700</v>
          </cell>
          <cell r="U463">
            <v>600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100</v>
          </cell>
          <cell r="AD463">
            <v>700</v>
          </cell>
          <cell r="AE463">
            <v>600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100</v>
          </cell>
          <cell r="AN463">
            <v>490</v>
          </cell>
          <cell r="AO463">
            <v>0</v>
          </cell>
          <cell r="AP463">
            <v>490</v>
          </cell>
          <cell r="AQ463" t="str">
            <v>스토리위즈</v>
          </cell>
          <cell r="AR463" t="str">
            <v>아이리스</v>
          </cell>
        </row>
        <row r="464">
          <cell r="N464" t="str">
            <v>주이서</v>
          </cell>
          <cell r="O464" t="str">
            <v>Y</v>
          </cell>
          <cell r="P464">
            <v>0.7</v>
          </cell>
          <cell r="Q464">
            <v>0.6</v>
          </cell>
          <cell r="R464" t="str">
            <v>단일 이용권</v>
          </cell>
          <cell r="S464">
            <v>100</v>
          </cell>
          <cell r="T464">
            <v>900</v>
          </cell>
          <cell r="U464">
            <v>300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600</v>
          </cell>
          <cell r="AD464">
            <v>900</v>
          </cell>
          <cell r="AE464">
            <v>300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600</v>
          </cell>
          <cell r="AN464">
            <v>630</v>
          </cell>
          <cell r="AO464">
            <v>0</v>
          </cell>
          <cell r="AP464">
            <v>630</v>
          </cell>
          <cell r="AQ464" t="str">
            <v>스토리위즈</v>
          </cell>
          <cell r="AR464" t="str">
            <v>주이서</v>
          </cell>
        </row>
        <row r="465">
          <cell r="N465" t="str">
            <v>김정률</v>
          </cell>
          <cell r="O465" t="str">
            <v>Y</v>
          </cell>
          <cell r="P465">
            <v>0.7</v>
          </cell>
          <cell r="Q465">
            <v>0.6</v>
          </cell>
          <cell r="R465" t="str">
            <v>단일 대여 이용권</v>
          </cell>
          <cell r="S465">
            <v>900</v>
          </cell>
          <cell r="T465">
            <v>58500</v>
          </cell>
          <cell r="U465">
            <v>44100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9900</v>
          </cell>
          <cell r="AA465">
            <v>0</v>
          </cell>
          <cell r="AB465">
            <v>0</v>
          </cell>
          <cell r="AC465">
            <v>4500</v>
          </cell>
          <cell r="AD465">
            <v>59490</v>
          </cell>
          <cell r="AE465">
            <v>44100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10890</v>
          </cell>
          <cell r="AK465">
            <v>0</v>
          </cell>
          <cell r="AL465">
            <v>0</v>
          </cell>
          <cell r="AM465">
            <v>4500</v>
          </cell>
          <cell r="AN465">
            <v>40554</v>
          </cell>
          <cell r="AO465">
            <v>0</v>
          </cell>
          <cell r="AP465">
            <v>40554</v>
          </cell>
          <cell r="AQ465" t="str">
            <v>스토리위즈</v>
          </cell>
          <cell r="AR465" t="str">
            <v>김정률</v>
          </cell>
        </row>
        <row r="466">
          <cell r="N466" t="str">
            <v>김정률</v>
          </cell>
          <cell r="O466" t="str">
            <v>Y</v>
          </cell>
          <cell r="P466">
            <v>0.7</v>
          </cell>
          <cell r="Q466">
            <v>0.6</v>
          </cell>
          <cell r="R466" t="str">
            <v>단일 이용권</v>
          </cell>
          <cell r="S466">
            <v>100</v>
          </cell>
          <cell r="T466">
            <v>27500</v>
          </cell>
          <cell r="U466">
            <v>3600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23900</v>
          </cell>
          <cell r="AD466">
            <v>27500</v>
          </cell>
          <cell r="AE466">
            <v>3600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23900</v>
          </cell>
          <cell r="AN466">
            <v>19250</v>
          </cell>
          <cell r="AO466">
            <v>0</v>
          </cell>
          <cell r="AP466">
            <v>19250</v>
          </cell>
          <cell r="AQ466" t="str">
            <v>스토리위즈</v>
          </cell>
          <cell r="AR466" t="str">
            <v>김정률</v>
          </cell>
        </row>
        <row r="467">
          <cell r="N467" t="str">
            <v>모리미</v>
          </cell>
          <cell r="O467" t="str">
            <v>Y</v>
          </cell>
          <cell r="P467">
            <v>0.7</v>
          </cell>
          <cell r="Q467">
            <v>0.6</v>
          </cell>
          <cell r="R467" t="str">
            <v>단일 이용권</v>
          </cell>
          <cell r="S467">
            <v>100</v>
          </cell>
          <cell r="T467">
            <v>14300</v>
          </cell>
          <cell r="U467">
            <v>11900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2400</v>
          </cell>
          <cell r="AD467">
            <v>14300</v>
          </cell>
          <cell r="AE467">
            <v>11900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2400</v>
          </cell>
          <cell r="AN467">
            <v>10010</v>
          </cell>
          <cell r="AO467">
            <v>0</v>
          </cell>
          <cell r="AP467">
            <v>10010</v>
          </cell>
          <cell r="AQ467" t="str">
            <v>스토리위즈</v>
          </cell>
          <cell r="AR467" t="str">
            <v>모리미</v>
          </cell>
        </row>
        <row r="468">
          <cell r="N468" t="str">
            <v>허니레몬</v>
          </cell>
          <cell r="O468" t="str">
            <v>Y</v>
          </cell>
          <cell r="P468">
            <v>0.7</v>
          </cell>
          <cell r="Q468">
            <v>0.6</v>
          </cell>
          <cell r="R468" t="str">
            <v>시리즈 이용권 패키지</v>
          </cell>
          <cell r="S468">
            <v>900</v>
          </cell>
          <cell r="T468">
            <v>900</v>
          </cell>
          <cell r="U468">
            <v>900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900</v>
          </cell>
          <cell r="AE468">
            <v>900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630</v>
          </cell>
          <cell r="AO468">
            <v>0</v>
          </cell>
          <cell r="AP468">
            <v>630</v>
          </cell>
          <cell r="AQ468" t="str">
            <v>스토리위즈</v>
          </cell>
          <cell r="AR468" t="str">
            <v>아이리스</v>
          </cell>
        </row>
        <row r="469">
          <cell r="N469" t="str">
            <v>주이서</v>
          </cell>
          <cell r="O469" t="str">
            <v>Y</v>
          </cell>
          <cell r="P469">
            <v>0.7</v>
          </cell>
          <cell r="Q469">
            <v>0.6</v>
          </cell>
          <cell r="R469" t="str">
            <v>시리즈 이용권 패키지</v>
          </cell>
          <cell r="S469">
            <v>900</v>
          </cell>
          <cell r="T469">
            <v>900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900</v>
          </cell>
          <cell r="AD469">
            <v>900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900</v>
          </cell>
          <cell r="AN469">
            <v>630</v>
          </cell>
          <cell r="AO469">
            <v>0</v>
          </cell>
          <cell r="AP469">
            <v>630</v>
          </cell>
          <cell r="AQ469" t="str">
            <v>스토리위즈</v>
          </cell>
          <cell r="AR469" t="str">
            <v>주이서</v>
          </cell>
        </row>
        <row r="470">
          <cell r="N470" t="str">
            <v>모리미J</v>
          </cell>
          <cell r="O470" t="str">
            <v>Y</v>
          </cell>
          <cell r="P470">
            <v>0.7</v>
          </cell>
          <cell r="Q470">
            <v>0.6</v>
          </cell>
          <cell r="R470" t="str">
            <v>단일 이용권</v>
          </cell>
          <cell r="S470">
            <v>100</v>
          </cell>
          <cell r="T470">
            <v>100</v>
          </cell>
          <cell r="U470">
            <v>100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100</v>
          </cell>
          <cell r="AE470">
            <v>100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70</v>
          </cell>
          <cell r="AO470">
            <v>0</v>
          </cell>
          <cell r="AP470">
            <v>70</v>
          </cell>
          <cell r="AQ470" t="str">
            <v>스토리위즈</v>
          </cell>
          <cell r="AR470" t="str">
            <v>모리미J</v>
          </cell>
        </row>
        <row r="471">
          <cell r="N471" t="str">
            <v>김정률</v>
          </cell>
          <cell r="O471" t="str">
            <v>Y</v>
          </cell>
          <cell r="P471">
            <v>0.7</v>
          </cell>
          <cell r="Q471">
            <v>0.6</v>
          </cell>
          <cell r="R471" t="str">
            <v>시리즈 대여 이용권 패키지</v>
          </cell>
          <cell r="S471">
            <v>10800</v>
          </cell>
          <cell r="T471">
            <v>1800</v>
          </cell>
          <cell r="U471">
            <v>1800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1800</v>
          </cell>
          <cell r="AE471">
            <v>1800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1260</v>
          </cell>
          <cell r="AO471">
            <v>0</v>
          </cell>
          <cell r="AP471">
            <v>1260</v>
          </cell>
          <cell r="AQ471" t="str">
            <v>스토리위즈</v>
          </cell>
          <cell r="AR471" t="str">
            <v>김정률</v>
          </cell>
        </row>
        <row r="472">
          <cell r="N472" t="str">
            <v>김정률</v>
          </cell>
          <cell r="O472" t="str">
            <v>Y</v>
          </cell>
          <cell r="P472">
            <v>0.7</v>
          </cell>
          <cell r="Q472">
            <v>0.6</v>
          </cell>
          <cell r="R472" t="str">
            <v>시리즈 이용권 패키지</v>
          </cell>
          <cell r="S472">
            <v>2300</v>
          </cell>
          <cell r="T472">
            <v>20700</v>
          </cell>
          <cell r="U472">
            <v>14600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2300</v>
          </cell>
          <cell r="AA472">
            <v>0</v>
          </cell>
          <cell r="AB472">
            <v>0</v>
          </cell>
          <cell r="AC472">
            <v>3800</v>
          </cell>
          <cell r="AD472">
            <v>20930</v>
          </cell>
          <cell r="AE472">
            <v>14600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2530</v>
          </cell>
          <cell r="AK472">
            <v>0</v>
          </cell>
          <cell r="AL472">
            <v>0</v>
          </cell>
          <cell r="AM472">
            <v>3800</v>
          </cell>
          <cell r="AN472">
            <v>14398</v>
          </cell>
          <cell r="AO472">
            <v>0</v>
          </cell>
          <cell r="AP472">
            <v>14398</v>
          </cell>
          <cell r="AQ472" t="str">
            <v>스토리위즈</v>
          </cell>
          <cell r="AR472" t="str">
            <v>김정률</v>
          </cell>
        </row>
        <row r="473">
          <cell r="N473" t="str">
            <v>모리미</v>
          </cell>
          <cell r="O473" t="str">
            <v>Y</v>
          </cell>
          <cell r="P473">
            <v>0.7</v>
          </cell>
          <cell r="Q473">
            <v>0.6</v>
          </cell>
          <cell r="R473" t="str">
            <v>시리즈 이용권 패키지</v>
          </cell>
          <cell r="S473">
            <v>900</v>
          </cell>
          <cell r="T473">
            <v>9900</v>
          </cell>
          <cell r="U473">
            <v>8800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1100</v>
          </cell>
          <cell r="AD473">
            <v>9900</v>
          </cell>
          <cell r="AE473">
            <v>8800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1100</v>
          </cell>
          <cell r="AN473">
            <v>6930</v>
          </cell>
          <cell r="AO473">
            <v>0</v>
          </cell>
          <cell r="AP473">
            <v>6930</v>
          </cell>
          <cell r="AQ473" t="str">
            <v>스토리위즈</v>
          </cell>
          <cell r="AR473" t="str">
            <v>모리미</v>
          </cell>
        </row>
        <row r="474">
          <cell r="N474" t="str">
            <v>허니레몬</v>
          </cell>
          <cell r="O474" t="str">
            <v>Y</v>
          </cell>
          <cell r="P474">
            <v>0.7</v>
          </cell>
          <cell r="Q474">
            <v>0.6</v>
          </cell>
          <cell r="R474" t="str">
            <v>시리즈 이용권 패키지</v>
          </cell>
          <cell r="S474">
            <v>2700</v>
          </cell>
          <cell r="T474">
            <v>2700</v>
          </cell>
          <cell r="U474">
            <v>2600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100</v>
          </cell>
          <cell r="AD474">
            <v>2700</v>
          </cell>
          <cell r="AE474">
            <v>2600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100</v>
          </cell>
          <cell r="AN474">
            <v>1890</v>
          </cell>
          <cell r="AO474">
            <v>0</v>
          </cell>
          <cell r="AP474">
            <v>1890</v>
          </cell>
          <cell r="AQ474" t="str">
            <v>스토리위즈</v>
          </cell>
          <cell r="AR474" t="str">
            <v>아이리스</v>
          </cell>
        </row>
        <row r="475">
          <cell r="N475" t="str">
            <v>주이서</v>
          </cell>
          <cell r="O475" t="str">
            <v>Y</v>
          </cell>
          <cell r="P475">
            <v>0.7</v>
          </cell>
          <cell r="Q475">
            <v>0.6</v>
          </cell>
          <cell r="R475" t="str">
            <v>시리즈 이용권 패키지</v>
          </cell>
          <cell r="S475">
            <v>4500</v>
          </cell>
          <cell r="T475">
            <v>4500</v>
          </cell>
          <cell r="U475">
            <v>2760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1740</v>
          </cell>
          <cell r="AD475">
            <v>4500</v>
          </cell>
          <cell r="AE475">
            <v>2760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1740</v>
          </cell>
          <cell r="AN475">
            <v>3150</v>
          </cell>
          <cell r="AO475">
            <v>0</v>
          </cell>
          <cell r="AP475">
            <v>3150</v>
          </cell>
          <cell r="AQ475" t="str">
            <v>스토리위즈</v>
          </cell>
          <cell r="AR475" t="str">
            <v>주이서</v>
          </cell>
        </row>
        <row r="476">
          <cell r="N476" t="str">
            <v>모리미J</v>
          </cell>
          <cell r="O476" t="str">
            <v>Y</v>
          </cell>
          <cell r="P476">
            <v>0.7</v>
          </cell>
          <cell r="Q476">
            <v>0.6</v>
          </cell>
          <cell r="R476" t="str">
            <v>시리즈 이용권 패키지</v>
          </cell>
          <cell r="S476">
            <v>900</v>
          </cell>
          <cell r="T476">
            <v>1800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1800</v>
          </cell>
          <cell r="AD476">
            <v>1800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1800</v>
          </cell>
          <cell r="AN476">
            <v>1260</v>
          </cell>
          <cell r="AO476">
            <v>0</v>
          </cell>
          <cell r="AP476">
            <v>1260</v>
          </cell>
          <cell r="AQ476" t="str">
            <v>스토리위즈</v>
          </cell>
          <cell r="AR476" t="str">
            <v>모리미J</v>
          </cell>
        </row>
        <row r="477">
          <cell r="N477" t="str">
            <v>김정률</v>
          </cell>
          <cell r="O477" t="str">
            <v>Y</v>
          </cell>
          <cell r="P477">
            <v>0.7</v>
          </cell>
          <cell r="Q477">
            <v>0.6</v>
          </cell>
          <cell r="R477" t="str">
            <v>단일 대여 이용권</v>
          </cell>
          <cell r="S477">
            <v>900</v>
          </cell>
          <cell r="T477">
            <v>100800</v>
          </cell>
          <cell r="U477">
            <v>80280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20520</v>
          </cell>
          <cell r="AD477">
            <v>100800</v>
          </cell>
          <cell r="AE477">
            <v>80280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20520</v>
          </cell>
          <cell r="AN477">
            <v>70560</v>
          </cell>
          <cell r="AO477">
            <v>0</v>
          </cell>
          <cell r="AP477">
            <v>70560</v>
          </cell>
          <cell r="AQ477" t="str">
            <v>스토리위즈</v>
          </cell>
          <cell r="AR477" t="str">
            <v>김정률</v>
          </cell>
        </row>
        <row r="478">
          <cell r="N478" t="str">
            <v>김정률</v>
          </cell>
          <cell r="O478" t="str">
            <v>Y</v>
          </cell>
          <cell r="P478">
            <v>0.7</v>
          </cell>
          <cell r="Q478">
            <v>0.6</v>
          </cell>
          <cell r="R478" t="str">
            <v>시리즈 이용권 패키지</v>
          </cell>
          <cell r="S478">
            <v>4500</v>
          </cell>
          <cell r="T478">
            <v>84100</v>
          </cell>
          <cell r="U478">
            <v>78100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4500</v>
          </cell>
          <cell r="AA478">
            <v>0</v>
          </cell>
          <cell r="AB478">
            <v>0</v>
          </cell>
          <cell r="AC478">
            <v>1500</v>
          </cell>
          <cell r="AD478">
            <v>84550</v>
          </cell>
          <cell r="AE478">
            <v>78100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4950</v>
          </cell>
          <cell r="AK478">
            <v>0</v>
          </cell>
          <cell r="AL478">
            <v>0</v>
          </cell>
          <cell r="AM478">
            <v>1500</v>
          </cell>
          <cell r="AN478">
            <v>58690</v>
          </cell>
          <cell r="AO478">
            <v>0</v>
          </cell>
          <cell r="AP478">
            <v>58690</v>
          </cell>
          <cell r="AQ478" t="str">
            <v>스토리위즈</v>
          </cell>
          <cell r="AR478" t="str">
            <v>김정률</v>
          </cell>
        </row>
        <row r="479">
          <cell r="N479" t="str">
            <v>모리미</v>
          </cell>
          <cell r="O479" t="str">
            <v>Y</v>
          </cell>
          <cell r="P479">
            <v>0.7</v>
          </cell>
          <cell r="Q479">
            <v>0.6</v>
          </cell>
          <cell r="R479" t="str">
            <v>시리즈 이용권 패키지</v>
          </cell>
          <cell r="S479">
            <v>2700</v>
          </cell>
          <cell r="T479">
            <v>10800</v>
          </cell>
          <cell r="U479">
            <v>10300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500</v>
          </cell>
          <cell r="AD479">
            <v>10800</v>
          </cell>
          <cell r="AE479">
            <v>10300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500</v>
          </cell>
          <cell r="AN479">
            <v>7560</v>
          </cell>
          <cell r="AO479">
            <v>0</v>
          </cell>
          <cell r="AP479">
            <v>7560</v>
          </cell>
          <cell r="AQ479" t="str">
            <v>스토리위즈</v>
          </cell>
          <cell r="AR479" t="str">
            <v>모리미</v>
          </cell>
        </row>
        <row r="480">
          <cell r="N480" t="str">
            <v>차홍주</v>
          </cell>
          <cell r="O480" t="str">
            <v>Y</v>
          </cell>
          <cell r="P480">
            <v>0.7</v>
          </cell>
          <cell r="Q480">
            <v>0.6</v>
          </cell>
          <cell r="R480" t="str">
            <v>단일 이용권</v>
          </cell>
          <cell r="S480">
            <v>100</v>
          </cell>
          <cell r="T480">
            <v>600</v>
          </cell>
          <cell r="U480">
            <v>600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600</v>
          </cell>
          <cell r="AE480">
            <v>600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420</v>
          </cell>
          <cell r="AO480">
            <v>0</v>
          </cell>
          <cell r="AP480">
            <v>420</v>
          </cell>
          <cell r="AQ480" t="str">
            <v>스토리위즈</v>
          </cell>
          <cell r="AR480" t="str">
            <v>차홍주</v>
          </cell>
        </row>
        <row r="481">
          <cell r="N481" t="str">
            <v>모리미J</v>
          </cell>
          <cell r="O481" t="str">
            <v>Y</v>
          </cell>
          <cell r="P481">
            <v>0.7</v>
          </cell>
          <cell r="Q481">
            <v>0.6</v>
          </cell>
          <cell r="R481" t="str">
            <v>시리즈 이용권 패키지</v>
          </cell>
          <cell r="S481">
            <v>4500</v>
          </cell>
          <cell r="T481">
            <v>14500</v>
          </cell>
          <cell r="U481">
            <v>12800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1700</v>
          </cell>
          <cell r="AD481">
            <v>14500</v>
          </cell>
          <cell r="AE481">
            <v>12800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1700</v>
          </cell>
          <cell r="AN481">
            <v>10150</v>
          </cell>
          <cell r="AO481">
            <v>0</v>
          </cell>
          <cell r="AP481">
            <v>10150</v>
          </cell>
          <cell r="AQ481" t="str">
            <v>스토리위즈</v>
          </cell>
          <cell r="AR481" t="str">
            <v>모리미J</v>
          </cell>
        </row>
        <row r="482">
          <cell r="N482" t="str">
            <v>권용찬</v>
          </cell>
          <cell r="O482" t="str">
            <v>Y</v>
          </cell>
          <cell r="P482">
            <v>0.7</v>
          </cell>
          <cell r="Q482">
            <v>0.6</v>
          </cell>
          <cell r="R482" t="str">
            <v>단일 이용권</v>
          </cell>
          <cell r="S482">
            <v>3200</v>
          </cell>
          <cell r="T482">
            <v>22400</v>
          </cell>
          <cell r="U482">
            <v>19200</v>
          </cell>
          <cell r="V482">
            <v>0</v>
          </cell>
          <cell r="W482">
            <v>0</v>
          </cell>
          <cell r="X482">
            <v>0</v>
          </cell>
          <cell r="Y482">
            <v>1350</v>
          </cell>
          <cell r="Z482">
            <v>1850</v>
          </cell>
          <cell r="AA482">
            <v>0</v>
          </cell>
          <cell r="AB482">
            <v>0</v>
          </cell>
          <cell r="AC482">
            <v>0</v>
          </cell>
          <cell r="AD482">
            <v>22855</v>
          </cell>
          <cell r="AE482">
            <v>19200</v>
          </cell>
          <cell r="AF482">
            <v>0</v>
          </cell>
          <cell r="AG482">
            <v>0</v>
          </cell>
          <cell r="AH482">
            <v>0</v>
          </cell>
          <cell r="AI482">
            <v>1620</v>
          </cell>
          <cell r="AJ482">
            <v>2035</v>
          </cell>
          <cell r="AK482">
            <v>0</v>
          </cell>
          <cell r="AL482">
            <v>0</v>
          </cell>
          <cell r="AM482">
            <v>0</v>
          </cell>
          <cell r="AN482">
            <v>15633</v>
          </cell>
          <cell r="AO482">
            <v>0</v>
          </cell>
          <cell r="AP482">
            <v>15633</v>
          </cell>
          <cell r="AQ482" t="str">
            <v>스토리위즈</v>
          </cell>
          <cell r="AR482" t="str">
            <v>권용찬</v>
          </cell>
        </row>
        <row r="483">
          <cell r="N483" t="str">
            <v>김정률</v>
          </cell>
          <cell r="O483" t="str">
            <v>Y</v>
          </cell>
          <cell r="P483">
            <v>0.7</v>
          </cell>
          <cell r="Q483">
            <v>0.6</v>
          </cell>
          <cell r="R483" t="str">
            <v>시리즈 이용권 패키지</v>
          </cell>
          <cell r="S483">
            <v>9000</v>
          </cell>
          <cell r="T483">
            <v>90000</v>
          </cell>
          <cell r="U483">
            <v>72000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18000</v>
          </cell>
          <cell r="AA483">
            <v>0</v>
          </cell>
          <cell r="AB483">
            <v>0</v>
          </cell>
          <cell r="AC483">
            <v>0</v>
          </cell>
          <cell r="AD483">
            <v>91800</v>
          </cell>
          <cell r="AE483">
            <v>72000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19800</v>
          </cell>
          <cell r="AK483">
            <v>0</v>
          </cell>
          <cell r="AL483">
            <v>0</v>
          </cell>
          <cell r="AM483">
            <v>0</v>
          </cell>
          <cell r="AN483">
            <v>62280</v>
          </cell>
          <cell r="AO483">
            <v>0</v>
          </cell>
          <cell r="AP483">
            <v>62280</v>
          </cell>
          <cell r="AQ483" t="str">
            <v>스토리위즈</v>
          </cell>
          <cell r="AR483" t="str">
            <v>김정률</v>
          </cell>
        </row>
        <row r="484">
          <cell r="N484" t="str">
            <v>모리미</v>
          </cell>
          <cell r="O484" t="str">
            <v>Y</v>
          </cell>
          <cell r="P484">
            <v>0.7</v>
          </cell>
          <cell r="Q484">
            <v>0.6</v>
          </cell>
          <cell r="R484" t="str">
            <v>시리즈 이용권 패키지</v>
          </cell>
          <cell r="S484">
            <v>5400</v>
          </cell>
          <cell r="T484">
            <v>16200</v>
          </cell>
          <cell r="U484">
            <v>16200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16200</v>
          </cell>
          <cell r="AE484">
            <v>16200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11340</v>
          </cell>
          <cell r="AO484">
            <v>0</v>
          </cell>
          <cell r="AP484">
            <v>11340</v>
          </cell>
          <cell r="AQ484" t="str">
            <v>스토리위즈</v>
          </cell>
          <cell r="AR484" t="str">
            <v>모리미</v>
          </cell>
        </row>
        <row r="485">
          <cell r="N485" t="str">
            <v>차홍주</v>
          </cell>
          <cell r="O485" t="str">
            <v>Y</v>
          </cell>
          <cell r="P485">
            <v>0.7</v>
          </cell>
          <cell r="Q485">
            <v>0.6</v>
          </cell>
          <cell r="R485" t="str">
            <v>시리즈 이용권 패키지</v>
          </cell>
          <cell r="S485">
            <v>2700</v>
          </cell>
          <cell r="T485">
            <v>2700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2700</v>
          </cell>
          <cell r="AD485">
            <v>2700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2700</v>
          </cell>
          <cell r="AN485">
            <v>1890</v>
          </cell>
          <cell r="AO485">
            <v>0</v>
          </cell>
          <cell r="AP485">
            <v>1890</v>
          </cell>
          <cell r="AQ485" t="str">
            <v>스토리위즈</v>
          </cell>
          <cell r="AR485" t="str">
            <v>차홍주</v>
          </cell>
        </row>
        <row r="486">
          <cell r="N486" t="str">
            <v>디버스 대도서관</v>
          </cell>
          <cell r="O486" t="str">
            <v>Y</v>
          </cell>
          <cell r="P486">
            <v>0.7</v>
          </cell>
          <cell r="Q486">
            <v>0.6</v>
          </cell>
          <cell r="R486" t="str">
            <v>단일 이용권</v>
          </cell>
          <cell r="S486">
            <v>100</v>
          </cell>
          <cell r="T486">
            <v>700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700</v>
          </cell>
          <cell r="AD486">
            <v>700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700</v>
          </cell>
          <cell r="AN486">
            <v>490</v>
          </cell>
          <cell r="AO486">
            <v>0</v>
          </cell>
          <cell r="AP486">
            <v>490</v>
          </cell>
          <cell r="AQ486" t="str">
            <v>스토리위즈</v>
          </cell>
          <cell r="AR486" t="str">
            <v>디버스 대도서관</v>
          </cell>
        </row>
        <row r="487">
          <cell r="N487" t="str">
            <v>장유진</v>
          </cell>
          <cell r="O487" t="str">
            <v>Y</v>
          </cell>
          <cell r="P487">
            <v>0.7</v>
          </cell>
          <cell r="Q487">
            <v>0.6</v>
          </cell>
          <cell r="R487" t="str">
            <v>단일 이용권</v>
          </cell>
          <cell r="S487">
            <v>3200</v>
          </cell>
          <cell r="T487">
            <v>3200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3200</v>
          </cell>
          <cell r="AD487">
            <v>3200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3200</v>
          </cell>
          <cell r="AN487">
            <v>2240</v>
          </cell>
          <cell r="AO487">
            <v>0</v>
          </cell>
          <cell r="AP487">
            <v>2240</v>
          </cell>
          <cell r="AQ487" t="str">
            <v>스토리위즈</v>
          </cell>
          <cell r="AR487" t="str">
            <v>청빙</v>
          </cell>
        </row>
        <row r="488">
          <cell r="N488" t="str">
            <v>돈문어</v>
          </cell>
          <cell r="O488" t="str">
            <v>Y</v>
          </cell>
          <cell r="P488">
            <v>0.55000000000000004</v>
          </cell>
          <cell r="Q488">
            <v>0.55000000000000004</v>
          </cell>
          <cell r="R488" t="str">
            <v>단일 이용권</v>
          </cell>
          <cell r="S488">
            <v>100</v>
          </cell>
          <cell r="T488">
            <v>31000</v>
          </cell>
          <cell r="U488">
            <v>20700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10300</v>
          </cell>
          <cell r="AD488">
            <v>31000</v>
          </cell>
          <cell r="AE488">
            <v>20700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10300</v>
          </cell>
          <cell r="AN488">
            <v>17050</v>
          </cell>
          <cell r="AO488">
            <v>0</v>
          </cell>
          <cell r="AP488">
            <v>17050</v>
          </cell>
          <cell r="AQ488" t="str">
            <v>스토리위즈</v>
          </cell>
          <cell r="AR488" t="str">
            <v>돈문어</v>
          </cell>
        </row>
        <row r="489">
          <cell r="N489" t="str">
            <v>돈문어</v>
          </cell>
          <cell r="O489" t="str">
            <v>Y</v>
          </cell>
          <cell r="P489">
            <v>0.55000000000000004</v>
          </cell>
          <cell r="Q489">
            <v>0.55000000000000004</v>
          </cell>
          <cell r="R489" t="str">
            <v>시리즈 이용권 패키지</v>
          </cell>
          <cell r="S489">
            <v>2400</v>
          </cell>
          <cell r="T489">
            <v>104500</v>
          </cell>
          <cell r="U489">
            <v>100600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2400</v>
          </cell>
          <cell r="AA489">
            <v>0</v>
          </cell>
          <cell r="AB489">
            <v>0</v>
          </cell>
          <cell r="AC489">
            <v>1500</v>
          </cell>
          <cell r="AD489">
            <v>104740</v>
          </cell>
          <cell r="AE489">
            <v>100600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2640</v>
          </cell>
          <cell r="AK489">
            <v>0</v>
          </cell>
          <cell r="AL489">
            <v>0</v>
          </cell>
          <cell r="AM489">
            <v>1500</v>
          </cell>
          <cell r="AN489">
            <v>57607</v>
          </cell>
          <cell r="AO489">
            <v>0</v>
          </cell>
          <cell r="AP489">
            <v>57607</v>
          </cell>
          <cell r="AQ489" t="str">
            <v>스토리위즈</v>
          </cell>
          <cell r="AR489" t="str">
            <v>돈문어</v>
          </cell>
        </row>
        <row r="490">
          <cell r="N490" t="str">
            <v>돈문어</v>
          </cell>
          <cell r="O490" t="str">
            <v>Y</v>
          </cell>
          <cell r="P490">
            <v>0.55000000000000004</v>
          </cell>
          <cell r="Q490">
            <v>0.55000000000000004</v>
          </cell>
          <cell r="R490" t="str">
            <v>시리즈 이용권 패키지</v>
          </cell>
          <cell r="S490">
            <v>4700</v>
          </cell>
          <cell r="T490">
            <v>20300</v>
          </cell>
          <cell r="U490">
            <v>18800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1500</v>
          </cell>
          <cell r="AD490">
            <v>20300</v>
          </cell>
          <cell r="AE490">
            <v>18800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1500</v>
          </cell>
          <cell r="AN490">
            <v>11165</v>
          </cell>
          <cell r="AO490">
            <v>0</v>
          </cell>
          <cell r="AP490">
            <v>11165</v>
          </cell>
          <cell r="AQ490" t="str">
            <v>스토리위즈</v>
          </cell>
          <cell r="AR490" t="str">
            <v>돈문어</v>
          </cell>
        </row>
        <row r="491">
          <cell r="N491" t="str">
            <v>돈문어</v>
          </cell>
          <cell r="O491" t="str">
            <v>Y</v>
          </cell>
          <cell r="P491">
            <v>0.55000000000000004</v>
          </cell>
          <cell r="Q491">
            <v>0.55000000000000004</v>
          </cell>
          <cell r="R491" t="str">
            <v>시리즈 이용권 패키지</v>
          </cell>
          <cell r="S491">
            <v>9200</v>
          </cell>
          <cell r="T491">
            <v>64400</v>
          </cell>
          <cell r="U491">
            <v>64400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64400</v>
          </cell>
          <cell r="AE491">
            <v>64400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35420</v>
          </cell>
          <cell r="AO491">
            <v>0</v>
          </cell>
          <cell r="AP491">
            <v>35420</v>
          </cell>
          <cell r="AQ491" t="str">
            <v>스토리위즈</v>
          </cell>
          <cell r="AR491" t="str">
            <v>돈문어</v>
          </cell>
        </row>
        <row r="492">
          <cell r="N492" t="str">
            <v>서강후</v>
          </cell>
          <cell r="O492" t="str">
            <v>Y</v>
          </cell>
          <cell r="P492">
            <v>0.55000000000000004</v>
          </cell>
          <cell r="Q492">
            <v>0.55000000000000004</v>
          </cell>
          <cell r="R492" t="str">
            <v>단일 이용권</v>
          </cell>
          <cell r="S492">
            <v>100</v>
          </cell>
          <cell r="T492">
            <v>24300</v>
          </cell>
          <cell r="U492">
            <v>8300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16000</v>
          </cell>
          <cell r="AD492">
            <v>24300</v>
          </cell>
          <cell r="AE492">
            <v>8300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16000</v>
          </cell>
          <cell r="AN492">
            <v>13365</v>
          </cell>
          <cell r="AO492">
            <v>0</v>
          </cell>
          <cell r="AP492">
            <v>13365</v>
          </cell>
          <cell r="AQ492" t="str">
            <v>스토리위즈</v>
          </cell>
          <cell r="AR492" t="str">
            <v>서강후</v>
          </cell>
        </row>
        <row r="493">
          <cell r="N493" t="str">
            <v>서강후</v>
          </cell>
          <cell r="O493" t="str">
            <v>Y</v>
          </cell>
          <cell r="P493">
            <v>0.55000000000000004</v>
          </cell>
          <cell r="Q493">
            <v>0.55000000000000004</v>
          </cell>
          <cell r="R493" t="str">
            <v>시리즈 이용권 패키지</v>
          </cell>
          <cell r="S493">
            <v>4700</v>
          </cell>
          <cell r="T493">
            <v>-1400</v>
          </cell>
          <cell r="U493">
            <v>-1400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-1400</v>
          </cell>
          <cell r="AE493">
            <v>-1400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-770</v>
          </cell>
          <cell r="AO493">
            <v>0</v>
          </cell>
          <cell r="AP493">
            <v>-770</v>
          </cell>
          <cell r="AQ493" t="str">
            <v>스토리위즈</v>
          </cell>
          <cell r="AR493" t="str">
            <v>서강후</v>
          </cell>
        </row>
        <row r="494">
          <cell r="N494" t="str">
            <v>빡선생</v>
          </cell>
          <cell r="O494" t="str">
            <v>Y</v>
          </cell>
          <cell r="P494">
            <v>0.55000000000000004</v>
          </cell>
          <cell r="Q494">
            <v>0.55000000000000004</v>
          </cell>
          <cell r="R494" t="str">
            <v>단일 이용권</v>
          </cell>
          <cell r="S494">
            <v>100</v>
          </cell>
          <cell r="T494">
            <v>2000</v>
          </cell>
          <cell r="U494">
            <v>200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1800</v>
          </cell>
          <cell r="AD494">
            <v>2000</v>
          </cell>
          <cell r="AE494">
            <v>200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1800</v>
          </cell>
          <cell r="AN494">
            <v>1100</v>
          </cell>
          <cell r="AO494">
            <v>0</v>
          </cell>
          <cell r="AP494">
            <v>1100</v>
          </cell>
          <cell r="AQ494" t="str">
            <v>스토리위즈</v>
          </cell>
          <cell r="AR494" t="str">
            <v>빡선생</v>
          </cell>
        </row>
        <row r="495">
          <cell r="N495" t="str">
            <v>빡선생</v>
          </cell>
          <cell r="O495" t="str">
            <v>Y</v>
          </cell>
          <cell r="P495">
            <v>0.55000000000000004</v>
          </cell>
          <cell r="Q495">
            <v>0.55000000000000004</v>
          </cell>
          <cell r="R495" t="str">
            <v>시리즈 이용권 패키지</v>
          </cell>
          <cell r="S495">
            <v>2400</v>
          </cell>
          <cell r="T495">
            <v>2300</v>
          </cell>
          <cell r="U495">
            <v>-100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2400</v>
          </cell>
          <cell r="AD495">
            <v>2300</v>
          </cell>
          <cell r="AE495">
            <v>-100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2400</v>
          </cell>
          <cell r="AN495">
            <v>1265</v>
          </cell>
          <cell r="AO495">
            <v>0</v>
          </cell>
          <cell r="AP495">
            <v>1265</v>
          </cell>
          <cell r="AQ495" t="str">
            <v>스토리위즈</v>
          </cell>
          <cell r="AR495" t="str">
            <v>빡선생</v>
          </cell>
        </row>
        <row r="496">
          <cell r="N496" t="str">
            <v>무장</v>
          </cell>
          <cell r="O496" t="str">
            <v>Y</v>
          </cell>
          <cell r="P496">
            <v>0.55000000000000004</v>
          </cell>
          <cell r="Q496">
            <v>0.55000000000000004</v>
          </cell>
          <cell r="R496" t="str">
            <v>단일 이용권</v>
          </cell>
          <cell r="S496">
            <v>100</v>
          </cell>
          <cell r="T496">
            <v>399300</v>
          </cell>
          <cell r="U496">
            <v>271270</v>
          </cell>
          <cell r="V496">
            <v>0</v>
          </cell>
          <cell r="W496">
            <v>0</v>
          </cell>
          <cell r="X496">
            <v>0</v>
          </cell>
          <cell r="Y496">
            <v>5000</v>
          </cell>
          <cell r="Z496">
            <v>0</v>
          </cell>
          <cell r="AA496">
            <v>0</v>
          </cell>
          <cell r="AB496">
            <v>0</v>
          </cell>
          <cell r="AC496">
            <v>123030</v>
          </cell>
          <cell r="AD496">
            <v>400300</v>
          </cell>
          <cell r="AE496">
            <v>271270</v>
          </cell>
          <cell r="AF496">
            <v>0</v>
          </cell>
          <cell r="AG496">
            <v>0</v>
          </cell>
          <cell r="AH496">
            <v>0</v>
          </cell>
          <cell r="AI496">
            <v>6000</v>
          </cell>
          <cell r="AJ496">
            <v>0</v>
          </cell>
          <cell r="AK496">
            <v>0</v>
          </cell>
          <cell r="AL496">
            <v>0</v>
          </cell>
          <cell r="AM496">
            <v>123030</v>
          </cell>
          <cell r="AN496">
            <v>220165</v>
          </cell>
          <cell r="AO496">
            <v>0</v>
          </cell>
          <cell r="AP496">
            <v>220165</v>
          </cell>
          <cell r="AQ496" t="str">
            <v>스토리위즈</v>
          </cell>
          <cell r="AR496" t="str">
            <v>무장</v>
          </cell>
        </row>
        <row r="497">
          <cell r="N497" t="str">
            <v>무장</v>
          </cell>
          <cell r="O497" t="str">
            <v>Y</v>
          </cell>
          <cell r="P497">
            <v>0.55000000000000004</v>
          </cell>
          <cell r="Q497">
            <v>0.55000000000000004</v>
          </cell>
          <cell r="R497" t="str">
            <v>단일 이용권</v>
          </cell>
          <cell r="S497">
            <v>3200</v>
          </cell>
          <cell r="T497">
            <v>211200</v>
          </cell>
          <cell r="U497">
            <v>164800</v>
          </cell>
          <cell r="V497">
            <v>0</v>
          </cell>
          <cell r="W497">
            <v>0</v>
          </cell>
          <cell r="X497">
            <v>0</v>
          </cell>
          <cell r="Y497">
            <v>500</v>
          </cell>
          <cell r="Z497">
            <v>28300</v>
          </cell>
          <cell r="AA497">
            <v>0</v>
          </cell>
          <cell r="AB497">
            <v>0</v>
          </cell>
          <cell r="AC497">
            <v>17600</v>
          </cell>
          <cell r="AD497">
            <v>214130</v>
          </cell>
          <cell r="AE497">
            <v>164800</v>
          </cell>
          <cell r="AF497">
            <v>0</v>
          </cell>
          <cell r="AG497">
            <v>0</v>
          </cell>
          <cell r="AH497">
            <v>0</v>
          </cell>
          <cell r="AI497">
            <v>600</v>
          </cell>
          <cell r="AJ497">
            <v>31130</v>
          </cell>
          <cell r="AK497">
            <v>0</v>
          </cell>
          <cell r="AL497">
            <v>0</v>
          </cell>
          <cell r="AM497">
            <v>17600</v>
          </cell>
          <cell r="AN497">
            <v>117772</v>
          </cell>
          <cell r="AO497">
            <v>0</v>
          </cell>
          <cell r="AP497">
            <v>117772</v>
          </cell>
          <cell r="AQ497" t="str">
            <v>스토리위즈</v>
          </cell>
          <cell r="AR497" t="str">
            <v>무장</v>
          </cell>
        </row>
        <row r="498">
          <cell r="N498" t="str">
            <v>무장</v>
          </cell>
          <cell r="O498" t="str">
            <v>Y</v>
          </cell>
          <cell r="P498">
            <v>0.55000000000000004</v>
          </cell>
          <cell r="Q498">
            <v>0.55000000000000004</v>
          </cell>
          <cell r="R498" t="str">
            <v>단일 이용권</v>
          </cell>
          <cell r="S498">
            <v>3200</v>
          </cell>
          <cell r="T498">
            <v>1939200</v>
          </cell>
          <cell r="U498">
            <v>1371700</v>
          </cell>
          <cell r="V498">
            <v>0</v>
          </cell>
          <cell r="W498">
            <v>0</v>
          </cell>
          <cell r="X498">
            <v>0</v>
          </cell>
          <cell r="Y498">
            <v>76800</v>
          </cell>
          <cell r="Z498">
            <v>393300</v>
          </cell>
          <cell r="AA498">
            <v>0</v>
          </cell>
          <cell r="AB498">
            <v>0</v>
          </cell>
          <cell r="AC498">
            <v>97400</v>
          </cell>
          <cell r="AD498">
            <v>1993890</v>
          </cell>
          <cell r="AE498">
            <v>1371700</v>
          </cell>
          <cell r="AF498">
            <v>0</v>
          </cell>
          <cell r="AG498">
            <v>0</v>
          </cell>
          <cell r="AH498">
            <v>0</v>
          </cell>
          <cell r="AI498">
            <v>92160</v>
          </cell>
          <cell r="AJ498">
            <v>432630</v>
          </cell>
          <cell r="AK498">
            <v>0</v>
          </cell>
          <cell r="AL498">
            <v>0</v>
          </cell>
          <cell r="AM498">
            <v>97400</v>
          </cell>
          <cell r="AN498">
            <v>1096640</v>
          </cell>
          <cell r="AO498">
            <v>0</v>
          </cell>
          <cell r="AP498">
            <v>1096640</v>
          </cell>
          <cell r="AQ498" t="str">
            <v>스토리위즈</v>
          </cell>
          <cell r="AR498" t="str">
            <v>무장</v>
          </cell>
        </row>
        <row r="499">
          <cell r="N499" t="str">
            <v>무장</v>
          </cell>
          <cell r="O499" t="str">
            <v>Y</v>
          </cell>
          <cell r="P499">
            <v>0.55000000000000004</v>
          </cell>
          <cell r="Q499">
            <v>0.55000000000000004</v>
          </cell>
          <cell r="R499" t="str">
            <v>단일 이용권</v>
          </cell>
          <cell r="S499">
            <v>3200</v>
          </cell>
          <cell r="T499">
            <v>108800</v>
          </cell>
          <cell r="U499">
            <v>88500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6400</v>
          </cell>
          <cell r="AA499">
            <v>0</v>
          </cell>
          <cell r="AB499">
            <v>0</v>
          </cell>
          <cell r="AC499">
            <v>13900</v>
          </cell>
          <cell r="AD499">
            <v>109440</v>
          </cell>
          <cell r="AE499">
            <v>88500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7040</v>
          </cell>
          <cell r="AK499">
            <v>0</v>
          </cell>
          <cell r="AL499">
            <v>0</v>
          </cell>
          <cell r="AM499">
            <v>13900</v>
          </cell>
          <cell r="AN499">
            <v>60192</v>
          </cell>
          <cell r="AO499">
            <v>0</v>
          </cell>
          <cell r="AP499">
            <v>60192</v>
          </cell>
          <cell r="AQ499" t="str">
            <v>스토리위즈</v>
          </cell>
          <cell r="AR499" t="str">
            <v>무장</v>
          </cell>
        </row>
        <row r="500">
          <cell r="N500" t="str">
            <v>무장</v>
          </cell>
          <cell r="O500" t="str">
            <v>Y</v>
          </cell>
          <cell r="P500">
            <v>0.55000000000000004</v>
          </cell>
          <cell r="Q500">
            <v>0.55000000000000004</v>
          </cell>
          <cell r="R500" t="str">
            <v>단일 이용권</v>
          </cell>
          <cell r="S500">
            <v>3200</v>
          </cell>
          <cell r="T500">
            <v>185600</v>
          </cell>
          <cell r="U500">
            <v>173560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12040</v>
          </cell>
          <cell r="AD500">
            <v>185600</v>
          </cell>
          <cell r="AE500">
            <v>173560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12040</v>
          </cell>
          <cell r="AN500">
            <v>102080</v>
          </cell>
          <cell r="AO500">
            <v>0</v>
          </cell>
          <cell r="AP500">
            <v>102080</v>
          </cell>
          <cell r="AQ500" t="str">
            <v>스토리위즈</v>
          </cell>
          <cell r="AR500" t="str">
            <v>무장</v>
          </cell>
        </row>
        <row r="501">
          <cell r="N501" t="str">
            <v>왕십리글쟁이</v>
          </cell>
          <cell r="O501" t="str">
            <v>Y</v>
          </cell>
          <cell r="P501">
            <v>0.55000000000000004</v>
          </cell>
          <cell r="Q501">
            <v>0.55000000000000004</v>
          </cell>
          <cell r="R501" t="str">
            <v>단일 이용권</v>
          </cell>
          <cell r="S501">
            <v>3200</v>
          </cell>
          <cell r="T501">
            <v>3200</v>
          </cell>
          <cell r="U501">
            <v>3200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3200</v>
          </cell>
          <cell r="AE501">
            <v>3200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1760</v>
          </cell>
          <cell r="AO501">
            <v>0</v>
          </cell>
          <cell r="AP501">
            <v>1760</v>
          </cell>
          <cell r="AQ501" t="str">
            <v>스토리위즈</v>
          </cell>
          <cell r="AR501" t="str">
            <v>왕십리글쟁이</v>
          </cell>
        </row>
        <row r="502">
          <cell r="N502" t="str">
            <v>글면증</v>
          </cell>
          <cell r="O502" t="str">
            <v>Y</v>
          </cell>
          <cell r="P502">
            <v>0.55000000000000004</v>
          </cell>
          <cell r="Q502">
            <v>0.55000000000000004</v>
          </cell>
          <cell r="R502" t="str">
            <v>단일 이용권</v>
          </cell>
          <cell r="S502">
            <v>100</v>
          </cell>
          <cell r="T502">
            <v>19300</v>
          </cell>
          <cell r="U502">
            <v>18000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1300</v>
          </cell>
          <cell r="AD502">
            <v>19300</v>
          </cell>
          <cell r="AE502">
            <v>18000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1300</v>
          </cell>
          <cell r="AN502">
            <v>10615</v>
          </cell>
          <cell r="AO502">
            <v>0</v>
          </cell>
          <cell r="AP502">
            <v>10615</v>
          </cell>
          <cell r="AQ502" t="str">
            <v>스토리위즈</v>
          </cell>
          <cell r="AR502" t="str">
            <v>글면증</v>
          </cell>
        </row>
        <row r="503">
          <cell r="N503" t="str">
            <v>글면증</v>
          </cell>
          <cell r="O503" t="str">
            <v>Y</v>
          </cell>
          <cell r="P503">
            <v>0.55000000000000004</v>
          </cell>
          <cell r="Q503">
            <v>0.55000000000000004</v>
          </cell>
          <cell r="R503" t="str">
            <v>시리즈 이용권 패키지</v>
          </cell>
          <cell r="S503">
            <v>2400</v>
          </cell>
          <cell r="T503">
            <v>24000</v>
          </cell>
          <cell r="U503">
            <v>23900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100</v>
          </cell>
          <cell r="AD503">
            <v>24000</v>
          </cell>
          <cell r="AE503">
            <v>23900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0</v>
          </cell>
          <cell r="AL503">
            <v>0</v>
          </cell>
          <cell r="AM503">
            <v>100</v>
          </cell>
          <cell r="AN503">
            <v>13200</v>
          </cell>
          <cell r="AO503">
            <v>0</v>
          </cell>
          <cell r="AP503">
            <v>13200</v>
          </cell>
          <cell r="AQ503" t="str">
            <v>스토리위즈</v>
          </cell>
          <cell r="AR503" t="str">
            <v>글면증</v>
          </cell>
        </row>
        <row r="504">
          <cell r="N504" t="str">
            <v>글면증</v>
          </cell>
          <cell r="O504" t="str">
            <v>Y</v>
          </cell>
          <cell r="P504">
            <v>0.55000000000000004</v>
          </cell>
          <cell r="Q504">
            <v>0.55000000000000004</v>
          </cell>
          <cell r="R504" t="str">
            <v>시리즈 이용권 패키지</v>
          </cell>
          <cell r="S504">
            <v>4700</v>
          </cell>
          <cell r="T504">
            <v>19000</v>
          </cell>
          <cell r="U504">
            <v>18700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300</v>
          </cell>
          <cell r="AD504">
            <v>19000</v>
          </cell>
          <cell r="AE504">
            <v>18700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300</v>
          </cell>
          <cell r="AN504">
            <v>10450</v>
          </cell>
          <cell r="AO504">
            <v>0</v>
          </cell>
          <cell r="AP504">
            <v>10450</v>
          </cell>
          <cell r="AQ504" t="str">
            <v>스토리위즈</v>
          </cell>
          <cell r="AR504" t="str">
            <v>글면증</v>
          </cell>
        </row>
        <row r="505">
          <cell r="N505" t="str">
            <v>글면증</v>
          </cell>
          <cell r="O505" t="str">
            <v>Y</v>
          </cell>
          <cell r="P505">
            <v>0.55000000000000004</v>
          </cell>
          <cell r="Q505">
            <v>0.55000000000000004</v>
          </cell>
          <cell r="R505" t="str">
            <v>시리즈 이용권 패키지</v>
          </cell>
          <cell r="S505">
            <v>9200</v>
          </cell>
          <cell r="T505">
            <v>27600</v>
          </cell>
          <cell r="U505">
            <v>26600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1000</v>
          </cell>
          <cell r="AD505">
            <v>27600</v>
          </cell>
          <cell r="AE505">
            <v>26600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1000</v>
          </cell>
          <cell r="AN505">
            <v>15180</v>
          </cell>
          <cell r="AO505">
            <v>0</v>
          </cell>
          <cell r="AP505">
            <v>15180</v>
          </cell>
          <cell r="AQ505" t="str">
            <v>스토리위즈</v>
          </cell>
          <cell r="AR505" t="str">
            <v>글면증</v>
          </cell>
        </row>
        <row r="506">
          <cell r="N506" t="str">
            <v>리세마라</v>
          </cell>
          <cell r="O506" t="str">
            <v>Y</v>
          </cell>
          <cell r="P506">
            <v>0.55000000000000004</v>
          </cell>
          <cell r="Q506">
            <v>0.55000000000000004</v>
          </cell>
          <cell r="R506" t="str">
            <v>단일 이용권</v>
          </cell>
          <cell r="S506">
            <v>100</v>
          </cell>
          <cell r="T506">
            <v>200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200</v>
          </cell>
          <cell r="AD506">
            <v>200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200</v>
          </cell>
          <cell r="AN506">
            <v>110</v>
          </cell>
          <cell r="AO506">
            <v>0</v>
          </cell>
          <cell r="AP506">
            <v>110</v>
          </cell>
          <cell r="AQ506" t="str">
            <v>스토리위즈</v>
          </cell>
          <cell r="AR506" t="str">
            <v>리세마라</v>
          </cell>
        </row>
        <row r="507">
          <cell r="N507" t="str">
            <v>리세마라</v>
          </cell>
          <cell r="O507" t="str">
            <v>Y</v>
          </cell>
          <cell r="P507">
            <v>0.55000000000000004</v>
          </cell>
          <cell r="Q507">
            <v>0.55000000000000004</v>
          </cell>
          <cell r="R507" t="str">
            <v>시리즈 이용권 패키지</v>
          </cell>
          <cell r="S507">
            <v>9200</v>
          </cell>
          <cell r="T507">
            <v>9200</v>
          </cell>
          <cell r="U507">
            <v>8400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800</v>
          </cell>
          <cell r="AD507">
            <v>9200</v>
          </cell>
          <cell r="AE507">
            <v>8400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800</v>
          </cell>
          <cell r="AN507">
            <v>5060</v>
          </cell>
          <cell r="AO507">
            <v>0</v>
          </cell>
          <cell r="AP507">
            <v>5060</v>
          </cell>
          <cell r="AQ507" t="str">
            <v>스토리위즈</v>
          </cell>
          <cell r="AR507" t="str">
            <v>리세마라</v>
          </cell>
        </row>
        <row r="508">
          <cell r="N508" t="str">
            <v>폴딩</v>
          </cell>
          <cell r="O508" t="str">
            <v>Y</v>
          </cell>
          <cell r="P508">
            <v>0.55000000000000004</v>
          </cell>
          <cell r="Q508">
            <v>0.55000000000000004</v>
          </cell>
          <cell r="R508" t="str">
            <v>단일 이용권</v>
          </cell>
          <cell r="S508">
            <v>100</v>
          </cell>
          <cell r="T508">
            <v>5300</v>
          </cell>
          <cell r="U508">
            <v>2600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600</v>
          </cell>
          <cell r="AA508">
            <v>0</v>
          </cell>
          <cell r="AB508">
            <v>0</v>
          </cell>
          <cell r="AC508">
            <v>2100</v>
          </cell>
          <cell r="AD508">
            <v>5360</v>
          </cell>
          <cell r="AE508">
            <v>2600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660</v>
          </cell>
          <cell r="AK508">
            <v>0</v>
          </cell>
          <cell r="AL508">
            <v>0</v>
          </cell>
          <cell r="AM508">
            <v>2100</v>
          </cell>
          <cell r="AN508">
            <v>2948</v>
          </cell>
          <cell r="AO508">
            <v>0</v>
          </cell>
          <cell r="AP508">
            <v>2948</v>
          </cell>
          <cell r="AQ508" t="str">
            <v>스토리위즈</v>
          </cell>
          <cell r="AR508" t="str">
            <v>폴딩</v>
          </cell>
        </row>
        <row r="509">
          <cell r="N509" t="str">
            <v>폴딩</v>
          </cell>
          <cell r="O509" t="str">
            <v>Y</v>
          </cell>
          <cell r="P509">
            <v>0.55000000000000004</v>
          </cell>
          <cell r="Q509">
            <v>0.55000000000000004</v>
          </cell>
          <cell r="R509" t="str">
            <v>시리즈 이용권 패키지</v>
          </cell>
          <cell r="S509">
            <v>2400</v>
          </cell>
          <cell r="T509">
            <v>4800</v>
          </cell>
          <cell r="U509">
            <v>2400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2400</v>
          </cell>
          <cell r="AD509">
            <v>4800</v>
          </cell>
          <cell r="AE509">
            <v>2400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2400</v>
          </cell>
          <cell r="AN509">
            <v>2640</v>
          </cell>
          <cell r="AO509">
            <v>0</v>
          </cell>
          <cell r="AP509">
            <v>2640</v>
          </cell>
          <cell r="AQ509" t="str">
            <v>스토리위즈</v>
          </cell>
          <cell r="AR509" t="str">
            <v>폴딩</v>
          </cell>
        </row>
        <row r="510">
          <cell r="N510" t="str">
            <v>폴딩</v>
          </cell>
          <cell r="O510" t="str">
            <v>Y</v>
          </cell>
          <cell r="P510">
            <v>0.55000000000000004</v>
          </cell>
          <cell r="Q510">
            <v>0.55000000000000004</v>
          </cell>
          <cell r="R510" t="str">
            <v>시리즈 이용권 패키지</v>
          </cell>
          <cell r="S510">
            <v>4700</v>
          </cell>
          <cell r="T510">
            <v>18300</v>
          </cell>
          <cell r="U510">
            <v>18300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18300</v>
          </cell>
          <cell r="AE510">
            <v>18300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10065</v>
          </cell>
          <cell r="AO510">
            <v>0</v>
          </cell>
          <cell r="AP510">
            <v>10065</v>
          </cell>
          <cell r="AQ510" t="str">
            <v>스토리위즈</v>
          </cell>
          <cell r="AR510" t="str">
            <v>폴딩</v>
          </cell>
        </row>
        <row r="511">
          <cell r="N511" t="str">
            <v>폴딩</v>
          </cell>
          <cell r="O511" t="str">
            <v>Y</v>
          </cell>
          <cell r="P511">
            <v>0.55000000000000004</v>
          </cell>
          <cell r="Q511">
            <v>0.55000000000000004</v>
          </cell>
          <cell r="R511" t="str">
            <v>시리즈 이용권 패키지</v>
          </cell>
          <cell r="S511">
            <v>9200</v>
          </cell>
          <cell r="T511">
            <v>-1600</v>
          </cell>
          <cell r="U511">
            <v>-1600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-1600</v>
          </cell>
          <cell r="AE511">
            <v>-1600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-880</v>
          </cell>
          <cell r="AO511">
            <v>0</v>
          </cell>
          <cell r="AP511">
            <v>-880</v>
          </cell>
          <cell r="AQ511" t="str">
            <v>스토리위즈</v>
          </cell>
          <cell r="AR511" t="str">
            <v>폴딩</v>
          </cell>
        </row>
        <row r="512">
          <cell r="N512" t="str">
            <v>청빙</v>
          </cell>
          <cell r="O512" t="str">
            <v>Y</v>
          </cell>
          <cell r="P512">
            <v>0.55000000000000004</v>
          </cell>
          <cell r="Q512">
            <v>0.55000000000000004</v>
          </cell>
          <cell r="R512" t="str">
            <v>단일 이용권</v>
          </cell>
          <cell r="S512">
            <v>100</v>
          </cell>
          <cell r="T512">
            <v>112600</v>
          </cell>
          <cell r="U512">
            <v>13080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99520</v>
          </cell>
          <cell r="AD512">
            <v>112600</v>
          </cell>
          <cell r="AE512">
            <v>13080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AL512">
            <v>0</v>
          </cell>
          <cell r="AM512">
            <v>99520</v>
          </cell>
          <cell r="AN512">
            <v>61930</v>
          </cell>
          <cell r="AO512">
            <v>0</v>
          </cell>
          <cell r="AP512">
            <v>61930</v>
          </cell>
          <cell r="AQ512" t="str">
            <v>스토리위즈</v>
          </cell>
          <cell r="AR512" t="str">
            <v>청빙</v>
          </cell>
        </row>
        <row r="513">
          <cell r="N513" t="str">
            <v>청빙</v>
          </cell>
          <cell r="O513" t="str">
            <v>Y</v>
          </cell>
          <cell r="P513">
            <v>0.55000000000000004</v>
          </cell>
          <cell r="Q513">
            <v>0.55000000000000004</v>
          </cell>
          <cell r="R513" t="str">
            <v>시리즈 이용권 패키지</v>
          </cell>
          <cell r="S513">
            <v>2400</v>
          </cell>
          <cell r="T513">
            <v>60000</v>
          </cell>
          <cell r="U513">
            <v>28380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31620</v>
          </cell>
          <cell r="AD513">
            <v>60000</v>
          </cell>
          <cell r="AE513">
            <v>28380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31620</v>
          </cell>
          <cell r="AN513">
            <v>33000</v>
          </cell>
          <cell r="AO513">
            <v>0</v>
          </cell>
          <cell r="AP513">
            <v>33000</v>
          </cell>
          <cell r="AQ513" t="str">
            <v>스토리위즈</v>
          </cell>
          <cell r="AR513" t="str">
            <v>청빙</v>
          </cell>
        </row>
        <row r="514">
          <cell r="N514" t="str">
            <v>청빙</v>
          </cell>
          <cell r="O514" t="str">
            <v>Y</v>
          </cell>
          <cell r="P514">
            <v>0.55000000000000004</v>
          </cell>
          <cell r="Q514">
            <v>0.55000000000000004</v>
          </cell>
          <cell r="R514" t="str">
            <v>시리즈 이용권 패키지</v>
          </cell>
          <cell r="S514">
            <v>9200</v>
          </cell>
          <cell r="T514">
            <v>92000</v>
          </cell>
          <cell r="U514">
            <v>46000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46000</v>
          </cell>
          <cell r="AD514">
            <v>92000</v>
          </cell>
          <cell r="AE514">
            <v>46000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46000</v>
          </cell>
          <cell r="AN514">
            <v>50600</v>
          </cell>
          <cell r="AO514">
            <v>0</v>
          </cell>
          <cell r="AP514">
            <v>50600</v>
          </cell>
          <cell r="AQ514" t="str">
            <v>스토리위즈</v>
          </cell>
          <cell r="AR514" t="str">
            <v>청빙</v>
          </cell>
        </row>
        <row r="515">
          <cell r="N515" t="str">
            <v>청빙</v>
          </cell>
          <cell r="O515" t="str">
            <v>Y</v>
          </cell>
          <cell r="P515">
            <v>0.55000000000000004</v>
          </cell>
          <cell r="Q515">
            <v>0.55000000000000004</v>
          </cell>
          <cell r="R515" t="str">
            <v>시리즈 이용권 패키지</v>
          </cell>
          <cell r="S515">
            <v>18000</v>
          </cell>
          <cell r="T515">
            <v>36000</v>
          </cell>
          <cell r="U515">
            <v>15500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20500</v>
          </cell>
          <cell r="AD515">
            <v>36000</v>
          </cell>
          <cell r="AE515">
            <v>15500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0</v>
          </cell>
          <cell r="AM515">
            <v>20500</v>
          </cell>
          <cell r="AN515">
            <v>19800</v>
          </cell>
          <cell r="AO515">
            <v>0</v>
          </cell>
          <cell r="AP515">
            <v>19800</v>
          </cell>
          <cell r="AQ515" t="str">
            <v>스토리위즈</v>
          </cell>
          <cell r="AR515" t="str">
            <v>청빙</v>
          </cell>
        </row>
        <row r="516">
          <cell r="N516" t="str">
            <v>청빙</v>
          </cell>
          <cell r="O516" t="str">
            <v>Y</v>
          </cell>
          <cell r="P516">
            <v>0.55000000000000004</v>
          </cell>
          <cell r="Q516">
            <v>0.55000000000000004</v>
          </cell>
          <cell r="R516" t="str">
            <v>단일 이용권</v>
          </cell>
          <cell r="S516">
            <v>100</v>
          </cell>
          <cell r="T516">
            <v>29900</v>
          </cell>
          <cell r="U516">
            <v>17600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12300</v>
          </cell>
          <cell r="AD516">
            <v>29900</v>
          </cell>
          <cell r="AE516">
            <v>17600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0</v>
          </cell>
          <cell r="AM516">
            <v>12300</v>
          </cell>
          <cell r="AN516">
            <v>16445</v>
          </cell>
          <cell r="AO516">
            <v>0</v>
          </cell>
          <cell r="AP516">
            <v>16445</v>
          </cell>
          <cell r="AQ516" t="str">
            <v>스토리위즈</v>
          </cell>
          <cell r="AR516" t="str">
            <v>청빙</v>
          </cell>
        </row>
        <row r="517">
          <cell r="N517" t="str">
            <v>청빙</v>
          </cell>
          <cell r="O517" t="str">
            <v>Y</v>
          </cell>
          <cell r="P517">
            <v>0.55000000000000004</v>
          </cell>
          <cell r="Q517">
            <v>0.55000000000000004</v>
          </cell>
          <cell r="R517" t="str">
            <v>시리즈 이용권 패키지</v>
          </cell>
          <cell r="S517">
            <v>2400</v>
          </cell>
          <cell r="T517">
            <v>22500</v>
          </cell>
          <cell r="U517">
            <v>20100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2400</v>
          </cell>
          <cell r="AD517">
            <v>22500</v>
          </cell>
          <cell r="AE517">
            <v>20100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M517">
            <v>2400</v>
          </cell>
          <cell r="AN517">
            <v>12375</v>
          </cell>
          <cell r="AO517">
            <v>0</v>
          </cell>
          <cell r="AP517">
            <v>12375</v>
          </cell>
          <cell r="AQ517" t="str">
            <v>스토리위즈</v>
          </cell>
          <cell r="AR517" t="str">
            <v>청빙</v>
          </cell>
        </row>
        <row r="518">
          <cell r="N518" t="str">
            <v>청빙</v>
          </cell>
          <cell r="O518" t="str">
            <v>Y</v>
          </cell>
          <cell r="P518">
            <v>0.55000000000000004</v>
          </cell>
          <cell r="Q518">
            <v>0.55000000000000004</v>
          </cell>
          <cell r="R518" t="str">
            <v>시리즈 이용권 패키지</v>
          </cell>
          <cell r="S518">
            <v>9200</v>
          </cell>
          <cell r="T518">
            <v>33000</v>
          </cell>
          <cell r="U518">
            <v>23800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9200</v>
          </cell>
          <cell r="AD518">
            <v>33000</v>
          </cell>
          <cell r="AE518">
            <v>23800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9200</v>
          </cell>
          <cell r="AN518">
            <v>18150</v>
          </cell>
          <cell r="AO518">
            <v>0</v>
          </cell>
          <cell r="AP518">
            <v>18150</v>
          </cell>
          <cell r="AQ518" t="str">
            <v>스토리위즈</v>
          </cell>
          <cell r="AR518" t="str">
            <v>청빙</v>
          </cell>
        </row>
        <row r="519">
          <cell r="N519" t="str">
            <v>청빙</v>
          </cell>
          <cell r="O519" t="str">
            <v>Y</v>
          </cell>
          <cell r="P519">
            <v>0.55000000000000004</v>
          </cell>
          <cell r="Q519">
            <v>0.55000000000000004</v>
          </cell>
          <cell r="R519" t="str">
            <v>시리즈 이용권 패키지</v>
          </cell>
          <cell r="S519">
            <v>18000</v>
          </cell>
          <cell r="T519">
            <v>-46600</v>
          </cell>
          <cell r="U519">
            <v>-33300</v>
          </cell>
          <cell r="V519">
            <v>0</v>
          </cell>
          <cell r="W519">
            <v>0</v>
          </cell>
          <cell r="X519">
            <v>0</v>
          </cell>
          <cell r="Y519">
            <v>-100</v>
          </cell>
          <cell r="Z519">
            <v>-13200</v>
          </cell>
          <cell r="AA519">
            <v>0</v>
          </cell>
          <cell r="AB519">
            <v>0</v>
          </cell>
          <cell r="AC519">
            <v>0</v>
          </cell>
          <cell r="AD519">
            <v>-47940</v>
          </cell>
          <cell r="AE519">
            <v>-33300</v>
          </cell>
          <cell r="AF519">
            <v>0</v>
          </cell>
          <cell r="AG519">
            <v>0</v>
          </cell>
          <cell r="AH519">
            <v>0</v>
          </cell>
          <cell r="AI519">
            <v>-120</v>
          </cell>
          <cell r="AJ519">
            <v>-14520</v>
          </cell>
          <cell r="AK519">
            <v>0</v>
          </cell>
          <cell r="AL519">
            <v>0</v>
          </cell>
          <cell r="AM519">
            <v>0</v>
          </cell>
          <cell r="AN519">
            <v>-26367</v>
          </cell>
          <cell r="AO519">
            <v>0</v>
          </cell>
          <cell r="AP519">
            <v>-26367</v>
          </cell>
          <cell r="AQ519" t="str">
            <v>스토리위즈</v>
          </cell>
          <cell r="AR519" t="str">
            <v>청빙</v>
          </cell>
        </row>
        <row r="520">
          <cell r="N520" t="str">
            <v>청빙</v>
          </cell>
          <cell r="O520" t="str">
            <v>Y</v>
          </cell>
          <cell r="P520">
            <v>0.55000000000000004</v>
          </cell>
          <cell r="Q520">
            <v>0.55000000000000004</v>
          </cell>
          <cell r="R520" t="str">
            <v>단일 이용권</v>
          </cell>
          <cell r="S520">
            <v>100</v>
          </cell>
          <cell r="T520">
            <v>19900</v>
          </cell>
          <cell r="U520">
            <v>4900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800</v>
          </cell>
          <cell r="AA520">
            <v>0</v>
          </cell>
          <cell r="AB520">
            <v>0</v>
          </cell>
          <cell r="AC520">
            <v>14200</v>
          </cell>
          <cell r="AD520">
            <v>19980</v>
          </cell>
          <cell r="AE520">
            <v>4900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880</v>
          </cell>
          <cell r="AK520">
            <v>0</v>
          </cell>
          <cell r="AL520">
            <v>0</v>
          </cell>
          <cell r="AM520">
            <v>14200</v>
          </cell>
          <cell r="AN520">
            <v>10989</v>
          </cell>
          <cell r="AO520">
            <v>0</v>
          </cell>
          <cell r="AP520">
            <v>10989</v>
          </cell>
          <cell r="AQ520" t="str">
            <v>스토리위즈</v>
          </cell>
          <cell r="AR520" t="str">
            <v>청빙</v>
          </cell>
        </row>
        <row r="521">
          <cell r="N521" t="str">
            <v>청빙</v>
          </cell>
          <cell r="O521" t="str">
            <v>Y</v>
          </cell>
          <cell r="P521">
            <v>0.55000000000000004</v>
          </cell>
          <cell r="Q521">
            <v>0.55000000000000004</v>
          </cell>
          <cell r="R521" t="str">
            <v>시리즈 이용권 패키지</v>
          </cell>
          <cell r="S521">
            <v>2400</v>
          </cell>
          <cell r="T521">
            <v>33600</v>
          </cell>
          <cell r="U521">
            <v>28300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5300</v>
          </cell>
          <cell r="AD521">
            <v>33600</v>
          </cell>
          <cell r="AE521">
            <v>28300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5300</v>
          </cell>
          <cell r="AN521">
            <v>18480</v>
          </cell>
          <cell r="AO521">
            <v>0</v>
          </cell>
          <cell r="AP521">
            <v>18480</v>
          </cell>
          <cell r="AQ521" t="str">
            <v>스토리위즈</v>
          </cell>
          <cell r="AR521" t="str">
            <v>청빙</v>
          </cell>
        </row>
        <row r="522">
          <cell r="N522" t="str">
            <v>청빙</v>
          </cell>
          <cell r="O522" t="str">
            <v>Y</v>
          </cell>
          <cell r="P522">
            <v>0.55000000000000004</v>
          </cell>
          <cell r="Q522">
            <v>0.55000000000000004</v>
          </cell>
          <cell r="R522" t="str">
            <v>시리즈 이용권 패키지</v>
          </cell>
          <cell r="S522">
            <v>9200</v>
          </cell>
          <cell r="T522">
            <v>21200</v>
          </cell>
          <cell r="U522">
            <v>11500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9200</v>
          </cell>
          <cell r="AA522">
            <v>0</v>
          </cell>
          <cell r="AB522">
            <v>0</v>
          </cell>
          <cell r="AC522">
            <v>500</v>
          </cell>
          <cell r="AD522">
            <v>22120</v>
          </cell>
          <cell r="AE522">
            <v>11500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10120</v>
          </cell>
          <cell r="AK522">
            <v>0</v>
          </cell>
          <cell r="AL522">
            <v>0</v>
          </cell>
          <cell r="AM522">
            <v>500</v>
          </cell>
          <cell r="AN522">
            <v>12166</v>
          </cell>
          <cell r="AO522">
            <v>0</v>
          </cell>
          <cell r="AP522">
            <v>12166</v>
          </cell>
          <cell r="AQ522" t="str">
            <v>스토리위즈</v>
          </cell>
          <cell r="AR522" t="str">
            <v>청빙</v>
          </cell>
        </row>
        <row r="523">
          <cell r="N523" t="str">
            <v>청빙</v>
          </cell>
          <cell r="O523" t="str">
            <v>Y</v>
          </cell>
          <cell r="P523">
            <v>0.55000000000000004</v>
          </cell>
          <cell r="Q523">
            <v>0.55000000000000004</v>
          </cell>
          <cell r="R523" t="str">
            <v>시리즈 이용권 패키지</v>
          </cell>
          <cell r="S523">
            <v>18000</v>
          </cell>
          <cell r="T523">
            <v>15500</v>
          </cell>
          <cell r="U523">
            <v>15500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15500</v>
          </cell>
          <cell r="AE523">
            <v>15500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8525</v>
          </cell>
          <cell r="AO523">
            <v>0</v>
          </cell>
          <cell r="AP523">
            <v>8525</v>
          </cell>
          <cell r="AQ523" t="str">
            <v>스토리위즈</v>
          </cell>
          <cell r="AR523" t="str">
            <v>청빙</v>
          </cell>
        </row>
        <row r="524">
          <cell r="N524" t="str">
            <v>청빙</v>
          </cell>
          <cell r="O524" t="str">
            <v>Y</v>
          </cell>
          <cell r="P524">
            <v>0.55000000000000004</v>
          </cell>
          <cell r="Q524">
            <v>0.55000000000000004</v>
          </cell>
          <cell r="R524" t="str">
            <v>단일 이용권</v>
          </cell>
          <cell r="S524">
            <v>3200</v>
          </cell>
          <cell r="T524">
            <v>9600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9600</v>
          </cell>
          <cell r="AD524">
            <v>9600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0</v>
          </cell>
          <cell r="AL524">
            <v>0</v>
          </cell>
          <cell r="AM524">
            <v>9600</v>
          </cell>
          <cell r="AN524">
            <v>5280</v>
          </cell>
          <cell r="AO524">
            <v>0</v>
          </cell>
          <cell r="AP524">
            <v>5280</v>
          </cell>
          <cell r="AQ524" t="str">
            <v>스토리위즈</v>
          </cell>
          <cell r="AR524" t="str">
            <v>청빙</v>
          </cell>
        </row>
        <row r="525">
          <cell r="N525" t="str">
            <v>청빙</v>
          </cell>
          <cell r="O525" t="str">
            <v>Y</v>
          </cell>
          <cell r="P525">
            <v>0.55000000000000004</v>
          </cell>
          <cell r="Q525">
            <v>0.55000000000000004</v>
          </cell>
          <cell r="R525" t="str">
            <v>단일 이용권</v>
          </cell>
          <cell r="S525">
            <v>3200</v>
          </cell>
          <cell r="T525">
            <v>28800</v>
          </cell>
          <cell r="U525">
            <v>28800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28800</v>
          </cell>
          <cell r="AE525">
            <v>28800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15840</v>
          </cell>
          <cell r="AO525">
            <v>0</v>
          </cell>
          <cell r="AP525">
            <v>15840</v>
          </cell>
          <cell r="AQ525" t="str">
            <v>스토리위즈</v>
          </cell>
          <cell r="AR525" t="str">
            <v>청빙</v>
          </cell>
        </row>
        <row r="526">
          <cell r="N526" t="str">
            <v>무장</v>
          </cell>
          <cell r="O526" t="str">
            <v>Y</v>
          </cell>
          <cell r="P526">
            <v>0.55000000000000004</v>
          </cell>
          <cell r="Q526">
            <v>0.55000000000000004</v>
          </cell>
          <cell r="R526" t="str">
            <v>단일 이용권</v>
          </cell>
          <cell r="S526">
            <v>100</v>
          </cell>
          <cell r="T526">
            <v>3953800</v>
          </cell>
          <cell r="U526">
            <v>846900</v>
          </cell>
          <cell r="V526">
            <v>0</v>
          </cell>
          <cell r="W526">
            <v>0</v>
          </cell>
          <cell r="X526">
            <v>0</v>
          </cell>
          <cell r="Y526">
            <v>26450</v>
          </cell>
          <cell r="Z526">
            <v>36150</v>
          </cell>
          <cell r="AA526">
            <v>0</v>
          </cell>
          <cell r="AB526">
            <v>0</v>
          </cell>
          <cell r="AC526">
            <v>3044300</v>
          </cell>
          <cell r="AD526">
            <v>3962705</v>
          </cell>
          <cell r="AE526">
            <v>846900</v>
          </cell>
          <cell r="AF526">
            <v>0</v>
          </cell>
          <cell r="AG526">
            <v>0</v>
          </cell>
          <cell r="AH526">
            <v>0</v>
          </cell>
          <cell r="AI526">
            <v>31740</v>
          </cell>
          <cell r="AJ526">
            <v>39765</v>
          </cell>
          <cell r="AK526">
            <v>0</v>
          </cell>
          <cell r="AL526">
            <v>0</v>
          </cell>
          <cell r="AM526">
            <v>3044300</v>
          </cell>
          <cell r="AN526">
            <v>2179488</v>
          </cell>
          <cell r="AO526">
            <v>0</v>
          </cell>
          <cell r="AP526">
            <v>2179488</v>
          </cell>
          <cell r="AQ526" t="str">
            <v>스토리위즈</v>
          </cell>
          <cell r="AR526" t="str">
            <v>무장</v>
          </cell>
        </row>
        <row r="527">
          <cell r="N527" t="str">
            <v>무장</v>
          </cell>
          <cell r="O527" t="str">
            <v>Y</v>
          </cell>
          <cell r="P527">
            <v>0.55000000000000004</v>
          </cell>
          <cell r="Q527">
            <v>0.55000000000000004</v>
          </cell>
          <cell r="R527" t="str">
            <v>시리즈 이용권 패키지</v>
          </cell>
          <cell r="S527">
            <v>1800</v>
          </cell>
          <cell r="T527">
            <v>3219600</v>
          </cell>
          <cell r="U527">
            <v>1864500</v>
          </cell>
          <cell r="V527">
            <v>0</v>
          </cell>
          <cell r="W527">
            <v>0</v>
          </cell>
          <cell r="X527">
            <v>0</v>
          </cell>
          <cell r="Y527">
            <v>7260</v>
          </cell>
          <cell r="Z527">
            <v>51420</v>
          </cell>
          <cell r="AA527">
            <v>0</v>
          </cell>
          <cell r="AB527">
            <v>0</v>
          </cell>
          <cell r="AC527">
            <v>1296420</v>
          </cell>
          <cell r="AD527">
            <v>3226194</v>
          </cell>
          <cell r="AE527">
            <v>1864500</v>
          </cell>
          <cell r="AF527">
            <v>0</v>
          </cell>
          <cell r="AG527">
            <v>0</v>
          </cell>
          <cell r="AH527">
            <v>0</v>
          </cell>
          <cell r="AI527">
            <v>8712</v>
          </cell>
          <cell r="AJ527">
            <v>56562</v>
          </cell>
          <cell r="AK527">
            <v>0</v>
          </cell>
          <cell r="AL527">
            <v>0</v>
          </cell>
          <cell r="AM527">
            <v>1296420</v>
          </cell>
          <cell r="AN527">
            <v>1774407</v>
          </cell>
          <cell r="AO527">
            <v>0</v>
          </cell>
          <cell r="AP527">
            <v>1774407</v>
          </cell>
          <cell r="AQ527" t="str">
            <v>스토리위즈</v>
          </cell>
          <cell r="AR527" t="str">
            <v>무장</v>
          </cell>
        </row>
        <row r="528">
          <cell r="N528" t="str">
            <v>무장</v>
          </cell>
          <cell r="O528" t="str">
            <v>Y</v>
          </cell>
          <cell r="P528">
            <v>0.55000000000000004</v>
          </cell>
          <cell r="Q528">
            <v>0.55000000000000004</v>
          </cell>
          <cell r="R528" t="str">
            <v>시리즈 이용권 패키지</v>
          </cell>
          <cell r="S528">
            <v>4500</v>
          </cell>
          <cell r="T528">
            <v>2849800</v>
          </cell>
          <cell r="U528">
            <v>2084530</v>
          </cell>
          <cell r="V528">
            <v>0</v>
          </cell>
          <cell r="W528">
            <v>0</v>
          </cell>
          <cell r="X528">
            <v>-1800</v>
          </cell>
          <cell r="Y528">
            <v>3550</v>
          </cell>
          <cell r="Z528">
            <v>127050</v>
          </cell>
          <cell r="AA528">
            <v>0</v>
          </cell>
          <cell r="AB528">
            <v>0</v>
          </cell>
          <cell r="AC528">
            <v>636470</v>
          </cell>
          <cell r="AD528">
            <v>2862523.4953999999</v>
          </cell>
          <cell r="AE528">
            <v>2084530</v>
          </cell>
          <cell r="AF528">
            <v>0</v>
          </cell>
          <cell r="AG528">
            <v>0</v>
          </cell>
          <cell r="AH528">
            <v>-2491.5046000000002</v>
          </cell>
          <cell r="AI528">
            <v>4260</v>
          </cell>
          <cell r="AJ528">
            <v>139755</v>
          </cell>
          <cell r="AK528">
            <v>0</v>
          </cell>
          <cell r="AL528">
            <v>0</v>
          </cell>
          <cell r="AM528">
            <v>636470</v>
          </cell>
          <cell r="AN528">
            <v>1574388</v>
          </cell>
          <cell r="AO528">
            <v>0</v>
          </cell>
          <cell r="AP528">
            <v>1574388</v>
          </cell>
          <cell r="AQ528" t="str">
            <v>스토리위즈</v>
          </cell>
          <cell r="AR528" t="str">
            <v>무장</v>
          </cell>
        </row>
        <row r="529">
          <cell r="N529" t="str">
            <v>무장</v>
          </cell>
          <cell r="O529" t="str">
            <v>Y</v>
          </cell>
          <cell r="P529">
            <v>0.55000000000000004</v>
          </cell>
          <cell r="Q529">
            <v>0.55000000000000004</v>
          </cell>
          <cell r="R529" t="str">
            <v>시리즈 이용권 패키지</v>
          </cell>
          <cell r="S529">
            <v>9000</v>
          </cell>
          <cell r="T529">
            <v>5486500</v>
          </cell>
          <cell r="U529">
            <v>4597560</v>
          </cell>
          <cell r="V529">
            <v>0</v>
          </cell>
          <cell r="W529">
            <v>0</v>
          </cell>
          <cell r="X529">
            <v>0</v>
          </cell>
          <cell r="Y529">
            <v>49400</v>
          </cell>
          <cell r="Z529">
            <v>380200</v>
          </cell>
          <cell r="AA529">
            <v>0</v>
          </cell>
          <cell r="AB529">
            <v>0</v>
          </cell>
          <cell r="AC529">
            <v>459340</v>
          </cell>
          <cell r="AD529">
            <v>5534400</v>
          </cell>
          <cell r="AE529">
            <v>4597560</v>
          </cell>
          <cell r="AF529">
            <v>0</v>
          </cell>
          <cell r="AG529">
            <v>0</v>
          </cell>
          <cell r="AH529">
            <v>0</v>
          </cell>
          <cell r="AI529">
            <v>59280</v>
          </cell>
          <cell r="AJ529">
            <v>418220</v>
          </cell>
          <cell r="AK529">
            <v>0</v>
          </cell>
          <cell r="AL529">
            <v>0</v>
          </cell>
          <cell r="AM529">
            <v>459340</v>
          </cell>
          <cell r="AN529">
            <v>3043920</v>
          </cell>
          <cell r="AO529">
            <v>0</v>
          </cell>
          <cell r="AP529">
            <v>3043920</v>
          </cell>
          <cell r="AQ529" t="str">
            <v>스토리위즈</v>
          </cell>
          <cell r="AR529" t="str">
            <v>무장</v>
          </cell>
        </row>
        <row r="530">
          <cell r="N530" t="str">
            <v>무장</v>
          </cell>
          <cell r="O530" t="str">
            <v>Y</v>
          </cell>
          <cell r="P530">
            <v>0.55000000000000004</v>
          </cell>
          <cell r="Q530">
            <v>0.55000000000000004</v>
          </cell>
          <cell r="R530" t="str">
            <v>단일 이용권</v>
          </cell>
          <cell r="S530">
            <v>100</v>
          </cell>
          <cell r="T530">
            <v>432500</v>
          </cell>
          <cell r="U530">
            <v>87720</v>
          </cell>
          <cell r="V530">
            <v>0</v>
          </cell>
          <cell r="W530">
            <v>0</v>
          </cell>
          <cell r="X530">
            <v>0</v>
          </cell>
          <cell r="Y530">
            <v>1600</v>
          </cell>
          <cell r="Z530">
            <v>18400</v>
          </cell>
          <cell r="AA530">
            <v>0</v>
          </cell>
          <cell r="AB530">
            <v>0</v>
          </cell>
          <cell r="AC530">
            <v>324780</v>
          </cell>
          <cell r="AD530">
            <v>434660</v>
          </cell>
          <cell r="AE530">
            <v>87720</v>
          </cell>
          <cell r="AF530">
            <v>0</v>
          </cell>
          <cell r="AG530">
            <v>0</v>
          </cell>
          <cell r="AH530">
            <v>0</v>
          </cell>
          <cell r="AI530">
            <v>1920</v>
          </cell>
          <cell r="AJ530">
            <v>20240</v>
          </cell>
          <cell r="AK530">
            <v>0</v>
          </cell>
          <cell r="AL530">
            <v>0</v>
          </cell>
          <cell r="AM530">
            <v>324780</v>
          </cell>
          <cell r="AN530">
            <v>239063</v>
          </cell>
          <cell r="AO530">
            <v>0</v>
          </cell>
          <cell r="AP530">
            <v>239063</v>
          </cell>
          <cell r="AQ530" t="str">
            <v>스토리위즈</v>
          </cell>
          <cell r="AR530" t="str">
            <v>무장</v>
          </cell>
        </row>
        <row r="531">
          <cell r="N531" t="str">
            <v>무장</v>
          </cell>
          <cell r="O531" t="str">
            <v>Y</v>
          </cell>
          <cell r="P531">
            <v>0.55000000000000004</v>
          </cell>
          <cell r="Q531">
            <v>0.55000000000000004</v>
          </cell>
          <cell r="R531" t="str">
            <v>시리즈 이용권 패키지</v>
          </cell>
          <cell r="S531">
            <v>4800</v>
          </cell>
          <cell r="T531">
            <v>234700</v>
          </cell>
          <cell r="U531">
            <v>213900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20800</v>
          </cell>
          <cell r="AD531">
            <v>234700</v>
          </cell>
          <cell r="AE531">
            <v>213900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20800</v>
          </cell>
          <cell r="AN531">
            <v>129085</v>
          </cell>
          <cell r="AO531">
            <v>0</v>
          </cell>
          <cell r="AP531">
            <v>129085</v>
          </cell>
          <cell r="AQ531" t="str">
            <v>스토리위즈</v>
          </cell>
          <cell r="AR531" t="str">
            <v>무장</v>
          </cell>
        </row>
        <row r="532">
          <cell r="N532" t="str">
            <v>무장</v>
          </cell>
          <cell r="O532" t="str">
            <v>Y</v>
          </cell>
          <cell r="P532">
            <v>0.55000000000000004</v>
          </cell>
          <cell r="Q532">
            <v>0.55000000000000004</v>
          </cell>
          <cell r="R532" t="str">
            <v>시리즈 이용권 패키지</v>
          </cell>
          <cell r="S532">
            <v>9200</v>
          </cell>
          <cell r="T532">
            <v>189400</v>
          </cell>
          <cell r="U532">
            <v>141900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47500</v>
          </cell>
          <cell r="AD532">
            <v>189400</v>
          </cell>
          <cell r="AE532">
            <v>141900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47500</v>
          </cell>
          <cell r="AN532">
            <v>104170</v>
          </cell>
          <cell r="AO532">
            <v>0</v>
          </cell>
          <cell r="AP532">
            <v>104170</v>
          </cell>
          <cell r="AQ532" t="str">
            <v>스토리위즈</v>
          </cell>
          <cell r="AR532" t="str">
            <v>무장</v>
          </cell>
        </row>
        <row r="533">
          <cell r="N533" t="str">
            <v>무장</v>
          </cell>
          <cell r="O533" t="str">
            <v>Y</v>
          </cell>
          <cell r="P533">
            <v>0.55000000000000004</v>
          </cell>
          <cell r="Q533">
            <v>0.55000000000000004</v>
          </cell>
          <cell r="R533" t="str">
            <v>시리즈 이용권 패키지</v>
          </cell>
          <cell r="S533">
            <v>13500</v>
          </cell>
          <cell r="T533">
            <v>148500</v>
          </cell>
          <cell r="U533">
            <v>132800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13500</v>
          </cell>
          <cell r="AA533">
            <v>0</v>
          </cell>
          <cell r="AB533">
            <v>0</v>
          </cell>
          <cell r="AC533">
            <v>2200</v>
          </cell>
          <cell r="AD533">
            <v>149850</v>
          </cell>
          <cell r="AE533">
            <v>132800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14850</v>
          </cell>
          <cell r="AK533">
            <v>0</v>
          </cell>
          <cell r="AL533">
            <v>0</v>
          </cell>
          <cell r="AM533">
            <v>2200</v>
          </cell>
          <cell r="AN533">
            <v>82418</v>
          </cell>
          <cell r="AO533">
            <v>0</v>
          </cell>
          <cell r="AP533">
            <v>82418</v>
          </cell>
          <cell r="AQ533" t="str">
            <v>스토리위즈</v>
          </cell>
          <cell r="AR533" t="str">
            <v>무장</v>
          </cell>
        </row>
        <row r="534">
          <cell r="N534" t="str">
            <v>무장</v>
          </cell>
          <cell r="O534" t="str">
            <v>Y</v>
          </cell>
          <cell r="P534">
            <v>0.55000000000000004</v>
          </cell>
          <cell r="Q534">
            <v>0.55000000000000004</v>
          </cell>
          <cell r="R534" t="str">
            <v>단일 이용권</v>
          </cell>
          <cell r="S534">
            <v>100</v>
          </cell>
          <cell r="T534">
            <v>421900</v>
          </cell>
          <cell r="U534">
            <v>31640</v>
          </cell>
          <cell r="V534">
            <v>0</v>
          </cell>
          <cell r="W534">
            <v>0</v>
          </cell>
          <cell r="X534">
            <v>0</v>
          </cell>
          <cell r="Y534">
            <v>200</v>
          </cell>
          <cell r="Z534">
            <v>5200</v>
          </cell>
          <cell r="AA534">
            <v>0</v>
          </cell>
          <cell r="AB534">
            <v>0</v>
          </cell>
          <cell r="AC534">
            <v>384860</v>
          </cell>
          <cell r="AD534">
            <v>422460</v>
          </cell>
          <cell r="AE534">
            <v>31640</v>
          </cell>
          <cell r="AF534">
            <v>0</v>
          </cell>
          <cell r="AG534">
            <v>0</v>
          </cell>
          <cell r="AH534">
            <v>0</v>
          </cell>
          <cell r="AI534">
            <v>240</v>
          </cell>
          <cell r="AJ534">
            <v>5720</v>
          </cell>
          <cell r="AK534">
            <v>0</v>
          </cell>
          <cell r="AL534">
            <v>0</v>
          </cell>
          <cell r="AM534">
            <v>384860</v>
          </cell>
          <cell r="AN534">
            <v>232353</v>
          </cell>
          <cell r="AO534">
            <v>0</v>
          </cell>
          <cell r="AP534">
            <v>232353</v>
          </cell>
          <cell r="AQ534" t="str">
            <v>스토리위즈</v>
          </cell>
          <cell r="AR534" t="str">
            <v>무장</v>
          </cell>
        </row>
        <row r="535">
          <cell r="N535" t="str">
            <v>무장</v>
          </cell>
          <cell r="O535" t="str">
            <v>Y</v>
          </cell>
          <cell r="P535">
            <v>0.55000000000000004</v>
          </cell>
          <cell r="Q535">
            <v>0.55000000000000004</v>
          </cell>
          <cell r="R535" t="str">
            <v>시리즈 이용권 패키지</v>
          </cell>
          <cell r="S535">
            <v>2400</v>
          </cell>
          <cell r="T535">
            <v>264500</v>
          </cell>
          <cell r="U535">
            <v>168150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7200</v>
          </cell>
          <cell r="AA535">
            <v>0</v>
          </cell>
          <cell r="AB535">
            <v>0</v>
          </cell>
          <cell r="AC535">
            <v>89150</v>
          </cell>
          <cell r="AD535">
            <v>265220</v>
          </cell>
          <cell r="AE535">
            <v>168150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7920</v>
          </cell>
          <cell r="AK535">
            <v>0</v>
          </cell>
          <cell r="AL535">
            <v>0</v>
          </cell>
          <cell r="AM535">
            <v>89150</v>
          </cell>
          <cell r="AN535">
            <v>145871</v>
          </cell>
          <cell r="AO535">
            <v>0</v>
          </cell>
          <cell r="AP535">
            <v>145871</v>
          </cell>
          <cell r="AQ535" t="str">
            <v>스토리위즈</v>
          </cell>
          <cell r="AR535" t="str">
            <v>무장</v>
          </cell>
        </row>
        <row r="536">
          <cell r="N536" t="str">
            <v>무장</v>
          </cell>
          <cell r="O536" t="str">
            <v>Y</v>
          </cell>
          <cell r="P536">
            <v>0.55000000000000004</v>
          </cell>
          <cell r="Q536">
            <v>0.55000000000000004</v>
          </cell>
          <cell r="R536" t="str">
            <v>시리즈 이용권 패키지</v>
          </cell>
          <cell r="S536">
            <v>9200</v>
          </cell>
          <cell r="T536">
            <v>266900</v>
          </cell>
          <cell r="U536">
            <v>193200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31000</v>
          </cell>
          <cell r="AA536">
            <v>0</v>
          </cell>
          <cell r="AB536">
            <v>0</v>
          </cell>
          <cell r="AC536">
            <v>42700</v>
          </cell>
          <cell r="AD536">
            <v>270000</v>
          </cell>
          <cell r="AE536">
            <v>193200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34100</v>
          </cell>
          <cell r="AK536">
            <v>0</v>
          </cell>
          <cell r="AL536">
            <v>0</v>
          </cell>
          <cell r="AM536">
            <v>42700</v>
          </cell>
          <cell r="AN536">
            <v>148500</v>
          </cell>
          <cell r="AO536">
            <v>0</v>
          </cell>
          <cell r="AP536">
            <v>148500</v>
          </cell>
          <cell r="AQ536" t="str">
            <v>스토리위즈</v>
          </cell>
          <cell r="AR536" t="str">
            <v>무장</v>
          </cell>
        </row>
        <row r="537">
          <cell r="N537" t="str">
            <v>무장</v>
          </cell>
          <cell r="O537" t="str">
            <v>Y</v>
          </cell>
          <cell r="P537">
            <v>0.55000000000000004</v>
          </cell>
          <cell r="Q537">
            <v>0.55000000000000004</v>
          </cell>
          <cell r="R537" t="str">
            <v>시리즈 이용권 패키지</v>
          </cell>
          <cell r="S537">
            <v>18000</v>
          </cell>
          <cell r="T537">
            <v>120000</v>
          </cell>
          <cell r="U537">
            <v>98500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18000</v>
          </cell>
          <cell r="AA537">
            <v>0</v>
          </cell>
          <cell r="AB537">
            <v>0</v>
          </cell>
          <cell r="AC537">
            <v>3500</v>
          </cell>
          <cell r="AD537">
            <v>121800</v>
          </cell>
          <cell r="AE537">
            <v>98500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19800</v>
          </cell>
          <cell r="AK537">
            <v>0</v>
          </cell>
          <cell r="AL537">
            <v>0</v>
          </cell>
          <cell r="AM537">
            <v>3500</v>
          </cell>
          <cell r="AN537">
            <v>66990</v>
          </cell>
          <cell r="AO537">
            <v>0</v>
          </cell>
          <cell r="AP537">
            <v>66990</v>
          </cell>
          <cell r="AQ537" t="str">
            <v>스토리위즈</v>
          </cell>
          <cell r="AR537" t="str">
            <v>무장</v>
          </cell>
        </row>
        <row r="538">
          <cell r="N538" t="str">
            <v>공든탑</v>
          </cell>
          <cell r="O538" t="str">
            <v>Y</v>
          </cell>
          <cell r="P538">
            <v>0.55000000000000004</v>
          </cell>
          <cell r="Q538">
            <v>0.55000000000000004</v>
          </cell>
          <cell r="R538" t="str">
            <v>단일 이용권</v>
          </cell>
          <cell r="S538">
            <v>100</v>
          </cell>
          <cell r="T538">
            <v>132700</v>
          </cell>
          <cell r="U538">
            <v>29600</v>
          </cell>
          <cell r="V538">
            <v>0</v>
          </cell>
          <cell r="W538">
            <v>0</v>
          </cell>
          <cell r="X538">
            <v>0</v>
          </cell>
          <cell r="Y538">
            <v>4810</v>
          </cell>
          <cell r="Z538">
            <v>2200</v>
          </cell>
          <cell r="AA538">
            <v>0</v>
          </cell>
          <cell r="AB538">
            <v>0</v>
          </cell>
          <cell r="AC538">
            <v>96090</v>
          </cell>
          <cell r="AD538">
            <v>133882</v>
          </cell>
          <cell r="AE538">
            <v>29600</v>
          </cell>
          <cell r="AF538">
            <v>0</v>
          </cell>
          <cell r="AG538">
            <v>0</v>
          </cell>
          <cell r="AH538">
            <v>0</v>
          </cell>
          <cell r="AI538">
            <v>5772</v>
          </cell>
          <cell r="AJ538">
            <v>2420</v>
          </cell>
          <cell r="AK538">
            <v>0</v>
          </cell>
          <cell r="AL538">
            <v>0</v>
          </cell>
          <cell r="AM538">
            <v>96090</v>
          </cell>
          <cell r="AN538">
            <v>73635</v>
          </cell>
          <cell r="AO538">
            <v>0</v>
          </cell>
          <cell r="AP538">
            <v>73635</v>
          </cell>
          <cell r="AQ538" t="str">
            <v>스토리위즈</v>
          </cell>
          <cell r="AR538" t="str">
            <v>공든탑</v>
          </cell>
        </row>
        <row r="539">
          <cell r="N539" t="str">
            <v>공든탑</v>
          </cell>
          <cell r="O539" t="str">
            <v>Y</v>
          </cell>
          <cell r="P539">
            <v>0.55000000000000004</v>
          </cell>
          <cell r="Q539">
            <v>0.55000000000000004</v>
          </cell>
          <cell r="R539" t="str">
            <v>시리즈 이용권 패키지</v>
          </cell>
          <cell r="S539">
            <v>2400</v>
          </cell>
          <cell r="T539">
            <v>129000</v>
          </cell>
          <cell r="U539">
            <v>91450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7000</v>
          </cell>
          <cell r="AA539">
            <v>0</v>
          </cell>
          <cell r="AB539">
            <v>0</v>
          </cell>
          <cell r="AC539">
            <v>30550</v>
          </cell>
          <cell r="AD539">
            <v>129700</v>
          </cell>
          <cell r="AE539">
            <v>91450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7700</v>
          </cell>
          <cell r="AK539">
            <v>0</v>
          </cell>
          <cell r="AL539">
            <v>0</v>
          </cell>
          <cell r="AM539">
            <v>30550</v>
          </cell>
          <cell r="AN539">
            <v>71335</v>
          </cell>
          <cell r="AO539">
            <v>0</v>
          </cell>
          <cell r="AP539">
            <v>71335</v>
          </cell>
          <cell r="AQ539" t="str">
            <v>스토리위즈</v>
          </cell>
          <cell r="AR539" t="str">
            <v>공든탑</v>
          </cell>
        </row>
        <row r="540">
          <cell r="N540" t="str">
            <v>공든탑</v>
          </cell>
          <cell r="O540" t="str">
            <v>Y</v>
          </cell>
          <cell r="P540">
            <v>0.55000000000000004</v>
          </cell>
          <cell r="Q540">
            <v>0.55000000000000004</v>
          </cell>
          <cell r="R540" t="str">
            <v>시리즈 이용권 패키지</v>
          </cell>
          <cell r="S540">
            <v>9200</v>
          </cell>
          <cell r="T540">
            <v>89100</v>
          </cell>
          <cell r="U540">
            <v>62350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27600</v>
          </cell>
          <cell r="AA540">
            <v>0</v>
          </cell>
          <cell r="AB540">
            <v>0</v>
          </cell>
          <cell r="AC540">
            <v>-850</v>
          </cell>
          <cell r="AD540">
            <v>91860</v>
          </cell>
          <cell r="AE540">
            <v>62350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30360</v>
          </cell>
          <cell r="AK540">
            <v>0</v>
          </cell>
          <cell r="AL540">
            <v>0</v>
          </cell>
          <cell r="AM540">
            <v>-850</v>
          </cell>
          <cell r="AN540">
            <v>50523</v>
          </cell>
          <cell r="AO540">
            <v>0</v>
          </cell>
          <cell r="AP540">
            <v>50523</v>
          </cell>
          <cell r="AQ540" t="str">
            <v>스토리위즈</v>
          </cell>
          <cell r="AR540" t="str">
            <v>공든탑</v>
          </cell>
        </row>
        <row r="541">
          <cell r="N541" t="str">
            <v>공든탑</v>
          </cell>
          <cell r="O541" t="str">
            <v>Y</v>
          </cell>
          <cell r="P541">
            <v>0.55000000000000004</v>
          </cell>
          <cell r="Q541">
            <v>0.55000000000000004</v>
          </cell>
          <cell r="R541" t="str">
            <v>시리즈 이용권 패키지</v>
          </cell>
          <cell r="S541">
            <v>18000</v>
          </cell>
          <cell r="T541">
            <v>74800</v>
          </cell>
          <cell r="U541">
            <v>56800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18000</v>
          </cell>
          <cell r="AA541">
            <v>0</v>
          </cell>
          <cell r="AB541">
            <v>0</v>
          </cell>
          <cell r="AC541">
            <v>0</v>
          </cell>
          <cell r="AD541">
            <v>76600</v>
          </cell>
          <cell r="AE541">
            <v>56800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19800</v>
          </cell>
          <cell r="AK541">
            <v>0</v>
          </cell>
          <cell r="AL541">
            <v>0</v>
          </cell>
          <cell r="AM541">
            <v>0</v>
          </cell>
          <cell r="AN541">
            <v>42130</v>
          </cell>
          <cell r="AO541">
            <v>0</v>
          </cell>
          <cell r="AP541">
            <v>42130</v>
          </cell>
          <cell r="AQ541" t="str">
            <v>스토리위즈</v>
          </cell>
          <cell r="AR541" t="str">
            <v>공든탑</v>
          </cell>
        </row>
        <row r="542">
          <cell r="N542" t="str">
            <v>무장</v>
          </cell>
          <cell r="O542" t="str">
            <v>Y</v>
          </cell>
          <cell r="P542">
            <v>0.55000000000000004</v>
          </cell>
          <cell r="Q542">
            <v>0.55000000000000004</v>
          </cell>
          <cell r="R542" t="str">
            <v>단일 이용권</v>
          </cell>
          <cell r="S542">
            <v>100</v>
          </cell>
          <cell r="T542">
            <v>28700</v>
          </cell>
          <cell r="U542">
            <v>3600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25100</v>
          </cell>
          <cell r="AD542">
            <v>28700</v>
          </cell>
          <cell r="AE542">
            <v>3600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0</v>
          </cell>
          <cell r="AM542">
            <v>25100</v>
          </cell>
          <cell r="AN542">
            <v>15785</v>
          </cell>
          <cell r="AO542">
            <v>0</v>
          </cell>
          <cell r="AP542">
            <v>15785</v>
          </cell>
          <cell r="AQ542" t="str">
            <v>스토리위즈</v>
          </cell>
          <cell r="AR542" t="str">
            <v>무장</v>
          </cell>
        </row>
        <row r="543">
          <cell r="N543" t="str">
            <v>무장</v>
          </cell>
          <cell r="O543" t="str">
            <v>Y</v>
          </cell>
          <cell r="P543">
            <v>0.55000000000000004</v>
          </cell>
          <cell r="Q543">
            <v>0.55000000000000004</v>
          </cell>
          <cell r="R543" t="str">
            <v>시리즈 이용권 패키지</v>
          </cell>
          <cell r="S543">
            <v>1800</v>
          </cell>
          <cell r="T543">
            <v>30600</v>
          </cell>
          <cell r="U543">
            <v>16200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14400</v>
          </cell>
          <cell r="AD543">
            <v>30600</v>
          </cell>
          <cell r="AE543">
            <v>16200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14400</v>
          </cell>
          <cell r="AN543">
            <v>16830</v>
          </cell>
          <cell r="AO543">
            <v>0</v>
          </cell>
          <cell r="AP543">
            <v>16830</v>
          </cell>
          <cell r="AQ543" t="str">
            <v>스토리위즈</v>
          </cell>
          <cell r="AR543" t="str">
            <v>무장</v>
          </cell>
        </row>
        <row r="544">
          <cell r="N544" t="str">
            <v>무장</v>
          </cell>
          <cell r="O544" t="str">
            <v>Y</v>
          </cell>
          <cell r="P544">
            <v>0.55000000000000004</v>
          </cell>
          <cell r="Q544">
            <v>0.55000000000000004</v>
          </cell>
          <cell r="R544" t="str">
            <v>시리즈 이용권 패키지</v>
          </cell>
          <cell r="S544">
            <v>4500</v>
          </cell>
          <cell r="T544">
            <v>13500</v>
          </cell>
          <cell r="U544">
            <v>9000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4500</v>
          </cell>
          <cell r="AA544">
            <v>0</v>
          </cell>
          <cell r="AB544">
            <v>0</v>
          </cell>
          <cell r="AC544">
            <v>0</v>
          </cell>
          <cell r="AD544">
            <v>13950</v>
          </cell>
          <cell r="AE544">
            <v>9000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4950</v>
          </cell>
          <cell r="AK544">
            <v>0</v>
          </cell>
          <cell r="AL544">
            <v>0</v>
          </cell>
          <cell r="AM544">
            <v>0</v>
          </cell>
          <cell r="AN544">
            <v>7673</v>
          </cell>
          <cell r="AO544">
            <v>0</v>
          </cell>
          <cell r="AP544">
            <v>7673</v>
          </cell>
          <cell r="AQ544" t="str">
            <v>스토리위즈</v>
          </cell>
          <cell r="AR544" t="str">
            <v>무장</v>
          </cell>
        </row>
        <row r="545">
          <cell r="N545" t="str">
            <v>무장</v>
          </cell>
          <cell r="O545" t="str">
            <v>Y</v>
          </cell>
          <cell r="P545">
            <v>0.55000000000000004</v>
          </cell>
          <cell r="Q545">
            <v>0.55000000000000004</v>
          </cell>
          <cell r="R545" t="str">
            <v>단일 이용권</v>
          </cell>
          <cell r="S545">
            <v>100</v>
          </cell>
          <cell r="T545">
            <v>32300</v>
          </cell>
          <cell r="U545">
            <v>6300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26000</v>
          </cell>
          <cell r="AD545">
            <v>32300</v>
          </cell>
          <cell r="AE545">
            <v>6300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26000</v>
          </cell>
          <cell r="AN545">
            <v>17765</v>
          </cell>
          <cell r="AO545">
            <v>0</v>
          </cell>
          <cell r="AP545">
            <v>17765</v>
          </cell>
          <cell r="AQ545" t="str">
            <v>스토리위즈</v>
          </cell>
          <cell r="AR545" t="str">
            <v>무장</v>
          </cell>
        </row>
        <row r="546">
          <cell r="N546" t="str">
            <v>무장</v>
          </cell>
          <cell r="O546" t="str">
            <v>Y</v>
          </cell>
          <cell r="P546">
            <v>0.55000000000000004</v>
          </cell>
          <cell r="Q546">
            <v>0.55000000000000004</v>
          </cell>
          <cell r="R546" t="str">
            <v>시리즈 이용권 패키지</v>
          </cell>
          <cell r="S546">
            <v>1800</v>
          </cell>
          <cell r="T546">
            <v>19200</v>
          </cell>
          <cell r="U546">
            <v>8400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10800</v>
          </cell>
          <cell r="AD546">
            <v>19200</v>
          </cell>
          <cell r="AE546">
            <v>8400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M546">
            <v>10800</v>
          </cell>
          <cell r="AN546">
            <v>10560</v>
          </cell>
          <cell r="AO546">
            <v>0</v>
          </cell>
          <cell r="AP546">
            <v>10560</v>
          </cell>
          <cell r="AQ546" t="str">
            <v>스토리위즈</v>
          </cell>
          <cell r="AR546" t="str">
            <v>무장</v>
          </cell>
        </row>
        <row r="547">
          <cell r="N547" t="str">
            <v>무장</v>
          </cell>
          <cell r="O547" t="str">
            <v>Y</v>
          </cell>
          <cell r="P547">
            <v>0.55000000000000004</v>
          </cell>
          <cell r="Q547">
            <v>0.55000000000000004</v>
          </cell>
          <cell r="R547" t="str">
            <v>시리즈 이용권 패키지</v>
          </cell>
          <cell r="S547">
            <v>4500</v>
          </cell>
          <cell r="T547">
            <v>18000</v>
          </cell>
          <cell r="U547">
            <v>4000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14000</v>
          </cell>
          <cell r="AD547">
            <v>18000</v>
          </cell>
          <cell r="AE547">
            <v>4000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14000</v>
          </cell>
          <cell r="AN547">
            <v>9900</v>
          </cell>
          <cell r="AO547">
            <v>0</v>
          </cell>
          <cell r="AP547">
            <v>9900</v>
          </cell>
          <cell r="AQ547" t="str">
            <v>스토리위즈</v>
          </cell>
          <cell r="AR547" t="str">
            <v>무장</v>
          </cell>
        </row>
        <row r="548">
          <cell r="N548" t="str">
            <v>무장</v>
          </cell>
          <cell r="O548" t="str">
            <v>Y</v>
          </cell>
          <cell r="P548">
            <v>0.55000000000000004</v>
          </cell>
          <cell r="Q548">
            <v>0.55000000000000004</v>
          </cell>
          <cell r="R548" t="str">
            <v>단일 이용권</v>
          </cell>
          <cell r="S548">
            <v>100</v>
          </cell>
          <cell r="T548">
            <v>49300</v>
          </cell>
          <cell r="U548">
            <v>12700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36600</v>
          </cell>
          <cell r="AD548">
            <v>49300</v>
          </cell>
          <cell r="AE548">
            <v>12700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36600</v>
          </cell>
          <cell r="AN548">
            <v>27115</v>
          </cell>
          <cell r="AO548">
            <v>0</v>
          </cell>
          <cell r="AP548">
            <v>27115</v>
          </cell>
          <cell r="AQ548" t="str">
            <v>스토리위즈</v>
          </cell>
          <cell r="AR548" t="str">
            <v>무장</v>
          </cell>
        </row>
        <row r="549">
          <cell r="N549" t="str">
            <v>무장</v>
          </cell>
          <cell r="O549" t="str">
            <v>Y</v>
          </cell>
          <cell r="P549">
            <v>0.55000000000000004</v>
          </cell>
          <cell r="Q549">
            <v>0.55000000000000004</v>
          </cell>
          <cell r="R549" t="str">
            <v>시리즈 이용권 패키지</v>
          </cell>
          <cell r="S549">
            <v>1800</v>
          </cell>
          <cell r="T549">
            <v>54500</v>
          </cell>
          <cell r="U549">
            <v>38300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3600</v>
          </cell>
          <cell r="AA549">
            <v>0</v>
          </cell>
          <cell r="AB549">
            <v>0</v>
          </cell>
          <cell r="AC549">
            <v>12600</v>
          </cell>
          <cell r="AD549">
            <v>54860</v>
          </cell>
          <cell r="AE549">
            <v>38300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3960</v>
          </cell>
          <cell r="AK549">
            <v>0</v>
          </cell>
          <cell r="AL549">
            <v>0</v>
          </cell>
          <cell r="AM549">
            <v>12600</v>
          </cell>
          <cell r="AN549">
            <v>30173</v>
          </cell>
          <cell r="AO549">
            <v>0</v>
          </cell>
          <cell r="AP549">
            <v>30173</v>
          </cell>
          <cell r="AQ549" t="str">
            <v>스토리위즈</v>
          </cell>
          <cell r="AR549" t="str">
            <v>무장</v>
          </cell>
        </row>
        <row r="550">
          <cell r="N550" t="str">
            <v>무장</v>
          </cell>
          <cell r="O550" t="str">
            <v>Y</v>
          </cell>
          <cell r="P550">
            <v>0.55000000000000004</v>
          </cell>
          <cell r="Q550">
            <v>0.55000000000000004</v>
          </cell>
          <cell r="R550" t="str">
            <v>시리즈 이용권 패키지</v>
          </cell>
          <cell r="S550">
            <v>4500</v>
          </cell>
          <cell r="T550">
            <v>27000</v>
          </cell>
          <cell r="U550">
            <v>22500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4500</v>
          </cell>
          <cell r="AA550">
            <v>0</v>
          </cell>
          <cell r="AB550">
            <v>0</v>
          </cell>
          <cell r="AC550">
            <v>0</v>
          </cell>
          <cell r="AD550">
            <v>27450</v>
          </cell>
          <cell r="AE550">
            <v>22500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4950</v>
          </cell>
          <cell r="AK550">
            <v>0</v>
          </cell>
          <cell r="AL550">
            <v>0</v>
          </cell>
          <cell r="AM550">
            <v>0</v>
          </cell>
          <cell r="AN550">
            <v>15098</v>
          </cell>
          <cell r="AO550">
            <v>0</v>
          </cell>
          <cell r="AP550">
            <v>15098</v>
          </cell>
          <cell r="AQ550" t="str">
            <v>스토리위즈</v>
          </cell>
          <cell r="AR550" t="str">
            <v>무장</v>
          </cell>
        </row>
        <row r="551">
          <cell r="N551" t="str">
            <v>무장</v>
          </cell>
          <cell r="O551" t="str">
            <v>Y</v>
          </cell>
          <cell r="P551">
            <v>0.55000000000000004</v>
          </cell>
          <cell r="Q551">
            <v>0.55000000000000004</v>
          </cell>
          <cell r="R551" t="str">
            <v>시리즈 이용권 패키지</v>
          </cell>
          <cell r="S551">
            <v>9000</v>
          </cell>
          <cell r="T551">
            <v>9000</v>
          </cell>
          <cell r="U551">
            <v>4000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5000</v>
          </cell>
          <cell r="AD551">
            <v>9000</v>
          </cell>
          <cell r="AE551">
            <v>4000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5000</v>
          </cell>
          <cell r="AN551">
            <v>4950</v>
          </cell>
          <cell r="AO551">
            <v>0</v>
          </cell>
          <cell r="AP551">
            <v>4950</v>
          </cell>
          <cell r="AQ551" t="str">
            <v>스토리위즈</v>
          </cell>
          <cell r="AR551" t="str">
            <v>무장</v>
          </cell>
        </row>
        <row r="552">
          <cell r="N552" t="str">
            <v>이린비</v>
          </cell>
          <cell r="O552" t="str">
            <v>Y</v>
          </cell>
          <cell r="P552">
            <v>0.55000000000000004</v>
          </cell>
          <cell r="Q552">
            <v>0.55000000000000004</v>
          </cell>
          <cell r="R552" t="str">
            <v>단일 이용권</v>
          </cell>
          <cell r="S552">
            <v>100</v>
          </cell>
          <cell r="T552">
            <v>99200</v>
          </cell>
          <cell r="U552">
            <v>28780</v>
          </cell>
          <cell r="V552">
            <v>0</v>
          </cell>
          <cell r="W552">
            <v>0</v>
          </cell>
          <cell r="X552">
            <v>0</v>
          </cell>
          <cell r="Y552">
            <v>700</v>
          </cell>
          <cell r="Z552">
            <v>3500</v>
          </cell>
          <cell r="AA552">
            <v>0</v>
          </cell>
          <cell r="AB552">
            <v>0</v>
          </cell>
          <cell r="AC552">
            <v>66220</v>
          </cell>
          <cell r="AD552">
            <v>99690</v>
          </cell>
          <cell r="AE552">
            <v>28780</v>
          </cell>
          <cell r="AF552">
            <v>0</v>
          </cell>
          <cell r="AG552">
            <v>0</v>
          </cell>
          <cell r="AH552">
            <v>0</v>
          </cell>
          <cell r="AI552">
            <v>840</v>
          </cell>
          <cell r="AJ552">
            <v>3850</v>
          </cell>
          <cell r="AK552">
            <v>0</v>
          </cell>
          <cell r="AL552">
            <v>0</v>
          </cell>
          <cell r="AM552">
            <v>66220</v>
          </cell>
          <cell r="AN552">
            <v>54830</v>
          </cell>
          <cell r="AO552">
            <v>0</v>
          </cell>
          <cell r="AP552">
            <v>54830</v>
          </cell>
          <cell r="AQ552" t="str">
            <v>스토리위즈</v>
          </cell>
          <cell r="AR552" t="str">
            <v>이린비</v>
          </cell>
        </row>
        <row r="553">
          <cell r="N553" t="str">
            <v>이린비</v>
          </cell>
          <cell r="O553" t="str">
            <v>Y</v>
          </cell>
          <cell r="P553">
            <v>0.55000000000000004</v>
          </cell>
          <cell r="Q553">
            <v>0.55000000000000004</v>
          </cell>
          <cell r="R553" t="str">
            <v>시리즈 이용권 패키지</v>
          </cell>
          <cell r="S553">
            <v>2700</v>
          </cell>
          <cell r="T553">
            <v>64500</v>
          </cell>
          <cell r="U553">
            <v>57900</v>
          </cell>
          <cell r="V553">
            <v>0</v>
          </cell>
          <cell r="W553">
            <v>0</v>
          </cell>
          <cell r="X553">
            <v>0</v>
          </cell>
          <cell r="Y553">
            <v>100</v>
          </cell>
          <cell r="Z553">
            <v>400</v>
          </cell>
          <cell r="AA553">
            <v>0</v>
          </cell>
          <cell r="AB553">
            <v>0</v>
          </cell>
          <cell r="AC553">
            <v>6100</v>
          </cell>
          <cell r="AD553">
            <v>64560</v>
          </cell>
          <cell r="AE553">
            <v>57900</v>
          </cell>
          <cell r="AF553">
            <v>0</v>
          </cell>
          <cell r="AG553">
            <v>0</v>
          </cell>
          <cell r="AH553">
            <v>0</v>
          </cell>
          <cell r="AI553">
            <v>120</v>
          </cell>
          <cell r="AJ553">
            <v>440</v>
          </cell>
          <cell r="AK553">
            <v>0</v>
          </cell>
          <cell r="AL553">
            <v>0</v>
          </cell>
          <cell r="AM553">
            <v>6100</v>
          </cell>
          <cell r="AN553">
            <v>35508</v>
          </cell>
          <cell r="AO553">
            <v>0</v>
          </cell>
          <cell r="AP553">
            <v>35508</v>
          </cell>
          <cell r="AQ553" t="str">
            <v>스토리위즈</v>
          </cell>
          <cell r="AR553" t="str">
            <v>이린비</v>
          </cell>
        </row>
        <row r="554">
          <cell r="N554" t="str">
            <v>이린비</v>
          </cell>
          <cell r="O554" t="str">
            <v>Y</v>
          </cell>
          <cell r="P554">
            <v>0.55000000000000004</v>
          </cell>
          <cell r="Q554">
            <v>0.55000000000000004</v>
          </cell>
          <cell r="R554" t="str">
            <v>시리즈 이용권 패키지</v>
          </cell>
          <cell r="S554">
            <v>5300</v>
          </cell>
          <cell r="T554">
            <v>43800</v>
          </cell>
          <cell r="U554">
            <v>37500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5300</v>
          </cell>
          <cell r="AA554">
            <v>0</v>
          </cell>
          <cell r="AB554">
            <v>0</v>
          </cell>
          <cell r="AC554">
            <v>1000</v>
          </cell>
          <cell r="AD554">
            <v>44330</v>
          </cell>
          <cell r="AE554">
            <v>37500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5830</v>
          </cell>
          <cell r="AK554">
            <v>0</v>
          </cell>
          <cell r="AL554">
            <v>0</v>
          </cell>
          <cell r="AM554">
            <v>1000</v>
          </cell>
          <cell r="AN554">
            <v>24382</v>
          </cell>
          <cell r="AO554">
            <v>0</v>
          </cell>
          <cell r="AP554">
            <v>24382</v>
          </cell>
          <cell r="AQ554" t="str">
            <v>스토리위즈</v>
          </cell>
          <cell r="AR554" t="str">
            <v>이린비</v>
          </cell>
        </row>
        <row r="555">
          <cell r="N555" t="str">
            <v>이린비</v>
          </cell>
          <cell r="O555" t="str">
            <v>Y</v>
          </cell>
          <cell r="P555">
            <v>0.55000000000000004</v>
          </cell>
          <cell r="Q555">
            <v>0.55000000000000004</v>
          </cell>
          <cell r="R555" t="str">
            <v>시리즈 이용권 패키지</v>
          </cell>
          <cell r="S555">
            <v>7900</v>
          </cell>
          <cell r="T555">
            <v>78500</v>
          </cell>
          <cell r="U555">
            <v>54800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15600</v>
          </cell>
          <cell r="AA555">
            <v>0</v>
          </cell>
          <cell r="AB555">
            <v>0</v>
          </cell>
          <cell r="AC555">
            <v>8100</v>
          </cell>
          <cell r="AD555">
            <v>80060</v>
          </cell>
          <cell r="AE555">
            <v>54800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17160</v>
          </cell>
          <cell r="AK555">
            <v>0</v>
          </cell>
          <cell r="AL555">
            <v>0</v>
          </cell>
          <cell r="AM555">
            <v>8100</v>
          </cell>
          <cell r="AN555">
            <v>44033</v>
          </cell>
          <cell r="AO555">
            <v>0</v>
          </cell>
          <cell r="AP555">
            <v>44033</v>
          </cell>
          <cell r="AQ555" t="str">
            <v>스토리위즈</v>
          </cell>
          <cell r="AR555" t="str">
            <v>이린비</v>
          </cell>
        </row>
        <row r="556">
          <cell r="N556" t="str">
            <v>이동열</v>
          </cell>
          <cell r="O556" t="str">
            <v>Y</v>
          </cell>
          <cell r="P556">
            <v>0.55000000000000004</v>
          </cell>
          <cell r="Q556">
            <v>0.55000000000000004</v>
          </cell>
          <cell r="R556" t="str">
            <v>단일 이용권</v>
          </cell>
          <cell r="S556">
            <v>100</v>
          </cell>
          <cell r="T556">
            <v>4700</v>
          </cell>
          <cell r="U556">
            <v>1000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3700</v>
          </cell>
          <cell r="AD556">
            <v>4700</v>
          </cell>
          <cell r="AE556">
            <v>1000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3700</v>
          </cell>
          <cell r="AN556">
            <v>2585</v>
          </cell>
          <cell r="AO556">
            <v>0</v>
          </cell>
          <cell r="AP556">
            <v>2585</v>
          </cell>
          <cell r="AQ556" t="str">
            <v>스토리위즈</v>
          </cell>
          <cell r="AR556" t="str">
            <v>이동열</v>
          </cell>
        </row>
        <row r="557">
          <cell r="N557" t="str">
            <v>이동열</v>
          </cell>
          <cell r="O557" t="str">
            <v>Y</v>
          </cell>
          <cell r="P557">
            <v>0.55000000000000004</v>
          </cell>
          <cell r="Q557">
            <v>0.55000000000000004</v>
          </cell>
          <cell r="R557" t="str">
            <v>시리즈 이용권 패키지</v>
          </cell>
          <cell r="S557">
            <v>2400</v>
          </cell>
          <cell r="T557">
            <v>31200</v>
          </cell>
          <cell r="U557">
            <v>26200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5000</v>
          </cell>
          <cell r="AD557">
            <v>31200</v>
          </cell>
          <cell r="AE557">
            <v>26200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5000</v>
          </cell>
          <cell r="AN557">
            <v>17160</v>
          </cell>
          <cell r="AO557">
            <v>0</v>
          </cell>
          <cell r="AP557">
            <v>17160</v>
          </cell>
          <cell r="AQ557" t="str">
            <v>스토리위즈</v>
          </cell>
          <cell r="AR557" t="str">
            <v>이동열</v>
          </cell>
        </row>
        <row r="558">
          <cell r="N558" t="str">
            <v>이동열</v>
          </cell>
          <cell r="O558" t="str">
            <v>Y</v>
          </cell>
          <cell r="P558">
            <v>0.55000000000000004</v>
          </cell>
          <cell r="Q558">
            <v>0.55000000000000004</v>
          </cell>
          <cell r="R558" t="str">
            <v>시리즈 이용권 패키지</v>
          </cell>
          <cell r="S558">
            <v>13500</v>
          </cell>
          <cell r="T558">
            <v>6400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6400</v>
          </cell>
          <cell r="AD558">
            <v>6400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M558">
            <v>6400</v>
          </cell>
          <cell r="AN558">
            <v>3520</v>
          </cell>
          <cell r="AO558">
            <v>0</v>
          </cell>
          <cell r="AP558">
            <v>3520</v>
          </cell>
          <cell r="AQ558" t="str">
            <v>스토리위즈</v>
          </cell>
          <cell r="AR558" t="str">
            <v>이동열</v>
          </cell>
        </row>
        <row r="559">
          <cell r="N559" t="str">
            <v>무장</v>
          </cell>
          <cell r="O559" t="str">
            <v>Y</v>
          </cell>
          <cell r="P559">
            <v>0.55000000000000004</v>
          </cell>
          <cell r="Q559">
            <v>0.55000000000000004</v>
          </cell>
          <cell r="R559" t="str">
            <v>단일 이용권</v>
          </cell>
          <cell r="S559">
            <v>100</v>
          </cell>
          <cell r="T559">
            <v>1574600</v>
          </cell>
          <cell r="U559">
            <v>451930</v>
          </cell>
          <cell r="V559">
            <v>0</v>
          </cell>
          <cell r="W559">
            <v>0</v>
          </cell>
          <cell r="X559">
            <v>0</v>
          </cell>
          <cell r="Y559">
            <v>3200</v>
          </cell>
          <cell r="Z559">
            <v>28180</v>
          </cell>
          <cell r="AA559">
            <v>0</v>
          </cell>
          <cell r="AB559">
            <v>0</v>
          </cell>
          <cell r="AC559">
            <v>1091290</v>
          </cell>
          <cell r="AD559">
            <v>1578058</v>
          </cell>
          <cell r="AE559">
            <v>451930</v>
          </cell>
          <cell r="AF559">
            <v>0</v>
          </cell>
          <cell r="AG559">
            <v>0</v>
          </cell>
          <cell r="AH559">
            <v>0</v>
          </cell>
          <cell r="AI559">
            <v>3840</v>
          </cell>
          <cell r="AJ559">
            <v>30998</v>
          </cell>
          <cell r="AK559">
            <v>0</v>
          </cell>
          <cell r="AL559">
            <v>0</v>
          </cell>
          <cell r="AM559">
            <v>1091290</v>
          </cell>
          <cell r="AN559">
            <v>867932</v>
          </cell>
          <cell r="AO559">
            <v>0</v>
          </cell>
          <cell r="AP559">
            <v>867932</v>
          </cell>
          <cell r="AQ559" t="str">
            <v>스토리위즈</v>
          </cell>
          <cell r="AR559" t="str">
            <v>무장</v>
          </cell>
        </row>
        <row r="560">
          <cell r="N560" t="str">
            <v>무장</v>
          </cell>
          <cell r="O560" t="str">
            <v>Y</v>
          </cell>
          <cell r="P560">
            <v>0.55000000000000004</v>
          </cell>
          <cell r="Q560">
            <v>0.55000000000000004</v>
          </cell>
          <cell r="R560" t="str">
            <v>시리즈 이용권 패키지</v>
          </cell>
          <cell r="S560">
            <v>2400</v>
          </cell>
          <cell r="T560">
            <v>1804200</v>
          </cell>
          <cell r="U560">
            <v>1268740</v>
          </cell>
          <cell r="V560">
            <v>0</v>
          </cell>
          <cell r="W560">
            <v>0</v>
          </cell>
          <cell r="X560">
            <v>0</v>
          </cell>
          <cell r="Y560">
            <v>4500</v>
          </cell>
          <cell r="Z560">
            <v>65400</v>
          </cell>
          <cell r="AA560">
            <v>0</v>
          </cell>
          <cell r="AB560">
            <v>0</v>
          </cell>
          <cell r="AC560">
            <v>465560</v>
          </cell>
          <cell r="AD560">
            <v>1811640</v>
          </cell>
          <cell r="AE560">
            <v>1268740</v>
          </cell>
          <cell r="AF560">
            <v>0</v>
          </cell>
          <cell r="AG560">
            <v>0</v>
          </cell>
          <cell r="AH560">
            <v>0</v>
          </cell>
          <cell r="AI560">
            <v>5400</v>
          </cell>
          <cell r="AJ560">
            <v>71940</v>
          </cell>
          <cell r="AK560">
            <v>0</v>
          </cell>
          <cell r="AL560">
            <v>0</v>
          </cell>
          <cell r="AM560">
            <v>465560</v>
          </cell>
          <cell r="AN560">
            <v>996402</v>
          </cell>
          <cell r="AO560">
            <v>0</v>
          </cell>
          <cell r="AP560">
            <v>996402</v>
          </cell>
          <cell r="AQ560" t="str">
            <v>스토리위즈</v>
          </cell>
          <cell r="AR560" t="str">
            <v>무장</v>
          </cell>
        </row>
        <row r="561">
          <cell r="N561" t="str">
            <v>무장</v>
          </cell>
          <cell r="O561" t="str">
            <v>Y</v>
          </cell>
          <cell r="P561">
            <v>0.55000000000000004</v>
          </cell>
          <cell r="Q561">
            <v>0.55000000000000004</v>
          </cell>
          <cell r="R561" t="str">
            <v>시리즈 이용권 패키지</v>
          </cell>
          <cell r="S561">
            <v>9200</v>
          </cell>
          <cell r="T561">
            <v>1378700</v>
          </cell>
          <cell r="U561">
            <v>1074740</v>
          </cell>
          <cell r="V561">
            <v>0</v>
          </cell>
          <cell r="W561">
            <v>0</v>
          </cell>
          <cell r="X561">
            <v>0</v>
          </cell>
          <cell r="Y561">
            <v>300</v>
          </cell>
          <cell r="Z561">
            <v>73300</v>
          </cell>
          <cell r="AA561">
            <v>0</v>
          </cell>
          <cell r="AB561">
            <v>0</v>
          </cell>
          <cell r="AC561">
            <v>230360</v>
          </cell>
          <cell r="AD561">
            <v>1386090</v>
          </cell>
          <cell r="AE561">
            <v>1074740</v>
          </cell>
          <cell r="AF561">
            <v>0</v>
          </cell>
          <cell r="AG561">
            <v>0</v>
          </cell>
          <cell r="AH561">
            <v>0</v>
          </cell>
          <cell r="AI561">
            <v>360</v>
          </cell>
          <cell r="AJ561">
            <v>80630</v>
          </cell>
          <cell r="AK561">
            <v>0</v>
          </cell>
          <cell r="AL561">
            <v>0</v>
          </cell>
          <cell r="AM561">
            <v>230360</v>
          </cell>
          <cell r="AN561">
            <v>762350</v>
          </cell>
          <cell r="AO561">
            <v>0</v>
          </cell>
          <cell r="AP561">
            <v>762350</v>
          </cell>
          <cell r="AQ561" t="str">
            <v>스토리위즈</v>
          </cell>
          <cell r="AR561" t="str">
            <v>무장</v>
          </cell>
        </row>
        <row r="562">
          <cell r="N562" t="str">
            <v>무장</v>
          </cell>
          <cell r="O562" t="str">
            <v>Y</v>
          </cell>
          <cell r="P562">
            <v>0.55000000000000004</v>
          </cell>
          <cell r="Q562">
            <v>0.55000000000000004</v>
          </cell>
          <cell r="R562" t="str">
            <v>시리즈 이용권 패키지</v>
          </cell>
          <cell r="S562">
            <v>18000</v>
          </cell>
          <cell r="T562">
            <v>544600</v>
          </cell>
          <cell r="U562">
            <v>448460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40000</v>
          </cell>
          <cell r="AA562">
            <v>0</v>
          </cell>
          <cell r="AB562">
            <v>0</v>
          </cell>
          <cell r="AC562">
            <v>56140</v>
          </cell>
          <cell r="AD562">
            <v>548600</v>
          </cell>
          <cell r="AE562">
            <v>448460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44000</v>
          </cell>
          <cell r="AK562">
            <v>0</v>
          </cell>
          <cell r="AL562">
            <v>0</v>
          </cell>
          <cell r="AM562">
            <v>56140</v>
          </cell>
          <cell r="AN562">
            <v>301730</v>
          </cell>
          <cell r="AO562">
            <v>0</v>
          </cell>
          <cell r="AP562">
            <v>301730</v>
          </cell>
          <cell r="AQ562" t="str">
            <v>스토리위즈</v>
          </cell>
          <cell r="AR562" t="str">
            <v>무장</v>
          </cell>
        </row>
        <row r="563">
          <cell r="N563" t="str">
            <v>불고기자리</v>
          </cell>
          <cell r="O563" t="str">
            <v>Y</v>
          </cell>
          <cell r="P563">
            <v>0.55000000000000004</v>
          </cell>
          <cell r="Q563">
            <v>0.55000000000000004</v>
          </cell>
          <cell r="R563" t="str">
            <v>단일 이용권</v>
          </cell>
          <cell r="S563">
            <v>100</v>
          </cell>
          <cell r="T563">
            <v>33000</v>
          </cell>
          <cell r="U563">
            <v>18000</v>
          </cell>
          <cell r="V563">
            <v>0</v>
          </cell>
          <cell r="W563">
            <v>0</v>
          </cell>
          <cell r="X563">
            <v>-700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15700</v>
          </cell>
          <cell r="AD563">
            <v>32731.081600000001</v>
          </cell>
          <cell r="AE563">
            <v>18000</v>
          </cell>
          <cell r="AF563">
            <v>0</v>
          </cell>
          <cell r="AG563">
            <v>0</v>
          </cell>
          <cell r="AH563">
            <v>-968.91840000000002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15700</v>
          </cell>
          <cell r="AN563">
            <v>18002</v>
          </cell>
          <cell r="AO563">
            <v>0</v>
          </cell>
          <cell r="AP563">
            <v>18002</v>
          </cell>
          <cell r="AQ563" t="str">
            <v>스토리위즈</v>
          </cell>
          <cell r="AR563" t="str">
            <v>불고기자리</v>
          </cell>
        </row>
        <row r="564">
          <cell r="N564" t="str">
            <v>불고기자리</v>
          </cell>
          <cell r="O564" t="str">
            <v>Y</v>
          </cell>
          <cell r="P564">
            <v>0.55000000000000004</v>
          </cell>
          <cell r="Q564">
            <v>0.55000000000000004</v>
          </cell>
          <cell r="R564" t="str">
            <v>시리즈 이용권 패키지</v>
          </cell>
          <cell r="S564">
            <v>2900</v>
          </cell>
          <cell r="T564">
            <v>17700</v>
          </cell>
          <cell r="U564">
            <v>11900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5800</v>
          </cell>
          <cell r="AD564">
            <v>17700</v>
          </cell>
          <cell r="AE564">
            <v>11900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5800</v>
          </cell>
          <cell r="AN564">
            <v>9735</v>
          </cell>
          <cell r="AO564">
            <v>0</v>
          </cell>
          <cell r="AP564">
            <v>9735</v>
          </cell>
          <cell r="AQ564" t="str">
            <v>스토리위즈</v>
          </cell>
          <cell r="AR564" t="str">
            <v>불고기자리</v>
          </cell>
        </row>
        <row r="565">
          <cell r="N565" t="str">
            <v>불고기자리</v>
          </cell>
          <cell r="O565" t="str">
            <v>Y</v>
          </cell>
          <cell r="P565">
            <v>0.55000000000000004</v>
          </cell>
          <cell r="Q565">
            <v>0.55000000000000004</v>
          </cell>
          <cell r="R565" t="str">
            <v>시리즈 이용권 패키지</v>
          </cell>
          <cell r="S565">
            <v>5600</v>
          </cell>
          <cell r="T565">
            <v>11200</v>
          </cell>
          <cell r="U565">
            <v>11000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200</v>
          </cell>
          <cell r="AD565">
            <v>11200</v>
          </cell>
          <cell r="AE565">
            <v>11000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200</v>
          </cell>
          <cell r="AN565">
            <v>6160</v>
          </cell>
          <cell r="AO565">
            <v>0</v>
          </cell>
          <cell r="AP565">
            <v>6160</v>
          </cell>
          <cell r="AQ565" t="str">
            <v>스토리위즈</v>
          </cell>
          <cell r="AR565" t="str">
            <v>불고기자리</v>
          </cell>
        </row>
        <row r="566">
          <cell r="N566" t="str">
            <v>불고기자리</v>
          </cell>
          <cell r="O566" t="str">
            <v>Y</v>
          </cell>
          <cell r="P566">
            <v>0.55000000000000004</v>
          </cell>
          <cell r="Q566">
            <v>0.55000000000000004</v>
          </cell>
          <cell r="R566" t="str">
            <v>시리즈 이용권 패키지</v>
          </cell>
          <cell r="S566">
            <v>9000</v>
          </cell>
          <cell r="T566">
            <v>27000</v>
          </cell>
          <cell r="U566">
            <v>16400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10600</v>
          </cell>
          <cell r="AD566">
            <v>27000</v>
          </cell>
          <cell r="AE566">
            <v>16400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10600</v>
          </cell>
          <cell r="AN566">
            <v>14850</v>
          </cell>
          <cell r="AO566">
            <v>0</v>
          </cell>
          <cell r="AP566">
            <v>14850</v>
          </cell>
          <cell r="AQ566" t="str">
            <v>스토리위즈</v>
          </cell>
          <cell r="AR566" t="str">
            <v>불고기자리</v>
          </cell>
        </row>
        <row r="567">
          <cell r="N567" t="str">
            <v>진문</v>
          </cell>
          <cell r="O567" t="str">
            <v>Y</v>
          </cell>
          <cell r="P567">
            <v>0.55000000000000004</v>
          </cell>
          <cell r="Q567">
            <v>0.55000000000000004</v>
          </cell>
          <cell r="R567" t="str">
            <v>단일 이용권</v>
          </cell>
          <cell r="S567">
            <v>100</v>
          </cell>
          <cell r="T567">
            <v>600</v>
          </cell>
          <cell r="U567">
            <v>600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600</v>
          </cell>
          <cell r="AE567">
            <v>600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330</v>
          </cell>
          <cell r="AO567">
            <v>0</v>
          </cell>
          <cell r="AP567">
            <v>330</v>
          </cell>
          <cell r="AQ567" t="str">
            <v>스토리위즈</v>
          </cell>
          <cell r="AR567" t="str">
            <v>진문</v>
          </cell>
        </row>
        <row r="568">
          <cell r="N568" t="str">
            <v>진문</v>
          </cell>
          <cell r="O568" t="str">
            <v>Y</v>
          </cell>
          <cell r="P568">
            <v>0.55000000000000004</v>
          </cell>
          <cell r="Q568">
            <v>0.55000000000000004</v>
          </cell>
          <cell r="R568" t="str">
            <v>시리즈 이용권 패키지</v>
          </cell>
          <cell r="S568">
            <v>2400</v>
          </cell>
          <cell r="T568">
            <v>-1500</v>
          </cell>
          <cell r="U568">
            <v>-1500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-1500</v>
          </cell>
          <cell r="AE568">
            <v>-1500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-825</v>
          </cell>
          <cell r="AO568">
            <v>0</v>
          </cell>
          <cell r="AP568">
            <v>-825</v>
          </cell>
          <cell r="AQ568" t="str">
            <v>스토리위즈</v>
          </cell>
          <cell r="AR568" t="str">
            <v>진문</v>
          </cell>
        </row>
        <row r="569">
          <cell r="N569" t="str">
            <v>구유</v>
          </cell>
          <cell r="O569" t="str">
            <v>Y</v>
          </cell>
          <cell r="P569">
            <v>0.55000000000000004</v>
          </cell>
          <cell r="Q569">
            <v>0.55000000000000004</v>
          </cell>
          <cell r="R569" t="str">
            <v>단일 이용권</v>
          </cell>
          <cell r="S569">
            <v>100</v>
          </cell>
          <cell r="T569">
            <v>36000</v>
          </cell>
          <cell r="U569">
            <v>13600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1300</v>
          </cell>
          <cell r="AA569">
            <v>0</v>
          </cell>
          <cell r="AB569">
            <v>0</v>
          </cell>
          <cell r="AC569">
            <v>21100</v>
          </cell>
          <cell r="AD569">
            <v>36130</v>
          </cell>
          <cell r="AE569">
            <v>13600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1430</v>
          </cell>
          <cell r="AK569">
            <v>0</v>
          </cell>
          <cell r="AL569">
            <v>0</v>
          </cell>
          <cell r="AM569">
            <v>21100</v>
          </cell>
          <cell r="AN569">
            <v>19872</v>
          </cell>
          <cell r="AO569">
            <v>0</v>
          </cell>
          <cell r="AP569">
            <v>19872</v>
          </cell>
          <cell r="AQ569" t="str">
            <v>스토리위즈</v>
          </cell>
          <cell r="AR569" t="str">
            <v>구유</v>
          </cell>
        </row>
        <row r="570">
          <cell r="N570" t="str">
            <v>구유</v>
          </cell>
          <cell r="O570" t="str">
            <v>Y</v>
          </cell>
          <cell r="P570">
            <v>0.55000000000000004</v>
          </cell>
          <cell r="Q570">
            <v>0.55000000000000004</v>
          </cell>
          <cell r="R570" t="str">
            <v>시리즈 이용권 패키지</v>
          </cell>
          <cell r="S570">
            <v>2400</v>
          </cell>
          <cell r="T570">
            <v>73900</v>
          </cell>
          <cell r="U570">
            <v>61600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2400</v>
          </cell>
          <cell r="AA570">
            <v>0</v>
          </cell>
          <cell r="AB570">
            <v>0</v>
          </cell>
          <cell r="AC570">
            <v>9900</v>
          </cell>
          <cell r="AD570">
            <v>74140</v>
          </cell>
          <cell r="AE570">
            <v>61600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2640</v>
          </cell>
          <cell r="AK570">
            <v>0</v>
          </cell>
          <cell r="AL570">
            <v>0</v>
          </cell>
          <cell r="AM570">
            <v>9900</v>
          </cell>
          <cell r="AN570">
            <v>40777</v>
          </cell>
          <cell r="AO570">
            <v>0</v>
          </cell>
          <cell r="AP570">
            <v>40777</v>
          </cell>
          <cell r="AQ570" t="str">
            <v>스토리위즈</v>
          </cell>
          <cell r="AR570" t="str">
            <v>구유</v>
          </cell>
        </row>
        <row r="571">
          <cell r="N571" t="str">
            <v>구유</v>
          </cell>
          <cell r="O571" t="str">
            <v>Y</v>
          </cell>
          <cell r="P571">
            <v>0.55000000000000004</v>
          </cell>
          <cell r="Q571">
            <v>0.55000000000000004</v>
          </cell>
          <cell r="R571" t="str">
            <v>시리즈 이용권 패키지</v>
          </cell>
          <cell r="S571">
            <v>9200</v>
          </cell>
          <cell r="T571">
            <v>74000</v>
          </cell>
          <cell r="U571">
            <v>62800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9200</v>
          </cell>
          <cell r="AA571">
            <v>0</v>
          </cell>
          <cell r="AB571">
            <v>0</v>
          </cell>
          <cell r="AC571">
            <v>2000</v>
          </cell>
          <cell r="AD571">
            <v>74920</v>
          </cell>
          <cell r="AE571">
            <v>62800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10120</v>
          </cell>
          <cell r="AK571">
            <v>0</v>
          </cell>
          <cell r="AL571">
            <v>0</v>
          </cell>
          <cell r="AM571">
            <v>2000</v>
          </cell>
          <cell r="AN571">
            <v>41206</v>
          </cell>
          <cell r="AO571">
            <v>0</v>
          </cell>
          <cell r="AP571">
            <v>41206</v>
          </cell>
          <cell r="AQ571" t="str">
            <v>스토리위즈</v>
          </cell>
          <cell r="AR571" t="str">
            <v>구유</v>
          </cell>
        </row>
        <row r="572">
          <cell r="N572" t="str">
            <v>구유</v>
          </cell>
          <cell r="O572" t="str">
            <v>Y</v>
          </cell>
          <cell r="P572">
            <v>0.55000000000000004</v>
          </cell>
          <cell r="Q572">
            <v>0.55000000000000004</v>
          </cell>
          <cell r="R572" t="str">
            <v>시리즈 이용권 패키지</v>
          </cell>
          <cell r="S572">
            <v>18000</v>
          </cell>
          <cell r="T572">
            <v>52900</v>
          </cell>
          <cell r="U572">
            <v>49900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3000</v>
          </cell>
          <cell r="AD572">
            <v>52900</v>
          </cell>
          <cell r="AE572">
            <v>49900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3000</v>
          </cell>
          <cell r="AN572">
            <v>29095</v>
          </cell>
          <cell r="AO572">
            <v>0</v>
          </cell>
          <cell r="AP572">
            <v>29095</v>
          </cell>
          <cell r="AQ572" t="str">
            <v>스토리위즈</v>
          </cell>
          <cell r="AR572" t="str">
            <v>구유</v>
          </cell>
        </row>
        <row r="573">
          <cell r="N573" t="str">
            <v>이동열</v>
          </cell>
          <cell r="O573" t="str">
            <v>Y</v>
          </cell>
          <cell r="P573">
            <v>0.55000000000000004</v>
          </cell>
          <cell r="Q573">
            <v>0.55000000000000004</v>
          </cell>
          <cell r="R573" t="str">
            <v>단일 이용권</v>
          </cell>
          <cell r="S573">
            <v>100</v>
          </cell>
          <cell r="T573">
            <v>47500</v>
          </cell>
          <cell r="U573">
            <v>21300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26200</v>
          </cell>
          <cell r="AD573">
            <v>47500</v>
          </cell>
          <cell r="AE573">
            <v>21300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26200</v>
          </cell>
          <cell r="AN573">
            <v>26125</v>
          </cell>
          <cell r="AO573">
            <v>0</v>
          </cell>
          <cell r="AP573">
            <v>26125</v>
          </cell>
          <cell r="AQ573" t="str">
            <v>스토리위즈</v>
          </cell>
          <cell r="AR573" t="str">
            <v>이동열</v>
          </cell>
        </row>
        <row r="574">
          <cell r="N574" t="str">
            <v>이동열</v>
          </cell>
          <cell r="O574" t="str">
            <v>Y</v>
          </cell>
          <cell r="P574">
            <v>0.55000000000000004</v>
          </cell>
          <cell r="Q574">
            <v>0.55000000000000004</v>
          </cell>
          <cell r="R574" t="str">
            <v>시리즈 이용권 패키지</v>
          </cell>
          <cell r="S574">
            <v>2400</v>
          </cell>
          <cell r="T574">
            <v>54800</v>
          </cell>
          <cell r="U574">
            <v>51400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3400</v>
          </cell>
          <cell r="AD574">
            <v>54800</v>
          </cell>
          <cell r="AE574">
            <v>51400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3400</v>
          </cell>
          <cell r="AN574">
            <v>30140</v>
          </cell>
          <cell r="AO574">
            <v>0</v>
          </cell>
          <cell r="AP574">
            <v>30140</v>
          </cell>
          <cell r="AQ574" t="str">
            <v>스토리위즈</v>
          </cell>
          <cell r="AR574" t="str">
            <v>이동열</v>
          </cell>
        </row>
        <row r="575">
          <cell r="N575" t="str">
            <v>이동열</v>
          </cell>
          <cell r="O575" t="str">
            <v>Y</v>
          </cell>
          <cell r="P575">
            <v>0.55000000000000004</v>
          </cell>
          <cell r="Q575">
            <v>0.55000000000000004</v>
          </cell>
          <cell r="R575" t="str">
            <v>시리즈 이용권 패키지</v>
          </cell>
          <cell r="S575">
            <v>9200</v>
          </cell>
          <cell r="T575">
            <v>25200</v>
          </cell>
          <cell r="U575">
            <v>17600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7600</v>
          </cell>
          <cell r="AD575">
            <v>25200</v>
          </cell>
          <cell r="AE575">
            <v>17600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7600</v>
          </cell>
          <cell r="AN575">
            <v>13860</v>
          </cell>
          <cell r="AO575">
            <v>0</v>
          </cell>
          <cell r="AP575">
            <v>13860</v>
          </cell>
          <cell r="AQ575" t="str">
            <v>스토리위즈</v>
          </cell>
          <cell r="AR575" t="str">
            <v>이동열</v>
          </cell>
        </row>
        <row r="576">
          <cell r="N576" t="str">
            <v>이동열</v>
          </cell>
          <cell r="O576" t="str">
            <v>Y</v>
          </cell>
          <cell r="P576">
            <v>0.55000000000000004</v>
          </cell>
          <cell r="Q576">
            <v>0.55000000000000004</v>
          </cell>
          <cell r="R576" t="str">
            <v>시리즈 이용권 패키지</v>
          </cell>
          <cell r="S576">
            <v>18000</v>
          </cell>
          <cell r="T576">
            <v>31300</v>
          </cell>
          <cell r="U576">
            <v>31300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31300</v>
          </cell>
          <cell r="AE576">
            <v>31300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17215</v>
          </cell>
          <cell r="AO576">
            <v>0</v>
          </cell>
          <cell r="AP576">
            <v>17215</v>
          </cell>
          <cell r="AQ576" t="str">
            <v>스토리위즈</v>
          </cell>
          <cell r="AR576" t="str">
            <v>이동열</v>
          </cell>
        </row>
        <row r="577">
          <cell r="N577" t="str">
            <v>무장</v>
          </cell>
          <cell r="O577" t="str">
            <v>Y</v>
          </cell>
          <cell r="P577">
            <v>0.55000000000000004</v>
          </cell>
          <cell r="Q577">
            <v>0.55000000000000004</v>
          </cell>
          <cell r="R577" t="str">
            <v>단일 이용권</v>
          </cell>
          <cell r="S577">
            <v>100</v>
          </cell>
          <cell r="T577">
            <v>161400</v>
          </cell>
          <cell r="U577">
            <v>43520</v>
          </cell>
          <cell r="V577">
            <v>0</v>
          </cell>
          <cell r="W577">
            <v>0</v>
          </cell>
          <cell r="X577">
            <v>0</v>
          </cell>
          <cell r="Y577">
            <v>3000</v>
          </cell>
          <cell r="Z577">
            <v>3400</v>
          </cell>
          <cell r="AA577">
            <v>0</v>
          </cell>
          <cell r="AB577">
            <v>0</v>
          </cell>
          <cell r="AC577">
            <v>111480</v>
          </cell>
          <cell r="AD577">
            <v>162340</v>
          </cell>
          <cell r="AE577">
            <v>43520</v>
          </cell>
          <cell r="AF577">
            <v>0</v>
          </cell>
          <cell r="AG577">
            <v>0</v>
          </cell>
          <cell r="AH577">
            <v>0</v>
          </cell>
          <cell r="AI577">
            <v>3600</v>
          </cell>
          <cell r="AJ577">
            <v>3740</v>
          </cell>
          <cell r="AK577">
            <v>0</v>
          </cell>
          <cell r="AL577">
            <v>0</v>
          </cell>
          <cell r="AM577">
            <v>111480</v>
          </cell>
          <cell r="AN577">
            <v>89287</v>
          </cell>
          <cell r="AO577">
            <v>0</v>
          </cell>
          <cell r="AP577">
            <v>89287</v>
          </cell>
          <cell r="AQ577" t="str">
            <v>스토리위즈</v>
          </cell>
          <cell r="AR577" t="str">
            <v>무장</v>
          </cell>
        </row>
        <row r="578">
          <cell r="N578" t="str">
            <v>무장</v>
          </cell>
          <cell r="O578" t="str">
            <v>Y</v>
          </cell>
          <cell r="P578">
            <v>0.55000000000000004</v>
          </cell>
          <cell r="Q578">
            <v>0.55000000000000004</v>
          </cell>
          <cell r="R578" t="str">
            <v>시리즈 이용권 패키지</v>
          </cell>
          <cell r="S578">
            <v>2400</v>
          </cell>
          <cell r="T578">
            <v>146000</v>
          </cell>
          <cell r="U578">
            <v>88980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23800</v>
          </cell>
          <cell r="AA578">
            <v>0</v>
          </cell>
          <cell r="AB578">
            <v>0</v>
          </cell>
          <cell r="AC578">
            <v>33220</v>
          </cell>
          <cell r="AD578">
            <v>148380</v>
          </cell>
          <cell r="AE578">
            <v>88980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26180</v>
          </cell>
          <cell r="AK578">
            <v>0</v>
          </cell>
          <cell r="AL578">
            <v>0</v>
          </cell>
          <cell r="AM578">
            <v>33220</v>
          </cell>
          <cell r="AN578">
            <v>81609</v>
          </cell>
          <cell r="AO578">
            <v>0</v>
          </cell>
          <cell r="AP578">
            <v>81609</v>
          </cell>
          <cell r="AQ578" t="str">
            <v>스토리위즈</v>
          </cell>
          <cell r="AR578" t="str">
            <v>무장</v>
          </cell>
        </row>
        <row r="579">
          <cell r="N579" t="str">
            <v>무장</v>
          </cell>
          <cell r="O579" t="str">
            <v>Y</v>
          </cell>
          <cell r="P579">
            <v>0.55000000000000004</v>
          </cell>
          <cell r="Q579">
            <v>0.55000000000000004</v>
          </cell>
          <cell r="R579" t="str">
            <v>시리즈 이용권 패키지</v>
          </cell>
          <cell r="S579">
            <v>9200</v>
          </cell>
          <cell r="T579">
            <v>122500</v>
          </cell>
          <cell r="U579">
            <v>80900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12900</v>
          </cell>
          <cell r="AA579">
            <v>0</v>
          </cell>
          <cell r="AB579">
            <v>0</v>
          </cell>
          <cell r="AC579">
            <v>28700</v>
          </cell>
          <cell r="AD579">
            <v>123790</v>
          </cell>
          <cell r="AE579">
            <v>80900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14190</v>
          </cell>
          <cell r="AK579">
            <v>0</v>
          </cell>
          <cell r="AL579">
            <v>0</v>
          </cell>
          <cell r="AM579">
            <v>28700</v>
          </cell>
          <cell r="AN579">
            <v>68085</v>
          </cell>
          <cell r="AO579">
            <v>0</v>
          </cell>
          <cell r="AP579">
            <v>68085</v>
          </cell>
          <cell r="AQ579" t="str">
            <v>스토리위즈</v>
          </cell>
          <cell r="AR579" t="str">
            <v>무장</v>
          </cell>
        </row>
        <row r="580">
          <cell r="N580" t="str">
            <v>무장</v>
          </cell>
          <cell r="O580" t="str">
            <v>Y</v>
          </cell>
          <cell r="P580">
            <v>0.55000000000000004</v>
          </cell>
          <cell r="Q580">
            <v>0.55000000000000004</v>
          </cell>
          <cell r="R580" t="str">
            <v>시리즈 이용권 패키지</v>
          </cell>
          <cell r="S580">
            <v>18000</v>
          </cell>
          <cell r="T580">
            <v>36000</v>
          </cell>
          <cell r="U580">
            <v>36000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36000</v>
          </cell>
          <cell r="AE580">
            <v>36000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19800</v>
          </cell>
          <cell r="AO580">
            <v>0</v>
          </cell>
          <cell r="AP580">
            <v>19800</v>
          </cell>
          <cell r="AQ580" t="str">
            <v>스토리위즈</v>
          </cell>
          <cell r="AR580" t="str">
            <v>무장</v>
          </cell>
        </row>
        <row r="581">
          <cell r="N581" t="str">
            <v>찬동</v>
          </cell>
          <cell r="O581" t="str">
            <v>Y</v>
          </cell>
          <cell r="P581">
            <v>0.55000000000000004</v>
          </cell>
          <cell r="Q581">
            <v>0.55000000000000004</v>
          </cell>
          <cell r="R581" t="str">
            <v>단일 이용권</v>
          </cell>
          <cell r="S581">
            <v>100</v>
          </cell>
          <cell r="T581">
            <v>20000</v>
          </cell>
          <cell r="U581">
            <v>6200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13800</v>
          </cell>
          <cell r="AD581">
            <v>20000</v>
          </cell>
          <cell r="AE581">
            <v>6200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13800</v>
          </cell>
          <cell r="AN581">
            <v>11000</v>
          </cell>
          <cell r="AO581">
            <v>0</v>
          </cell>
          <cell r="AP581">
            <v>11000</v>
          </cell>
          <cell r="AQ581" t="str">
            <v>스토리위즈</v>
          </cell>
          <cell r="AR581" t="str">
            <v>찬동</v>
          </cell>
        </row>
        <row r="582">
          <cell r="N582" t="str">
            <v>찬동</v>
          </cell>
          <cell r="O582" t="str">
            <v>Y</v>
          </cell>
          <cell r="P582">
            <v>0.55000000000000004</v>
          </cell>
          <cell r="Q582">
            <v>0.55000000000000004</v>
          </cell>
          <cell r="R582" t="str">
            <v>시리즈 이용권 패키지</v>
          </cell>
          <cell r="S582">
            <v>2400</v>
          </cell>
          <cell r="T582">
            <v>45100</v>
          </cell>
          <cell r="U582">
            <v>44500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600</v>
          </cell>
          <cell r="AD582">
            <v>45100</v>
          </cell>
          <cell r="AE582">
            <v>44500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600</v>
          </cell>
          <cell r="AN582">
            <v>24805</v>
          </cell>
          <cell r="AO582">
            <v>0</v>
          </cell>
          <cell r="AP582">
            <v>24805</v>
          </cell>
          <cell r="AQ582" t="str">
            <v>스토리위즈</v>
          </cell>
          <cell r="AR582" t="str">
            <v>찬동</v>
          </cell>
        </row>
        <row r="583">
          <cell r="N583" t="str">
            <v>찬동</v>
          </cell>
          <cell r="O583" t="str">
            <v>Y</v>
          </cell>
          <cell r="P583">
            <v>0.55000000000000004</v>
          </cell>
          <cell r="Q583">
            <v>0.55000000000000004</v>
          </cell>
          <cell r="R583" t="str">
            <v>시리즈 이용권 패키지</v>
          </cell>
          <cell r="S583">
            <v>9200</v>
          </cell>
          <cell r="T583">
            <v>67000</v>
          </cell>
          <cell r="U583">
            <v>45800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9200</v>
          </cell>
          <cell r="AA583">
            <v>0</v>
          </cell>
          <cell r="AB583">
            <v>0</v>
          </cell>
          <cell r="AC583">
            <v>12000</v>
          </cell>
          <cell r="AD583">
            <v>67920</v>
          </cell>
          <cell r="AE583">
            <v>45800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10120</v>
          </cell>
          <cell r="AK583">
            <v>0</v>
          </cell>
          <cell r="AL583">
            <v>0</v>
          </cell>
          <cell r="AM583">
            <v>12000</v>
          </cell>
          <cell r="AN583">
            <v>37356</v>
          </cell>
          <cell r="AO583">
            <v>0</v>
          </cell>
          <cell r="AP583">
            <v>37356</v>
          </cell>
          <cell r="AQ583" t="str">
            <v>스토리위즈</v>
          </cell>
          <cell r="AR583" t="str">
            <v>찬동</v>
          </cell>
        </row>
        <row r="584">
          <cell r="N584" t="str">
            <v>찬동</v>
          </cell>
          <cell r="O584" t="str">
            <v>Y</v>
          </cell>
          <cell r="P584">
            <v>0.55000000000000004</v>
          </cell>
          <cell r="Q584">
            <v>0.55000000000000004</v>
          </cell>
          <cell r="R584" t="str">
            <v>시리즈 이용권 패키지</v>
          </cell>
          <cell r="S584">
            <v>18000</v>
          </cell>
          <cell r="T584">
            <v>-2600</v>
          </cell>
          <cell r="U584">
            <v>-2600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-2600</v>
          </cell>
          <cell r="AE584">
            <v>-2600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-1430</v>
          </cell>
          <cell r="AO584">
            <v>0</v>
          </cell>
          <cell r="AP584">
            <v>-1430</v>
          </cell>
          <cell r="AQ584" t="str">
            <v>스토리위즈</v>
          </cell>
          <cell r="AR584" t="str">
            <v>찬동</v>
          </cell>
        </row>
        <row r="585">
          <cell r="N585" t="str">
            <v>루이세</v>
          </cell>
          <cell r="O585" t="str">
            <v>Y</v>
          </cell>
          <cell r="P585">
            <v>0.55000000000000004</v>
          </cell>
          <cell r="Q585">
            <v>0.55000000000000004</v>
          </cell>
          <cell r="R585" t="str">
            <v>단일 이용권</v>
          </cell>
          <cell r="S585">
            <v>100</v>
          </cell>
          <cell r="T585">
            <v>778200</v>
          </cell>
          <cell r="U585">
            <v>214120</v>
          </cell>
          <cell r="V585">
            <v>0</v>
          </cell>
          <cell r="W585">
            <v>0</v>
          </cell>
          <cell r="X585">
            <v>0</v>
          </cell>
          <cell r="Y585">
            <v>30000</v>
          </cell>
          <cell r="Z585">
            <v>600</v>
          </cell>
          <cell r="AA585">
            <v>0</v>
          </cell>
          <cell r="AB585">
            <v>0</v>
          </cell>
          <cell r="AC585">
            <v>533480</v>
          </cell>
          <cell r="AD585">
            <v>784260</v>
          </cell>
          <cell r="AE585">
            <v>214120</v>
          </cell>
          <cell r="AF585">
            <v>0</v>
          </cell>
          <cell r="AG585">
            <v>0</v>
          </cell>
          <cell r="AH585">
            <v>0</v>
          </cell>
          <cell r="AI585">
            <v>36000</v>
          </cell>
          <cell r="AJ585">
            <v>660</v>
          </cell>
          <cell r="AK585">
            <v>0</v>
          </cell>
          <cell r="AL585">
            <v>0</v>
          </cell>
          <cell r="AM585">
            <v>533480</v>
          </cell>
          <cell r="AN585">
            <v>431343</v>
          </cell>
          <cell r="AO585">
            <v>0</v>
          </cell>
          <cell r="AP585">
            <v>431343</v>
          </cell>
          <cell r="AQ585" t="str">
            <v>스토리위즈</v>
          </cell>
          <cell r="AR585" t="str">
            <v>루이세</v>
          </cell>
        </row>
        <row r="586">
          <cell r="N586" t="str">
            <v>루이세</v>
          </cell>
          <cell r="O586" t="str">
            <v>Y</v>
          </cell>
          <cell r="P586">
            <v>0.55000000000000004</v>
          </cell>
          <cell r="Q586">
            <v>0.55000000000000004</v>
          </cell>
          <cell r="R586" t="str">
            <v>시리즈 이용권 패키지</v>
          </cell>
          <cell r="S586">
            <v>2400</v>
          </cell>
          <cell r="T586">
            <v>838600</v>
          </cell>
          <cell r="U586">
            <v>633810</v>
          </cell>
          <cell r="V586">
            <v>0</v>
          </cell>
          <cell r="W586">
            <v>0</v>
          </cell>
          <cell r="X586">
            <v>0</v>
          </cell>
          <cell r="Y586">
            <v>11600</v>
          </cell>
          <cell r="Z586">
            <v>21600</v>
          </cell>
          <cell r="AA586">
            <v>0</v>
          </cell>
          <cell r="AB586">
            <v>0</v>
          </cell>
          <cell r="AC586">
            <v>171590</v>
          </cell>
          <cell r="AD586">
            <v>843080</v>
          </cell>
          <cell r="AE586">
            <v>633810</v>
          </cell>
          <cell r="AF586">
            <v>0</v>
          </cell>
          <cell r="AG586">
            <v>0</v>
          </cell>
          <cell r="AH586">
            <v>0</v>
          </cell>
          <cell r="AI586">
            <v>13920</v>
          </cell>
          <cell r="AJ586">
            <v>23760</v>
          </cell>
          <cell r="AK586">
            <v>0</v>
          </cell>
          <cell r="AL586">
            <v>0</v>
          </cell>
          <cell r="AM586">
            <v>171590</v>
          </cell>
          <cell r="AN586">
            <v>463694</v>
          </cell>
          <cell r="AO586">
            <v>0</v>
          </cell>
          <cell r="AP586">
            <v>463694</v>
          </cell>
          <cell r="AQ586" t="str">
            <v>스토리위즈</v>
          </cell>
          <cell r="AR586" t="str">
            <v>루이세</v>
          </cell>
        </row>
        <row r="587">
          <cell r="N587" t="str">
            <v>루이세</v>
          </cell>
          <cell r="O587" t="str">
            <v>Y</v>
          </cell>
          <cell r="P587">
            <v>0.55000000000000004</v>
          </cell>
          <cell r="Q587">
            <v>0.55000000000000004</v>
          </cell>
          <cell r="R587" t="str">
            <v>시리즈 이용권 패키지</v>
          </cell>
          <cell r="S587">
            <v>9200</v>
          </cell>
          <cell r="T587">
            <v>729000</v>
          </cell>
          <cell r="U587">
            <v>652740</v>
          </cell>
          <cell r="V587">
            <v>0</v>
          </cell>
          <cell r="W587">
            <v>0</v>
          </cell>
          <cell r="X587">
            <v>0</v>
          </cell>
          <cell r="Y587">
            <v>400</v>
          </cell>
          <cell r="Z587">
            <v>36100</v>
          </cell>
          <cell r="AA587">
            <v>0</v>
          </cell>
          <cell r="AB587">
            <v>0</v>
          </cell>
          <cell r="AC587">
            <v>39760</v>
          </cell>
          <cell r="AD587">
            <v>732690</v>
          </cell>
          <cell r="AE587">
            <v>652740</v>
          </cell>
          <cell r="AF587">
            <v>0</v>
          </cell>
          <cell r="AG587">
            <v>0</v>
          </cell>
          <cell r="AH587">
            <v>0</v>
          </cell>
          <cell r="AI587">
            <v>480</v>
          </cell>
          <cell r="AJ587">
            <v>39710</v>
          </cell>
          <cell r="AK587">
            <v>0</v>
          </cell>
          <cell r="AL587">
            <v>0</v>
          </cell>
          <cell r="AM587">
            <v>39760</v>
          </cell>
          <cell r="AN587">
            <v>402980</v>
          </cell>
          <cell r="AO587">
            <v>0</v>
          </cell>
          <cell r="AP587">
            <v>402980</v>
          </cell>
          <cell r="AQ587" t="str">
            <v>스토리위즈</v>
          </cell>
          <cell r="AR587" t="str">
            <v>루이세</v>
          </cell>
        </row>
        <row r="588">
          <cell r="N588" t="str">
            <v>루이세</v>
          </cell>
          <cell r="O588" t="str">
            <v>Y</v>
          </cell>
          <cell r="P588">
            <v>0.55000000000000004</v>
          </cell>
          <cell r="Q588">
            <v>0.55000000000000004</v>
          </cell>
          <cell r="R588" t="str">
            <v>시리즈 이용권 패키지</v>
          </cell>
          <cell r="S588">
            <v>18000</v>
          </cell>
          <cell r="T588">
            <v>372600</v>
          </cell>
          <cell r="U588">
            <v>342350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30250</v>
          </cell>
          <cell r="AD588">
            <v>372600</v>
          </cell>
          <cell r="AE588">
            <v>342350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30250</v>
          </cell>
          <cell r="AN588">
            <v>204930</v>
          </cell>
          <cell r="AO588">
            <v>0</v>
          </cell>
          <cell r="AP588">
            <v>204930</v>
          </cell>
          <cell r="AQ588" t="str">
            <v>스토리위즈</v>
          </cell>
          <cell r="AR588" t="str">
            <v>루이세</v>
          </cell>
        </row>
        <row r="589">
          <cell r="N589" t="str">
            <v>이동열</v>
          </cell>
          <cell r="O589" t="str">
            <v>Y</v>
          </cell>
          <cell r="P589">
            <v>0.55000000000000004</v>
          </cell>
          <cell r="Q589">
            <v>0.55000000000000004</v>
          </cell>
          <cell r="R589" t="str">
            <v>단일 이용권</v>
          </cell>
          <cell r="S589">
            <v>100</v>
          </cell>
          <cell r="T589">
            <v>13600</v>
          </cell>
          <cell r="U589">
            <v>1300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12300</v>
          </cell>
          <cell r="AD589">
            <v>13600</v>
          </cell>
          <cell r="AE589">
            <v>1300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12300</v>
          </cell>
          <cell r="AN589">
            <v>7480</v>
          </cell>
          <cell r="AO589">
            <v>0</v>
          </cell>
          <cell r="AP589">
            <v>7480</v>
          </cell>
          <cell r="AQ589" t="str">
            <v>스토리위즈</v>
          </cell>
          <cell r="AR589" t="str">
            <v>이동열</v>
          </cell>
        </row>
        <row r="590">
          <cell r="N590" t="str">
            <v>이동열</v>
          </cell>
          <cell r="O590" t="str">
            <v>Y</v>
          </cell>
          <cell r="P590">
            <v>0.55000000000000004</v>
          </cell>
          <cell r="Q590">
            <v>0.55000000000000004</v>
          </cell>
          <cell r="R590" t="str">
            <v>시리즈 이용권 패키지</v>
          </cell>
          <cell r="S590">
            <v>2400</v>
          </cell>
          <cell r="T590">
            <v>29300</v>
          </cell>
          <cell r="U590">
            <v>12300</v>
          </cell>
          <cell r="V590">
            <v>0</v>
          </cell>
          <cell r="W590">
            <v>0</v>
          </cell>
          <cell r="X590">
            <v>0</v>
          </cell>
          <cell r="Y590">
            <v>9300</v>
          </cell>
          <cell r="Z590">
            <v>0</v>
          </cell>
          <cell r="AA590">
            <v>0</v>
          </cell>
          <cell r="AB590">
            <v>0</v>
          </cell>
          <cell r="AC590">
            <v>7700</v>
          </cell>
          <cell r="AD590">
            <v>31160</v>
          </cell>
          <cell r="AE590">
            <v>12300</v>
          </cell>
          <cell r="AF590">
            <v>0</v>
          </cell>
          <cell r="AG590">
            <v>0</v>
          </cell>
          <cell r="AH590">
            <v>0</v>
          </cell>
          <cell r="AI590">
            <v>11160</v>
          </cell>
          <cell r="AJ590">
            <v>0</v>
          </cell>
          <cell r="AK590">
            <v>0</v>
          </cell>
          <cell r="AL590">
            <v>0</v>
          </cell>
          <cell r="AM590">
            <v>7700</v>
          </cell>
          <cell r="AN590">
            <v>17138</v>
          </cell>
          <cell r="AO590">
            <v>0</v>
          </cell>
          <cell r="AP590">
            <v>17138</v>
          </cell>
          <cell r="AQ590" t="str">
            <v>스토리위즈</v>
          </cell>
          <cell r="AR590" t="str">
            <v>이동열</v>
          </cell>
        </row>
        <row r="591">
          <cell r="N591" t="str">
            <v>이동열</v>
          </cell>
          <cell r="O591" t="str">
            <v>Y</v>
          </cell>
          <cell r="P591">
            <v>0.55000000000000004</v>
          </cell>
          <cell r="Q591">
            <v>0.55000000000000004</v>
          </cell>
          <cell r="R591" t="str">
            <v>시리즈 이용권 패키지</v>
          </cell>
          <cell r="S591">
            <v>9200</v>
          </cell>
          <cell r="T591">
            <v>16200</v>
          </cell>
          <cell r="U591">
            <v>15700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500</v>
          </cell>
          <cell r="AD591">
            <v>16200</v>
          </cell>
          <cell r="AE591">
            <v>15700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500</v>
          </cell>
          <cell r="AN591">
            <v>8910</v>
          </cell>
          <cell r="AO591">
            <v>0</v>
          </cell>
          <cell r="AP591">
            <v>8910</v>
          </cell>
          <cell r="AQ591" t="str">
            <v>스토리위즈</v>
          </cell>
          <cell r="AR591" t="str">
            <v>이동열</v>
          </cell>
        </row>
        <row r="592">
          <cell r="N592" t="str">
            <v>이준영</v>
          </cell>
          <cell r="O592" t="str">
            <v>Y</v>
          </cell>
          <cell r="P592">
            <v>0.55000000000000004</v>
          </cell>
          <cell r="Q592">
            <v>0.55000000000000004</v>
          </cell>
          <cell r="R592" t="str">
            <v>단일 이용권</v>
          </cell>
          <cell r="S592">
            <v>100</v>
          </cell>
          <cell r="T592">
            <v>15700</v>
          </cell>
          <cell r="U592">
            <v>900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14800</v>
          </cell>
          <cell r="AD592">
            <v>15700</v>
          </cell>
          <cell r="AE592">
            <v>900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14800</v>
          </cell>
          <cell r="AN592">
            <v>8635</v>
          </cell>
          <cell r="AO592">
            <v>0</v>
          </cell>
          <cell r="AP592">
            <v>8635</v>
          </cell>
          <cell r="AQ592" t="str">
            <v>스토리위즈</v>
          </cell>
          <cell r="AR592" t="str">
            <v>이준영</v>
          </cell>
        </row>
        <row r="593">
          <cell r="N593" t="str">
            <v>이준영</v>
          </cell>
          <cell r="O593" t="str">
            <v>Y</v>
          </cell>
          <cell r="P593">
            <v>0.55000000000000004</v>
          </cell>
          <cell r="Q593">
            <v>0.55000000000000004</v>
          </cell>
          <cell r="R593" t="str">
            <v>시리즈 이용권 패키지</v>
          </cell>
          <cell r="S593">
            <v>2400</v>
          </cell>
          <cell r="T593">
            <v>2400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2400</v>
          </cell>
          <cell r="AD593">
            <v>2400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2400</v>
          </cell>
          <cell r="AN593">
            <v>1320</v>
          </cell>
          <cell r="AO593">
            <v>0</v>
          </cell>
          <cell r="AP593">
            <v>1320</v>
          </cell>
          <cell r="AQ593" t="str">
            <v>스토리위즈</v>
          </cell>
          <cell r="AR593" t="str">
            <v>이준영</v>
          </cell>
        </row>
        <row r="594">
          <cell r="N594" t="str">
            <v>이준영</v>
          </cell>
          <cell r="O594" t="str">
            <v>Y</v>
          </cell>
          <cell r="P594">
            <v>0.55000000000000004</v>
          </cell>
          <cell r="Q594">
            <v>0.55000000000000004</v>
          </cell>
          <cell r="R594" t="str">
            <v>시리즈 이용권 패키지</v>
          </cell>
          <cell r="S594">
            <v>9200</v>
          </cell>
          <cell r="T594">
            <v>-7400</v>
          </cell>
          <cell r="U594">
            <v>-7400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-7400</v>
          </cell>
          <cell r="AE594">
            <v>-7400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-4070</v>
          </cell>
          <cell r="AO594">
            <v>0</v>
          </cell>
          <cell r="AP594">
            <v>-4070</v>
          </cell>
          <cell r="AQ594" t="str">
            <v>스토리위즈</v>
          </cell>
          <cell r="AR594" t="str">
            <v>이준영</v>
          </cell>
        </row>
        <row r="595">
          <cell r="N595" t="str">
            <v>이준영</v>
          </cell>
          <cell r="O595" t="str">
            <v>Y</v>
          </cell>
          <cell r="P595">
            <v>0.55000000000000004</v>
          </cell>
          <cell r="Q595">
            <v>0.55000000000000004</v>
          </cell>
          <cell r="R595" t="str">
            <v>시리즈 이용권 패키지</v>
          </cell>
          <cell r="S595">
            <v>18000</v>
          </cell>
          <cell r="T595">
            <v>18000</v>
          </cell>
          <cell r="U595">
            <v>17300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700</v>
          </cell>
          <cell r="AD595">
            <v>18000</v>
          </cell>
          <cell r="AE595">
            <v>17300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700</v>
          </cell>
          <cell r="AN595">
            <v>9900</v>
          </cell>
          <cell r="AO595">
            <v>0</v>
          </cell>
          <cell r="AP595">
            <v>9900</v>
          </cell>
          <cell r="AQ595" t="str">
            <v>스토리위즈</v>
          </cell>
          <cell r="AR595" t="str">
            <v>이준영</v>
          </cell>
        </row>
        <row r="596">
          <cell r="N596" t="str">
            <v>하이후</v>
          </cell>
          <cell r="O596" t="str">
            <v>Y</v>
          </cell>
          <cell r="P596">
            <v>0.55000000000000004</v>
          </cell>
          <cell r="Q596">
            <v>0.55000000000000004</v>
          </cell>
          <cell r="R596" t="str">
            <v>단일 이용권</v>
          </cell>
          <cell r="S596">
            <v>100</v>
          </cell>
          <cell r="T596">
            <v>6800</v>
          </cell>
          <cell r="U596">
            <v>2700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200</v>
          </cell>
          <cell r="AA596">
            <v>0</v>
          </cell>
          <cell r="AB596">
            <v>0</v>
          </cell>
          <cell r="AC596">
            <v>3900</v>
          </cell>
          <cell r="AD596">
            <v>6820</v>
          </cell>
          <cell r="AE596">
            <v>2700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220</v>
          </cell>
          <cell r="AK596">
            <v>0</v>
          </cell>
          <cell r="AL596">
            <v>0</v>
          </cell>
          <cell r="AM596">
            <v>3900</v>
          </cell>
          <cell r="AN596">
            <v>3751</v>
          </cell>
          <cell r="AO596">
            <v>0</v>
          </cell>
          <cell r="AP596">
            <v>3751</v>
          </cell>
          <cell r="AQ596" t="str">
            <v>스토리위즈</v>
          </cell>
          <cell r="AR596" t="str">
            <v>하이후</v>
          </cell>
        </row>
        <row r="597">
          <cell r="N597" t="str">
            <v>하이후</v>
          </cell>
          <cell r="O597" t="str">
            <v>Y</v>
          </cell>
          <cell r="P597">
            <v>0.55000000000000004</v>
          </cell>
          <cell r="Q597">
            <v>0.55000000000000004</v>
          </cell>
          <cell r="R597" t="str">
            <v>시리즈 이용권 패키지</v>
          </cell>
          <cell r="S597">
            <v>2400</v>
          </cell>
          <cell r="T597">
            <v>4900</v>
          </cell>
          <cell r="U597">
            <v>800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4100</v>
          </cell>
          <cell r="AD597">
            <v>4900</v>
          </cell>
          <cell r="AE597">
            <v>800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4100</v>
          </cell>
          <cell r="AN597">
            <v>2695</v>
          </cell>
          <cell r="AO597">
            <v>0</v>
          </cell>
          <cell r="AP597">
            <v>2695</v>
          </cell>
          <cell r="AQ597" t="str">
            <v>스토리위즈</v>
          </cell>
          <cell r="AR597" t="str">
            <v>하이후</v>
          </cell>
        </row>
        <row r="598">
          <cell r="N598" t="str">
            <v>하이후</v>
          </cell>
          <cell r="O598" t="str">
            <v>Y</v>
          </cell>
          <cell r="P598">
            <v>0.55000000000000004</v>
          </cell>
          <cell r="Q598">
            <v>0.55000000000000004</v>
          </cell>
          <cell r="R598" t="str">
            <v>시리즈 이용권 패키지</v>
          </cell>
          <cell r="S598">
            <v>9200</v>
          </cell>
          <cell r="T598">
            <v>-3500</v>
          </cell>
          <cell r="U598">
            <v>-3500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-3500</v>
          </cell>
          <cell r="AE598">
            <v>-3500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-1925</v>
          </cell>
          <cell r="AO598">
            <v>0</v>
          </cell>
          <cell r="AP598">
            <v>-1925</v>
          </cell>
          <cell r="AQ598" t="str">
            <v>스토리위즈</v>
          </cell>
          <cell r="AR598" t="str">
            <v>하이후</v>
          </cell>
        </row>
        <row r="599">
          <cell r="N599" t="str">
            <v>예로나</v>
          </cell>
          <cell r="O599" t="str">
            <v>Y</v>
          </cell>
          <cell r="P599">
            <v>0.55000000000000004</v>
          </cell>
          <cell r="Q599">
            <v>0.55000000000000004</v>
          </cell>
          <cell r="R599" t="str">
            <v>단일 이용권</v>
          </cell>
          <cell r="S599">
            <v>100</v>
          </cell>
          <cell r="T599">
            <v>53500</v>
          </cell>
          <cell r="U599">
            <v>36700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1500</v>
          </cell>
          <cell r="AA599">
            <v>0</v>
          </cell>
          <cell r="AB599">
            <v>0</v>
          </cell>
          <cell r="AC599">
            <v>15300</v>
          </cell>
          <cell r="AD599">
            <v>53650</v>
          </cell>
          <cell r="AE599">
            <v>36700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1650</v>
          </cell>
          <cell r="AK599">
            <v>0</v>
          </cell>
          <cell r="AL599">
            <v>0</v>
          </cell>
          <cell r="AM599">
            <v>15300</v>
          </cell>
          <cell r="AN599">
            <v>29508</v>
          </cell>
          <cell r="AO599">
            <v>0</v>
          </cell>
          <cell r="AP599">
            <v>29508</v>
          </cell>
          <cell r="AQ599" t="str">
            <v>스토리위즈</v>
          </cell>
          <cell r="AR599" t="str">
            <v>예로나</v>
          </cell>
        </row>
        <row r="600">
          <cell r="N600" t="str">
            <v>예로나</v>
          </cell>
          <cell r="O600" t="str">
            <v>Y</v>
          </cell>
          <cell r="P600">
            <v>0.55000000000000004</v>
          </cell>
          <cell r="Q600">
            <v>0.55000000000000004</v>
          </cell>
          <cell r="R600" t="str">
            <v>시리즈 이용권 패키지</v>
          </cell>
          <cell r="S600">
            <v>2400</v>
          </cell>
          <cell r="T600">
            <v>125000</v>
          </cell>
          <cell r="U600">
            <v>94800</v>
          </cell>
          <cell r="V600">
            <v>0</v>
          </cell>
          <cell r="W600">
            <v>0</v>
          </cell>
          <cell r="X600">
            <v>0</v>
          </cell>
          <cell r="Y600">
            <v>1000</v>
          </cell>
          <cell r="Z600">
            <v>15800</v>
          </cell>
          <cell r="AA600">
            <v>0</v>
          </cell>
          <cell r="AB600">
            <v>0</v>
          </cell>
          <cell r="AC600">
            <v>13400</v>
          </cell>
          <cell r="AD600">
            <v>126780</v>
          </cell>
          <cell r="AE600">
            <v>94800</v>
          </cell>
          <cell r="AF600">
            <v>0</v>
          </cell>
          <cell r="AG600">
            <v>0</v>
          </cell>
          <cell r="AH600">
            <v>0</v>
          </cell>
          <cell r="AI600">
            <v>1200</v>
          </cell>
          <cell r="AJ600">
            <v>17380</v>
          </cell>
          <cell r="AK600">
            <v>0</v>
          </cell>
          <cell r="AL600">
            <v>0</v>
          </cell>
          <cell r="AM600">
            <v>13400</v>
          </cell>
          <cell r="AN600">
            <v>69729</v>
          </cell>
          <cell r="AO600">
            <v>0</v>
          </cell>
          <cell r="AP600">
            <v>69729</v>
          </cell>
          <cell r="AQ600" t="str">
            <v>스토리위즈</v>
          </cell>
          <cell r="AR600" t="str">
            <v>예로나</v>
          </cell>
        </row>
        <row r="601">
          <cell r="N601" t="str">
            <v>예로나</v>
          </cell>
          <cell r="O601" t="str">
            <v>Y</v>
          </cell>
          <cell r="P601">
            <v>0.55000000000000004</v>
          </cell>
          <cell r="Q601">
            <v>0.55000000000000004</v>
          </cell>
          <cell r="R601" t="str">
            <v>시리즈 이용권 패키지</v>
          </cell>
          <cell r="S601">
            <v>9200</v>
          </cell>
          <cell r="T601">
            <v>99800</v>
          </cell>
          <cell r="U601">
            <v>80700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9200</v>
          </cell>
          <cell r="AA601">
            <v>0</v>
          </cell>
          <cell r="AB601">
            <v>0</v>
          </cell>
          <cell r="AC601">
            <v>9900</v>
          </cell>
          <cell r="AD601">
            <v>100720</v>
          </cell>
          <cell r="AE601">
            <v>80700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10120</v>
          </cell>
          <cell r="AK601">
            <v>0</v>
          </cell>
          <cell r="AL601">
            <v>0</v>
          </cell>
          <cell r="AM601">
            <v>9900</v>
          </cell>
          <cell r="AN601">
            <v>55396</v>
          </cell>
          <cell r="AO601">
            <v>0</v>
          </cell>
          <cell r="AP601">
            <v>55396</v>
          </cell>
          <cell r="AQ601" t="str">
            <v>스토리위즈</v>
          </cell>
          <cell r="AR601" t="str">
            <v>예로나</v>
          </cell>
        </row>
        <row r="602">
          <cell r="N602" t="str">
            <v>예로나</v>
          </cell>
          <cell r="O602" t="str">
            <v>Y</v>
          </cell>
          <cell r="P602">
            <v>0.55000000000000004</v>
          </cell>
          <cell r="Q602">
            <v>0.55000000000000004</v>
          </cell>
          <cell r="R602" t="str">
            <v>시리즈 이용권 패키지</v>
          </cell>
          <cell r="S602">
            <v>18000</v>
          </cell>
          <cell r="T602">
            <v>27800</v>
          </cell>
          <cell r="U602">
            <v>28100</v>
          </cell>
          <cell r="V602">
            <v>0</v>
          </cell>
          <cell r="W602">
            <v>0</v>
          </cell>
          <cell r="X602">
            <v>0</v>
          </cell>
          <cell r="Y602">
            <v>-50</v>
          </cell>
          <cell r="Z602">
            <v>-650</v>
          </cell>
          <cell r="AA602">
            <v>0</v>
          </cell>
          <cell r="AB602">
            <v>0</v>
          </cell>
          <cell r="AC602">
            <v>400</v>
          </cell>
          <cell r="AD602">
            <v>27725</v>
          </cell>
          <cell r="AE602">
            <v>28100</v>
          </cell>
          <cell r="AF602">
            <v>0</v>
          </cell>
          <cell r="AG602">
            <v>0</v>
          </cell>
          <cell r="AH602">
            <v>0</v>
          </cell>
          <cell r="AI602">
            <v>-60</v>
          </cell>
          <cell r="AJ602">
            <v>-715</v>
          </cell>
          <cell r="AK602">
            <v>0</v>
          </cell>
          <cell r="AL602">
            <v>0</v>
          </cell>
          <cell r="AM602">
            <v>400</v>
          </cell>
          <cell r="AN602">
            <v>15249</v>
          </cell>
          <cell r="AO602">
            <v>0</v>
          </cell>
          <cell r="AP602">
            <v>15249</v>
          </cell>
          <cell r="AQ602" t="str">
            <v>스토리위즈</v>
          </cell>
          <cell r="AR602" t="str">
            <v>예로나</v>
          </cell>
        </row>
        <row r="603">
          <cell r="N603" t="str">
            <v>벗우</v>
          </cell>
          <cell r="O603" t="str">
            <v>Y</v>
          </cell>
          <cell r="P603">
            <v>0.55000000000000004</v>
          </cell>
          <cell r="Q603">
            <v>0.55000000000000004</v>
          </cell>
          <cell r="R603" t="str">
            <v>단일 이용권</v>
          </cell>
          <cell r="S603">
            <v>100</v>
          </cell>
          <cell r="T603">
            <v>600</v>
          </cell>
          <cell r="U603">
            <v>300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300</v>
          </cell>
          <cell r="AD603">
            <v>600</v>
          </cell>
          <cell r="AE603">
            <v>300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300</v>
          </cell>
          <cell r="AN603">
            <v>330</v>
          </cell>
          <cell r="AO603">
            <v>0</v>
          </cell>
          <cell r="AP603">
            <v>330</v>
          </cell>
          <cell r="AQ603" t="str">
            <v>스토리위즈</v>
          </cell>
          <cell r="AR603" t="str">
            <v>벗우</v>
          </cell>
        </row>
        <row r="604">
          <cell r="N604" t="str">
            <v>벗우</v>
          </cell>
          <cell r="O604" t="str">
            <v>Y</v>
          </cell>
          <cell r="P604">
            <v>0.55000000000000004</v>
          </cell>
          <cell r="Q604">
            <v>0.55000000000000004</v>
          </cell>
          <cell r="R604" t="str">
            <v>시리즈 이용권 패키지</v>
          </cell>
          <cell r="S604">
            <v>2400</v>
          </cell>
          <cell r="T604">
            <v>7200</v>
          </cell>
          <cell r="U604">
            <v>7200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7200</v>
          </cell>
          <cell r="AE604">
            <v>7200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3960</v>
          </cell>
          <cell r="AO604">
            <v>0</v>
          </cell>
          <cell r="AP604">
            <v>3960</v>
          </cell>
          <cell r="AQ604" t="str">
            <v>스토리위즈</v>
          </cell>
          <cell r="AR604" t="str">
            <v>벗우</v>
          </cell>
        </row>
        <row r="605">
          <cell r="N605" t="str">
            <v>벗우</v>
          </cell>
          <cell r="O605" t="str">
            <v>Y</v>
          </cell>
          <cell r="P605">
            <v>0.55000000000000004</v>
          </cell>
          <cell r="Q605">
            <v>0.55000000000000004</v>
          </cell>
          <cell r="R605" t="str">
            <v>시리즈 이용권 패키지</v>
          </cell>
          <cell r="S605">
            <v>9200</v>
          </cell>
          <cell r="T605">
            <v>26500</v>
          </cell>
          <cell r="U605">
            <v>26500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26500</v>
          </cell>
          <cell r="AE605">
            <v>26500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14575</v>
          </cell>
          <cell r="AO605">
            <v>0</v>
          </cell>
          <cell r="AP605">
            <v>14575</v>
          </cell>
          <cell r="AQ605" t="str">
            <v>스토리위즈</v>
          </cell>
          <cell r="AR605" t="str">
            <v>벗우</v>
          </cell>
        </row>
        <row r="606">
          <cell r="N606" t="str">
            <v>무장</v>
          </cell>
          <cell r="O606" t="str">
            <v>Y</v>
          </cell>
          <cell r="P606">
            <v>0.55000000000000004</v>
          </cell>
          <cell r="Q606">
            <v>0.55000000000000004</v>
          </cell>
          <cell r="R606" t="str">
            <v>단일 이용권</v>
          </cell>
          <cell r="S606">
            <v>100</v>
          </cell>
          <cell r="T606">
            <v>2069800</v>
          </cell>
          <cell r="U606">
            <v>592440</v>
          </cell>
          <cell r="V606">
            <v>0</v>
          </cell>
          <cell r="W606">
            <v>0</v>
          </cell>
          <cell r="X606">
            <v>0</v>
          </cell>
          <cell r="Y606">
            <v>12080</v>
          </cell>
          <cell r="Z606">
            <v>21600</v>
          </cell>
          <cell r="AA606">
            <v>0</v>
          </cell>
          <cell r="AB606">
            <v>0</v>
          </cell>
          <cell r="AC606">
            <v>1443680</v>
          </cell>
          <cell r="AD606">
            <v>2074376</v>
          </cell>
          <cell r="AE606">
            <v>592440</v>
          </cell>
          <cell r="AF606">
            <v>0</v>
          </cell>
          <cell r="AG606">
            <v>0</v>
          </cell>
          <cell r="AH606">
            <v>0</v>
          </cell>
          <cell r="AI606">
            <v>14496</v>
          </cell>
          <cell r="AJ606">
            <v>23760</v>
          </cell>
          <cell r="AK606">
            <v>0</v>
          </cell>
          <cell r="AL606">
            <v>0</v>
          </cell>
          <cell r="AM606">
            <v>1443680</v>
          </cell>
          <cell r="AN606">
            <v>1140907</v>
          </cell>
          <cell r="AO606">
            <v>0</v>
          </cell>
          <cell r="AP606">
            <v>1140907</v>
          </cell>
          <cell r="AQ606" t="str">
            <v>스토리위즈</v>
          </cell>
          <cell r="AR606" t="str">
            <v>무장</v>
          </cell>
        </row>
        <row r="607">
          <cell r="N607" t="str">
            <v>무장</v>
          </cell>
          <cell r="O607" t="str">
            <v>Y</v>
          </cell>
          <cell r="P607">
            <v>0.55000000000000004</v>
          </cell>
          <cell r="Q607">
            <v>0.55000000000000004</v>
          </cell>
          <cell r="R607" t="str">
            <v>시리즈 이용권 패키지</v>
          </cell>
          <cell r="S607">
            <v>2400</v>
          </cell>
          <cell r="T607">
            <v>2291000</v>
          </cell>
          <cell r="U607">
            <v>1627280</v>
          </cell>
          <cell r="V607">
            <v>0</v>
          </cell>
          <cell r="W607">
            <v>0</v>
          </cell>
          <cell r="X607">
            <v>-1900</v>
          </cell>
          <cell r="Y607">
            <v>680</v>
          </cell>
          <cell r="Z607">
            <v>84920</v>
          </cell>
          <cell r="AA607">
            <v>-300</v>
          </cell>
          <cell r="AB607">
            <v>0</v>
          </cell>
          <cell r="AC607">
            <v>580320</v>
          </cell>
          <cell r="AD607">
            <v>2298782.8276999998</v>
          </cell>
          <cell r="AE607">
            <v>1627280</v>
          </cell>
          <cell r="AF607">
            <v>0</v>
          </cell>
          <cell r="AG607">
            <v>0</v>
          </cell>
          <cell r="AH607">
            <v>-2629.9214999999999</v>
          </cell>
          <cell r="AI607">
            <v>816</v>
          </cell>
          <cell r="AJ607">
            <v>93412</v>
          </cell>
          <cell r="AK607">
            <v>-415.25080000000003</v>
          </cell>
          <cell r="AL607">
            <v>0</v>
          </cell>
          <cell r="AM607">
            <v>580320</v>
          </cell>
          <cell r="AN607">
            <v>1264331</v>
          </cell>
          <cell r="AO607">
            <v>0</v>
          </cell>
          <cell r="AP607">
            <v>1264331</v>
          </cell>
          <cell r="AQ607" t="str">
            <v>스토리위즈</v>
          </cell>
          <cell r="AR607" t="str">
            <v>무장</v>
          </cell>
        </row>
        <row r="608">
          <cell r="N608" t="str">
            <v>무장</v>
          </cell>
          <cell r="O608" t="str">
            <v>Y</v>
          </cell>
          <cell r="P608">
            <v>0.55000000000000004</v>
          </cell>
          <cell r="Q608">
            <v>0.55000000000000004</v>
          </cell>
          <cell r="R608" t="str">
            <v>시리즈 이용권 패키지</v>
          </cell>
          <cell r="S608">
            <v>9200</v>
          </cell>
          <cell r="T608">
            <v>2512300</v>
          </cell>
          <cell r="U608">
            <v>2181600</v>
          </cell>
          <cell r="V608">
            <v>0</v>
          </cell>
          <cell r="W608">
            <v>0</v>
          </cell>
          <cell r="X608">
            <v>0</v>
          </cell>
          <cell r="Y608">
            <v>-3000</v>
          </cell>
          <cell r="Z608">
            <v>146400</v>
          </cell>
          <cell r="AA608">
            <v>0</v>
          </cell>
          <cell r="AB608">
            <v>0</v>
          </cell>
          <cell r="AC608">
            <v>187300</v>
          </cell>
          <cell r="AD608">
            <v>2526340</v>
          </cell>
          <cell r="AE608">
            <v>2181600</v>
          </cell>
          <cell r="AF608">
            <v>0</v>
          </cell>
          <cell r="AG608">
            <v>0</v>
          </cell>
          <cell r="AH608">
            <v>0</v>
          </cell>
          <cell r="AI608">
            <v>-3600</v>
          </cell>
          <cell r="AJ608">
            <v>161040</v>
          </cell>
          <cell r="AK608">
            <v>0</v>
          </cell>
          <cell r="AL608">
            <v>0</v>
          </cell>
          <cell r="AM608">
            <v>187300</v>
          </cell>
          <cell r="AN608">
            <v>1389487</v>
          </cell>
          <cell r="AO608">
            <v>0</v>
          </cell>
          <cell r="AP608">
            <v>1389487</v>
          </cell>
          <cell r="AQ608" t="str">
            <v>스토리위즈</v>
          </cell>
          <cell r="AR608" t="str">
            <v>무장</v>
          </cell>
        </row>
        <row r="609">
          <cell r="N609" t="str">
            <v>무장</v>
          </cell>
          <cell r="O609" t="str">
            <v>Y</v>
          </cell>
          <cell r="P609">
            <v>0.55000000000000004</v>
          </cell>
          <cell r="Q609">
            <v>0.55000000000000004</v>
          </cell>
          <cell r="R609" t="str">
            <v>시리즈 이용권 패키지</v>
          </cell>
          <cell r="S609">
            <v>18000</v>
          </cell>
          <cell r="T609">
            <v>1540900</v>
          </cell>
          <cell r="U609">
            <v>1417800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36000</v>
          </cell>
          <cell r="AA609">
            <v>0</v>
          </cell>
          <cell r="AB609">
            <v>0</v>
          </cell>
          <cell r="AC609">
            <v>87100</v>
          </cell>
          <cell r="AD609">
            <v>1544500</v>
          </cell>
          <cell r="AE609">
            <v>1417800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39600</v>
          </cell>
          <cell r="AK609">
            <v>0</v>
          </cell>
          <cell r="AL609">
            <v>0</v>
          </cell>
          <cell r="AM609">
            <v>87100</v>
          </cell>
          <cell r="AN609">
            <v>849475</v>
          </cell>
          <cell r="AO609">
            <v>0</v>
          </cell>
          <cell r="AP609">
            <v>849475</v>
          </cell>
          <cell r="AQ609" t="str">
            <v>스토리위즈</v>
          </cell>
          <cell r="AR609" t="str">
            <v>무장</v>
          </cell>
        </row>
        <row r="610">
          <cell r="N610" t="str">
            <v>찬동</v>
          </cell>
          <cell r="O610" t="str">
            <v>Y</v>
          </cell>
          <cell r="P610">
            <v>0.55000000000000004</v>
          </cell>
          <cell r="Q610">
            <v>0.55000000000000004</v>
          </cell>
          <cell r="R610" t="str">
            <v>단일 이용권</v>
          </cell>
          <cell r="S610">
            <v>3200</v>
          </cell>
          <cell r="T610">
            <v>19200</v>
          </cell>
          <cell r="U610">
            <v>19200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19200</v>
          </cell>
          <cell r="AE610">
            <v>19200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10560</v>
          </cell>
          <cell r="AO610">
            <v>0</v>
          </cell>
          <cell r="AP610">
            <v>10560</v>
          </cell>
          <cell r="AQ610" t="str">
            <v>스토리위즈</v>
          </cell>
          <cell r="AR610" t="str">
            <v>찬동</v>
          </cell>
        </row>
        <row r="611">
          <cell r="N611" t="str">
            <v>무장</v>
          </cell>
          <cell r="O611" t="str">
            <v>Y</v>
          </cell>
          <cell r="P611">
            <v>0.55000000000000004</v>
          </cell>
          <cell r="Q611">
            <v>0.55000000000000004</v>
          </cell>
          <cell r="R611" t="str">
            <v>단일 이용권</v>
          </cell>
          <cell r="S611">
            <v>3200</v>
          </cell>
          <cell r="T611">
            <v>444800</v>
          </cell>
          <cell r="U611">
            <v>406680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6400</v>
          </cell>
          <cell r="AA611">
            <v>0</v>
          </cell>
          <cell r="AB611">
            <v>0</v>
          </cell>
          <cell r="AC611">
            <v>31720</v>
          </cell>
          <cell r="AD611">
            <v>445440</v>
          </cell>
          <cell r="AE611">
            <v>406680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7040</v>
          </cell>
          <cell r="AK611">
            <v>0</v>
          </cell>
          <cell r="AL611">
            <v>0</v>
          </cell>
          <cell r="AM611">
            <v>31720</v>
          </cell>
          <cell r="AN611">
            <v>244992</v>
          </cell>
          <cell r="AO611">
            <v>0</v>
          </cell>
          <cell r="AP611">
            <v>244992</v>
          </cell>
          <cell r="AQ611" t="str">
            <v>스토리위즈</v>
          </cell>
          <cell r="AR611" t="str">
            <v>무장</v>
          </cell>
        </row>
        <row r="612">
          <cell r="N612" t="str">
            <v>무장</v>
          </cell>
          <cell r="O612" t="str">
            <v>Y</v>
          </cell>
          <cell r="P612">
            <v>0.55000000000000004</v>
          </cell>
          <cell r="Q612">
            <v>0.55000000000000004</v>
          </cell>
          <cell r="R612" t="str">
            <v>시리즈 이용권 패키지</v>
          </cell>
          <cell r="S612">
            <v>44800</v>
          </cell>
          <cell r="T612">
            <v>89600</v>
          </cell>
          <cell r="U612">
            <v>89600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89600</v>
          </cell>
          <cell r="AE612">
            <v>89600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49280</v>
          </cell>
          <cell r="AO612">
            <v>0</v>
          </cell>
          <cell r="AP612">
            <v>49280</v>
          </cell>
          <cell r="AQ612" t="str">
            <v>스토리위즈</v>
          </cell>
          <cell r="AR612" t="str">
            <v>무장</v>
          </cell>
        </row>
        <row r="613">
          <cell r="N613" t="str">
            <v>갓띵작</v>
          </cell>
          <cell r="O613" t="str">
            <v>Y</v>
          </cell>
          <cell r="P613">
            <v>0.55000000000000004</v>
          </cell>
          <cell r="Q613">
            <v>0.55000000000000004</v>
          </cell>
          <cell r="R613" t="str">
            <v>단일 이용권</v>
          </cell>
          <cell r="S613">
            <v>100</v>
          </cell>
          <cell r="T613">
            <v>41400</v>
          </cell>
          <cell r="U613">
            <v>7500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33900</v>
          </cell>
          <cell r="AD613">
            <v>41400</v>
          </cell>
          <cell r="AE613">
            <v>7500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33900</v>
          </cell>
          <cell r="AN613">
            <v>22770</v>
          </cell>
          <cell r="AO613">
            <v>0</v>
          </cell>
          <cell r="AP613">
            <v>22770</v>
          </cell>
          <cell r="AQ613" t="str">
            <v>스토리위즈</v>
          </cell>
          <cell r="AR613" t="str">
            <v>갓띵작</v>
          </cell>
        </row>
        <row r="614">
          <cell r="N614" t="str">
            <v>갓띵작</v>
          </cell>
          <cell r="O614" t="str">
            <v>Y</v>
          </cell>
          <cell r="P614">
            <v>0.55000000000000004</v>
          </cell>
          <cell r="Q614">
            <v>0.55000000000000004</v>
          </cell>
          <cell r="R614" t="str">
            <v>시리즈 이용권 패키지</v>
          </cell>
          <cell r="S614">
            <v>2400</v>
          </cell>
          <cell r="T614">
            <v>9900</v>
          </cell>
          <cell r="U614">
            <v>100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9800</v>
          </cell>
          <cell r="AD614">
            <v>9900</v>
          </cell>
          <cell r="AE614">
            <v>100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9800</v>
          </cell>
          <cell r="AN614">
            <v>5445</v>
          </cell>
          <cell r="AO614">
            <v>0</v>
          </cell>
          <cell r="AP614">
            <v>5445</v>
          </cell>
          <cell r="AQ614" t="str">
            <v>스토리위즈</v>
          </cell>
          <cell r="AR614" t="str">
            <v>갓띵작</v>
          </cell>
        </row>
        <row r="615">
          <cell r="N615" t="str">
            <v>갓띵작</v>
          </cell>
          <cell r="O615" t="str">
            <v>Y</v>
          </cell>
          <cell r="P615">
            <v>0.55000000000000004</v>
          </cell>
          <cell r="Q615">
            <v>0.55000000000000004</v>
          </cell>
          <cell r="R615" t="str">
            <v>시리즈 이용권 패키지</v>
          </cell>
          <cell r="S615">
            <v>4700</v>
          </cell>
          <cell r="T615">
            <v>30300</v>
          </cell>
          <cell r="U615">
            <v>25900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4400</v>
          </cell>
          <cell r="AD615">
            <v>30300</v>
          </cell>
          <cell r="AE615">
            <v>25900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4400</v>
          </cell>
          <cell r="AN615">
            <v>16665</v>
          </cell>
          <cell r="AO615">
            <v>0</v>
          </cell>
          <cell r="AP615">
            <v>16665</v>
          </cell>
          <cell r="AQ615" t="str">
            <v>스토리위즈</v>
          </cell>
          <cell r="AR615" t="str">
            <v>갓띵작</v>
          </cell>
        </row>
        <row r="616">
          <cell r="N616" t="str">
            <v>갓띵작</v>
          </cell>
          <cell r="O616" t="str">
            <v>Y</v>
          </cell>
          <cell r="P616">
            <v>0.55000000000000004</v>
          </cell>
          <cell r="Q616">
            <v>0.55000000000000004</v>
          </cell>
          <cell r="R616" t="str">
            <v>시리즈 이용권 패키지</v>
          </cell>
          <cell r="S616">
            <v>9200</v>
          </cell>
          <cell r="T616">
            <v>18300</v>
          </cell>
          <cell r="U616">
            <v>18300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18300</v>
          </cell>
          <cell r="AE616">
            <v>18300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10065</v>
          </cell>
          <cell r="AO616">
            <v>0</v>
          </cell>
          <cell r="AP616">
            <v>10065</v>
          </cell>
          <cell r="AQ616" t="str">
            <v>스토리위즈</v>
          </cell>
          <cell r="AR616" t="str">
            <v>갓띵작</v>
          </cell>
        </row>
        <row r="617">
          <cell r="N617" t="str">
            <v>이한애비</v>
          </cell>
          <cell r="O617" t="str">
            <v>Y</v>
          </cell>
          <cell r="P617">
            <v>0.55000000000000004</v>
          </cell>
          <cell r="Q617">
            <v>0.55000000000000004</v>
          </cell>
          <cell r="R617" t="str">
            <v>단일 이용권</v>
          </cell>
          <cell r="S617">
            <v>100</v>
          </cell>
          <cell r="T617">
            <v>27600</v>
          </cell>
          <cell r="U617">
            <v>7400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20200</v>
          </cell>
          <cell r="AD617">
            <v>27600</v>
          </cell>
          <cell r="AE617">
            <v>7400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20200</v>
          </cell>
          <cell r="AN617">
            <v>15180</v>
          </cell>
          <cell r="AO617">
            <v>0</v>
          </cell>
          <cell r="AP617">
            <v>15180</v>
          </cell>
          <cell r="AQ617" t="str">
            <v>스토리위즈</v>
          </cell>
          <cell r="AR617" t="str">
            <v>이한애비</v>
          </cell>
        </row>
        <row r="618">
          <cell r="N618" t="str">
            <v>이한애비</v>
          </cell>
          <cell r="O618" t="str">
            <v>Y</v>
          </cell>
          <cell r="P618">
            <v>0.55000000000000004</v>
          </cell>
          <cell r="Q618">
            <v>0.55000000000000004</v>
          </cell>
          <cell r="R618" t="str">
            <v>시리즈 이용권 패키지</v>
          </cell>
          <cell r="S618">
            <v>2400</v>
          </cell>
          <cell r="T618">
            <v>9300</v>
          </cell>
          <cell r="U618">
            <v>4500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4800</v>
          </cell>
          <cell r="AD618">
            <v>9300</v>
          </cell>
          <cell r="AE618">
            <v>4500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4800</v>
          </cell>
          <cell r="AN618">
            <v>5115</v>
          </cell>
          <cell r="AO618">
            <v>0</v>
          </cell>
          <cell r="AP618">
            <v>5115</v>
          </cell>
          <cell r="AQ618" t="str">
            <v>스토리위즈</v>
          </cell>
          <cell r="AR618" t="str">
            <v>이한애비</v>
          </cell>
        </row>
        <row r="619">
          <cell r="N619" t="str">
            <v>이한애비</v>
          </cell>
          <cell r="O619" t="str">
            <v>Y</v>
          </cell>
          <cell r="P619">
            <v>0.55000000000000004</v>
          </cell>
          <cell r="Q619">
            <v>0.55000000000000004</v>
          </cell>
          <cell r="R619" t="str">
            <v>시리즈 이용권 패키지</v>
          </cell>
          <cell r="S619">
            <v>4700</v>
          </cell>
          <cell r="T619">
            <v>10900</v>
          </cell>
          <cell r="U619">
            <v>10900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10900</v>
          </cell>
          <cell r="AE619">
            <v>10900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5995</v>
          </cell>
          <cell r="AO619">
            <v>0</v>
          </cell>
          <cell r="AP619">
            <v>5995</v>
          </cell>
          <cell r="AQ619" t="str">
            <v>스토리위즈</v>
          </cell>
          <cell r="AR619" t="str">
            <v>이한애비</v>
          </cell>
        </row>
        <row r="620">
          <cell r="N620" t="str">
            <v>이한애비</v>
          </cell>
          <cell r="O620" t="str">
            <v>Y</v>
          </cell>
          <cell r="P620">
            <v>0.55000000000000004</v>
          </cell>
          <cell r="Q620">
            <v>0.55000000000000004</v>
          </cell>
          <cell r="R620" t="str">
            <v>시리즈 이용권 패키지</v>
          </cell>
          <cell r="S620">
            <v>9200</v>
          </cell>
          <cell r="T620">
            <v>21900</v>
          </cell>
          <cell r="U620">
            <v>21500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400</v>
          </cell>
          <cell r="AD620">
            <v>21900</v>
          </cell>
          <cell r="AE620">
            <v>21500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400</v>
          </cell>
          <cell r="AN620">
            <v>12045</v>
          </cell>
          <cell r="AO620">
            <v>0</v>
          </cell>
          <cell r="AP620">
            <v>12045</v>
          </cell>
          <cell r="AQ620" t="str">
            <v>스토리위즈</v>
          </cell>
          <cell r="AR620" t="str">
            <v>이한애비</v>
          </cell>
        </row>
        <row r="621">
          <cell r="N621" t="str">
            <v>공든탑</v>
          </cell>
          <cell r="O621" t="str">
            <v>Y</v>
          </cell>
          <cell r="P621">
            <v>0.55000000000000004</v>
          </cell>
          <cell r="Q621">
            <v>0.55000000000000004</v>
          </cell>
          <cell r="R621" t="str">
            <v>단일 이용권</v>
          </cell>
          <cell r="S621">
            <v>3200</v>
          </cell>
          <cell r="T621">
            <v>25600</v>
          </cell>
          <cell r="U621">
            <v>24000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1600</v>
          </cell>
          <cell r="AD621">
            <v>25600</v>
          </cell>
          <cell r="AE621">
            <v>24000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1600</v>
          </cell>
          <cell r="AN621">
            <v>14080</v>
          </cell>
          <cell r="AO621">
            <v>0</v>
          </cell>
          <cell r="AP621">
            <v>14080</v>
          </cell>
          <cell r="AQ621" t="str">
            <v>스토리위즈</v>
          </cell>
          <cell r="AR621" t="str">
            <v>공든탑</v>
          </cell>
        </row>
        <row r="622">
          <cell r="N622" t="str">
            <v>공든탑</v>
          </cell>
          <cell r="O622" t="str">
            <v>Y</v>
          </cell>
          <cell r="P622">
            <v>0.55000000000000004</v>
          </cell>
          <cell r="Q622">
            <v>0.55000000000000004</v>
          </cell>
          <cell r="R622" t="str">
            <v>단일 대여 이용권</v>
          </cell>
          <cell r="S622">
            <v>900</v>
          </cell>
          <cell r="T622">
            <v>900</v>
          </cell>
          <cell r="U622">
            <v>900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900</v>
          </cell>
          <cell r="AE622">
            <v>900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495</v>
          </cell>
          <cell r="AO622">
            <v>0</v>
          </cell>
          <cell r="AP622">
            <v>495</v>
          </cell>
          <cell r="AQ622" t="str">
            <v>스토리위즈</v>
          </cell>
          <cell r="AR622" t="str">
            <v>공든탑</v>
          </cell>
        </row>
        <row r="623">
          <cell r="N623" t="str">
            <v>공든탑</v>
          </cell>
          <cell r="O623" t="str">
            <v>Y</v>
          </cell>
          <cell r="P623">
            <v>0.55000000000000004</v>
          </cell>
          <cell r="Q623">
            <v>0.55000000000000004</v>
          </cell>
          <cell r="R623" t="str">
            <v>시리즈 대여 이용권 패키지</v>
          </cell>
          <cell r="S623">
            <v>7200</v>
          </cell>
          <cell r="T623">
            <v>-900</v>
          </cell>
          <cell r="U623">
            <v>-900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-900</v>
          </cell>
          <cell r="AE623">
            <v>-900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-495</v>
          </cell>
          <cell r="AO623">
            <v>0</v>
          </cell>
          <cell r="AP623">
            <v>-495</v>
          </cell>
          <cell r="AQ623" t="str">
            <v>스토리위즈</v>
          </cell>
          <cell r="AR623" t="str">
            <v>공든탑</v>
          </cell>
        </row>
        <row r="624">
          <cell r="N624" t="str">
            <v>구유</v>
          </cell>
          <cell r="O624" t="str">
            <v>Y</v>
          </cell>
          <cell r="P624">
            <v>0.55000000000000004</v>
          </cell>
          <cell r="Q624">
            <v>0.55000000000000004</v>
          </cell>
          <cell r="R624" t="str">
            <v>단일 이용권</v>
          </cell>
          <cell r="S624">
            <v>3200</v>
          </cell>
          <cell r="T624">
            <v>38400</v>
          </cell>
          <cell r="U624">
            <v>32000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6400</v>
          </cell>
          <cell r="AD624">
            <v>38400</v>
          </cell>
          <cell r="AE624">
            <v>32000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6400</v>
          </cell>
          <cell r="AN624">
            <v>21120</v>
          </cell>
          <cell r="AO624">
            <v>0</v>
          </cell>
          <cell r="AP624">
            <v>21120</v>
          </cell>
          <cell r="AQ624" t="str">
            <v>스토리위즈</v>
          </cell>
          <cell r="AR624" t="str">
            <v>구유</v>
          </cell>
        </row>
        <row r="625">
          <cell r="N625" t="str">
            <v>루이세</v>
          </cell>
          <cell r="O625" t="str">
            <v>Y</v>
          </cell>
          <cell r="P625">
            <v>0.55000000000000004</v>
          </cell>
          <cell r="Q625">
            <v>0.55000000000000004</v>
          </cell>
          <cell r="R625" t="str">
            <v>단일 이용권</v>
          </cell>
          <cell r="S625">
            <v>3200</v>
          </cell>
          <cell r="T625">
            <v>51200</v>
          </cell>
          <cell r="U625">
            <v>33900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17300</v>
          </cell>
          <cell r="AD625">
            <v>51200</v>
          </cell>
          <cell r="AE625">
            <v>33900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17300</v>
          </cell>
          <cell r="AN625">
            <v>28160</v>
          </cell>
          <cell r="AO625">
            <v>0</v>
          </cell>
          <cell r="AP625">
            <v>28160</v>
          </cell>
          <cell r="AQ625" t="str">
            <v>스토리위즈</v>
          </cell>
          <cell r="AR625" t="str">
            <v>루이세</v>
          </cell>
        </row>
        <row r="626">
          <cell r="N626" t="str">
            <v>무장</v>
          </cell>
          <cell r="O626" t="str">
            <v>Y</v>
          </cell>
          <cell r="P626">
            <v>0.55000000000000004</v>
          </cell>
          <cell r="Q626">
            <v>0.55000000000000004</v>
          </cell>
          <cell r="R626" t="str">
            <v>단일 이용권</v>
          </cell>
          <cell r="S626">
            <v>3200</v>
          </cell>
          <cell r="T626">
            <v>89600</v>
          </cell>
          <cell r="U626">
            <v>76800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12800</v>
          </cell>
          <cell r="AD626">
            <v>89600</v>
          </cell>
          <cell r="AE626">
            <v>76800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12800</v>
          </cell>
          <cell r="AN626">
            <v>49280</v>
          </cell>
          <cell r="AO626">
            <v>0</v>
          </cell>
          <cell r="AP626">
            <v>49280</v>
          </cell>
          <cell r="AQ626" t="str">
            <v>스토리위즈</v>
          </cell>
          <cell r="AR626" t="str">
            <v>무장</v>
          </cell>
        </row>
        <row r="627">
          <cell r="N627" t="str">
            <v>무장</v>
          </cell>
          <cell r="O627" t="str">
            <v>Y</v>
          </cell>
          <cell r="P627">
            <v>0.55000000000000004</v>
          </cell>
          <cell r="Q627">
            <v>0.55000000000000004</v>
          </cell>
          <cell r="R627" t="str">
            <v>단일 대여 이용권</v>
          </cell>
          <cell r="S627">
            <v>900</v>
          </cell>
          <cell r="T627">
            <v>45900</v>
          </cell>
          <cell r="U627">
            <v>17900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28000</v>
          </cell>
          <cell r="AD627">
            <v>45900</v>
          </cell>
          <cell r="AE627">
            <v>17900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28000</v>
          </cell>
          <cell r="AN627">
            <v>25245</v>
          </cell>
          <cell r="AO627">
            <v>0</v>
          </cell>
          <cell r="AP627">
            <v>25245</v>
          </cell>
          <cell r="AQ627" t="str">
            <v>스토리위즈</v>
          </cell>
          <cell r="AR627" t="str">
            <v>무장</v>
          </cell>
        </row>
        <row r="628">
          <cell r="N628" t="str">
            <v>무장</v>
          </cell>
          <cell r="O628" t="str">
            <v>Y</v>
          </cell>
          <cell r="P628">
            <v>0.55000000000000004</v>
          </cell>
          <cell r="Q628">
            <v>0.55000000000000004</v>
          </cell>
          <cell r="R628" t="str">
            <v>시리즈 대여 이용권 패키지</v>
          </cell>
          <cell r="S628">
            <v>10800</v>
          </cell>
          <cell r="T628">
            <v>10800</v>
          </cell>
          <cell r="U628">
            <v>10800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10800</v>
          </cell>
          <cell r="AE628">
            <v>10800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5940</v>
          </cell>
          <cell r="AO628">
            <v>0</v>
          </cell>
          <cell r="AP628">
            <v>5940</v>
          </cell>
          <cell r="AQ628" t="str">
            <v>스토리위즈</v>
          </cell>
          <cell r="AR628" t="str">
            <v>무장</v>
          </cell>
        </row>
        <row r="629">
          <cell r="N629" t="str">
            <v>예로나</v>
          </cell>
          <cell r="O629" t="str">
            <v>Y</v>
          </cell>
          <cell r="P629">
            <v>0.55000000000000004</v>
          </cell>
          <cell r="Q629">
            <v>0.55000000000000004</v>
          </cell>
          <cell r="R629" t="str">
            <v>단일 이용권</v>
          </cell>
          <cell r="S629">
            <v>3200</v>
          </cell>
          <cell r="T629">
            <v>224000</v>
          </cell>
          <cell r="U629">
            <v>212600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11400</v>
          </cell>
          <cell r="AD629">
            <v>224000</v>
          </cell>
          <cell r="AE629">
            <v>212600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11400</v>
          </cell>
          <cell r="AN629">
            <v>123200</v>
          </cell>
          <cell r="AO629">
            <v>0</v>
          </cell>
          <cell r="AP629">
            <v>123200</v>
          </cell>
          <cell r="AQ629" t="str">
            <v>스토리위즈</v>
          </cell>
          <cell r="AR629" t="str">
            <v>예로나</v>
          </cell>
        </row>
        <row r="630">
          <cell r="N630" t="str">
            <v>이동열</v>
          </cell>
          <cell r="O630" t="str">
            <v>Y</v>
          </cell>
          <cell r="P630">
            <v>0.55000000000000004</v>
          </cell>
          <cell r="Q630">
            <v>0.55000000000000004</v>
          </cell>
          <cell r="R630" t="str">
            <v>단일 이용권</v>
          </cell>
          <cell r="S630">
            <v>3200</v>
          </cell>
          <cell r="T630">
            <v>25600</v>
          </cell>
          <cell r="U630">
            <v>25600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25600</v>
          </cell>
          <cell r="AE630">
            <v>25600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14080</v>
          </cell>
          <cell r="AO630">
            <v>0</v>
          </cell>
          <cell r="AP630">
            <v>14080</v>
          </cell>
          <cell r="AQ630" t="str">
            <v>스토리위즈</v>
          </cell>
          <cell r="AR630" t="str">
            <v>이동열</v>
          </cell>
        </row>
        <row r="631">
          <cell r="N631" t="str">
            <v>이동열</v>
          </cell>
          <cell r="O631" t="str">
            <v>Y</v>
          </cell>
          <cell r="P631">
            <v>0.55000000000000004</v>
          </cell>
          <cell r="Q631">
            <v>0.55000000000000004</v>
          </cell>
          <cell r="R631" t="str">
            <v>단일 이용권</v>
          </cell>
          <cell r="S631">
            <v>3200</v>
          </cell>
          <cell r="T631">
            <v>44800</v>
          </cell>
          <cell r="U631">
            <v>37000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7800</v>
          </cell>
          <cell r="AD631">
            <v>44800</v>
          </cell>
          <cell r="AE631">
            <v>37000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7800</v>
          </cell>
          <cell r="AN631">
            <v>24640</v>
          </cell>
          <cell r="AO631">
            <v>0</v>
          </cell>
          <cell r="AP631">
            <v>24640</v>
          </cell>
          <cell r="AQ631" t="str">
            <v>스토리위즈</v>
          </cell>
          <cell r="AR631" t="str">
            <v>이동열</v>
          </cell>
        </row>
        <row r="632">
          <cell r="N632" t="str">
            <v>이린비</v>
          </cell>
          <cell r="O632" t="str">
            <v>Y</v>
          </cell>
          <cell r="P632">
            <v>0.55000000000000004</v>
          </cell>
          <cell r="Q632">
            <v>0.55000000000000004</v>
          </cell>
          <cell r="R632" t="str">
            <v>단일 이용권</v>
          </cell>
          <cell r="S632">
            <v>3500</v>
          </cell>
          <cell r="T632">
            <v>17500</v>
          </cell>
          <cell r="U632">
            <v>16700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800</v>
          </cell>
          <cell r="AD632">
            <v>17500</v>
          </cell>
          <cell r="AE632">
            <v>16700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800</v>
          </cell>
          <cell r="AN632">
            <v>9625</v>
          </cell>
          <cell r="AO632">
            <v>0</v>
          </cell>
          <cell r="AP632">
            <v>9625</v>
          </cell>
          <cell r="AQ632" t="str">
            <v>스토리위즈</v>
          </cell>
          <cell r="AR632" t="str">
            <v>이린비</v>
          </cell>
        </row>
        <row r="633">
          <cell r="N633" t="str">
            <v>이린비</v>
          </cell>
          <cell r="O633" t="str">
            <v>Y</v>
          </cell>
          <cell r="P633">
            <v>0.55000000000000004</v>
          </cell>
          <cell r="Q633">
            <v>0.55000000000000004</v>
          </cell>
          <cell r="R633" t="str">
            <v>시리즈 이용권 패키지</v>
          </cell>
          <cell r="S633">
            <v>17500</v>
          </cell>
          <cell r="T633">
            <v>17500</v>
          </cell>
          <cell r="U633">
            <v>17500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17500</v>
          </cell>
          <cell r="AE633">
            <v>17500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9625</v>
          </cell>
          <cell r="AO633">
            <v>0</v>
          </cell>
          <cell r="AP633">
            <v>9625</v>
          </cell>
          <cell r="AQ633" t="str">
            <v>스토리위즈</v>
          </cell>
          <cell r="AR633" t="str">
            <v>이린비</v>
          </cell>
        </row>
        <row r="634">
          <cell r="N634" t="str">
            <v>진문</v>
          </cell>
          <cell r="O634" t="str">
            <v>Y</v>
          </cell>
          <cell r="P634">
            <v>0.55000000000000004</v>
          </cell>
          <cell r="Q634">
            <v>0.55000000000000004</v>
          </cell>
          <cell r="R634" t="str">
            <v>단일 이용권</v>
          </cell>
          <cell r="S634">
            <v>3200</v>
          </cell>
          <cell r="T634">
            <v>3200</v>
          </cell>
          <cell r="U634">
            <v>3200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3200</v>
          </cell>
          <cell r="AE634">
            <v>3200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1760</v>
          </cell>
          <cell r="AO634">
            <v>0</v>
          </cell>
          <cell r="AP634">
            <v>1760</v>
          </cell>
          <cell r="AQ634" t="str">
            <v>스토리위즈</v>
          </cell>
          <cell r="AR634" t="str">
            <v>진문</v>
          </cell>
        </row>
        <row r="635">
          <cell r="N635" t="str">
            <v>진문</v>
          </cell>
          <cell r="O635" t="str">
            <v>Y</v>
          </cell>
          <cell r="P635">
            <v>0.55000000000000004</v>
          </cell>
          <cell r="Q635">
            <v>0.55000000000000004</v>
          </cell>
          <cell r="R635" t="str">
            <v>단일 이용권</v>
          </cell>
          <cell r="S635">
            <v>3200</v>
          </cell>
          <cell r="T635">
            <v>3200</v>
          </cell>
          <cell r="U635">
            <v>3200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3200</v>
          </cell>
          <cell r="AE635">
            <v>3200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1760</v>
          </cell>
          <cell r="AO635">
            <v>0</v>
          </cell>
          <cell r="AP635">
            <v>1760</v>
          </cell>
          <cell r="AQ635" t="str">
            <v>스토리위즈</v>
          </cell>
          <cell r="AR635" t="str">
            <v>진문</v>
          </cell>
        </row>
        <row r="636">
          <cell r="N636" t="str">
            <v>만렙도끼</v>
          </cell>
          <cell r="O636" t="str">
            <v>Y</v>
          </cell>
          <cell r="P636">
            <v>0.55000000000000004</v>
          </cell>
          <cell r="Q636">
            <v>0.55000000000000004</v>
          </cell>
          <cell r="R636" t="str">
            <v>시리즈 이용권 패키지</v>
          </cell>
          <cell r="S636">
            <v>2400</v>
          </cell>
          <cell r="T636">
            <v>2400</v>
          </cell>
          <cell r="U636">
            <v>2400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2400</v>
          </cell>
          <cell r="AE636">
            <v>2400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1320</v>
          </cell>
          <cell r="AO636">
            <v>0</v>
          </cell>
          <cell r="AP636">
            <v>1320</v>
          </cell>
          <cell r="AQ636" t="str">
            <v>스토리위즈</v>
          </cell>
          <cell r="AR636" t="str">
            <v>만렙도끼</v>
          </cell>
        </row>
        <row r="637">
          <cell r="N637" t="str">
            <v>만렙도끼</v>
          </cell>
          <cell r="O637" t="str">
            <v>Y</v>
          </cell>
          <cell r="P637">
            <v>0.55000000000000004</v>
          </cell>
          <cell r="Q637">
            <v>0.55000000000000004</v>
          </cell>
          <cell r="R637" t="str">
            <v>시리즈 이용권 패키지</v>
          </cell>
          <cell r="S637">
            <v>18000</v>
          </cell>
          <cell r="T637">
            <v>18000</v>
          </cell>
          <cell r="U637">
            <v>18000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18000</v>
          </cell>
          <cell r="AE637">
            <v>18000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9900</v>
          </cell>
          <cell r="AO637">
            <v>0</v>
          </cell>
          <cell r="AP637">
            <v>9900</v>
          </cell>
          <cell r="AQ637" t="str">
            <v>스토리위즈</v>
          </cell>
          <cell r="AR637" t="str">
            <v>만렙도끼</v>
          </cell>
        </row>
        <row r="638">
          <cell r="N638" t="str">
            <v>mollen</v>
          </cell>
          <cell r="O638" t="str">
            <v>Y</v>
          </cell>
          <cell r="P638">
            <v>0.55000000000000004</v>
          </cell>
          <cell r="Q638">
            <v>0.55000000000000004</v>
          </cell>
          <cell r="R638" t="str">
            <v>단일 이용권</v>
          </cell>
          <cell r="S638">
            <v>100</v>
          </cell>
          <cell r="T638">
            <v>367500</v>
          </cell>
          <cell r="U638">
            <v>115990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5600</v>
          </cell>
          <cell r="AA638">
            <v>0</v>
          </cell>
          <cell r="AB638">
            <v>0</v>
          </cell>
          <cell r="AC638">
            <v>245910</v>
          </cell>
          <cell r="AD638">
            <v>368060</v>
          </cell>
          <cell r="AE638">
            <v>115990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6160</v>
          </cell>
          <cell r="AK638">
            <v>0</v>
          </cell>
          <cell r="AL638">
            <v>0</v>
          </cell>
          <cell r="AM638">
            <v>245910</v>
          </cell>
          <cell r="AN638">
            <v>202433</v>
          </cell>
          <cell r="AO638">
            <v>0</v>
          </cell>
          <cell r="AP638">
            <v>202433</v>
          </cell>
          <cell r="AQ638" t="str">
            <v>스토리위즈</v>
          </cell>
          <cell r="AR638" t="str">
            <v>mollen</v>
          </cell>
        </row>
        <row r="639">
          <cell r="N639" t="str">
            <v>mollen</v>
          </cell>
          <cell r="O639" t="str">
            <v>Y</v>
          </cell>
          <cell r="P639">
            <v>0.55000000000000004</v>
          </cell>
          <cell r="Q639">
            <v>0.55000000000000004</v>
          </cell>
          <cell r="R639" t="str">
            <v>시리즈 이용권 패키지</v>
          </cell>
          <cell r="S639">
            <v>2400</v>
          </cell>
          <cell r="T639">
            <v>267100</v>
          </cell>
          <cell r="U639">
            <v>193900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15900</v>
          </cell>
          <cell r="AA639">
            <v>1700</v>
          </cell>
          <cell r="AB639">
            <v>0</v>
          </cell>
          <cell r="AC639">
            <v>55600</v>
          </cell>
          <cell r="AD639">
            <v>269343.08760000003</v>
          </cell>
          <cell r="AE639">
            <v>193900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17490</v>
          </cell>
          <cell r="AK639">
            <v>2353.0875999999998</v>
          </cell>
          <cell r="AL639">
            <v>0</v>
          </cell>
          <cell r="AM639">
            <v>55600</v>
          </cell>
          <cell r="AN639">
            <v>148139</v>
          </cell>
          <cell r="AO639">
            <v>0</v>
          </cell>
          <cell r="AP639">
            <v>148139</v>
          </cell>
          <cell r="AQ639" t="str">
            <v>스토리위즈</v>
          </cell>
          <cell r="AR639" t="str">
            <v>mollen</v>
          </cell>
        </row>
        <row r="640">
          <cell r="N640" t="str">
            <v>mollen</v>
          </cell>
          <cell r="O640" t="str">
            <v>Y</v>
          </cell>
          <cell r="P640">
            <v>0.55000000000000004</v>
          </cell>
          <cell r="Q640">
            <v>0.55000000000000004</v>
          </cell>
          <cell r="R640" t="str">
            <v>시리즈 이용권 패키지</v>
          </cell>
          <cell r="S640">
            <v>4700</v>
          </cell>
          <cell r="T640">
            <v>254900</v>
          </cell>
          <cell r="U640">
            <v>202700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37300</v>
          </cell>
          <cell r="AA640">
            <v>0</v>
          </cell>
          <cell r="AB640">
            <v>0</v>
          </cell>
          <cell r="AC640">
            <v>14900</v>
          </cell>
          <cell r="AD640">
            <v>258630</v>
          </cell>
          <cell r="AE640">
            <v>202700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41030</v>
          </cell>
          <cell r="AK640">
            <v>0</v>
          </cell>
          <cell r="AL640">
            <v>0</v>
          </cell>
          <cell r="AM640">
            <v>14900</v>
          </cell>
          <cell r="AN640">
            <v>142247</v>
          </cell>
          <cell r="AO640">
            <v>0</v>
          </cell>
          <cell r="AP640">
            <v>142247</v>
          </cell>
          <cell r="AQ640" t="str">
            <v>스토리위즈</v>
          </cell>
          <cell r="AR640" t="str">
            <v>mollen</v>
          </cell>
        </row>
        <row r="641">
          <cell r="N641" t="str">
            <v>mollen</v>
          </cell>
          <cell r="O641" t="str">
            <v>Y</v>
          </cell>
          <cell r="P641">
            <v>0.55000000000000004</v>
          </cell>
          <cell r="Q641">
            <v>0.55000000000000004</v>
          </cell>
          <cell r="R641" t="str">
            <v>시리즈 이용권 패키지</v>
          </cell>
          <cell r="S641">
            <v>9200</v>
          </cell>
          <cell r="T641">
            <v>647900</v>
          </cell>
          <cell r="U641">
            <v>490300</v>
          </cell>
          <cell r="V641">
            <v>0</v>
          </cell>
          <cell r="W641">
            <v>0</v>
          </cell>
          <cell r="X641">
            <v>0</v>
          </cell>
          <cell r="Y641">
            <v>7900</v>
          </cell>
          <cell r="Z641">
            <v>83680</v>
          </cell>
          <cell r="AA641">
            <v>0</v>
          </cell>
          <cell r="AB641">
            <v>0</v>
          </cell>
          <cell r="AC641">
            <v>66020</v>
          </cell>
          <cell r="AD641">
            <v>657848</v>
          </cell>
          <cell r="AE641">
            <v>490300</v>
          </cell>
          <cell r="AF641">
            <v>0</v>
          </cell>
          <cell r="AG641">
            <v>0</v>
          </cell>
          <cell r="AH641">
            <v>0</v>
          </cell>
          <cell r="AI641">
            <v>9480</v>
          </cell>
          <cell r="AJ641">
            <v>92048</v>
          </cell>
          <cell r="AK641">
            <v>0</v>
          </cell>
          <cell r="AL641">
            <v>0</v>
          </cell>
          <cell r="AM641">
            <v>66020</v>
          </cell>
          <cell r="AN641">
            <v>361816</v>
          </cell>
          <cell r="AO641">
            <v>0</v>
          </cell>
          <cell r="AP641">
            <v>361816</v>
          </cell>
          <cell r="AQ641" t="str">
            <v>스토리위즈</v>
          </cell>
          <cell r="AR641" t="str">
            <v>mollen</v>
          </cell>
        </row>
        <row r="642">
          <cell r="N642" t="str">
            <v>이도스</v>
          </cell>
          <cell r="O642" t="str">
            <v>Y</v>
          </cell>
          <cell r="P642">
            <v>0.55000000000000004</v>
          </cell>
          <cell r="Q642">
            <v>0.55000000000000004</v>
          </cell>
          <cell r="R642" t="str">
            <v>단일 이용권</v>
          </cell>
          <cell r="S642">
            <v>100</v>
          </cell>
          <cell r="T642">
            <v>365400</v>
          </cell>
          <cell r="U642">
            <v>161890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16600</v>
          </cell>
          <cell r="AA642">
            <v>0</v>
          </cell>
          <cell r="AB642">
            <v>0</v>
          </cell>
          <cell r="AC642">
            <v>186910</v>
          </cell>
          <cell r="AD642">
            <v>367060</v>
          </cell>
          <cell r="AE642">
            <v>161890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18260</v>
          </cell>
          <cell r="AK642">
            <v>0</v>
          </cell>
          <cell r="AL642">
            <v>0</v>
          </cell>
          <cell r="AM642">
            <v>186910</v>
          </cell>
          <cell r="AN642">
            <v>201883</v>
          </cell>
          <cell r="AO642">
            <v>0</v>
          </cell>
          <cell r="AP642">
            <v>201883</v>
          </cell>
          <cell r="AQ642" t="str">
            <v>스토리위즈</v>
          </cell>
          <cell r="AR642" t="str">
            <v>이도스</v>
          </cell>
        </row>
        <row r="643">
          <cell r="N643" t="str">
            <v>이도스</v>
          </cell>
          <cell r="O643" t="str">
            <v>Y</v>
          </cell>
          <cell r="P643">
            <v>0.55000000000000004</v>
          </cell>
          <cell r="Q643">
            <v>0.55000000000000004</v>
          </cell>
          <cell r="R643" t="str">
            <v>시리즈 이용권 패키지</v>
          </cell>
          <cell r="S643">
            <v>2400</v>
          </cell>
          <cell r="T643">
            <v>325400</v>
          </cell>
          <cell r="U643">
            <v>257660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19200</v>
          </cell>
          <cell r="AA643">
            <v>0</v>
          </cell>
          <cell r="AB643">
            <v>0</v>
          </cell>
          <cell r="AC643">
            <v>48540</v>
          </cell>
          <cell r="AD643">
            <v>327320</v>
          </cell>
          <cell r="AE643">
            <v>257660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21120</v>
          </cell>
          <cell r="AK643">
            <v>0</v>
          </cell>
          <cell r="AL643">
            <v>0</v>
          </cell>
          <cell r="AM643">
            <v>48540</v>
          </cell>
          <cell r="AN643">
            <v>180026</v>
          </cell>
          <cell r="AO643">
            <v>0</v>
          </cell>
          <cell r="AP643">
            <v>180026</v>
          </cell>
          <cell r="AQ643" t="str">
            <v>스토리위즈</v>
          </cell>
          <cell r="AR643" t="str">
            <v>이도스</v>
          </cell>
        </row>
        <row r="644">
          <cell r="N644" t="str">
            <v>이도스</v>
          </cell>
          <cell r="O644" t="str">
            <v>Y</v>
          </cell>
          <cell r="P644">
            <v>0.55000000000000004</v>
          </cell>
          <cell r="Q644">
            <v>0.55000000000000004</v>
          </cell>
          <cell r="R644" t="str">
            <v>시리즈 이용권 패키지</v>
          </cell>
          <cell r="S644">
            <v>4700</v>
          </cell>
          <cell r="T644">
            <v>340100</v>
          </cell>
          <cell r="U644">
            <v>283200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19300</v>
          </cell>
          <cell r="AA644">
            <v>0</v>
          </cell>
          <cell r="AB644">
            <v>0</v>
          </cell>
          <cell r="AC644">
            <v>37600</v>
          </cell>
          <cell r="AD644">
            <v>342030</v>
          </cell>
          <cell r="AE644">
            <v>283200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21230</v>
          </cell>
          <cell r="AK644">
            <v>0</v>
          </cell>
          <cell r="AL644">
            <v>0</v>
          </cell>
          <cell r="AM644">
            <v>37600</v>
          </cell>
          <cell r="AN644">
            <v>188117</v>
          </cell>
          <cell r="AO644">
            <v>0</v>
          </cell>
          <cell r="AP644">
            <v>188117</v>
          </cell>
          <cell r="AQ644" t="str">
            <v>스토리위즈</v>
          </cell>
          <cell r="AR644" t="str">
            <v>이도스</v>
          </cell>
        </row>
        <row r="645">
          <cell r="N645" t="str">
            <v>이도스</v>
          </cell>
          <cell r="O645" t="str">
            <v>Y</v>
          </cell>
          <cell r="P645">
            <v>0.55000000000000004</v>
          </cell>
          <cell r="Q645">
            <v>0.55000000000000004</v>
          </cell>
          <cell r="R645" t="str">
            <v>시리즈 이용권 패키지</v>
          </cell>
          <cell r="S645">
            <v>9200</v>
          </cell>
          <cell r="T645">
            <v>384100</v>
          </cell>
          <cell r="U645">
            <v>363080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600</v>
          </cell>
          <cell r="AA645">
            <v>0</v>
          </cell>
          <cell r="AB645">
            <v>0</v>
          </cell>
          <cell r="AC645">
            <v>20420</v>
          </cell>
          <cell r="AD645">
            <v>384160</v>
          </cell>
          <cell r="AE645">
            <v>363080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660</v>
          </cell>
          <cell r="AK645">
            <v>0</v>
          </cell>
          <cell r="AL645">
            <v>0</v>
          </cell>
          <cell r="AM645">
            <v>20420</v>
          </cell>
          <cell r="AN645">
            <v>211288</v>
          </cell>
          <cell r="AO645">
            <v>0</v>
          </cell>
          <cell r="AP645">
            <v>211288</v>
          </cell>
          <cell r="AQ645" t="str">
            <v>스토리위즈</v>
          </cell>
          <cell r="AR645" t="str">
            <v>이도스</v>
          </cell>
        </row>
        <row r="646">
          <cell r="N646" t="str">
            <v>구땡</v>
          </cell>
          <cell r="O646" t="str">
            <v>Y</v>
          </cell>
          <cell r="P646">
            <v>0.55000000000000004</v>
          </cell>
          <cell r="Q646">
            <v>0.55000000000000004</v>
          </cell>
          <cell r="R646" t="str">
            <v>단일 이용권</v>
          </cell>
          <cell r="S646">
            <v>100</v>
          </cell>
          <cell r="T646">
            <v>735900</v>
          </cell>
          <cell r="U646">
            <v>590920</v>
          </cell>
          <cell r="V646">
            <v>0</v>
          </cell>
          <cell r="W646">
            <v>0</v>
          </cell>
          <cell r="X646">
            <v>3100</v>
          </cell>
          <cell r="Y646">
            <v>100</v>
          </cell>
          <cell r="Z646">
            <v>11000</v>
          </cell>
          <cell r="AA646">
            <v>0</v>
          </cell>
          <cell r="AB646">
            <v>0</v>
          </cell>
          <cell r="AC646">
            <v>130780</v>
          </cell>
          <cell r="AD646">
            <v>738210.92449999996</v>
          </cell>
          <cell r="AE646">
            <v>590920</v>
          </cell>
          <cell r="AF646">
            <v>0</v>
          </cell>
          <cell r="AG646">
            <v>0</v>
          </cell>
          <cell r="AH646">
            <v>4290.9245000000001</v>
          </cell>
          <cell r="AI646">
            <v>120</v>
          </cell>
          <cell r="AJ646">
            <v>12100</v>
          </cell>
          <cell r="AK646">
            <v>0</v>
          </cell>
          <cell r="AL646">
            <v>0</v>
          </cell>
          <cell r="AM646">
            <v>130780</v>
          </cell>
          <cell r="AN646">
            <v>406016</v>
          </cell>
          <cell r="AO646">
            <v>0</v>
          </cell>
          <cell r="AP646">
            <v>406016</v>
          </cell>
          <cell r="AQ646" t="str">
            <v>스토리위즈</v>
          </cell>
          <cell r="AR646" t="str">
            <v>구땡</v>
          </cell>
        </row>
        <row r="647">
          <cell r="N647" t="str">
            <v>왕십리글쟁이</v>
          </cell>
          <cell r="O647" t="str">
            <v>Y</v>
          </cell>
          <cell r="P647">
            <v>0.55000000000000004</v>
          </cell>
          <cell r="Q647">
            <v>0.55000000000000004</v>
          </cell>
          <cell r="R647" t="str">
            <v>단일 이용권</v>
          </cell>
          <cell r="S647">
            <v>100</v>
          </cell>
          <cell r="T647">
            <v>40900</v>
          </cell>
          <cell r="U647">
            <v>28500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12400</v>
          </cell>
          <cell r="AD647">
            <v>40900</v>
          </cell>
          <cell r="AE647">
            <v>28500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12400</v>
          </cell>
          <cell r="AN647">
            <v>22495</v>
          </cell>
          <cell r="AO647">
            <v>0</v>
          </cell>
          <cell r="AP647">
            <v>22495</v>
          </cell>
          <cell r="AQ647" t="str">
            <v>스토리위즈</v>
          </cell>
          <cell r="AR647" t="str">
            <v>왕십리글쟁이</v>
          </cell>
        </row>
        <row r="648">
          <cell r="N648" t="str">
            <v>깡펀치</v>
          </cell>
          <cell r="O648" t="str">
            <v>Y</v>
          </cell>
          <cell r="P648">
            <v>0.55000000000000004</v>
          </cell>
          <cell r="Q648">
            <v>0.55000000000000004</v>
          </cell>
          <cell r="R648" t="str">
            <v>단일 이용권</v>
          </cell>
          <cell r="S648">
            <v>100</v>
          </cell>
          <cell r="T648">
            <v>498900</v>
          </cell>
          <cell r="U648">
            <v>265760</v>
          </cell>
          <cell r="V648">
            <v>0</v>
          </cell>
          <cell r="W648">
            <v>0</v>
          </cell>
          <cell r="X648">
            <v>0</v>
          </cell>
          <cell r="Y648">
            <v>4400</v>
          </cell>
          <cell r="Z648">
            <v>8000</v>
          </cell>
          <cell r="AA648">
            <v>0</v>
          </cell>
          <cell r="AB648">
            <v>0</v>
          </cell>
          <cell r="AC648">
            <v>220740</v>
          </cell>
          <cell r="AD648">
            <v>500580</v>
          </cell>
          <cell r="AE648">
            <v>265760</v>
          </cell>
          <cell r="AF648">
            <v>0</v>
          </cell>
          <cell r="AG648">
            <v>0</v>
          </cell>
          <cell r="AH648">
            <v>0</v>
          </cell>
          <cell r="AI648">
            <v>5280</v>
          </cell>
          <cell r="AJ648">
            <v>8800</v>
          </cell>
          <cell r="AK648">
            <v>0</v>
          </cell>
          <cell r="AL648">
            <v>0</v>
          </cell>
          <cell r="AM648">
            <v>220740</v>
          </cell>
          <cell r="AN648">
            <v>275319</v>
          </cell>
          <cell r="AO648">
            <v>0</v>
          </cell>
          <cell r="AP648">
            <v>275319</v>
          </cell>
          <cell r="AQ648" t="str">
            <v>스토리위즈</v>
          </cell>
          <cell r="AR648" t="str">
            <v>깡펀치</v>
          </cell>
        </row>
        <row r="649">
          <cell r="N649" t="str">
            <v>깡펀치</v>
          </cell>
          <cell r="O649" t="str">
            <v>Y</v>
          </cell>
          <cell r="P649">
            <v>0.55000000000000004</v>
          </cell>
          <cell r="Q649">
            <v>0.55000000000000004</v>
          </cell>
          <cell r="R649" t="str">
            <v>시리즈 이용권 패키지</v>
          </cell>
          <cell r="S649">
            <v>2400</v>
          </cell>
          <cell r="T649">
            <v>376000</v>
          </cell>
          <cell r="U649">
            <v>288090</v>
          </cell>
          <cell r="V649">
            <v>0</v>
          </cell>
          <cell r="W649">
            <v>0</v>
          </cell>
          <cell r="X649">
            <v>0</v>
          </cell>
          <cell r="Y649">
            <v>2400</v>
          </cell>
          <cell r="Z649">
            <v>27600</v>
          </cell>
          <cell r="AA649">
            <v>0</v>
          </cell>
          <cell r="AB649">
            <v>0</v>
          </cell>
          <cell r="AC649">
            <v>57910</v>
          </cell>
          <cell r="AD649">
            <v>379240</v>
          </cell>
          <cell r="AE649">
            <v>288090</v>
          </cell>
          <cell r="AF649">
            <v>0</v>
          </cell>
          <cell r="AG649">
            <v>0</v>
          </cell>
          <cell r="AH649">
            <v>0</v>
          </cell>
          <cell r="AI649">
            <v>2880</v>
          </cell>
          <cell r="AJ649">
            <v>30360</v>
          </cell>
          <cell r="AK649">
            <v>0</v>
          </cell>
          <cell r="AL649">
            <v>0</v>
          </cell>
          <cell r="AM649">
            <v>57910</v>
          </cell>
          <cell r="AN649">
            <v>208582</v>
          </cell>
          <cell r="AO649">
            <v>0</v>
          </cell>
          <cell r="AP649">
            <v>208582</v>
          </cell>
          <cell r="AQ649" t="str">
            <v>스토리위즈</v>
          </cell>
          <cell r="AR649" t="str">
            <v>깡펀치</v>
          </cell>
        </row>
        <row r="650">
          <cell r="N650" t="str">
            <v>깡펀치</v>
          </cell>
          <cell r="O650" t="str">
            <v>Y</v>
          </cell>
          <cell r="P650">
            <v>0.55000000000000004</v>
          </cell>
          <cell r="Q650">
            <v>0.55000000000000004</v>
          </cell>
          <cell r="R650" t="str">
            <v>시리즈 이용권 패키지</v>
          </cell>
          <cell r="S650">
            <v>4700</v>
          </cell>
          <cell r="T650">
            <v>350000</v>
          </cell>
          <cell r="U650">
            <v>299000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32700</v>
          </cell>
          <cell r="AA650">
            <v>0</v>
          </cell>
          <cell r="AB650">
            <v>0</v>
          </cell>
          <cell r="AC650">
            <v>18300</v>
          </cell>
          <cell r="AD650">
            <v>353270</v>
          </cell>
          <cell r="AE650">
            <v>299000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35970</v>
          </cell>
          <cell r="AK650">
            <v>0</v>
          </cell>
          <cell r="AL650">
            <v>0</v>
          </cell>
          <cell r="AM650">
            <v>18300</v>
          </cell>
          <cell r="AN650">
            <v>194299</v>
          </cell>
          <cell r="AO650">
            <v>0</v>
          </cell>
          <cell r="AP650">
            <v>194299</v>
          </cell>
          <cell r="AQ650" t="str">
            <v>스토리위즈</v>
          </cell>
          <cell r="AR650" t="str">
            <v>깡펀치</v>
          </cell>
        </row>
        <row r="651">
          <cell r="N651" t="str">
            <v>깡펀치</v>
          </cell>
          <cell r="O651" t="str">
            <v>Y</v>
          </cell>
          <cell r="P651">
            <v>0.55000000000000004</v>
          </cell>
          <cell r="Q651">
            <v>0.55000000000000004</v>
          </cell>
          <cell r="R651" t="str">
            <v>시리즈 이용권 패키지</v>
          </cell>
          <cell r="S651">
            <v>9200</v>
          </cell>
          <cell r="T651">
            <v>422100</v>
          </cell>
          <cell r="U651">
            <v>375000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18400</v>
          </cell>
          <cell r="AA651">
            <v>0</v>
          </cell>
          <cell r="AB651">
            <v>0</v>
          </cell>
          <cell r="AC651">
            <v>28700</v>
          </cell>
          <cell r="AD651">
            <v>423940</v>
          </cell>
          <cell r="AE651">
            <v>375000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20240</v>
          </cell>
          <cell r="AK651">
            <v>0</v>
          </cell>
          <cell r="AL651">
            <v>0</v>
          </cell>
          <cell r="AM651">
            <v>28700</v>
          </cell>
          <cell r="AN651">
            <v>233167</v>
          </cell>
          <cell r="AO651">
            <v>0</v>
          </cell>
          <cell r="AP651">
            <v>233167</v>
          </cell>
          <cell r="AQ651" t="str">
            <v>스토리위즈</v>
          </cell>
          <cell r="AR651" t="str">
            <v>깡펀치</v>
          </cell>
        </row>
        <row r="652">
          <cell r="N652" t="str">
            <v>무장</v>
          </cell>
          <cell r="O652" t="str">
            <v>Y</v>
          </cell>
          <cell r="P652">
            <v>0.55000000000000004</v>
          </cell>
          <cell r="Q652">
            <v>0.55000000000000004</v>
          </cell>
          <cell r="R652" t="str">
            <v>단일 이용권</v>
          </cell>
          <cell r="S652">
            <v>100</v>
          </cell>
          <cell r="T652">
            <v>4354000</v>
          </cell>
          <cell r="U652">
            <v>874030</v>
          </cell>
          <cell r="V652">
            <v>0</v>
          </cell>
          <cell r="W652">
            <v>0</v>
          </cell>
          <cell r="X652">
            <v>50</v>
          </cell>
          <cell r="Y652">
            <v>4950</v>
          </cell>
          <cell r="Z652">
            <v>41300</v>
          </cell>
          <cell r="AA652">
            <v>0</v>
          </cell>
          <cell r="AB652">
            <v>0</v>
          </cell>
          <cell r="AC652">
            <v>3433670</v>
          </cell>
          <cell r="AD652">
            <v>4359139.2084999997</v>
          </cell>
          <cell r="AE652">
            <v>874030</v>
          </cell>
          <cell r="AF652">
            <v>0</v>
          </cell>
          <cell r="AG652">
            <v>0</v>
          </cell>
          <cell r="AH652">
            <v>69.208500000000001</v>
          </cell>
          <cell r="AI652">
            <v>5940</v>
          </cell>
          <cell r="AJ652">
            <v>45430</v>
          </cell>
          <cell r="AK652">
            <v>0</v>
          </cell>
          <cell r="AL652">
            <v>0</v>
          </cell>
          <cell r="AM652">
            <v>3433670</v>
          </cell>
          <cell r="AN652">
            <v>2397527</v>
          </cell>
          <cell r="AO652">
            <v>0</v>
          </cell>
          <cell r="AP652">
            <v>2397527</v>
          </cell>
          <cell r="AQ652" t="str">
            <v>스토리위즈</v>
          </cell>
          <cell r="AR652" t="str">
            <v>무장</v>
          </cell>
        </row>
        <row r="653">
          <cell r="N653" t="str">
            <v>무장</v>
          </cell>
          <cell r="O653" t="str">
            <v>Y</v>
          </cell>
          <cell r="P653">
            <v>0.55000000000000004</v>
          </cell>
          <cell r="Q653">
            <v>0.55000000000000004</v>
          </cell>
          <cell r="R653" t="str">
            <v>시리즈 이용권 패키지</v>
          </cell>
          <cell r="S653">
            <v>2400</v>
          </cell>
          <cell r="T653">
            <v>2404100</v>
          </cell>
          <cell r="U653">
            <v>1441100</v>
          </cell>
          <cell r="V653">
            <v>0</v>
          </cell>
          <cell r="W653">
            <v>0</v>
          </cell>
          <cell r="X653">
            <v>0</v>
          </cell>
          <cell r="Y653">
            <v>700</v>
          </cell>
          <cell r="Z653">
            <v>75200</v>
          </cell>
          <cell r="AA653">
            <v>0</v>
          </cell>
          <cell r="AB653">
            <v>0</v>
          </cell>
          <cell r="AC653">
            <v>887100</v>
          </cell>
          <cell r="AD653">
            <v>2411760</v>
          </cell>
          <cell r="AE653">
            <v>1441100</v>
          </cell>
          <cell r="AF653">
            <v>0</v>
          </cell>
          <cell r="AG653">
            <v>0</v>
          </cell>
          <cell r="AH653">
            <v>0</v>
          </cell>
          <cell r="AI653">
            <v>840</v>
          </cell>
          <cell r="AJ653">
            <v>82720</v>
          </cell>
          <cell r="AK653">
            <v>0</v>
          </cell>
          <cell r="AL653">
            <v>0</v>
          </cell>
          <cell r="AM653">
            <v>887100</v>
          </cell>
          <cell r="AN653">
            <v>1326468</v>
          </cell>
          <cell r="AO653">
            <v>0</v>
          </cell>
          <cell r="AP653">
            <v>1326468</v>
          </cell>
          <cell r="AQ653" t="str">
            <v>스토리위즈</v>
          </cell>
          <cell r="AR653" t="str">
            <v>무장</v>
          </cell>
        </row>
        <row r="654">
          <cell r="N654" t="str">
            <v>무장</v>
          </cell>
          <cell r="O654" t="str">
            <v>Y</v>
          </cell>
          <cell r="P654">
            <v>0.55000000000000004</v>
          </cell>
          <cell r="Q654">
            <v>0.55000000000000004</v>
          </cell>
          <cell r="R654" t="str">
            <v>시리즈 이용권 패키지</v>
          </cell>
          <cell r="S654">
            <v>4700</v>
          </cell>
          <cell r="T654">
            <v>2092200</v>
          </cell>
          <cell r="U654">
            <v>1601210</v>
          </cell>
          <cell r="V654">
            <v>0</v>
          </cell>
          <cell r="W654">
            <v>0</v>
          </cell>
          <cell r="X654">
            <v>0</v>
          </cell>
          <cell r="Y654">
            <v>9400</v>
          </cell>
          <cell r="Z654">
            <v>75000</v>
          </cell>
          <cell r="AA654">
            <v>0</v>
          </cell>
          <cell r="AB654">
            <v>0</v>
          </cell>
          <cell r="AC654">
            <v>406590</v>
          </cell>
          <cell r="AD654">
            <v>2101580</v>
          </cell>
          <cell r="AE654">
            <v>1601210</v>
          </cell>
          <cell r="AF654">
            <v>0</v>
          </cell>
          <cell r="AG654">
            <v>0</v>
          </cell>
          <cell r="AH654">
            <v>0</v>
          </cell>
          <cell r="AI654">
            <v>11280</v>
          </cell>
          <cell r="AJ654">
            <v>82500</v>
          </cell>
          <cell r="AK654">
            <v>0</v>
          </cell>
          <cell r="AL654">
            <v>0</v>
          </cell>
          <cell r="AM654">
            <v>406590</v>
          </cell>
          <cell r="AN654">
            <v>1155869</v>
          </cell>
          <cell r="AO654">
            <v>0</v>
          </cell>
          <cell r="AP654">
            <v>1155869</v>
          </cell>
          <cell r="AQ654" t="str">
            <v>스토리위즈</v>
          </cell>
          <cell r="AR654" t="str">
            <v>무장</v>
          </cell>
        </row>
        <row r="655">
          <cell r="N655" t="str">
            <v>무장</v>
          </cell>
          <cell r="O655" t="str">
            <v>Y</v>
          </cell>
          <cell r="P655">
            <v>0.55000000000000004</v>
          </cell>
          <cell r="Q655">
            <v>0.55000000000000004</v>
          </cell>
          <cell r="R655" t="str">
            <v>시리즈 이용권 패키지</v>
          </cell>
          <cell r="S655">
            <v>9200</v>
          </cell>
          <cell r="T655">
            <v>2640400</v>
          </cell>
          <cell r="U655">
            <v>2281020</v>
          </cell>
          <cell r="V655">
            <v>0</v>
          </cell>
          <cell r="W655">
            <v>0</v>
          </cell>
          <cell r="X655">
            <v>0</v>
          </cell>
          <cell r="Y655">
            <v>11200</v>
          </cell>
          <cell r="Z655">
            <v>132500</v>
          </cell>
          <cell r="AA655">
            <v>0</v>
          </cell>
          <cell r="AB655">
            <v>0</v>
          </cell>
          <cell r="AC655">
            <v>215680</v>
          </cell>
          <cell r="AD655">
            <v>2655890</v>
          </cell>
          <cell r="AE655">
            <v>2281020</v>
          </cell>
          <cell r="AF655">
            <v>0</v>
          </cell>
          <cell r="AG655">
            <v>0</v>
          </cell>
          <cell r="AH655">
            <v>0</v>
          </cell>
          <cell r="AI655">
            <v>13440</v>
          </cell>
          <cell r="AJ655">
            <v>145750</v>
          </cell>
          <cell r="AK655">
            <v>0</v>
          </cell>
          <cell r="AL655">
            <v>0</v>
          </cell>
          <cell r="AM655">
            <v>215680</v>
          </cell>
          <cell r="AN655">
            <v>1460740</v>
          </cell>
          <cell r="AO655">
            <v>0</v>
          </cell>
          <cell r="AP655">
            <v>1460740</v>
          </cell>
          <cell r="AQ655" t="str">
            <v>스토리위즈</v>
          </cell>
          <cell r="AR655" t="str">
            <v>무장</v>
          </cell>
        </row>
        <row r="656">
          <cell r="N656" t="str">
            <v>알랙스</v>
          </cell>
          <cell r="O656" t="str">
            <v>Y</v>
          </cell>
          <cell r="P656">
            <v>0.55000000000000004</v>
          </cell>
          <cell r="Q656">
            <v>0.55000000000000004</v>
          </cell>
          <cell r="R656" t="str">
            <v>단일 이용권</v>
          </cell>
          <cell r="S656">
            <v>100</v>
          </cell>
          <cell r="T656">
            <v>6000</v>
          </cell>
          <cell r="U656">
            <v>2500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3500</v>
          </cell>
          <cell r="AD656">
            <v>6000</v>
          </cell>
          <cell r="AE656">
            <v>2500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  <cell r="AL656">
            <v>0</v>
          </cell>
          <cell r="AM656">
            <v>3500</v>
          </cell>
          <cell r="AN656">
            <v>3300</v>
          </cell>
          <cell r="AO656">
            <v>0</v>
          </cell>
          <cell r="AP656">
            <v>3300</v>
          </cell>
          <cell r="AQ656" t="str">
            <v>스토리위즈</v>
          </cell>
          <cell r="AR656" t="str">
            <v>알랙스</v>
          </cell>
        </row>
        <row r="657">
          <cell r="N657" t="str">
            <v>알랙스</v>
          </cell>
          <cell r="O657" t="str">
            <v>Y</v>
          </cell>
          <cell r="P657">
            <v>0.55000000000000004</v>
          </cell>
          <cell r="Q657">
            <v>0.55000000000000004</v>
          </cell>
          <cell r="R657" t="str">
            <v>시리즈 이용권 패키지</v>
          </cell>
          <cell r="S657">
            <v>2400</v>
          </cell>
          <cell r="T657">
            <v>7200</v>
          </cell>
          <cell r="U657">
            <v>4500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2700</v>
          </cell>
          <cell r="AD657">
            <v>7200</v>
          </cell>
          <cell r="AE657">
            <v>4500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0</v>
          </cell>
          <cell r="AK657">
            <v>0</v>
          </cell>
          <cell r="AL657">
            <v>0</v>
          </cell>
          <cell r="AM657">
            <v>2700</v>
          </cell>
          <cell r="AN657">
            <v>3960</v>
          </cell>
          <cell r="AO657">
            <v>0</v>
          </cell>
          <cell r="AP657">
            <v>3960</v>
          </cell>
          <cell r="AQ657" t="str">
            <v>스토리위즈</v>
          </cell>
          <cell r="AR657" t="str">
            <v>알랙스</v>
          </cell>
        </row>
        <row r="658">
          <cell r="N658" t="str">
            <v>알랙스</v>
          </cell>
          <cell r="O658" t="str">
            <v>Y</v>
          </cell>
          <cell r="P658">
            <v>0.55000000000000004</v>
          </cell>
          <cell r="Q658">
            <v>0.55000000000000004</v>
          </cell>
          <cell r="R658" t="str">
            <v>시리즈 이용권 패키지</v>
          </cell>
          <cell r="S658">
            <v>9200</v>
          </cell>
          <cell r="T658">
            <v>9200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9200</v>
          </cell>
          <cell r="AD658">
            <v>9200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>
            <v>0</v>
          </cell>
          <cell r="AL658">
            <v>0</v>
          </cell>
          <cell r="AM658">
            <v>9200</v>
          </cell>
          <cell r="AN658">
            <v>5060</v>
          </cell>
          <cell r="AO658">
            <v>0</v>
          </cell>
          <cell r="AP658">
            <v>5060</v>
          </cell>
          <cell r="AQ658" t="str">
            <v>스토리위즈</v>
          </cell>
          <cell r="AR658" t="str">
            <v>알랙스</v>
          </cell>
        </row>
        <row r="659">
          <cell r="N659" t="str">
            <v>이동열</v>
          </cell>
          <cell r="O659" t="str">
            <v>Y</v>
          </cell>
          <cell r="P659">
            <v>0.55000000000000004</v>
          </cell>
          <cell r="Q659">
            <v>0.55000000000000004</v>
          </cell>
          <cell r="R659" t="str">
            <v>단일 이용권</v>
          </cell>
          <cell r="S659">
            <v>100</v>
          </cell>
          <cell r="T659">
            <v>192600</v>
          </cell>
          <cell r="U659">
            <v>98570</v>
          </cell>
          <cell r="V659">
            <v>0</v>
          </cell>
          <cell r="W659">
            <v>0</v>
          </cell>
          <cell r="X659">
            <v>0</v>
          </cell>
          <cell r="Y659">
            <v>860</v>
          </cell>
          <cell r="Z659">
            <v>1700</v>
          </cell>
          <cell r="AA659">
            <v>0</v>
          </cell>
          <cell r="AB659">
            <v>0</v>
          </cell>
          <cell r="AC659">
            <v>91470</v>
          </cell>
          <cell r="AD659">
            <v>192942</v>
          </cell>
          <cell r="AE659">
            <v>98570</v>
          </cell>
          <cell r="AF659">
            <v>0</v>
          </cell>
          <cell r="AG659">
            <v>0</v>
          </cell>
          <cell r="AH659">
            <v>0</v>
          </cell>
          <cell r="AI659">
            <v>1032</v>
          </cell>
          <cell r="AJ659">
            <v>1870</v>
          </cell>
          <cell r="AK659">
            <v>0</v>
          </cell>
          <cell r="AL659">
            <v>0</v>
          </cell>
          <cell r="AM659">
            <v>91470</v>
          </cell>
          <cell r="AN659">
            <v>106118</v>
          </cell>
          <cell r="AO659">
            <v>0</v>
          </cell>
          <cell r="AP659">
            <v>106118</v>
          </cell>
          <cell r="AQ659" t="str">
            <v>스토리위즈</v>
          </cell>
          <cell r="AR659" t="str">
            <v>이동열</v>
          </cell>
        </row>
        <row r="660">
          <cell r="N660" t="str">
            <v>이동열</v>
          </cell>
          <cell r="O660" t="str">
            <v>Y</v>
          </cell>
          <cell r="P660">
            <v>0.55000000000000004</v>
          </cell>
          <cell r="Q660">
            <v>0.55000000000000004</v>
          </cell>
          <cell r="R660" t="str">
            <v>시리즈 이용권 패키지</v>
          </cell>
          <cell r="S660">
            <v>2400</v>
          </cell>
          <cell r="T660">
            <v>195000</v>
          </cell>
          <cell r="U660">
            <v>161500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9600</v>
          </cell>
          <cell r="AA660">
            <v>0</v>
          </cell>
          <cell r="AB660">
            <v>0</v>
          </cell>
          <cell r="AC660">
            <v>23900</v>
          </cell>
          <cell r="AD660">
            <v>195960</v>
          </cell>
          <cell r="AE660">
            <v>161500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10560</v>
          </cell>
          <cell r="AK660">
            <v>0</v>
          </cell>
          <cell r="AL660">
            <v>0</v>
          </cell>
          <cell r="AM660">
            <v>23900</v>
          </cell>
          <cell r="AN660">
            <v>107778</v>
          </cell>
          <cell r="AO660">
            <v>0</v>
          </cell>
          <cell r="AP660">
            <v>107778</v>
          </cell>
          <cell r="AQ660" t="str">
            <v>스토리위즈</v>
          </cell>
          <cell r="AR660" t="str">
            <v>이동열</v>
          </cell>
        </row>
        <row r="661">
          <cell r="N661" t="str">
            <v>이동열</v>
          </cell>
          <cell r="O661" t="str">
            <v>Y</v>
          </cell>
          <cell r="P661">
            <v>0.55000000000000004</v>
          </cell>
          <cell r="Q661">
            <v>0.55000000000000004</v>
          </cell>
          <cell r="R661" t="str">
            <v>시리즈 이용권 패키지</v>
          </cell>
          <cell r="S661">
            <v>4700</v>
          </cell>
          <cell r="T661">
            <v>98300</v>
          </cell>
          <cell r="U661">
            <v>72700</v>
          </cell>
          <cell r="V661">
            <v>0</v>
          </cell>
          <cell r="W661">
            <v>0</v>
          </cell>
          <cell r="X661">
            <v>0</v>
          </cell>
          <cell r="Y661">
            <v>4900</v>
          </cell>
          <cell r="Z661">
            <v>9400</v>
          </cell>
          <cell r="AA661">
            <v>0</v>
          </cell>
          <cell r="AB661">
            <v>0</v>
          </cell>
          <cell r="AC661">
            <v>11300</v>
          </cell>
          <cell r="AD661">
            <v>100220</v>
          </cell>
          <cell r="AE661">
            <v>72700</v>
          </cell>
          <cell r="AF661">
            <v>0</v>
          </cell>
          <cell r="AG661">
            <v>0</v>
          </cell>
          <cell r="AH661">
            <v>0</v>
          </cell>
          <cell r="AI661">
            <v>5880</v>
          </cell>
          <cell r="AJ661">
            <v>10340</v>
          </cell>
          <cell r="AK661">
            <v>0</v>
          </cell>
          <cell r="AL661">
            <v>0</v>
          </cell>
          <cell r="AM661">
            <v>11300</v>
          </cell>
          <cell r="AN661">
            <v>55121</v>
          </cell>
          <cell r="AO661">
            <v>0</v>
          </cell>
          <cell r="AP661">
            <v>55121</v>
          </cell>
          <cell r="AQ661" t="str">
            <v>스토리위즈</v>
          </cell>
          <cell r="AR661" t="str">
            <v>이동열</v>
          </cell>
        </row>
        <row r="662">
          <cell r="N662" t="str">
            <v>이동열</v>
          </cell>
          <cell r="O662" t="str">
            <v>Y</v>
          </cell>
          <cell r="P662">
            <v>0.55000000000000004</v>
          </cell>
          <cell r="Q662">
            <v>0.55000000000000004</v>
          </cell>
          <cell r="R662" t="str">
            <v>시리즈 이용권 패키지</v>
          </cell>
          <cell r="S662">
            <v>9200</v>
          </cell>
          <cell r="T662">
            <v>98500</v>
          </cell>
          <cell r="U662">
            <v>76600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18400</v>
          </cell>
          <cell r="AA662">
            <v>0</v>
          </cell>
          <cell r="AB662">
            <v>0</v>
          </cell>
          <cell r="AC662">
            <v>3500</v>
          </cell>
          <cell r="AD662">
            <v>100340</v>
          </cell>
          <cell r="AE662">
            <v>76600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20240</v>
          </cell>
          <cell r="AK662">
            <v>0</v>
          </cell>
          <cell r="AL662">
            <v>0</v>
          </cell>
          <cell r="AM662">
            <v>3500</v>
          </cell>
          <cell r="AN662">
            <v>55187</v>
          </cell>
          <cell r="AO662">
            <v>0</v>
          </cell>
          <cell r="AP662">
            <v>55187</v>
          </cell>
          <cell r="AQ662" t="str">
            <v>스토리위즈</v>
          </cell>
          <cell r="AR662" t="str">
            <v>이동열</v>
          </cell>
        </row>
        <row r="663">
          <cell r="N663" t="str">
            <v>왕십리글쟁이</v>
          </cell>
          <cell r="O663" t="str">
            <v>Y</v>
          </cell>
          <cell r="P663">
            <v>0.55000000000000004</v>
          </cell>
          <cell r="Q663">
            <v>0.55000000000000004</v>
          </cell>
          <cell r="R663" t="str">
            <v>단일 이용권</v>
          </cell>
          <cell r="S663">
            <v>100</v>
          </cell>
          <cell r="T663">
            <v>119000</v>
          </cell>
          <cell r="U663">
            <v>34250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84750</v>
          </cell>
          <cell r="AD663">
            <v>119000</v>
          </cell>
          <cell r="AE663">
            <v>34250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84750</v>
          </cell>
          <cell r="AN663">
            <v>65450</v>
          </cell>
          <cell r="AO663">
            <v>0</v>
          </cell>
          <cell r="AP663">
            <v>65450</v>
          </cell>
          <cell r="AQ663" t="str">
            <v>스토리위즈</v>
          </cell>
          <cell r="AR663" t="str">
            <v>왕십리글쟁이</v>
          </cell>
        </row>
        <row r="664">
          <cell r="N664" t="str">
            <v>왕십리글쟁이</v>
          </cell>
          <cell r="O664" t="str">
            <v>Y</v>
          </cell>
          <cell r="P664">
            <v>0.55000000000000004</v>
          </cell>
          <cell r="Q664">
            <v>0.55000000000000004</v>
          </cell>
          <cell r="R664" t="str">
            <v>시리즈 이용권 패키지</v>
          </cell>
          <cell r="S664">
            <v>2400</v>
          </cell>
          <cell r="T664">
            <v>30300</v>
          </cell>
          <cell r="U664">
            <v>15900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14400</v>
          </cell>
          <cell r="AD664">
            <v>30300</v>
          </cell>
          <cell r="AE664">
            <v>15900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  <cell r="AL664">
            <v>0</v>
          </cell>
          <cell r="AM664">
            <v>14400</v>
          </cell>
          <cell r="AN664">
            <v>16665</v>
          </cell>
          <cell r="AO664">
            <v>0</v>
          </cell>
          <cell r="AP664">
            <v>16665</v>
          </cell>
          <cell r="AQ664" t="str">
            <v>스토리위즈</v>
          </cell>
          <cell r="AR664" t="str">
            <v>왕십리글쟁이</v>
          </cell>
        </row>
        <row r="665">
          <cell r="N665" t="str">
            <v>왕십리글쟁이</v>
          </cell>
          <cell r="O665" t="str">
            <v>Y</v>
          </cell>
          <cell r="P665">
            <v>0.55000000000000004</v>
          </cell>
          <cell r="Q665">
            <v>0.55000000000000004</v>
          </cell>
          <cell r="R665" t="str">
            <v>시리즈 이용권 패키지</v>
          </cell>
          <cell r="S665">
            <v>4700</v>
          </cell>
          <cell r="T665">
            <v>-1300</v>
          </cell>
          <cell r="U665">
            <v>-6000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4700</v>
          </cell>
          <cell r="AA665">
            <v>0</v>
          </cell>
          <cell r="AB665">
            <v>0</v>
          </cell>
          <cell r="AC665">
            <v>0</v>
          </cell>
          <cell r="AD665">
            <v>-830</v>
          </cell>
          <cell r="AE665">
            <v>-6000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5170</v>
          </cell>
          <cell r="AK665">
            <v>0</v>
          </cell>
          <cell r="AL665">
            <v>0</v>
          </cell>
          <cell r="AM665">
            <v>0</v>
          </cell>
          <cell r="AN665">
            <v>-457</v>
          </cell>
          <cell r="AO665">
            <v>0</v>
          </cell>
          <cell r="AP665">
            <v>-457</v>
          </cell>
          <cell r="AQ665" t="str">
            <v>스토리위즈</v>
          </cell>
          <cell r="AR665" t="str">
            <v>왕십리글쟁이</v>
          </cell>
        </row>
        <row r="666">
          <cell r="N666" t="str">
            <v>왕십리글쟁이</v>
          </cell>
          <cell r="O666" t="str">
            <v>Y</v>
          </cell>
          <cell r="P666">
            <v>0.55000000000000004</v>
          </cell>
          <cell r="Q666">
            <v>0.55000000000000004</v>
          </cell>
          <cell r="R666" t="str">
            <v>시리즈 이용권 패키지</v>
          </cell>
          <cell r="S666">
            <v>9200</v>
          </cell>
          <cell r="T666">
            <v>-1700</v>
          </cell>
          <cell r="U666">
            <v>-2600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900</v>
          </cell>
          <cell r="AD666">
            <v>-1700</v>
          </cell>
          <cell r="AE666">
            <v>-2600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0</v>
          </cell>
          <cell r="AK666">
            <v>0</v>
          </cell>
          <cell r="AL666">
            <v>0</v>
          </cell>
          <cell r="AM666">
            <v>900</v>
          </cell>
          <cell r="AN666">
            <v>-935</v>
          </cell>
          <cell r="AO666">
            <v>0</v>
          </cell>
          <cell r="AP666">
            <v>-935</v>
          </cell>
          <cell r="AQ666" t="str">
            <v>스토리위즈</v>
          </cell>
          <cell r="AR666" t="str">
            <v>왕십리글쟁이</v>
          </cell>
        </row>
        <row r="667">
          <cell r="N667" t="str">
            <v>무장</v>
          </cell>
          <cell r="O667" t="str">
            <v>Y</v>
          </cell>
          <cell r="P667">
            <v>0.55000000000000004</v>
          </cell>
          <cell r="Q667">
            <v>0.55000000000000004</v>
          </cell>
          <cell r="R667" t="str">
            <v>단일 이용권</v>
          </cell>
          <cell r="S667">
            <v>3200</v>
          </cell>
          <cell r="T667">
            <v>12800</v>
          </cell>
          <cell r="U667">
            <v>12800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12800</v>
          </cell>
          <cell r="AE667">
            <v>12800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0</v>
          </cell>
          <cell r="AK667">
            <v>0</v>
          </cell>
          <cell r="AL667">
            <v>0</v>
          </cell>
          <cell r="AM667">
            <v>0</v>
          </cell>
          <cell r="AN667">
            <v>7040</v>
          </cell>
          <cell r="AO667">
            <v>0</v>
          </cell>
          <cell r="AP667">
            <v>7040</v>
          </cell>
          <cell r="AQ667" t="str">
            <v>스토리위즈</v>
          </cell>
          <cell r="AR667" t="str">
            <v>무장</v>
          </cell>
        </row>
        <row r="668">
          <cell r="N668" t="str">
            <v>무장</v>
          </cell>
          <cell r="O668" t="str">
            <v>Y</v>
          </cell>
          <cell r="P668">
            <v>0.55000000000000004</v>
          </cell>
          <cell r="Q668">
            <v>0.55000000000000004</v>
          </cell>
          <cell r="R668" t="str">
            <v>단일 이용권</v>
          </cell>
          <cell r="S668">
            <v>3200</v>
          </cell>
          <cell r="T668">
            <v>73600</v>
          </cell>
          <cell r="U668">
            <v>69900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3700</v>
          </cell>
          <cell r="AD668">
            <v>73600</v>
          </cell>
          <cell r="AE668">
            <v>69900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0</v>
          </cell>
          <cell r="AL668">
            <v>0</v>
          </cell>
          <cell r="AM668">
            <v>3700</v>
          </cell>
          <cell r="AN668">
            <v>40480</v>
          </cell>
          <cell r="AO668">
            <v>0</v>
          </cell>
          <cell r="AP668">
            <v>40480</v>
          </cell>
          <cell r="AQ668" t="str">
            <v>스토리위즈</v>
          </cell>
          <cell r="AR668" t="str">
            <v>무장</v>
          </cell>
        </row>
        <row r="669">
          <cell r="N669" t="str">
            <v>모험왕선우</v>
          </cell>
          <cell r="O669" t="str">
            <v>Y</v>
          </cell>
          <cell r="P669">
            <v>0.55000000000000004</v>
          </cell>
          <cell r="Q669">
            <v>0.55000000000000004</v>
          </cell>
          <cell r="R669" t="str">
            <v>단일 이용권</v>
          </cell>
          <cell r="S669">
            <v>100</v>
          </cell>
          <cell r="T669">
            <v>4500</v>
          </cell>
          <cell r="U669">
            <v>1900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2600</v>
          </cell>
          <cell r="AD669">
            <v>4500</v>
          </cell>
          <cell r="AE669">
            <v>1900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0</v>
          </cell>
          <cell r="AK669">
            <v>0</v>
          </cell>
          <cell r="AL669">
            <v>0</v>
          </cell>
          <cell r="AM669">
            <v>2600</v>
          </cell>
          <cell r="AN669">
            <v>2475</v>
          </cell>
          <cell r="AO669">
            <v>0</v>
          </cell>
          <cell r="AP669">
            <v>2475</v>
          </cell>
          <cell r="AQ669" t="str">
            <v>스토리위즈</v>
          </cell>
          <cell r="AR669" t="str">
            <v>모험왕선우</v>
          </cell>
        </row>
        <row r="670">
          <cell r="N670" t="str">
            <v>모험왕선우</v>
          </cell>
          <cell r="O670" t="str">
            <v>Y</v>
          </cell>
          <cell r="P670">
            <v>0.55000000000000004</v>
          </cell>
          <cell r="Q670">
            <v>0.55000000000000004</v>
          </cell>
          <cell r="R670" t="str">
            <v>시리즈 이용권 패키지</v>
          </cell>
          <cell r="S670">
            <v>2400</v>
          </cell>
          <cell r="T670">
            <v>2400</v>
          </cell>
          <cell r="U670">
            <v>2400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2400</v>
          </cell>
          <cell r="AE670">
            <v>2400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1320</v>
          </cell>
          <cell r="AO670">
            <v>0</v>
          </cell>
          <cell r="AP670">
            <v>1320</v>
          </cell>
          <cell r="AQ670" t="str">
            <v>스토리위즈</v>
          </cell>
          <cell r="AR670" t="str">
            <v>모험왕선우</v>
          </cell>
        </row>
        <row r="671">
          <cell r="N671" t="str">
            <v>모험왕선우</v>
          </cell>
          <cell r="O671" t="str">
            <v>Y</v>
          </cell>
          <cell r="P671">
            <v>0.55000000000000004</v>
          </cell>
          <cell r="Q671">
            <v>0.55000000000000004</v>
          </cell>
          <cell r="R671" t="str">
            <v>시리즈 이용권 패키지</v>
          </cell>
          <cell r="S671">
            <v>4700</v>
          </cell>
          <cell r="T671">
            <v>9400</v>
          </cell>
          <cell r="U671">
            <v>9400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9400</v>
          </cell>
          <cell r="AE671">
            <v>9400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5170</v>
          </cell>
          <cell r="AO671">
            <v>0</v>
          </cell>
          <cell r="AP671">
            <v>5170</v>
          </cell>
          <cell r="AQ671" t="str">
            <v>스토리위즈</v>
          </cell>
          <cell r="AR671" t="str">
            <v>모험왕선우</v>
          </cell>
        </row>
        <row r="672">
          <cell r="N672" t="str">
            <v>모험왕선우</v>
          </cell>
          <cell r="O672" t="str">
            <v>Y</v>
          </cell>
          <cell r="P672">
            <v>0.55000000000000004</v>
          </cell>
          <cell r="Q672">
            <v>0.55000000000000004</v>
          </cell>
          <cell r="R672" t="str">
            <v>시리즈 이용권 패키지</v>
          </cell>
          <cell r="S672">
            <v>9200</v>
          </cell>
          <cell r="T672">
            <v>9200</v>
          </cell>
          <cell r="U672">
            <v>9200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9200</v>
          </cell>
          <cell r="AE672">
            <v>9200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5060</v>
          </cell>
          <cell r="AO672">
            <v>0</v>
          </cell>
          <cell r="AP672">
            <v>5060</v>
          </cell>
          <cell r="AQ672" t="str">
            <v>스토리위즈</v>
          </cell>
          <cell r="AR672" t="str">
            <v>모험왕선우</v>
          </cell>
        </row>
        <row r="673">
          <cell r="N673" t="str">
            <v>도얀</v>
          </cell>
          <cell r="O673" t="str">
            <v>Y</v>
          </cell>
          <cell r="P673">
            <v>0.55000000000000004</v>
          </cell>
          <cell r="Q673">
            <v>0.55000000000000004</v>
          </cell>
          <cell r="R673" t="str">
            <v>단일 이용권</v>
          </cell>
          <cell r="S673">
            <v>100</v>
          </cell>
          <cell r="T673">
            <v>2534600</v>
          </cell>
          <cell r="U673">
            <v>785340</v>
          </cell>
          <cell r="V673">
            <v>0</v>
          </cell>
          <cell r="W673">
            <v>0</v>
          </cell>
          <cell r="X673">
            <v>900</v>
          </cell>
          <cell r="Y673">
            <v>6500</v>
          </cell>
          <cell r="Z673">
            <v>27900</v>
          </cell>
          <cell r="AA673">
            <v>0</v>
          </cell>
          <cell r="AB673">
            <v>0</v>
          </cell>
          <cell r="AC673">
            <v>1713960</v>
          </cell>
          <cell r="AD673">
            <v>2539035.7522999998</v>
          </cell>
          <cell r="AE673">
            <v>785340</v>
          </cell>
          <cell r="AF673">
            <v>0</v>
          </cell>
          <cell r="AG673">
            <v>0</v>
          </cell>
          <cell r="AH673">
            <v>1245.7523000000001</v>
          </cell>
          <cell r="AI673">
            <v>7800</v>
          </cell>
          <cell r="AJ673">
            <v>30690</v>
          </cell>
          <cell r="AK673">
            <v>0</v>
          </cell>
          <cell r="AL673">
            <v>0</v>
          </cell>
          <cell r="AM673">
            <v>1713960</v>
          </cell>
          <cell r="AN673">
            <v>1396470</v>
          </cell>
          <cell r="AO673">
            <v>0</v>
          </cell>
          <cell r="AP673">
            <v>1396470</v>
          </cell>
          <cell r="AQ673" t="str">
            <v>스토리위즈</v>
          </cell>
          <cell r="AR673" t="str">
            <v>도얀</v>
          </cell>
        </row>
        <row r="674">
          <cell r="N674" t="str">
            <v>도얀</v>
          </cell>
          <cell r="O674" t="str">
            <v>Y</v>
          </cell>
          <cell r="P674">
            <v>0.55000000000000004</v>
          </cell>
          <cell r="Q674">
            <v>0.55000000000000004</v>
          </cell>
          <cell r="R674" t="str">
            <v>시리즈 이용권 패키지</v>
          </cell>
          <cell r="S674">
            <v>2400</v>
          </cell>
          <cell r="T674">
            <v>1184700</v>
          </cell>
          <cell r="U674">
            <v>900880</v>
          </cell>
          <cell r="V674">
            <v>0</v>
          </cell>
          <cell r="W674">
            <v>0</v>
          </cell>
          <cell r="X674">
            <v>0</v>
          </cell>
          <cell r="Y674">
            <v>800</v>
          </cell>
          <cell r="Z674">
            <v>19630</v>
          </cell>
          <cell r="AA674">
            <v>0</v>
          </cell>
          <cell r="AB674">
            <v>0</v>
          </cell>
          <cell r="AC674">
            <v>263390</v>
          </cell>
          <cell r="AD674">
            <v>1186823</v>
          </cell>
          <cell r="AE674">
            <v>900880</v>
          </cell>
          <cell r="AF674">
            <v>0</v>
          </cell>
          <cell r="AG674">
            <v>0</v>
          </cell>
          <cell r="AH674">
            <v>0</v>
          </cell>
          <cell r="AI674">
            <v>960</v>
          </cell>
          <cell r="AJ674">
            <v>21593</v>
          </cell>
          <cell r="AK674">
            <v>0</v>
          </cell>
          <cell r="AL674">
            <v>0</v>
          </cell>
          <cell r="AM674">
            <v>263390</v>
          </cell>
          <cell r="AN674">
            <v>652753</v>
          </cell>
          <cell r="AO674">
            <v>0</v>
          </cell>
          <cell r="AP674">
            <v>652753</v>
          </cell>
          <cell r="AQ674" t="str">
            <v>스토리위즈</v>
          </cell>
          <cell r="AR674" t="str">
            <v>도얀</v>
          </cell>
        </row>
        <row r="675">
          <cell r="N675" t="str">
            <v>도얀</v>
          </cell>
          <cell r="O675" t="str">
            <v>Y</v>
          </cell>
          <cell r="P675">
            <v>0.55000000000000004</v>
          </cell>
          <cell r="Q675">
            <v>0.55000000000000004</v>
          </cell>
          <cell r="R675" t="str">
            <v>시리즈 이용권 패키지</v>
          </cell>
          <cell r="S675">
            <v>4700</v>
          </cell>
          <cell r="T675">
            <v>527200</v>
          </cell>
          <cell r="U675">
            <v>457500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10300</v>
          </cell>
          <cell r="AA675">
            <v>0</v>
          </cell>
          <cell r="AB675">
            <v>0</v>
          </cell>
          <cell r="AC675">
            <v>59400</v>
          </cell>
          <cell r="AD675">
            <v>528230</v>
          </cell>
          <cell r="AE675">
            <v>457500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11330</v>
          </cell>
          <cell r="AK675">
            <v>0</v>
          </cell>
          <cell r="AL675">
            <v>0</v>
          </cell>
          <cell r="AM675">
            <v>59400</v>
          </cell>
          <cell r="AN675">
            <v>290527</v>
          </cell>
          <cell r="AO675">
            <v>0</v>
          </cell>
          <cell r="AP675">
            <v>290527</v>
          </cell>
          <cell r="AQ675" t="str">
            <v>스토리위즈</v>
          </cell>
          <cell r="AR675" t="str">
            <v>도얀</v>
          </cell>
        </row>
        <row r="676">
          <cell r="N676" t="str">
            <v>도얀</v>
          </cell>
          <cell r="O676" t="str">
            <v>Y</v>
          </cell>
          <cell r="P676">
            <v>0.55000000000000004</v>
          </cell>
          <cell r="Q676">
            <v>0.55000000000000004</v>
          </cell>
          <cell r="R676" t="str">
            <v>시리즈 이용권 패키지</v>
          </cell>
          <cell r="S676">
            <v>9200</v>
          </cell>
          <cell r="T676">
            <v>613800</v>
          </cell>
          <cell r="U676">
            <v>542900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45000</v>
          </cell>
          <cell r="AA676">
            <v>0</v>
          </cell>
          <cell r="AB676">
            <v>0</v>
          </cell>
          <cell r="AC676">
            <v>25900</v>
          </cell>
          <cell r="AD676">
            <v>618300</v>
          </cell>
          <cell r="AE676">
            <v>542900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49500</v>
          </cell>
          <cell r="AK676">
            <v>0</v>
          </cell>
          <cell r="AL676">
            <v>0</v>
          </cell>
          <cell r="AM676">
            <v>25900</v>
          </cell>
          <cell r="AN676">
            <v>340065</v>
          </cell>
          <cell r="AO676">
            <v>0</v>
          </cell>
          <cell r="AP676">
            <v>340065</v>
          </cell>
          <cell r="AQ676" t="str">
            <v>스토리위즈</v>
          </cell>
          <cell r="AR676" t="str">
            <v>도얀</v>
          </cell>
        </row>
        <row r="677">
          <cell r="N677" t="str">
            <v>도얀</v>
          </cell>
          <cell r="O677" t="str">
            <v>Y</v>
          </cell>
          <cell r="P677">
            <v>0.55000000000000004</v>
          </cell>
          <cell r="Q677">
            <v>0.55000000000000004</v>
          </cell>
          <cell r="R677" t="str">
            <v>단일 대여 이용권</v>
          </cell>
          <cell r="S677">
            <v>100</v>
          </cell>
          <cell r="T677">
            <v>-4500</v>
          </cell>
          <cell r="U677">
            <v>-4500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-4500</v>
          </cell>
          <cell r="AE677">
            <v>-4500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-2475</v>
          </cell>
          <cell r="AO677">
            <v>0</v>
          </cell>
          <cell r="AP677">
            <v>-2475</v>
          </cell>
          <cell r="AQ677" t="str">
            <v>스토리위즈</v>
          </cell>
          <cell r="AR677" t="str">
            <v>도얀</v>
          </cell>
        </row>
        <row r="678">
          <cell r="N678" t="str">
            <v>덕킹</v>
          </cell>
          <cell r="O678" t="str">
            <v>Y</v>
          </cell>
          <cell r="P678">
            <v>0.55000000000000004</v>
          </cell>
          <cell r="Q678">
            <v>0.55000000000000004</v>
          </cell>
          <cell r="R678" t="str">
            <v>단일 이용권</v>
          </cell>
          <cell r="S678">
            <v>100</v>
          </cell>
          <cell r="T678">
            <v>10800</v>
          </cell>
          <cell r="U678">
            <v>9700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1100</v>
          </cell>
          <cell r="AD678">
            <v>10800</v>
          </cell>
          <cell r="AE678">
            <v>9700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AL678">
            <v>0</v>
          </cell>
          <cell r="AM678">
            <v>1100</v>
          </cell>
          <cell r="AN678">
            <v>5940</v>
          </cell>
          <cell r="AO678">
            <v>0</v>
          </cell>
          <cell r="AP678">
            <v>5940</v>
          </cell>
          <cell r="AQ678" t="str">
            <v>스토리위즈</v>
          </cell>
          <cell r="AR678" t="str">
            <v>덕킹</v>
          </cell>
        </row>
        <row r="679">
          <cell r="N679" t="str">
            <v>덕킹</v>
          </cell>
          <cell r="O679" t="str">
            <v>Y</v>
          </cell>
          <cell r="P679">
            <v>0.55000000000000004</v>
          </cell>
          <cell r="Q679">
            <v>0.55000000000000004</v>
          </cell>
          <cell r="R679" t="str">
            <v>시리즈 이용권 패키지</v>
          </cell>
          <cell r="S679">
            <v>2400</v>
          </cell>
          <cell r="T679">
            <v>9600</v>
          </cell>
          <cell r="U679">
            <v>7200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2400</v>
          </cell>
          <cell r="AD679">
            <v>9600</v>
          </cell>
          <cell r="AE679">
            <v>7200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2400</v>
          </cell>
          <cell r="AN679">
            <v>5280</v>
          </cell>
          <cell r="AO679">
            <v>0</v>
          </cell>
          <cell r="AP679">
            <v>5280</v>
          </cell>
          <cell r="AQ679" t="str">
            <v>스토리위즈</v>
          </cell>
          <cell r="AR679" t="str">
            <v>덕킹</v>
          </cell>
        </row>
        <row r="680">
          <cell r="N680" t="str">
            <v>덕킹</v>
          </cell>
          <cell r="O680" t="str">
            <v>Y</v>
          </cell>
          <cell r="P680">
            <v>0.55000000000000004</v>
          </cell>
          <cell r="Q680">
            <v>0.55000000000000004</v>
          </cell>
          <cell r="R680" t="str">
            <v>시리즈 이용권 패키지</v>
          </cell>
          <cell r="S680">
            <v>4700</v>
          </cell>
          <cell r="T680">
            <v>18800</v>
          </cell>
          <cell r="U680">
            <v>18800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18800</v>
          </cell>
          <cell r="AE680">
            <v>18800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>
            <v>0</v>
          </cell>
          <cell r="AK680">
            <v>0</v>
          </cell>
          <cell r="AL680">
            <v>0</v>
          </cell>
          <cell r="AM680">
            <v>0</v>
          </cell>
          <cell r="AN680">
            <v>10340</v>
          </cell>
          <cell r="AO680">
            <v>0</v>
          </cell>
          <cell r="AP680">
            <v>10340</v>
          </cell>
          <cell r="AQ680" t="str">
            <v>스토리위즈</v>
          </cell>
          <cell r="AR680" t="str">
            <v>덕킹</v>
          </cell>
        </row>
        <row r="681">
          <cell r="N681" t="str">
            <v>덕킹</v>
          </cell>
          <cell r="O681" t="str">
            <v>Y</v>
          </cell>
          <cell r="P681">
            <v>0.55000000000000004</v>
          </cell>
          <cell r="Q681">
            <v>0.55000000000000004</v>
          </cell>
          <cell r="R681" t="str">
            <v>시리즈 이용권 패키지</v>
          </cell>
          <cell r="S681">
            <v>9200</v>
          </cell>
          <cell r="T681">
            <v>18400</v>
          </cell>
          <cell r="U681">
            <v>18400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18400</v>
          </cell>
          <cell r="AE681">
            <v>18400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0</v>
          </cell>
          <cell r="AK681">
            <v>0</v>
          </cell>
          <cell r="AL681">
            <v>0</v>
          </cell>
          <cell r="AM681">
            <v>0</v>
          </cell>
          <cell r="AN681">
            <v>10120</v>
          </cell>
          <cell r="AO681">
            <v>0</v>
          </cell>
          <cell r="AP681">
            <v>10120</v>
          </cell>
          <cell r="AQ681" t="str">
            <v>스토리위즈</v>
          </cell>
          <cell r="AR681" t="str">
            <v>덕킹</v>
          </cell>
        </row>
        <row r="682">
          <cell r="N682" t="str">
            <v>단팥크림빵7</v>
          </cell>
          <cell r="O682" t="str">
            <v>Y</v>
          </cell>
          <cell r="P682">
            <v>0.55000000000000004</v>
          </cell>
          <cell r="Q682">
            <v>0.55000000000000004</v>
          </cell>
          <cell r="R682" t="str">
            <v>단일 이용권</v>
          </cell>
          <cell r="S682">
            <v>100</v>
          </cell>
          <cell r="T682">
            <v>10200</v>
          </cell>
          <cell r="U682">
            <v>9900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300</v>
          </cell>
          <cell r="AD682">
            <v>10200</v>
          </cell>
          <cell r="AE682">
            <v>9900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300</v>
          </cell>
          <cell r="AN682">
            <v>5610</v>
          </cell>
          <cell r="AO682">
            <v>0</v>
          </cell>
          <cell r="AP682">
            <v>5610</v>
          </cell>
          <cell r="AQ682" t="str">
            <v>스토리위즈</v>
          </cell>
          <cell r="AR682" t="str">
            <v>단팥크림빵7</v>
          </cell>
        </row>
        <row r="683">
          <cell r="N683" t="str">
            <v>단팥크림빵7</v>
          </cell>
          <cell r="O683" t="str">
            <v>Y</v>
          </cell>
          <cell r="P683">
            <v>0.55000000000000004</v>
          </cell>
          <cell r="Q683">
            <v>0.55000000000000004</v>
          </cell>
          <cell r="R683" t="str">
            <v>시리즈 이용권 패키지</v>
          </cell>
          <cell r="S683">
            <v>2400</v>
          </cell>
          <cell r="T683">
            <v>2800</v>
          </cell>
          <cell r="U683">
            <v>2300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500</v>
          </cell>
          <cell r="AD683">
            <v>2800</v>
          </cell>
          <cell r="AE683">
            <v>2300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500</v>
          </cell>
          <cell r="AN683">
            <v>1540</v>
          </cell>
          <cell r="AO683">
            <v>0</v>
          </cell>
          <cell r="AP683">
            <v>1540</v>
          </cell>
          <cell r="AQ683" t="str">
            <v>스토리위즈</v>
          </cell>
          <cell r="AR683" t="str">
            <v>단팥크림빵7</v>
          </cell>
        </row>
        <row r="684">
          <cell r="N684" t="str">
            <v>단팥크림빵7</v>
          </cell>
          <cell r="O684" t="str">
            <v>Y</v>
          </cell>
          <cell r="P684">
            <v>0.55000000000000004</v>
          </cell>
          <cell r="Q684">
            <v>0.55000000000000004</v>
          </cell>
          <cell r="R684" t="str">
            <v>시리즈 이용권 패키지</v>
          </cell>
          <cell r="S684">
            <v>4700</v>
          </cell>
          <cell r="T684">
            <v>9400</v>
          </cell>
          <cell r="U684">
            <v>9400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9400</v>
          </cell>
          <cell r="AE684">
            <v>9400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5170</v>
          </cell>
          <cell r="AO684">
            <v>0</v>
          </cell>
          <cell r="AP684">
            <v>5170</v>
          </cell>
          <cell r="AQ684" t="str">
            <v>스토리위즈</v>
          </cell>
          <cell r="AR684" t="str">
            <v>단팥크림빵7</v>
          </cell>
        </row>
        <row r="685">
          <cell r="N685" t="str">
            <v>담화공</v>
          </cell>
          <cell r="O685" t="str">
            <v>Y</v>
          </cell>
          <cell r="P685">
            <v>0.55000000000000004</v>
          </cell>
          <cell r="Q685">
            <v>0.55000000000000004</v>
          </cell>
          <cell r="R685" t="str">
            <v>단일 이용권</v>
          </cell>
          <cell r="S685">
            <v>100</v>
          </cell>
          <cell r="T685">
            <v>2978300</v>
          </cell>
          <cell r="U685">
            <v>476760</v>
          </cell>
          <cell r="V685">
            <v>0</v>
          </cell>
          <cell r="W685">
            <v>0</v>
          </cell>
          <cell r="X685">
            <v>0</v>
          </cell>
          <cell r="Y685">
            <v>6990</v>
          </cell>
          <cell r="Z685">
            <v>36960</v>
          </cell>
          <cell r="AA685">
            <v>0</v>
          </cell>
          <cell r="AB685">
            <v>0</v>
          </cell>
          <cell r="AC685">
            <v>2457590</v>
          </cell>
          <cell r="AD685">
            <v>2983394</v>
          </cell>
          <cell r="AE685">
            <v>476760</v>
          </cell>
          <cell r="AF685">
            <v>0</v>
          </cell>
          <cell r="AG685">
            <v>0</v>
          </cell>
          <cell r="AH685">
            <v>0</v>
          </cell>
          <cell r="AI685">
            <v>8388</v>
          </cell>
          <cell r="AJ685">
            <v>40656</v>
          </cell>
          <cell r="AK685">
            <v>0</v>
          </cell>
          <cell r="AL685">
            <v>0</v>
          </cell>
          <cell r="AM685">
            <v>2457590</v>
          </cell>
          <cell r="AN685">
            <v>1640867</v>
          </cell>
          <cell r="AO685">
            <v>0</v>
          </cell>
          <cell r="AP685">
            <v>1640867</v>
          </cell>
          <cell r="AQ685" t="str">
            <v>스토리위즈</v>
          </cell>
          <cell r="AR685" t="str">
            <v>담화공</v>
          </cell>
        </row>
        <row r="686">
          <cell r="N686" t="str">
            <v>담화공</v>
          </cell>
          <cell r="O686" t="str">
            <v>Y</v>
          </cell>
          <cell r="P686">
            <v>0.55000000000000004</v>
          </cell>
          <cell r="Q686">
            <v>0.55000000000000004</v>
          </cell>
          <cell r="R686" t="str">
            <v>시리즈 이용권 패키지</v>
          </cell>
          <cell r="S686">
            <v>2400</v>
          </cell>
          <cell r="T686">
            <v>2305500</v>
          </cell>
          <cell r="U686">
            <v>1462490</v>
          </cell>
          <cell r="V686">
            <v>0</v>
          </cell>
          <cell r="W686">
            <v>0</v>
          </cell>
          <cell r="X686">
            <v>0</v>
          </cell>
          <cell r="Y686">
            <v>4000</v>
          </cell>
          <cell r="Z686">
            <v>129500</v>
          </cell>
          <cell r="AA686">
            <v>0</v>
          </cell>
          <cell r="AB686">
            <v>0</v>
          </cell>
          <cell r="AC686">
            <v>709510</v>
          </cell>
          <cell r="AD686">
            <v>2319250</v>
          </cell>
          <cell r="AE686">
            <v>1462490</v>
          </cell>
          <cell r="AF686">
            <v>0</v>
          </cell>
          <cell r="AG686">
            <v>0</v>
          </cell>
          <cell r="AH686">
            <v>0</v>
          </cell>
          <cell r="AI686">
            <v>4800</v>
          </cell>
          <cell r="AJ686">
            <v>142450</v>
          </cell>
          <cell r="AK686">
            <v>0</v>
          </cell>
          <cell r="AL686">
            <v>0</v>
          </cell>
          <cell r="AM686">
            <v>709510</v>
          </cell>
          <cell r="AN686">
            <v>1275588</v>
          </cell>
          <cell r="AO686">
            <v>0</v>
          </cell>
          <cell r="AP686">
            <v>1275588</v>
          </cell>
          <cell r="AQ686" t="str">
            <v>스토리위즈</v>
          </cell>
          <cell r="AR686" t="str">
            <v>담화공</v>
          </cell>
        </row>
        <row r="687">
          <cell r="N687" t="str">
            <v>담화공</v>
          </cell>
          <cell r="O687" t="str">
            <v>Y</v>
          </cell>
          <cell r="P687">
            <v>0.55000000000000004</v>
          </cell>
          <cell r="Q687">
            <v>0.55000000000000004</v>
          </cell>
          <cell r="R687" t="str">
            <v>시리즈 이용권 패키지</v>
          </cell>
          <cell r="S687">
            <v>9200</v>
          </cell>
          <cell r="T687">
            <v>3726800</v>
          </cell>
          <cell r="U687">
            <v>2661450</v>
          </cell>
          <cell r="V687">
            <v>0</v>
          </cell>
          <cell r="W687">
            <v>0</v>
          </cell>
          <cell r="X687">
            <v>0</v>
          </cell>
          <cell r="Y687">
            <v>1300</v>
          </cell>
          <cell r="Z687">
            <v>741630</v>
          </cell>
          <cell r="AA687">
            <v>0</v>
          </cell>
          <cell r="AB687">
            <v>0</v>
          </cell>
          <cell r="AC687">
            <v>322420</v>
          </cell>
          <cell r="AD687">
            <v>3801223</v>
          </cell>
          <cell r="AE687">
            <v>2661450</v>
          </cell>
          <cell r="AF687">
            <v>0</v>
          </cell>
          <cell r="AG687">
            <v>0</v>
          </cell>
          <cell r="AH687">
            <v>0</v>
          </cell>
          <cell r="AI687">
            <v>1560</v>
          </cell>
          <cell r="AJ687">
            <v>815793</v>
          </cell>
          <cell r="AK687">
            <v>0</v>
          </cell>
          <cell r="AL687">
            <v>0</v>
          </cell>
          <cell r="AM687">
            <v>322420</v>
          </cell>
          <cell r="AN687">
            <v>2090673</v>
          </cell>
          <cell r="AO687">
            <v>0</v>
          </cell>
          <cell r="AP687">
            <v>2090673</v>
          </cell>
          <cell r="AQ687" t="str">
            <v>스토리위즈</v>
          </cell>
          <cell r="AR687" t="str">
            <v>담화공</v>
          </cell>
        </row>
        <row r="688">
          <cell r="N688" t="str">
            <v>담화공</v>
          </cell>
          <cell r="O688" t="str">
            <v>Y</v>
          </cell>
          <cell r="P688">
            <v>0.55000000000000004</v>
          </cell>
          <cell r="Q688">
            <v>0.55000000000000004</v>
          </cell>
          <cell r="R688" t="str">
            <v>시리즈 이용권 패키지</v>
          </cell>
          <cell r="S688">
            <v>18000</v>
          </cell>
          <cell r="T688">
            <v>4435200</v>
          </cell>
          <cell r="U688">
            <v>3745080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386080</v>
          </cell>
          <cell r="AA688">
            <v>0</v>
          </cell>
          <cell r="AB688">
            <v>0</v>
          </cell>
          <cell r="AC688">
            <v>304040</v>
          </cell>
          <cell r="AD688">
            <v>4473808</v>
          </cell>
          <cell r="AE688">
            <v>3745080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424688</v>
          </cell>
          <cell r="AK688">
            <v>0</v>
          </cell>
          <cell r="AL688">
            <v>0</v>
          </cell>
          <cell r="AM688">
            <v>304040</v>
          </cell>
          <cell r="AN688">
            <v>2460594</v>
          </cell>
          <cell r="AO688">
            <v>0</v>
          </cell>
          <cell r="AP688">
            <v>2460594</v>
          </cell>
          <cell r="AQ688" t="str">
            <v>스토리위즈</v>
          </cell>
          <cell r="AR688" t="str">
            <v>담화공</v>
          </cell>
        </row>
        <row r="689">
          <cell r="N689" t="str">
            <v>써드리오,Azul,루이세</v>
          </cell>
          <cell r="O689" t="str">
            <v>Y</v>
          </cell>
          <cell r="P689">
            <v>0.6</v>
          </cell>
          <cell r="Q689">
            <v>0.6</v>
          </cell>
          <cell r="R689" t="str">
            <v>단일 이용권</v>
          </cell>
          <cell r="S689">
            <v>400</v>
          </cell>
          <cell r="T689">
            <v>102000</v>
          </cell>
          <cell r="U689">
            <v>46980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600</v>
          </cell>
          <cell r="AA689">
            <v>0</v>
          </cell>
          <cell r="AB689">
            <v>0</v>
          </cell>
          <cell r="AC689">
            <v>54420</v>
          </cell>
          <cell r="AD689">
            <v>102060</v>
          </cell>
          <cell r="AE689">
            <v>46980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660</v>
          </cell>
          <cell r="AK689">
            <v>0</v>
          </cell>
          <cell r="AL689">
            <v>0</v>
          </cell>
          <cell r="AM689">
            <v>54420</v>
          </cell>
          <cell r="AN689">
            <v>61236</v>
          </cell>
          <cell r="AO689">
            <v>0</v>
          </cell>
          <cell r="AP689">
            <v>61236</v>
          </cell>
          <cell r="AQ689" t="str">
            <v>구디</v>
          </cell>
          <cell r="AR689" t="str">
            <v>구디</v>
          </cell>
        </row>
        <row r="690">
          <cell r="N690" t="str">
            <v>써드리오,Azul,루이세</v>
          </cell>
          <cell r="O690" t="str">
            <v>Y</v>
          </cell>
          <cell r="P690">
            <v>0.6</v>
          </cell>
          <cell r="Q690">
            <v>0.6</v>
          </cell>
          <cell r="R690" t="str">
            <v>시리즈 이용권 패키지</v>
          </cell>
          <cell r="S690">
            <v>3600</v>
          </cell>
          <cell r="T690">
            <v>193600</v>
          </cell>
          <cell r="U690">
            <v>163600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17900</v>
          </cell>
          <cell r="AA690">
            <v>0</v>
          </cell>
          <cell r="AB690">
            <v>0</v>
          </cell>
          <cell r="AC690">
            <v>12100</v>
          </cell>
          <cell r="AD690">
            <v>195390</v>
          </cell>
          <cell r="AE690">
            <v>163600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19690</v>
          </cell>
          <cell r="AK690">
            <v>0</v>
          </cell>
          <cell r="AL690">
            <v>0</v>
          </cell>
          <cell r="AM690">
            <v>12100</v>
          </cell>
          <cell r="AN690">
            <v>117234</v>
          </cell>
          <cell r="AO690">
            <v>0</v>
          </cell>
          <cell r="AP690">
            <v>117234</v>
          </cell>
          <cell r="AQ690" t="str">
            <v>구디</v>
          </cell>
          <cell r="AR690" t="str">
            <v>구디</v>
          </cell>
        </row>
        <row r="691">
          <cell r="N691" t="str">
            <v>써드리오,Azul,루이세</v>
          </cell>
          <cell r="O691" t="str">
            <v>Y</v>
          </cell>
          <cell r="P691">
            <v>0.6</v>
          </cell>
          <cell r="Q691">
            <v>0.6</v>
          </cell>
          <cell r="R691" t="str">
            <v>시리즈 이용권 패키지</v>
          </cell>
          <cell r="S691">
            <v>10800</v>
          </cell>
          <cell r="T691">
            <v>32400</v>
          </cell>
          <cell r="U691">
            <v>32400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32400</v>
          </cell>
          <cell r="AE691">
            <v>32400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19440</v>
          </cell>
          <cell r="AO691">
            <v>0</v>
          </cell>
          <cell r="AP691">
            <v>19440</v>
          </cell>
          <cell r="AQ691" t="str">
            <v>구디</v>
          </cell>
          <cell r="AR691" t="str">
            <v>구디</v>
          </cell>
        </row>
        <row r="692">
          <cell r="N692" t="str">
            <v>써드리오,Azul,루이세</v>
          </cell>
          <cell r="O692" t="str">
            <v>Y</v>
          </cell>
          <cell r="P692">
            <v>0.6</v>
          </cell>
          <cell r="Q692">
            <v>0.6</v>
          </cell>
          <cell r="R692" t="str">
            <v>시리즈 이용권 패키지</v>
          </cell>
          <cell r="S692">
            <v>18000</v>
          </cell>
          <cell r="T692">
            <v>54000</v>
          </cell>
          <cell r="U692">
            <v>54000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54000</v>
          </cell>
          <cell r="AE692">
            <v>54000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32400</v>
          </cell>
          <cell r="AO692">
            <v>0</v>
          </cell>
          <cell r="AP692">
            <v>32400</v>
          </cell>
          <cell r="AQ692" t="str">
            <v>구디</v>
          </cell>
          <cell r="AR692" t="str">
            <v>구디</v>
          </cell>
        </row>
        <row r="693">
          <cell r="N693" t="str">
            <v>써드리오,Azul,루이세</v>
          </cell>
          <cell r="O693" t="str">
            <v>Y</v>
          </cell>
          <cell r="P693">
            <v>0.6</v>
          </cell>
          <cell r="Q693">
            <v>0.6</v>
          </cell>
          <cell r="R693" t="str">
            <v>단일 대여 이용권</v>
          </cell>
          <cell r="S693">
            <v>200</v>
          </cell>
          <cell r="T693">
            <v>1167000</v>
          </cell>
          <cell r="U693">
            <v>678960</v>
          </cell>
          <cell r="V693">
            <v>0</v>
          </cell>
          <cell r="W693">
            <v>0</v>
          </cell>
          <cell r="X693">
            <v>0</v>
          </cell>
          <cell r="Y693">
            <v>16300</v>
          </cell>
          <cell r="Z693">
            <v>30300</v>
          </cell>
          <cell r="AA693">
            <v>0</v>
          </cell>
          <cell r="AB693">
            <v>0</v>
          </cell>
          <cell r="AC693">
            <v>441440</v>
          </cell>
          <cell r="AD693">
            <v>1173290</v>
          </cell>
          <cell r="AE693">
            <v>678960</v>
          </cell>
          <cell r="AF693">
            <v>0</v>
          </cell>
          <cell r="AG693">
            <v>0</v>
          </cell>
          <cell r="AH693">
            <v>0</v>
          </cell>
          <cell r="AI693">
            <v>19560</v>
          </cell>
          <cell r="AJ693">
            <v>33330</v>
          </cell>
          <cell r="AK693">
            <v>0</v>
          </cell>
          <cell r="AL693">
            <v>0</v>
          </cell>
          <cell r="AM693">
            <v>441440</v>
          </cell>
          <cell r="AN693">
            <v>703974</v>
          </cell>
          <cell r="AO693">
            <v>0</v>
          </cell>
          <cell r="AP693">
            <v>703974</v>
          </cell>
          <cell r="AQ693" t="str">
            <v>구디</v>
          </cell>
          <cell r="AR693" t="str">
            <v>구디</v>
          </cell>
        </row>
        <row r="694">
          <cell r="N694" t="str">
            <v>써드리오,Azul,루이세</v>
          </cell>
          <cell r="O694" t="str">
            <v>Y</v>
          </cell>
          <cell r="P694">
            <v>0.6</v>
          </cell>
          <cell r="Q694">
            <v>0.6</v>
          </cell>
          <cell r="R694" t="str">
            <v>시리즈 대여 이용권 패키지</v>
          </cell>
          <cell r="S694">
            <v>1800</v>
          </cell>
          <cell r="T694">
            <v>995800</v>
          </cell>
          <cell r="U694">
            <v>799180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58100</v>
          </cell>
          <cell r="AA694">
            <v>0</v>
          </cell>
          <cell r="AB694">
            <v>0</v>
          </cell>
          <cell r="AC694">
            <v>138520</v>
          </cell>
          <cell r="AD694">
            <v>1001610</v>
          </cell>
          <cell r="AE694">
            <v>799180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63910</v>
          </cell>
          <cell r="AK694">
            <v>0</v>
          </cell>
          <cell r="AL694">
            <v>0</v>
          </cell>
          <cell r="AM694">
            <v>138520</v>
          </cell>
          <cell r="AN694">
            <v>600966</v>
          </cell>
          <cell r="AO694">
            <v>0</v>
          </cell>
          <cell r="AP694">
            <v>600966</v>
          </cell>
          <cell r="AQ694" t="str">
            <v>구디</v>
          </cell>
          <cell r="AR694" t="str">
            <v>구디</v>
          </cell>
        </row>
        <row r="695">
          <cell r="N695" t="str">
            <v>써드리오,Azul,루이세</v>
          </cell>
          <cell r="O695" t="str">
            <v>Y</v>
          </cell>
          <cell r="P695">
            <v>0.6</v>
          </cell>
          <cell r="Q695">
            <v>0.6</v>
          </cell>
          <cell r="R695" t="str">
            <v>시리즈 대여 이용권 패키지</v>
          </cell>
          <cell r="S695">
            <v>5400</v>
          </cell>
          <cell r="T695">
            <v>64400</v>
          </cell>
          <cell r="U695">
            <v>59000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5400</v>
          </cell>
          <cell r="AD695">
            <v>64400</v>
          </cell>
          <cell r="AE695">
            <v>59000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5400</v>
          </cell>
          <cell r="AN695">
            <v>38640</v>
          </cell>
          <cell r="AO695">
            <v>0</v>
          </cell>
          <cell r="AP695">
            <v>38640</v>
          </cell>
          <cell r="AQ695" t="str">
            <v>구디</v>
          </cell>
          <cell r="AR695" t="str">
            <v>구디</v>
          </cell>
        </row>
        <row r="696">
          <cell r="N696" t="str">
            <v>써드리오,Azul,루이세</v>
          </cell>
          <cell r="O696" t="str">
            <v>Y</v>
          </cell>
          <cell r="P696">
            <v>0.6</v>
          </cell>
          <cell r="Q696">
            <v>0.6</v>
          </cell>
          <cell r="R696" t="str">
            <v>시리즈 대여 이용권 패키지</v>
          </cell>
          <cell r="S696">
            <v>9000</v>
          </cell>
          <cell r="T696">
            <v>32200</v>
          </cell>
          <cell r="U696">
            <v>39800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-7600</v>
          </cell>
          <cell r="AA696">
            <v>0</v>
          </cell>
          <cell r="AB696">
            <v>0</v>
          </cell>
          <cell r="AC696">
            <v>0</v>
          </cell>
          <cell r="AD696">
            <v>31440</v>
          </cell>
          <cell r="AE696">
            <v>39800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-8360</v>
          </cell>
          <cell r="AK696">
            <v>0</v>
          </cell>
          <cell r="AL696">
            <v>0</v>
          </cell>
          <cell r="AM696">
            <v>0</v>
          </cell>
          <cell r="AN696">
            <v>18864</v>
          </cell>
          <cell r="AO696">
            <v>0</v>
          </cell>
          <cell r="AP696">
            <v>18864</v>
          </cell>
          <cell r="AQ696" t="str">
            <v>구디</v>
          </cell>
          <cell r="AR696" t="str">
            <v>구디</v>
          </cell>
        </row>
        <row r="697">
          <cell r="N697" t="str">
            <v>은민,여울</v>
          </cell>
          <cell r="O697" t="str">
            <v>Y</v>
          </cell>
          <cell r="P697">
            <v>0.55000000000000004</v>
          </cell>
          <cell r="Q697">
            <v>0.55000000000000004</v>
          </cell>
          <cell r="R697" t="str">
            <v>단일 이용권</v>
          </cell>
          <cell r="S697">
            <v>400</v>
          </cell>
          <cell r="T697">
            <v>106000</v>
          </cell>
          <cell r="U697">
            <v>81600</v>
          </cell>
          <cell r="V697">
            <v>0</v>
          </cell>
          <cell r="W697">
            <v>0</v>
          </cell>
          <cell r="X697">
            <v>0</v>
          </cell>
          <cell r="Y697">
            <v>300</v>
          </cell>
          <cell r="Z697">
            <v>2000</v>
          </cell>
          <cell r="AA697">
            <v>0</v>
          </cell>
          <cell r="AB697">
            <v>0</v>
          </cell>
          <cell r="AC697">
            <v>22100</v>
          </cell>
          <cell r="AD697">
            <v>106260</v>
          </cell>
          <cell r="AE697">
            <v>81600</v>
          </cell>
          <cell r="AF697">
            <v>0</v>
          </cell>
          <cell r="AG697">
            <v>0</v>
          </cell>
          <cell r="AH697">
            <v>0</v>
          </cell>
          <cell r="AI697">
            <v>360</v>
          </cell>
          <cell r="AJ697">
            <v>2200</v>
          </cell>
          <cell r="AK697">
            <v>0</v>
          </cell>
          <cell r="AL697">
            <v>0</v>
          </cell>
          <cell r="AM697">
            <v>22100</v>
          </cell>
          <cell r="AN697">
            <v>58443</v>
          </cell>
          <cell r="AO697">
            <v>0</v>
          </cell>
          <cell r="AP697">
            <v>58443</v>
          </cell>
          <cell r="AQ697" t="str">
            <v>컨텐츠헤라</v>
          </cell>
          <cell r="AR697" t="str">
            <v>컨텐츠헤라</v>
          </cell>
        </row>
        <row r="698">
          <cell r="N698" t="str">
            <v>은민,여울</v>
          </cell>
          <cell r="O698" t="str">
            <v>Y</v>
          </cell>
          <cell r="P698">
            <v>0.55000000000000004</v>
          </cell>
          <cell r="Q698">
            <v>0.55000000000000004</v>
          </cell>
          <cell r="R698" t="str">
            <v>시리즈 이용권 패키지</v>
          </cell>
          <cell r="S698">
            <v>3600</v>
          </cell>
          <cell r="T698">
            <v>216800</v>
          </cell>
          <cell r="U698">
            <v>166000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3600</v>
          </cell>
          <cell r="AA698">
            <v>0</v>
          </cell>
          <cell r="AB698">
            <v>0</v>
          </cell>
          <cell r="AC698">
            <v>47200</v>
          </cell>
          <cell r="AD698">
            <v>217160</v>
          </cell>
          <cell r="AE698">
            <v>166000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3960</v>
          </cell>
          <cell r="AK698">
            <v>0</v>
          </cell>
          <cell r="AL698">
            <v>0</v>
          </cell>
          <cell r="AM698">
            <v>47200</v>
          </cell>
          <cell r="AN698">
            <v>119438</v>
          </cell>
          <cell r="AO698">
            <v>0</v>
          </cell>
          <cell r="AP698">
            <v>119438</v>
          </cell>
          <cell r="AQ698" t="str">
            <v>컨텐츠헤라</v>
          </cell>
          <cell r="AR698" t="str">
            <v>컨텐츠헤라</v>
          </cell>
        </row>
        <row r="699">
          <cell r="N699" t="str">
            <v>은민,여울</v>
          </cell>
          <cell r="O699" t="str">
            <v>Y</v>
          </cell>
          <cell r="P699">
            <v>0.55000000000000004</v>
          </cell>
          <cell r="Q699">
            <v>0.55000000000000004</v>
          </cell>
          <cell r="R699" t="str">
            <v>시리즈 이용권 패키지</v>
          </cell>
          <cell r="S699">
            <v>10800</v>
          </cell>
          <cell r="T699">
            <v>205200</v>
          </cell>
          <cell r="U699">
            <v>167100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32400</v>
          </cell>
          <cell r="AA699">
            <v>0</v>
          </cell>
          <cell r="AB699">
            <v>0</v>
          </cell>
          <cell r="AC699">
            <v>5700</v>
          </cell>
          <cell r="AD699">
            <v>208440</v>
          </cell>
          <cell r="AE699">
            <v>167100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35640</v>
          </cell>
          <cell r="AK699">
            <v>0</v>
          </cell>
          <cell r="AL699">
            <v>0</v>
          </cell>
          <cell r="AM699">
            <v>5700</v>
          </cell>
          <cell r="AN699">
            <v>114642</v>
          </cell>
          <cell r="AO699">
            <v>0</v>
          </cell>
          <cell r="AP699">
            <v>114642</v>
          </cell>
          <cell r="AQ699" t="str">
            <v>컨텐츠헤라</v>
          </cell>
          <cell r="AR699" t="str">
            <v>컨텐츠헤라</v>
          </cell>
        </row>
        <row r="700">
          <cell r="N700" t="str">
            <v>은민,여울</v>
          </cell>
          <cell r="O700" t="str">
            <v>Y</v>
          </cell>
          <cell r="P700">
            <v>0.55000000000000004</v>
          </cell>
          <cell r="Q700">
            <v>0.55000000000000004</v>
          </cell>
          <cell r="R700" t="str">
            <v>시리즈 이용권 패키지</v>
          </cell>
          <cell r="S700">
            <v>18000</v>
          </cell>
          <cell r="T700">
            <v>94000</v>
          </cell>
          <cell r="U700">
            <v>43600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54000</v>
          </cell>
          <cell r="AA700">
            <v>0</v>
          </cell>
          <cell r="AB700">
            <v>0</v>
          </cell>
          <cell r="AC700">
            <v>-3600</v>
          </cell>
          <cell r="AD700">
            <v>99400</v>
          </cell>
          <cell r="AE700">
            <v>43600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59400</v>
          </cell>
          <cell r="AK700">
            <v>0</v>
          </cell>
          <cell r="AL700">
            <v>0</v>
          </cell>
          <cell r="AM700">
            <v>-3600</v>
          </cell>
          <cell r="AN700">
            <v>54670</v>
          </cell>
          <cell r="AO700">
            <v>0</v>
          </cell>
          <cell r="AP700">
            <v>54670</v>
          </cell>
          <cell r="AQ700" t="str">
            <v>컨텐츠헤라</v>
          </cell>
          <cell r="AR700" t="str">
            <v>컨텐츠헤라</v>
          </cell>
        </row>
        <row r="701">
          <cell r="N701" t="str">
            <v>은민,여울</v>
          </cell>
          <cell r="O701" t="str">
            <v>Y</v>
          </cell>
          <cell r="P701">
            <v>0.55000000000000004</v>
          </cell>
          <cell r="Q701">
            <v>0.55000000000000004</v>
          </cell>
          <cell r="R701" t="str">
            <v>단일 대여 이용권</v>
          </cell>
          <cell r="S701">
            <v>200</v>
          </cell>
          <cell r="T701">
            <v>1731400</v>
          </cell>
          <cell r="U701">
            <v>691910</v>
          </cell>
          <cell r="V701">
            <v>0</v>
          </cell>
          <cell r="W701">
            <v>0</v>
          </cell>
          <cell r="X701">
            <v>0</v>
          </cell>
          <cell r="Y701">
            <v>35280</v>
          </cell>
          <cell r="Z701">
            <v>41200</v>
          </cell>
          <cell r="AA701">
            <v>0</v>
          </cell>
          <cell r="AB701">
            <v>0</v>
          </cell>
          <cell r="AC701">
            <v>963010</v>
          </cell>
          <cell r="AD701">
            <v>1742576</v>
          </cell>
          <cell r="AE701">
            <v>691910</v>
          </cell>
          <cell r="AF701">
            <v>0</v>
          </cell>
          <cell r="AG701">
            <v>0</v>
          </cell>
          <cell r="AH701">
            <v>0</v>
          </cell>
          <cell r="AI701">
            <v>42336</v>
          </cell>
          <cell r="AJ701">
            <v>45320</v>
          </cell>
          <cell r="AK701">
            <v>0</v>
          </cell>
          <cell r="AL701">
            <v>0</v>
          </cell>
          <cell r="AM701">
            <v>963010</v>
          </cell>
          <cell r="AN701">
            <v>958417</v>
          </cell>
          <cell r="AO701">
            <v>0</v>
          </cell>
          <cell r="AP701">
            <v>958417</v>
          </cell>
          <cell r="AQ701" t="str">
            <v>컨텐츠헤라</v>
          </cell>
          <cell r="AR701" t="str">
            <v>컨텐츠헤라</v>
          </cell>
        </row>
        <row r="702">
          <cell r="N702" t="str">
            <v>은민,여울</v>
          </cell>
          <cell r="O702" t="str">
            <v>Y</v>
          </cell>
          <cell r="P702">
            <v>0.55000000000000004</v>
          </cell>
          <cell r="Q702">
            <v>0.55000000000000004</v>
          </cell>
          <cell r="R702" t="str">
            <v>시리즈 대여 이용권 패키지</v>
          </cell>
          <cell r="S702">
            <v>1800</v>
          </cell>
          <cell r="T702">
            <v>1272000</v>
          </cell>
          <cell r="U702">
            <v>966460</v>
          </cell>
          <cell r="V702">
            <v>0</v>
          </cell>
          <cell r="W702">
            <v>0</v>
          </cell>
          <cell r="X702">
            <v>0</v>
          </cell>
          <cell r="Y702">
            <v>12100</v>
          </cell>
          <cell r="Z702">
            <v>71910</v>
          </cell>
          <cell r="AA702">
            <v>0</v>
          </cell>
          <cell r="AB702">
            <v>0</v>
          </cell>
          <cell r="AC702">
            <v>221530</v>
          </cell>
          <cell r="AD702">
            <v>1281611</v>
          </cell>
          <cell r="AE702">
            <v>966460</v>
          </cell>
          <cell r="AF702">
            <v>0</v>
          </cell>
          <cell r="AG702">
            <v>0</v>
          </cell>
          <cell r="AH702">
            <v>0</v>
          </cell>
          <cell r="AI702">
            <v>14520</v>
          </cell>
          <cell r="AJ702">
            <v>79101</v>
          </cell>
          <cell r="AK702">
            <v>0</v>
          </cell>
          <cell r="AL702">
            <v>0</v>
          </cell>
          <cell r="AM702">
            <v>221530</v>
          </cell>
          <cell r="AN702">
            <v>704886</v>
          </cell>
          <cell r="AO702">
            <v>0</v>
          </cell>
          <cell r="AP702">
            <v>704886</v>
          </cell>
          <cell r="AQ702" t="str">
            <v>컨텐츠헤라</v>
          </cell>
          <cell r="AR702" t="str">
            <v>컨텐츠헤라</v>
          </cell>
        </row>
        <row r="703">
          <cell r="N703" t="str">
            <v>은민,여울</v>
          </cell>
          <cell r="O703" t="str">
            <v>Y</v>
          </cell>
          <cell r="P703">
            <v>0.55000000000000004</v>
          </cell>
          <cell r="Q703">
            <v>0.55000000000000004</v>
          </cell>
          <cell r="R703" t="str">
            <v>시리즈 대여 이용권 패키지</v>
          </cell>
          <cell r="S703">
            <v>5400</v>
          </cell>
          <cell r="T703">
            <v>700600</v>
          </cell>
          <cell r="U703">
            <v>591300</v>
          </cell>
          <cell r="V703">
            <v>0</v>
          </cell>
          <cell r="W703">
            <v>0</v>
          </cell>
          <cell r="X703">
            <v>0</v>
          </cell>
          <cell r="Y703">
            <v>16100</v>
          </cell>
          <cell r="Z703">
            <v>41700</v>
          </cell>
          <cell r="AA703">
            <v>0</v>
          </cell>
          <cell r="AB703">
            <v>0</v>
          </cell>
          <cell r="AC703">
            <v>51500</v>
          </cell>
          <cell r="AD703">
            <v>707990</v>
          </cell>
          <cell r="AE703">
            <v>591300</v>
          </cell>
          <cell r="AF703">
            <v>0</v>
          </cell>
          <cell r="AG703">
            <v>0</v>
          </cell>
          <cell r="AH703">
            <v>0</v>
          </cell>
          <cell r="AI703">
            <v>19320</v>
          </cell>
          <cell r="AJ703">
            <v>45870</v>
          </cell>
          <cell r="AK703">
            <v>0</v>
          </cell>
          <cell r="AL703">
            <v>0</v>
          </cell>
          <cell r="AM703">
            <v>51500</v>
          </cell>
          <cell r="AN703">
            <v>389395</v>
          </cell>
          <cell r="AO703">
            <v>0</v>
          </cell>
          <cell r="AP703">
            <v>389395</v>
          </cell>
          <cell r="AQ703" t="str">
            <v>컨텐츠헤라</v>
          </cell>
          <cell r="AR703" t="str">
            <v>컨텐츠헤라</v>
          </cell>
        </row>
        <row r="704">
          <cell r="N704" t="str">
            <v>은민,여울</v>
          </cell>
          <cell r="O704" t="str">
            <v>Y</v>
          </cell>
          <cell r="P704">
            <v>0.55000000000000004</v>
          </cell>
          <cell r="Q704">
            <v>0.55000000000000004</v>
          </cell>
          <cell r="R704" t="str">
            <v>시리즈 대여 이용권 패키지</v>
          </cell>
          <cell r="S704">
            <v>9000</v>
          </cell>
          <cell r="T704">
            <v>1573400</v>
          </cell>
          <cell r="U704">
            <v>1340440</v>
          </cell>
          <cell r="V704">
            <v>0</v>
          </cell>
          <cell r="W704">
            <v>0</v>
          </cell>
          <cell r="X704">
            <v>0</v>
          </cell>
          <cell r="Y704">
            <v>350</v>
          </cell>
          <cell r="Z704">
            <v>150550</v>
          </cell>
          <cell r="AA704">
            <v>0</v>
          </cell>
          <cell r="AB704">
            <v>0</v>
          </cell>
          <cell r="AC704">
            <v>82060</v>
          </cell>
          <cell r="AD704">
            <v>1588525</v>
          </cell>
          <cell r="AE704">
            <v>1340440</v>
          </cell>
          <cell r="AF704">
            <v>0</v>
          </cell>
          <cell r="AG704">
            <v>0</v>
          </cell>
          <cell r="AH704">
            <v>0</v>
          </cell>
          <cell r="AI704">
            <v>420</v>
          </cell>
          <cell r="AJ704">
            <v>165605</v>
          </cell>
          <cell r="AK704">
            <v>0</v>
          </cell>
          <cell r="AL704">
            <v>0</v>
          </cell>
          <cell r="AM704">
            <v>82060</v>
          </cell>
          <cell r="AN704">
            <v>873689</v>
          </cell>
          <cell r="AO704">
            <v>0</v>
          </cell>
          <cell r="AP704">
            <v>873689</v>
          </cell>
          <cell r="AQ704" t="str">
            <v>컨텐츠헤라</v>
          </cell>
          <cell r="AR704" t="str">
            <v>컨텐츠헤라</v>
          </cell>
        </row>
        <row r="705">
          <cell r="N705" t="str">
            <v>정훈,수국</v>
          </cell>
          <cell r="O705" t="str">
            <v>Y</v>
          </cell>
          <cell r="P705">
            <v>0.55000000000000004</v>
          </cell>
          <cell r="Q705">
            <v>0.55000000000000004</v>
          </cell>
          <cell r="R705" t="str">
            <v>단일 이용권</v>
          </cell>
          <cell r="S705">
            <v>400</v>
          </cell>
          <cell r="T705">
            <v>1200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1200</v>
          </cell>
          <cell r="AD705">
            <v>1200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AL705">
            <v>0</v>
          </cell>
          <cell r="AM705">
            <v>1200</v>
          </cell>
          <cell r="AN705">
            <v>660</v>
          </cell>
          <cell r="AO705">
            <v>0</v>
          </cell>
          <cell r="AP705">
            <v>660</v>
          </cell>
          <cell r="AQ705" t="str">
            <v>컨텐츠헤라</v>
          </cell>
          <cell r="AR705" t="str">
            <v>컨텐츠헤라</v>
          </cell>
        </row>
        <row r="706">
          <cell r="N706" t="str">
            <v>정훈,수국</v>
          </cell>
          <cell r="O706" t="str">
            <v>Y</v>
          </cell>
          <cell r="P706">
            <v>0.55000000000000004</v>
          </cell>
          <cell r="Q706">
            <v>0.55000000000000004</v>
          </cell>
          <cell r="R706" t="str">
            <v>단일 대여 이용권</v>
          </cell>
          <cell r="S706">
            <v>200</v>
          </cell>
          <cell r="T706">
            <v>129400</v>
          </cell>
          <cell r="U706">
            <v>65780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4800</v>
          </cell>
          <cell r="AA706">
            <v>0</v>
          </cell>
          <cell r="AB706">
            <v>0</v>
          </cell>
          <cell r="AC706">
            <v>58820</v>
          </cell>
          <cell r="AD706">
            <v>129880</v>
          </cell>
          <cell r="AE706">
            <v>65780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5280</v>
          </cell>
          <cell r="AK706">
            <v>0</v>
          </cell>
          <cell r="AL706">
            <v>0</v>
          </cell>
          <cell r="AM706">
            <v>58820</v>
          </cell>
          <cell r="AN706">
            <v>71434</v>
          </cell>
          <cell r="AO706">
            <v>0</v>
          </cell>
          <cell r="AP706">
            <v>71434</v>
          </cell>
          <cell r="AQ706" t="str">
            <v>컨텐츠헤라</v>
          </cell>
          <cell r="AR706" t="str">
            <v>컨텐츠헤라</v>
          </cell>
        </row>
        <row r="707">
          <cell r="N707" t="str">
            <v>정훈,수국</v>
          </cell>
          <cell r="O707" t="str">
            <v>Y</v>
          </cell>
          <cell r="P707">
            <v>0.55000000000000004</v>
          </cell>
          <cell r="Q707">
            <v>0.55000000000000004</v>
          </cell>
          <cell r="R707" t="str">
            <v>시리즈 대여 이용권 패키지</v>
          </cell>
          <cell r="S707">
            <v>1800</v>
          </cell>
          <cell r="T707">
            <v>130000</v>
          </cell>
          <cell r="U707">
            <v>110280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5400</v>
          </cell>
          <cell r="AA707">
            <v>0</v>
          </cell>
          <cell r="AB707">
            <v>0</v>
          </cell>
          <cell r="AC707">
            <v>14320</v>
          </cell>
          <cell r="AD707">
            <v>130540</v>
          </cell>
          <cell r="AE707">
            <v>110280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5940</v>
          </cell>
          <cell r="AK707">
            <v>0</v>
          </cell>
          <cell r="AL707">
            <v>0</v>
          </cell>
          <cell r="AM707">
            <v>14320</v>
          </cell>
          <cell r="AN707">
            <v>71797</v>
          </cell>
          <cell r="AO707">
            <v>0</v>
          </cell>
          <cell r="AP707">
            <v>71797</v>
          </cell>
          <cell r="AQ707" t="str">
            <v>컨텐츠헤라</v>
          </cell>
          <cell r="AR707" t="str">
            <v>컨텐츠헤라</v>
          </cell>
        </row>
        <row r="708">
          <cell r="N708" t="str">
            <v>정훈,수국</v>
          </cell>
          <cell r="O708" t="str">
            <v>Y</v>
          </cell>
          <cell r="P708">
            <v>0.55000000000000004</v>
          </cell>
          <cell r="Q708">
            <v>0.55000000000000004</v>
          </cell>
          <cell r="R708" t="str">
            <v>시리즈 대여 이용권 패키지</v>
          </cell>
          <cell r="S708">
            <v>5400</v>
          </cell>
          <cell r="T708">
            <v>48600</v>
          </cell>
          <cell r="U708">
            <v>39200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9400</v>
          </cell>
          <cell r="AD708">
            <v>48600</v>
          </cell>
          <cell r="AE708">
            <v>39200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9400</v>
          </cell>
          <cell r="AN708">
            <v>26730</v>
          </cell>
          <cell r="AO708">
            <v>0</v>
          </cell>
          <cell r="AP708">
            <v>26730</v>
          </cell>
          <cell r="AQ708" t="str">
            <v>컨텐츠헤라</v>
          </cell>
          <cell r="AR708" t="str">
            <v>컨텐츠헤라</v>
          </cell>
        </row>
        <row r="709">
          <cell r="N709" t="str">
            <v>정훈,수국</v>
          </cell>
          <cell r="O709" t="str">
            <v>Y</v>
          </cell>
          <cell r="P709">
            <v>0.55000000000000004</v>
          </cell>
          <cell r="Q709">
            <v>0.55000000000000004</v>
          </cell>
          <cell r="R709" t="str">
            <v>시리즈 대여 이용권 패키지</v>
          </cell>
          <cell r="S709">
            <v>9000</v>
          </cell>
          <cell r="T709">
            <v>81200</v>
          </cell>
          <cell r="U709">
            <v>69500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9000</v>
          </cell>
          <cell r="AA709">
            <v>0</v>
          </cell>
          <cell r="AB709">
            <v>0</v>
          </cell>
          <cell r="AC709">
            <v>2700</v>
          </cell>
          <cell r="AD709">
            <v>82100</v>
          </cell>
          <cell r="AE709">
            <v>69500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9900</v>
          </cell>
          <cell r="AK709">
            <v>0</v>
          </cell>
          <cell r="AL709">
            <v>0</v>
          </cell>
          <cell r="AM709">
            <v>2700</v>
          </cell>
          <cell r="AN709">
            <v>45155</v>
          </cell>
          <cell r="AO709">
            <v>0</v>
          </cell>
          <cell r="AP709">
            <v>45155</v>
          </cell>
          <cell r="AQ709" t="str">
            <v>컨텐츠헤라</v>
          </cell>
          <cell r="AR709" t="str">
            <v>컨텐츠헤라</v>
          </cell>
        </row>
        <row r="710">
          <cell r="N710" t="str">
            <v>송진우,김광수</v>
          </cell>
          <cell r="O710" t="str">
            <v>Y</v>
          </cell>
          <cell r="P710">
            <v>0.55000000000000004</v>
          </cell>
          <cell r="Q710">
            <v>0.55000000000000004</v>
          </cell>
          <cell r="R710" t="str">
            <v>단일 이용권</v>
          </cell>
          <cell r="S710">
            <v>400</v>
          </cell>
          <cell r="T710">
            <v>362800</v>
          </cell>
          <cell r="U710">
            <v>228900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12000</v>
          </cell>
          <cell r="AA710">
            <v>0</v>
          </cell>
          <cell r="AB710">
            <v>0</v>
          </cell>
          <cell r="AC710">
            <v>121900</v>
          </cell>
          <cell r="AD710">
            <v>364000</v>
          </cell>
          <cell r="AE710">
            <v>228900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13200</v>
          </cell>
          <cell r="AK710">
            <v>0</v>
          </cell>
          <cell r="AL710">
            <v>0</v>
          </cell>
          <cell r="AM710">
            <v>121900</v>
          </cell>
          <cell r="AN710">
            <v>200200</v>
          </cell>
          <cell r="AO710">
            <v>0</v>
          </cell>
          <cell r="AP710">
            <v>200200</v>
          </cell>
          <cell r="AQ710" t="str">
            <v>컨텐츠헤라</v>
          </cell>
          <cell r="AR710" t="str">
            <v>컨텐츠헤라</v>
          </cell>
        </row>
        <row r="711">
          <cell r="N711" t="str">
            <v>송진우,김광수</v>
          </cell>
          <cell r="O711" t="str">
            <v>Y</v>
          </cell>
          <cell r="P711">
            <v>0.55000000000000004</v>
          </cell>
          <cell r="Q711">
            <v>0.55000000000000004</v>
          </cell>
          <cell r="R711" t="str">
            <v>시리즈 이용권 패키지</v>
          </cell>
          <cell r="S711">
            <v>3600</v>
          </cell>
          <cell r="T711">
            <v>543600</v>
          </cell>
          <cell r="U711">
            <v>425210</v>
          </cell>
          <cell r="V711">
            <v>0</v>
          </cell>
          <cell r="W711">
            <v>0</v>
          </cell>
          <cell r="X711">
            <v>0</v>
          </cell>
          <cell r="Y711">
            <v>90</v>
          </cell>
          <cell r="Z711">
            <v>25200</v>
          </cell>
          <cell r="AA711">
            <v>0</v>
          </cell>
          <cell r="AB711">
            <v>0</v>
          </cell>
          <cell r="AC711">
            <v>93100</v>
          </cell>
          <cell r="AD711">
            <v>546138</v>
          </cell>
          <cell r="AE711">
            <v>425210</v>
          </cell>
          <cell r="AF711">
            <v>0</v>
          </cell>
          <cell r="AG711">
            <v>0</v>
          </cell>
          <cell r="AH711">
            <v>0</v>
          </cell>
          <cell r="AI711">
            <v>108</v>
          </cell>
          <cell r="AJ711">
            <v>27720</v>
          </cell>
          <cell r="AK711">
            <v>0</v>
          </cell>
          <cell r="AL711">
            <v>0</v>
          </cell>
          <cell r="AM711">
            <v>93100</v>
          </cell>
          <cell r="AN711">
            <v>300376</v>
          </cell>
          <cell r="AO711">
            <v>0</v>
          </cell>
          <cell r="AP711">
            <v>300376</v>
          </cell>
          <cell r="AQ711" t="str">
            <v>컨텐츠헤라</v>
          </cell>
          <cell r="AR711" t="str">
            <v>컨텐츠헤라</v>
          </cell>
        </row>
        <row r="712">
          <cell r="N712" t="str">
            <v>송진우,김광수</v>
          </cell>
          <cell r="O712" t="str">
            <v>Y</v>
          </cell>
          <cell r="P712">
            <v>0.55000000000000004</v>
          </cell>
          <cell r="Q712">
            <v>0.55000000000000004</v>
          </cell>
          <cell r="R712" t="str">
            <v>시리즈 이용권 패키지</v>
          </cell>
          <cell r="S712">
            <v>10800</v>
          </cell>
          <cell r="T712">
            <v>205600</v>
          </cell>
          <cell r="U712">
            <v>190700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14900</v>
          </cell>
          <cell r="AD712">
            <v>205600</v>
          </cell>
          <cell r="AE712">
            <v>190700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M712">
            <v>14900</v>
          </cell>
          <cell r="AN712">
            <v>113080</v>
          </cell>
          <cell r="AO712">
            <v>0</v>
          </cell>
          <cell r="AP712">
            <v>113080</v>
          </cell>
          <cell r="AQ712" t="str">
            <v>컨텐츠헤라</v>
          </cell>
          <cell r="AR712" t="str">
            <v>컨텐츠헤라</v>
          </cell>
        </row>
        <row r="713">
          <cell r="N713" t="str">
            <v>송진우,김광수</v>
          </cell>
          <cell r="O713" t="str">
            <v>Y</v>
          </cell>
          <cell r="P713">
            <v>0.55000000000000004</v>
          </cell>
          <cell r="Q713">
            <v>0.55000000000000004</v>
          </cell>
          <cell r="R713" t="str">
            <v>시리즈 이용권 패키지</v>
          </cell>
          <cell r="S713">
            <v>18000</v>
          </cell>
          <cell r="T713">
            <v>154400</v>
          </cell>
          <cell r="U713">
            <v>152500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1900</v>
          </cell>
          <cell r="AD713">
            <v>154400</v>
          </cell>
          <cell r="AE713">
            <v>152500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M713">
            <v>1900</v>
          </cell>
          <cell r="AN713">
            <v>84920</v>
          </cell>
          <cell r="AO713">
            <v>0</v>
          </cell>
          <cell r="AP713">
            <v>84920</v>
          </cell>
          <cell r="AQ713" t="str">
            <v>컨텐츠헤라</v>
          </cell>
          <cell r="AR713" t="str">
            <v>컨텐츠헤라</v>
          </cell>
        </row>
        <row r="714">
          <cell r="N714" t="str">
            <v>송진우,김광수</v>
          </cell>
          <cell r="O714" t="str">
            <v>Y</v>
          </cell>
          <cell r="P714">
            <v>0.55000000000000004</v>
          </cell>
          <cell r="Q714">
            <v>0.55000000000000004</v>
          </cell>
          <cell r="R714" t="str">
            <v>단일 대여 이용권</v>
          </cell>
          <cell r="S714">
            <v>200</v>
          </cell>
          <cell r="T714">
            <v>12335800</v>
          </cell>
          <cell r="U714">
            <v>6283160</v>
          </cell>
          <cell r="V714">
            <v>0</v>
          </cell>
          <cell r="W714">
            <v>0</v>
          </cell>
          <cell r="X714">
            <v>200</v>
          </cell>
          <cell r="Y714">
            <v>114770</v>
          </cell>
          <cell r="Z714">
            <v>421430</v>
          </cell>
          <cell r="AA714">
            <v>0</v>
          </cell>
          <cell r="AB714">
            <v>0</v>
          </cell>
          <cell r="AC714">
            <v>5516240</v>
          </cell>
          <cell r="AD714">
            <v>12400973.833799999</v>
          </cell>
          <cell r="AE714">
            <v>6283160</v>
          </cell>
          <cell r="AF714">
            <v>0</v>
          </cell>
          <cell r="AG714">
            <v>0</v>
          </cell>
          <cell r="AH714">
            <v>276.8338</v>
          </cell>
          <cell r="AI714">
            <v>137724</v>
          </cell>
          <cell r="AJ714">
            <v>463573</v>
          </cell>
          <cell r="AK714">
            <v>0</v>
          </cell>
          <cell r="AL714">
            <v>0</v>
          </cell>
          <cell r="AM714">
            <v>5516240</v>
          </cell>
          <cell r="AN714">
            <v>6820536</v>
          </cell>
          <cell r="AO714">
            <v>0</v>
          </cell>
          <cell r="AP714">
            <v>6820536</v>
          </cell>
          <cell r="AQ714" t="str">
            <v>컨텐츠헤라</v>
          </cell>
          <cell r="AR714" t="str">
            <v>컨텐츠헤라</v>
          </cell>
        </row>
        <row r="715">
          <cell r="N715" t="str">
            <v>송진우,김광수</v>
          </cell>
          <cell r="O715" t="str">
            <v>Y</v>
          </cell>
          <cell r="P715">
            <v>0.55000000000000004</v>
          </cell>
          <cell r="Q715">
            <v>0.55000000000000004</v>
          </cell>
          <cell r="R715" t="str">
            <v>시리즈 대여 이용권 패키지</v>
          </cell>
          <cell r="S715">
            <v>1800</v>
          </cell>
          <cell r="T715">
            <v>7080600</v>
          </cell>
          <cell r="U715">
            <v>5370540</v>
          </cell>
          <cell r="V715">
            <v>0</v>
          </cell>
          <cell r="W715">
            <v>0</v>
          </cell>
          <cell r="X715">
            <v>0</v>
          </cell>
          <cell r="Y715">
            <v>8100</v>
          </cell>
          <cell r="Z715">
            <v>368710</v>
          </cell>
          <cell r="AA715">
            <v>0</v>
          </cell>
          <cell r="AB715">
            <v>0</v>
          </cell>
          <cell r="AC715">
            <v>1333250</v>
          </cell>
          <cell r="AD715">
            <v>7119091</v>
          </cell>
          <cell r="AE715">
            <v>5370540</v>
          </cell>
          <cell r="AF715">
            <v>0</v>
          </cell>
          <cell r="AG715">
            <v>0</v>
          </cell>
          <cell r="AH715">
            <v>0</v>
          </cell>
          <cell r="AI715">
            <v>9720</v>
          </cell>
          <cell r="AJ715">
            <v>405581</v>
          </cell>
          <cell r="AK715">
            <v>0</v>
          </cell>
          <cell r="AL715">
            <v>0</v>
          </cell>
          <cell r="AM715">
            <v>1333250</v>
          </cell>
          <cell r="AN715">
            <v>3915500</v>
          </cell>
          <cell r="AO715">
            <v>0</v>
          </cell>
          <cell r="AP715">
            <v>3915500</v>
          </cell>
          <cell r="AQ715" t="str">
            <v>컨텐츠헤라</v>
          </cell>
          <cell r="AR715" t="str">
            <v>컨텐츠헤라</v>
          </cell>
        </row>
        <row r="716">
          <cell r="N716" t="str">
            <v>송진우,김광수</v>
          </cell>
          <cell r="O716" t="str">
            <v>Y</v>
          </cell>
          <cell r="P716">
            <v>0.55000000000000004</v>
          </cell>
          <cell r="Q716">
            <v>0.55000000000000004</v>
          </cell>
          <cell r="R716" t="str">
            <v>시리즈 대여 이용권 패키지</v>
          </cell>
          <cell r="S716">
            <v>5400</v>
          </cell>
          <cell r="T716">
            <v>2539200</v>
          </cell>
          <cell r="U716">
            <v>2139760</v>
          </cell>
          <cell r="V716">
            <v>0</v>
          </cell>
          <cell r="W716">
            <v>0</v>
          </cell>
          <cell r="X716">
            <v>0</v>
          </cell>
          <cell r="Y716">
            <v>10800</v>
          </cell>
          <cell r="Z716">
            <v>161960</v>
          </cell>
          <cell r="AA716">
            <v>0</v>
          </cell>
          <cell r="AB716">
            <v>0</v>
          </cell>
          <cell r="AC716">
            <v>226680</v>
          </cell>
          <cell r="AD716">
            <v>2557556</v>
          </cell>
          <cell r="AE716">
            <v>2139760</v>
          </cell>
          <cell r="AF716">
            <v>0</v>
          </cell>
          <cell r="AG716">
            <v>0</v>
          </cell>
          <cell r="AH716">
            <v>0</v>
          </cell>
          <cell r="AI716">
            <v>12960</v>
          </cell>
          <cell r="AJ716">
            <v>178156</v>
          </cell>
          <cell r="AK716">
            <v>0</v>
          </cell>
          <cell r="AL716">
            <v>0</v>
          </cell>
          <cell r="AM716">
            <v>226680</v>
          </cell>
          <cell r="AN716">
            <v>1406656</v>
          </cell>
          <cell r="AO716">
            <v>0</v>
          </cell>
          <cell r="AP716">
            <v>1406656</v>
          </cell>
          <cell r="AQ716" t="str">
            <v>컨텐츠헤라</v>
          </cell>
          <cell r="AR716" t="str">
            <v>컨텐츠헤라</v>
          </cell>
        </row>
        <row r="717">
          <cell r="N717" t="str">
            <v>송진우,김광수</v>
          </cell>
          <cell r="O717" t="str">
            <v>Y</v>
          </cell>
          <cell r="P717">
            <v>0.55000000000000004</v>
          </cell>
          <cell r="Q717">
            <v>0.55000000000000004</v>
          </cell>
          <cell r="R717" t="str">
            <v>시리즈 대여 이용권 패키지</v>
          </cell>
          <cell r="S717">
            <v>9000</v>
          </cell>
          <cell r="T717">
            <v>1075000</v>
          </cell>
          <cell r="U717">
            <v>921500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70500</v>
          </cell>
          <cell r="AA717">
            <v>0</v>
          </cell>
          <cell r="AB717">
            <v>0</v>
          </cell>
          <cell r="AC717">
            <v>83000</v>
          </cell>
          <cell r="AD717">
            <v>1082050</v>
          </cell>
          <cell r="AE717">
            <v>921500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77550</v>
          </cell>
          <cell r="AK717">
            <v>0</v>
          </cell>
          <cell r="AL717">
            <v>0</v>
          </cell>
          <cell r="AM717">
            <v>83000</v>
          </cell>
          <cell r="AN717">
            <v>595128</v>
          </cell>
          <cell r="AO717">
            <v>0</v>
          </cell>
          <cell r="AP717">
            <v>595128</v>
          </cell>
          <cell r="AQ717" t="str">
            <v>컨텐츠헤라</v>
          </cell>
          <cell r="AR717" t="str">
            <v>컨텐츠헤라</v>
          </cell>
        </row>
        <row r="718">
          <cell r="N718" t="str">
            <v>lvyeqianhe x youzhijiaozi</v>
          </cell>
          <cell r="O718" t="str">
            <v>Y</v>
          </cell>
          <cell r="P718">
            <v>0.7</v>
          </cell>
          <cell r="Q718">
            <v>0.6</v>
          </cell>
          <cell r="R718" t="str">
            <v>단일 대여 이용권</v>
          </cell>
          <cell r="S718">
            <v>100</v>
          </cell>
          <cell r="T718">
            <v>39900</v>
          </cell>
          <cell r="U718">
            <v>17600</v>
          </cell>
          <cell r="V718">
            <v>0</v>
          </cell>
          <cell r="W718">
            <v>0</v>
          </cell>
          <cell r="X718">
            <v>0</v>
          </cell>
          <cell r="Y718">
            <v>500</v>
          </cell>
          <cell r="Z718">
            <v>500</v>
          </cell>
          <cell r="AA718">
            <v>0</v>
          </cell>
          <cell r="AB718">
            <v>0</v>
          </cell>
          <cell r="AC718">
            <v>21300</v>
          </cell>
          <cell r="AD718">
            <v>40050</v>
          </cell>
          <cell r="AE718">
            <v>17600</v>
          </cell>
          <cell r="AF718">
            <v>0</v>
          </cell>
          <cell r="AG718">
            <v>0</v>
          </cell>
          <cell r="AH718">
            <v>0</v>
          </cell>
          <cell r="AI718">
            <v>600</v>
          </cell>
          <cell r="AJ718">
            <v>550</v>
          </cell>
          <cell r="AK718">
            <v>0</v>
          </cell>
          <cell r="AL718">
            <v>0</v>
          </cell>
          <cell r="AM718">
            <v>21300</v>
          </cell>
          <cell r="AN718">
            <v>27920</v>
          </cell>
          <cell r="AO718">
            <v>0</v>
          </cell>
          <cell r="AP718">
            <v>27920</v>
          </cell>
          <cell r="AQ718" t="str">
            <v>스토리위즈</v>
          </cell>
          <cell r="AR718" t="str">
            <v>제외</v>
          </cell>
        </row>
        <row r="719">
          <cell r="N719" t="str">
            <v>lvyeqianhe x youzhijiaozi</v>
          </cell>
          <cell r="O719" t="str">
            <v>Y</v>
          </cell>
          <cell r="P719">
            <v>0.7</v>
          </cell>
          <cell r="Q719">
            <v>0.6</v>
          </cell>
          <cell r="R719" t="str">
            <v>시리즈 대여 이용권 패키지</v>
          </cell>
          <cell r="S719">
            <v>900</v>
          </cell>
          <cell r="T719">
            <v>41800</v>
          </cell>
          <cell r="U719">
            <v>23630</v>
          </cell>
          <cell r="V719">
            <v>0</v>
          </cell>
          <cell r="W719">
            <v>0</v>
          </cell>
          <cell r="X719">
            <v>0</v>
          </cell>
          <cell r="Y719">
            <v>3600</v>
          </cell>
          <cell r="Z719">
            <v>11700</v>
          </cell>
          <cell r="AA719">
            <v>0</v>
          </cell>
          <cell r="AB719">
            <v>0</v>
          </cell>
          <cell r="AC719">
            <v>2870</v>
          </cell>
          <cell r="AD719">
            <v>43690</v>
          </cell>
          <cell r="AE719">
            <v>23630</v>
          </cell>
          <cell r="AF719">
            <v>0</v>
          </cell>
          <cell r="AG719">
            <v>0</v>
          </cell>
          <cell r="AH719">
            <v>0</v>
          </cell>
          <cell r="AI719">
            <v>4320</v>
          </cell>
          <cell r="AJ719">
            <v>12870</v>
          </cell>
          <cell r="AK719">
            <v>0</v>
          </cell>
          <cell r="AL719">
            <v>0</v>
          </cell>
          <cell r="AM719">
            <v>2870</v>
          </cell>
          <cell r="AN719">
            <v>28864</v>
          </cell>
          <cell r="AO719">
            <v>0</v>
          </cell>
          <cell r="AP719">
            <v>28864</v>
          </cell>
          <cell r="AQ719" t="str">
            <v>스토리위즈</v>
          </cell>
          <cell r="AR719" t="str">
            <v>제외</v>
          </cell>
        </row>
        <row r="720">
          <cell r="N720" t="str">
            <v>lvyeqianhe x youzhijiaozi</v>
          </cell>
          <cell r="O720" t="str">
            <v>Y</v>
          </cell>
          <cell r="P720">
            <v>0.7</v>
          </cell>
          <cell r="Q720">
            <v>0.6</v>
          </cell>
          <cell r="R720" t="str">
            <v>시리즈 대여 이용권 패키지</v>
          </cell>
          <cell r="S720">
            <v>1800</v>
          </cell>
          <cell r="T720">
            <v>7000</v>
          </cell>
          <cell r="U720">
            <v>2800</v>
          </cell>
          <cell r="V720">
            <v>0</v>
          </cell>
          <cell r="W720">
            <v>0</v>
          </cell>
          <cell r="X720">
            <v>0</v>
          </cell>
          <cell r="Y720">
            <v>3600</v>
          </cell>
          <cell r="Z720">
            <v>0</v>
          </cell>
          <cell r="AA720">
            <v>0</v>
          </cell>
          <cell r="AB720">
            <v>0</v>
          </cell>
          <cell r="AC720">
            <v>600</v>
          </cell>
          <cell r="AD720">
            <v>7720</v>
          </cell>
          <cell r="AE720">
            <v>2800</v>
          </cell>
          <cell r="AF720">
            <v>0</v>
          </cell>
          <cell r="AG720">
            <v>0</v>
          </cell>
          <cell r="AH720">
            <v>0</v>
          </cell>
          <cell r="AI720">
            <v>4320</v>
          </cell>
          <cell r="AJ720">
            <v>0</v>
          </cell>
          <cell r="AK720">
            <v>0</v>
          </cell>
          <cell r="AL720">
            <v>0</v>
          </cell>
          <cell r="AM720">
            <v>600</v>
          </cell>
          <cell r="AN720">
            <v>4972</v>
          </cell>
          <cell r="AO720">
            <v>0</v>
          </cell>
          <cell r="AP720">
            <v>4972</v>
          </cell>
          <cell r="AQ720" t="str">
            <v>스토리위즈</v>
          </cell>
          <cell r="AR720" t="str">
            <v>제외</v>
          </cell>
        </row>
        <row r="721">
          <cell r="N721" t="str">
            <v>lvyeqianhe x youzhijiaozi</v>
          </cell>
          <cell r="O721" t="str">
            <v>Y</v>
          </cell>
          <cell r="P721">
            <v>0.7</v>
          </cell>
          <cell r="Q721">
            <v>0.6</v>
          </cell>
          <cell r="R721" t="str">
            <v>시리즈 대여 이용권 패키지</v>
          </cell>
          <cell r="S721">
            <v>3600</v>
          </cell>
          <cell r="T721">
            <v>42600</v>
          </cell>
          <cell r="U721">
            <v>41100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1500</v>
          </cell>
          <cell r="AD721">
            <v>42600</v>
          </cell>
          <cell r="AE721">
            <v>41100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1500</v>
          </cell>
          <cell r="AN721">
            <v>29820</v>
          </cell>
          <cell r="AO721">
            <v>0</v>
          </cell>
          <cell r="AP721">
            <v>29820</v>
          </cell>
          <cell r="AQ721" t="str">
            <v>스토리위즈</v>
          </cell>
          <cell r="AR721" t="str">
            <v>제외</v>
          </cell>
        </row>
        <row r="722">
          <cell r="N722" t="str">
            <v>웹티,올코</v>
          </cell>
          <cell r="O722" t="str">
            <v>Y</v>
          </cell>
          <cell r="P722">
            <v>0.7</v>
          </cell>
          <cell r="Q722">
            <v>0.6</v>
          </cell>
          <cell r="R722" t="str">
            <v>단일 대여 이용권</v>
          </cell>
          <cell r="S722">
            <v>200</v>
          </cell>
          <cell r="T722">
            <v>600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600</v>
          </cell>
          <cell r="AD722">
            <v>600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AL722">
            <v>0</v>
          </cell>
          <cell r="AM722">
            <v>600</v>
          </cell>
          <cell r="AN722">
            <v>420</v>
          </cell>
          <cell r="AO722">
            <v>0</v>
          </cell>
          <cell r="AP722">
            <v>420</v>
          </cell>
          <cell r="AQ722" t="str">
            <v>올콘텐츠앤브이알</v>
          </cell>
          <cell r="AR722" t="str">
            <v>올콘텐츠앤브이알</v>
          </cell>
        </row>
        <row r="723">
          <cell r="N723" t="str">
            <v>웹티,올코</v>
          </cell>
          <cell r="O723" t="str">
            <v>Y</v>
          </cell>
          <cell r="P723">
            <v>0.7</v>
          </cell>
          <cell r="Q723">
            <v>0.6</v>
          </cell>
          <cell r="R723" t="str">
            <v>시리즈 대여 이용권 패키지</v>
          </cell>
          <cell r="S723">
            <v>5400</v>
          </cell>
          <cell r="T723">
            <v>-400</v>
          </cell>
          <cell r="U723">
            <v>-400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-400</v>
          </cell>
          <cell r="AE723">
            <v>-400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-280</v>
          </cell>
          <cell r="AO723">
            <v>0</v>
          </cell>
          <cell r="AP723">
            <v>-280</v>
          </cell>
          <cell r="AQ723" t="str">
            <v>올콘텐츠앤브이알</v>
          </cell>
          <cell r="AR723" t="str">
            <v>올콘텐츠앤브이알</v>
          </cell>
        </row>
        <row r="724">
          <cell r="N724" t="str">
            <v>Bless+cangshukou</v>
          </cell>
          <cell r="O724" t="str">
            <v>Y</v>
          </cell>
          <cell r="P724">
            <v>0.7</v>
          </cell>
          <cell r="Q724">
            <v>0.6</v>
          </cell>
          <cell r="R724" t="str">
            <v>단일 대여 이용권</v>
          </cell>
          <cell r="S724">
            <v>100</v>
          </cell>
          <cell r="T724">
            <v>2200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2200</v>
          </cell>
          <cell r="AD724">
            <v>2200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M724">
            <v>2200</v>
          </cell>
          <cell r="AN724">
            <v>1540</v>
          </cell>
          <cell r="AO724">
            <v>0</v>
          </cell>
          <cell r="AP724">
            <v>1540</v>
          </cell>
          <cell r="AQ724" t="str">
            <v>스토리위즈</v>
          </cell>
          <cell r="AR724" t="str">
            <v>제외</v>
          </cell>
        </row>
        <row r="725">
          <cell r="N725" t="str">
            <v>Bless+cangshukou</v>
          </cell>
          <cell r="O725" t="str">
            <v>Y</v>
          </cell>
          <cell r="P725">
            <v>0.7</v>
          </cell>
          <cell r="Q725">
            <v>0.6</v>
          </cell>
          <cell r="R725" t="str">
            <v>시리즈 대여 이용권 패키지</v>
          </cell>
          <cell r="S725">
            <v>900</v>
          </cell>
          <cell r="T725">
            <v>900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900</v>
          </cell>
          <cell r="AD725">
            <v>900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900</v>
          </cell>
          <cell r="AN725">
            <v>630</v>
          </cell>
          <cell r="AO725">
            <v>0</v>
          </cell>
          <cell r="AP725">
            <v>630</v>
          </cell>
          <cell r="AQ725" t="str">
            <v>스토리위즈</v>
          </cell>
          <cell r="AR725" t="str">
            <v>제외</v>
          </cell>
        </row>
        <row r="726">
          <cell r="N726" t="str">
            <v>M.C.K.</v>
          </cell>
          <cell r="O726" t="str">
            <v>Y</v>
          </cell>
          <cell r="P726">
            <v>0.7</v>
          </cell>
          <cell r="Q726">
            <v>0.6</v>
          </cell>
          <cell r="R726" t="str">
            <v>단일 대여 이용권</v>
          </cell>
          <cell r="S726">
            <v>200</v>
          </cell>
          <cell r="T726">
            <v>3200</v>
          </cell>
          <cell r="U726">
            <v>2400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800</v>
          </cell>
          <cell r="AD726">
            <v>3200</v>
          </cell>
          <cell r="AE726">
            <v>2400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</v>
          </cell>
          <cell r="AM726">
            <v>800</v>
          </cell>
          <cell r="AN726">
            <v>2240</v>
          </cell>
          <cell r="AO726">
            <v>0</v>
          </cell>
          <cell r="AP726">
            <v>2240</v>
          </cell>
          <cell r="AQ726" t="str">
            <v>올콘텐츠앤브이알</v>
          </cell>
          <cell r="AR726" t="str">
            <v>올콘텐츠앤브이알</v>
          </cell>
        </row>
        <row r="727">
          <cell r="N727" t="str">
            <v>마북명,kuri</v>
          </cell>
          <cell r="O727" t="str">
            <v>Y</v>
          </cell>
          <cell r="P727">
            <v>0.7</v>
          </cell>
          <cell r="Q727">
            <v>0.6</v>
          </cell>
          <cell r="R727" t="str">
            <v>단일 이용권</v>
          </cell>
          <cell r="S727">
            <v>400</v>
          </cell>
          <cell r="T727">
            <v>74800</v>
          </cell>
          <cell r="U727">
            <v>58900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7600</v>
          </cell>
          <cell r="AA727">
            <v>0</v>
          </cell>
          <cell r="AB727">
            <v>0</v>
          </cell>
          <cell r="AC727">
            <v>8300</v>
          </cell>
          <cell r="AD727">
            <v>75560</v>
          </cell>
          <cell r="AE727">
            <v>58900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8360</v>
          </cell>
          <cell r="AK727">
            <v>0</v>
          </cell>
          <cell r="AL727">
            <v>0</v>
          </cell>
          <cell r="AM727">
            <v>8300</v>
          </cell>
          <cell r="AN727">
            <v>52056</v>
          </cell>
          <cell r="AO727">
            <v>0</v>
          </cell>
          <cell r="AP727">
            <v>52056</v>
          </cell>
          <cell r="AQ727" t="str">
            <v>스토리위즈</v>
          </cell>
          <cell r="AR727" t="str">
            <v>제외</v>
          </cell>
        </row>
        <row r="728">
          <cell r="N728" t="str">
            <v>마북명,kuri</v>
          </cell>
          <cell r="O728" t="str">
            <v>Y</v>
          </cell>
          <cell r="P728">
            <v>0.7</v>
          </cell>
          <cell r="Q728">
            <v>0.6</v>
          </cell>
          <cell r="R728" t="str">
            <v>시리즈 이용권 패키지</v>
          </cell>
          <cell r="S728">
            <v>3600</v>
          </cell>
          <cell r="T728">
            <v>86400</v>
          </cell>
          <cell r="U728">
            <v>71100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10700</v>
          </cell>
          <cell r="AA728">
            <v>0</v>
          </cell>
          <cell r="AB728">
            <v>0</v>
          </cell>
          <cell r="AC728">
            <v>4600</v>
          </cell>
          <cell r="AD728">
            <v>87470</v>
          </cell>
          <cell r="AE728">
            <v>71100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11770</v>
          </cell>
          <cell r="AK728">
            <v>0</v>
          </cell>
          <cell r="AL728">
            <v>0</v>
          </cell>
          <cell r="AM728">
            <v>4600</v>
          </cell>
          <cell r="AN728">
            <v>60052</v>
          </cell>
          <cell r="AO728">
            <v>0</v>
          </cell>
          <cell r="AP728">
            <v>60052</v>
          </cell>
          <cell r="AQ728" t="str">
            <v>스토리위즈</v>
          </cell>
          <cell r="AR728" t="str">
            <v>제외</v>
          </cell>
        </row>
        <row r="729">
          <cell r="N729" t="str">
            <v>혜원</v>
          </cell>
          <cell r="O729" t="str">
            <v>Y</v>
          </cell>
          <cell r="P729">
            <v>0.7</v>
          </cell>
          <cell r="Q729">
            <v>0.6</v>
          </cell>
          <cell r="R729" t="str">
            <v>단일 이용권</v>
          </cell>
          <cell r="S729">
            <v>400</v>
          </cell>
          <cell r="T729">
            <v>9200</v>
          </cell>
          <cell r="U729">
            <v>1600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7600</v>
          </cell>
          <cell r="AD729">
            <v>9200</v>
          </cell>
          <cell r="AE729">
            <v>1600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M729">
            <v>7600</v>
          </cell>
          <cell r="AN729">
            <v>6440</v>
          </cell>
          <cell r="AO729">
            <v>0</v>
          </cell>
          <cell r="AP729">
            <v>6440</v>
          </cell>
          <cell r="AQ729" t="str">
            <v>컨텐츠헤라</v>
          </cell>
          <cell r="AR729" t="str">
            <v>컨텐츠헤라</v>
          </cell>
        </row>
        <row r="730">
          <cell r="N730" t="str">
            <v>마북명,kuri</v>
          </cell>
          <cell r="O730" t="str">
            <v>Y</v>
          </cell>
          <cell r="P730">
            <v>0.7</v>
          </cell>
          <cell r="Q730">
            <v>0.6</v>
          </cell>
          <cell r="R730" t="str">
            <v>시리즈 이용권 패키지</v>
          </cell>
          <cell r="S730">
            <v>7200</v>
          </cell>
          <cell r="T730">
            <v>108000</v>
          </cell>
          <cell r="U730">
            <v>93500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14400</v>
          </cell>
          <cell r="AA730">
            <v>0</v>
          </cell>
          <cell r="AB730">
            <v>0</v>
          </cell>
          <cell r="AC730">
            <v>100</v>
          </cell>
          <cell r="AD730">
            <v>109440</v>
          </cell>
          <cell r="AE730">
            <v>93500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15840</v>
          </cell>
          <cell r="AK730">
            <v>0</v>
          </cell>
          <cell r="AL730">
            <v>0</v>
          </cell>
          <cell r="AM730">
            <v>100</v>
          </cell>
          <cell r="AN730">
            <v>75024</v>
          </cell>
          <cell r="AO730">
            <v>0</v>
          </cell>
          <cell r="AP730">
            <v>75024</v>
          </cell>
          <cell r="AQ730" t="str">
            <v>스토리위즈</v>
          </cell>
          <cell r="AR730" t="str">
            <v>제외</v>
          </cell>
        </row>
        <row r="731">
          <cell r="N731" t="str">
            <v>혜원</v>
          </cell>
          <cell r="O731" t="str">
            <v>Y</v>
          </cell>
          <cell r="P731">
            <v>0.7</v>
          </cell>
          <cell r="Q731">
            <v>0.6</v>
          </cell>
          <cell r="R731" t="str">
            <v>시리즈 이용권 패키지</v>
          </cell>
          <cell r="S731">
            <v>10800</v>
          </cell>
          <cell r="T731">
            <v>10800</v>
          </cell>
          <cell r="U731">
            <v>10800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10800</v>
          </cell>
          <cell r="AE731">
            <v>10800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M731">
            <v>0</v>
          </cell>
          <cell r="AN731">
            <v>7560</v>
          </cell>
          <cell r="AO731">
            <v>0</v>
          </cell>
          <cell r="AP731">
            <v>7560</v>
          </cell>
          <cell r="AQ731" t="str">
            <v>컨텐츠헤라</v>
          </cell>
          <cell r="AR731" t="str">
            <v>컨텐츠헤라</v>
          </cell>
        </row>
        <row r="732">
          <cell r="N732" t="str">
            <v>마북명,kuri</v>
          </cell>
          <cell r="O732" t="str">
            <v>Y</v>
          </cell>
          <cell r="P732">
            <v>0.7</v>
          </cell>
          <cell r="Q732">
            <v>0.6</v>
          </cell>
          <cell r="R732" t="str">
            <v>시리즈 이용권 패키지</v>
          </cell>
          <cell r="S732">
            <v>14400</v>
          </cell>
          <cell r="T732">
            <v>14400</v>
          </cell>
          <cell r="U732">
            <v>12600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1800</v>
          </cell>
          <cell r="AD732">
            <v>14400</v>
          </cell>
          <cell r="AE732">
            <v>12600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AL732">
            <v>0</v>
          </cell>
          <cell r="AM732">
            <v>1800</v>
          </cell>
          <cell r="AN732">
            <v>10080</v>
          </cell>
          <cell r="AO732">
            <v>0</v>
          </cell>
          <cell r="AP732">
            <v>10080</v>
          </cell>
          <cell r="AQ732" t="str">
            <v>스토리위즈</v>
          </cell>
          <cell r="AR732" t="str">
            <v>제외</v>
          </cell>
        </row>
        <row r="733">
          <cell r="N733" t="str">
            <v>혜원</v>
          </cell>
          <cell r="O733" t="str">
            <v>Y</v>
          </cell>
          <cell r="P733">
            <v>0.7</v>
          </cell>
          <cell r="Q733">
            <v>0.6</v>
          </cell>
          <cell r="R733" t="str">
            <v>단일 대여 이용권</v>
          </cell>
          <cell r="S733">
            <v>200</v>
          </cell>
          <cell r="T733">
            <v>56200</v>
          </cell>
          <cell r="U733">
            <v>6800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400</v>
          </cell>
          <cell r="AA733">
            <v>0</v>
          </cell>
          <cell r="AB733">
            <v>0</v>
          </cell>
          <cell r="AC733">
            <v>49000</v>
          </cell>
          <cell r="AD733">
            <v>56240</v>
          </cell>
          <cell r="AE733">
            <v>6800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440</v>
          </cell>
          <cell r="AK733">
            <v>0</v>
          </cell>
          <cell r="AL733">
            <v>0</v>
          </cell>
          <cell r="AM733">
            <v>49000</v>
          </cell>
          <cell r="AN733">
            <v>39324</v>
          </cell>
          <cell r="AO733">
            <v>0</v>
          </cell>
          <cell r="AP733">
            <v>39324</v>
          </cell>
          <cell r="AQ733" t="str">
            <v>컨텐츠헤라</v>
          </cell>
          <cell r="AR733" t="str">
            <v>컨텐츠헤라</v>
          </cell>
        </row>
        <row r="734">
          <cell r="N734" t="str">
            <v>웹티,올코</v>
          </cell>
          <cell r="O734" t="str">
            <v>Y</v>
          </cell>
          <cell r="P734">
            <v>0.7</v>
          </cell>
          <cell r="Q734">
            <v>0.6</v>
          </cell>
          <cell r="R734" t="str">
            <v>단일 대여 이용권</v>
          </cell>
          <cell r="S734">
            <v>200</v>
          </cell>
          <cell r="T734">
            <v>200</v>
          </cell>
          <cell r="U734">
            <v>200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200</v>
          </cell>
          <cell r="AE734">
            <v>200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140</v>
          </cell>
          <cell r="AO734">
            <v>0</v>
          </cell>
          <cell r="AP734">
            <v>140</v>
          </cell>
          <cell r="AQ734" t="str">
            <v>올콘텐츠앤브이알</v>
          </cell>
          <cell r="AR734" t="str">
            <v>올콘텐츠앤브이알</v>
          </cell>
        </row>
        <row r="735">
          <cell r="N735" t="str">
            <v>마북명,kuri</v>
          </cell>
          <cell r="O735" t="str">
            <v>Y</v>
          </cell>
          <cell r="P735">
            <v>0.7</v>
          </cell>
          <cell r="Q735">
            <v>0.6</v>
          </cell>
          <cell r="R735" t="str">
            <v>단일 대여 이용권</v>
          </cell>
          <cell r="S735">
            <v>200</v>
          </cell>
          <cell r="T735">
            <v>907800</v>
          </cell>
          <cell r="U735">
            <v>613250</v>
          </cell>
          <cell r="V735">
            <v>0</v>
          </cell>
          <cell r="W735">
            <v>0</v>
          </cell>
          <cell r="X735">
            <v>0</v>
          </cell>
          <cell r="Y735">
            <v>41000</v>
          </cell>
          <cell r="Z735">
            <v>88900</v>
          </cell>
          <cell r="AA735">
            <v>0</v>
          </cell>
          <cell r="AB735">
            <v>0</v>
          </cell>
          <cell r="AC735">
            <v>164650</v>
          </cell>
          <cell r="AD735">
            <v>924890</v>
          </cell>
          <cell r="AE735">
            <v>613250</v>
          </cell>
          <cell r="AF735">
            <v>0</v>
          </cell>
          <cell r="AG735">
            <v>0</v>
          </cell>
          <cell r="AH735">
            <v>0</v>
          </cell>
          <cell r="AI735">
            <v>49200</v>
          </cell>
          <cell r="AJ735">
            <v>97790</v>
          </cell>
          <cell r="AK735">
            <v>0</v>
          </cell>
          <cell r="AL735">
            <v>0</v>
          </cell>
          <cell r="AM735">
            <v>164650</v>
          </cell>
          <cell r="AN735">
            <v>632724</v>
          </cell>
          <cell r="AO735">
            <v>0</v>
          </cell>
          <cell r="AP735">
            <v>632724</v>
          </cell>
          <cell r="AQ735" t="str">
            <v>스토리위즈</v>
          </cell>
          <cell r="AR735" t="str">
            <v>제외</v>
          </cell>
        </row>
        <row r="736">
          <cell r="N736" t="str">
            <v>혜원</v>
          </cell>
          <cell r="O736" t="str">
            <v>Y</v>
          </cell>
          <cell r="P736">
            <v>0.7</v>
          </cell>
          <cell r="Q736">
            <v>0.6</v>
          </cell>
          <cell r="R736" t="str">
            <v>시리즈 대여 이용권 패키지</v>
          </cell>
          <cell r="S736">
            <v>1800</v>
          </cell>
          <cell r="T736">
            <v>25200</v>
          </cell>
          <cell r="U736">
            <v>5600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4300</v>
          </cell>
          <cell r="AA736">
            <v>0</v>
          </cell>
          <cell r="AB736">
            <v>0</v>
          </cell>
          <cell r="AC736">
            <v>15300</v>
          </cell>
          <cell r="AD736">
            <v>25630</v>
          </cell>
          <cell r="AE736">
            <v>5600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4730</v>
          </cell>
          <cell r="AK736">
            <v>0</v>
          </cell>
          <cell r="AL736">
            <v>0</v>
          </cell>
          <cell r="AM736">
            <v>15300</v>
          </cell>
          <cell r="AN736">
            <v>17468</v>
          </cell>
          <cell r="AO736">
            <v>0</v>
          </cell>
          <cell r="AP736">
            <v>17468</v>
          </cell>
          <cell r="AQ736" t="str">
            <v>컨텐츠헤라</v>
          </cell>
          <cell r="AR736" t="str">
            <v>컨텐츠헤라</v>
          </cell>
        </row>
        <row r="737">
          <cell r="N737" t="str">
            <v>웹티,올코</v>
          </cell>
          <cell r="O737" t="str">
            <v>Y</v>
          </cell>
          <cell r="P737">
            <v>0.7</v>
          </cell>
          <cell r="Q737">
            <v>0.6</v>
          </cell>
          <cell r="R737" t="str">
            <v>단일 대여 이용권</v>
          </cell>
          <cell r="S737">
            <v>200</v>
          </cell>
          <cell r="T737">
            <v>1200</v>
          </cell>
          <cell r="U737">
            <v>1000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200</v>
          </cell>
          <cell r="AD737">
            <v>1200</v>
          </cell>
          <cell r="AE737">
            <v>1000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200</v>
          </cell>
          <cell r="AN737">
            <v>840</v>
          </cell>
          <cell r="AO737">
            <v>0</v>
          </cell>
          <cell r="AP737">
            <v>840</v>
          </cell>
          <cell r="AQ737" t="str">
            <v>올콘텐츠앤브이알</v>
          </cell>
          <cell r="AR737" t="str">
            <v>올콘텐츠앤브이알</v>
          </cell>
        </row>
        <row r="738">
          <cell r="N738" t="str">
            <v>마북명,kuri</v>
          </cell>
          <cell r="O738" t="str">
            <v>Y</v>
          </cell>
          <cell r="P738">
            <v>0.7</v>
          </cell>
          <cell r="Q738">
            <v>0.6</v>
          </cell>
          <cell r="R738" t="str">
            <v>시리즈 대여 이용권 패키지</v>
          </cell>
          <cell r="S738">
            <v>1800</v>
          </cell>
          <cell r="T738">
            <v>1136400</v>
          </cell>
          <cell r="U738">
            <v>973140</v>
          </cell>
          <cell r="V738">
            <v>0</v>
          </cell>
          <cell r="W738">
            <v>0</v>
          </cell>
          <cell r="X738">
            <v>0</v>
          </cell>
          <cell r="Y738">
            <v>5500</v>
          </cell>
          <cell r="Z738">
            <v>93500</v>
          </cell>
          <cell r="AA738">
            <v>0</v>
          </cell>
          <cell r="AB738">
            <v>0</v>
          </cell>
          <cell r="AC738">
            <v>64260</v>
          </cell>
          <cell r="AD738">
            <v>1146850</v>
          </cell>
          <cell r="AE738">
            <v>973140</v>
          </cell>
          <cell r="AF738">
            <v>0</v>
          </cell>
          <cell r="AG738">
            <v>0</v>
          </cell>
          <cell r="AH738">
            <v>0</v>
          </cell>
          <cell r="AI738">
            <v>6600</v>
          </cell>
          <cell r="AJ738">
            <v>102850</v>
          </cell>
          <cell r="AK738">
            <v>0</v>
          </cell>
          <cell r="AL738">
            <v>0</v>
          </cell>
          <cell r="AM738">
            <v>64260</v>
          </cell>
          <cell r="AN738">
            <v>791850</v>
          </cell>
          <cell r="AO738">
            <v>0</v>
          </cell>
          <cell r="AP738">
            <v>791850</v>
          </cell>
          <cell r="AQ738" t="str">
            <v>스토리위즈</v>
          </cell>
          <cell r="AR738" t="str">
            <v>제외</v>
          </cell>
        </row>
        <row r="739">
          <cell r="N739" t="str">
            <v>혜원</v>
          </cell>
          <cell r="O739" t="str">
            <v>Y</v>
          </cell>
          <cell r="P739">
            <v>0.7</v>
          </cell>
          <cell r="Q739">
            <v>0.6</v>
          </cell>
          <cell r="R739" t="str">
            <v>시리즈 대여 이용권 패키지</v>
          </cell>
          <cell r="S739">
            <v>5400</v>
          </cell>
          <cell r="T739">
            <v>5400</v>
          </cell>
          <cell r="U739">
            <v>5400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5400</v>
          </cell>
          <cell r="AE739">
            <v>5400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3780</v>
          </cell>
          <cell r="AO739">
            <v>0</v>
          </cell>
          <cell r="AP739">
            <v>3780</v>
          </cell>
          <cell r="AQ739" t="str">
            <v>컨텐츠헤라</v>
          </cell>
          <cell r="AR739" t="str">
            <v>컨텐츠헤라</v>
          </cell>
        </row>
        <row r="740">
          <cell r="N740" t="str">
            <v>웹티,올코</v>
          </cell>
          <cell r="O740" t="str">
            <v>Y</v>
          </cell>
          <cell r="P740">
            <v>0.7</v>
          </cell>
          <cell r="Q740">
            <v>0.6</v>
          </cell>
          <cell r="R740" t="str">
            <v>시리즈 대여 이용권 패키지</v>
          </cell>
          <cell r="S740">
            <v>1800</v>
          </cell>
          <cell r="T740">
            <v>5400</v>
          </cell>
          <cell r="U740">
            <v>3600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1800</v>
          </cell>
          <cell r="AD740">
            <v>5400</v>
          </cell>
          <cell r="AE740">
            <v>3600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1800</v>
          </cell>
          <cell r="AN740">
            <v>3780</v>
          </cell>
          <cell r="AO740">
            <v>0</v>
          </cell>
          <cell r="AP740">
            <v>3780</v>
          </cell>
          <cell r="AQ740" t="str">
            <v>올콘텐츠앤브이알</v>
          </cell>
          <cell r="AR740" t="str">
            <v>올콘텐츠앤브이알</v>
          </cell>
        </row>
        <row r="741">
          <cell r="N741" t="str">
            <v>마북명,kuri</v>
          </cell>
          <cell r="O741" t="str">
            <v>Y</v>
          </cell>
          <cell r="P741">
            <v>0.7</v>
          </cell>
          <cell r="Q741">
            <v>0.6</v>
          </cell>
          <cell r="R741" t="str">
            <v>시리즈 대여 이용권 패키지</v>
          </cell>
          <cell r="S741">
            <v>3600</v>
          </cell>
          <cell r="T741">
            <v>425400</v>
          </cell>
          <cell r="U741">
            <v>358900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36800</v>
          </cell>
          <cell r="AA741">
            <v>0</v>
          </cell>
          <cell r="AB741">
            <v>0</v>
          </cell>
          <cell r="AC741">
            <v>29700</v>
          </cell>
          <cell r="AD741">
            <v>429080</v>
          </cell>
          <cell r="AE741">
            <v>358900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40480</v>
          </cell>
          <cell r="AK741">
            <v>0</v>
          </cell>
          <cell r="AL741">
            <v>0</v>
          </cell>
          <cell r="AM741">
            <v>29700</v>
          </cell>
          <cell r="AN741">
            <v>296308</v>
          </cell>
          <cell r="AO741">
            <v>0</v>
          </cell>
          <cell r="AP741">
            <v>296308</v>
          </cell>
          <cell r="AQ741" t="str">
            <v>스토리위즈</v>
          </cell>
          <cell r="AR741" t="str">
            <v>제외</v>
          </cell>
        </row>
        <row r="742">
          <cell r="N742" t="str">
            <v>혜원</v>
          </cell>
          <cell r="O742" t="str">
            <v>Y</v>
          </cell>
          <cell r="P742">
            <v>0.7</v>
          </cell>
          <cell r="Q742">
            <v>0.6</v>
          </cell>
          <cell r="R742" t="str">
            <v>시리즈 대여 이용권 패키지</v>
          </cell>
          <cell r="S742">
            <v>10800</v>
          </cell>
          <cell r="T742">
            <v>21600</v>
          </cell>
          <cell r="U742">
            <v>10800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10800</v>
          </cell>
          <cell r="AA742">
            <v>0</v>
          </cell>
          <cell r="AB742">
            <v>0</v>
          </cell>
          <cell r="AC742">
            <v>0</v>
          </cell>
          <cell r="AD742">
            <v>22680</v>
          </cell>
          <cell r="AE742">
            <v>10800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11880</v>
          </cell>
          <cell r="AK742">
            <v>0</v>
          </cell>
          <cell r="AL742">
            <v>0</v>
          </cell>
          <cell r="AM742">
            <v>0</v>
          </cell>
          <cell r="AN742">
            <v>14688</v>
          </cell>
          <cell r="AO742">
            <v>0</v>
          </cell>
          <cell r="AP742">
            <v>14688</v>
          </cell>
          <cell r="AQ742" t="str">
            <v>컨텐츠헤라</v>
          </cell>
          <cell r="AR742" t="str">
            <v>컨텐츠헤라</v>
          </cell>
        </row>
        <row r="743">
          <cell r="N743" t="str">
            <v>웹티,올코</v>
          </cell>
          <cell r="O743" t="str">
            <v>Y</v>
          </cell>
          <cell r="P743">
            <v>0.7</v>
          </cell>
          <cell r="Q743">
            <v>0.6</v>
          </cell>
          <cell r="R743" t="str">
            <v>시리즈 대여 이용권 패키지</v>
          </cell>
          <cell r="S743">
            <v>3600</v>
          </cell>
          <cell r="T743">
            <v>3600</v>
          </cell>
          <cell r="U743">
            <v>3600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3600</v>
          </cell>
          <cell r="AE743">
            <v>3600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2520</v>
          </cell>
          <cell r="AO743">
            <v>0</v>
          </cell>
          <cell r="AP743">
            <v>2520</v>
          </cell>
          <cell r="AQ743" t="str">
            <v>올콘텐츠앤브이알</v>
          </cell>
          <cell r="AR743" t="str">
            <v>올콘텐츠앤브이알</v>
          </cell>
        </row>
        <row r="744">
          <cell r="N744" t="str">
            <v>마북명,kuri</v>
          </cell>
          <cell r="O744" t="str">
            <v>Y</v>
          </cell>
          <cell r="P744">
            <v>0.7</v>
          </cell>
          <cell r="Q744">
            <v>0.6</v>
          </cell>
          <cell r="R744" t="str">
            <v>시리즈 대여 이용권 패키지</v>
          </cell>
          <cell r="S744">
            <v>7200</v>
          </cell>
          <cell r="T744">
            <v>57600</v>
          </cell>
          <cell r="U744">
            <v>50200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7200</v>
          </cell>
          <cell r="AA744">
            <v>0</v>
          </cell>
          <cell r="AB744">
            <v>0</v>
          </cell>
          <cell r="AC744">
            <v>200</v>
          </cell>
          <cell r="AD744">
            <v>58320</v>
          </cell>
          <cell r="AE744">
            <v>50200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7920</v>
          </cell>
          <cell r="AK744">
            <v>0</v>
          </cell>
          <cell r="AL744">
            <v>0</v>
          </cell>
          <cell r="AM744">
            <v>200</v>
          </cell>
          <cell r="AN744">
            <v>40032</v>
          </cell>
          <cell r="AO744">
            <v>0</v>
          </cell>
          <cell r="AP744">
            <v>40032</v>
          </cell>
          <cell r="AQ744" t="str">
            <v>스토리위즈</v>
          </cell>
          <cell r="AR744" t="str">
            <v>제외</v>
          </cell>
        </row>
        <row r="745">
          <cell r="N745" t="str">
            <v>웹티,올코</v>
          </cell>
          <cell r="O745" t="str">
            <v>Y</v>
          </cell>
          <cell r="P745">
            <v>0.7</v>
          </cell>
          <cell r="Q745">
            <v>0.6</v>
          </cell>
          <cell r="R745" t="str">
            <v>시리즈 대여 이용권 패키지</v>
          </cell>
          <cell r="S745">
            <v>5400</v>
          </cell>
          <cell r="T745">
            <v>-400</v>
          </cell>
          <cell r="U745">
            <v>-400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-400</v>
          </cell>
          <cell r="AE745">
            <v>-400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-280</v>
          </cell>
          <cell r="AO745">
            <v>0</v>
          </cell>
          <cell r="AP745">
            <v>-280</v>
          </cell>
          <cell r="AQ745" t="str">
            <v>올콘텐츠앤브이알</v>
          </cell>
          <cell r="AR745" t="str">
            <v>올콘텐츠앤브이알</v>
          </cell>
        </row>
        <row r="746">
          <cell r="N746" t="str">
            <v>웹티,올코</v>
          </cell>
          <cell r="O746" t="str">
            <v>Y</v>
          </cell>
          <cell r="P746">
            <v>0.7</v>
          </cell>
          <cell r="Q746">
            <v>0.6</v>
          </cell>
          <cell r="R746" t="str">
            <v>단일 이용권</v>
          </cell>
          <cell r="S746">
            <v>500</v>
          </cell>
          <cell r="T746">
            <v>6500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6500</v>
          </cell>
          <cell r="AD746">
            <v>6500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M746">
            <v>6500</v>
          </cell>
          <cell r="AN746">
            <v>4550</v>
          </cell>
          <cell r="AO746">
            <v>0</v>
          </cell>
          <cell r="AP746">
            <v>4550</v>
          </cell>
          <cell r="AQ746" t="str">
            <v>올콘텐츠앤브이알</v>
          </cell>
          <cell r="AR746" t="str">
            <v>올콘텐츠앤브이알</v>
          </cell>
        </row>
        <row r="747">
          <cell r="N747" t="str">
            <v>웹티,올코</v>
          </cell>
          <cell r="O747" t="str">
            <v>Y</v>
          </cell>
          <cell r="P747">
            <v>0.7</v>
          </cell>
          <cell r="Q747">
            <v>0.6</v>
          </cell>
          <cell r="R747" t="str">
            <v>단일 대여 이용권</v>
          </cell>
          <cell r="S747">
            <v>200</v>
          </cell>
          <cell r="T747">
            <v>2200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2200</v>
          </cell>
          <cell r="AD747">
            <v>2200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0</v>
          </cell>
          <cell r="AM747">
            <v>2200</v>
          </cell>
          <cell r="AN747">
            <v>1540</v>
          </cell>
          <cell r="AO747">
            <v>0</v>
          </cell>
          <cell r="AP747">
            <v>1540</v>
          </cell>
          <cell r="AQ747" t="str">
            <v>올콘텐츠앤브이알</v>
          </cell>
          <cell r="AR747" t="str">
            <v>올콘텐츠앤브이알</v>
          </cell>
        </row>
        <row r="748">
          <cell r="N748" t="str">
            <v>웹티,올코</v>
          </cell>
          <cell r="O748" t="str">
            <v>Y</v>
          </cell>
          <cell r="P748">
            <v>0.7</v>
          </cell>
          <cell r="Q748">
            <v>0.6</v>
          </cell>
          <cell r="R748" t="str">
            <v>시리즈 대여 이용권 패키지</v>
          </cell>
          <cell r="S748">
            <v>1800</v>
          </cell>
          <cell r="T748">
            <v>1800</v>
          </cell>
          <cell r="U748">
            <v>1800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1800</v>
          </cell>
          <cell r="AE748">
            <v>1800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M748">
            <v>0</v>
          </cell>
          <cell r="AN748">
            <v>1260</v>
          </cell>
          <cell r="AO748">
            <v>0</v>
          </cell>
          <cell r="AP748">
            <v>1260</v>
          </cell>
          <cell r="AQ748" t="str">
            <v>올콘텐츠앤브이알</v>
          </cell>
          <cell r="AR748" t="str">
            <v>올콘텐츠앤브이알</v>
          </cell>
        </row>
        <row r="749">
          <cell r="N749" t="str">
            <v>NISANSUI/ZIQUAN</v>
          </cell>
          <cell r="O749" t="str">
            <v>Y</v>
          </cell>
          <cell r="P749">
            <v>0.7</v>
          </cell>
          <cell r="Q749">
            <v>0.6</v>
          </cell>
          <cell r="R749" t="str">
            <v>단일 이용권</v>
          </cell>
          <cell r="S749">
            <v>400</v>
          </cell>
          <cell r="T749">
            <v>4800</v>
          </cell>
          <cell r="U749">
            <v>2800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2000</v>
          </cell>
          <cell r="AD749">
            <v>4800</v>
          </cell>
          <cell r="AE749">
            <v>2800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M749">
            <v>2000</v>
          </cell>
          <cell r="AN749">
            <v>3360</v>
          </cell>
          <cell r="AO749">
            <v>0</v>
          </cell>
          <cell r="AP749">
            <v>3360</v>
          </cell>
          <cell r="AQ749" t="str">
            <v>스토리위즈</v>
          </cell>
          <cell r="AR749" t="str">
            <v>제외</v>
          </cell>
        </row>
        <row r="750">
          <cell r="N750" t="str">
            <v>NISANSUI/ZIQUAN</v>
          </cell>
          <cell r="O750" t="str">
            <v>Y</v>
          </cell>
          <cell r="P750">
            <v>0.7</v>
          </cell>
          <cell r="Q750">
            <v>0.6</v>
          </cell>
          <cell r="R750" t="str">
            <v>시리즈 이용권 패키지</v>
          </cell>
          <cell r="S750">
            <v>3600</v>
          </cell>
          <cell r="T750">
            <v>7200</v>
          </cell>
          <cell r="U750">
            <v>7200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7200</v>
          </cell>
          <cell r="AE750">
            <v>7200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M750">
            <v>0</v>
          </cell>
          <cell r="AN750">
            <v>5040</v>
          </cell>
          <cell r="AO750">
            <v>0</v>
          </cell>
          <cell r="AP750">
            <v>5040</v>
          </cell>
          <cell r="AQ750" t="str">
            <v>스토리위즈</v>
          </cell>
          <cell r="AR750" t="str">
            <v>제외</v>
          </cell>
        </row>
        <row r="751">
          <cell r="N751" t="str">
            <v>NISANSUI/ZIQUAN</v>
          </cell>
          <cell r="O751" t="str">
            <v>Y</v>
          </cell>
          <cell r="P751">
            <v>0.7</v>
          </cell>
          <cell r="Q751">
            <v>0.6</v>
          </cell>
          <cell r="R751" t="str">
            <v>시리즈 이용권 패키지</v>
          </cell>
          <cell r="S751">
            <v>7200</v>
          </cell>
          <cell r="T751">
            <v>14400</v>
          </cell>
          <cell r="U751">
            <v>14400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14400</v>
          </cell>
          <cell r="AE751">
            <v>14400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10080</v>
          </cell>
          <cell r="AO751">
            <v>0</v>
          </cell>
          <cell r="AP751">
            <v>10080</v>
          </cell>
          <cell r="AQ751" t="str">
            <v>스토리위즈</v>
          </cell>
          <cell r="AR751" t="str">
            <v>제외</v>
          </cell>
        </row>
        <row r="752">
          <cell r="N752" t="str">
            <v>NISANSUI/ZIQUAN</v>
          </cell>
          <cell r="O752" t="str">
            <v>Y</v>
          </cell>
          <cell r="P752">
            <v>0.7</v>
          </cell>
          <cell r="Q752">
            <v>0.6</v>
          </cell>
          <cell r="R752" t="str">
            <v>단일 대여 이용권</v>
          </cell>
          <cell r="S752">
            <v>200</v>
          </cell>
          <cell r="T752">
            <v>117200</v>
          </cell>
          <cell r="U752">
            <v>61780</v>
          </cell>
          <cell r="V752">
            <v>0</v>
          </cell>
          <cell r="W752">
            <v>0</v>
          </cell>
          <cell r="X752">
            <v>0</v>
          </cell>
          <cell r="Y752">
            <v>1300</v>
          </cell>
          <cell r="Z752">
            <v>200</v>
          </cell>
          <cell r="AA752">
            <v>0</v>
          </cell>
          <cell r="AB752">
            <v>0</v>
          </cell>
          <cell r="AC752">
            <v>53920</v>
          </cell>
          <cell r="AD752">
            <v>117480</v>
          </cell>
          <cell r="AE752">
            <v>61780</v>
          </cell>
          <cell r="AF752">
            <v>0</v>
          </cell>
          <cell r="AG752">
            <v>0</v>
          </cell>
          <cell r="AH752">
            <v>0</v>
          </cell>
          <cell r="AI752">
            <v>1560</v>
          </cell>
          <cell r="AJ752">
            <v>220</v>
          </cell>
          <cell r="AK752">
            <v>0</v>
          </cell>
          <cell r="AL752">
            <v>0</v>
          </cell>
          <cell r="AM752">
            <v>53920</v>
          </cell>
          <cell r="AN752">
            <v>82058</v>
          </cell>
          <cell r="AO752">
            <v>0</v>
          </cell>
          <cell r="AP752">
            <v>82058</v>
          </cell>
          <cell r="AQ752" t="str">
            <v>스토리위즈</v>
          </cell>
          <cell r="AR752" t="str">
            <v>제외</v>
          </cell>
        </row>
        <row r="753">
          <cell r="N753" t="str">
            <v>NISANSUI/ZIQUAN</v>
          </cell>
          <cell r="O753" t="str">
            <v>Y</v>
          </cell>
          <cell r="P753">
            <v>0.7</v>
          </cell>
          <cell r="Q753">
            <v>0.6</v>
          </cell>
          <cell r="R753" t="str">
            <v>시리즈 대여 이용권 패키지</v>
          </cell>
          <cell r="S753">
            <v>1800</v>
          </cell>
          <cell r="T753">
            <v>61200</v>
          </cell>
          <cell r="U753">
            <v>38300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7700</v>
          </cell>
          <cell r="AA753">
            <v>0</v>
          </cell>
          <cell r="AB753">
            <v>0</v>
          </cell>
          <cell r="AC753">
            <v>15200</v>
          </cell>
          <cell r="AD753">
            <v>61970</v>
          </cell>
          <cell r="AE753">
            <v>38300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8470</v>
          </cell>
          <cell r="AK753">
            <v>0</v>
          </cell>
          <cell r="AL753">
            <v>0</v>
          </cell>
          <cell r="AM753">
            <v>15200</v>
          </cell>
          <cell r="AN753">
            <v>42532</v>
          </cell>
          <cell r="AO753">
            <v>0</v>
          </cell>
          <cell r="AP753">
            <v>42532</v>
          </cell>
          <cell r="AQ753" t="str">
            <v>스토리위즈</v>
          </cell>
          <cell r="AR753" t="str">
            <v>제외</v>
          </cell>
        </row>
        <row r="754">
          <cell r="N754" t="str">
            <v>NISANSUI/ZIQUAN</v>
          </cell>
          <cell r="O754" t="str">
            <v>Y</v>
          </cell>
          <cell r="P754">
            <v>0.7</v>
          </cell>
          <cell r="Q754">
            <v>0.6</v>
          </cell>
          <cell r="R754" t="str">
            <v>시리즈 대여 이용권 패키지</v>
          </cell>
          <cell r="S754">
            <v>3600</v>
          </cell>
          <cell r="T754">
            <v>64800</v>
          </cell>
          <cell r="U754">
            <v>60700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4100</v>
          </cell>
          <cell r="AD754">
            <v>64800</v>
          </cell>
          <cell r="AE754">
            <v>60700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AL754">
            <v>0</v>
          </cell>
          <cell r="AM754">
            <v>4100</v>
          </cell>
          <cell r="AN754">
            <v>45360</v>
          </cell>
          <cell r="AO754">
            <v>0</v>
          </cell>
          <cell r="AP754">
            <v>45360</v>
          </cell>
          <cell r="AQ754" t="str">
            <v>스토리위즈</v>
          </cell>
          <cell r="AR754" t="str">
            <v>제외</v>
          </cell>
        </row>
        <row r="755">
          <cell r="N755" t="str">
            <v>NISANSUI/ZIQUAN</v>
          </cell>
          <cell r="O755" t="str">
            <v>Y</v>
          </cell>
          <cell r="P755">
            <v>0.7</v>
          </cell>
          <cell r="Q755">
            <v>0.6</v>
          </cell>
          <cell r="R755" t="str">
            <v>시리즈 대여 이용권 패키지</v>
          </cell>
          <cell r="S755">
            <v>7200</v>
          </cell>
          <cell r="T755">
            <v>36000</v>
          </cell>
          <cell r="U755">
            <v>31000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5000</v>
          </cell>
          <cell r="AD755">
            <v>36000</v>
          </cell>
          <cell r="AE755">
            <v>31000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M755">
            <v>5000</v>
          </cell>
          <cell r="AN755">
            <v>25200</v>
          </cell>
          <cell r="AO755">
            <v>0</v>
          </cell>
          <cell r="AP755">
            <v>25200</v>
          </cell>
          <cell r="AQ755" t="str">
            <v>스토리위즈</v>
          </cell>
          <cell r="AR755" t="str">
            <v>제외</v>
          </cell>
        </row>
        <row r="756">
          <cell r="N756" t="str">
            <v>최도비,수정과</v>
          </cell>
          <cell r="O756" t="str">
            <v>Y</v>
          </cell>
          <cell r="P756">
            <v>0.7</v>
          </cell>
          <cell r="Q756">
            <v>0.6</v>
          </cell>
          <cell r="R756" t="str">
            <v>단일 이용권</v>
          </cell>
          <cell r="S756">
            <v>400</v>
          </cell>
          <cell r="T756">
            <v>1200</v>
          </cell>
          <cell r="U756">
            <v>400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800</v>
          </cell>
          <cell r="AD756">
            <v>1200</v>
          </cell>
          <cell r="AE756">
            <v>400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M756">
            <v>800</v>
          </cell>
          <cell r="AN756">
            <v>840</v>
          </cell>
          <cell r="AO756">
            <v>0</v>
          </cell>
          <cell r="AP756">
            <v>840</v>
          </cell>
          <cell r="AQ756" t="str">
            <v>컨텐츠헤라</v>
          </cell>
          <cell r="AR756" t="str">
            <v>컨텐츠헤라</v>
          </cell>
        </row>
        <row r="757">
          <cell r="N757" t="str">
            <v>최도비,수정과</v>
          </cell>
          <cell r="O757" t="str">
            <v>Y</v>
          </cell>
          <cell r="P757">
            <v>0.7</v>
          </cell>
          <cell r="Q757">
            <v>0.6</v>
          </cell>
          <cell r="R757" t="str">
            <v>단일 대여 이용권</v>
          </cell>
          <cell r="S757">
            <v>200</v>
          </cell>
          <cell r="T757">
            <v>125000</v>
          </cell>
          <cell r="U757">
            <v>66640</v>
          </cell>
          <cell r="V757">
            <v>0</v>
          </cell>
          <cell r="W757">
            <v>0</v>
          </cell>
          <cell r="X757">
            <v>0</v>
          </cell>
          <cell r="Y757">
            <v>400</v>
          </cell>
          <cell r="Z757">
            <v>4100</v>
          </cell>
          <cell r="AA757">
            <v>0</v>
          </cell>
          <cell r="AB757">
            <v>0</v>
          </cell>
          <cell r="AC757">
            <v>53860</v>
          </cell>
          <cell r="AD757">
            <v>125490</v>
          </cell>
          <cell r="AE757">
            <v>66640</v>
          </cell>
          <cell r="AF757">
            <v>0</v>
          </cell>
          <cell r="AG757">
            <v>0</v>
          </cell>
          <cell r="AH757">
            <v>0</v>
          </cell>
          <cell r="AI757">
            <v>480</v>
          </cell>
          <cell r="AJ757">
            <v>4510</v>
          </cell>
          <cell r="AK757">
            <v>0</v>
          </cell>
          <cell r="AL757">
            <v>0</v>
          </cell>
          <cell r="AM757">
            <v>53860</v>
          </cell>
          <cell r="AN757">
            <v>87344</v>
          </cell>
          <cell r="AO757">
            <v>0</v>
          </cell>
          <cell r="AP757">
            <v>87344</v>
          </cell>
          <cell r="AQ757" t="str">
            <v>컨텐츠헤라</v>
          </cell>
          <cell r="AR757" t="str">
            <v>컨텐츠헤라</v>
          </cell>
        </row>
        <row r="758">
          <cell r="N758" t="str">
            <v>최도비,수정과</v>
          </cell>
          <cell r="O758" t="str">
            <v>Y</v>
          </cell>
          <cell r="P758">
            <v>0.7</v>
          </cell>
          <cell r="Q758">
            <v>0.6</v>
          </cell>
          <cell r="R758" t="str">
            <v>시리즈 대여 이용권 패키지</v>
          </cell>
          <cell r="S758">
            <v>1800</v>
          </cell>
          <cell r="T758">
            <v>124200</v>
          </cell>
          <cell r="U758">
            <v>88780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10800</v>
          </cell>
          <cell r="AA758">
            <v>0</v>
          </cell>
          <cell r="AB758">
            <v>0</v>
          </cell>
          <cell r="AC758">
            <v>24620</v>
          </cell>
          <cell r="AD758">
            <v>125280</v>
          </cell>
          <cell r="AE758">
            <v>88780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11880</v>
          </cell>
          <cell r="AK758">
            <v>0</v>
          </cell>
          <cell r="AL758">
            <v>0</v>
          </cell>
          <cell r="AM758">
            <v>24620</v>
          </cell>
          <cell r="AN758">
            <v>86508</v>
          </cell>
          <cell r="AO758">
            <v>0</v>
          </cell>
          <cell r="AP758">
            <v>86508</v>
          </cell>
          <cell r="AQ758" t="str">
            <v>컨텐츠헤라</v>
          </cell>
          <cell r="AR758" t="str">
            <v>컨텐츠헤라</v>
          </cell>
        </row>
        <row r="759">
          <cell r="N759" t="str">
            <v>최도비,수정과</v>
          </cell>
          <cell r="O759" t="str">
            <v>Y</v>
          </cell>
          <cell r="P759">
            <v>0.7</v>
          </cell>
          <cell r="Q759">
            <v>0.6</v>
          </cell>
          <cell r="R759" t="str">
            <v>시리즈 대여 이용권 패키지</v>
          </cell>
          <cell r="S759">
            <v>3600</v>
          </cell>
          <cell r="T759">
            <v>43200</v>
          </cell>
          <cell r="U759">
            <v>42300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900</v>
          </cell>
          <cell r="AD759">
            <v>43200</v>
          </cell>
          <cell r="AE759">
            <v>42300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M759">
            <v>900</v>
          </cell>
          <cell r="AN759">
            <v>30240</v>
          </cell>
          <cell r="AO759">
            <v>0</v>
          </cell>
          <cell r="AP759">
            <v>30240</v>
          </cell>
          <cell r="AQ759" t="str">
            <v>컨텐츠헤라</v>
          </cell>
          <cell r="AR759" t="str">
            <v>컨텐츠헤라</v>
          </cell>
        </row>
        <row r="760">
          <cell r="N760" t="str">
            <v>최도비,수정과</v>
          </cell>
          <cell r="O760" t="str">
            <v>Y</v>
          </cell>
          <cell r="P760">
            <v>0.7</v>
          </cell>
          <cell r="Q760">
            <v>0.6</v>
          </cell>
          <cell r="R760" t="str">
            <v>시리즈 대여 이용권 패키지</v>
          </cell>
          <cell r="S760">
            <v>7200</v>
          </cell>
          <cell r="T760">
            <v>79200</v>
          </cell>
          <cell r="U760">
            <v>71480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7200</v>
          </cell>
          <cell r="AA760">
            <v>0</v>
          </cell>
          <cell r="AB760">
            <v>0</v>
          </cell>
          <cell r="AC760">
            <v>520</v>
          </cell>
          <cell r="AD760">
            <v>79920</v>
          </cell>
          <cell r="AE760">
            <v>71480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7920</v>
          </cell>
          <cell r="AK760">
            <v>0</v>
          </cell>
          <cell r="AL760">
            <v>0</v>
          </cell>
          <cell r="AM760">
            <v>520</v>
          </cell>
          <cell r="AN760">
            <v>55152</v>
          </cell>
          <cell r="AO760">
            <v>0</v>
          </cell>
          <cell r="AP760">
            <v>55152</v>
          </cell>
          <cell r="AQ760" t="str">
            <v>컨텐츠헤라</v>
          </cell>
          <cell r="AR760" t="str">
            <v>컨텐츠헤라</v>
          </cell>
        </row>
        <row r="761">
          <cell r="N761" t="str">
            <v>11hook</v>
          </cell>
          <cell r="O761" t="str">
            <v>Y</v>
          </cell>
          <cell r="P761">
            <v>0.7</v>
          </cell>
          <cell r="Q761">
            <v>0.6</v>
          </cell>
          <cell r="R761" t="str">
            <v>단일 대여 이용권</v>
          </cell>
          <cell r="S761">
            <v>200</v>
          </cell>
          <cell r="T761">
            <v>2800</v>
          </cell>
          <cell r="U761">
            <v>1200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1600</v>
          </cell>
          <cell r="AD761">
            <v>2800</v>
          </cell>
          <cell r="AE761">
            <v>1200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1600</v>
          </cell>
          <cell r="AN761">
            <v>1960</v>
          </cell>
          <cell r="AO761">
            <v>0</v>
          </cell>
          <cell r="AP761">
            <v>1960</v>
          </cell>
          <cell r="AQ761" t="str">
            <v>올콘텐츠앤브이알</v>
          </cell>
          <cell r="AR761" t="str">
            <v>올콘텐츠앤브이알</v>
          </cell>
        </row>
        <row r="762">
          <cell r="N762" t="str">
            <v>11hook</v>
          </cell>
          <cell r="O762" t="str">
            <v>Y</v>
          </cell>
          <cell r="P762">
            <v>0.7</v>
          </cell>
          <cell r="Q762">
            <v>0.6</v>
          </cell>
          <cell r="R762" t="str">
            <v>시리즈 대여 이용권 패키지</v>
          </cell>
          <cell r="S762">
            <v>1800</v>
          </cell>
          <cell r="T762">
            <v>1800</v>
          </cell>
          <cell r="U762">
            <v>1800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1800</v>
          </cell>
          <cell r="AE762">
            <v>1800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0</v>
          </cell>
          <cell r="AK762">
            <v>0</v>
          </cell>
          <cell r="AL762">
            <v>0</v>
          </cell>
          <cell r="AM762">
            <v>0</v>
          </cell>
          <cell r="AN762">
            <v>1260</v>
          </cell>
          <cell r="AO762">
            <v>0</v>
          </cell>
          <cell r="AP762">
            <v>1260</v>
          </cell>
          <cell r="AQ762" t="str">
            <v>올콘텐츠앤브이알</v>
          </cell>
          <cell r="AR762" t="str">
            <v>올콘텐츠앤브이알</v>
          </cell>
        </row>
        <row r="763">
          <cell r="N763" t="str">
            <v>원기공장</v>
          </cell>
          <cell r="O763" t="str">
            <v>Y</v>
          </cell>
          <cell r="P763">
            <v>0.7</v>
          </cell>
          <cell r="Q763">
            <v>0.6</v>
          </cell>
          <cell r="R763" t="str">
            <v>단일 이용권</v>
          </cell>
          <cell r="S763">
            <v>200</v>
          </cell>
          <cell r="T763">
            <v>2600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2600</v>
          </cell>
          <cell r="AD763">
            <v>2600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M763">
            <v>2600</v>
          </cell>
          <cell r="AN763">
            <v>1820</v>
          </cell>
          <cell r="AO763">
            <v>0</v>
          </cell>
          <cell r="AP763">
            <v>1820</v>
          </cell>
          <cell r="AQ763" t="str">
            <v>스토리위즈</v>
          </cell>
          <cell r="AR763" t="str">
            <v>제외</v>
          </cell>
        </row>
        <row r="764">
          <cell r="N764" t="str">
            <v>원기공장</v>
          </cell>
          <cell r="O764" t="str">
            <v>Y</v>
          </cell>
          <cell r="P764">
            <v>0.7</v>
          </cell>
          <cell r="Q764">
            <v>0.6</v>
          </cell>
          <cell r="R764" t="str">
            <v>단일 대여 이용권</v>
          </cell>
          <cell r="S764">
            <v>100</v>
          </cell>
          <cell r="T764">
            <v>20500</v>
          </cell>
          <cell r="U764">
            <v>6700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300</v>
          </cell>
          <cell r="AA764">
            <v>0</v>
          </cell>
          <cell r="AB764">
            <v>0</v>
          </cell>
          <cell r="AC764">
            <v>13500</v>
          </cell>
          <cell r="AD764">
            <v>20530</v>
          </cell>
          <cell r="AE764">
            <v>6700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330</v>
          </cell>
          <cell r="AK764">
            <v>0</v>
          </cell>
          <cell r="AL764">
            <v>0</v>
          </cell>
          <cell r="AM764">
            <v>13500</v>
          </cell>
          <cell r="AN764">
            <v>14338</v>
          </cell>
          <cell r="AO764">
            <v>0</v>
          </cell>
          <cell r="AP764">
            <v>14338</v>
          </cell>
          <cell r="AQ764" t="str">
            <v>스토리위즈</v>
          </cell>
          <cell r="AR764" t="str">
            <v>제외</v>
          </cell>
        </row>
        <row r="765">
          <cell r="N765" t="str">
            <v>웹티,올코</v>
          </cell>
          <cell r="O765" t="str">
            <v>Y</v>
          </cell>
          <cell r="P765">
            <v>0.7</v>
          </cell>
          <cell r="Q765">
            <v>0.6</v>
          </cell>
          <cell r="R765" t="str">
            <v>단일 대여 이용권</v>
          </cell>
          <cell r="S765">
            <v>200</v>
          </cell>
          <cell r="T765">
            <v>2000</v>
          </cell>
          <cell r="U765">
            <v>2000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2000</v>
          </cell>
          <cell r="AE765">
            <v>2000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1400</v>
          </cell>
          <cell r="AO765">
            <v>0</v>
          </cell>
          <cell r="AP765">
            <v>1400</v>
          </cell>
          <cell r="AQ765" t="str">
            <v>올콘텐츠앤브이알</v>
          </cell>
          <cell r="AR765" t="str">
            <v>올콘텐츠앤브이알</v>
          </cell>
        </row>
        <row r="766">
          <cell r="N766" t="str">
            <v>원기공장</v>
          </cell>
          <cell r="O766" t="str">
            <v>Y</v>
          </cell>
          <cell r="P766">
            <v>0.7</v>
          </cell>
          <cell r="Q766">
            <v>0.6</v>
          </cell>
          <cell r="R766" t="str">
            <v>시리즈 대여 이용권 패키지</v>
          </cell>
          <cell r="S766">
            <v>900</v>
          </cell>
          <cell r="T766">
            <v>15400</v>
          </cell>
          <cell r="U766">
            <v>10660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3600</v>
          </cell>
          <cell r="AA766">
            <v>0</v>
          </cell>
          <cell r="AB766">
            <v>0</v>
          </cell>
          <cell r="AC766">
            <v>1140</v>
          </cell>
          <cell r="AD766">
            <v>15760</v>
          </cell>
          <cell r="AE766">
            <v>10660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3960</v>
          </cell>
          <cell r="AK766">
            <v>0</v>
          </cell>
          <cell r="AL766">
            <v>0</v>
          </cell>
          <cell r="AM766">
            <v>1140</v>
          </cell>
          <cell r="AN766">
            <v>10636</v>
          </cell>
          <cell r="AO766">
            <v>0</v>
          </cell>
          <cell r="AP766">
            <v>10636</v>
          </cell>
          <cell r="AQ766" t="str">
            <v>스토리위즈</v>
          </cell>
          <cell r="AR766" t="str">
            <v>제외</v>
          </cell>
        </row>
        <row r="767">
          <cell r="N767" t="str">
            <v>웹티,올코</v>
          </cell>
          <cell r="O767" t="str">
            <v>Y</v>
          </cell>
          <cell r="P767">
            <v>0.7</v>
          </cell>
          <cell r="Q767">
            <v>0.6</v>
          </cell>
          <cell r="R767" t="str">
            <v>시리즈 대여 이용권 패키지</v>
          </cell>
          <cell r="S767">
            <v>1800</v>
          </cell>
          <cell r="T767">
            <v>3600</v>
          </cell>
          <cell r="U767">
            <v>3600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3600</v>
          </cell>
          <cell r="AE767">
            <v>3600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0</v>
          </cell>
          <cell r="AK767">
            <v>0</v>
          </cell>
          <cell r="AL767">
            <v>0</v>
          </cell>
          <cell r="AM767">
            <v>0</v>
          </cell>
          <cell r="AN767">
            <v>2520</v>
          </cell>
          <cell r="AO767">
            <v>0</v>
          </cell>
          <cell r="AP767">
            <v>2520</v>
          </cell>
          <cell r="AQ767" t="str">
            <v>올콘텐츠앤브이알</v>
          </cell>
          <cell r="AR767" t="str">
            <v>올콘텐츠앤브이알</v>
          </cell>
        </row>
        <row r="768">
          <cell r="N768" t="str">
            <v>대운</v>
          </cell>
          <cell r="O768" t="str">
            <v>Y</v>
          </cell>
          <cell r="P768">
            <v>0.7</v>
          </cell>
          <cell r="Q768">
            <v>0.6</v>
          </cell>
          <cell r="R768" t="str">
            <v>단일 대여 이용권</v>
          </cell>
          <cell r="S768">
            <v>200</v>
          </cell>
          <cell r="T768">
            <v>8800</v>
          </cell>
          <cell r="U768">
            <v>4000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200</v>
          </cell>
          <cell r="AA768">
            <v>0</v>
          </cell>
          <cell r="AB768">
            <v>0</v>
          </cell>
          <cell r="AC768">
            <v>4600</v>
          </cell>
          <cell r="AD768">
            <v>8820</v>
          </cell>
          <cell r="AE768">
            <v>4000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220</v>
          </cell>
          <cell r="AK768">
            <v>0</v>
          </cell>
          <cell r="AL768">
            <v>0</v>
          </cell>
          <cell r="AM768">
            <v>4600</v>
          </cell>
          <cell r="AN768">
            <v>6152</v>
          </cell>
          <cell r="AO768">
            <v>0</v>
          </cell>
          <cell r="AP768">
            <v>6152</v>
          </cell>
          <cell r="AQ768" t="str">
            <v>올콘텐츠앤브이알</v>
          </cell>
          <cell r="AR768" t="str">
            <v>올콘텐츠앤브이알</v>
          </cell>
        </row>
        <row r="769">
          <cell r="N769" t="str">
            <v>원기공장</v>
          </cell>
          <cell r="O769" t="str">
            <v>Y</v>
          </cell>
          <cell r="P769">
            <v>0.7</v>
          </cell>
          <cell r="Q769">
            <v>0.6</v>
          </cell>
          <cell r="R769" t="str">
            <v>시리즈 대여 이용권 패키지</v>
          </cell>
          <cell r="S769">
            <v>1800</v>
          </cell>
          <cell r="T769">
            <v>11000</v>
          </cell>
          <cell r="U769">
            <v>7400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3600</v>
          </cell>
          <cell r="AD769">
            <v>11000</v>
          </cell>
          <cell r="AE769">
            <v>7400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M769">
            <v>3600</v>
          </cell>
          <cell r="AN769">
            <v>7700</v>
          </cell>
          <cell r="AO769">
            <v>0</v>
          </cell>
          <cell r="AP769">
            <v>7700</v>
          </cell>
          <cell r="AQ769" t="str">
            <v>스토리위즈</v>
          </cell>
          <cell r="AR769" t="str">
            <v>제외</v>
          </cell>
        </row>
        <row r="770">
          <cell r="N770" t="str">
            <v>웹티,올코</v>
          </cell>
          <cell r="O770" t="str">
            <v>Y</v>
          </cell>
          <cell r="P770">
            <v>0.7</v>
          </cell>
          <cell r="Q770">
            <v>0.6</v>
          </cell>
          <cell r="R770" t="str">
            <v>시리즈 대여 이용권 패키지</v>
          </cell>
          <cell r="S770">
            <v>5400</v>
          </cell>
          <cell r="T770">
            <v>5400</v>
          </cell>
          <cell r="U770">
            <v>5400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5400</v>
          </cell>
          <cell r="AE770">
            <v>5400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0</v>
          </cell>
          <cell r="AK770">
            <v>0</v>
          </cell>
          <cell r="AL770">
            <v>0</v>
          </cell>
          <cell r="AM770">
            <v>0</v>
          </cell>
          <cell r="AN770">
            <v>3780</v>
          </cell>
          <cell r="AO770">
            <v>0</v>
          </cell>
          <cell r="AP770">
            <v>3780</v>
          </cell>
          <cell r="AQ770" t="str">
            <v>올콘텐츠앤브이알</v>
          </cell>
          <cell r="AR770" t="str">
            <v>올콘텐츠앤브이알</v>
          </cell>
        </row>
        <row r="771">
          <cell r="N771" t="str">
            <v>대운</v>
          </cell>
          <cell r="O771" t="str">
            <v>Y</v>
          </cell>
          <cell r="P771">
            <v>0.7</v>
          </cell>
          <cell r="Q771">
            <v>0.6</v>
          </cell>
          <cell r="R771" t="str">
            <v>시리즈 대여 이용권 패키지</v>
          </cell>
          <cell r="S771">
            <v>1800</v>
          </cell>
          <cell r="T771">
            <v>9400</v>
          </cell>
          <cell r="U771">
            <v>9400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9400</v>
          </cell>
          <cell r="AE771">
            <v>9400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0</v>
          </cell>
          <cell r="AK771">
            <v>0</v>
          </cell>
          <cell r="AL771">
            <v>0</v>
          </cell>
          <cell r="AM771">
            <v>0</v>
          </cell>
          <cell r="AN771">
            <v>6580</v>
          </cell>
          <cell r="AO771">
            <v>0</v>
          </cell>
          <cell r="AP771">
            <v>6580</v>
          </cell>
          <cell r="AQ771" t="str">
            <v>올콘텐츠앤브이알</v>
          </cell>
          <cell r="AR771" t="str">
            <v>올콘텐츠앤브이알</v>
          </cell>
        </row>
        <row r="772">
          <cell r="N772" t="str">
            <v>원기공장</v>
          </cell>
          <cell r="O772" t="str">
            <v>Y</v>
          </cell>
          <cell r="P772">
            <v>0.7</v>
          </cell>
          <cell r="Q772">
            <v>0.6</v>
          </cell>
          <cell r="R772" t="str">
            <v>시리즈 대여 이용권 패키지</v>
          </cell>
          <cell r="S772">
            <v>3600</v>
          </cell>
          <cell r="T772">
            <v>16500</v>
          </cell>
          <cell r="U772">
            <v>16500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16500</v>
          </cell>
          <cell r="AE772">
            <v>16500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0</v>
          </cell>
          <cell r="AK772">
            <v>0</v>
          </cell>
          <cell r="AL772">
            <v>0</v>
          </cell>
          <cell r="AM772">
            <v>0</v>
          </cell>
          <cell r="AN772">
            <v>11550</v>
          </cell>
          <cell r="AO772">
            <v>0</v>
          </cell>
          <cell r="AP772">
            <v>11550</v>
          </cell>
          <cell r="AQ772" t="str">
            <v>스토리위즈</v>
          </cell>
          <cell r="AR772" t="str">
            <v>제외</v>
          </cell>
        </row>
        <row r="773">
          <cell r="N773" t="str">
            <v>Hujing×Luojie</v>
          </cell>
          <cell r="O773" t="str">
            <v>Y</v>
          </cell>
          <cell r="P773">
            <v>0.7</v>
          </cell>
          <cell r="Q773">
            <v>0.6</v>
          </cell>
          <cell r="R773" t="str">
            <v>단일 이용권</v>
          </cell>
          <cell r="S773">
            <v>400</v>
          </cell>
          <cell r="T773">
            <v>9600</v>
          </cell>
          <cell r="U773">
            <v>8600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1000</v>
          </cell>
          <cell r="AD773">
            <v>9600</v>
          </cell>
          <cell r="AE773">
            <v>8600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0</v>
          </cell>
          <cell r="AK773">
            <v>0</v>
          </cell>
          <cell r="AL773">
            <v>0</v>
          </cell>
          <cell r="AM773">
            <v>1000</v>
          </cell>
          <cell r="AN773">
            <v>6720</v>
          </cell>
          <cell r="AO773">
            <v>0</v>
          </cell>
          <cell r="AP773">
            <v>6720</v>
          </cell>
          <cell r="AQ773" t="str">
            <v>스토리위즈</v>
          </cell>
          <cell r="AR773" t="str">
            <v>제외</v>
          </cell>
        </row>
        <row r="774">
          <cell r="N774" t="str">
            <v>대운</v>
          </cell>
          <cell r="O774" t="str">
            <v>Y</v>
          </cell>
          <cell r="P774">
            <v>0.7</v>
          </cell>
          <cell r="Q774">
            <v>0.6</v>
          </cell>
          <cell r="R774" t="str">
            <v>시리즈 대여 이용권 패키지</v>
          </cell>
          <cell r="S774">
            <v>3600</v>
          </cell>
          <cell r="T774">
            <v>3600</v>
          </cell>
          <cell r="U774">
            <v>3600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3600</v>
          </cell>
          <cell r="AE774">
            <v>3600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2520</v>
          </cell>
          <cell r="AO774">
            <v>0</v>
          </cell>
          <cell r="AP774">
            <v>2520</v>
          </cell>
          <cell r="AQ774" t="str">
            <v>올콘텐츠앤브이알</v>
          </cell>
          <cell r="AR774" t="str">
            <v>올콘텐츠앤브이알</v>
          </cell>
        </row>
        <row r="775">
          <cell r="N775" t="str">
            <v>Hujing×Luojie</v>
          </cell>
          <cell r="O775" t="str">
            <v>Y</v>
          </cell>
          <cell r="P775">
            <v>0.7</v>
          </cell>
          <cell r="Q775">
            <v>0.6</v>
          </cell>
          <cell r="R775" t="str">
            <v>시리즈 이용권 패키지</v>
          </cell>
          <cell r="S775">
            <v>3600</v>
          </cell>
          <cell r="T775">
            <v>18000</v>
          </cell>
          <cell r="U775">
            <v>18000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18000</v>
          </cell>
          <cell r="AE775">
            <v>18000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>
            <v>0</v>
          </cell>
          <cell r="AK775">
            <v>0</v>
          </cell>
          <cell r="AL775">
            <v>0</v>
          </cell>
          <cell r="AM775">
            <v>0</v>
          </cell>
          <cell r="AN775">
            <v>12600</v>
          </cell>
          <cell r="AO775">
            <v>0</v>
          </cell>
          <cell r="AP775">
            <v>12600</v>
          </cell>
          <cell r="AQ775" t="str">
            <v>스토리위즈</v>
          </cell>
          <cell r="AR775" t="str">
            <v>제외</v>
          </cell>
        </row>
        <row r="776">
          <cell r="N776" t="str">
            <v>Hujing×Luojie</v>
          </cell>
          <cell r="O776" t="str">
            <v>Y</v>
          </cell>
          <cell r="P776">
            <v>0.7</v>
          </cell>
          <cell r="Q776">
            <v>0.6</v>
          </cell>
          <cell r="R776" t="str">
            <v>단일 대여 이용권</v>
          </cell>
          <cell r="S776">
            <v>200</v>
          </cell>
          <cell r="T776">
            <v>185000</v>
          </cell>
          <cell r="U776">
            <v>86680</v>
          </cell>
          <cell r="V776">
            <v>0</v>
          </cell>
          <cell r="W776">
            <v>0</v>
          </cell>
          <cell r="X776">
            <v>0</v>
          </cell>
          <cell r="Y776">
            <v>2000</v>
          </cell>
          <cell r="Z776">
            <v>9200</v>
          </cell>
          <cell r="AA776">
            <v>0</v>
          </cell>
          <cell r="AB776">
            <v>0</v>
          </cell>
          <cell r="AC776">
            <v>87120</v>
          </cell>
          <cell r="AD776">
            <v>186320</v>
          </cell>
          <cell r="AE776">
            <v>86680</v>
          </cell>
          <cell r="AF776">
            <v>0</v>
          </cell>
          <cell r="AG776">
            <v>0</v>
          </cell>
          <cell r="AH776">
            <v>0</v>
          </cell>
          <cell r="AI776">
            <v>2400</v>
          </cell>
          <cell r="AJ776">
            <v>10120</v>
          </cell>
          <cell r="AK776">
            <v>0</v>
          </cell>
          <cell r="AL776">
            <v>0</v>
          </cell>
          <cell r="AM776">
            <v>87120</v>
          </cell>
          <cell r="AN776">
            <v>129172</v>
          </cell>
          <cell r="AO776">
            <v>0</v>
          </cell>
          <cell r="AP776">
            <v>129172</v>
          </cell>
          <cell r="AQ776" t="str">
            <v>스토리위즈</v>
          </cell>
          <cell r="AR776" t="str">
            <v>제외</v>
          </cell>
        </row>
        <row r="777">
          <cell r="N777" t="str">
            <v>Hujing×Luojie</v>
          </cell>
          <cell r="O777" t="str">
            <v>Y</v>
          </cell>
          <cell r="P777">
            <v>0.7</v>
          </cell>
          <cell r="Q777">
            <v>0.6</v>
          </cell>
          <cell r="R777" t="str">
            <v>시리즈 대여 이용권 패키지</v>
          </cell>
          <cell r="S777">
            <v>1800</v>
          </cell>
          <cell r="T777">
            <v>107400</v>
          </cell>
          <cell r="U777">
            <v>83200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16200</v>
          </cell>
          <cell r="AA777">
            <v>0</v>
          </cell>
          <cell r="AB777">
            <v>0</v>
          </cell>
          <cell r="AC777">
            <v>8000</v>
          </cell>
          <cell r="AD777">
            <v>109020</v>
          </cell>
          <cell r="AE777">
            <v>83200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17820</v>
          </cell>
          <cell r="AK777">
            <v>0</v>
          </cell>
          <cell r="AL777">
            <v>0</v>
          </cell>
          <cell r="AM777">
            <v>8000</v>
          </cell>
          <cell r="AN777">
            <v>74532</v>
          </cell>
          <cell r="AO777">
            <v>0</v>
          </cell>
          <cell r="AP777">
            <v>74532</v>
          </cell>
          <cell r="AQ777" t="str">
            <v>스토리위즈</v>
          </cell>
          <cell r="AR777" t="str">
            <v>제외</v>
          </cell>
        </row>
        <row r="778">
          <cell r="N778" t="str">
            <v>웹티,올코</v>
          </cell>
          <cell r="O778" t="str">
            <v>Y</v>
          </cell>
          <cell r="P778">
            <v>0.7</v>
          </cell>
          <cell r="Q778">
            <v>0.6</v>
          </cell>
          <cell r="R778" t="str">
            <v>단일 대여 이용권</v>
          </cell>
          <cell r="S778">
            <v>200</v>
          </cell>
          <cell r="T778">
            <v>2800</v>
          </cell>
          <cell r="U778">
            <v>1700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>
            <v>1100</v>
          </cell>
          <cell r="AD778">
            <v>2800</v>
          </cell>
          <cell r="AE778">
            <v>1700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>
            <v>0</v>
          </cell>
          <cell r="AK778">
            <v>0</v>
          </cell>
          <cell r="AL778">
            <v>0</v>
          </cell>
          <cell r="AM778">
            <v>1100</v>
          </cell>
          <cell r="AN778">
            <v>1960</v>
          </cell>
          <cell r="AO778">
            <v>0</v>
          </cell>
          <cell r="AP778">
            <v>1960</v>
          </cell>
          <cell r="AQ778" t="str">
            <v>올콘텐츠앤브이알</v>
          </cell>
          <cell r="AR778" t="str">
            <v>올콘텐츠앤브이알</v>
          </cell>
        </row>
        <row r="779">
          <cell r="N779" t="str">
            <v>Hujing×Luojie</v>
          </cell>
          <cell r="O779" t="str">
            <v>Y</v>
          </cell>
          <cell r="P779">
            <v>0.7</v>
          </cell>
          <cell r="Q779">
            <v>0.6</v>
          </cell>
          <cell r="R779" t="str">
            <v>시리즈 대여 이용권 패키지</v>
          </cell>
          <cell r="S779">
            <v>3600</v>
          </cell>
          <cell r="T779">
            <v>35000</v>
          </cell>
          <cell r="U779">
            <v>34700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300</v>
          </cell>
          <cell r="AD779">
            <v>35000</v>
          </cell>
          <cell r="AE779">
            <v>34700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300</v>
          </cell>
          <cell r="AN779">
            <v>24500</v>
          </cell>
          <cell r="AO779">
            <v>0</v>
          </cell>
          <cell r="AP779">
            <v>24500</v>
          </cell>
          <cell r="AQ779" t="str">
            <v>스토리위즈</v>
          </cell>
          <cell r="AR779" t="str">
            <v>제외</v>
          </cell>
        </row>
        <row r="780">
          <cell r="N780" t="str">
            <v>웹티,올코</v>
          </cell>
          <cell r="O780" t="str">
            <v>Y</v>
          </cell>
          <cell r="P780">
            <v>0.7</v>
          </cell>
          <cell r="Q780">
            <v>0.6</v>
          </cell>
          <cell r="R780" t="str">
            <v>시리즈 대여 이용권 패키지</v>
          </cell>
          <cell r="S780">
            <v>1800</v>
          </cell>
          <cell r="T780">
            <v>1800</v>
          </cell>
          <cell r="U780">
            <v>1800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1800</v>
          </cell>
          <cell r="AE780">
            <v>1800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1260</v>
          </cell>
          <cell r="AO780">
            <v>0</v>
          </cell>
          <cell r="AP780">
            <v>1260</v>
          </cell>
          <cell r="AQ780" t="str">
            <v>올콘텐츠앤브이알</v>
          </cell>
          <cell r="AR780" t="str">
            <v>올콘텐츠앤브이알</v>
          </cell>
        </row>
        <row r="781">
          <cell r="N781" t="str">
            <v>Hujing×Luojie</v>
          </cell>
          <cell r="O781" t="str">
            <v>Y</v>
          </cell>
          <cell r="P781">
            <v>0.7</v>
          </cell>
          <cell r="Q781">
            <v>0.6</v>
          </cell>
          <cell r="R781" t="str">
            <v>시리즈 대여 이용권 패키지</v>
          </cell>
          <cell r="S781">
            <v>7200</v>
          </cell>
          <cell r="T781">
            <v>43200</v>
          </cell>
          <cell r="U781">
            <v>25300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14400</v>
          </cell>
          <cell r="AA781">
            <v>0</v>
          </cell>
          <cell r="AB781">
            <v>0</v>
          </cell>
          <cell r="AC781">
            <v>3500</v>
          </cell>
          <cell r="AD781">
            <v>44640</v>
          </cell>
          <cell r="AE781">
            <v>25300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15840</v>
          </cell>
          <cell r="AK781">
            <v>0</v>
          </cell>
          <cell r="AL781">
            <v>0</v>
          </cell>
          <cell r="AM781">
            <v>3500</v>
          </cell>
          <cell r="AN781">
            <v>29664</v>
          </cell>
          <cell r="AO781">
            <v>0</v>
          </cell>
          <cell r="AP781">
            <v>29664</v>
          </cell>
          <cell r="AQ781" t="str">
            <v>스토리위즈</v>
          </cell>
          <cell r="AR781" t="str">
            <v>제외</v>
          </cell>
        </row>
        <row r="782">
          <cell r="N782" t="str">
            <v>웹티,올코</v>
          </cell>
          <cell r="O782" t="str">
            <v>Y</v>
          </cell>
          <cell r="P782">
            <v>0.7</v>
          </cell>
          <cell r="Q782">
            <v>0.6</v>
          </cell>
          <cell r="R782" t="str">
            <v>단일 대여 이용권</v>
          </cell>
          <cell r="S782">
            <v>200</v>
          </cell>
          <cell r="T782">
            <v>5800</v>
          </cell>
          <cell r="U782">
            <v>3900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400</v>
          </cell>
          <cell r="AA782">
            <v>0</v>
          </cell>
          <cell r="AB782">
            <v>0</v>
          </cell>
          <cell r="AC782">
            <v>1500</v>
          </cell>
          <cell r="AD782">
            <v>5840</v>
          </cell>
          <cell r="AE782">
            <v>3900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440</v>
          </cell>
          <cell r="AK782">
            <v>0</v>
          </cell>
          <cell r="AL782">
            <v>0</v>
          </cell>
          <cell r="AM782">
            <v>1500</v>
          </cell>
          <cell r="AN782">
            <v>4044</v>
          </cell>
          <cell r="AO782">
            <v>0</v>
          </cell>
          <cell r="AP782">
            <v>4044</v>
          </cell>
          <cell r="AQ782" t="str">
            <v>올콘텐츠앤브이알</v>
          </cell>
          <cell r="AR782" t="str">
            <v>올콘텐츠앤브이알</v>
          </cell>
        </row>
        <row r="783">
          <cell r="N783" t="str">
            <v>웹티,올코</v>
          </cell>
          <cell r="O783" t="str">
            <v>Y</v>
          </cell>
          <cell r="P783">
            <v>0.7</v>
          </cell>
          <cell r="Q783">
            <v>0.6</v>
          </cell>
          <cell r="R783" t="str">
            <v>시리즈 대여 이용권 패키지</v>
          </cell>
          <cell r="S783">
            <v>1800</v>
          </cell>
          <cell r="T783">
            <v>10800</v>
          </cell>
          <cell r="U783">
            <v>10800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10800</v>
          </cell>
          <cell r="AE783">
            <v>10800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7560</v>
          </cell>
          <cell r="AO783">
            <v>0</v>
          </cell>
          <cell r="AP783">
            <v>7560</v>
          </cell>
          <cell r="AQ783" t="str">
            <v>올콘텐츠앤브이알</v>
          </cell>
          <cell r="AR783" t="str">
            <v>올콘텐츠앤브이알</v>
          </cell>
        </row>
        <row r="784">
          <cell r="N784" t="str">
            <v>ZHUPI/YANGXUETU</v>
          </cell>
          <cell r="O784" t="str">
            <v>Y</v>
          </cell>
          <cell r="P784">
            <v>0.7</v>
          </cell>
          <cell r="Q784">
            <v>0.6</v>
          </cell>
          <cell r="R784" t="str">
            <v>단일 이용권</v>
          </cell>
          <cell r="S784">
            <v>200</v>
          </cell>
          <cell r="T784">
            <v>8600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8600</v>
          </cell>
          <cell r="AD784">
            <v>8600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8600</v>
          </cell>
          <cell r="AN784">
            <v>6020</v>
          </cell>
          <cell r="AO784">
            <v>0</v>
          </cell>
          <cell r="AP784">
            <v>6020</v>
          </cell>
          <cell r="AQ784" t="str">
            <v>스토리위즈</v>
          </cell>
          <cell r="AR784" t="str">
            <v>제외</v>
          </cell>
        </row>
        <row r="785">
          <cell r="N785" t="str">
            <v>ZHUPI/YANGXUETU</v>
          </cell>
          <cell r="O785" t="str">
            <v>Y</v>
          </cell>
          <cell r="P785">
            <v>0.7</v>
          </cell>
          <cell r="Q785">
            <v>0.6</v>
          </cell>
          <cell r="R785" t="str">
            <v>단일 대여 이용권</v>
          </cell>
          <cell r="S785">
            <v>100</v>
          </cell>
          <cell r="T785">
            <v>300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300</v>
          </cell>
          <cell r="AD785">
            <v>300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300</v>
          </cell>
          <cell r="AN785">
            <v>210</v>
          </cell>
          <cell r="AO785">
            <v>0</v>
          </cell>
          <cell r="AP785">
            <v>210</v>
          </cell>
          <cell r="AQ785" t="str">
            <v>스토리위즈</v>
          </cell>
          <cell r="AR785" t="str">
            <v>제외</v>
          </cell>
        </row>
        <row r="786">
          <cell r="N786" t="str">
            <v>ZHUPI/YANGXUETU</v>
          </cell>
          <cell r="O786" t="str">
            <v>Y</v>
          </cell>
          <cell r="P786">
            <v>0.7</v>
          </cell>
          <cell r="Q786">
            <v>0.6</v>
          </cell>
          <cell r="R786" t="str">
            <v>시리즈 대여 이용권 패키지</v>
          </cell>
          <cell r="S786">
            <v>900</v>
          </cell>
          <cell r="T786">
            <v>3600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3600</v>
          </cell>
          <cell r="AD786">
            <v>3600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3600</v>
          </cell>
          <cell r="AN786">
            <v>2520</v>
          </cell>
          <cell r="AO786">
            <v>0</v>
          </cell>
          <cell r="AP786">
            <v>2520</v>
          </cell>
          <cell r="AQ786" t="str">
            <v>스토리위즈</v>
          </cell>
          <cell r="AR786" t="str">
            <v>제외</v>
          </cell>
        </row>
        <row r="787">
          <cell r="N787" t="str">
            <v>웹티,올코</v>
          </cell>
          <cell r="O787" t="str">
            <v>Y</v>
          </cell>
          <cell r="P787">
            <v>0.7</v>
          </cell>
          <cell r="Q787">
            <v>0.6</v>
          </cell>
          <cell r="R787" t="str">
            <v>단일 대여 이용권</v>
          </cell>
          <cell r="S787">
            <v>200</v>
          </cell>
          <cell r="T787">
            <v>3600</v>
          </cell>
          <cell r="U787">
            <v>1200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2400</v>
          </cell>
          <cell r="AD787">
            <v>3600</v>
          </cell>
          <cell r="AE787">
            <v>1200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2400</v>
          </cell>
          <cell r="AN787">
            <v>2520</v>
          </cell>
          <cell r="AO787">
            <v>0</v>
          </cell>
          <cell r="AP787">
            <v>2520</v>
          </cell>
          <cell r="AQ787" t="str">
            <v>올콘텐츠앤브이알</v>
          </cell>
          <cell r="AR787" t="str">
            <v>올콘텐츠앤브이알</v>
          </cell>
        </row>
        <row r="788">
          <cell r="N788" t="str">
            <v>웹티,올코</v>
          </cell>
          <cell r="O788" t="str">
            <v>Y</v>
          </cell>
          <cell r="P788">
            <v>0.7</v>
          </cell>
          <cell r="Q788">
            <v>0.6</v>
          </cell>
          <cell r="R788" t="str">
            <v>시리즈 대여 이용권 패키지</v>
          </cell>
          <cell r="S788">
            <v>1800</v>
          </cell>
          <cell r="T788">
            <v>28000</v>
          </cell>
          <cell r="U788">
            <v>26200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1800</v>
          </cell>
          <cell r="AD788">
            <v>28000</v>
          </cell>
          <cell r="AE788">
            <v>26200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1800</v>
          </cell>
          <cell r="AN788">
            <v>19600</v>
          </cell>
          <cell r="AO788">
            <v>0</v>
          </cell>
          <cell r="AP788">
            <v>19600</v>
          </cell>
          <cell r="AQ788" t="str">
            <v>올콘텐츠앤브이알</v>
          </cell>
          <cell r="AR788" t="str">
            <v>올콘텐츠앤브이알</v>
          </cell>
        </row>
        <row r="789">
          <cell r="N789" t="str">
            <v>웹티,올코</v>
          </cell>
          <cell r="O789" t="str">
            <v>Y</v>
          </cell>
          <cell r="P789">
            <v>0.7</v>
          </cell>
          <cell r="Q789">
            <v>0.6</v>
          </cell>
          <cell r="R789" t="str">
            <v>시리즈 대여 이용권 패키지</v>
          </cell>
          <cell r="S789">
            <v>3600</v>
          </cell>
          <cell r="T789">
            <v>3600</v>
          </cell>
          <cell r="U789">
            <v>3600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3600</v>
          </cell>
          <cell r="AE789">
            <v>3600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2520</v>
          </cell>
          <cell r="AO789">
            <v>0</v>
          </cell>
          <cell r="AP789">
            <v>2520</v>
          </cell>
          <cell r="AQ789" t="str">
            <v>올콘텐츠앤브이알</v>
          </cell>
          <cell r="AR789" t="str">
            <v>올콘텐츠앤브이알</v>
          </cell>
        </row>
        <row r="790">
          <cell r="N790" t="str">
            <v>웹티,올코</v>
          </cell>
          <cell r="O790" t="str">
            <v>Y</v>
          </cell>
          <cell r="P790">
            <v>0.7</v>
          </cell>
          <cell r="Q790">
            <v>0.6</v>
          </cell>
          <cell r="R790" t="str">
            <v>시리즈 대여 이용권 패키지</v>
          </cell>
          <cell r="S790">
            <v>5400</v>
          </cell>
          <cell r="T790">
            <v>5400</v>
          </cell>
          <cell r="U790">
            <v>5400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5400</v>
          </cell>
          <cell r="AE790">
            <v>5400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3780</v>
          </cell>
          <cell r="AO790">
            <v>0</v>
          </cell>
          <cell r="AP790">
            <v>3780</v>
          </cell>
          <cell r="AQ790" t="str">
            <v>올콘텐츠앤브이알</v>
          </cell>
          <cell r="AR790" t="str">
            <v>올콘텐츠앤브이알</v>
          </cell>
        </row>
        <row r="791">
          <cell r="N791" t="str">
            <v>웹티,올코</v>
          </cell>
          <cell r="O791" t="str">
            <v>Y</v>
          </cell>
          <cell r="P791">
            <v>0.7</v>
          </cell>
          <cell r="Q791">
            <v>0.6</v>
          </cell>
          <cell r="R791" t="str">
            <v>단일 대여 이용권</v>
          </cell>
          <cell r="S791">
            <v>200</v>
          </cell>
          <cell r="T791">
            <v>6400</v>
          </cell>
          <cell r="U791">
            <v>1800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4600</v>
          </cell>
          <cell r="AD791">
            <v>6400</v>
          </cell>
          <cell r="AE791">
            <v>1800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4600</v>
          </cell>
          <cell r="AN791">
            <v>4480</v>
          </cell>
          <cell r="AO791">
            <v>0</v>
          </cell>
          <cell r="AP791">
            <v>4480</v>
          </cell>
          <cell r="AQ791" t="str">
            <v>올콘텐츠앤브이알</v>
          </cell>
          <cell r="AR791" t="str">
            <v>올콘텐츠앤브이알</v>
          </cell>
        </row>
        <row r="792">
          <cell r="N792" t="str">
            <v>웹티,올코</v>
          </cell>
          <cell r="O792" t="str">
            <v>Y</v>
          </cell>
          <cell r="P792">
            <v>0.7</v>
          </cell>
          <cell r="Q792">
            <v>0.6</v>
          </cell>
          <cell r="R792" t="str">
            <v>시리즈 대여 이용권 패키지</v>
          </cell>
          <cell r="S792">
            <v>1800</v>
          </cell>
          <cell r="T792">
            <v>1800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1800</v>
          </cell>
          <cell r="AD792">
            <v>1800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1800</v>
          </cell>
          <cell r="AN792">
            <v>1260</v>
          </cell>
          <cell r="AO792">
            <v>0</v>
          </cell>
          <cell r="AP792">
            <v>1260</v>
          </cell>
          <cell r="AQ792" t="str">
            <v>올콘텐츠앤브이알</v>
          </cell>
          <cell r="AR792" t="str">
            <v>올콘텐츠앤브이알</v>
          </cell>
        </row>
        <row r="793">
          <cell r="N793" t="str">
            <v>화방,망북</v>
          </cell>
          <cell r="O793" t="str">
            <v>Y</v>
          </cell>
          <cell r="P793">
            <v>0.7</v>
          </cell>
          <cell r="Q793">
            <v>0.6</v>
          </cell>
          <cell r="R793" t="str">
            <v>단일 대여 이용권</v>
          </cell>
          <cell r="S793">
            <v>200</v>
          </cell>
          <cell r="T793">
            <v>8600</v>
          </cell>
          <cell r="U793">
            <v>7200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1400</v>
          </cell>
          <cell r="AD793">
            <v>8600</v>
          </cell>
          <cell r="AE793">
            <v>7200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1400</v>
          </cell>
          <cell r="AN793">
            <v>6020</v>
          </cell>
          <cell r="AO793">
            <v>0</v>
          </cell>
          <cell r="AP793">
            <v>6020</v>
          </cell>
          <cell r="AQ793" t="str">
            <v>스토리위즈</v>
          </cell>
          <cell r="AR793" t="str">
            <v>제외</v>
          </cell>
        </row>
        <row r="794">
          <cell r="N794" t="str">
            <v>웹티,올코</v>
          </cell>
          <cell r="O794" t="str">
            <v>Y</v>
          </cell>
          <cell r="P794">
            <v>0.7</v>
          </cell>
          <cell r="Q794">
            <v>0.6</v>
          </cell>
          <cell r="R794" t="str">
            <v>시리즈 대여 이용권 패키지</v>
          </cell>
          <cell r="S794">
            <v>5400</v>
          </cell>
          <cell r="T794">
            <v>400</v>
          </cell>
          <cell r="U794">
            <v>200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200</v>
          </cell>
          <cell r="AD794">
            <v>400</v>
          </cell>
          <cell r="AE794">
            <v>200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200</v>
          </cell>
          <cell r="AN794">
            <v>280</v>
          </cell>
          <cell r="AO794">
            <v>0</v>
          </cell>
          <cell r="AP794">
            <v>280</v>
          </cell>
          <cell r="AQ794" t="str">
            <v>올콘텐츠앤브이알</v>
          </cell>
          <cell r="AR794" t="str">
            <v>올콘텐츠앤브이알</v>
          </cell>
        </row>
        <row r="795">
          <cell r="N795" t="str">
            <v>화방,망북</v>
          </cell>
          <cell r="O795" t="str">
            <v>Y</v>
          </cell>
          <cell r="P795">
            <v>0.7</v>
          </cell>
          <cell r="Q795">
            <v>0.6</v>
          </cell>
          <cell r="R795" t="str">
            <v>시리즈 대여 이용권 패키지</v>
          </cell>
          <cell r="S795">
            <v>1800</v>
          </cell>
          <cell r="T795">
            <v>3600</v>
          </cell>
          <cell r="U795">
            <v>3600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3600</v>
          </cell>
          <cell r="AE795">
            <v>3600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2520</v>
          </cell>
          <cell r="AO795">
            <v>0</v>
          </cell>
          <cell r="AP795">
            <v>2520</v>
          </cell>
          <cell r="AQ795" t="str">
            <v>스토리위즈</v>
          </cell>
          <cell r="AR795" t="str">
            <v>제외</v>
          </cell>
        </row>
        <row r="796">
          <cell r="N796" t="str">
            <v>화방,망북</v>
          </cell>
          <cell r="O796" t="str">
            <v>Y</v>
          </cell>
          <cell r="P796">
            <v>0.7</v>
          </cell>
          <cell r="Q796">
            <v>0.6</v>
          </cell>
          <cell r="R796" t="str">
            <v>시리즈 대여 이용권 패키지</v>
          </cell>
          <cell r="S796">
            <v>3600</v>
          </cell>
          <cell r="T796">
            <v>3600</v>
          </cell>
          <cell r="U796">
            <v>3600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3600</v>
          </cell>
          <cell r="AE796">
            <v>3600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2520</v>
          </cell>
          <cell r="AO796">
            <v>0</v>
          </cell>
          <cell r="AP796">
            <v>2520</v>
          </cell>
          <cell r="AQ796" t="str">
            <v>스토리위즈</v>
          </cell>
          <cell r="AR796" t="str">
            <v>제외</v>
          </cell>
        </row>
        <row r="797">
          <cell r="N797" t="str">
            <v>웹티,올코</v>
          </cell>
          <cell r="O797" t="str">
            <v>Y</v>
          </cell>
          <cell r="P797">
            <v>0.7</v>
          </cell>
          <cell r="Q797">
            <v>0.6</v>
          </cell>
          <cell r="R797" t="str">
            <v>시리즈 대여 이용권 패키지</v>
          </cell>
          <cell r="S797">
            <v>1800</v>
          </cell>
          <cell r="T797">
            <v>9000</v>
          </cell>
          <cell r="U797">
            <v>9000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9000</v>
          </cell>
          <cell r="AE797">
            <v>9000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6300</v>
          </cell>
          <cell r="AO797">
            <v>0</v>
          </cell>
          <cell r="AP797">
            <v>6300</v>
          </cell>
          <cell r="AQ797" t="str">
            <v>올콘텐츠앤브이알</v>
          </cell>
          <cell r="AR797" t="str">
            <v>올콘텐츠앤브이알</v>
          </cell>
        </row>
        <row r="798">
          <cell r="N798" t="str">
            <v>Nica,A.Noa,RK Studio</v>
          </cell>
          <cell r="O798" t="str">
            <v>Y</v>
          </cell>
          <cell r="P798">
            <v>0.7</v>
          </cell>
          <cell r="Q798">
            <v>0.6</v>
          </cell>
          <cell r="R798" t="str">
            <v>단일 이용권</v>
          </cell>
          <cell r="S798">
            <v>500</v>
          </cell>
          <cell r="T798">
            <v>5000</v>
          </cell>
          <cell r="U798">
            <v>5000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5000</v>
          </cell>
          <cell r="AE798">
            <v>5000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3500</v>
          </cell>
          <cell r="AO798">
            <v>0</v>
          </cell>
          <cell r="AP798">
            <v>3500</v>
          </cell>
          <cell r="AQ798" t="str">
            <v>구디</v>
          </cell>
          <cell r="AR798" t="str">
            <v>구디</v>
          </cell>
        </row>
        <row r="799">
          <cell r="N799" t="str">
            <v>Nica,A.Noa,RK Studio</v>
          </cell>
          <cell r="O799" t="str">
            <v>Y</v>
          </cell>
          <cell r="P799">
            <v>0.7</v>
          </cell>
          <cell r="Q799">
            <v>0.6</v>
          </cell>
          <cell r="R799" t="str">
            <v>시리즈 이용권 패키지</v>
          </cell>
          <cell r="S799">
            <v>4500</v>
          </cell>
          <cell r="T799">
            <v>4500</v>
          </cell>
          <cell r="U799">
            <v>4500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4500</v>
          </cell>
          <cell r="AE799">
            <v>4500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3150</v>
          </cell>
          <cell r="AO799">
            <v>0</v>
          </cell>
          <cell r="AP799">
            <v>3150</v>
          </cell>
          <cell r="AQ799" t="str">
            <v>구디</v>
          </cell>
          <cell r="AR799" t="str">
            <v>구디</v>
          </cell>
        </row>
        <row r="800">
          <cell r="N800" t="str">
            <v>Nica,A.Noa,RK Studio</v>
          </cell>
          <cell r="O800" t="str">
            <v>Y</v>
          </cell>
          <cell r="P800">
            <v>0.7</v>
          </cell>
          <cell r="Q800">
            <v>0.6</v>
          </cell>
          <cell r="R800" t="str">
            <v>단일 대여 이용권</v>
          </cell>
          <cell r="S800">
            <v>200</v>
          </cell>
          <cell r="T800">
            <v>7400</v>
          </cell>
          <cell r="U800">
            <v>5800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1600</v>
          </cell>
          <cell r="AD800">
            <v>7400</v>
          </cell>
          <cell r="AE800">
            <v>5800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1600</v>
          </cell>
          <cell r="AN800">
            <v>5180</v>
          </cell>
          <cell r="AO800">
            <v>0</v>
          </cell>
          <cell r="AP800">
            <v>5180</v>
          </cell>
          <cell r="AQ800" t="str">
            <v>구디</v>
          </cell>
          <cell r="AR800" t="str">
            <v>구디</v>
          </cell>
        </row>
        <row r="801">
          <cell r="N801" t="str">
            <v>Nica,A.Noa,RK Studio</v>
          </cell>
          <cell r="O801" t="str">
            <v>Y</v>
          </cell>
          <cell r="P801">
            <v>0.7</v>
          </cell>
          <cell r="Q801">
            <v>0.6</v>
          </cell>
          <cell r="R801" t="str">
            <v>시리즈 대여 이용권 패키지</v>
          </cell>
          <cell r="S801">
            <v>1800</v>
          </cell>
          <cell r="T801">
            <v>1800</v>
          </cell>
          <cell r="U801">
            <v>1800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1800</v>
          </cell>
          <cell r="AE801">
            <v>1800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1260</v>
          </cell>
          <cell r="AO801">
            <v>0</v>
          </cell>
          <cell r="AP801">
            <v>1260</v>
          </cell>
          <cell r="AQ801" t="str">
            <v>구디</v>
          </cell>
          <cell r="AR801" t="str">
            <v>구디</v>
          </cell>
        </row>
        <row r="802">
          <cell r="N802" t="str">
            <v>채준</v>
          </cell>
          <cell r="O802" t="str">
            <v>Y</v>
          </cell>
          <cell r="P802">
            <v>0.7</v>
          </cell>
          <cell r="Q802">
            <v>0.6</v>
          </cell>
          <cell r="R802" t="str">
            <v>단일 이용권</v>
          </cell>
          <cell r="S802">
            <v>400</v>
          </cell>
          <cell r="T802">
            <v>3200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3200</v>
          </cell>
          <cell r="AD802">
            <v>3200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3200</v>
          </cell>
          <cell r="AN802">
            <v>2240</v>
          </cell>
          <cell r="AO802">
            <v>0</v>
          </cell>
          <cell r="AP802">
            <v>2240</v>
          </cell>
          <cell r="AQ802" t="str">
            <v>투니드엔터테인먼트</v>
          </cell>
          <cell r="AR802" t="str">
            <v>투니드엔터테인먼트</v>
          </cell>
        </row>
        <row r="803">
          <cell r="N803" t="str">
            <v>채준</v>
          </cell>
          <cell r="O803" t="str">
            <v>Y</v>
          </cell>
          <cell r="P803">
            <v>0.7</v>
          </cell>
          <cell r="Q803">
            <v>0.6</v>
          </cell>
          <cell r="R803" t="str">
            <v>단일 대여 이용권</v>
          </cell>
          <cell r="S803">
            <v>200</v>
          </cell>
          <cell r="T803">
            <v>49800</v>
          </cell>
          <cell r="U803">
            <v>16600</v>
          </cell>
          <cell r="V803">
            <v>0</v>
          </cell>
          <cell r="W803">
            <v>0</v>
          </cell>
          <cell r="X803">
            <v>0</v>
          </cell>
          <cell r="Y803">
            <v>800</v>
          </cell>
          <cell r="Z803">
            <v>6000</v>
          </cell>
          <cell r="AA803">
            <v>0</v>
          </cell>
          <cell r="AB803">
            <v>0</v>
          </cell>
          <cell r="AC803">
            <v>26400</v>
          </cell>
          <cell r="AD803">
            <v>50560</v>
          </cell>
          <cell r="AE803">
            <v>16600</v>
          </cell>
          <cell r="AF803">
            <v>0</v>
          </cell>
          <cell r="AG803">
            <v>0</v>
          </cell>
          <cell r="AH803">
            <v>0</v>
          </cell>
          <cell r="AI803">
            <v>960</v>
          </cell>
          <cell r="AJ803">
            <v>6600</v>
          </cell>
          <cell r="AK803">
            <v>0</v>
          </cell>
          <cell r="AL803">
            <v>0</v>
          </cell>
          <cell r="AM803">
            <v>26400</v>
          </cell>
          <cell r="AN803">
            <v>34636</v>
          </cell>
          <cell r="AO803">
            <v>0</v>
          </cell>
          <cell r="AP803">
            <v>34636</v>
          </cell>
          <cell r="AQ803" t="str">
            <v>투니드엔터테인먼트</v>
          </cell>
          <cell r="AR803" t="str">
            <v>투니드엔터테인먼트</v>
          </cell>
        </row>
        <row r="804">
          <cell r="N804" t="str">
            <v>채준</v>
          </cell>
          <cell r="O804" t="str">
            <v>Y</v>
          </cell>
          <cell r="P804">
            <v>0.7</v>
          </cell>
          <cell r="Q804">
            <v>0.6</v>
          </cell>
          <cell r="R804" t="str">
            <v>시리즈 대여 이용권 패키지</v>
          </cell>
          <cell r="S804">
            <v>1800</v>
          </cell>
          <cell r="T804">
            <v>12600</v>
          </cell>
          <cell r="U804">
            <v>9000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3600</v>
          </cell>
          <cell r="AD804">
            <v>12600</v>
          </cell>
          <cell r="AE804">
            <v>9000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3600</v>
          </cell>
          <cell r="AN804">
            <v>8820</v>
          </cell>
          <cell r="AO804">
            <v>0</v>
          </cell>
          <cell r="AP804">
            <v>8820</v>
          </cell>
          <cell r="AQ804" t="str">
            <v>투니드엔터테인먼트</v>
          </cell>
          <cell r="AR804" t="str">
            <v>투니드엔터테인먼트</v>
          </cell>
        </row>
        <row r="805">
          <cell r="N805" t="str">
            <v>채준</v>
          </cell>
          <cell r="O805" t="str">
            <v>Y</v>
          </cell>
          <cell r="P805">
            <v>0.7</v>
          </cell>
          <cell r="Q805">
            <v>0.6</v>
          </cell>
          <cell r="R805" t="str">
            <v>시리즈 대여 이용권 패키지</v>
          </cell>
          <cell r="S805">
            <v>3600</v>
          </cell>
          <cell r="T805">
            <v>10800</v>
          </cell>
          <cell r="U805">
            <v>7200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3600</v>
          </cell>
          <cell r="AA805">
            <v>0</v>
          </cell>
          <cell r="AB805">
            <v>0</v>
          </cell>
          <cell r="AC805">
            <v>0</v>
          </cell>
          <cell r="AD805">
            <v>11160</v>
          </cell>
          <cell r="AE805">
            <v>7200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3960</v>
          </cell>
          <cell r="AK805">
            <v>0</v>
          </cell>
          <cell r="AL805">
            <v>0</v>
          </cell>
          <cell r="AM805">
            <v>0</v>
          </cell>
          <cell r="AN805">
            <v>7416</v>
          </cell>
          <cell r="AO805">
            <v>0</v>
          </cell>
          <cell r="AP805">
            <v>7416</v>
          </cell>
          <cell r="AQ805" t="str">
            <v>투니드엔터테인먼트</v>
          </cell>
          <cell r="AR805" t="str">
            <v>투니드엔터테인먼트</v>
          </cell>
        </row>
        <row r="806">
          <cell r="N806" t="str">
            <v>채준</v>
          </cell>
          <cell r="O806" t="str">
            <v>Y</v>
          </cell>
          <cell r="P806">
            <v>0.7</v>
          </cell>
          <cell r="Q806">
            <v>0.6</v>
          </cell>
          <cell r="R806" t="str">
            <v>시리즈 대여 이용권 패키지</v>
          </cell>
          <cell r="S806">
            <v>7200</v>
          </cell>
          <cell r="T806">
            <v>28800</v>
          </cell>
          <cell r="U806">
            <v>21600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7200</v>
          </cell>
          <cell r="AA806">
            <v>0</v>
          </cell>
          <cell r="AB806">
            <v>0</v>
          </cell>
          <cell r="AC806">
            <v>0</v>
          </cell>
          <cell r="AD806">
            <v>29520</v>
          </cell>
          <cell r="AE806">
            <v>21600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7920</v>
          </cell>
          <cell r="AK806">
            <v>0</v>
          </cell>
          <cell r="AL806">
            <v>0</v>
          </cell>
          <cell r="AM806">
            <v>0</v>
          </cell>
          <cell r="AN806">
            <v>19872</v>
          </cell>
          <cell r="AO806">
            <v>0</v>
          </cell>
          <cell r="AP806">
            <v>19872</v>
          </cell>
          <cell r="AQ806" t="str">
            <v>투니드엔터테인먼트</v>
          </cell>
          <cell r="AR806" t="str">
            <v>투니드엔터테인먼트</v>
          </cell>
        </row>
        <row r="807">
          <cell r="N807" t="str">
            <v>웹티,올코</v>
          </cell>
          <cell r="O807" t="str">
            <v>Y</v>
          </cell>
          <cell r="P807">
            <v>0.7</v>
          </cell>
          <cell r="Q807">
            <v>0.6</v>
          </cell>
          <cell r="R807" t="str">
            <v>시리즈 대여 이용권 패키지</v>
          </cell>
          <cell r="S807">
            <v>1800</v>
          </cell>
          <cell r="T807">
            <v>1800</v>
          </cell>
          <cell r="U807">
            <v>1800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1800</v>
          </cell>
          <cell r="AE807">
            <v>1800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1260</v>
          </cell>
          <cell r="AO807">
            <v>0</v>
          </cell>
          <cell r="AP807">
            <v>1260</v>
          </cell>
          <cell r="AQ807" t="str">
            <v>올콘텐츠앤브이알</v>
          </cell>
          <cell r="AR807" t="str">
            <v>올콘텐츠앤브이알</v>
          </cell>
        </row>
        <row r="808">
          <cell r="N808" t="str">
            <v>웹티,올코</v>
          </cell>
          <cell r="O808" t="str">
            <v>Y</v>
          </cell>
          <cell r="P808">
            <v>0.7</v>
          </cell>
          <cell r="Q808">
            <v>0.6</v>
          </cell>
          <cell r="R808" t="str">
            <v>시리즈 대여 이용권 패키지</v>
          </cell>
          <cell r="S808">
            <v>3600</v>
          </cell>
          <cell r="T808">
            <v>-3400</v>
          </cell>
          <cell r="U808">
            <v>-3400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-3400</v>
          </cell>
          <cell r="AE808">
            <v>-3400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-2380</v>
          </cell>
          <cell r="AO808">
            <v>0</v>
          </cell>
          <cell r="AP808">
            <v>-2380</v>
          </cell>
          <cell r="AQ808" t="str">
            <v>올콘텐츠앤브이알</v>
          </cell>
          <cell r="AR808" t="str">
            <v>올콘텐츠앤브이알</v>
          </cell>
        </row>
        <row r="809">
          <cell r="N809" t="str">
            <v>웹티,올코</v>
          </cell>
          <cell r="O809" t="str">
            <v>Y</v>
          </cell>
          <cell r="P809">
            <v>0.7</v>
          </cell>
          <cell r="Q809">
            <v>0.6</v>
          </cell>
          <cell r="R809" t="str">
            <v>시리즈 대여 이용권 패키지</v>
          </cell>
          <cell r="S809">
            <v>5400</v>
          </cell>
          <cell r="T809">
            <v>-9600</v>
          </cell>
          <cell r="U809">
            <v>-9600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-9600</v>
          </cell>
          <cell r="AE809">
            <v>-9600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-6720</v>
          </cell>
          <cell r="AO809">
            <v>0</v>
          </cell>
          <cell r="AP809">
            <v>-6720</v>
          </cell>
          <cell r="AQ809" t="str">
            <v>올콘텐츠앤브이알</v>
          </cell>
          <cell r="AR809" t="str">
            <v>올콘텐츠앤브이알</v>
          </cell>
        </row>
        <row r="810">
          <cell r="N810" t="str">
            <v>웹티,올코</v>
          </cell>
          <cell r="O810" t="str">
            <v>Y</v>
          </cell>
          <cell r="P810">
            <v>0.7</v>
          </cell>
          <cell r="Q810">
            <v>0.6</v>
          </cell>
          <cell r="R810" t="str">
            <v>단일 이용권</v>
          </cell>
          <cell r="S810">
            <v>500</v>
          </cell>
          <cell r="T810">
            <v>2500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2500</v>
          </cell>
          <cell r="AD810">
            <v>2500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2500</v>
          </cell>
          <cell r="AN810">
            <v>1750</v>
          </cell>
          <cell r="AO810">
            <v>0</v>
          </cell>
          <cell r="AP810">
            <v>1750</v>
          </cell>
          <cell r="AQ810" t="str">
            <v>올콘텐츠앤브이알</v>
          </cell>
          <cell r="AR810" t="str">
            <v>올콘텐츠앤브이알</v>
          </cell>
        </row>
        <row r="811">
          <cell r="N811" t="str">
            <v>웹티,올코</v>
          </cell>
          <cell r="O811" t="str">
            <v>Y</v>
          </cell>
          <cell r="P811">
            <v>0.7</v>
          </cell>
          <cell r="Q811">
            <v>0.6</v>
          </cell>
          <cell r="R811" t="str">
            <v>단일 대여 이용권</v>
          </cell>
          <cell r="S811">
            <v>200</v>
          </cell>
          <cell r="T811">
            <v>26800</v>
          </cell>
          <cell r="U811">
            <v>6200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20600</v>
          </cell>
          <cell r="AD811">
            <v>26800</v>
          </cell>
          <cell r="AE811">
            <v>6200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20600</v>
          </cell>
          <cell r="AN811">
            <v>18760</v>
          </cell>
          <cell r="AO811">
            <v>0</v>
          </cell>
          <cell r="AP811">
            <v>18760</v>
          </cell>
          <cell r="AQ811" t="str">
            <v>올콘텐츠앤브이알</v>
          </cell>
          <cell r="AR811" t="str">
            <v>올콘텐츠앤브이알</v>
          </cell>
        </row>
        <row r="812">
          <cell r="N812" t="str">
            <v>웹티,올코</v>
          </cell>
          <cell r="O812" t="str">
            <v>Y</v>
          </cell>
          <cell r="P812">
            <v>0.7</v>
          </cell>
          <cell r="Q812">
            <v>0.6</v>
          </cell>
          <cell r="R812" t="str">
            <v>시리즈 대여 이용권 패키지</v>
          </cell>
          <cell r="S812">
            <v>1800</v>
          </cell>
          <cell r="T812">
            <v>9000</v>
          </cell>
          <cell r="U812">
            <v>1800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7200</v>
          </cell>
          <cell r="AD812">
            <v>9000</v>
          </cell>
          <cell r="AE812">
            <v>1800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7200</v>
          </cell>
          <cell r="AN812">
            <v>6300</v>
          </cell>
          <cell r="AO812">
            <v>0</v>
          </cell>
          <cell r="AP812">
            <v>6300</v>
          </cell>
          <cell r="AQ812" t="str">
            <v>올콘텐츠앤브이알</v>
          </cell>
          <cell r="AR812" t="str">
            <v>올콘텐츠앤브이알</v>
          </cell>
        </row>
        <row r="813">
          <cell r="N813" t="str">
            <v>웹티,올코</v>
          </cell>
          <cell r="O813" t="str">
            <v>Y</v>
          </cell>
          <cell r="P813">
            <v>0.7</v>
          </cell>
          <cell r="Q813">
            <v>0.6</v>
          </cell>
          <cell r="R813" t="str">
            <v>시리즈 대여 이용권 패키지</v>
          </cell>
          <cell r="S813">
            <v>3600</v>
          </cell>
          <cell r="T813">
            <v>3600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3600</v>
          </cell>
          <cell r="AD813">
            <v>3600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3600</v>
          </cell>
          <cell r="AN813">
            <v>2520</v>
          </cell>
          <cell r="AO813">
            <v>0</v>
          </cell>
          <cell r="AP813">
            <v>2520</v>
          </cell>
          <cell r="AQ813" t="str">
            <v>올콘텐츠앤브이알</v>
          </cell>
          <cell r="AR813" t="str">
            <v>올콘텐츠앤브이알</v>
          </cell>
        </row>
        <row r="814">
          <cell r="N814" t="str">
            <v>웹티,올코</v>
          </cell>
          <cell r="O814" t="str">
            <v>Y</v>
          </cell>
          <cell r="P814">
            <v>0.7</v>
          </cell>
          <cell r="Q814">
            <v>0.6</v>
          </cell>
          <cell r="R814" t="str">
            <v>단일 이용권</v>
          </cell>
          <cell r="S814">
            <v>500</v>
          </cell>
          <cell r="T814">
            <v>500</v>
          </cell>
          <cell r="U814">
            <v>500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500</v>
          </cell>
          <cell r="AE814">
            <v>500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350</v>
          </cell>
          <cell r="AO814">
            <v>0</v>
          </cell>
          <cell r="AP814">
            <v>350</v>
          </cell>
          <cell r="AQ814" t="str">
            <v>올콘텐츠앤브이알</v>
          </cell>
          <cell r="AR814" t="str">
            <v>올콘텐츠앤브이알</v>
          </cell>
        </row>
        <row r="815">
          <cell r="N815" t="str">
            <v>건일</v>
          </cell>
          <cell r="O815" t="str">
            <v>Y</v>
          </cell>
          <cell r="P815">
            <v>0.7</v>
          </cell>
          <cell r="Q815">
            <v>0.6</v>
          </cell>
          <cell r="R815" t="str">
            <v>단일 이용권</v>
          </cell>
          <cell r="S815">
            <v>400</v>
          </cell>
          <cell r="T815">
            <v>69200</v>
          </cell>
          <cell r="U815">
            <v>8760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400</v>
          </cell>
          <cell r="AA815">
            <v>0</v>
          </cell>
          <cell r="AB815">
            <v>0</v>
          </cell>
          <cell r="AC815">
            <v>60040</v>
          </cell>
          <cell r="AD815">
            <v>69240</v>
          </cell>
          <cell r="AE815">
            <v>8760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440</v>
          </cell>
          <cell r="AK815">
            <v>0</v>
          </cell>
          <cell r="AL815">
            <v>0</v>
          </cell>
          <cell r="AM815">
            <v>60040</v>
          </cell>
          <cell r="AN815">
            <v>48424</v>
          </cell>
          <cell r="AO815">
            <v>0</v>
          </cell>
          <cell r="AP815">
            <v>48424</v>
          </cell>
          <cell r="AQ815" t="str">
            <v>스토리위즈</v>
          </cell>
          <cell r="AR815" t="str">
            <v>제외</v>
          </cell>
        </row>
        <row r="816">
          <cell r="N816" t="str">
            <v>웹티,올코</v>
          </cell>
          <cell r="O816" t="str">
            <v>Y</v>
          </cell>
          <cell r="P816">
            <v>0.7</v>
          </cell>
          <cell r="Q816">
            <v>0.6</v>
          </cell>
          <cell r="R816" t="str">
            <v>시리즈 이용권 패키지</v>
          </cell>
          <cell r="S816">
            <v>9000</v>
          </cell>
          <cell r="T816">
            <v>9000</v>
          </cell>
          <cell r="U816">
            <v>9000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9000</v>
          </cell>
          <cell r="AE816">
            <v>9000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6300</v>
          </cell>
          <cell r="AO816">
            <v>0</v>
          </cell>
          <cell r="AP816">
            <v>6300</v>
          </cell>
          <cell r="AQ816" t="str">
            <v>올콘텐츠앤브이알</v>
          </cell>
          <cell r="AR816" t="str">
            <v>올콘텐츠앤브이알</v>
          </cell>
        </row>
        <row r="817">
          <cell r="N817" t="str">
            <v>건일</v>
          </cell>
          <cell r="O817" t="str">
            <v>Y</v>
          </cell>
          <cell r="P817">
            <v>0.7</v>
          </cell>
          <cell r="Q817">
            <v>0.6</v>
          </cell>
          <cell r="R817" t="str">
            <v>시리즈 이용권 패키지</v>
          </cell>
          <cell r="S817">
            <v>3600</v>
          </cell>
          <cell r="T817">
            <v>14400</v>
          </cell>
          <cell r="U817">
            <v>10780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3620</v>
          </cell>
          <cell r="AD817">
            <v>14400</v>
          </cell>
          <cell r="AE817">
            <v>10780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3620</v>
          </cell>
          <cell r="AN817">
            <v>10080</v>
          </cell>
          <cell r="AO817">
            <v>0</v>
          </cell>
          <cell r="AP817">
            <v>10080</v>
          </cell>
          <cell r="AQ817" t="str">
            <v>스토리위즈</v>
          </cell>
          <cell r="AR817" t="str">
            <v>제외</v>
          </cell>
        </row>
        <row r="818">
          <cell r="N818" t="str">
            <v>웹티,올코</v>
          </cell>
          <cell r="O818" t="str">
            <v>Y</v>
          </cell>
          <cell r="P818">
            <v>0.7</v>
          </cell>
          <cell r="Q818">
            <v>0.6</v>
          </cell>
          <cell r="R818" t="str">
            <v>시리즈 이용권 패키지</v>
          </cell>
          <cell r="S818">
            <v>13500</v>
          </cell>
          <cell r="T818">
            <v>13500</v>
          </cell>
          <cell r="U818">
            <v>13500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13500</v>
          </cell>
          <cell r="AE818">
            <v>13500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9450</v>
          </cell>
          <cell r="AO818">
            <v>0</v>
          </cell>
          <cell r="AP818">
            <v>9450</v>
          </cell>
          <cell r="AQ818" t="str">
            <v>올콘텐츠앤브이알</v>
          </cell>
          <cell r="AR818" t="str">
            <v>올콘텐츠앤브이알</v>
          </cell>
        </row>
        <row r="819">
          <cell r="N819" t="str">
            <v>건일</v>
          </cell>
          <cell r="O819" t="str">
            <v>Y</v>
          </cell>
          <cell r="P819">
            <v>0.7</v>
          </cell>
          <cell r="Q819">
            <v>0.6</v>
          </cell>
          <cell r="R819" t="str">
            <v>시리즈 이용권 패키지</v>
          </cell>
          <cell r="S819">
            <v>7200</v>
          </cell>
          <cell r="T819">
            <v>7200</v>
          </cell>
          <cell r="U819">
            <v>7200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7200</v>
          </cell>
          <cell r="AE819">
            <v>7200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5040</v>
          </cell>
          <cell r="AO819">
            <v>0</v>
          </cell>
          <cell r="AP819">
            <v>5040</v>
          </cell>
          <cell r="AQ819" t="str">
            <v>스토리위즈</v>
          </cell>
          <cell r="AR819" t="str">
            <v>제외</v>
          </cell>
        </row>
        <row r="820">
          <cell r="N820" t="str">
            <v>웹티,올코</v>
          </cell>
          <cell r="O820" t="str">
            <v>Y</v>
          </cell>
          <cell r="P820">
            <v>0.7</v>
          </cell>
          <cell r="Q820">
            <v>0.6</v>
          </cell>
          <cell r="R820" t="str">
            <v>단일 대여 이용권</v>
          </cell>
          <cell r="S820">
            <v>200</v>
          </cell>
          <cell r="T820">
            <v>12200</v>
          </cell>
          <cell r="U820">
            <v>5200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7000</v>
          </cell>
          <cell r="AD820">
            <v>12200</v>
          </cell>
          <cell r="AE820">
            <v>5200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7000</v>
          </cell>
          <cell r="AN820">
            <v>8540</v>
          </cell>
          <cell r="AO820">
            <v>0</v>
          </cell>
          <cell r="AP820">
            <v>8540</v>
          </cell>
          <cell r="AQ820" t="str">
            <v>올콘텐츠앤브이알</v>
          </cell>
          <cell r="AR820" t="str">
            <v>올콘텐츠앤브이알</v>
          </cell>
        </row>
        <row r="821">
          <cell r="N821" t="str">
            <v>건일</v>
          </cell>
          <cell r="O821" t="str">
            <v>Y</v>
          </cell>
          <cell r="P821">
            <v>0.7</v>
          </cell>
          <cell r="Q821">
            <v>0.6</v>
          </cell>
          <cell r="R821" t="str">
            <v>시리즈 이용권 패키지</v>
          </cell>
          <cell r="S821">
            <v>14400</v>
          </cell>
          <cell r="T821">
            <v>14400</v>
          </cell>
          <cell r="U821">
            <v>14400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14400</v>
          </cell>
          <cell r="AE821">
            <v>14400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0</v>
          </cell>
          <cell r="AK821">
            <v>0</v>
          </cell>
          <cell r="AL821">
            <v>0</v>
          </cell>
          <cell r="AM821">
            <v>0</v>
          </cell>
          <cell r="AN821">
            <v>10080</v>
          </cell>
          <cell r="AO821">
            <v>0</v>
          </cell>
          <cell r="AP821">
            <v>10080</v>
          </cell>
          <cell r="AQ821" t="str">
            <v>스토리위즈</v>
          </cell>
          <cell r="AR821" t="str">
            <v>제외</v>
          </cell>
        </row>
        <row r="822">
          <cell r="N822" t="str">
            <v>웹티,올코</v>
          </cell>
          <cell r="O822" t="str">
            <v>Y</v>
          </cell>
          <cell r="P822">
            <v>0.7</v>
          </cell>
          <cell r="Q822">
            <v>0.6</v>
          </cell>
          <cell r="R822" t="str">
            <v>시리즈 대여 이용권 패키지</v>
          </cell>
          <cell r="S822">
            <v>1800</v>
          </cell>
          <cell r="T822">
            <v>53400</v>
          </cell>
          <cell r="U822">
            <v>41500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11900</v>
          </cell>
          <cell r="AD822">
            <v>53400</v>
          </cell>
          <cell r="AE822">
            <v>41500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0</v>
          </cell>
          <cell r="AK822">
            <v>0</v>
          </cell>
          <cell r="AL822">
            <v>0</v>
          </cell>
          <cell r="AM822">
            <v>11900</v>
          </cell>
          <cell r="AN822">
            <v>37380</v>
          </cell>
          <cell r="AO822">
            <v>0</v>
          </cell>
          <cell r="AP822">
            <v>37380</v>
          </cell>
          <cell r="AQ822" t="str">
            <v>올콘텐츠앤브이알</v>
          </cell>
          <cell r="AR822" t="str">
            <v>올콘텐츠앤브이알</v>
          </cell>
        </row>
        <row r="823">
          <cell r="N823" t="str">
            <v>건일</v>
          </cell>
          <cell r="O823" t="str">
            <v>Y</v>
          </cell>
          <cell r="P823">
            <v>0.7</v>
          </cell>
          <cell r="Q823">
            <v>0.6</v>
          </cell>
          <cell r="R823" t="str">
            <v>단일 대여 이용권</v>
          </cell>
          <cell r="S823">
            <v>200</v>
          </cell>
          <cell r="T823">
            <v>335000</v>
          </cell>
          <cell r="U823">
            <v>79500</v>
          </cell>
          <cell r="V823">
            <v>0</v>
          </cell>
          <cell r="W823">
            <v>0</v>
          </cell>
          <cell r="X823">
            <v>0</v>
          </cell>
          <cell r="Y823">
            <v>6280</v>
          </cell>
          <cell r="Z823">
            <v>11800</v>
          </cell>
          <cell r="AA823">
            <v>0</v>
          </cell>
          <cell r="AB823">
            <v>0</v>
          </cell>
          <cell r="AC823">
            <v>237420</v>
          </cell>
          <cell r="AD823">
            <v>337436</v>
          </cell>
          <cell r="AE823">
            <v>79500</v>
          </cell>
          <cell r="AF823">
            <v>0</v>
          </cell>
          <cell r="AG823">
            <v>0</v>
          </cell>
          <cell r="AH823">
            <v>0</v>
          </cell>
          <cell r="AI823">
            <v>7536</v>
          </cell>
          <cell r="AJ823">
            <v>12980</v>
          </cell>
          <cell r="AK823">
            <v>0</v>
          </cell>
          <cell r="AL823">
            <v>0</v>
          </cell>
          <cell r="AM823">
            <v>237420</v>
          </cell>
          <cell r="AN823">
            <v>234154</v>
          </cell>
          <cell r="AO823">
            <v>0</v>
          </cell>
          <cell r="AP823">
            <v>234154</v>
          </cell>
          <cell r="AQ823" t="str">
            <v>스토리위즈</v>
          </cell>
          <cell r="AR823" t="str">
            <v>제외</v>
          </cell>
        </row>
        <row r="824">
          <cell r="N824" t="str">
            <v>웹티,올코</v>
          </cell>
          <cell r="O824" t="str">
            <v>Y</v>
          </cell>
          <cell r="P824">
            <v>0.7</v>
          </cell>
          <cell r="Q824">
            <v>0.6</v>
          </cell>
          <cell r="R824" t="str">
            <v>시리즈 대여 이용권 패키지</v>
          </cell>
          <cell r="S824">
            <v>3600</v>
          </cell>
          <cell r="T824">
            <v>14400</v>
          </cell>
          <cell r="U824">
            <v>14400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14400</v>
          </cell>
          <cell r="AE824">
            <v>14400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0</v>
          </cell>
          <cell r="AK824">
            <v>0</v>
          </cell>
          <cell r="AL824">
            <v>0</v>
          </cell>
          <cell r="AM824">
            <v>0</v>
          </cell>
          <cell r="AN824">
            <v>10080</v>
          </cell>
          <cell r="AO824">
            <v>0</v>
          </cell>
          <cell r="AP824">
            <v>10080</v>
          </cell>
          <cell r="AQ824" t="str">
            <v>올콘텐츠앤브이알</v>
          </cell>
          <cell r="AR824" t="str">
            <v>올콘텐츠앤브이알</v>
          </cell>
        </row>
        <row r="825">
          <cell r="N825" t="str">
            <v>건일</v>
          </cell>
          <cell r="O825" t="str">
            <v>Y</v>
          </cell>
          <cell r="P825">
            <v>0.7</v>
          </cell>
          <cell r="Q825">
            <v>0.6</v>
          </cell>
          <cell r="R825" t="str">
            <v>시리즈 대여 이용권 패키지</v>
          </cell>
          <cell r="S825">
            <v>1800</v>
          </cell>
          <cell r="T825">
            <v>122200</v>
          </cell>
          <cell r="U825">
            <v>69400</v>
          </cell>
          <cell r="V825">
            <v>0</v>
          </cell>
          <cell r="W825">
            <v>0</v>
          </cell>
          <cell r="X825">
            <v>0</v>
          </cell>
          <cell r="Y825">
            <v>3500</v>
          </cell>
          <cell r="Z825">
            <v>0</v>
          </cell>
          <cell r="AA825">
            <v>0</v>
          </cell>
          <cell r="AB825">
            <v>0</v>
          </cell>
          <cell r="AC825">
            <v>49300</v>
          </cell>
          <cell r="AD825">
            <v>122900</v>
          </cell>
          <cell r="AE825">
            <v>69400</v>
          </cell>
          <cell r="AF825">
            <v>0</v>
          </cell>
          <cell r="AG825">
            <v>0</v>
          </cell>
          <cell r="AH825">
            <v>0</v>
          </cell>
          <cell r="AI825">
            <v>4200</v>
          </cell>
          <cell r="AJ825">
            <v>0</v>
          </cell>
          <cell r="AK825">
            <v>0</v>
          </cell>
          <cell r="AL825">
            <v>0</v>
          </cell>
          <cell r="AM825">
            <v>49300</v>
          </cell>
          <cell r="AN825">
            <v>85610</v>
          </cell>
          <cell r="AO825">
            <v>0</v>
          </cell>
          <cell r="AP825">
            <v>85610</v>
          </cell>
          <cell r="AQ825" t="str">
            <v>스토리위즈</v>
          </cell>
          <cell r="AR825" t="str">
            <v>제외</v>
          </cell>
        </row>
        <row r="826">
          <cell r="N826" t="str">
            <v>웹티,올코</v>
          </cell>
          <cell r="O826" t="str">
            <v>Y</v>
          </cell>
          <cell r="P826">
            <v>0.7</v>
          </cell>
          <cell r="Q826">
            <v>0.6</v>
          </cell>
          <cell r="R826" t="str">
            <v>시리즈 대여 이용권 패키지</v>
          </cell>
          <cell r="S826">
            <v>5400</v>
          </cell>
          <cell r="T826">
            <v>37800</v>
          </cell>
          <cell r="U826">
            <v>32400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5400</v>
          </cell>
          <cell r="AD826">
            <v>37800</v>
          </cell>
          <cell r="AE826">
            <v>32400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5400</v>
          </cell>
          <cell r="AN826">
            <v>26460</v>
          </cell>
          <cell r="AO826">
            <v>0</v>
          </cell>
          <cell r="AP826">
            <v>26460</v>
          </cell>
          <cell r="AQ826" t="str">
            <v>올콘텐츠앤브이알</v>
          </cell>
          <cell r="AR826" t="str">
            <v>올콘텐츠앤브이알</v>
          </cell>
        </row>
        <row r="827">
          <cell r="N827" t="str">
            <v>건일</v>
          </cell>
          <cell r="O827" t="str">
            <v>Y</v>
          </cell>
          <cell r="P827">
            <v>0.7</v>
          </cell>
          <cell r="Q827">
            <v>0.6</v>
          </cell>
          <cell r="R827" t="str">
            <v>시리즈 대여 이용권 패키지</v>
          </cell>
          <cell r="S827">
            <v>3600</v>
          </cell>
          <cell r="T827">
            <v>25200</v>
          </cell>
          <cell r="U827">
            <v>10600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3600</v>
          </cell>
          <cell r="AA827">
            <v>0</v>
          </cell>
          <cell r="AB827">
            <v>0</v>
          </cell>
          <cell r="AC827">
            <v>11000</v>
          </cell>
          <cell r="AD827">
            <v>25560</v>
          </cell>
          <cell r="AE827">
            <v>10600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3960</v>
          </cell>
          <cell r="AK827">
            <v>0</v>
          </cell>
          <cell r="AL827">
            <v>0</v>
          </cell>
          <cell r="AM827">
            <v>11000</v>
          </cell>
          <cell r="AN827">
            <v>17496</v>
          </cell>
          <cell r="AO827">
            <v>0</v>
          </cell>
          <cell r="AP827">
            <v>17496</v>
          </cell>
          <cell r="AQ827" t="str">
            <v>스토리위즈</v>
          </cell>
          <cell r="AR827" t="str">
            <v>제외</v>
          </cell>
        </row>
        <row r="828">
          <cell r="N828" t="str">
            <v>건일</v>
          </cell>
          <cell r="O828" t="str">
            <v>Y</v>
          </cell>
          <cell r="P828">
            <v>0.7</v>
          </cell>
          <cell r="Q828">
            <v>0.6</v>
          </cell>
          <cell r="R828" t="str">
            <v>시리즈 대여 이용권 패키지</v>
          </cell>
          <cell r="S828">
            <v>7200</v>
          </cell>
          <cell r="T828">
            <v>42200</v>
          </cell>
          <cell r="U828">
            <v>34400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7200</v>
          </cell>
          <cell r="AA828">
            <v>0</v>
          </cell>
          <cell r="AB828">
            <v>0</v>
          </cell>
          <cell r="AC828">
            <v>600</v>
          </cell>
          <cell r="AD828">
            <v>42920</v>
          </cell>
          <cell r="AE828">
            <v>34400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7920</v>
          </cell>
          <cell r="AK828">
            <v>0</v>
          </cell>
          <cell r="AL828">
            <v>0</v>
          </cell>
          <cell r="AM828">
            <v>600</v>
          </cell>
          <cell r="AN828">
            <v>29252</v>
          </cell>
          <cell r="AO828">
            <v>0</v>
          </cell>
          <cell r="AP828">
            <v>29252</v>
          </cell>
          <cell r="AQ828" t="str">
            <v>스토리위즈</v>
          </cell>
          <cell r="AR828" t="str">
            <v>제외</v>
          </cell>
        </row>
        <row r="829">
          <cell r="N829" t="str">
            <v>lvyeqianhe x youzhijiaozi</v>
          </cell>
          <cell r="O829" t="str">
            <v>Y</v>
          </cell>
          <cell r="P829">
            <v>0.7</v>
          </cell>
          <cell r="Q829">
            <v>0.6</v>
          </cell>
          <cell r="R829" t="str">
            <v>단일 이용권</v>
          </cell>
          <cell r="S829">
            <v>200</v>
          </cell>
          <cell r="T829">
            <v>23200</v>
          </cell>
          <cell r="U829">
            <v>1200</v>
          </cell>
          <cell r="V829">
            <v>0</v>
          </cell>
          <cell r="W829">
            <v>0</v>
          </cell>
          <cell r="X829">
            <v>0</v>
          </cell>
          <cell r="Y829">
            <v>300</v>
          </cell>
          <cell r="Z829">
            <v>0</v>
          </cell>
          <cell r="AA829">
            <v>0</v>
          </cell>
          <cell r="AB829">
            <v>0</v>
          </cell>
          <cell r="AC829">
            <v>21700</v>
          </cell>
          <cell r="AD829">
            <v>23260</v>
          </cell>
          <cell r="AE829">
            <v>1200</v>
          </cell>
          <cell r="AF829">
            <v>0</v>
          </cell>
          <cell r="AG829">
            <v>0</v>
          </cell>
          <cell r="AH829">
            <v>0</v>
          </cell>
          <cell r="AI829">
            <v>360</v>
          </cell>
          <cell r="AJ829">
            <v>0</v>
          </cell>
          <cell r="AK829">
            <v>0</v>
          </cell>
          <cell r="AL829">
            <v>0</v>
          </cell>
          <cell r="AM829">
            <v>21700</v>
          </cell>
          <cell r="AN829">
            <v>16246</v>
          </cell>
          <cell r="AO829">
            <v>0</v>
          </cell>
          <cell r="AP829">
            <v>16246</v>
          </cell>
          <cell r="AQ829" t="str">
            <v>스토리위즈</v>
          </cell>
          <cell r="AR829" t="str">
            <v>제외</v>
          </cell>
        </row>
        <row r="830">
          <cell r="N830" t="str">
            <v>lvyeqianhe x youzhijiaozi</v>
          </cell>
          <cell r="O830" t="str">
            <v>Y</v>
          </cell>
          <cell r="P830">
            <v>0.7</v>
          </cell>
          <cell r="Q830">
            <v>0.6</v>
          </cell>
          <cell r="R830" t="str">
            <v>시리즈 이용권 패키지</v>
          </cell>
          <cell r="S830">
            <v>1800</v>
          </cell>
          <cell r="T830">
            <v>10800</v>
          </cell>
          <cell r="U830">
            <v>10800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10800</v>
          </cell>
          <cell r="AE830">
            <v>10800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7560</v>
          </cell>
          <cell r="AO830">
            <v>0</v>
          </cell>
          <cell r="AP830">
            <v>7560</v>
          </cell>
          <cell r="AQ830" t="str">
            <v>스토리위즈</v>
          </cell>
          <cell r="AR830" t="str">
            <v>제외</v>
          </cell>
        </row>
        <row r="831">
          <cell r="N831" t="str">
            <v>웹티,올코</v>
          </cell>
          <cell r="O831" t="str">
            <v>Y</v>
          </cell>
          <cell r="P831">
            <v>0.7</v>
          </cell>
          <cell r="Q831">
            <v>0.6</v>
          </cell>
          <cell r="R831" t="str">
            <v>단일 대여 이용권</v>
          </cell>
          <cell r="S831">
            <v>200</v>
          </cell>
          <cell r="T831">
            <v>600</v>
          </cell>
          <cell r="U831">
            <v>600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600</v>
          </cell>
          <cell r="AE831">
            <v>600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420</v>
          </cell>
          <cell r="AO831">
            <v>0</v>
          </cell>
          <cell r="AP831">
            <v>420</v>
          </cell>
          <cell r="AQ831" t="str">
            <v>올콘텐츠앤브이알</v>
          </cell>
          <cell r="AR831" t="str">
            <v>올콘텐츠앤브이알</v>
          </cell>
        </row>
        <row r="832">
          <cell r="N832" t="str">
            <v>lvyeqianhe x youzhijiaozi</v>
          </cell>
          <cell r="O832" t="str">
            <v>Y</v>
          </cell>
          <cell r="P832">
            <v>0.7</v>
          </cell>
          <cell r="Q832">
            <v>0.6</v>
          </cell>
          <cell r="R832" t="str">
            <v>시리즈 이용권 패키지</v>
          </cell>
          <cell r="S832">
            <v>3600</v>
          </cell>
          <cell r="T832">
            <v>3600</v>
          </cell>
          <cell r="U832">
            <v>3600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3600</v>
          </cell>
          <cell r="AE832">
            <v>3600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2520</v>
          </cell>
          <cell r="AO832">
            <v>0</v>
          </cell>
          <cell r="AP832">
            <v>2520</v>
          </cell>
          <cell r="AQ832" t="str">
            <v>스토리위즈</v>
          </cell>
          <cell r="AR832" t="str">
            <v>제외</v>
          </cell>
        </row>
        <row r="833">
          <cell r="N833" t="str">
            <v>웹티,올코</v>
          </cell>
          <cell r="O833" t="str">
            <v>Y</v>
          </cell>
          <cell r="P833">
            <v>0.7</v>
          </cell>
          <cell r="Q833">
            <v>0.6</v>
          </cell>
          <cell r="R833" t="str">
            <v>시리즈 대여 이용권 패키지</v>
          </cell>
          <cell r="S833">
            <v>1800</v>
          </cell>
          <cell r="T833">
            <v>1800</v>
          </cell>
          <cell r="U833">
            <v>1800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1800</v>
          </cell>
          <cell r="AE833">
            <v>1800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1260</v>
          </cell>
          <cell r="AO833">
            <v>0</v>
          </cell>
          <cell r="AP833">
            <v>1260</v>
          </cell>
          <cell r="AQ833" t="str">
            <v>올콘텐츠앤브이알</v>
          </cell>
          <cell r="AR833" t="str">
            <v>올콘텐츠앤브이알</v>
          </cell>
        </row>
        <row r="834">
          <cell r="N834" t="str">
            <v>lvyeqianhe x youzhijiaozi</v>
          </cell>
          <cell r="O834" t="str">
            <v>Y</v>
          </cell>
          <cell r="P834">
            <v>0.7</v>
          </cell>
          <cell r="Q834">
            <v>0.6</v>
          </cell>
          <cell r="R834" t="str">
            <v>시리즈 이용권 패키지</v>
          </cell>
          <cell r="S834">
            <v>7200</v>
          </cell>
          <cell r="T834">
            <v>28800</v>
          </cell>
          <cell r="U834">
            <v>27800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1000</v>
          </cell>
          <cell r="AD834">
            <v>28800</v>
          </cell>
          <cell r="AE834">
            <v>27800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1000</v>
          </cell>
          <cell r="AN834">
            <v>20160</v>
          </cell>
          <cell r="AO834">
            <v>0</v>
          </cell>
          <cell r="AP834">
            <v>20160</v>
          </cell>
          <cell r="AQ834" t="str">
            <v>스토리위즈</v>
          </cell>
          <cell r="AR834" t="str">
            <v>제외</v>
          </cell>
        </row>
        <row r="835">
          <cell r="N835" t="str">
            <v>웹티,올코</v>
          </cell>
          <cell r="O835" t="str">
            <v>Y</v>
          </cell>
          <cell r="P835">
            <v>0.7</v>
          </cell>
          <cell r="Q835">
            <v>0.6</v>
          </cell>
          <cell r="R835" t="str">
            <v>시리즈 대여 이용권 패키지</v>
          </cell>
          <cell r="S835">
            <v>5400</v>
          </cell>
          <cell r="T835">
            <v>5400</v>
          </cell>
          <cell r="U835">
            <v>5400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5400</v>
          </cell>
          <cell r="AE835">
            <v>5400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3780</v>
          </cell>
          <cell r="AO835">
            <v>0</v>
          </cell>
          <cell r="AP835">
            <v>3780</v>
          </cell>
          <cell r="AQ835" t="str">
            <v>올콘텐츠앤브이알</v>
          </cell>
          <cell r="AR835" t="str">
            <v>올콘텐츠앤브이알</v>
          </cell>
        </row>
        <row r="836">
          <cell r="N836" t="str">
            <v>백범(白帆)</v>
          </cell>
          <cell r="O836" t="str">
            <v>Y</v>
          </cell>
          <cell r="P836">
            <v>0.7</v>
          </cell>
          <cell r="Q836">
            <v>0.6</v>
          </cell>
          <cell r="R836" t="str">
            <v>시리즈 이용권 패키지</v>
          </cell>
          <cell r="S836">
            <v>4500</v>
          </cell>
          <cell r="T836">
            <v>905400</v>
          </cell>
          <cell r="U836">
            <v>826750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20000</v>
          </cell>
          <cell r="AA836">
            <v>0</v>
          </cell>
          <cell r="AB836">
            <v>0</v>
          </cell>
          <cell r="AC836">
            <v>58650</v>
          </cell>
          <cell r="AD836">
            <v>907400</v>
          </cell>
          <cell r="AE836">
            <v>826750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22000</v>
          </cell>
          <cell r="AK836">
            <v>0</v>
          </cell>
          <cell r="AL836">
            <v>0</v>
          </cell>
          <cell r="AM836">
            <v>58650</v>
          </cell>
          <cell r="AN836">
            <v>632980</v>
          </cell>
          <cell r="AO836">
            <v>0</v>
          </cell>
          <cell r="AP836">
            <v>632980</v>
          </cell>
          <cell r="AQ836" t="str">
            <v>에필로그</v>
          </cell>
          <cell r="AR836" t="str">
            <v>에필로그</v>
          </cell>
        </row>
        <row r="837">
          <cell r="N837" t="str">
            <v>백범(白帆)</v>
          </cell>
          <cell r="O837" t="str">
            <v>Y</v>
          </cell>
          <cell r="P837">
            <v>0.7</v>
          </cell>
          <cell r="Q837">
            <v>0.6</v>
          </cell>
          <cell r="R837" t="str">
            <v>시리즈 이용권 패키지</v>
          </cell>
          <cell r="S837">
            <v>9000</v>
          </cell>
          <cell r="T837">
            <v>1458700</v>
          </cell>
          <cell r="U837">
            <v>1321000</v>
          </cell>
          <cell r="V837">
            <v>0</v>
          </cell>
          <cell r="W837">
            <v>0</v>
          </cell>
          <cell r="X837">
            <v>0</v>
          </cell>
          <cell r="Y837">
            <v>6000</v>
          </cell>
          <cell r="Z837">
            <v>19000</v>
          </cell>
          <cell r="AA837">
            <v>0</v>
          </cell>
          <cell r="AB837">
            <v>0</v>
          </cell>
          <cell r="AC837">
            <v>112700</v>
          </cell>
          <cell r="AD837">
            <v>1461800</v>
          </cell>
          <cell r="AE837">
            <v>1321000</v>
          </cell>
          <cell r="AF837">
            <v>0</v>
          </cell>
          <cell r="AG837">
            <v>0</v>
          </cell>
          <cell r="AH837">
            <v>0</v>
          </cell>
          <cell r="AI837">
            <v>7200</v>
          </cell>
          <cell r="AJ837">
            <v>20900</v>
          </cell>
          <cell r="AK837">
            <v>0</v>
          </cell>
          <cell r="AL837">
            <v>0</v>
          </cell>
          <cell r="AM837">
            <v>112700</v>
          </cell>
          <cell r="AN837">
            <v>1020450</v>
          </cell>
          <cell r="AO837">
            <v>0</v>
          </cell>
          <cell r="AP837">
            <v>1020450</v>
          </cell>
          <cell r="AQ837" t="str">
            <v>에필로그</v>
          </cell>
          <cell r="AR837" t="str">
            <v>에필로그</v>
          </cell>
        </row>
        <row r="838">
          <cell r="N838" t="str">
            <v>백범(白帆)</v>
          </cell>
          <cell r="O838" t="str">
            <v>Y</v>
          </cell>
          <cell r="P838">
            <v>0.7</v>
          </cell>
          <cell r="Q838">
            <v>0.6</v>
          </cell>
          <cell r="R838" t="str">
            <v>단일 이용권</v>
          </cell>
          <cell r="S838">
            <v>100</v>
          </cell>
          <cell r="T838">
            <v>29000</v>
          </cell>
          <cell r="U838">
            <v>12200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16800</v>
          </cell>
          <cell r="AD838">
            <v>29000</v>
          </cell>
          <cell r="AE838">
            <v>12200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16800</v>
          </cell>
          <cell r="AN838">
            <v>20300</v>
          </cell>
          <cell r="AO838">
            <v>0</v>
          </cell>
          <cell r="AP838">
            <v>20300</v>
          </cell>
          <cell r="AQ838" t="str">
            <v>에필로그</v>
          </cell>
          <cell r="AR838" t="str">
            <v>에필로그</v>
          </cell>
        </row>
        <row r="839">
          <cell r="N839" t="str">
            <v>백범(白帆)</v>
          </cell>
          <cell r="O839" t="str">
            <v>Y</v>
          </cell>
          <cell r="P839">
            <v>0.7</v>
          </cell>
          <cell r="Q839">
            <v>0.6</v>
          </cell>
          <cell r="R839" t="str">
            <v>시리즈 이용권 패키지</v>
          </cell>
          <cell r="S839">
            <v>1800</v>
          </cell>
          <cell r="T839">
            <v>32400</v>
          </cell>
          <cell r="U839">
            <v>27800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4600</v>
          </cell>
          <cell r="AD839">
            <v>32400</v>
          </cell>
          <cell r="AE839">
            <v>27800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4600</v>
          </cell>
          <cell r="AN839">
            <v>22680</v>
          </cell>
          <cell r="AO839">
            <v>0</v>
          </cell>
          <cell r="AP839">
            <v>22680</v>
          </cell>
          <cell r="AQ839" t="str">
            <v>에필로그</v>
          </cell>
          <cell r="AR839" t="str">
            <v>에필로그</v>
          </cell>
        </row>
        <row r="840">
          <cell r="N840" t="str">
            <v>백범(白帆)</v>
          </cell>
          <cell r="O840" t="str">
            <v>Y</v>
          </cell>
          <cell r="P840">
            <v>0.7</v>
          </cell>
          <cell r="Q840">
            <v>0.6</v>
          </cell>
          <cell r="R840" t="str">
            <v>시리즈 이용권 패키지</v>
          </cell>
          <cell r="S840">
            <v>4500</v>
          </cell>
          <cell r="T840">
            <v>23200</v>
          </cell>
          <cell r="U840">
            <v>23200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23200</v>
          </cell>
          <cell r="AE840">
            <v>23200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16240</v>
          </cell>
          <cell r="AO840">
            <v>0</v>
          </cell>
          <cell r="AP840">
            <v>16240</v>
          </cell>
          <cell r="AQ840" t="str">
            <v>에필로그</v>
          </cell>
          <cell r="AR840" t="str">
            <v>에필로그</v>
          </cell>
        </row>
        <row r="841">
          <cell r="N841" t="str">
            <v>백범(白帆)</v>
          </cell>
          <cell r="O841" t="str">
            <v>Y</v>
          </cell>
          <cell r="P841">
            <v>0.7</v>
          </cell>
          <cell r="Q841">
            <v>0.6</v>
          </cell>
          <cell r="R841" t="str">
            <v>단일 이용권</v>
          </cell>
          <cell r="S841">
            <v>100</v>
          </cell>
          <cell r="T841">
            <v>15600</v>
          </cell>
          <cell r="U841">
            <v>1200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14400</v>
          </cell>
          <cell r="AD841">
            <v>15600</v>
          </cell>
          <cell r="AE841">
            <v>1200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14400</v>
          </cell>
          <cell r="AN841">
            <v>10920</v>
          </cell>
          <cell r="AO841">
            <v>0</v>
          </cell>
          <cell r="AP841">
            <v>10920</v>
          </cell>
          <cell r="AQ841" t="str">
            <v>에필로그</v>
          </cell>
          <cell r="AR841" t="str">
            <v>에필로그</v>
          </cell>
        </row>
        <row r="842">
          <cell r="N842" t="str">
            <v>백범(白帆)</v>
          </cell>
          <cell r="O842" t="str">
            <v>Y</v>
          </cell>
          <cell r="P842">
            <v>0.7</v>
          </cell>
          <cell r="Q842">
            <v>0.6</v>
          </cell>
          <cell r="R842" t="str">
            <v>시리즈 이용권 패키지</v>
          </cell>
          <cell r="S842">
            <v>9000</v>
          </cell>
          <cell r="T842">
            <v>45000</v>
          </cell>
          <cell r="U842">
            <v>45000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45000</v>
          </cell>
          <cell r="AE842">
            <v>45000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31500</v>
          </cell>
          <cell r="AO842">
            <v>0</v>
          </cell>
          <cell r="AP842">
            <v>31500</v>
          </cell>
          <cell r="AQ842" t="str">
            <v>에필로그</v>
          </cell>
          <cell r="AR842" t="str">
            <v>에필로그</v>
          </cell>
        </row>
        <row r="843">
          <cell r="N843" t="str">
            <v>백범(白帆)</v>
          </cell>
          <cell r="O843" t="str">
            <v>Y</v>
          </cell>
          <cell r="P843">
            <v>0.7</v>
          </cell>
          <cell r="Q843">
            <v>0.6</v>
          </cell>
          <cell r="R843" t="str">
            <v>시리즈 이용권 패키지</v>
          </cell>
          <cell r="S843">
            <v>1800</v>
          </cell>
          <cell r="T843">
            <v>28800</v>
          </cell>
          <cell r="U843">
            <v>27000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1800</v>
          </cell>
          <cell r="AD843">
            <v>28800</v>
          </cell>
          <cell r="AE843">
            <v>27000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1800</v>
          </cell>
          <cell r="AN843">
            <v>20160</v>
          </cell>
          <cell r="AO843">
            <v>0</v>
          </cell>
          <cell r="AP843">
            <v>20160</v>
          </cell>
          <cell r="AQ843" t="str">
            <v>에필로그</v>
          </cell>
          <cell r="AR843" t="str">
            <v>에필로그</v>
          </cell>
        </row>
        <row r="844">
          <cell r="N844" t="str">
            <v>백범(白帆)</v>
          </cell>
          <cell r="O844" t="str">
            <v>Y</v>
          </cell>
          <cell r="P844">
            <v>0.7</v>
          </cell>
          <cell r="Q844">
            <v>0.6</v>
          </cell>
          <cell r="R844" t="str">
            <v>단일 이용권</v>
          </cell>
          <cell r="S844">
            <v>100</v>
          </cell>
          <cell r="T844">
            <v>16600</v>
          </cell>
          <cell r="U844">
            <v>11200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5400</v>
          </cell>
          <cell r="AD844">
            <v>16600</v>
          </cell>
          <cell r="AE844">
            <v>11200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5400</v>
          </cell>
          <cell r="AN844">
            <v>11620</v>
          </cell>
          <cell r="AO844">
            <v>0</v>
          </cell>
          <cell r="AP844">
            <v>11620</v>
          </cell>
          <cell r="AQ844" t="str">
            <v>에필로그</v>
          </cell>
          <cell r="AR844" t="str">
            <v>에필로그</v>
          </cell>
        </row>
        <row r="845">
          <cell r="N845" t="str">
            <v>백범(白帆)</v>
          </cell>
          <cell r="O845" t="str">
            <v>Y</v>
          </cell>
          <cell r="P845">
            <v>0.7</v>
          </cell>
          <cell r="Q845">
            <v>0.6</v>
          </cell>
          <cell r="R845" t="str">
            <v>단일 대여 이용권</v>
          </cell>
          <cell r="S845">
            <v>900</v>
          </cell>
          <cell r="T845">
            <v>36000</v>
          </cell>
          <cell r="U845">
            <v>33500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2500</v>
          </cell>
          <cell r="AD845">
            <v>36000</v>
          </cell>
          <cell r="AE845">
            <v>33500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AL845">
            <v>0</v>
          </cell>
          <cell r="AM845">
            <v>2500</v>
          </cell>
          <cell r="AN845">
            <v>25200</v>
          </cell>
          <cell r="AO845">
            <v>0</v>
          </cell>
          <cell r="AP845">
            <v>25200</v>
          </cell>
          <cell r="AQ845" t="str">
            <v>에필로그</v>
          </cell>
          <cell r="AR845" t="str">
            <v>에필로그</v>
          </cell>
        </row>
        <row r="846">
          <cell r="N846" t="str">
            <v>백범(白帆)</v>
          </cell>
          <cell r="O846" t="str">
            <v>Y</v>
          </cell>
          <cell r="P846">
            <v>0.7</v>
          </cell>
          <cell r="Q846">
            <v>0.6</v>
          </cell>
          <cell r="R846" t="str">
            <v>시리즈 이용권 패키지</v>
          </cell>
          <cell r="S846">
            <v>4500</v>
          </cell>
          <cell r="T846">
            <v>27000</v>
          </cell>
          <cell r="U846">
            <v>26000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1000</v>
          </cell>
          <cell r="AD846">
            <v>27000</v>
          </cell>
          <cell r="AE846">
            <v>26000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1000</v>
          </cell>
          <cell r="AN846">
            <v>18900</v>
          </cell>
          <cell r="AO846">
            <v>0</v>
          </cell>
          <cell r="AP846">
            <v>18900</v>
          </cell>
          <cell r="AQ846" t="str">
            <v>에필로그</v>
          </cell>
          <cell r="AR846" t="str">
            <v>에필로그</v>
          </cell>
        </row>
        <row r="847">
          <cell r="N847" t="str">
            <v>백범(白帆)</v>
          </cell>
          <cell r="O847" t="str">
            <v>Y</v>
          </cell>
          <cell r="P847">
            <v>0.7</v>
          </cell>
          <cell r="Q847">
            <v>0.6</v>
          </cell>
          <cell r="R847" t="str">
            <v>시리즈 이용권 패키지</v>
          </cell>
          <cell r="S847">
            <v>1800</v>
          </cell>
          <cell r="T847">
            <v>34600</v>
          </cell>
          <cell r="U847">
            <v>33900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700</v>
          </cell>
          <cell r="AD847">
            <v>34600</v>
          </cell>
          <cell r="AE847">
            <v>33900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700</v>
          </cell>
          <cell r="AN847">
            <v>24220</v>
          </cell>
          <cell r="AO847">
            <v>0</v>
          </cell>
          <cell r="AP847">
            <v>24220</v>
          </cell>
          <cell r="AQ847" t="str">
            <v>에필로그</v>
          </cell>
          <cell r="AR847" t="str">
            <v>에필로그</v>
          </cell>
        </row>
        <row r="848">
          <cell r="N848" t="str">
            <v>백범(白帆)</v>
          </cell>
          <cell r="O848" t="str">
            <v>Y</v>
          </cell>
          <cell r="P848">
            <v>0.7</v>
          </cell>
          <cell r="Q848">
            <v>0.6</v>
          </cell>
          <cell r="R848" t="str">
            <v>시리즈 이용권 패키지</v>
          </cell>
          <cell r="S848">
            <v>9000</v>
          </cell>
          <cell r="T848">
            <v>30500</v>
          </cell>
          <cell r="U848">
            <v>30500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30500</v>
          </cell>
          <cell r="AE848">
            <v>30500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21350</v>
          </cell>
          <cell r="AO848">
            <v>0</v>
          </cell>
          <cell r="AP848">
            <v>21350</v>
          </cell>
          <cell r="AQ848" t="str">
            <v>에필로그</v>
          </cell>
          <cell r="AR848" t="str">
            <v>에필로그</v>
          </cell>
        </row>
        <row r="849">
          <cell r="N849" t="str">
            <v>백범(白帆)</v>
          </cell>
          <cell r="O849" t="str">
            <v>Y</v>
          </cell>
          <cell r="P849">
            <v>0.7</v>
          </cell>
          <cell r="Q849">
            <v>0.6</v>
          </cell>
          <cell r="R849" t="str">
            <v>시리즈 이용권 패키지</v>
          </cell>
          <cell r="S849">
            <v>4500</v>
          </cell>
          <cell r="T849">
            <v>80800</v>
          </cell>
          <cell r="U849">
            <v>76300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4500</v>
          </cell>
          <cell r="AD849">
            <v>80800</v>
          </cell>
          <cell r="AE849">
            <v>76300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4500</v>
          </cell>
          <cell r="AN849">
            <v>56560</v>
          </cell>
          <cell r="AO849">
            <v>0</v>
          </cell>
          <cell r="AP849">
            <v>56560</v>
          </cell>
          <cell r="AQ849" t="str">
            <v>에필로그</v>
          </cell>
          <cell r="AR849" t="str">
            <v>에필로그</v>
          </cell>
        </row>
        <row r="850">
          <cell r="N850" t="str">
            <v>백범(白帆)</v>
          </cell>
          <cell r="O850" t="str">
            <v>Y</v>
          </cell>
          <cell r="P850">
            <v>0.7</v>
          </cell>
          <cell r="Q850">
            <v>0.6</v>
          </cell>
          <cell r="R850" t="str">
            <v>단일 대여 이용권</v>
          </cell>
          <cell r="S850">
            <v>900</v>
          </cell>
          <cell r="T850">
            <v>10800</v>
          </cell>
          <cell r="U850">
            <v>10800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10800</v>
          </cell>
          <cell r="AE850">
            <v>10800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7560</v>
          </cell>
          <cell r="AO850">
            <v>0</v>
          </cell>
          <cell r="AP850">
            <v>7560</v>
          </cell>
          <cell r="AQ850" t="str">
            <v>에필로그</v>
          </cell>
          <cell r="AR850" t="str">
            <v>에필로그</v>
          </cell>
        </row>
        <row r="851">
          <cell r="N851" t="str">
            <v>백범(白帆)</v>
          </cell>
          <cell r="O851" t="str">
            <v>Y</v>
          </cell>
          <cell r="P851">
            <v>0.7</v>
          </cell>
          <cell r="Q851">
            <v>0.6</v>
          </cell>
          <cell r="R851" t="str">
            <v>시리즈 이용권 패키지</v>
          </cell>
          <cell r="S851">
            <v>9000</v>
          </cell>
          <cell r="T851">
            <v>46800</v>
          </cell>
          <cell r="U851">
            <v>46400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400</v>
          </cell>
          <cell r="AD851">
            <v>46800</v>
          </cell>
          <cell r="AE851">
            <v>46400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0</v>
          </cell>
          <cell r="AK851">
            <v>0</v>
          </cell>
          <cell r="AL851">
            <v>0</v>
          </cell>
          <cell r="AM851">
            <v>400</v>
          </cell>
          <cell r="AN851">
            <v>32760</v>
          </cell>
          <cell r="AO851">
            <v>0</v>
          </cell>
          <cell r="AP851">
            <v>32760</v>
          </cell>
          <cell r="AQ851" t="str">
            <v>에필로그</v>
          </cell>
          <cell r="AR851" t="str">
            <v>에필로그</v>
          </cell>
        </row>
        <row r="852">
          <cell r="N852" t="str">
            <v>SISSI(시씨)</v>
          </cell>
          <cell r="O852" t="str">
            <v>Y</v>
          </cell>
          <cell r="P852">
            <v>0.7</v>
          </cell>
          <cell r="Q852">
            <v>0.6</v>
          </cell>
          <cell r="R852" t="str">
            <v>단일 이용권</v>
          </cell>
          <cell r="S852">
            <v>100</v>
          </cell>
          <cell r="T852">
            <v>3600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3600</v>
          </cell>
          <cell r="AD852">
            <v>3600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3600</v>
          </cell>
          <cell r="AN852">
            <v>2520</v>
          </cell>
          <cell r="AO852">
            <v>0</v>
          </cell>
          <cell r="AP852">
            <v>2520</v>
          </cell>
          <cell r="AQ852" t="str">
            <v>더컴퍼니</v>
          </cell>
          <cell r="AR852" t="str">
            <v>더컴퍼니</v>
          </cell>
        </row>
        <row r="853">
          <cell r="N853" t="str">
            <v>협행마</v>
          </cell>
          <cell r="O853" t="str">
            <v>Y</v>
          </cell>
          <cell r="P853">
            <v>0.7</v>
          </cell>
          <cell r="Q853">
            <v>0.6</v>
          </cell>
          <cell r="R853" t="str">
            <v>단일 이용권</v>
          </cell>
          <cell r="S853">
            <v>100</v>
          </cell>
          <cell r="T853">
            <v>9700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9700</v>
          </cell>
          <cell r="AD853">
            <v>9700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9700</v>
          </cell>
          <cell r="AN853">
            <v>6790</v>
          </cell>
          <cell r="AO853">
            <v>0</v>
          </cell>
          <cell r="AP853">
            <v>6790</v>
          </cell>
          <cell r="AQ853" t="str">
            <v>에필로그</v>
          </cell>
          <cell r="AR853" t="str">
            <v>에필로그</v>
          </cell>
        </row>
        <row r="854">
          <cell r="N854" t="str">
            <v>협행마</v>
          </cell>
          <cell r="O854" t="str">
            <v>Y</v>
          </cell>
          <cell r="P854">
            <v>0.7</v>
          </cell>
          <cell r="Q854">
            <v>0.6</v>
          </cell>
          <cell r="R854" t="str">
            <v>단일 이용권</v>
          </cell>
          <cell r="S854">
            <v>100</v>
          </cell>
          <cell r="T854">
            <v>2100</v>
          </cell>
          <cell r="U854">
            <v>2100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2100</v>
          </cell>
          <cell r="AE854">
            <v>2100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0</v>
          </cell>
          <cell r="AK854">
            <v>0</v>
          </cell>
          <cell r="AL854">
            <v>0</v>
          </cell>
          <cell r="AM854">
            <v>0</v>
          </cell>
          <cell r="AN854">
            <v>1470</v>
          </cell>
          <cell r="AO854">
            <v>0</v>
          </cell>
          <cell r="AP854">
            <v>1470</v>
          </cell>
          <cell r="AQ854" t="str">
            <v>에필로그</v>
          </cell>
          <cell r="AR854" t="str">
            <v>에필로그</v>
          </cell>
        </row>
        <row r="855">
          <cell r="N855" t="str">
            <v>협행마</v>
          </cell>
          <cell r="O855" t="str">
            <v>Y</v>
          </cell>
          <cell r="P855">
            <v>0.7</v>
          </cell>
          <cell r="Q855">
            <v>0.6</v>
          </cell>
          <cell r="R855" t="str">
            <v>시리즈 이용권 패키지</v>
          </cell>
          <cell r="S855">
            <v>1800</v>
          </cell>
          <cell r="T855">
            <v>7200</v>
          </cell>
          <cell r="U855">
            <v>3600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3600</v>
          </cell>
          <cell r="AA855">
            <v>0</v>
          </cell>
          <cell r="AB855">
            <v>0</v>
          </cell>
          <cell r="AC855">
            <v>0</v>
          </cell>
          <cell r="AD855">
            <v>7560</v>
          </cell>
          <cell r="AE855">
            <v>3600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3960</v>
          </cell>
          <cell r="AK855">
            <v>0</v>
          </cell>
          <cell r="AL855">
            <v>0</v>
          </cell>
          <cell r="AM855">
            <v>0</v>
          </cell>
          <cell r="AN855">
            <v>4896</v>
          </cell>
          <cell r="AO855">
            <v>0</v>
          </cell>
          <cell r="AP855">
            <v>4896</v>
          </cell>
          <cell r="AQ855" t="str">
            <v>에필로그</v>
          </cell>
          <cell r="AR855" t="str">
            <v>에필로그</v>
          </cell>
        </row>
        <row r="856">
          <cell r="N856" t="str">
            <v>협행마</v>
          </cell>
          <cell r="O856" t="str">
            <v>Y</v>
          </cell>
          <cell r="P856">
            <v>0.7</v>
          </cell>
          <cell r="Q856">
            <v>0.6</v>
          </cell>
          <cell r="R856" t="str">
            <v>시리즈 이용권 패키지</v>
          </cell>
          <cell r="S856">
            <v>4500</v>
          </cell>
          <cell r="T856">
            <v>4500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4500</v>
          </cell>
          <cell r="AA856">
            <v>0</v>
          </cell>
          <cell r="AB856">
            <v>0</v>
          </cell>
          <cell r="AC856">
            <v>0</v>
          </cell>
          <cell r="AD856">
            <v>4950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4950</v>
          </cell>
          <cell r="AK856">
            <v>0</v>
          </cell>
          <cell r="AL856">
            <v>0</v>
          </cell>
          <cell r="AM856">
            <v>0</v>
          </cell>
          <cell r="AN856">
            <v>2970</v>
          </cell>
          <cell r="AO856">
            <v>0</v>
          </cell>
          <cell r="AP856">
            <v>2970</v>
          </cell>
          <cell r="AQ856" t="str">
            <v>에필로그</v>
          </cell>
          <cell r="AR856" t="str">
            <v>에필로그</v>
          </cell>
        </row>
        <row r="857">
          <cell r="N857" t="str">
            <v>투즈</v>
          </cell>
          <cell r="O857" t="str">
            <v>Y</v>
          </cell>
          <cell r="P857">
            <v>0.7</v>
          </cell>
          <cell r="Q857">
            <v>0.6</v>
          </cell>
          <cell r="R857" t="str">
            <v>단일 이용권</v>
          </cell>
          <cell r="S857">
            <v>100</v>
          </cell>
          <cell r="T857">
            <v>-700</v>
          </cell>
          <cell r="U857">
            <v>-900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200</v>
          </cell>
          <cell r="AD857">
            <v>-700</v>
          </cell>
          <cell r="AE857">
            <v>-900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0</v>
          </cell>
          <cell r="AK857">
            <v>0</v>
          </cell>
          <cell r="AL857">
            <v>0</v>
          </cell>
          <cell r="AM857">
            <v>200</v>
          </cell>
          <cell r="AN857">
            <v>-490</v>
          </cell>
          <cell r="AO857">
            <v>0</v>
          </cell>
          <cell r="AP857">
            <v>-490</v>
          </cell>
          <cell r="AQ857" t="str">
            <v>더컴퍼니</v>
          </cell>
          <cell r="AR857" t="str">
            <v>더컴퍼니</v>
          </cell>
        </row>
        <row r="858">
          <cell r="N858" t="str">
            <v>협행마</v>
          </cell>
          <cell r="O858" t="str">
            <v>Y</v>
          </cell>
          <cell r="P858">
            <v>0.7</v>
          </cell>
          <cell r="Q858">
            <v>0.6</v>
          </cell>
          <cell r="R858" t="str">
            <v>단일 이용권</v>
          </cell>
          <cell r="S858">
            <v>100</v>
          </cell>
          <cell r="T858">
            <v>7800</v>
          </cell>
          <cell r="U858">
            <v>5800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2000</v>
          </cell>
          <cell r="AD858">
            <v>7800</v>
          </cell>
          <cell r="AE858">
            <v>5800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2000</v>
          </cell>
          <cell r="AN858">
            <v>5460</v>
          </cell>
          <cell r="AO858">
            <v>0</v>
          </cell>
          <cell r="AP858">
            <v>5460</v>
          </cell>
          <cell r="AQ858" t="str">
            <v>에필로그</v>
          </cell>
          <cell r="AR858" t="str">
            <v>에필로그</v>
          </cell>
        </row>
        <row r="859">
          <cell r="N859" t="str">
            <v>협행마</v>
          </cell>
          <cell r="O859" t="str">
            <v>Y</v>
          </cell>
          <cell r="P859">
            <v>0.7</v>
          </cell>
          <cell r="Q859">
            <v>0.6</v>
          </cell>
          <cell r="R859" t="str">
            <v>단일 이용권</v>
          </cell>
          <cell r="S859">
            <v>100</v>
          </cell>
          <cell r="T859">
            <v>200</v>
          </cell>
          <cell r="U859">
            <v>100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100</v>
          </cell>
          <cell r="AD859">
            <v>200</v>
          </cell>
          <cell r="AE859">
            <v>100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100</v>
          </cell>
          <cell r="AN859">
            <v>140</v>
          </cell>
          <cell r="AO859">
            <v>0</v>
          </cell>
          <cell r="AP859">
            <v>140</v>
          </cell>
          <cell r="AQ859" t="str">
            <v>에필로그</v>
          </cell>
          <cell r="AR859" t="str">
            <v>에필로그</v>
          </cell>
        </row>
        <row r="860">
          <cell r="N860" t="str">
            <v>협행마</v>
          </cell>
          <cell r="O860" t="str">
            <v>Y</v>
          </cell>
          <cell r="P860">
            <v>0.7</v>
          </cell>
          <cell r="Q860">
            <v>0.6</v>
          </cell>
          <cell r="R860" t="str">
            <v>단일 이용권</v>
          </cell>
          <cell r="S860">
            <v>100</v>
          </cell>
          <cell r="T860">
            <v>1000</v>
          </cell>
          <cell r="U860">
            <v>1000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1000</v>
          </cell>
          <cell r="AE860">
            <v>1000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700</v>
          </cell>
          <cell r="AO860">
            <v>0</v>
          </cell>
          <cell r="AP860">
            <v>700</v>
          </cell>
          <cell r="AQ860" t="str">
            <v>에필로그</v>
          </cell>
          <cell r="AR860" t="str">
            <v>에필로그</v>
          </cell>
        </row>
        <row r="861">
          <cell r="N861" t="str">
            <v>협행마</v>
          </cell>
          <cell r="O861" t="str">
            <v>Y</v>
          </cell>
          <cell r="P861">
            <v>0.7</v>
          </cell>
          <cell r="Q861">
            <v>0.6</v>
          </cell>
          <cell r="R861" t="str">
            <v>시리즈 이용권 패키지</v>
          </cell>
          <cell r="S861">
            <v>1800</v>
          </cell>
          <cell r="T861">
            <v>3600</v>
          </cell>
          <cell r="U861">
            <v>2600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1000</v>
          </cell>
          <cell r="AD861">
            <v>3600</v>
          </cell>
          <cell r="AE861">
            <v>2600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1000</v>
          </cell>
          <cell r="AN861">
            <v>2520</v>
          </cell>
          <cell r="AO861">
            <v>0</v>
          </cell>
          <cell r="AP861">
            <v>2520</v>
          </cell>
          <cell r="AQ861" t="str">
            <v>에필로그</v>
          </cell>
          <cell r="AR861" t="str">
            <v>에필로그</v>
          </cell>
        </row>
        <row r="862">
          <cell r="N862" t="str">
            <v>라돌체</v>
          </cell>
          <cell r="O862" t="str">
            <v>Y</v>
          </cell>
          <cell r="P862">
            <v>0.7</v>
          </cell>
          <cell r="Q862">
            <v>0.6</v>
          </cell>
          <cell r="R862" t="str">
            <v>단일 이용권</v>
          </cell>
          <cell r="S862">
            <v>100</v>
          </cell>
          <cell r="T862">
            <v>13100</v>
          </cell>
          <cell r="U862">
            <v>5080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8020</v>
          </cell>
          <cell r="AD862">
            <v>13100</v>
          </cell>
          <cell r="AE862">
            <v>5080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8020</v>
          </cell>
          <cell r="AN862">
            <v>9170</v>
          </cell>
          <cell r="AO862">
            <v>0</v>
          </cell>
          <cell r="AP862">
            <v>9170</v>
          </cell>
          <cell r="AQ862" t="str">
            <v>더컴퍼니</v>
          </cell>
          <cell r="AR862" t="str">
            <v>더컴퍼니</v>
          </cell>
        </row>
        <row r="863">
          <cell r="N863" t="str">
            <v>라돌체</v>
          </cell>
          <cell r="O863" t="str">
            <v>Y</v>
          </cell>
          <cell r="P863">
            <v>0.7</v>
          </cell>
          <cell r="Q863">
            <v>0.6</v>
          </cell>
          <cell r="R863" t="str">
            <v>시리즈 이용권 패키지</v>
          </cell>
          <cell r="S863">
            <v>4500</v>
          </cell>
          <cell r="T863">
            <v>4500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4500</v>
          </cell>
          <cell r="AD863">
            <v>4500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4500</v>
          </cell>
          <cell r="AN863">
            <v>3150</v>
          </cell>
          <cell r="AO863">
            <v>0</v>
          </cell>
          <cell r="AP863">
            <v>3150</v>
          </cell>
          <cell r="AQ863" t="str">
            <v>더컴퍼니</v>
          </cell>
          <cell r="AR863" t="str">
            <v>더컴퍼니</v>
          </cell>
        </row>
        <row r="864">
          <cell r="N864" t="str">
            <v>백범(白帆)</v>
          </cell>
          <cell r="O864" t="str">
            <v>Y</v>
          </cell>
          <cell r="P864">
            <v>0.7</v>
          </cell>
          <cell r="Q864">
            <v>0.6</v>
          </cell>
          <cell r="R864" t="str">
            <v>단일 이용권</v>
          </cell>
          <cell r="S864">
            <v>100</v>
          </cell>
          <cell r="T864">
            <v>9400</v>
          </cell>
          <cell r="U864">
            <v>8080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200</v>
          </cell>
          <cell r="AA864">
            <v>0</v>
          </cell>
          <cell r="AB864">
            <v>0</v>
          </cell>
          <cell r="AC864">
            <v>1120</v>
          </cell>
          <cell r="AD864">
            <v>9420</v>
          </cell>
          <cell r="AE864">
            <v>8080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220</v>
          </cell>
          <cell r="AK864">
            <v>0</v>
          </cell>
          <cell r="AL864">
            <v>0</v>
          </cell>
          <cell r="AM864">
            <v>1120</v>
          </cell>
          <cell r="AN864">
            <v>6572</v>
          </cell>
          <cell r="AO864">
            <v>0</v>
          </cell>
          <cell r="AP864">
            <v>6572</v>
          </cell>
          <cell r="AQ864" t="str">
            <v>에필로그</v>
          </cell>
          <cell r="AR864" t="str">
            <v>에필로그</v>
          </cell>
        </row>
        <row r="865">
          <cell r="N865" t="str">
            <v>백범(白帆)</v>
          </cell>
          <cell r="O865" t="str">
            <v>Y</v>
          </cell>
          <cell r="P865">
            <v>0.7</v>
          </cell>
          <cell r="Q865">
            <v>0.6</v>
          </cell>
          <cell r="R865" t="str">
            <v>시리즈 이용권 패키지</v>
          </cell>
          <cell r="S865">
            <v>1800</v>
          </cell>
          <cell r="T865">
            <v>40100</v>
          </cell>
          <cell r="U865">
            <v>38200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1900</v>
          </cell>
          <cell r="AD865">
            <v>40100</v>
          </cell>
          <cell r="AE865">
            <v>38200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1900</v>
          </cell>
          <cell r="AN865">
            <v>28070</v>
          </cell>
          <cell r="AO865">
            <v>0</v>
          </cell>
          <cell r="AP865">
            <v>28070</v>
          </cell>
          <cell r="AQ865" t="str">
            <v>에필로그</v>
          </cell>
          <cell r="AR865" t="str">
            <v>에필로그</v>
          </cell>
        </row>
        <row r="866">
          <cell r="N866" t="str">
            <v>백범(白帆)</v>
          </cell>
          <cell r="O866" t="str">
            <v>Y</v>
          </cell>
          <cell r="P866">
            <v>0.7</v>
          </cell>
          <cell r="Q866">
            <v>0.6</v>
          </cell>
          <cell r="R866" t="str">
            <v>시리즈 이용권 패키지</v>
          </cell>
          <cell r="S866">
            <v>4500</v>
          </cell>
          <cell r="T866">
            <v>27000</v>
          </cell>
          <cell r="U866">
            <v>26800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200</v>
          </cell>
          <cell r="AD866">
            <v>27000</v>
          </cell>
          <cell r="AE866">
            <v>26800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200</v>
          </cell>
          <cell r="AN866">
            <v>18900</v>
          </cell>
          <cell r="AO866">
            <v>0</v>
          </cell>
          <cell r="AP866">
            <v>18900</v>
          </cell>
          <cell r="AQ866" t="str">
            <v>에필로그</v>
          </cell>
          <cell r="AR866" t="str">
            <v>에필로그</v>
          </cell>
        </row>
        <row r="867">
          <cell r="N867" t="str">
            <v>백범(白帆)</v>
          </cell>
          <cell r="O867" t="str">
            <v>Y</v>
          </cell>
          <cell r="P867">
            <v>0.7</v>
          </cell>
          <cell r="Q867">
            <v>0.6</v>
          </cell>
          <cell r="R867" t="str">
            <v>시리즈 이용권 패키지</v>
          </cell>
          <cell r="S867">
            <v>9000</v>
          </cell>
          <cell r="T867">
            <v>63600</v>
          </cell>
          <cell r="U867">
            <v>63100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500</v>
          </cell>
          <cell r="AD867">
            <v>63600</v>
          </cell>
          <cell r="AE867">
            <v>63100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500</v>
          </cell>
          <cell r="AN867">
            <v>44520</v>
          </cell>
          <cell r="AO867">
            <v>0</v>
          </cell>
          <cell r="AP867">
            <v>44520</v>
          </cell>
          <cell r="AQ867" t="str">
            <v>에필로그</v>
          </cell>
          <cell r="AR867" t="str">
            <v>에필로그</v>
          </cell>
        </row>
        <row r="868">
          <cell r="N868" t="str">
            <v>이도경</v>
          </cell>
          <cell r="O868" t="str">
            <v>Y</v>
          </cell>
          <cell r="P868">
            <v>0.7</v>
          </cell>
          <cell r="Q868">
            <v>0.6</v>
          </cell>
          <cell r="R868" t="str">
            <v>단일 이용권</v>
          </cell>
          <cell r="S868">
            <v>100</v>
          </cell>
          <cell r="T868">
            <v>100</v>
          </cell>
          <cell r="U868">
            <v>100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100</v>
          </cell>
          <cell r="AE868">
            <v>100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70</v>
          </cell>
          <cell r="AO868">
            <v>0</v>
          </cell>
          <cell r="AP868">
            <v>70</v>
          </cell>
          <cell r="AQ868" t="str">
            <v>아크스튜디오</v>
          </cell>
          <cell r="AR868" t="str">
            <v>아크스튜디오</v>
          </cell>
        </row>
        <row r="869">
          <cell r="N869" t="str">
            <v>이도경</v>
          </cell>
          <cell r="O869" t="str">
            <v>Y</v>
          </cell>
          <cell r="P869">
            <v>0.7</v>
          </cell>
          <cell r="Q869">
            <v>0.6</v>
          </cell>
          <cell r="R869" t="str">
            <v>시리즈 이용권 패키지</v>
          </cell>
          <cell r="S869">
            <v>9000</v>
          </cell>
          <cell r="T869">
            <v>-4200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-4200</v>
          </cell>
          <cell r="Z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-5040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-5040</v>
          </cell>
          <cell r="AJ869">
            <v>0</v>
          </cell>
          <cell r="AK869">
            <v>0</v>
          </cell>
          <cell r="AL869">
            <v>0</v>
          </cell>
          <cell r="AM869">
            <v>0</v>
          </cell>
          <cell r="AN869">
            <v>-3024</v>
          </cell>
          <cell r="AO869">
            <v>0</v>
          </cell>
          <cell r="AP869">
            <v>-3024</v>
          </cell>
          <cell r="AQ869" t="str">
            <v>아크스튜디오</v>
          </cell>
          <cell r="AR869" t="str">
            <v>아크스튜디오</v>
          </cell>
        </row>
        <row r="870">
          <cell r="N870" t="str">
            <v>오산타</v>
          </cell>
          <cell r="O870" t="str">
            <v>Y</v>
          </cell>
          <cell r="P870">
            <v>0.7</v>
          </cell>
          <cell r="Q870">
            <v>0.6</v>
          </cell>
          <cell r="R870" t="str">
            <v>단일 이용권</v>
          </cell>
          <cell r="S870">
            <v>100</v>
          </cell>
          <cell r="T870">
            <v>300</v>
          </cell>
          <cell r="U870">
            <v>300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300</v>
          </cell>
          <cell r="AE870">
            <v>300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210</v>
          </cell>
          <cell r="AO870">
            <v>0</v>
          </cell>
          <cell r="AP870">
            <v>210</v>
          </cell>
          <cell r="AQ870" t="str">
            <v>더컴퍼니</v>
          </cell>
          <cell r="AR870" t="str">
            <v>더컴퍼니</v>
          </cell>
        </row>
        <row r="871">
          <cell r="N871" t="str">
            <v>채플린</v>
          </cell>
          <cell r="O871" t="str">
            <v>Y</v>
          </cell>
          <cell r="P871">
            <v>0.7</v>
          </cell>
          <cell r="Q871">
            <v>0.6</v>
          </cell>
          <cell r="R871" t="str">
            <v>단일 이용권</v>
          </cell>
          <cell r="S871">
            <v>100</v>
          </cell>
          <cell r="T871">
            <v>12000</v>
          </cell>
          <cell r="U871">
            <v>11700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300</v>
          </cell>
          <cell r="AD871">
            <v>12000</v>
          </cell>
          <cell r="AE871">
            <v>11700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300</v>
          </cell>
          <cell r="AN871">
            <v>8400</v>
          </cell>
          <cell r="AO871">
            <v>0</v>
          </cell>
          <cell r="AP871">
            <v>8400</v>
          </cell>
          <cell r="AQ871" t="str">
            <v>더컴퍼니</v>
          </cell>
          <cell r="AR871" t="str">
            <v>더컴퍼니</v>
          </cell>
        </row>
        <row r="872">
          <cell r="N872" t="str">
            <v>협행마</v>
          </cell>
          <cell r="O872" t="str">
            <v>Y</v>
          </cell>
          <cell r="P872">
            <v>0.7</v>
          </cell>
          <cell r="Q872">
            <v>0.6</v>
          </cell>
          <cell r="R872" t="str">
            <v>단일 이용권</v>
          </cell>
          <cell r="S872">
            <v>100</v>
          </cell>
          <cell r="T872">
            <v>1800</v>
          </cell>
          <cell r="U872">
            <v>1800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1800</v>
          </cell>
          <cell r="AE872">
            <v>1800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1260</v>
          </cell>
          <cell r="AO872">
            <v>0</v>
          </cell>
          <cell r="AP872">
            <v>1260</v>
          </cell>
          <cell r="AQ872" t="str">
            <v>에필로그</v>
          </cell>
          <cell r="AR872" t="str">
            <v>에필로그</v>
          </cell>
        </row>
        <row r="873">
          <cell r="N873" t="str">
            <v>협행마</v>
          </cell>
          <cell r="O873" t="str">
            <v>Y</v>
          </cell>
          <cell r="P873">
            <v>0.7</v>
          </cell>
          <cell r="Q873">
            <v>0.6</v>
          </cell>
          <cell r="R873" t="str">
            <v>시리즈 이용권 패키지</v>
          </cell>
          <cell r="S873">
            <v>2400</v>
          </cell>
          <cell r="T873">
            <v>4800</v>
          </cell>
          <cell r="U873">
            <v>3800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1000</v>
          </cell>
          <cell r="AD873">
            <v>4800</v>
          </cell>
          <cell r="AE873">
            <v>3800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1000</v>
          </cell>
          <cell r="AN873">
            <v>3360</v>
          </cell>
          <cell r="AO873">
            <v>0</v>
          </cell>
          <cell r="AP873">
            <v>3360</v>
          </cell>
          <cell r="AQ873" t="str">
            <v>에필로그</v>
          </cell>
          <cell r="AR873" t="str">
            <v>에필로그</v>
          </cell>
        </row>
        <row r="874">
          <cell r="N874" t="str">
            <v>협행마</v>
          </cell>
          <cell r="O874" t="str">
            <v>Y</v>
          </cell>
          <cell r="P874">
            <v>0.7</v>
          </cell>
          <cell r="Q874">
            <v>0.6</v>
          </cell>
          <cell r="R874" t="str">
            <v>시리즈 이용권 패키지</v>
          </cell>
          <cell r="S874">
            <v>4700</v>
          </cell>
          <cell r="T874">
            <v>14100</v>
          </cell>
          <cell r="U874">
            <v>14100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14100</v>
          </cell>
          <cell r="AE874">
            <v>14100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9870</v>
          </cell>
          <cell r="AO874">
            <v>0</v>
          </cell>
          <cell r="AP874">
            <v>9870</v>
          </cell>
          <cell r="AQ874" t="str">
            <v>에필로그</v>
          </cell>
          <cell r="AR874" t="str">
            <v>에필로그</v>
          </cell>
        </row>
        <row r="875">
          <cell r="N875" t="str">
            <v>감또개</v>
          </cell>
          <cell r="O875" t="str">
            <v>Y</v>
          </cell>
          <cell r="P875">
            <v>0.7</v>
          </cell>
          <cell r="Q875">
            <v>0.6</v>
          </cell>
          <cell r="R875" t="str">
            <v>단일 이용권</v>
          </cell>
          <cell r="S875">
            <v>100</v>
          </cell>
          <cell r="T875">
            <v>1100</v>
          </cell>
          <cell r="U875">
            <v>1100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1100</v>
          </cell>
          <cell r="AE875">
            <v>1100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770</v>
          </cell>
          <cell r="AO875">
            <v>0</v>
          </cell>
          <cell r="AP875">
            <v>770</v>
          </cell>
          <cell r="AQ875" t="str">
            <v>더컴퍼니</v>
          </cell>
          <cell r="AR875" t="str">
            <v>더컴퍼니</v>
          </cell>
        </row>
        <row r="876">
          <cell r="N876" t="str">
            <v>마연(연필깎이)</v>
          </cell>
          <cell r="O876" t="str">
            <v>Y</v>
          </cell>
          <cell r="P876">
            <v>0.7</v>
          </cell>
          <cell r="Q876">
            <v>0.6</v>
          </cell>
          <cell r="R876" t="str">
            <v>시리즈 이용권 패키지</v>
          </cell>
          <cell r="S876">
            <v>5000</v>
          </cell>
          <cell r="T876">
            <v>5000</v>
          </cell>
          <cell r="U876">
            <v>5000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5000</v>
          </cell>
          <cell r="AE876">
            <v>5000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3500</v>
          </cell>
          <cell r="AO876">
            <v>0</v>
          </cell>
          <cell r="AP876">
            <v>3500</v>
          </cell>
          <cell r="AQ876" t="str">
            <v>더컴퍼니</v>
          </cell>
          <cell r="AR876" t="str">
            <v>더컴퍼니</v>
          </cell>
        </row>
        <row r="877">
          <cell r="N877" t="str">
            <v>나나코</v>
          </cell>
          <cell r="O877" t="str">
            <v>Y</v>
          </cell>
          <cell r="P877">
            <v>0.7</v>
          </cell>
          <cell r="Q877">
            <v>0.6</v>
          </cell>
          <cell r="R877" t="str">
            <v>단일 이용권</v>
          </cell>
          <cell r="S877">
            <v>100</v>
          </cell>
          <cell r="T877">
            <v>2700</v>
          </cell>
          <cell r="U877">
            <v>2700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2700</v>
          </cell>
          <cell r="AE877">
            <v>2700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  <cell r="AN877">
            <v>1890</v>
          </cell>
          <cell r="AO877">
            <v>0</v>
          </cell>
          <cell r="AP877">
            <v>1890</v>
          </cell>
          <cell r="AQ877" t="str">
            <v>더컴퍼니</v>
          </cell>
          <cell r="AR877" t="str">
            <v>더컴퍼니</v>
          </cell>
        </row>
        <row r="878">
          <cell r="N878" t="str">
            <v>나나코</v>
          </cell>
          <cell r="O878" t="str">
            <v>Y</v>
          </cell>
          <cell r="P878">
            <v>0.7</v>
          </cell>
          <cell r="Q878">
            <v>0.6</v>
          </cell>
          <cell r="R878" t="str">
            <v>단일 이용권</v>
          </cell>
          <cell r="S878">
            <v>100</v>
          </cell>
          <cell r="T878">
            <v>16000</v>
          </cell>
          <cell r="U878">
            <v>7800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8200</v>
          </cell>
          <cell r="AD878">
            <v>16000</v>
          </cell>
          <cell r="AE878">
            <v>7800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8200</v>
          </cell>
          <cell r="AN878">
            <v>11200</v>
          </cell>
          <cell r="AO878">
            <v>0</v>
          </cell>
          <cell r="AP878">
            <v>11200</v>
          </cell>
          <cell r="AQ878" t="str">
            <v>더컴퍼니</v>
          </cell>
          <cell r="AR878" t="str">
            <v>더컴퍼니</v>
          </cell>
        </row>
        <row r="879">
          <cell r="N879" t="str">
            <v>최강주</v>
          </cell>
          <cell r="O879" t="str">
            <v>Y</v>
          </cell>
          <cell r="P879">
            <v>0.7</v>
          </cell>
          <cell r="Q879">
            <v>0.6</v>
          </cell>
          <cell r="R879" t="str">
            <v>단일 이용권</v>
          </cell>
          <cell r="S879">
            <v>100</v>
          </cell>
          <cell r="T879">
            <v>16000</v>
          </cell>
          <cell r="U879">
            <v>11400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>
            <v>4600</v>
          </cell>
          <cell r="AD879">
            <v>16000</v>
          </cell>
          <cell r="AE879">
            <v>11400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4600</v>
          </cell>
          <cell r="AN879">
            <v>11200</v>
          </cell>
          <cell r="AO879">
            <v>0</v>
          </cell>
          <cell r="AP879">
            <v>11200</v>
          </cell>
          <cell r="AQ879" t="str">
            <v>더컴퍼니</v>
          </cell>
          <cell r="AR879" t="str">
            <v>더컴퍼니</v>
          </cell>
        </row>
        <row r="880">
          <cell r="N880" t="str">
            <v>나나코</v>
          </cell>
          <cell r="O880" t="str">
            <v>Y</v>
          </cell>
          <cell r="P880">
            <v>0.7</v>
          </cell>
          <cell r="Q880">
            <v>0.6</v>
          </cell>
          <cell r="R880" t="str">
            <v>시리즈 이용권 패키지</v>
          </cell>
          <cell r="S880">
            <v>7000</v>
          </cell>
          <cell r="T880">
            <v>-6300</v>
          </cell>
          <cell r="U880">
            <v>-6300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0</v>
          </cell>
          <cell r="AD880">
            <v>-6300</v>
          </cell>
          <cell r="AE880">
            <v>-6300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-4410</v>
          </cell>
          <cell r="AO880">
            <v>0</v>
          </cell>
          <cell r="AP880">
            <v>-4410</v>
          </cell>
          <cell r="AQ880" t="str">
            <v>더컴퍼니</v>
          </cell>
          <cell r="AR880" t="str">
            <v>더컴퍼니</v>
          </cell>
        </row>
        <row r="881">
          <cell r="N881" t="str">
            <v>최강주</v>
          </cell>
          <cell r="O881" t="str">
            <v>Y</v>
          </cell>
          <cell r="P881">
            <v>0.7</v>
          </cell>
          <cell r="Q881">
            <v>0.6</v>
          </cell>
          <cell r="R881" t="str">
            <v>시리즈 이용권 패키지</v>
          </cell>
          <cell r="S881">
            <v>4400</v>
          </cell>
          <cell r="T881">
            <v>5800</v>
          </cell>
          <cell r="U881">
            <v>3000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2800</v>
          </cell>
          <cell r="AD881">
            <v>5800</v>
          </cell>
          <cell r="AE881">
            <v>3000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2800</v>
          </cell>
          <cell r="AN881">
            <v>4060</v>
          </cell>
          <cell r="AO881">
            <v>0</v>
          </cell>
          <cell r="AP881">
            <v>4060</v>
          </cell>
          <cell r="AQ881" t="str">
            <v>더컴퍼니</v>
          </cell>
          <cell r="AR881" t="str">
            <v>더컴퍼니</v>
          </cell>
        </row>
        <row r="882">
          <cell r="N882" t="str">
            <v>사나림</v>
          </cell>
          <cell r="O882" t="str">
            <v>Y</v>
          </cell>
          <cell r="P882">
            <v>0.7</v>
          </cell>
          <cell r="Q882">
            <v>0.6</v>
          </cell>
          <cell r="R882" t="str">
            <v>단일 이용권</v>
          </cell>
          <cell r="S882">
            <v>100</v>
          </cell>
          <cell r="T882">
            <v>500</v>
          </cell>
          <cell r="U882">
            <v>400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100</v>
          </cell>
          <cell r="AD882">
            <v>500</v>
          </cell>
          <cell r="AE882">
            <v>400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100</v>
          </cell>
          <cell r="AN882">
            <v>350</v>
          </cell>
          <cell r="AO882">
            <v>0</v>
          </cell>
          <cell r="AP882">
            <v>350</v>
          </cell>
          <cell r="AQ882" t="str">
            <v>더컴퍼니</v>
          </cell>
          <cell r="AR882" t="str">
            <v>더컴퍼니</v>
          </cell>
        </row>
        <row r="883">
          <cell r="N883" t="str">
            <v>박지영</v>
          </cell>
          <cell r="O883" t="str">
            <v>Y</v>
          </cell>
          <cell r="P883">
            <v>0.7</v>
          </cell>
          <cell r="Q883">
            <v>0.6</v>
          </cell>
          <cell r="R883" t="str">
            <v>단일 이용권</v>
          </cell>
          <cell r="S883">
            <v>2000</v>
          </cell>
          <cell r="T883">
            <v>10000</v>
          </cell>
          <cell r="U883">
            <v>2000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>
            <v>8000</v>
          </cell>
          <cell r="AD883">
            <v>10000</v>
          </cell>
          <cell r="AE883">
            <v>2000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8000</v>
          </cell>
          <cell r="AN883">
            <v>7000</v>
          </cell>
          <cell r="AO883">
            <v>0</v>
          </cell>
          <cell r="AP883">
            <v>7000</v>
          </cell>
          <cell r="AQ883" t="str">
            <v>밀리의 서재</v>
          </cell>
          <cell r="AR883" t="str">
            <v>밀리의 서재</v>
          </cell>
        </row>
        <row r="884">
          <cell r="N884" t="str">
            <v>연유</v>
          </cell>
          <cell r="O884" t="str">
            <v>Y</v>
          </cell>
          <cell r="P884">
            <v>0.7</v>
          </cell>
          <cell r="Q884">
            <v>0.6</v>
          </cell>
          <cell r="R884" t="str">
            <v>단일 이용권</v>
          </cell>
          <cell r="S884">
            <v>100</v>
          </cell>
          <cell r="T884">
            <v>200</v>
          </cell>
          <cell r="U884">
            <v>200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200</v>
          </cell>
          <cell r="AE884">
            <v>200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140</v>
          </cell>
          <cell r="AO884">
            <v>0</v>
          </cell>
          <cell r="AP884">
            <v>140</v>
          </cell>
          <cell r="AQ884" t="str">
            <v>더컴퍼니</v>
          </cell>
          <cell r="AR884" t="str">
            <v>더컴퍼니</v>
          </cell>
        </row>
        <row r="885">
          <cell r="N885" t="str">
            <v>나나코</v>
          </cell>
          <cell r="O885" t="str">
            <v>Y</v>
          </cell>
          <cell r="P885">
            <v>0.7</v>
          </cell>
          <cell r="Q885">
            <v>0.6</v>
          </cell>
          <cell r="R885" t="str">
            <v>단일 이용권</v>
          </cell>
          <cell r="S885">
            <v>100</v>
          </cell>
          <cell r="T885">
            <v>6500</v>
          </cell>
          <cell r="U885">
            <v>4400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2100</v>
          </cell>
          <cell r="AD885">
            <v>6500</v>
          </cell>
          <cell r="AE885">
            <v>4400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2100</v>
          </cell>
          <cell r="AN885">
            <v>4550</v>
          </cell>
          <cell r="AO885">
            <v>0</v>
          </cell>
          <cell r="AP885">
            <v>4550</v>
          </cell>
          <cell r="AQ885" t="str">
            <v>더컴퍼니</v>
          </cell>
          <cell r="AR885" t="str">
            <v>더컴퍼니</v>
          </cell>
        </row>
        <row r="886">
          <cell r="N886" t="str">
            <v>용가리맛쿠키</v>
          </cell>
          <cell r="O886" t="str">
            <v>Y</v>
          </cell>
          <cell r="P886">
            <v>0.7</v>
          </cell>
          <cell r="Q886">
            <v>0.6</v>
          </cell>
          <cell r="R886" t="str">
            <v>단일 이용권</v>
          </cell>
          <cell r="S886">
            <v>100</v>
          </cell>
          <cell r="T886">
            <v>80200</v>
          </cell>
          <cell r="U886">
            <v>55300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7000</v>
          </cell>
          <cell r="AA886">
            <v>0</v>
          </cell>
          <cell r="AB886">
            <v>0</v>
          </cell>
          <cell r="AC886">
            <v>17900</v>
          </cell>
          <cell r="AD886">
            <v>80900</v>
          </cell>
          <cell r="AE886">
            <v>55300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7700</v>
          </cell>
          <cell r="AK886">
            <v>0</v>
          </cell>
          <cell r="AL886">
            <v>0</v>
          </cell>
          <cell r="AM886">
            <v>17900</v>
          </cell>
          <cell r="AN886">
            <v>55860</v>
          </cell>
          <cell r="AO886">
            <v>0</v>
          </cell>
          <cell r="AP886">
            <v>55860</v>
          </cell>
          <cell r="AQ886" t="str">
            <v>더컴퍼니</v>
          </cell>
          <cell r="AR886" t="str">
            <v>더컴퍼니</v>
          </cell>
        </row>
        <row r="887">
          <cell r="N887" t="str">
            <v>용가리맛쿠키</v>
          </cell>
          <cell r="O887" t="str">
            <v>Y</v>
          </cell>
          <cell r="P887">
            <v>0.7</v>
          </cell>
          <cell r="Q887">
            <v>0.6</v>
          </cell>
          <cell r="R887" t="str">
            <v>시리즈 이용권 패키지</v>
          </cell>
          <cell r="S887">
            <v>7000</v>
          </cell>
          <cell r="T887">
            <v>14000</v>
          </cell>
          <cell r="U887">
            <v>14000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  <cell r="AC887">
            <v>0</v>
          </cell>
          <cell r="AD887">
            <v>14000</v>
          </cell>
          <cell r="AE887">
            <v>14000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9800</v>
          </cell>
          <cell r="AO887">
            <v>0</v>
          </cell>
          <cell r="AP887">
            <v>9800</v>
          </cell>
          <cell r="AQ887" t="str">
            <v>더컴퍼니</v>
          </cell>
          <cell r="AR887" t="str">
            <v>더컴퍼니</v>
          </cell>
        </row>
        <row r="888">
          <cell r="N888" t="str">
            <v>해화</v>
          </cell>
          <cell r="O888" t="str">
            <v>Y</v>
          </cell>
          <cell r="P888">
            <v>0.7</v>
          </cell>
          <cell r="Q888">
            <v>0.6</v>
          </cell>
          <cell r="R888" t="str">
            <v>단일 이용권</v>
          </cell>
          <cell r="S888">
            <v>2500</v>
          </cell>
          <cell r="T888">
            <v>202500</v>
          </cell>
          <cell r="U888">
            <v>74600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13100</v>
          </cell>
          <cell r="AA888">
            <v>0</v>
          </cell>
          <cell r="AB888">
            <v>0</v>
          </cell>
          <cell r="AC888">
            <v>114800</v>
          </cell>
          <cell r="AD888">
            <v>203810</v>
          </cell>
          <cell r="AE888">
            <v>74600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14410</v>
          </cell>
          <cell r="AK888">
            <v>0</v>
          </cell>
          <cell r="AL888">
            <v>0</v>
          </cell>
          <cell r="AM888">
            <v>114800</v>
          </cell>
          <cell r="AN888">
            <v>141226</v>
          </cell>
          <cell r="AO888">
            <v>0</v>
          </cell>
          <cell r="AP888">
            <v>141226</v>
          </cell>
          <cell r="AQ888" t="str">
            <v>밀리의 서재</v>
          </cell>
          <cell r="AR888" t="str">
            <v>밀리의 서재</v>
          </cell>
        </row>
        <row r="889">
          <cell r="N889" t="str">
            <v>협행마</v>
          </cell>
          <cell r="O889" t="str">
            <v>Y</v>
          </cell>
          <cell r="P889">
            <v>0.7</v>
          </cell>
          <cell r="Q889">
            <v>0.6</v>
          </cell>
          <cell r="R889" t="str">
            <v>단일 대여 이용권</v>
          </cell>
          <cell r="S889">
            <v>900</v>
          </cell>
          <cell r="T889">
            <v>15300</v>
          </cell>
          <cell r="U889">
            <v>15300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15300</v>
          </cell>
          <cell r="AE889">
            <v>15300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10710</v>
          </cell>
          <cell r="AO889">
            <v>0</v>
          </cell>
          <cell r="AP889">
            <v>10710</v>
          </cell>
          <cell r="AQ889" t="str">
            <v>에필로그</v>
          </cell>
          <cell r="AR889" t="str">
            <v>에필로그</v>
          </cell>
        </row>
        <row r="890">
          <cell r="N890" t="str">
            <v>주해나</v>
          </cell>
          <cell r="O890" t="str">
            <v>Y</v>
          </cell>
          <cell r="P890">
            <v>0.7</v>
          </cell>
          <cell r="Q890">
            <v>0.6</v>
          </cell>
          <cell r="R890" t="str">
            <v>단일 이용권</v>
          </cell>
          <cell r="S890">
            <v>100</v>
          </cell>
          <cell r="T890">
            <v>900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900</v>
          </cell>
          <cell r="AD890">
            <v>900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900</v>
          </cell>
          <cell r="AN890">
            <v>630</v>
          </cell>
          <cell r="AO890">
            <v>0</v>
          </cell>
          <cell r="AP890">
            <v>630</v>
          </cell>
          <cell r="AQ890" t="str">
            <v>더컴퍼니</v>
          </cell>
          <cell r="AR890" t="str">
            <v>더컴퍼니</v>
          </cell>
        </row>
        <row r="891">
          <cell r="N891" t="str">
            <v>SISSI(시씨)</v>
          </cell>
          <cell r="O891" t="str">
            <v>Y</v>
          </cell>
          <cell r="P891">
            <v>0.7</v>
          </cell>
          <cell r="Q891">
            <v>0.6</v>
          </cell>
          <cell r="R891" t="str">
            <v>단일 이용권</v>
          </cell>
          <cell r="S891">
            <v>100</v>
          </cell>
          <cell r="T891">
            <v>15000</v>
          </cell>
          <cell r="U891">
            <v>9900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5100</v>
          </cell>
          <cell r="AD891">
            <v>15000</v>
          </cell>
          <cell r="AE891">
            <v>9900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5100</v>
          </cell>
          <cell r="AN891">
            <v>10500</v>
          </cell>
          <cell r="AO891">
            <v>0</v>
          </cell>
          <cell r="AP891">
            <v>10500</v>
          </cell>
          <cell r="AQ891" t="str">
            <v>더컴퍼니</v>
          </cell>
          <cell r="AR891" t="str">
            <v>더컴퍼니</v>
          </cell>
        </row>
        <row r="892">
          <cell r="N892" t="str">
            <v>연유</v>
          </cell>
          <cell r="O892" t="str">
            <v>Y</v>
          </cell>
          <cell r="P892">
            <v>0.7</v>
          </cell>
          <cell r="Q892">
            <v>0.6</v>
          </cell>
          <cell r="R892" t="str">
            <v>단일 이용권</v>
          </cell>
          <cell r="S892">
            <v>100</v>
          </cell>
          <cell r="T892">
            <v>2200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2200</v>
          </cell>
          <cell r="AD892">
            <v>2200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2200</v>
          </cell>
          <cell r="AN892">
            <v>1540</v>
          </cell>
          <cell r="AO892">
            <v>0</v>
          </cell>
          <cell r="AP892">
            <v>1540</v>
          </cell>
          <cell r="AQ892" t="str">
            <v>더컴퍼니</v>
          </cell>
          <cell r="AR892" t="str">
            <v>더컴퍼니</v>
          </cell>
        </row>
        <row r="893">
          <cell r="N893" t="str">
            <v>협행마</v>
          </cell>
          <cell r="O893" t="str">
            <v>Y</v>
          </cell>
          <cell r="P893">
            <v>0.7</v>
          </cell>
          <cell r="Q893">
            <v>0.6</v>
          </cell>
          <cell r="R893" t="str">
            <v>단일 대여 이용권</v>
          </cell>
          <cell r="S893">
            <v>900</v>
          </cell>
          <cell r="T893">
            <v>15300</v>
          </cell>
          <cell r="U893">
            <v>9900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5400</v>
          </cell>
          <cell r="AD893">
            <v>15300</v>
          </cell>
          <cell r="AE893">
            <v>9900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5400</v>
          </cell>
          <cell r="AN893">
            <v>10710</v>
          </cell>
          <cell r="AO893">
            <v>0</v>
          </cell>
          <cell r="AP893">
            <v>10710</v>
          </cell>
          <cell r="AQ893" t="str">
            <v>에필로그</v>
          </cell>
          <cell r="AR893" t="str">
            <v>에필로그</v>
          </cell>
        </row>
        <row r="894">
          <cell r="N894" t="str">
            <v>정은숙</v>
          </cell>
          <cell r="O894" t="str">
            <v>Y</v>
          </cell>
          <cell r="P894">
            <v>0.7</v>
          </cell>
          <cell r="Q894">
            <v>0.6</v>
          </cell>
          <cell r="R894" t="str">
            <v>단일 이용권</v>
          </cell>
          <cell r="S894">
            <v>2000</v>
          </cell>
          <cell r="T894">
            <v>2000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2000</v>
          </cell>
          <cell r="AD894">
            <v>2000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2000</v>
          </cell>
          <cell r="AN894">
            <v>1400</v>
          </cell>
          <cell r="AO894">
            <v>0</v>
          </cell>
          <cell r="AP894">
            <v>1400</v>
          </cell>
          <cell r="AQ894" t="str">
            <v>밀리의 서재</v>
          </cell>
          <cell r="AR894" t="str">
            <v>밀리의 서재</v>
          </cell>
        </row>
        <row r="895">
          <cell r="N895" t="str">
            <v>백범(白帆)</v>
          </cell>
          <cell r="O895" t="str">
            <v>Y</v>
          </cell>
          <cell r="P895">
            <v>0.7</v>
          </cell>
          <cell r="Q895">
            <v>0.6</v>
          </cell>
          <cell r="R895" t="str">
            <v>단일 이용권</v>
          </cell>
          <cell r="S895">
            <v>100</v>
          </cell>
          <cell r="T895">
            <v>5800</v>
          </cell>
          <cell r="U895">
            <v>2600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3200</v>
          </cell>
          <cell r="AD895">
            <v>5800</v>
          </cell>
          <cell r="AE895">
            <v>2600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3200</v>
          </cell>
          <cell r="AN895">
            <v>4060</v>
          </cell>
          <cell r="AO895">
            <v>0</v>
          </cell>
          <cell r="AP895">
            <v>4060</v>
          </cell>
          <cell r="AQ895" t="str">
            <v>에필로그</v>
          </cell>
          <cell r="AR895" t="str">
            <v>에필로그</v>
          </cell>
        </row>
        <row r="896">
          <cell r="N896" t="str">
            <v>백범(白帆)</v>
          </cell>
          <cell r="O896" t="str">
            <v>Y</v>
          </cell>
          <cell r="P896">
            <v>0.7</v>
          </cell>
          <cell r="Q896">
            <v>0.6</v>
          </cell>
          <cell r="R896" t="str">
            <v>시리즈 이용권 패키지</v>
          </cell>
          <cell r="S896">
            <v>1800</v>
          </cell>
          <cell r="T896">
            <v>10800</v>
          </cell>
          <cell r="U896">
            <v>4900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5900</v>
          </cell>
          <cell r="AD896">
            <v>10800</v>
          </cell>
          <cell r="AE896">
            <v>4900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5900</v>
          </cell>
          <cell r="AN896">
            <v>7560</v>
          </cell>
          <cell r="AO896">
            <v>0</v>
          </cell>
          <cell r="AP896">
            <v>7560</v>
          </cell>
          <cell r="AQ896" t="str">
            <v>에필로그</v>
          </cell>
          <cell r="AR896" t="str">
            <v>에필로그</v>
          </cell>
        </row>
        <row r="897">
          <cell r="N897" t="str">
            <v>백범(白帆)</v>
          </cell>
          <cell r="O897" t="str">
            <v>Y</v>
          </cell>
          <cell r="P897">
            <v>0.7</v>
          </cell>
          <cell r="Q897">
            <v>0.6</v>
          </cell>
          <cell r="R897" t="str">
            <v>시리즈 이용권 패키지</v>
          </cell>
          <cell r="S897">
            <v>4500</v>
          </cell>
          <cell r="T897">
            <v>42200</v>
          </cell>
          <cell r="U897">
            <v>42200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42200</v>
          </cell>
          <cell r="AE897">
            <v>42200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29540</v>
          </cell>
          <cell r="AO897">
            <v>0</v>
          </cell>
          <cell r="AP897">
            <v>29540</v>
          </cell>
          <cell r="AQ897" t="str">
            <v>에필로그</v>
          </cell>
          <cell r="AR897" t="str">
            <v>에필로그</v>
          </cell>
        </row>
        <row r="898">
          <cell r="N898" t="str">
            <v>백범(白帆)</v>
          </cell>
          <cell r="O898" t="str">
            <v>Y</v>
          </cell>
          <cell r="P898">
            <v>0.7</v>
          </cell>
          <cell r="Q898">
            <v>0.6</v>
          </cell>
          <cell r="R898" t="str">
            <v>단일 이용권</v>
          </cell>
          <cell r="S898">
            <v>100</v>
          </cell>
          <cell r="T898">
            <v>1300</v>
          </cell>
          <cell r="U898">
            <v>900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400</v>
          </cell>
          <cell r="AD898">
            <v>1300</v>
          </cell>
          <cell r="AE898">
            <v>900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400</v>
          </cell>
          <cell r="AN898">
            <v>910</v>
          </cell>
          <cell r="AO898">
            <v>0</v>
          </cell>
          <cell r="AP898">
            <v>910</v>
          </cell>
          <cell r="AQ898" t="str">
            <v>에필로그</v>
          </cell>
          <cell r="AR898" t="str">
            <v>에필로그</v>
          </cell>
        </row>
        <row r="899">
          <cell r="N899" t="str">
            <v>백범(白帆)</v>
          </cell>
          <cell r="O899" t="str">
            <v>Y</v>
          </cell>
          <cell r="P899">
            <v>0.7</v>
          </cell>
          <cell r="Q899">
            <v>0.6</v>
          </cell>
          <cell r="R899" t="str">
            <v>시리즈 이용권 패키지</v>
          </cell>
          <cell r="S899">
            <v>1800</v>
          </cell>
          <cell r="T899">
            <v>16200</v>
          </cell>
          <cell r="U899">
            <v>14100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2100</v>
          </cell>
          <cell r="AD899">
            <v>16200</v>
          </cell>
          <cell r="AE899">
            <v>14100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2100</v>
          </cell>
          <cell r="AN899">
            <v>11340</v>
          </cell>
          <cell r="AO899">
            <v>0</v>
          </cell>
          <cell r="AP899">
            <v>11340</v>
          </cell>
          <cell r="AQ899" t="str">
            <v>에필로그</v>
          </cell>
          <cell r="AR899" t="str">
            <v>에필로그</v>
          </cell>
        </row>
        <row r="900">
          <cell r="N900" t="str">
            <v>백범(白帆)</v>
          </cell>
          <cell r="O900" t="str">
            <v>Y</v>
          </cell>
          <cell r="P900">
            <v>0.7</v>
          </cell>
          <cell r="Q900">
            <v>0.6</v>
          </cell>
          <cell r="R900" t="str">
            <v>시리즈 이용권 패키지</v>
          </cell>
          <cell r="S900">
            <v>4500</v>
          </cell>
          <cell r="T900">
            <v>18800</v>
          </cell>
          <cell r="U900">
            <v>14300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4500</v>
          </cell>
          <cell r="AD900">
            <v>18800</v>
          </cell>
          <cell r="AE900">
            <v>14300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4500</v>
          </cell>
          <cell r="AN900">
            <v>13160</v>
          </cell>
          <cell r="AO900">
            <v>0</v>
          </cell>
          <cell r="AP900">
            <v>13160</v>
          </cell>
          <cell r="AQ900" t="str">
            <v>에필로그</v>
          </cell>
          <cell r="AR900" t="str">
            <v>에필로그</v>
          </cell>
        </row>
        <row r="901">
          <cell r="N901" t="str">
            <v>우유양</v>
          </cell>
          <cell r="O901" t="str">
            <v>Y</v>
          </cell>
          <cell r="P901">
            <v>0.7</v>
          </cell>
          <cell r="Q901">
            <v>0.6</v>
          </cell>
          <cell r="R901" t="str">
            <v>단일 이용권</v>
          </cell>
          <cell r="S901">
            <v>2500</v>
          </cell>
          <cell r="T901">
            <v>7500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7500</v>
          </cell>
          <cell r="AD901">
            <v>7500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7500</v>
          </cell>
          <cell r="AN901">
            <v>5250</v>
          </cell>
          <cell r="AO901">
            <v>0</v>
          </cell>
          <cell r="AP901">
            <v>5250</v>
          </cell>
          <cell r="AQ901" t="str">
            <v>밀리의 서재</v>
          </cell>
          <cell r="AR901" t="str">
            <v>밀리의 서재</v>
          </cell>
        </row>
        <row r="902">
          <cell r="N902" t="str">
            <v>백범(白帆)</v>
          </cell>
          <cell r="O902" t="str">
            <v>Y</v>
          </cell>
          <cell r="P902">
            <v>0.7</v>
          </cell>
          <cell r="Q902">
            <v>0.6</v>
          </cell>
          <cell r="R902" t="str">
            <v>시리즈 이용권 패키지</v>
          </cell>
          <cell r="S902">
            <v>9000</v>
          </cell>
          <cell r="T902">
            <v>9000</v>
          </cell>
          <cell r="U902">
            <v>9000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9000</v>
          </cell>
          <cell r="AE902">
            <v>9000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6300</v>
          </cell>
          <cell r="AO902">
            <v>0</v>
          </cell>
          <cell r="AP902">
            <v>6300</v>
          </cell>
          <cell r="AQ902" t="str">
            <v>에필로그</v>
          </cell>
          <cell r="AR902" t="str">
            <v>에필로그</v>
          </cell>
        </row>
        <row r="903">
          <cell r="N903" t="str">
            <v>백범(白帆)</v>
          </cell>
          <cell r="O903" t="str">
            <v>Y</v>
          </cell>
          <cell r="P903">
            <v>0.7</v>
          </cell>
          <cell r="Q903">
            <v>0.6</v>
          </cell>
          <cell r="R903" t="str">
            <v>단일 대여 이용권</v>
          </cell>
          <cell r="S903">
            <v>900</v>
          </cell>
          <cell r="T903">
            <v>14400</v>
          </cell>
          <cell r="U903">
            <v>12200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2200</v>
          </cell>
          <cell r="AD903">
            <v>14400</v>
          </cell>
          <cell r="AE903">
            <v>12200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2200</v>
          </cell>
          <cell r="AN903">
            <v>10080</v>
          </cell>
          <cell r="AO903">
            <v>0</v>
          </cell>
          <cell r="AP903">
            <v>10080</v>
          </cell>
          <cell r="AQ903" t="str">
            <v>에필로그</v>
          </cell>
          <cell r="AR903" t="str">
            <v>에필로그</v>
          </cell>
        </row>
        <row r="904">
          <cell r="N904" t="str">
            <v>서향</v>
          </cell>
          <cell r="O904" t="str">
            <v>Y</v>
          </cell>
          <cell r="P904">
            <v>0.7</v>
          </cell>
          <cell r="Q904">
            <v>0.6</v>
          </cell>
          <cell r="R904" t="str">
            <v>단일 이용권</v>
          </cell>
          <cell r="S904">
            <v>100</v>
          </cell>
          <cell r="T904">
            <v>1700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1700</v>
          </cell>
          <cell r="AD904">
            <v>1700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1700</v>
          </cell>
          <cell r="AN904">
            <v>1190</v>
          </cell>
          <cell r="AO904">
            <v>0</v>
          </cell>
          <cell r="AP904">
            <v>1190</v>
          </cell>
          <cell r="AQ904" t="str">
            <v>더컴퍼니</v>
          </cell>
          <cell r="AR904" t="str">
            <v>더컴퍼니</v>
          </cell>
        </row>
        <row r="905">
          <cell r="N905" t="str">
            <v>서혜은</v>
          </cell>
          <cell r="O905" t="str">
            <v>Y</v>
          </cell>
          <cell r="P905">
            <v>0.7</v>
          </cell>
          <cell r="Q905">
            <v>0.6</v>
          </cell>
          <cell r="R905" t="str">
            <v>단일 이용권</v>
          </cell>
          <cell r="S905">
            <v>2000</v>
          </cell>
          <cell r="T905">
            <v>50000</v>
          </cell>
          <cell r="U905">
            <v>23600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26400</v>
          </cell>
          <cell r="AD905">
            <v>50000</v>
          </cell>
          <cell r="AE905">
            <v>23600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26400</v>
          </cell>
          <cell r="AN905">
            <v>35000</v>
          </cell>
          <cell r="AO905">
            <v>0</v>
          </cell>
          <cell r="AP905">
            <v>35000</v>
          </cell>
          <cell r="AQ905" t="str">
            <v>밀리의 서재</v>
          </cell>
          <cell r="AR905" t="str">
            <v>밀리의 서재</v>
          </cell>
        </row>
        <row r="906">
          <cell r="N906" t="str">
            <v>여러해살이풀</v>
          </cell>
          <cell r="O906" t="str">
            <v>Y</v>
          </cell>
          <cell r="P906">
            <v>0.7</v>
          </cell>
          <cell r="Q906">
            <v>0.6</v>
          </cell>
          <cell r="R906" t="str">
            <v>단일 이용권</v>
          </cell>
          <cell r="S906">
            <v>100</v>
          </cell>
          <cell r="T906">
            <v>37600</v>
          </cell>
          <cell r="U906">
            <v>10400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27200</v>
          </cell>
          <cell r="AD906">
            <v>37600</v>
          </cell>
          <cell r="AE906">
            <v>10400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27200</v>
          </cell>
          <cell r="AN906">
            <v>26320</v>
          </cell>
          <cell r="AO906">
            <v>0</v>
          </cell>
          <cell r="AP906">
            <v>26320</v>
          </cell>
          <cell r="AQ906" t="str">
            <v>더컴퍼니</v>
          </cell>
          <cell r="AR906" t="str">
            <v>더컴퍼니</v>
          </cell>
        </row>
        <row r="907">
          <cell r="N907" t="str">
            <v>여러해살이풀</v>
          </cell>
          <cell r="O907" t="str">
            <v>Y</v>
          </cell>
          <cell r="P907">
            <v>0.7</v>
          </cell>
          <cell r="Q907">
            <v>0.6</v>
          </cell>
          <cell r="R907" t="str">
            <v>시리즈 이용권 패키지</v>
          </cell>
          <cell r="S907">
            <v>7200</v>
          </cell>
          <cell r="T907">
            <v>7200</v>
          </cell>
          <cell r="U907">
            <v>7200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7200</v>
          </cell>
          <cell r="AE907">
            <v>7200</v>
          </cell>
          <cell r="AF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0</v>
          </cell>
          <cell r="AK907">
            <v>0</v>
          </cell>
          <cell r="AL907">
            <v>0</v>
          </cell>
          <cell r="AM907">
            <v>0</v>
          </cell>
          <cell r="AN907">
            <v>5040</v>
          </cell>
          <cell r="AO907">
            <v>0</v>
          </cell>
          <cell r="AP907">
            <v>5040</v>
          </cell>
          <cell r="AQ907" t="str">
            <v>더컴퍼니</v>
          </cell>
          <cell r="AR907" t="str">
            <v>더컴퍼니</v>
          </cell>
        </row>
        <row r="908">
          <cell r="N908" t="str">
            <v>강명운</v>
          </cell>
          <cell r="O908" t="str">
            <v>Y</v>
          </cell>
          <cell r="P908">
            <v>0.7</v>
          </cell>
          <cell r="Q908">
            <v>0.6</v>
          </cell>
          <cell r="R908" t="str">
            <v>단일 이용권</v>
          </cell>
          <cell r="S908">
            <v>100</v>
          </cell>
          <cell r="T908">
            <v>9500</v>
          </cell>
          <cell r="U908">
            <v>1100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8400</v>
          </cell>
          <cell r="AD908">
            <v>9500</v>
          </cell>
          <cell r="AE908">
            <v>1100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0</v>
          </cell>
          <cell r="AK908">
            <v>0</v>
          </cell>
          <cell r="AL908">
            <v>0</v>
          </cell>
          <cell r="AM908">
            <v>8400</v>
          </cell>
          <cell r="AN908">
            <v>6650</v>
          </cell>
          <cell r="AO908">
            <v>0</v>
          </cell>
          <cell r="AP908">
            <v>6650</v>
          </cell>
          <cell r="AQ908" t="str">
            <v>아크스튜디오</v>
          </cell>
          <cell r="AR908" t="str">
            <v>아크스튜디오</v>
          </cell>
        </row>
        <row r="909">
          <cell r="N909" t="str">
            <v>강명운</v>
          </cell>
          <cell r="O909" t="str">
            <v>Y</v>
          </cell>
          <cell r="P909">
            <v>0.7</v>
          </cell>
          <cell r="Q909">
            <v>0.6</v>
          </cell>
          <cell r="R909" t="str">
            <v>시리즈 이용권 패키지</v>
          </cell>
          <cell r="S909">
            <v>2300</v>
          </cell>
          <cell r="T909">
            <v>6900</v>
          </cell>
          <cell r="U909">
            <v>2200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4700</v>
          </cell>
          <cell r="AD909">
            <v>6900</v>
          </cell>
          <cell r="AE909">
            <v>2200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0</v>
          </cell>
          <cell r="AK909">
            <v>0</v>
          </cell>
          <cell r="AL909">
            <v>0</v>
          </cell>
          <cell r="AM909">
            <v>4700</v>
          </cell>
          <cell r="AN909">
            <v>4830</v>
          </cell>
          <cell r="AO909">
            <v>0</v>
          </cell>
          <cell r="AP909">
            <v>4830</v>
          </cell>
          <cell r="AQ909" t="str">
            <v>아크스튜디오</v>
          </cell>
          <cell r="AR909" t="str">
            <v>아크스튜디오</v>
          </cell>
        </row>
        <row r="910">
          <cell r="N910" t="str">
            <v>시아</v>
          </cell>
          <cell r="O910" t="str">
            <v>Y</v>
          </cell>
          <cell r="P910">
            <v>0.7</v>
          </cell>
          <cell r="Q910">
            <v>0.6</v>
          </cell>
          <cell r="R910" t="str">
            <v>단일 이용권</v>
          </cell>
          <cell r="S910">
            <v>100</v>
          </cell>
          <cell r="T910">
            <v>1600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1600</v>
          </cell>
          <cell r="AD910">
            <v>1600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1600</v>
          </cell>
          <cell r="AN910">
            <v>1120</v>
          </cell>
          <cell r="AO910">
            <v>0</v>
          </cell>
          <cell r="AP910">
            <v>1120</v>
          </cell>
          <cell r="AQ910" t="str">
            <v>더컴퍼니</v>
          </cell>
          <cell r="AR910" t="str">
            <v>더컴퍼니</v>
          </cell>
        </row>
        <row r="911">
          <cell r="N911" t="str">
            <v>강명운</v>
          </cell>
          <cell r="O911" t="str">
            <v>Y</v>
          </cell>
          <cell r="P911">
            <v>0.7</v>
          </cell>
          <cell r="Q911">
            <v>0.6</v>
          </cell>
          <cell r="R911" t="str">
            <v>시리즈 이용권 패키지</v>
          </cell>
          <cell r="S911">
            <v>4500</v>
          </cell>
          <cell r="T911">
            <v>15700</v>
          </cell>
          <cell r="U911">
            <v>27000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-11300</v>
          </cell>
          <cell r="AA911">
            <v>0</v>
          </cell>
          <cell r="AB911">
            <v>0</v>
          </cell>
          <cell r="AC911">
            <v>0</v>
          </cell>
          <cell r="AD911">
            <v>14570</v>
          </cell>
          <cell r="AE911">
            <v>27000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-12430</v>
          </cell>
          <cell r="AK911">
            <v>0</v>
          </cell>
          <cell r="AL911">
            <v>0</v>
          </cell>
          <cell r="AM911">
            <v>0</v>
          </cell>
          <cell r="AN911">
            <v>11442</v>
          </cell>
          <cell r="AO911">
            <v>0</v>
          </cell>
          <cell r="AP911">
            <v>11442</v>
          </cell>
          <cell r="AQ911" t="str">
            <v>아크스튜디오</v>
          </cell>
          <cell r="AR911" t="str">
            <v>아크스튜디오</v>
          </cell>
        </row>
        <row r="912">
          <cell r="N912" t="str">
            <v>백범(白帆)</v>
          </cell>
          <cell r="O912" t="str">
            <v>Y</v>
          </cell>
          <cell r="P912">
            <v>0.7</v>
          </cell>
          <cell r="Q912">
            <v>0.6</v>
          </cell>
          <cell r="R912" t="str">
            <v>단일 이용권</v>
          </cell>
          <cell r="S912">
            <v>100</v>
          </cell>
          <cell r="T912">
            <v>3700</v>
          </cell>
          <cell r="U912">
            <v>1000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2700</v>
          </cell>
          <cell r="AD912">
            <v>3700</v>
          </cell>
          <cell r="AE912">
            <v>1000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2700</v>
          </cell>
          <cell r="AN912">
            <v>2590</v>
          </cell>
          <cell r="AO912">
            <v>0</v>
          </cell>
          <cell r="AP912">
            <v>2590</v>
          </cell>
          <cell r="AQ912" t="str">
            <v>에필로그</v>
          </cell>
          <cell r="AR912" t="str">
            <v>에필로그</v>
          </cell>
        </row>
        <row r="913">
          <cell r="N913" t="str">
            <v>나나코</v>
          </cell>
          <cell r="O913" t="str">
            <v>Y</v>
          </cell>
          <cell r="P913">
            <v>0.7</v>
          </cell>
          <cell r="Q913">
            <v>0.6</v>
          </cell>
          <cell r="R913" t="str">
            <v>단일 이용권</v>
          </cell>
          <cell r="S913">
            <v>100</v>
          </cell>
          <cell r="T913">
            <v>9000</v>
          </cell>
          <cell r="U913">
            <v>9000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9000</v>
          </cell>
          <cell r="AE913">
            <v>9000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6300</v>
          </cell>
          <cell r="AO913">
            <v>0</v>
          </cell>
          <cell r="AP913">
            <v>6300</v>
          </cell>
          <cell r="AQ913" t="str">
            <v>더컴퍼니</v>
          </cell>
          <cell r="AR913" t="str">
            <v>더컴퍼니</v>
          </cell>
        </row>
        <row r="914">
          <cell r="N914" t="str">
            <v>백범(白帆)</v>
          </cell>
          <cell r="O914" t="str">
            <v>Y</v>
          </cell>
          <cell r="P914">
            <v>0.7</v>
          </cell>
          <cell r="Q914">
            <v>0.6</v>
          </cell>
          <cell r="R914" t="str">
            <v>시리즈 이용권 패키지</v>
          </cell>
          <cell r="S914">
            <v>3600</v>
          </cell>
          <cell r="T914">
            <v>7200</v>
          </cell>
          <cell r="U914">
            <v>3600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0</v>
          </cell>
          <cell r="AC914">
            <v>3600</v>
          </cell>
          <cell r="AD914">
            <v>7200</v>
          </cell>
          <cell r="AE914">
            <v>3600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3600</v>
          </cell>
          <cell r="AN914">
            <v>5040</v>
          </cell>
          <cell r="AO914">
            <v>0</v>
          </cell>
          <cell r="AP914">
            <v>5040</v>
          </cell>
          <cell r="AQ914" t="str">
            <v>에필로그</v>
          </cell>
          <cell r="AR914" t="str">
            <v>에필로그</v>
          </cell>
        </row>
        <row r="915">
          <cell r="N915" t="str">
            <v>서정윤</v>
          </cell>
          <cell r="O915" t="str">
            <v>Y</v>
          </cell>
          <cell r="P915">
            <v>0.7</v>
          </cell>
          <cell r="Q915">
            <v>0.6</v>
          </cell>
          <cell r="R915" t="str">
            <v>단일 이용권</v>
          </cell>
          <cell r="S915">
            <v>2500</v>
          </cell>
          <cell r="T915">
            <v>15000</v>
          </cell>
          <cell r="U915">
            <v>8210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6790</v>
          </cell>
          <cell r="AD915">
            <v>15000</v>
          </cell>
          <cell r="AE915">
            <v>8210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6790</v>
          </cell>
          <cell r="AN915">
            <v>10500</v>
          </cell>
          <cell r="AO915">
            <v>0</v>
          </cell>
          <cell r="AP915">
            <v>10500</v>
          </cell>
          <cell r="AQ915" t="str">
            <v>밀리의 서재</v>
          </cell>
          <cell r="AR915" t="str">
            <v>밀리의 서재</v>
          </cell>
        </row>
        <row r="916">
          <cell r="N916" t="str">
            <v>용가리맛쿠키</v>
          </cell>
          <cell r="O916" t="str">
            <v>Y</v>
          </cell>
          <cell r="P916">
            <v>0.7</v>
          </cell>
          <cell r="Q916">
            <v>0.6</v>
          </cell>
          <cell r="R916" t="str">
            <v>단일 이용권</v>
          </cell>
          <cell r="S916">
            <v>100</v>
          </cell>
          <cell r="T916">
            <v>2900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2900</v>
          </cell>
          <cell r="AD916">
            <v>2900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2900</v>
          </cell>
          <cell r="AN916">
            <v>2030</v>
          </cell>
          <cell r="AO916">
            <v>0</v>
          </cell>
          <cell r="AP916">
            <v>2030</v>
          </cell>
          <cell r="AQ916" t="str">
            <v>더컴퍼니</v>
          </cell>
          <cell r="AR916" t="str">
            <v>더컴퍼니</v>
          </cell>
        </row>
        <row r="917">
          <cell r="N917" t="str">
            <v>사공설류</v>
          </cell>
          <cell r="O917" t="str">
            <v>Y</v>
          </cell>
          <cell r="P917">
            <v>0.7</v>
          </cell>
          <cell r="Q917">
            <v>0.6</v>
          </cell>
          <cell r="R917" t="str">
            <v>단일 이용권</v>
          </cell>
          <cell r="S917">
            <v>100</v>
          </cell>
          <cell r="T917">
            <v>100</v>
          </cell>
          <cell r="U917">
            <v>100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100</v>
          </cell>
          <cell r="AE917">
            <v>100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70</v>
          </cell>
          <cell r="AO917">
            <v>0</v>
          </cell>
          <cell r="AP917">
            <v>70</v>
          </cell>
          <cell r="AQ917" t="str">
            <v>더컴퍼니</v>
          </cell>
          <cell r="AR917" t="str">
            <v>더컴퍼니</v>
          </cell>
        </row>
        <row r="918">
          <cell r="N918" t="str">
            <v>용가리맛쿠키</v>
          </cell>
          <cell r="O918" t="str">
            <v>Y</v>
          </cell>
          <cell r="P918">
            <v>0.7</v>
          </cell>
          <cell r="Q918">
            <v>0.6</v>
          </cell>
          <cell r="R918" t="str">
            <v>시리즈 이용권 패키지</v>
          </cell>
          <cell r="S918">
            <v>4400</v>
          </cell>
          <cell r="T918">
            <v>8800</v>
          </cell>
          <cell r="U918">
            <v>8800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8800</v>
          </cell>
          <cell r="AE918">
            <v>8800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6160</v>
          </cell>
          <cell r="AO918">
            <v>0</v>
          </cell>
          <cell r="AP918">
            <v>6160</v>
          </cell>
          <cell r="AQ918" t="str">
            <v>더컴퍼니</v>
          </cell>
          <cell r="AR918" t="str">
            <v>더컴퍼니</v>
          </cell>
        </row>
        <row r="919">
          <cell r="N919" t="str">
            <v>SISSI(시씨)</v>
          </cell>
          <cell r="O919" t="str">
            <v>Y</v>
          </cell>
          <cell r="P919">
            <v>0.7</v>
          </cell>
          <cell r="Q919">
            <v>0.6</v>
          </cell>
          <cell r="R919" t="str">
            <v>단일 이용권</v>
          </cell>
          <cell r="S919">
            <v>100</v>
          </cell>
          <cell r="T919">
            <v>1700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1700</v>
          </cell>
          <cell r="AD919">
            <v>1700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1700</v>
          </cell>
          <cell r="AN919">
            <v>1190</v>
          </cell>
          <cell r="AO919">
            <v>0</v>
          </cell>
          <cell r="AP919">
            <v>1190</v>
          </cell>
          <cell r="AQ919" t="str">
            <v>더컴퍼니</v>
          </cell>
          <cell r="AR919" t="str">
            <v>더컴퍼니</v>
          </cell>
        </row>
        <row r="920">
          <cell r="N920" t="str">
            <v>용가리맛쿠키</v>
          </cell>
          <cell r="O920" t="str">
            <v>Y</v>
          </cell>
          <cell r="P920">
            <v>0.7</v>
          </cell>
          <cell r="Q920">
            <v>0.6</v>
          </cell>
          <cell r="R920" t="str">
            <v>단일 이용권</v>
          </cell>
          <cell r="S920">
            <v>100</v>
          </cell>
          <cell r="T920">
            <v>30100</v>
          </cell>
          <cell r="U920">
            <v>17300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12800</v>
          </cell>
          <cell r="AD920">
            <v>30100</v>
          </cell>
          <cell r="AE920">
            <v>17300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12800</v>
          </cell>
          <cell r="AN920">
            <v>21070</v>
          </cell>
          <cell r="AO920">
            <v>0</v>
          </cell>
          <cell r="AP920">
            <v>21070</v>
          </cell>
          <cell r="AQ920" t="str">
            <v>더컴퍼니</v>
          </cell>
          <cell r="AR920" t="str">
            <v>더컴퍼니</v>
          </cell>
        </row>
        <row r="921">
          <cell r="N921" t="str">
            <v>협행마</v>
          </cell>
          <cell r="O921" t="str">
            <v>Y</v>
          </cell>
          <cell r="P921">
            <v>0.7</v>
          </cell>
          <cell r="Q921">
            <v>0.6</v>
          </cell>
          <cell r="R921" t="str">
            <v>단일 이용권</v>
          </cell>
          <cell r="S921">
            <v>100</v>
          </cell>
          <cell r="T921">
            <v>3200</v>
          </cell>
          <cell r="U921">
            <v>3200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3200</v>
          </cell>
          <cell r="AE921">
            <v>3200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2240</v>
          </cell>
          <cell r="AO921">
            <v>0</v>
          </cell>
          <cell r="AP921">
            <v>2240</v>
          </cell>
          <cell r="AQ921" t="str">
            <v>에필로그</v>
          </cell>
          <cell r="AR921" t="str">
            <v>에필로그</v>
          </cell>
        </row>
        <row r="922">
          <cell r="N922" t="str">
            <v>협행마</v>
          </cell>
          <cell r="O922" t="str">
            <v>Y</v>
          </cell>
          <cell r="P922">
            <v>0.7</v>
          </cell>
          <cell r="Q922">
            <v>0.6</v>
          </cell>
          <cell r="R922" t="str">
            <v>시리즈 이용권 패키지</v>
          </cell>
          <cell r="S922">
            <v>1800</v>
          </cell>
          <cell r="T922">
            <v>9000</v>
          </cell>
          <cell r="U922">
            <v>9000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9000</v>
          </cell>
          <cell r="AE922">
            <v>9000</v>
          </cell>
          <cell r="AF922">
            <v>0</v>
          </cell>
          <cell r="AG922">
            <v>0</v>
          </cell>
          <cell r="AH922">
            <v>0</v>
          </cell>
          <cell r="AI922">
            <v>0</v>
          </cell>
          <cell r="AJ922">
            <v>0</v>
          </cell>
          <cell r="AK922">
            <v>0</v>
          </cell>
          <cell r="AL922">
            <v>0</v>
          </cell>
          <cell r="AM922">
            <v>0</v>
          </cell>
          <cell r="AN922">
            <v>6300</v>
          </cell>
          <cell r="AO922">
            <v>0</v>
          </cell>
          <cell r="AP922">
            <v>6300</v>
          </cell>
          <cell r="AQ922" t="str">
            <v>에필로그</v>
          </cell>
          <cell r="AR922" t="str">
            <v>에필로그</v>
          </cell>
        </row>
        <row r="923">
          <cell r="N923" t="str">
            <v>협행마</v>
          </cell>
          <cell r="O923" t="str">
            <v>Y</v>
          </cell>
          <cell r="P923">
            <v>0.7</v>
          </cell>
          <cell r="Q923">
            <v>0.6</v>
          </cell>
          <cell r="R923" t="str">
            <v>시리즈 이용권 패키지</v>
          </cell>
          <cell r="S923">
            <v>4500</v>
          </cell>
          <cell r="T923">
            <v>4500</v>
          </cell>
          <cell r="U923">
            <v>4500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4500</v>
          </cell>
          <cell r="AE923">
            <v>4500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3150</v>
          </cell>
          <cell r="AO923">
            <v>0</v>
          </cell>
          <cell r="AP923">
            <v>3150</v>
          </cell>
          <cell r="AQ923" t="str">
            <v>에필로그</v>
          </cell>
          <cell r="AR923" t="str">
            <v>에필로그</v>
          </cell>
        </row>
        <row r="924">
          <cell r="N924" t="str">
            <v>협행마</v>
          </cell>
          <cell r="O924" t="str">
            <v>Y</v>
          </cell>
          <cell r="P924">
            <v>0.7</v>
          </cell>
          <cell r="Q924">
            <v>0.6</v>
          </cell>
          <cell r="R924" t="str">
            <v>시리즈 이용권 패키지</v>
          </cell>
          <cell r="S924">
            <v>9000</v>
          </cell>
          <cell r="T924">
            <v>9000</v>
          </cell>
          <cell r="U924">
            <v>9000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9000</v>
          </cell>
          <cell r="AE924">
            <v>9000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6300</v>
          </cell>
          <cell r="AO924">
            <v>0</v>
          </cell>
          <cell r="AP924">
            <v>6300</v>
          </cell>
          <cell r="AQ924" t="str">
            <v>에필로그</v>
          </cell>
          <cell r="AR924" t="str">
            <v>에필로그</v>
          </cell>
        </row>
        <row r="925">
          <cell r="N925" t="str">
            <v>정민이</v>
          </cell>
          <cell r="O925" t="str">
            <v>Y</v>
          </cell>
          <cell r="P925">
            <v>0.7</v>
          </cell>
          <cell r="Q925">
            <v>0.6</v>
          </cell>
          <cell r="R925" t="str">
            <v>단일 이용권</v>
          </cell>
          <cell r="S925">
            <v>100</v>
          </cell>
          <cell r="T925">
            <v>200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200</v>
          </cell>
          <cell r="AD925">
            <v>200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200</v>
          </cell>
          <cell r="AN925">
            <v>140</v>
          </cell>
          <cell r="AO925">
            <v>0</v>
          </cell>
          <cell r="AP925">
            <v>140</v>
          </cell>
          <cell r="AQ925" t="str">
            <v>더컴퍼니</v>
          </cell>
          <cell r="AR925" t="str">
            <v>더컴퍼니</v>
          </cell>
        </row>
        <row r="926">
          <cell r="N926" t="str">
            <v>백범(白帆)</v>
          </cell>
          <cell r="O926" t="str">
            <v>Y</v>
          </cell>
          <cell r="P926">
            <v>0.7</v>
          </cell>
          <cell r="Q926">
            <v>0.6</v>
          </cell>
          <cell r="R926" t="str">
            <v>단일 이용권</v>
          </cell>
          <cell r="S926">
            <v>100</v>
          </cell>
          <cell r="T926">
            <v>800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800</v>
          </cell>
          <cell r="AD926">
            <v>800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0</v>
          </cell>
          <cell r="AJ926">
            <v>0</v>
          </cell>
          <cell r="AK926">
            <v>0</v>
          </cell>
          <cell r="AL926">
            <v>0</v>
          </cell>
          <cell r="AM926">
            <v>800</v>
          </cell>
          <cell r="AN926">
            <v>560</v>
          </cell>
          <cell r="AO926">
            <v>0</v>
          </cell>
          <cell r="AP926">
            <v>560</v>
          </cell>
          <cell r="AQ926" t="str">
            <v>에필로그</v>
          </cell>
          <cell r="AR926" t="str">
            <v>에필로그</v>
          </cell>
        </row>
        <row r="927">
          <cell r="N927" t="str">
            <v>한슬</v>
          </cell>
          <cell r="O927" t="str">
            <v>Y</v>
          </cell>
          <cell r="P927">
            <v>0.7</v>
          </cell>
          <cell r="Q927">
            <v>0.6</v>
          </cell>
          <cell r="R927" t="str">
            <v>단일 이용권</v>
          </cell>
          <cell r="S927">
            <v>100</v>
          </cell>
          <cell r="T927">
            <v>2500</v>
          </cell>
          <cell r="U927">
            <v>2500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2500</v>
          </cell>
          <cell r="AE927">
            <v>2500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0</v>
          </cell>
          <cell r="AL927">
            <v>0</v>
          </cell>
          <cell r="AM927">
            <v>0</v>
          </cell>
          <cell r="AN927">
            <v>1750</v>
          </cell>
          <cell r="AO927">
            <v>0</v>
          </cell>
          <cell r="AP927">
            <v>1750</v>
          </cell>
          <cell r="AQ927" t="str">
            <v>더컴퍼니</v>
          </cell>
          <cell r="AR927" t="str">
            <v>더컴퍼니</v>
          </cell>
        </row>
        <row r="928">
          <cell r="N928" t="str">
            <v>주해나</v>
          </cell>
          <cell r="O928" t="str">
            <v>Y</v>
          </cell>
          <cell r="P928">
            <v>0.7</v>
          </cell>
          <cell r="Q928">
            <v>0.6</v>
          </cell>
          <cell r="R928" t="str">
            <v>단일 이용권</v>
          </cell>
          <cell r="S928">
            <v>100</v>
          </cell>
          <cell r="T928">
            <v>1000</v>
          </cell>
          <cell r="U928">
            <v>1000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1000</v>
          </cell>
          <cell r="AE928">
            <v>1000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700</v>
          </cell>
          <cell r="AO928">
            <v>0</v>
          </cell>
          <cell r="AP928">
            <v>700</v>
          </cell>
          <cell r="AQ928" t="str">
            <v>더컴퍼니</v>
          </cell>
          <cell r="AR928" t="str">
            <v>더컴퍼니</v>
          </cell>
        </row>
        <row r="929">
          <cell r="N929" t="str">
            <v>백범(白帆)</v>
          </cell>
          <cell r="O929" t="str">
            <v>Y</v>
          </cell>
          <cell r="P929">
            <v>0.7</v>
          </cell>
          <cell r="Q929">
            <v>0.6</v>
          </cell>
          <cell r="R929" t="str">
            <v>단일 이용권</v>
          </cell>
          <cell r="S929">
            <v>100</v>
          </cell>
          <cell r="T929">
            <v>14900</v>
          </cell>
          <cell r="U929">
            <v>8800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6100</v>
          </cell>
          <cell r="AD929">
            <v>14900</v>
          </cell>
          <cell r="AE929">
            <v>8800</v>
          </cell>
          <cell r="AF929">
            <v>0</v>
          </cell>
          <cell r="AG929">
            <v>0</v>
          </cell>
          <cell r="AH929">
            <v>0</v>
          </cell>
          <cell r="AI929">
            <v>0</v>
          </cell>
          <cell r="AJ929">
            <v>0</v>
          </cell>
          <cell r="AK929">
            <v>0</v>
          </cell>
          <cell r="AL929">
            <v>0</v>
          </cell>
          <cell r="AM929">
            <v>6100</v>
          </cell>
          <cell r="AN929">
            <v>10430</v>
          </cell>
          <cell r="AO929">
            <v>0</v>
          </cell>
          <cell r="AP929">
            <v>10430</v>
          </cell>
          <cell r="AQ929" t="str">
            <v>에필로그</v>
          </cell>
          <cell r="AR929" t="str">
            <v>에필로그</v>
          </cell>
        </row>
        <row r="930">
          <cell r="N930" t="str">
            <v>백범(白帆)</v>
          </cell>
          <cell r="O930" t="str">
            <v>Y</v>
          </cell>
          <cell r="P930">
            <v>0.7</v>
          </cell>
          <cell r="Q930">
            <v>0.6</v>
          </cell>
          <cell r="R930" t="str">
            <v>시리즈 이용권 패키지</v>
          </cell>
          <cell r="S930">
            <v>1800</v>
          </cell>
          <cell r="T930">
            <v>9000</v>
          </cell>
          <cell r="U930">
            <v>9000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9000</v>
          </cell>
          <cell r="AE930">
            <v>9000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0</v>
          </cell>
          <cell r="AK930">
            <v>0</v>
          </cell>
          <cell r="AL930">
            <v>0</v>
          </cell>
          <cell r="AM930">
            <v>0</v>
          </cell>
          <cell r="AN930">
            <v>6300</v>
          </cell>
          <cell r="AO930">
            <v>0</v>
          </cell>
          <cell r="AP930">
            <v>6300</v>
          </cell>
          <cell r="AQ930" t="str">
            <v>에필로그</v>
          </cell>
          <cell r="AR930" t="str">
            <v>에필로그</v>
          </cell>
        </row>
        <row r="931">
          <cell r="N931" t="str">
            <v>백범(白帆)</v>
          </cell>
          <cell r="O931" t="str">
            <v>Y</v>
          </cell>
          <cell r="P931">
            <v>0.7</v>
          </cell>
          <cell r="Q931">
            <v>0.6</v>
          </cell>
          <cell r="R931" t="str">
            <v>시리즈 이용권 패키지</v>
          </cell>
          <cell r="S931">
            <v>4500</v>
          </cell>
          <cell r="T931">
            <v>25400</v>
          </cell>
          <cell r="U931">
            <v>25400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25400</v>
          </cell>
          <cell r="AE931">
            <v>25400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0</v>
          </cell>
          <cell r="AN931">
            <v>17780</v>
          </cell>
          <cell r="AO931">
            <v>0</v>
          </cell>
          <cell r="AP931">
            <v>17780</v>
          </cell>
          <cell r="AQ931" t="str">
            <v>에필로그</v>
          </cell>
          <cell r="AR931" t="str">
            <v>에필로그</v>
          </cell>
        </row>
        <row r="932">
          <cell r="N932" t="str">
            <v>백범(白帆)</v>
          </cell>
          <cell r="O932" t="str">
            <v>Y</v>
          </cell>
          <cell r="P932">
            <v>0.7</v>
          </cell>
          <cell r="Q932">
            <v>0.6</v>
          </cell>
          <cell r="R932" t="str">
            <v>시리즈 이용권 패키지</v>
          </cell>
          <cell r="S932">
            <v>9000</v>
          </cell>
          <cell r="T932">
            <v>-7400</v>
          </cell>
          <cell r="U932">
            <v>-7400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-7400</v>
          </cell>
          <cell r="AE932">
            <v>-7400</v>
          </cell>
          <cell r="AF932">
            <v>0</v>
          </cell>
          <cell r="AG932">
            <v>0</v>
          </cell>
          <cell r="AH932">
            <v>0</v>
          </cell>
          <cell r="AI932">
            <v>0</v>
          </cell>
          <cell r="AJ932">
            <v>0</v>
          </cell>
          <cell r="AK932">
            <v>0</v>
          </cell>
          <cell r="AL932">
            <v>0</v>
          </cell>
          <cell r="AM932">
            <v>0</v>
          </cell>
          <cell r="AN932">
            <v>-5180</v>
          </cell>
          <cell r="AO932">
            <v>0</v>
          </cell>
          <cell r="AP932">
            <v>-5180</v>
          </cell>
          <cell r="AQ932" t="str">
            <v>에필로그</v>
          </cell>
          <cell r="AR932" t="str">
            <v>에필로그</v>
          </cell>
        </row>
        <row r="933">
          <cell r="N933" t="str">
            <v>투즈</v>
          </cell>
          <cell r="O933" t="str">
            <v>Y</v>
          </cell>
          <cell r="P933">
            <v>0.7</v>
          </cell>
          <cell r="Q933">
            <v>0.6</v>
          </cell>
          <cell r="R933" t="str">
            <v>단일 이용권</v>
          </cell>
          <cell r="S933">
            <v>100</v>
          </cell>
          <cell r="T933">
            <v>1100</v>
          </cell>
          <cell r="U933">
            <v>1100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1100</v>
          </cell>
          <cell r="AE933">
            <v>1100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770</v>
          </cell>
          <cell r="AO933">
            <v>0</v>
          </cell>
          <cell r="AP933">
            <v>770</v>
          </cell>
          <cell r="AQ933" t="str">
            <v>더컴퍼니</v>
          </cell>
          <cell r="AR933" t="str">
            <v>더컴퍼니</v>
          </cell>
        </row>
        <row r="934">
          <cell r="N934" t="str">
            <v>김귤</v>
          </cell>
          <cell r="O934" t="str">
            <v>Y</v>
          </cell>
          <cell r="P934">
            <v>0.7</v>
          </cell>
          <cell r="Q934">
            <v>0.6</v>
          </cell>
          <cell r="R934" t="str">
            <v>단일 이용권</v>
          </cell>
          <cell r="S934">
            <v>100</v>
          </cell>
          <cell r="T934">
            <v>4000</v>
          </cell>
          <cell r="U934">
            <v>4000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4000</v>
          </cell>
          <cell r="AE934">
            <v>4000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2800</v>
          </cell>
          <cell r="AO934">
            <v>0</v>
          </cell>
          <cell r="AP934">
            <v>2800</v>
          </cell>
          <cell r="AQ934" t="str">
            <v>더컴퍼니</v>
          </cell>
          <cell r="AR934" t="str">
            <v>더컴퍼니</v>
          </cell>
        </row>
        <row r="935">
          <cell r="N935" t="str">
            <v>지니</v>
          </cell>
          <cell r="O935" t="str">
            <v>Y</v>
          </cell>
          <cell r="P935">
            <v>0.7</v>
          </cell>
          <cell r="Q935">
            <v>0.6</v>
          </cell>
          <cell r="R935" t="str">
            <v>단일 이용권</v>
          </cell>
          <cell r="S935">
            <v>100</v>
          </cell>
          <cell r="T935">
            <v>100</v>
          </cell>
          <cell r="U935">
            <v>100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100</v>
          </cell>
          <cell r="AE935">
            <v>100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70</v>
          </cell>
          <cell r="AO935">
            <v>0</v>
          </cell>
          <cell r="AP935">
            <v>70</v>
          </cell>
          <cell r="AQ935" t="str">
            <v>더컴퍼니</v>
          </cell>
          <cell r="AR935" t="str">
            <v>더컴퍼니</v>
          </cell>
        </row>
        <row r="936">
          <cell r="N936" t="str">
            <v>주해나</v>
          </cell>
          <cell r="O936" t="str">
            <v>Y</v>
          </cell>
          <cell r="P936">
            <v>0.7</v>
          </cell>
          <cell r="Q936">
            <v>0.6</v>
          </cell>
          <cell r="R936" t="str">
            <v>단일 이용권</v>
          </cell>
          <cell r="S936">
            <v>100</v>
          </cell>
          <cell r="T936">
            <v>8300</v>
          </cell>
          <cell r="U936">
            <v>4500</v>
          </cell>
          <cell r="V936">
            <v>0</v>
          </cell>
          <cell r="W936">
            <v>0</v>
          </cell>
          <cell r="X936">
            <v>0</v>
          </cell>
          <cell r="Y936">
            <v>100</v>
          </cell>
          <cell r="Z936">
            <v>0</v>
          </cell>
          <cell r="AA936">
            <v>0</v>
          </cell>
          <cell r="AB936">
            <v>0</v>
          </cell>
          <cell r="AC936">
            <v>3700</v>
          </cell>
          <cell r="AD936">
            <v>8320</v>
          </cell>
          <cell r="AE936">
            <v>4500</v>
          </cell>
          <cell r="AF936">
            <v>0</v>
          </cell>
          <cell r="AG936">
            <v>0</v>
          </cell>
          <cell r="AH936">
            <v>0</v>
          </cell>
          <cell r="AI936">
            <v>120</v>
          </cell>
          <cell r="AJ936">
            <v>0</v>
          </cell>
          <cell r="AK936">
            <v>0</v>
          </cell>
          <cell r="AL936">
            <v>0</v>
          </cell>
          <cell r="AM936">
            <v>3700</v>
          </cell>
          <cell r="AN936">
            <v>5812</v>
          </cell>
          <cell r="AO936">
            <v>0</v>
          </cell>
          <cell r="AP936">
            <v>5812</v>
          </cell>
          <cell r="AQ936" t="str">
            <v>더컴퍼니</v>
          </cell>
          <cell r="AR936" t="str">
            <v>더컴퍼니</v>
          </cell>
        </row>
        <row r="937">
          <cell r="N937" t="str">
            <v>서향</v>
          </cell>
          <cell r="O937" t="str">
            <v>Y</v>
          </cell>
          <cell r="P937">
            <v>0.7</v>
          </cell>
          <cell r="Q937">
            <v>0.6</v>
          </cell>
          <cell r="R937" t="str">
            <v>단일 이용권</v>
          </cell>
          <cell r="S937">
            <v>100</v>
          </cell>
          <cell r="T937">
            <v>2200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100</v>
          </cell>
          <cell r="AA937">
            <v>0</v>
          </cell>
          <cell r="AB937">
            <v>0</v>
          </cell>
          <cell r="AC937">
            <v>2100</v>
          </cell>
          <cell r="AD937">
            <v>2210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>
            <v>0</v>
          </cell>
          <cell r="AJ937">
            <v>110</v>
          </cell>
          <cell r="AK937">
            <v>0</v>
          </cell>
          <cell r="AL937">
            <v>0</v>
          </cell>
          <cell r="AM937">
            <v>2100</v>
          </cell>
          <cell r="AN937">
            <v>1536</v>
          </cell>
          <cell r="AO937">
            <v>0</v>
          </cell>
          <cell r="AP937">
            <v>1536</v>
          </cell>
          <cell r="AQ937" t="str">
            <v>더컴퍼니</v>
          </cell>
          <cell r="AR937" t="str">
            <v>더컴퍼니</v>
          </cell>
        </row>
        <row r="938">
          <cell r="N938" t="str">
            <v>협행마</v>
          </cell>
          <cell r="O938" t="str">
            <v>Y</v>
          </cell>
          <cell r="P938">
            <v>0.7</v>
          </cell>
          <cell r="Q938">
            <v>0.6</v>
          </cell>
          <cell r="R938" t="str">
            <v>단일 이용권</v>
          </cell>
          <cell r="S938">
            <v>100</v>
          </cell>
          <cell r="T938">
            <v>21700</v>
          </cell>
          <cell r="U938">
            <v>10300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11400</v>
          </cell>
          <cell r="AD938">
            <v>21700</v>
          </cell>
          <cell r="AE938">
            <v>10300</v>
          </cell>
          <cell r="AF938">
            <v>0</v>
          </cell>
          <cell r="AG938">
            <v>0</v>
          </cell>
          <cell r="AH938">
            <v>0</v>
          </cell>
          <cell r="AI938">
            <v>0</v>
          </cell>
          <cell r="AJ938">
            <v>0</v>
          </cell>
          <cell r="AK938">
            <v>0</v>
          </cell>
          <cell r="AL938">
            <v>0</v>
          </cell>
          <cell r="AM938">
            <v>11400</v>
          </cell>
          <cell r="AN938">
            <v>15190</v>
          </cell>
          <cell r="AO938">
            <v>0</v>
          </cell>
          <cell r="AP938">
            <v>15190</v>
          </cell>
          <cell r="AQ938" t="str">
            <v>에필로그</v>
          </cell>
          <cell r="AR938" t="str">
            <v>에필로그</v>
          </cell>
        </row>
        <row r="939">
          <cell r="N939" t="str">
            <v>협행마</v>
          </cell>
          <cell r="O939" t="str">
            <v>Y</v>
          </cell>
          <cell r="P939">
            <v>0.7</v>
          </cell>
          <cell r="Q939">
            <v>0.6</v>
          </cell>
          <cell r="R939" t="str">
            <v>시리즈 이용권 패키지</v>
          </cell>
          <cell r="S939">
            <v>1800</v>
          </cell>
          <cell r="T939">
            <v>11700</v>
          </cell>
          <cell r="U939">
            <v>9400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2300</v>
          </cell>
          <cell r="AD939">
            <v>11700</v>
          </cell>
          <cell r="AE939">
            <v>9400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0</v>
          </cell>
          <cell r="AK939">
            <v>0</v>
          </cell>
          <cell r="AL939">
            <v>0</v>
          </cell>
          <cell r="AM939">
            <v>2300</v>
          </cell>
          <cell r="AN939">
            <v>8190</v>
          </cell>
          <cell r="AO939">
            <v>0</v>
          </cell>
          <cell r="AP939">
            <v>8190</v>
          </cell>
          <cell r="AQ939" t="str">
            <v>에필로그</v>
          </cell>
          <cell r="AR939" t="str">
            <v>에필로그</v>
          </cell>
        </row>
        <row r="940">
          <cell r="N940" t="str">
            <v>협행마</v>
          </cell>
          <cell r="O940" t="str">
            <v>Y</v>
          </cell>
          <cell r="P940">
            <v>0.7</v>
          </cell>
          <cell r="Q940">
            <v>0.6</v>
          </cell>
          <cell r="R940" t="str">
            <v>시리즈 이용권 패키지</v>
          </cell>
          <cell r="S940">
            <v>4500</v>
          </cell>
          <cell r="T940">
            <v>4500</v>
          </cell>
          <cell r="U940">
            <v>4500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4500</v>
          </cell>
          <cell r="AE940">
            <v>4500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3150</v>
          </cell>
          <cell r="AO940">
            <v>0</v>
          </cell>
          <cell r="AP940">
            <v>3150</v>
          </cell>
          <cell r="AQ940" t="str">
            <v>에필로그</v>
          </cell>
          <cell r="AR940" t="str">
            <v>에필로그</v>
          </cell>
        </row>
        <row r="941">
          <cell r="N941" t="str">
            <v>나나코</v>
          </cell>
          <cell r="O941" t="str">
            <v>Y</v>
          </cell>
          <cell r="P941">
            <v>0.7</v>
          </cell>
          <cell r="Q941">
            <v>0.6</v>
          </cell>
          <cell r="R941" t="str">
            <v>단일 이용권</v>
          </cell>
          <cell r="S941">
            <v>100</v>
          </cell>
          <cell r="T941">
            <v>6400</v>
          </cell>
          <cell r="U941">
            <v>6400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6400</v>
          </cell>
          <cell r="AE941">
            <v>6400</v>
          </cell>
          <cell r="AF941">
            <v>0</v>
          </cell>
          <cell r="AG941">
            <v>0</v>
          </cell>
          <cell r="AH941">
            <v>0</v>
          </cell>
          <cell r="AI941">
            <v>0</v>
          </cell>
          <cell r="AJ941">
            <v>0</v>
          </cell>
          <cell r="AK941">
            <v>0</v>
          </cell>
          <cell r="AL941">
            <v>0</v>
          </cell>
          <cell r="AM941">
            <v>0</v>
          </cell>
          <cell r="AN941">
            <v>4480</v>
          </cell>
          <cell r="AO941">
            <v>0</v>
          </cell>
          <cell r="AP941">
            <v>4480</v>
          </cell>
          <cell r="AQ941" t="str">
            <v>더컴퍼니</v>
          </cell>
          <cell r="AR941" t="str">
            <v>더컴퍼니</v>
          </cell>
        </row>
        <row r="942">
          <cell r="N942" t="str">
            <v>협행마</v>
          </cell>
          <cell r="O942" t="str">
            <v>Y</v>
          </cell>
          <cell r="P942">
            <v>0.7</v>
          </cell>
          <cell r="Q942">
            <v>0.6</v>
          </cell>
          <cell r="R942" t="str">
            <v>시리즈 이용권 패키지</v>
          </cell>
          <cell r="S942">
            <v>9000</v>
          </cell>
          <cell r="T942">
            <v>7000</v>
          </cell>
          <cell r="U942">
            <v>7000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7000</v>
          </cell>
          <cell r="AE942">
            <v>7000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4900</v>
          </cell>
          <cell r="AO942">
            <v>0</v>
          </cell>
          <cell r="AP942">
            <v>4900</v>
          </cell>
          <cell r="AQ942" t="str">
            <v>에필로그</v>
          </cell>
          <cell r="AR942" t="str">
            <v>에필로그</v>
          </cell>
        </row>
        <row r="943">
          <cell r="N943" t="str">
            <v>sJessi</v>
          </cell>
          <cell r="O943" t="str">
            <v>Y</v>
          </cell>
          <cell r="P943">
            <v>0.7</v>
          </cell>
          <cell r="Q943">
            <v>0.6</v>
          </cell>
          <cell r="R943" t="str">
            <v>단일 이용권</v>
          </cell>
          <cell r="S943">
            <v>100</v>
          </cell>
          <cell r="T943">
            <v>7100</v>
          </cell>
          <cell r="U943">
            <v>6600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500</v>
          </cell>
          <cell r="AD943">
            <v>7100</v>
          </cell>
          <cell r="AE943">
            <v>6600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0</v>
          </cell>
          <cell r="AK943">
            <v>0</v>
          </cell>
          <cell r="AL943">
            <v>0</v>
          </cell>
          <cell r="AM943">
            <v>500</v>
          </cell>
          <cell r="AN943">
            <v>4970</v>
          </cell>
          <cell r="AO943">
            <v>0</v>
          </cell>
          <cell r="AP943">
            <v>4970</v>
          </cell>
          <cell r="AQ943" t="str">
            <v>더컴퍼니</v>
          </cell>
          <cell r="AR943" t="str">
            <v>더컴퍼니</v>
          </cell>
        </row>
        <row r="944">
          <cell r="N944" t="str">
            <v>원성혜</v>
          </cell>
          <cell r="O944" t="str">
            <v>Y</v>
          </cell>
          <cell r="P944">
            <v>0.7</v>
          </cell>
          <cell r="Q944">
            <v>0.6</v>
          </cell>
          <cell r="R944" t="str">
            <v>단일 이용권</v>
          </cell>
          <cell r="S944">
            <v>2000</v>
          </cell>
          <cell r="T944">
            <v>6000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2000</v>
          </cell>
          <cell r="AA944">
            <v>0</v>
          </cell>
          <cell r="AB944">
            <v>0</v>
          </cell>
          <cell r="AC944">
            <v>4000</v>
          </cell>
          <cell r="AD944">
            <v>6200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>
            <v>0</v>
          </cell>
          <cell r="AJ944">
            <v>2200</v>
          </cell>
          <cell r="AK944">
            <v>0</v>
          </cell>
          <cell r="AL944">
            <v>0</v>
          </cell>
          <cell r="AM944">
            <v>4000</v>
          </cell>
          <cell r="AN944">
            <v>4120</v>
          </cell>
          <cell r="AO944">
            <v>0</v>
          </cell>
          <cell r="AP944">
            <v>4120</v>
          </cell>
          <cell r="AQ944" t="str">
            <v>밀리의 서재</v>
          </cell>
          <cell r="AR944" t="str">
            <v>밀리의 서재</v>
          </cell>
        </row>
        <row r="945">
          <cell r="N945" t="str">
            <v>전혜진</v>
          </cell>
          <cell r="O945" t="str">
            <v>Y</v>
          </cell>
          <cell r="P945">
            <v>0.7</v>
          </cell>
          <cell r="Q945">
            <v>0.6</v>
          </cell>
          <cell r="R945" t="str">
            <v>단일 이용권</v>
          </cell>
          <cell r="S945">
            <v>2500</v>
          </cell>
          <cell r="T945">
            <v>2500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2500</v>
          </cell>
          <cell r="AD945">
            <v>2500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2500</v>
          </cell>
          <cell r="AN945">
            <v>1750</v>
          </cell>
          <cell r="AO945">
            <v>0</v>
          </cell>
          <cell r="AP945">
            <v>1750</v>
          </cell>
          <cell r="AQ945" t="str">
            <v>밀리의 서재</v>
          </cell>
          <cell r="AR945" t="str">
            <v>밀리의 서재</v>
          </cell>
        </row>
        <row r="946">
          <cell r="N946" t="str">
            <v>이일화</v>
          </cell>
          <cell r="O946" t="str">
            <v>Y</v>
          </cell>
          <cell r="P946">
            <v>0.7</v>
          </cell>
          <cell r="Q946">
            <v>0.6</v>
          </cell>
          <cell r="R946" t="str">
            <v>단일 이용권</v>
          </cell>
          <cell r="S946">
            <v>100</v>
          </cell>
          <cell r="T946">
            <v>1100</v>
          </cell>
          <cell r="U946">
            <v>1000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100</v>
          </cell>
          <cell r="AD946">
            <v>1100</v>
          </cell>
          <cell r="AE946">
            <v>1000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100</v>
          </cell>
          <cell r="AN946">
            <v>770</v>
          </cell>
          <cell r="AO946">
            <v>0</v>
          </cell>
          <cell r="AP946">
            <v>770</v>
          </cell>
          <cell r="AQ946" t="str">
            <v>더컴퍼니</v>
          </cell>
          <cell r="AR946" t="str">
            <v>더컴퍼니</v>
          </cell>
        </row>
        <row r="947">
          <cell r="N947" t="str">
            <v>서향</v>
          </cell>
          <cell r="O947" t="str">
            <v>Y</v>
          </cell>
          <cell r="P947">
            <v>0.7</v>
          </cell>
          <cell r="Q947">
            <v>0.6</v>
          </cell>
          <cell r="R947" t="str">
            <v>단일 이용권</v>
          </cell>
          <cell r="S947">
            <v>100</v>
          </cell>
          <cell r="T947">
            <v>1500</v>
          </cell>
          <cell r="U947">
            <v>1400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100</v>
          </cell>
          <cell r="AD947">
            <v>1500</v>
          </cell>
          <cell r="AE947">
            <v>1400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0</v>
          </cell>
          <cell r="AK947">
            <v>0</v>
          </cell>
          <cell r="AL947">
            <v>0</v>
          </cell>
          <cell r="AM947">
            <v>100</v>
          </cell>
          <cell r="AN947">
            <v>1050</v>
          </cell>
          <cell r="AO947">
            <v>0</v>
          </cell>
          <cell r="AP947">
            <v>1050</v>
          </cell>
          <cell r="AQ947" t="str">
            <v>더컴퍼니</v>
          </cell>
          <cell r="AR947" t="str">
            <v>더컴퍼니</v>
          </cell>
        </row>
        <row r="948">
          <cell r="N948" t="str">
            <v>주해나</v>
          </cell>
          <cell r="O948" t="str">
            <v>Y</v>
          </cell>
          <cell r="P948">
            <v>0.7</v>
          </cell>
          <cell r="Q948">
            <v>0.6</v>
          </cell>
          <cell r="R948" t="str">
            <v>단일 이용권</v>
          </cell>
          <cell r="S948">
            <v>100</v>
          </cell>
          <cell r="T948">
            <v>5900</v>
          </cell>
          <cell r="U948">
            <v>4700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1200</v>
          </cell>
          <cell r="AA948">
            <v>0</v>
          </cell>
          <cell r="AB948">
            <v>0</v>
          </cell>
          <cell r="AC948">
            <v>0</v>
          </cell>
          <cell r="AD948">
            <v>6020</v>
          </cell>
          <cell r="AE948">
            <v>4700</v>
          </cell>
          <cell r="AF948">
            <v>0</v>
          </cell>
          <cell r="AG948">
            <v>0</v>
          </cell>
          <cell r="AH948">
            <v>0</v>
          </cell>
          <cell r="AI948">
            <v>0</v>
          </cell>
          <cell r="AJ948">
            <v>1320</v>
          </cell>
          <cell r="AK948">
            <v>0</v>
          </cell>
          <cell r="AL948">
            <v>0</v>
          </cell>
          <cell r="AM948">
            <v>0</v>
          </cell>
          <cell r="AN948">
            <v>4082</v>
          </cell>
          <cell r="AO948">
            <v>0</v>
          </cell>
          <cell r="AP948">
            <v>4082</v>
          </cell>
          <cell r="AQ948" t="str">
            <v>더컴퍼니</v>
          </cell>
          <cell r="AR948" t="str">
            <v>더컴퍼니</v>
          </cell>
        </row>
        <row r="949">
          <cell r="N949" t="str">
            <v>하바수</v>
          </cell>
          <cell r="O949" t="str">
            <v>Y</v>
          </cell>
          <cell r="P949">
            <v>0.7</v>
          </cell>
          <cell r="Q949">
            <v>0.6</v>
          </cell>
          <cell r="R949" t="str">
            <v>단일 이용권</v>
          </cell>
          <cell r="S949">
            <v>100</v>
          </cell>
          <cell r="T949">
            <v>14400</v>
          </cell>
          <cell r="U949">
            <v>7200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7200</v>
          </cell>
          <cell r="AD949">
            <v>14400</v>
          </cell>
          <cell r="AE949">
            <v>7200</v>
          </cell>
          <cell r="AF949">
            <v>0</v>
          </cell>
          <cell r="AG949">
            <v>0</v>
          </cell>
          <cell r="AH949">
            <v>0</v>
          </cell>
          <cell r="AI949">
            <v>0</v>
          </cell>
          <cell r="AJ949">
            <v>0</v>
          </cell>
          <cell r="AK949">
            <v>0</v>
          </cell>
          <cell r="AL949">
            <v>0</v>
          </cell>
          <cell r="AM949">
            <v>7200</v>
          </cell>
          <cell r="AN949">
            <v>10080</v>
          </cell>
          <cell r="AO949">
            <v>0</v>
          </cell>
          <cell r="AP949">
            <v>10080</v>
          </cell>
          <cell r="AQ949" t="str">
            <v>더컴퍼니</v>
          </cell>
          <cell r="AR949" t="str">
            <v>더컴퍼니</v>
          </cell>
        </row>
        <row r="950">
          <cell r="N950" t="str">
            <v>김귤</v>
          </cell>
          <cell r="O950" t="str">
            <v>Y</v>
          </cell>
          <cell r="P950">
            <v>0.7</v>
          </cell>
          <cell r="Q950">
            <v>0.6</v>
          </cell>
          <cell r="R950" t="str">
            <v>단일 이용권</v>
          </cell>
          <cell r="S950">
            <v>100</v>
          </cell>
          <cell r="T950">
            <v>3800</v>
          </cell>
          <cell r="U950">
            <v>3800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3800</v>
          </cell>
          <cell r="AE950">
            <v>3800</v>
          </cell>
          <cell r="AF950">
            <v>0</v>
          </cell>
          <cell r="AG950">
            <v>0</v>
          </cell>
          <cell r="AH950">
            <v>0</v>
          </cell>
          <cell r="AI950">
            <v>0</v>
          </cell>
          <cell r="AJ950">
            <v>0</v>
          </cell>
          <cell r="AK950">
            <v>0</v>
          </cell>
          <cell r="AL950">
            <v>0</v>
          </cell>
          <cell r="AM950">
            <v>0</v>
          </cell>
          <cell r="AN950">
            <v>2660</v>
          </cell>
          <cell r="AO950">
            <v>0</v>
          </cell>
          <cell r="AP950">
            <v>2660</v>
          </cell>
          <cell r="AQ950" t="str">
            <v>더컴퍼니</v>
          </cell>
          <cell r="AR950" t="str">
            <v>더컴퍼니</v>
          </cell>
        </row>
        <row r="951">
          <cell r="N951" t="str">
            <v>파씨</v>
          </cell>
          <cell r="O951" t="str">
            <v>Y</v>
          </cell>
          <cell r="P951">
            <v>0.7</v>
          </cell>
          <cell r="Q951">
            <v>0.6</v>
          </cell>
          <cell r="R951" t="str">
            <v>단일 이용권</v>
          </cell>
          <cell r="S951">
            <v>100</v>
          </cell>
          <cell r="T951">
            <v>4100</v>
          </cell>
          <cell r="U951">
            <v>3900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200</v>
          </cell>
          <cell r="AD951">
            <v>4100</v>
          </cell>
          <cell r="AE951">
            <v>3900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0</v>
          </cell>
          <cell r="AK951">
            <v>0</v>
          </cell>
          <cell r="AL951">
            <v>0</v>
          </cell>
          <cell r="AM951">
            <v>200</v>
          </cell>
          <cell r="AN951">
            <v>2870</v>
          </cell>
          <cell r="AO951">
            <v>0</v>
          </cell>
          <cell r="AP951">
            <v>2870</v>
          </cell>
          <cell r="AQ951" t="str">
            <v>더컴퍼니</v>
          </cell>
          <cell r="AR951" t="str">
            <v>더컴퍼니</v>
          </cell>
        </row>
        <row r="952">
          <cell r="N952" t="str">
            <v>이예즈</v>
          </cell>
          <cell r="O952" t="str">
            <v>Y</v>
          </cell>
          <cell r="P952">
            <v>0.7</v>
          </cell>
          <cell r="Q952">
            <v>0.6</v>
          </cell>
          <cell r="R952" t="str">
            <v>단일 이용권</v>
          </cell>
          <cell r="S952">
            <v>100</v>
          </cell>
          <cell r="T952">
            <v>300</v>
          </cell>
          <cell r="U952">
            <v>300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300</v>
          </cell>
          <cell r="AE952">
            <v>300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  <cell r="AJ952">
            <v>0</v>
          </cell>
          <cell r="AK952">
            <v>0</v>
          </cell>
          <cell r="AL952">
            <v>0</v>
          </cell>
          <cell r="AM952">
            <v>0</v>
          </cell>
          <cell r="AN952">
            <v>210</v>
          </cell>
          <cell r="AO952">
            <v>0</v>
          </cell>
          <cell r="AP952">
            <v>210</v>
          </cell>
          <cell r="AQ952" t="str">
            <v>더컴퍼니</v>
          </cell>
          <cell r="AR952" t="str">
            <v>더컴퍼니</v>
          </cell>
        </row>
        <row r="953">
          <cell r="N953" t="str">
            <v>리로디다디</v>
          </cell>
          <cell r="O953" t="str">
            <v>Y</v>
          </cell>
          <cell r="P953">
            <v>0.7</v>
          </cell>
          <cell r="Q953">
            <v>0.6</v>
          </cell>
          <cell r="R953" t="str">
            <v>단일 이용권</v>
          </cell>
          <cell r="S953">
            <v>100</v>
          </cell>
          <cell r="T953">
            <v>900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900</v>
          </cell>
          <cell r="AD953">
            <v>900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0</v>
          </cell>
          <cell r="AJ953">
            <v>0</v>
          </cell>
          <cell r="AK953">
            <v>0</v>
          </cell>
          <cell r="AL953">
            <v>0</v>
          </cell>
          <cell r="AM953">
            <v>900</v>
          </cell>
          <cell r="AN953">
            <v>630</v>
          </cell>
          <cell r="AO953">
            <v>0</v>
          </cell>
          <cell r="AP953">
            <v>630</v>
          </cell>
          <cell r="AQ953" t="str">
            <v>더컴퍼니</v>
          </cell>
          <cell r="AR953" t="str">
            <v>더컴퍼니</v>
          </cell>
        </row>
        <row r="954">
          <cell r="N954" t="str">
            <v>한슬</v>
          </cell>
          <cell r="O954" t="str">
            <v>Y</v>
          </cell>
          <cell r="P954">
            <v>0.7</v>
          </cell>
          <cell r="Q954">
            <v>0.6</v>
          </cell>
          <cell r="R954" t="str">
            <v>단일 이용권</v>
          </cell>
          <cell r="S954">
            <v>100</v>
          </cell>
          <cell r="T954">
            <v>18900</v>
          </cell>
          <cell r="U954">
            <v>12700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6200</v>
          </cell>
          <cell r="AD954">
            <v>18900</v>
          </cell>
          <cell r="AE954">
            <v>12700</v>
          </cell>
          <cell r="AF954">
            <v>0</v>
          </cell>
          <cell r="AG954">
            <v>0</v>
          </cell>
          <cell r="AH954">
            <v>0</v>
          </cell>
          <cell r="AI954">
            <v>0</v>
          </cell>
          <cell r="AJ954">
            <v>0</v>
          </cell>
          <cell r="AK954">
            <v>0</v>
          </cell>
          <cell r="AL954">
            <v>0</v>
          </cell>
          <cell r="AM954">
            <v>6200</v>
          </cell>
          <cell r="AN954">
            <v>13230</v>
          </cell>
          <cell r="AO954">
            <v>0</v>
          </cell>
          <cell r="AP954">
            <v>13230</v>
          </cell>
          <cell r="AQ954" t="str">
            <v>더컴퍼니</v>
          </cell>
          <cell r="AR954" t="str">
            <v>더컴퍼니</v>
          </cell>
        </row>
        <row r="955">
          <cell r="N955" t="str">
            <v>오산타</v>
          </cell>
          <cell r="O955" t="str">
            <v>Y</v>
          </cell>
          <cell r="P955">
            <v>0.7</v>
          </cell>
          <cell r="Q955">
            <v>0.6</v>
          </cell>
          <cell r="R955" t="str">
            <v>단일 이용권</v>
          </cell>
          <cell r="S955">
            <v>100</v>
          </cell>
          <cell r="T955">
            <v>100</v>
          </cell>
          <cell r="U955">
            <v>100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100</v>
          </cell>
          <cell r="AE955">
            <v>100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70</v>
          </cell>
          <cell r="AO955">
            <v>0</v>
          </cell>
          <cell r="AP955">
            <v>70</v>
          </cell>
          <cell r="AQ955" t="str">
            <v>더컴퍼니</v>
          </cell>
          <cell r="AR955" t="str">
            <v>더컴퍼니</v>
          </cell>
        </row>
        <row r="956">
          <cell r="N956" t="str">
            <v>백범(白帆)</v>
          </cell>
          <cell r="O956" t="str">
            <v>Y</v>
          </cell>
          <cell r="P956">
            <v>0.7</v>
          </cell>
          <cell r="Q956">
            <v>0.6</v>
          </cell>
          <cell r="R956" t="str">
            <v>단일 이용권</v>
          </cell>
          <cell r="S956">
            <v>100</v>
          </cell>
          <cell r="T956">
            <v>995300</v>
          </cell>
          <cell r="U956">
            <v>471990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2200</v>
          </cell>
          <cell r="AA956">
            <v>0</v>
          </cell>
          <cell r="AB956">
            <v>0</v>
          </cell>
          <cell r="AC956">
            <v>521110</v>
          </cell>
          <cell r="AD956">
            <v>995520</v>
          </cell>
          <cell r="AE956">
            <v>471990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2420</v>
          </cell>
          <cell r="AK956">
            <v>0</v>
          </cell>
          <cell r="AL956">
            <v>0</v>
          </cell>
          <cell r="AM956">
            <v>521110</v>
          </cell>
          <cell r="AN956">
            <v>696622</v>
          </cell>
          <cell r="AO956">
            <v>0</v>
          </cell>
          <cell r="AP956">
            <v>696622</v>
          </cell>
          <cell r="AQ956" t="str">
            <v>에필로그</v>
          </cell>
          <cell r="AR956" t="str">
            <v>에필로그</v>
          </cell>
        </row>
        <row r="957">
          <cell r="N957" t="str">
            <v>백범(白帆)</v>
          </cell>
          <cell r="O957" t="str">
            <v>Y</v>
          </cell>
          <cell r="P957">
            <v>0.7</v>
          </cell>
          <cell r="Q957">
            <v>0.6</v>
          </cell>
          <cell r="R957" t="str">
            <v>시리즈 이용권 패키지</v>
          </cell>
          <cell r="S957">
            <v>1800</v>
          </cell>
          <cell r="T957">
            <v>893000</v>
          </cell>
          <cell r="U957">
            <v>640010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13600</v>
          </cell>
          <cell r="AA957">
            <v>0</v>
          </cell>
          <cell r="AB957">
            <v>0</v>
          </cell>
          <cell r="AC957">
            <v>239390</v>
          </cell>
          <cell r="AD957">
            <v>894360</v>
          </cell>
          <cell r="AE957">
            <v>640010</v>
          </cell>
          <cell r="AF957">
            <v>0</v>
          </cell>
          <cell r="AG957">
            <v>0</v>
          </cell>
          <cell r="AH957">
            <v>0</v>
          </cell>
          <cell r="AI957">
            <v>0</v>
          </cell>
          <cell r="AJ957">
            <v>14960</v>
          </cell>
          <cell r="AK957">
            <v>0</v>
          </cell>
          <cell r="AL957">
            <v>0</v>
          </cell>
          <cell r="AM957">
            <v>239390</v>
          </cell>
          <cell r="AN957">
            <v>624556</v>
          </cell>
          <cell r="AO957">
            <v>0</v>
          </cell>
          <cell r="AP957">
            <v>624556</v>
          </cell>
          <cell r="AQ957" t="str">
            <v>에필로그</v>
          </cell>
          <cell r="AR957" t="str">
            <v>에필로그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R434"/>
  <sheetViews>
    <sheetView tabSelected="1" zoomScale="55" zoomScaleNormal="55" workbookViewId="0"/>
  </sheetViews>
  <sheetFormatPr defaultRowHeight="17.399999999999999" x14ac:dyDescent="0.4"/>
  <cols>
    <col min="1" max="1" width="9.296875" bestFit="1" customWidth="1"/>
    <col min="2" max="2" width="15" bestFit="1" customWidth="1"/>
    <col min="3" max="3" width="13.8984375" customWidth="1"/>
    <col min="4" max="4" width="11.69921875" customWidth="1"/>
    <col min="5" max="5" width="4.796875" customWidth="1"/>
    <col min="6" max="6" width="5.796875" customWidth="1"/>
    <col min="7" max="7" width="4.796875" customWidth="1"/>
    <col min="8" max="8" width="3.69921875" customWidth="1"/>
    <col min="9" max="9" width="5.59765625" customWidth="1"/>
    <col min="10" max="10" width="7.8984375" customWidth="1"/>
    <col min="11" max="11" width="23.296875" bestFit="1" customWidth="1"/>
    <col min="12" max="13" width="2" customWidth="1"/>
    <col min="14" max="14" width="33.19921875" bestFit="1" customWidth="1"/>
    <col min="15" max="15" width="2.69921875" customWidth="1"/>
    <col min="16" max="16" width="30" bestFit="1" customWidth="1"/>
    <col min="17" max="17" width="11.69921875" customWidth="1"/>
    <col min="18" max="18" width="19.59765625" bestFit="1" customWidth="1"/>
    <col min="19" max="19" width="11.09765625" bestFit="1" customWidth="1"/>
    <col min="20" max="20" width="9.3984375" bestFit="1" customWidth="1"/>
    <col min="21" max="29" width="1.69921875" customWidth="1"/>
    <col min="30" max="30" width="10.69921875" bestFit="1" customWidth="1"/>
    <col min="31" max="39" width="1.69921875" customWidth="1"/>
    <col min="40" max="40" width="9.19921875" bestFit="1" customWidth="1"/>
    <col min="41" max="41" width="1.69921875" customWidth="1"/>
    <col min="42" max="42" width="13.1992187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56650112</v>
      </c>
      <c r="K2" s="3" t="s">
        <v>108</v>
      </c>
      <c r="L2" s="3"/>
      <c r="M2" s="3"/>
      <c r="N2" s="3" t="s">
        <v>70</v>
      </c>
      <c r="O2" s="3" t="s">
        <v>52</v>
      </c>
      <c r="P2" s="3">
        <v>0.7</v>
      </c>
      <c r="Q2" s="3">
        <v>0.6</v>
      </c>
      <c r="R2" s="4" t="s">
        <v>56</v>
      </c>
      <c r="S2" s="4">
        <v>3200</v>
      </c>
      <c r="T2" s="4">
        <v>60800</v>
      </c>
      <c r="U2" s="4">
        <v>60700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100</v>
      </c>
      <c r="AD2" s="4">
        <v>60800</v>
      </c>
      <c r="AE2" s="4">
        <v>60700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100</v>
      </c>
      <c r="AN2" s="4">
        <v>42560</v>
      </c>
      <c r="AO2" s="4">
        <v>0</v>
      </c>
      <c r="AP2" s="4">
        <v>42560</v>
      </c>
      <c r="AQ2" t="str">
        <f>VLOOKUP($N2,'[1]전체(5)'!$N:$AR,30,0)</f>
        <v>스토리위즈</v>
      </c>
      <c r="AR2" t="str">
        <f>VLOOKUP($N2,'[1]전체(5)'!$N:$AR,31,0)</f>
        <v>김정률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56650112</v>
      </c>
      <c r="K3" s="3" t="s">
        <v>108</v>
      </c>
      <c r="L3" s="3"/>
      <c r="M3" s="3"/>
      <c r="N3" s="3" t="s">
        <v>70</v>
      </c>
      <c r="O3" s="3" t="s">
        <v>52</v>
      </c>
      <c r="P3" s="3">
        <v>0.7</v>
      </c>
      <c r="Q3" s="3">
        <v>0.6</v>
      </c>
      <c r="R3" s="4" t="s">
        <v>74</v>
      </c>
      <c r="S3" s="4">
        <v>900</v>
      </c>
      <c r="T3" s="4">
        <v>99900</v>
      </c>
      <c r="U3" s="4">
        <v>67300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32600</v>
      </c>
      <c r="AD3" s="4">
        <v>99900</v>
      </c>
      <c r="AE3" s="4">
        <v>67300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32600</v>
      </c>
      <c r="AN3" s="4">
        <v>69930</v>
      </c>
      <c r="AO3" s="4">
        <v>0</v>
      </c>
      <c r="AP3" s="4">
        <v>69930</v>
      </c>
      <c r="AQ3" t="str">
        <f>VLOOKUP(N3,'[1]전체(5)'!$N:$AR,30,0)</f>
        <v>스토리위즈</v>
      </c>
      <c r="AR3" t="str">
        <f>VLOOKUP($N3,'[1]전체(5)'!$N:$AR,31,0)</f>
        <v>김정률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56704413</v>
      </c>
      <c r="K4" s="3" t="s">
        <v>105</v>
      </c>
      <c r="L4" s="3"/>
      <c r="M4" s="3"/>
      <c r="N4" s="3" t="s">
        <v>106</v>
      </c>
      <c r="O4" s="3" t="s">
        <v>52</v>
      </c>
      <c r="P4" s="3">
        <v>0.7</v>
      </c>
      <c r="Q4" s="3">
        <v>0.6</v>
      </c>
      <c r="R4" s="4" t="s">
        <v>56</v>
      </c>
      <c r="S4" s="4">
        <v>3200</v>
      </c>
      <c r="T4" s="4">
        <v>19200</v>
      </c>
      <c r="U4" s="4">
        <v>19200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19200</v>
      </c>
      <c r="AE4" s="4">
        <v>19200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13440</v>
      </c>
      <c r="AO4" s="4">
        <v>0</v>
      </c>
      <c r="AP4" s="4">
        <v>13440</v>
      </c>
      <c r="AQ4" t="str">
        <f>VLOOKUP(N4,'[1]전체(5)'!$N:$AR,30,0)</f>
        <v>스토리위즈</v>
      </c>
      <c r="AR4" t="str">
        <f>VLOOKUP($N4,'[1]전체(5)'!$N:$AR,31,0)</f>
        <v>파란영</v>
      </c>
    </row>
    <row r="5" spans="1:44" x14ac:dyDescent="0.4">
      <c r="A5" s="3" t="s">
        <v>42</v>
      </c>
      <c r="B5" s="3" t="s">
        <v>43</v>
      </c>
      <c r="C5" s="3" t="s">
        <v>44</v>
      </c>
      <c r="D5" s="3" t="s">
        <v>45</v>
      </c>
      <c r="E5" s="3"/>
      <c r="F5" s="3" t="s">
        <v>46</v>
      </c>
      <c r="G5" s="3" t="s">
        <v>47</v>
      </c>
      <c r="H5" s="3" t="s">
        <v>48</v>
      </c>
      <c r="I5" s="3" t="s">
        <v>49</v>
      </c>
      <c r="J5" s="3">
        <v>58455258</v>
      </c>
      <c r="K5" s="3" t="s">
        <v>82</v>
      </c>
      <c r="L5" s="3"/>
      <c r="M5" s="3"/>
      <c r="N5" s="3" t="s">
        <v>83</v>
      </c>
      <c r="O5" s="3" t="s">
        <v>52</v>
      </c>
      <c r="P5" s="3">
        <v>0.7</v>
      </c>
      <c r="Q5" s="3">
        <v>0.6</v>
      </c>
      <c r="R5" s="4" t="s">
        <v>56</v>
      </c>
      <c r="S5" s="4">
        <v>100</v>
      </c>
      <c r="T5" s="4">
        <v>57800</v>
      </c>
      <c r="U5" s="4">
        <v>3900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53900</v>
      </c>
      <c r="AD5" s="4">
        <v>57800</v>
      </c>
      <c r="AE5" s="4">
        <v>3900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53900</v>
      </c>
      <c r="AN5" s="4">
        <v>40460</v>
      </c>
      <c r="AO5" s="4">
        <v>0</v>
      </c>
      <c r="AP5" s="4">
        <v>40460</v>
      </c>
      <c r="AQ5" t="str">
        <f>VLOOKUP(N5,'[1]전체(5)'!$N:$AR,30,0)</f>
        <v>스토리위즈</v>
      </c>
      <c r="AR5" t="str">
        <f>VLOOKUP($N5,'[1]전체(5)'!$N:$AR,31,0)</f>
        <v>제외</v>
      </c>
    </row>
    <row r="6" spans="1:44" x14ac:dyDescent="0.4">
      <c r="A6" s="3" t="s">
        <v>42</v>
      </c>
      <c r="B6" s="3" t="s">
        <v>43</v>
      </c>
      <c r="C6" s="3" t="s">
        <v>44</v>
      </c>
      <c r="D6" s="3" t="s">
        <v>45</v>
      </c>
      <c r="E6" s="3"/>
      <c r="F6" s="3" t="s">
        <v>46</v>
      </c>
      <c r="G6" s="3" t="s">
        <v>47</v>
      </c>
      <c r="H6" s="3" t="s">
        <v>48</v>
      </c>
      <c r="I6" s="3" t="s">
        <v>49</v>
      </c>
      <c r="J6" s="3">
        <v>56650112</v>
      </c>
      <c r="K6" s="3" t="s">
        <v>108</v>
      </c>
      <c r="L6" s="3"/>
      <c r="M6" s="3"/>
      <c r="N6" s="3" t="s">
        <v>70</v>
      </c>
      <c r="O6" s="3" t="s">
        <v>52</v>
      </c>
      <c r="P6" s="3">
        <v>0.7</v>
      </c>
      <c r="Q6" s="3">
        <v>0.6</v>
      </c>
      <c r="R6" s="4" t="s">
        <v>110</v>
      </c>
      <c r="S6" s="4">
        <v>15300</v>
      </c>
      <c r="T6" s="4">
        <v>15300</v>
      </c>
      <c r="U6" s="4">
        <v>15300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15300</v>
      </c>
      <c r="AE6" s="4">
        <v>15300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10710</v>
      </c>
      <c r="AO6" s="4">
        <v>0</v>
      </c>
      <c r="AP6" s="4">
        <v>10710</v>
      </c>
      <c r="AQ6" t="str">
        <f>VLOOKUP(N6,'[1]전체(5)'!$N:$AR,30,0)</f>
        <v>스토리위즈</v>
      </c>
      <c r="AR6" t="str">
        <f>VLOOKUP($N6,'[1]전체(5)'!$N:$AR,31,0)</f>
        <v>김정률</v>
      </c>
    </row>
    <row r="7" spans="1:44" x14ac:dyDescent="0.4">
      <c r="A7" s="3" t="s">
        <v>42</v>
      </c>
      <c r="B7" s="3" t="s">
        <v>43</v>
      </c>
      <c r="C7" s="3" t="s">
        <v>44</v>
      </c>
      <c r="D7" s="3" t="s">
        <v>45</v>
      </c>
      <c r="E7" s="3"/>
      <c r="F7" s="3" t="s">
        <v>46</v>
      </c>
      <c r="G7" s="3" t="s">
        <v>47</v>
      </c>
      <c r="H7" s="3" t="s">
        <v>48</v>
      </c>
      <c r="I7" s="3" t="s">
        <v>49</v>
      </c>
      <c r="J7" s="3">
        <v>58455258</v>
      </c>
      <c r="K7" s="3" t="s">
        <v>82</v>
      </c>
      <c r="L7" s="3"/>
      <c r="M7" s="3"/>
      <c r="N7" s="3" t="s">
        <v>83</v>
      </c>
      <c r="O7" s="3" t="s">
        <v>52</v>
      </c>
      <c r="P7" s="3">
        <v>0.7</v>
      </c>
      <c r="Q7" s="3">
        <v>0.6</v>
      </c>
      <c r="R7" s="4" t="s">
        <v>53</v>
      </c>
      <c r="S7" s="4">
        <v>900</v>
      </c>
      <c r="T7" s="4">
        <v>17100</v>
      </c>
      <c r="U7" s="4">
        <v>5900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11200</v>
      </c>
      <c r="AD7" s="4">
        <v>17100</v>
      </c>
      <c r="AE7" s="4">
        <v>5900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11200</v>
      </c>
      <c r="AN7" s="4">
        <v>11970</v>
      </c>
      <c r="AO7" s="4">
        <v>0</v>
      </c>
      <c r="AP7" s="4">
        <v>11970</v>
      </c>
      <c r="AQ7" t="str">
        <f>VLOOKUP(N7,'[1]전체(5)'!$N:$AR,30,0)</f>
        <v>스토리위즈</v>
      </c>
      <c r="AR7" t="str">
        <f>VLOOKUP($N7,'[1]전체(5)'!$N:$AR,31,0)</f>
        <v>제외</v>
      </c>
    </row>
    <row r="8" spans="1:44" x14ac:dyDescent="0.4">
      <c r="A8" s="3" t="s">
        <v>42</v>
      </c>
      <c r="B8" s="3" t="s">
        <v>43</v>
      </c>
      <c r="C8" s="3" t="s">
        <v>44</v>
      </c>
      <c r="D8" s="3" t="s">
        <v>45</v>
      </c>
      <c r="E8" s="3"/>
      <c r="F8" s="3" t="s">
        <v>46</v>
      </c>
      <c r="G8" s="3" t="s">
        <v>47</v>
      </c>
      <c r="H8" s="3" t="s">
        <v>48</v>
      </c>
      <c r="I8" s="3" t="s">
        <v>49</v>
      </c>
      <c r="J8" s="3">
        <v>58455258</v>
      </c>
      <c r="K8" s="3" t="s">
        <v>82</v>
      </c>
      <c r="L8" s="3"/>
      <c r="M8" s="3"/>
      <c r="N8" s="3" t="s">
        <v>83</v>
      </c>
      <c r="O8" s="3" t="s">
        <v>52</v>
      </c>
      <c r="P8" s="3">
        <v>0.7</v>
      </c>
      <c r="Q8" s="3">
        <v>0.6</v>
      </c>
      <c r="R8" s="4" t="s">
        <v>53</v>
      </c>
      <c r="S8" s="4">
        <v>1800</v>
      </c>
      <c r="T8" s="4">
        <v>65000</v>
      </c>
      <c r="U8" s="4">
        <v>35000</v>
      </c>
      <c r="V8" s="4">
        <v>0</v>
      </c>
      <c r="W8" s="4">
        <v>0</v>
      </c>
      <c r="X8" s="4">
        <v>0</v>
      </c>
      <c r="Y8" s="4">
        <v>0</v>
      </c>
      <c r="Z8" s="4">
        <v>3600</v>
      </c>
      <c r="AA8" s="4">
        <v>0</v>
      </c>
      <c r="AB8" s="4">
        <v>0</v>
      </c>
      <c r="AC8" s="4">
        <v>26400</v>
      </c>
      <c r="AD8" s="4">
        <v>65360</v>
      </c>
      <c r="AE8" s="4">
        <v>35000</v>
      </c>
      <c r="AF8" s="4">
        <v>0</v>
      </c>
      <c r="AG8" s="4">
        <v>0</v>
      </c>
      <c r="AH8" s="4">
        <v>0</v>
      </c>
      <c r="AI8" s="4">
        <v>0</v>
      </c>
      <c r="AJ8" s="4">
        <v>3960</v>
      </c>
      <c r="AK8" s="4">
        <v>0</v>
      </c>
      <c r="AL8" s="4">
        <v>0</v>
      </c>
      <c r="AM8" s="4">
        <v>26400</v>
      </c>
      <c r="AN8" s="4">
        <v>45356</v>
      </c>
      <c r="AO8" s="4">
        <v>0</v>
      </c>
      <c r="AP8" s="4">
        <v>45356</v>
      </c>
      <c r="AQ8" t="str">
        <f>VLOOKUP(N8,'[1]전체(5)'!$N:$AR,30,0)</f>
        <v>스토리위즈</v>
      </c>
      <c r="AR8" t="str">
        <f>VLOOKUP($N8,'[1]전체(5)'!$N:$AR,31,0)</f>
        <v>제외</v>
      </c>
    </row>
    <row r="9" spans="1:44" x14ac:dyDescent="0.4">
      <c r="A9" s="3" t="s">
        <v>42</v>
      </c>
      <c r="B9" s="3" t="s">
        <v>43</v>
      </c>
      <c r="C9" s="3" t="s">
        <v>44</v>
      </c>
      <c r="D9" s="3" t="s">
        <v>45</v>
      </c>
      <c r="E9" s="3"/>
      <c r="F9" s="3" t="s">
        <v>46</v>
      </c>
      <c r="G9" s="3" t="s">
        <v>47</v>
      </c>
      <c r="H9" s="3" t="s">
        <v>48</v>
      </c>
      <c r="I9" s="3" t="s">
        <v>49</v>
      </c>
      <c r="J9" s="3">
        <v>49890949</v>
      </c>
      <c r="K9" s="3" t="s">
        <v>63</v>
      </c>
      <c r="L9" s="3"/>
      <c r="M9" s="3"/>
      <c r="N9" s="3" t="s">
        <v>64</v>
      </c>
      <c r="O9" s="3" t="s">
        <v>52</v>
      </c>
      <c r="P9" s="3">
        <v>0.7</v>
      </c>
      <c r="Q9" s="3">
        <v>0.6</v>
      </c>
      <c r="R9" s="4" t="s">
        <v>56</v>
      </c>
      <c r="S9" s="4">
        <v>100</v>
      </c>
      <c r="T9" s="4">
        <v>18400</v>
      </c>
      <c r="U9" s="4">
        <v>4900</v>
      </c>
      <c r="V9" s="4">
        <v>0</v>
      </c>
      <c r="W9" s="4">
        <v>0</v>
      </c>
      <c r="X9" s="4">
        <v>0</v>
      </c>
      <c r="Y9" s="4">
        <v>0</v>
      </c>
      <c r="Z9" s="4">
        <v>3100</v>
      </c>
      <c r="AA9" s="4">
        <v>0</v>
      </c>
      <c r="AB9" s="4">
        <v>0</v>
      </c>
      <c r="AC9" s="4">
        <v>10400</v>
      </c>
      <c r="AD9" s="4">
        <v>18710</v>
      </c>
      <c r="AE9" s="4">
        <v>4900</v>
      </c>
      <c r="AF9" s="4">
        <v>0</v>
      </c>
      <c r="AG9" s="4">
        <v>0</v>
      </c>
      <c r="AH9" s="4">
        <v>0</v>
      </c>
      <c r="AI9" s="4">
        <v>0</v>
      </c>
      <c r="AJ9" s="4">
        <v>3410</v>
      </c>
      <c r="AK9" s="4">
        <v>0</v>
      </c>
      <c r="AL9" s="4">
        <v>0</v>
      </c>
      <c r="AM9" s="4">
        <v>10400</v>
      </c>
      <c r="AN9" s="4">
        <v>12756</v>
      </c>
      <c r="AO9" s="4">
        <v>0</v>
      </c>
      <c r="AP9" s="4">
        <v>12756</v>
      </c>
      <c r="AQ9" t="str">
        <f>VLOOKUP(N9,'[1]전체(5)'!$N:$AR,30,0)</f>
        <v>스토리위즈</v>
      </c>
      <c r="AR9" t="str">
        <f>VLOOKUP($N9,'[1]전체(5)'!$N:$AR,31,0)</f>
        <v>전혁</v>
      </c>
    </row>
    <row r="10" spans="1:44" x14ac:dyDescent="0.4">
      <c r="A10" s="3" t="s">
        <v>42</v>
      </c>
      <c r="B10" s="3" t="s">
        <v>43</v>
      </c>
      <c r="C10" s="3" t="s">
        <v>44</v>
      </c>
      <c r="D10" s="3" t="s">
        <v>45</v>
      </c>
      <c r="E10" s="3"/>
      <c r="F10" s="3" t="s">
        <v>46</v>
      </c>
      <c r="G10" s="3" t="s">
        <v>47</v>
      </c>
      <c r="H10" s="3" t="s">
        <v>48</v>
      </c>
      <c r="I10" s="3" t="s">
        <v>49</v>
      </c>
      <c r="J10" s="3">
        <v>49890949</v>
      </c>
      <c r="K10" s="3" t="s">
        <v>63</v>
      </c>
      <c r="L10" s="3"/>
      <c r="M10" s="3"/>
      <c r="N10" s="3" t="s">
        <v>64</v>
      </c>
      <c r="O10" s="3" t="s">
        <v>52</v>
      </c>
      <c r="P10" s="3">
        <v>0.7</v>
      </c>
      <c r="Q10" s="3">
        <v>0.6</v>
      </c>
      <c r="R10" s="4" t="s">
        <v>53</v>
      </c>
      <c r="S10" s="4">
        <v>2700</v>
      </c>
      <c r="T10" s="4">
        <v>18900</v>
      </c>
      <c r="U10" s="4">
        <v>18700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200</v>
      </c>
      <c r="AD10" s="4">
        <v>18900</v>
      </c>
      <c r="AE10" s="4">
        <v>18700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200</v>
      </c>
      <c r="AN10" s="4">
        <v>13230</v>
      </c>
      <c r="AO10" s="4">
        <v>0</v>
      </c>
      <c r="AP10" s="4">
        <v>13230</v>
      </c>
      <c r="AQ10" t="str">
        <f>VLOOKUP(N10,'[1]전체(5)'!$N:$AR,30,0)</f>
        <v>스토리위즈</v>
      </c>
      <c r="AR10" t="str">
        <f>VLOOKUP($N10,'[1]전체(5)'!$N:$AR,31,0)</f>
        <v>전혁</v>
      </c>
    </row>
    <row r="11" spans="1:44" x14ac:dyDescent="0.4">
      <c r="A11" s="3" t="s">
        <v>42</v>
      </c>
      <c r="B11" s="3" t="s">
        <v>43</v>
      </c>
      <c r="C11" s="3" t="s">
        <v>44</v>
      </c>
      <c r="D11" s="3" t="s">
        <v>45</v>
      </c>
      <c r="E11" s="3"/>
      <c r="F11" s="3" t="s">
        <v>46</v>
      </c>
      <c r="G11" s="3" t="s">
        <v>47</v>
      </c>
      <c r="H11" s="3" t="s">
        <v>48</v>
      </c>
      <c r="I11" s="3" t="s">
        <v>49</v>
      </c>
      <c r="J11" s="3">
        <v>48470737</v>
      </c>
      <c r="K11" s="3" t="s">
        <v>222</v>
      </c>
      <c r="L11" s="3"/>
      <c r="M11" s="3"/>
      <c r="N11" s="3" t="s">
        <v>87</v>
      </c>
      <c r="O11" s="3" t="s">
        <v>52</v>
      </c>
      <c r="P11" s="3">
        <v>0.7</v>
      </c>
      <c r="Q11" s="3">
        <v>0.6</v>
      </c>
      <c r="R11" s="4" t="s">
        <v>56</v>
      </c>
      <c r="S11" s="4">
        <v>100</v>
      </c>
      <c r="T11" s="4">
        <v>100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100</v>
      </c>
      <c r="AD11" s="4">
        <v>100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100</v>
      </c>
      <c r="AN11" s="4">
        <v>70</v>
      </c>
      <c r="AO11" s="4">
        <v>0</v>
      </c>
      <c r="AP11" s="4">
        <v>70</v>
      </c>
      <c r="AQ11" t="str">
        <f>VLOOKUP(N11,'[1]전체(5)'!$N:$AR,30,0)</f>
        <v>스토리위즈</v>
      </c>
      <c r="AR11" t="str">
        <f>VLOOKUP($N11,'[1]전체(5)'!$N:$AR,31,0)</f>
        <v>권용찬</v>
      </c>
    </row>
    <row r="12" spans="1:44" x14ac:dyDescent="0.4">
      <c r="A12" s="3" t="s">
        <v>42</v>
      </c>
      <c r="B12" s="3" t="s">
        <v>43</v>
      </c>
      <c r="C12" s="3" t="s">
        <v>44</v>
      </c>
      <c r="D12" s="3" t="s">
        <v>45</v>
      </c>
      <c r="E12" s="3"/>
      <c r="F12" s="3" t="s">
        <v>46</v>
      </c>
      <c r="G12" s="3" t="s">
        <v>47</v>
      </c>
      <c r="H12" s="3" t="s">
        <v>48</v>
      </c>
      <c r="I12" s="3" t="s">
        <v>49</v>
      </c>
      <c r="J12" s="3">
        <v>49890949</v>
      </c>
      <c r="K12" s="3" t="s">
        <v>63</v>
      </c>
      <c r="L12" s="3"/>
      <c r="M12" s="3"/>
      <c r="N12" s="3" t="s">
        <v>64</v>
      </c>
      <c r="O12" s="3" t="s">
        <v>52</v>
      </c>
      <c r="P12" s="3">
        <v>0.7</v>
      </c>
      <c r="Q12" s="3">
        <v>0.6</v>
      </c>
      <c r="R12" s="4" t="s">
        <v>53</v>
      </c>
      <c r="S12" s="4">
        <v>4500</v>
      </c>
      <c r="T12" s="4">
        <v>1800</v>
      </c>
      <c r="U12" s="4">
        <v>1800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1800</v>
      </c>
      <c r="AE12" s="4">
        <v>1800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1260</v>
      </c>
      <c r="AO12" s="4">
        <v>0</v>
      </c>
      <c r="AP12" s="4">
        <v>1260</v>
      </c>
      <c r="AQ12" t="str">
        <f>VLOOKUP(N12,'[1]전체(5)'!$N:$AR,30,0)</f>
        <v>스토리위즈</v>
      </c>
      <c r="AR12" t="str">
        <f>VLOOKUP($N12,'[1]전체(5)'!$N:$AR,31,0)</f>
        <v>전혁</v>
      </c>
    </row>
    <row r="13" spans="1:44" x14ac:dyDescent="0.4">
      <c r="A13" s="3" t="s">
        <v>42</v>
      </c>
      <c r="B13" s="3" t="s">
        <v>43</v>
      </c>
      <c r="C13" s="3" t="s">
        <v>44</v>
      </c>
      <c r="D13" s="3" t="s">
        <v>45</v>
      </c>
      <c r="E13" s="3"/>
      <c r="F13" s="3" t="s">
        <v>46</v>
      </c>
      <c r="G13" s="3" t="s">
        <v>47</v>
      </c>
      <c r="H13" s="3" t="s">
        <v>48</v>
      </c>
      <c r="I13" s="3" t="s">
        <v>49</v>
      </c>
      <c r="J13" s="3">
        <v>48470737</v>
      </c>
      <c r="K13" s="3" t="s">
        <v>222</v>
      </c>
      <c r="L13" s="3"/>
      <c r="M13" s="3"/>
      <c r="N13" s="3" t="s">
        <v>87</v>
      </c>
      <c r="O13" s="3" t="s">
        <v>52</v>
      </c>
      <c r="P13" s="3">
        <v>0.7</v>
      </c>
      <c r="Q13" s="3">
        <v>0.6</v>
      </c>
      <c r="R13" s="4" t="s">
        <v>53</v>
      </c>
      <c r="S13" s="4">
        <v>2300</v>
      </c>
      <c r="T13" s="4">
        <v>2300</v>
      </c>
      <c r="U13" s="4">
        <v>1800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500</v>
      </c>
      <c r="AD13" s="4">
        <v>2300</v>
      </c>
      <c r="AE13" s="4">
        <v>1800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500</v>
      </c>
      <c r="AN13" s="4">
        <v>1610</v>
      </c>
      <c r="AO13" s="4">
        <v>0</v>
      </c>
      <c r="AP13" s="4">
        <v>1610</v>
      </c>
      <c r="AQ13" t="str">
        <f>VLOOKUP(N13,'[1]전체(5)'!$N:$AR,30,0)</f>
        <v>스토리위즈</v>
      </c>
      <c r="AR13" t="str">
        <f>VLOOKUP($N13,'[1]전체(5)'!$N:$AR,31,0)</f>
        <v>권용찬</v>
      </c>
    </row>
    <row r="14" spans="1:44" x14ac:dyDescent="0.4">
      <c r="A14" s="3" t="s">
        <v>42</v>
      </c>
      <c r="B14" s="3" t="s">
        <v>43</v>
      </c>
      <c r="C14" s="3" t="s">
        <v>44</v>
      </c>
      <c r="D14" s="3" t="s">
        <v>45</v>
      </c>
      <c r="E14" s="3"/>
      <c r="F14" s="3" t="s">
        <v>46</v>
      </c>
      <c r="G14" s="3" t="s">
        <v>47</v>
      </c>
      <c r="H14" s="3" t="s">
        <v>48</v>
      </c>
      <c r="I14" s="3" t="s">
        <v>49</v>
      </c>
      <c r="J14" s="3">
        <v>49890949</v>
      </c>
      <c r="K14" s="3" t="s">
        <v>63</v>
      </c>
      <c r="L14" s="3"/>
      <c r="M14" s="3"/>
      <c r="N14" s="3" t="s">
        <v>64</v>
      </c>
      <c r="O14" s="3" t="s">
        <v>52</v>
      </c>
      <c r="P14" s="3">
        <v>0.7</v>
      </c>
      <c r="Q14" s="3">
        <v>0.6</v>
      </c>
      <c r="R14" s="4" t="s">
        <v>53</v>
      </c>
      <c r="S14" s="4">
        <v>9000</v>
      </c>
      <c r="T14" s="4">
        <v>-8200</v>
      </c>
      <c r="U14" s="4">
        <v>-8200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-8200</v>
      </c>
      <c r="AE14" s="4">
        <v>-8200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-5740</v>
      </c>
      <c r="AO14" s="4">
        <v>0</v>
      </c>
      <c r="AP14" s="4">
        <v>-5740</v>
      </c>
      <c r="AQ14" t="str">
        <f>VLOOKUP(N14,'[1]전체(5)'!$N:$AR,30,0)</f>
        <v>스토리위즈</v>
      </c>
      <c r="AR14" t="str">
        <f>VLOOKUP($N14,'[1]전체(5)'!$N:$AR,31,0)</f>
        <v>전혁</v>
      </c>
    </row>
    <row r="15" spans="1:44" x14ac:dyDescent="0.4">
      <c r="A15" s="3" t="s">
        <v>42</v>
      </c>
      <c r="B15" s="3" t="s">
        <v>43</v>
      </c>
      <c r="C15" s="3" t="s">
        <v>44</v>
      </c>
      <c r="D15" s="3" t="s">
        <v>45</v>
      </c>
      <c r="E15" s="3"/>
      <c r="F15" s="3" t="s">
        <v>46</v>
      </c>
      <c r="G15" s="3" t="s">
        <v>47</v>
      </c>
      <c r="H15" s="3" t="s">
        <v>48</v>
      </c>
      <c r="I15" s="3" t="s">
        <v>49</v>
      </c>
      <c r="J15" s="3">
        <v>56327895</v>
      </c>
      <c r="K15" s="3" t="s">
        <v>112</v>
      </c>
      <c r="L15" s="3"/>
      <c r="M15" s="3"/>
      <c r="N15" s="3" t="s">
        <v>113</v>
      </c>
      <c r="O15" s="3" t="s">
        <v>52</v>
      </c>
      <c r="P15" s="3">
        <v>0.7</v>
      </c>
      <c r="Q15" s="3">
        <v>0.6</v>
      </c>
      <c r="R15" s="4" t="s">
        <v>56</v>
      </c>
      <c r="S15" s="4">
        <v>100</v>
      </c>
      <c r="T15" s="4">
        <v>551100</v>
      </c>
      <c r="U15" s="4">
        <v>144320</v>
      </c>
      <c r="V15" s="4">
        <v>0</v>
      </c>
      <c r="W15" s="4">
        <v>0</v>
      </c>
      <c r="X15" s="4">
        <v>0</v>
      </c>
      <c r="Y15" s="4">
        <v>3100</v>
      </c>
      <c r="Z15" s="4">
        <v>2100</v>
      </c>
      <c r="AA15" s="4">
        <v>0</v>
      </c>
      <c r="AB15" s="4">
        <v>0</v>
      </c>
      <c r="AC15" s="4">
        <v>401580</v>
      </c>
      <c r="AD15" s="4">
        <v>551930</v>
      </c>
      <c r="AE15" s="4">
        <v>144320</v>
      </c>
      <c r="AF15" s="4">
        <v>0</v>
      </c>
      <c r="AG15" s="4">
        <v>0</v>
      </c>
      <c r="AH15" s="4">
        <v>0</v>
      </c>
      <c r="AI15" s="4">
        <v>3720</v>
      </c>
      <c r="AJ15" s="4">
        <v>2310</v>
      </c>
      <c r="AK15" s="4">
        <v>0</v>
      </c>
      <c r="AL15" s="4">
        <v>0</v>
      </c>
      <c r="AM15" s="4">
        <v>401580</v>
      </c>
      <c r="AN15" s="4">
        <v>385748</v>
      </c>
      <c r="AO15" s="4">
        <v>0</v>
      </c>
      <c r="AP15" s="4">
        <v>385748</v>
      </c>
      <c r="AQ15" t="str">
        <f>VLOOKUP(N15,'[1]전체(5)'!$N:$AR,30,0)</f>
        <v>스토리위즈</v>
      </c>
      <c r="AR15" t="str">
        <f>VLOOKUP($N15,'[1]전체(5)'!$N:$AR,31,0)</f>
        <v>한보연</v>
      </c>
    </row>
    <row r="16" spans="1:44" x14ac:dyDescent="0.4">
      <c r="A16" s="3" t="s">
        <v>42</v>
      </c>
      <c r="B16" s="3" t="s">
        <v>43</v>
      </c>
      <c r="C16" s="3" t="s">
        <v>44</v>
      </c>
      <c r="D16" s="3" t="s">
        <v>45</v>
      </c>
      <c r="E16" s="3"/>
      <c r="F16" s="3" t="s">
        <v>46</v>
      </c>
      <c r="G16" s="3" t="s">
        <v>47</v>
      </c>
      <c r="H16" s="3" t="s">
        <v>48</v>
      </c>
      <c r="I16" s="3" t="s">
        <v>49</v>
      </c>
      <c r="J16" s="3">
        <v>48470737</v>
      </c>
      <c r="K16" s="3" t="s">
        <v>222</v>
      </c>
      <c r="L16" s="3"/>
      <c r="M16" s="3"/>
      <c r="N16" s="3" t="s">
        <v>87</v>
      </c>
      <c r="O16" s="3" t="s">
        <v>52</v>
      </c>
      <c r="P16" s="3">
        <v>0.7</v>
      </c>
      <c r="Q16" s="3">
        <v>0.6</v>
      </c>
      <c r="R16" s="4" t="s">
        <v>53</v>
      </c>
      <c r="S16" s="4">
        <v>6800</v>
      </c>
      <c r="T16" s="4">
        <v>13600</v>
      </c>
      <c r="U16" s="4">
        <v>13600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13600</v>
      </c>
      <c r="AE16" s="4">
        <v>13600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9520</v>
      </c>
      <c r="AO16" s="4">
        <v>0</v>
      </c>
      <c r="AP16" s="4">
        <v>9520</v>
      </c>
      <c r="AQ16" t="str">
        <f>VLOOKUP(N16,'[1]전체(5)'!$N:$AR,30,0)</f>
        <v>스토리위즈</v>
      </c>
      <c r="AR16" t="str">
        <f>VLOOKUP($N16,'[1]전체(5)'!$N:$AR,31,0)</f>
        <v>권용찬</v>
      </c>
    </row>
    <row r="17" spans="1:44" x14ac:dyDescent="0.4">
      <c r="A17" s="3" t="s">
        <v>42</v>
      </c>
      <c r="B17" s="3" t="s">
        <v>43</v>
      </c>
      <c r="C17" s="3" t="s">
        <v>44</v>
      </c>
      <c r="D17" s="3" t="s">
        <v>45</v>
      </c>
      <c r="E17" s="3"/>
      <c r="F17" s="3" t="s">
        <v>46</v>
      </c>
      <c r="G17" s="3" t="s">
        <v>47</v>
      </c>
      <c r="H17" s="3" t="s">
        <v>48</v>
      </c>
      <c r="I17" s="3" t="s">
        <v>49</v>
      </c>
      <c r="J17" s="3">
        <v>55574977</v>
      </c>
      <c r="K17" s="3" t="s">
        <v>84</v>
      </c>
      <c r="L17" s="3"/>
      <c r="M17" s="3"/>
      <c r="N17" s="3" t="s">
        <v>85</v>
      </c>
      <c r="O17" s="3" t="s">
        <v>52</v>
      </c>
      <c r="P17" s="3">
        <v>0.7</v>
      </c>
      <c r="Q17" s="3">
        <v>0.6</v>
      </c>
      <c r="R17" s="4" t="s">
        <v>56</v>
      </c>
      <c r="S17" s="4">
        <v>100</v>
      </c>
      <c r="T17" s="4">
        <v>500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500</v>
      </c>
      <c r="AD17" s="4">
        <v>500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500</v>
      </c>
      <c r="AN17" s="4">
        <v>350</v>
      </c>
      <c r="AO17" s="4">
        <v>0</v>
      </c>
      <c r="AP17" s="4">
        <v>350</v>
      </c>
      <c r="AQ17" t="str">
        <f>VLOOKUP(N17,'[1]전체(5)'!$N:$AR,30,0)</f>
        <v>스토리위즈</v>
      </c>
      <c r="AR17" t="str">
        <f>VLOOKUP($N17,'[1]전체(5)'!$N:$AR,31,0)</f>
        <v>아타락시아</v>
      </c>
    </row>
    <row r="18" spans="1:44" x14ac:dyDescent="0.4">
      <c r="A18" s="3" t="s">
        <v>42</v>
      </c>
      <c r="B18" s="3" t="s">
        <v>43</v>
      </c>
      <c r="C18" s="3" t="s">
        <v>44</v>
      </c>
      <c r="D18" s="3" t="s">
        <v>45</v>
      </c>
      <c r="E18" s="3"/>
      <c r="F18" s="3" t="s">
        <v>46</v>
      </c>
      <c r="G18" s="3" t="s">
        <v>47</v>
      </c>
      <c r="H18" s="3" t="s">
        <v>48</v>
      </c>
      <c r="I18" s="3" t="s">
        <v>49</v>
      </c>
      <c r="J18" s="3">
        <v>56327895</v>
      </c>
      <c r="K18" s="3" t="s">
        <v>112</v>
      </c>
      <c r="L18" s="3"/>
      <c r="M18" s="3"/>
      <c r="N18" s="3" t="s">
        <v>113</v>
      </c>
      <c r="O18" s="3" t="s">
        <v>52</v>
      </c>
      <c r="P18" s="3">
        <v>0.7</v>
      </c>
      <c r="Q18" s="3">
        <v>0.6</v>
      </c>
      <c r="R18" s="4" t="s">
        <v>53</v>
      </c>
      <c r="S18" s="4">
        <v>2400</v>
      </c>
      <c r="T18" s="4">
        <v>376100</v>
      </c>
      <c r="U18" s="4">
        <v>252040</v>
      </c>
      <c r="V18" s="4">
        <v>0</v>
      </c>
      <c r="W18" s="4">
        <v>0</v>
      </c>
      <c r="X18" s="4">
        <v>0</v>
      </c>
      <c r="Y18" s="4">
        <v>0</v>
      </c>
      <c r="Z18" s="4">
        <v>19200</v>
      </c>
      <c r="AA18" s="4">
        <v>0</v>
      </c>
      <c r="AB18" s="4">
        <v>0</v>
      </c>
      <c r="AC18" s="4">
        <v>104860</v>
      </c>
      <c r="AD18" s="4">
        <v>378020</v>
      </c>
      <c r="AE18" s="4">
        <v>252040</v>
      </c>
      <c r="AF18" s="4">
        <v>0</v>
      </c>
      <c r="AG18" s="4">
        <v>0</v>
      </c>
      <c r="AH18" s="4">
        <v>0</v>
      </c>
      <c r="AI18" s="4">
        <v>0</v>
      </c>
      <c r="AJ18" s="4">
        <v>21120</v>
      </c>
      <c r="AK18" s="4">
        <v>0</v>
      </c>
      <c r="AL18" s="4">
        <v>0</v>
      </c>
      <c r="AM18" s="4">
        <v>104860</v>
      </c>
      <c r="AN18" s="4">
        <v>262502</v>
      </c>
      <c r="AO18" s="4">
        <v>0</v>
      </c>
      <c r="AP18" s="4">
        <v>262502</v>
      </c>
      <c r="AQ18" t="str">
        <f>VLOOKUP(N18,'[1]전체(5)'!$N:$AR,30,0)</f>
        <v>스토리위즈</v>
      </c>
      <c r="AR18" t="str">
        <f>VLOOKUP($N18,'[1]전체(5)'!$N:$AR,31,0)</f>
        <v>한보연</v>
      </c>
    </row>
    <row r="19" spans="1:44" x14ac:dyDescent="0.4">
      <c r="A19" s="3" t="s">
        <v>42</v>
      </c>
      <c r="B19" s="3" t="s">
        <v>43</v>
      </c>
      <c r="C19" s="3" t="s">
        <v>44</v>
      </c>
      <c r="D19" s="3" t="s">
        <v>45</v>
      </c>
      <c r="E19" s="3"/>
      <c r="F19" s="3" t="s">
        <v>46</v>
      </c>
      <c r="G19" s="3" t="s">
        <v>47</v>
      </c>
      <c r="H19" s="3" t="s">
        <v>48</v>
      </c>
      <c r="I19" s="3" t="s">
        <v>49</v>
      </c>
      <c r="J19" s="3">
        <v>55574977</v>
      </c>
      <c r="K19" s="3" t="s">
        <v>84</v>
      </c>
      <c r="L19" s="3"/>
      <c r="M19" s="3"/>
      <c r="N19" s="3" t="s">
        <v>85</v>
      </c>
      <c r="O19" s="3" t="s">
        <v>52</v>
      </c>
      <c r="P19" s="3">
        <v>0.7</v>
      </c>
      <c r="Q19" s="3">
        <v>0.6</v>
      </c>
      <c r="R19" s="4" t="s">
        <v>53</v>
      </c>
      <c r="S19" s="4">
        <v>900</v>
      </c>
      <c r="T19" s="4">
        <v>2700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2700</v>
      </c>
      <c r="AD19" s="4">
        <v>2700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2700</v>
      </c>
      <c r="AN19" s="4">
        <v>1890</v>
      </c>
      <c r="AO19" s="4">
        <v>0</v>
      </c>
      <c r="AP19" s="4">
        <v>1890</v>
      </c>
      <c r="AQ19" t="str">
        <f>VLOOKUP(N19,'[1]전체(5)'!$N:$AR,30,0)</f>
        <v>스토리위즈</v>
      </c>
      <c r="AR19" t="str">
        <f>VLOOKUP($N19,'[1]전체(5)'!$N:$AR,31,0)</f>
        <v>아타락시아</v>
      </c>
    </row>
    <row r="20" spans="1:44" x14ac:dyDescent="0.4">
      <c r="A20" s="3" t="s">
        <v>42</v>
      </c>
      <c r="B20" s="3" t="s">
        <v>43</v>
      </c>
      <c r="C20" s="3" t="s">
        <v>44</v>
      </c>
      <c r="D20" s="3" t="s">
        <v>45</v>
      </c>
      <c r="E20" s="3"/>
      <c r="F20" s="3" t="s">
        <v>46</v>
      </c>
      <c r="G20" s="3" t="s">
        <v>47</v>
      </c>
      <c r="H20" s="3" t="s">
        <v>48</v>
      </c>
      <c r="I20" s="3" t="s">
        <v>49</v>
      </c>
      <c r="J20" s="3">
        <v>56327895</v>
      </c>
      <c r="K20" s="3" t="s">
        <v>112</v>
      </c>
      <c r="L20" s="3"/>
      <c r="M20" s="3"/>
      <c r="N20" s="3" t="s">
        <v>113</v>
      </c>
      <c r="O20" s="3" t="s">
        <v>52</v>
      </c>
      <c r="P20" s="3">
        <v>0.7</v>
      </c>
      <c r="Q20" s="3">
        <v>0.6</v>
      </c>
      <c r="R20" s="4" t="s">
        <v>53</v>
      </c>
      <c r="S20" s="4">
        <v>5000</v>
      </c>
      <c r="T20" s="4">
        <v>205200</v>
      </c>
      <c r="U20" s="4">
        <v>157300</v>
      </c>
      <c r="V20" s="4">
        <v>0</v>
      </c>
      <c r="W20" s="4">
        <v>0</v>
      </c>
      <c r="X20" s="4">
        <v>0</v>
      </c>
      <c r="Y20" s="4">
        <v>-2300</v>
      </c>
      <c r="Z20" s="4">
        <v>7100</v>
      </c>
      <c r="AA20" s="4">
        <v>0</v>
      </c>
      <c r="AB20" s="4">
        <v>0</v>
      </c>
      <c r="AC20" s="4">
        <v>43100</v>
      </c>
      <c r="AD20" s="4">
        <v>205450</v>
      </c>
      <c r="AE20" s="4">
        <v>157300</v>
      </c>
      <c r="AF20" s="4">
        <v>0</v>
      </c>
      <c r="AG20" s="4">
        <v>0</v>
      </c>
      <c r="AH20" s="4">
        <v>0</v>
      </c>
      <c r="AI20" s="4">
        <v>-2760</v>
      </c>
      <c r="AJ20" s="4">
        <v>7810</v>
      </c>
      <c r="AK20" s="4">
        <v>0</v>
      </c>
      <c r="AL20" s="4">
        <v>0</v>
      </c>
      <c r="AM20" s="4">
        <v>43100</v>
      </c>
      <c r="AN20" s="4">
        <v>143310</v>
      </c>
      <c r="AO20" s="4">
        <v>0</v>
      </c>
      <c r="AP20" s="4">
        <v>143310</v>
      </c>
      <c r="AQ20" t="str">
        <f>VLOOKUP(N20,'[1]전체(5)'!$N:$AR,30,0)</f>
        <v>스토리위즈</v>
      </c>
      <c r="AR20" t="str">
        <f>VLOOKUP($N20,'[1]전체(5)'!$N:$AR,31,0)</f>
        <v>한보연</v>
      </c>
    </row>
    <row r="21" spans="1:44" x14ac:dyDescent="0.4">
      <c r="A21" s="3" t="s">
        <v>42</v>
      </c>
      <c r="B21" s="3" t="s">
        <v>43</v>
      </c>
      <c r="C21" s="3" t="s">
        <v>44</v>
      </c>
      <c r="D21" s="3" t="s">
        <v>45</v>
      </c>
      <c r="E21" s="3"/>
      <c r="F21" s="3" t="s">
        <v>46</v>
      </c>
      <c r="G21" s="3" t="s">
        <v>47</v>
      </c>
      <c r="H21" s="3" t="s">
        <v>48</v>
      </c>
      <c r="I21" s="3" t="s">
        <v>49</v>
      </c>
      <c r="J21" s="3">
        <v>51191772</v>
      </c>
      <c r="K21" s="3" t="s">
        <v>118</v>
      </c>
      <c r="L21" s="3"/>
      <c r="M21" s="3"/>
      <c r="N21" s="3" t="s">
        <v>76</v>
      </c>
      <c r="O21" s="3" t="s">
        <v>52</v>
      </c>
      <c r="P21" s="3">
        <v>0.7</v>
      </c>
      <c r="Q21" s="3">
        <v>0.6</v>
      </c>
      <c r="R21" s="4" t="s">
        <v>56</v>
      </c>
      <c r="S21" s="4">
        <v>100</v>
      </c>
      <c r="T21" s="4">
        <v>9200</v>
      </c>
      <c r="U21" s="4">
        <v>2600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6600</v>
      </c>
      <c r="AD21" s="4">
        <v>9200</v>
      </c>
      <c r="AE21" s="4">
        <v>2600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6600</v>
      </c>
      <c r="AN21" s="4">
        <v>6440</v>
      </c>
      <c r="AO21" s="4">
        <v>0</v>
      </c>
      <c r="AP21" s="4">
        <v>6440</v>
      </c>
      <c r="AQ21" t="str">
        <f>VLOOKUP(N21,'[1]전체(5)'!$N:$AR,30,0)</f>
        <v>스토리위즈</v>
      </c>
      <c r="AR21" t="str">
        <f>VLOOKUP($N21,'[1]전체(5)'!$N:$AR,31,0)</f>
        <v>블랙커피</v>
      </c>
    </row>
    <row r="22" spans="1:44" x14ac:dyDescent="0.4">
      <c r="A22" s="3" t="s">
        <v>42</v>
      </c>
      <c r="B22" s="3" t="s">
        <v>43</v>
      </c>
      <c r="C22" s="3" t="s">
        <v>44</v>
      </c>
      <c r="D22" s="3" t="s">
        <v>45</v>
      </c>
      <c r="E22" s="3"/>
      <c r="F22" s="3" t="s">
        <v>46</v>
      </c>
      <c r="G22" s="3" t="s">
        <v>47</v>
      </c>
      <c r="H22" s="3" t="s">
        <v>48</v>
      </c>
      <c r="I22" s="3" t="s">
        <v>49</v>
      </c>
      <c r="J22" s="3">
        <v>56327895</v>
      </c>
      <c r="K22" s="3" t="s">
        <v>112</v>
      </c>
      <c r="L22" s="3"/>
      <c r="M22" s="3"/>
      <c r="N22" s="3" t="s">
        <v>113</v>
      </c>
      <c r="O22" s="3" t="s">
        <v>52</v>
      </c>
      <c r="P22" s="3">
        <v>0.7</v>
      </c>
      <c r="Q22" s="3">
        <v>0.6</v>
      </c>
      <c r="R22" s="4" t="s">
        <v>53</v>
      </c>
      <c r="S22" s="4">
        <v>10000</v>
      </c>
      <c r="T22" s="4">
        <v>415500</v>
      </c>
      <c r="U22" s="4">
        <v>409810</v>
      </c>
      <c r="V22" s="4">
        <v>0</v>
      </c>
      <c r="W22" s="4">
        <v>0</v>
      </c>
      <c r="X22" s="4">
        <v>0</v>
      </c>
      <c r="Y22" s="4">
        <v>0</v>
      </c>
      <c r="Z22" s="4">
        <v>-22600</v>
      </c>
      <c r="AA22" s="4">
        <v>0</v>
      </c>
      <c r="AB22" s="4">
        <v>0</v>
      </c>
      <c r="AC22" s="4">
        <v>28290</v>
      </c>
      <c r="AD22" s="4">
        <v>413240</v>
      </c>
      <c r="AE22" s="4">
        <v>409810</v>
      </c>
      <c r="AF22" s="4">
        <v>0</v>
      </c>
      <c r="AG22" s="4">
        <v>0</v>
      </c>
      <c r="AH22" s="4">
        <v>0</v>
      </c>
      <c r="AI22" s="4">
        <v>0</v>
      </c>
      <c r="AJ22" s="4">
        <v>-24860</v>
      </c>
      <c r="AK22" s="4">
        <v>0</v>
      </c>
      <c r="AL22" s="4">
        <v>0</v>
      </c>
      <c r="AM22" s="4">
        <v>28290</v>
      </c>
      <c r="AN22" s="4">
        <v>291754</v>
      </c>
      <c r="AO22" s="4">
        <v>0</v>
      </c>
      <c r="AP22" s="4">
        <v>291754</v>
      </c>
      <c r="AQ22" t="str">
        <f>VLOOKUP(N22,'[1]전체(5)'!$N:$AR,30,0)</f>
        <v>스토리위즈</v>
      </c>
      <c r="AR22" t="str">
        <f>VLOOKUP($N22,'[1]전체(5)'!$N:$AR,31,0)</f>
        <v>한보연</v>
      </c>
    </row>
    <row r="23" spans="1:44" x14ac:dyDescent="0.4">
      <c r="A23" s="3" t="s">
        <v>42</v>
      </c>
      <c r="B23" s="3" t="s">
        <v>43</v>
      </c>
      <c r="C23" s="3" t="s">
        <v>44</v>
      </c>
      <c r="D23" s="3" t="s">
        <v>45</v>
      </c>
      <c r="E23" s="3"/>
      <c r="F23" s="3" t="s">
        <v>46</v>
      </c>
      <c r="G23" s="3" t="s">
        <v>47</v>
      </c>
      <c r="H23" s="3" t="s">
        <v>48</v>
      </c>
      <c r="I23" s="3" t="s">
        <v>49</v>
      </c>
      <c r="J23" s="3">
        <v>51191772</v>
      </c>
      <c r="K23" s="3" t="s">
        <v>118</v>
      </c>
      <c r="L23" s="3"/>
      <c r="M23" s="3"/>
      <c r="N23" s="3" t="s">
        <v>76</v>
      </c>
      <c r="O23" s="3" t="s">
        <v>52</v>
      </c>
      <c r="P23" s="3">
        <v>0.7</v>
      </c>
      <c r="Q23" s="3">
        <v>0.6</v>
      </c>
      <c r="R23" s="4" t="s">
        <v>53</v>
      </c>
      <c r="S23" s="4">
        <v>3800</v>
      </c>
      <c r="T23" s="4">
        <v>-3000</v>
      </c>
      <c r="U23" s="4">
        <v>-3000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-3000</v>
      </c>
      <c r="AE23" s="4">
        <v>-3000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-2100</v>
      </c>
      <c r="AO23" s="4">
        <v>0</v>
      </c>
      <c r="AP23" s="4">
        <v>-2100</v>
      </c>
      <c r="AQ23" t="str">
        <f>VLOOKUP(N23,'[1]전체(5)'!$N:$AR,30,0)</f>
        <v>스토리위즈</v>
      </c>
      <c r="AR23" t="str">
        <f>VLOOKUP($N23,'[1]전체(5)'!$N:$AR,31,0)</f>
        <v>블랙커피</v>
      </c>
    </row>
    <row r="24" spans="1:44" x14ac:dyDescent="0.4">
      <c r="A24" s="3" t="s">
        <v>42</v>
      </c>
      <c r="B24" s="3" t="s">
        <v>43</v>
      </c>
      <c r="C24" s="3" t="s">
        <v>44</v>
      </c>
      <c r="D24" s="3" t="s">
        <v>45</v>
      </c>
      <c r="E24" s="3"/>
      <c r="F24" s="3" t="s">
        <v>46</v>
      </c>
      <c r="G24" s="3" t="s">
        <v>47</v>
      </c>
      <c r="H24" s="3" t="s">
        <v>48</v>
      </c>
      <c r="I24" s="3" t="s">
        <v>49</v>
      </c>
      <c r="J24" s="3">
        <v>51532839</v>
      </c>
      <c r="K24" s="3" t="s">
        <v>159</v>
      </c>
      <c r="L24" s="3"/>
      <c r="M24" s="3"/>
      <c r="N24" s="3" t="s">
        <v>87</v>
      </c>
      <c r="O24" s="3" t="s">
        <v>52</v>
      </c>
      <c r="P24" s="3">
        <v>0.7</v>
      </c>
      <c r="Q24" s="3">
        <v>0.6</v>
      </c>
      <c r="R24" s="4" t="s">
        <v>56</v>
      </c>
      <c r="S24" s="4">
        <v>100</v>
      </c>
      <c r="T24" s="4">
        <v>112900</v>
      </c>
      <c r="U24" s="4">
        <v>103480</v>
      </c>
      <c r="V24" s="4">
        <v>0</v>
      </c>
      <c r="W24" s="4">
        <v>0</v>
      </c>
      <c r="X24" s="4">
        <v>0</v>
      </c>
      <c r="Y24" s="4">
        <v>0</v>
      </c>
      <c r="Z24" s="4">
        <v>500</v>
      </c>
      <c r="AA24" s="4">
        <v>0</v>
      </c>
      <c r="AB24" s="4">
        <v>0</v>
      </c>
      <c r="AC24" s="4">
        <v>8920</v>
      </c>
      <c r="AD24" s="4">
        <v>112950</v>
      </c>
      <c r="AE24" s="4">
        <v>103480</v>
      </c>
      <c r="AF24" s="4">
        <v>0</v>
      </c>
      <c r="AG24" s="4">
        <v>0</v>
      </c>
      <c r="AH24" s="4">
        <v>0</v>
      </c>
      <c r="AI24" s="4">
        <v>0</v>
      </c>
      <c r="AJ24" s="4">
        <v>550</v>
      </c>
      <c r="AK24" s="4">
        <v>0</v>
      </c>
      <c r="AL24" s="4">
        <v>0</v>
      </c>
      <c r="AM24" s="4">
        <v>8920</v>
      </c>
      <c r="AN24" s="4">
        <v>79010</v>
      </c>
      <c r="AO24" s="4">
        <v>0</v>
      </c>
      <c r="AP24" s="4">
        <v>79010</v>
      </c>
      <c r="AQ24" t="str">
        <f>VLOOKUP(N24,'[1]전체(5)'!$N:$AR,30,0)</f>
        <v>스토리위즈</v>
      </c>
      <c r="AR24" t="str">
        <f>VLOOKUP($N24,'[1]전체(5)'!$N:$AR,31,0)</f>
        <v>권용찬</v>
      </c>
    </row>
    <row r="25" spans="1:44" x14ac:dyDescent="0.4">
      <c r="A25" s="3" t="s">
        <v>42</v>
      </c>
      <c r="B25" s="3" t="s">
        <v>43</v>
      </c>
      <c r="C25" s="3" t="s">
        <v>44</v>
      </c>
      <c r="D25" s="3" t="s">
        <v>45</v>
      </c>
      <c r="E25" s="3"/>
      <c r="F25" s="3" t="s">
        <v>46</v>
      </c>
      <c r="G25" s="3" t="s">
        <v>47</v>
      </c>
      <c r="H25" s="3" t="s">
        <v>48</v>
      </c>
      <c r="I25" s="3" t="s">
        <v>49</v>
      </c>
      <c r="J25" s="3">
        <v>56156528</v>
      </c>
      <c r="K25" s="3" t="s">
        <v>111</v>
      </c>
      <c r="L25" s="3"/>
      <c r="M25" s="3"/>
      <c r="N25" s="3" t="s">
        <v>64</v>
      </c>
      <c r="O25" s="3" t="s">
        <v>52</v>
      </c>
      <c r="P25" s="3">
        <v>0.7</v>
      </c>
      <c r="Q25" s="3">
        <v>0.6</v>
      </c>
      <c r="R25" s="4" t="s">
        <v>56</v>
      </c>
      <c r="S25" s="4">
        <v>100</v>
      </c>
      <c r="T25" s="4">
        <v>2400</v>
      </c>
      <c r="U25" s="4">
        <v>2400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2400</v>
      </c>
      <c r="AE25" s="4">
        <v>2400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1680</v>
      </c>
      <c r="AO25" s="4">
        <v>0</v>
      </c>
      <c r="AP25" s="4">
        <v>1680</v>
      </c>
      <c r="AQ25" t="str">
        <f>VLOOKUP(N25,'[1]전체(5)'!$N:$AR,30,0)</f>
        <v>스토리위즈</v>
      </c>
      <c r="AR25" t="str">
        <f>VLOOKUP($N25,'[1]전체(5)'!$N:$AR,31,0)</f>
        <v>전혁</v>
      </c>
    </row>
    <row r="26" spans="1:44" x14ac:dyDescent="0.4">
      <c r="A26" s="3" t="s">
        <v>42</v>
      </c>
      <c r="B26" s="3" t="s">
        <v>43</v>
      </c>
      <c r="C26" s="3" t="s">
        <v>44</v>
      </c>
      <c r="D26" s="3" t="s">
        <v>45</v>
      </c>
      <c r="E26" s="3"/>
      <c r="F26" s="3" t="s">
        <v>46</v>
      </c>
      <c r="G26" s="3" t="s">
        <v>47</v>
      </c>
      <c r="H26" s="3" t="s">
        <v>48</v>
      </c>
      <c r="I26" s="3" t="s">
        <v>49</v>
      </c>
      <c r="J26" s="3">
        <v>56329616</v>
      </c>
      <c r="K26" s="3" t="s">
        <v>121</v>
      </c>
      <c r="L26" s="3"/>
      <c r="M26" s="3"/>
      <c r="N26" s="3" t="s">
        <v>60</v>
      </c>
      <c r="O26" s="3" t="s">
        <v>52</v>
      </c>
      <c r="P26" s="3">
        <v>0.7</v>
      </c>
      <c r="Q26" s="3">
        <v>0.6</v>
      </c>
      <c r="R26" s="4" t="s">
        <v>56</v>
      </c>
      <c r="S26" s="4">
        <v>100</v>
      </c>
      <c r="T26" s="4">
        <v>8800</v>
      </c>
      <c r="U26" s="4">
        <v>1500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7300</v>
      </c>
      <c r="AD26" s="4">
        <v>8800</v>
      </c>
      <c r="AE26" s="4">
        <v>1500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7300</v>
      </c>
      <c r="AN26" s="4">
        <v>6160</v>
      </c>
      <c r="AO26" s="4">
        <v>0</v>
      </c>
      <c r="AP26" s="4">
        <v>6160</v>
      </c>
      <c r="AQ26" t="str">
        <f>VLOOKUP(N26,'[1]전체(5)'!$N:$AR,30,0)</f>
        <v>스토리위즈</v>
      </c>
      <c r="AR26" t="str">
        <f>VLOOKUP($N26,'[1]전체(5)'!$N:$AR,31,0)</f>
        <v>주이서</v>
      </c>
    </row>
    <row r="27" spans="1:44" x14ac:dyDescent="0.4">
      <c r="A27" s="3" t="s">
        <v>42</v>
      </c>
      <c r="B27" s="3" t="s">
        <v>43</v>
      </c>
      <c r="C27" s="3" t="s">
        <v>44</v>
      </c>
      <c r="D27" s="3" t="s">
        <v>45</v>
      </c>
      <c r="E27" s="3"/>
      <c r="F27" s="3" t="s">
        <v>46</v>
      </c>
      <c r="G27" s="3" t="s">
        <v>47</v>
      </c>
      <c r="H27" s="3" t="s">
        <v>48</v>
      </c>
      <c r="I27" s="3" t="s">
        <v>49</v>
      </c>
      <c r="J27" s="3">
        <v>51532839</v>
      </c>
      <c r="K27" s="3" t="s">
        <v>159</v>
      </c>
      <c r="L27" s="3"/>
      <c r="M27" s="3"/>
      <c r="N27" s="3" t="s">
        <v>87</v>
      </c>
      <c r="O27" s="3" t="s">
        <v>52</v>
      </c>
      <c r="P27" s="3">
        <v>0.7</v>
      </c>
      <c r="Q27" s="3">
        <v>0.6</v>
      </c>
      <c r="R27" s="4" t="s">
        <v>53</v>
      </c>
      <c r="S27" s="4">
        <v>2700</v>
      </c>
      <c r="T27" s="4">
        <v>183900</v>
      </c>
      <c r="U27" s="4">
        <v>166700</v>
      </c>
      <c r="V27" s="4">
        <v>0</v>
      </c>
      <c r="W27" s="4">
        <v>0</v>
      </c>
      <c r="X27" s="4">
        <v>0</v>
      </c>
      <c r="Y27" s="4">
        <v>0</v>
      </c>
      <c r="Z27" s="4">
        <v>5400</v>
      </c>
      <c r="AA27" s="4">
        <v>0</v>
      </c>
      <c r="AB27" s="4">
        <v>0</v>
      </c>
      <c r="AC27" s="4">
        <v>11800</v>
      </c>
      <c r="AD27" s="4">
        <v>184440</v>
      </c>
      <c r="AE27" s="4">
        <v>166700</v>
      </c>
      <c r="AF27" s="4">
        <v>0</v>
      </c>
      <c r="AG27" s="4">
        <v>0</v>
      </c>
      <c r="AH27" s="4">
        <v>0</v>
      </c>
      <c r="AI27" s="4">
        <v>0</v>
      </c>
      <c r="AJ27" s="4">
        <v>5940</v>
      </c>
      <c r="AK27" s="4">
        <v>0</v>
      </c>
      <c r="AL27" s="4">
        <v>0</v>
      </c>
      <c r="AM27" s="4">
        <v>11800</v>
      </c>
      <c r="AN27" s="4">
        <v>128514</v>
      </c>
      <c r="AO27" s="4">
        <v>0</v>
      </c>
      <c r="AP27" s="4">
        <v>128514</v>
      </c>
      <c r="AQ27" t="str">
        <f>VLOOKUP(N27,'[1]전체(5)'!$N:$AR,30,0)</f>
        <v>스토리위즈</v>
      </c>
      <c r="AR27" t="str">
        <f>VLOOKUP($N27,'[1]전체(5)'!$N:$AR,31,0)</f>
        <v>권용찬</v>
      </c>
    </row>
    <row r="28" spans="1:44" x14ac:dyDescent="0.4">
      <c r="A28" s="3" t="s">
        <v>42</v>
      </c>
      <c r="B28" s="3" t="s">
        <v>43</v>
      </c>
      <c r="C28" s="3" t="s">
        <v>44</v>
      </c>
      <c r="D28" s="3" t="s">
        <v>45</v>
      </c>
      <c r="E28" s="3"/>
      <c r="F28" s="3" t="s">
        <v>46</v>
      </c>
      <c r="G28" s="3" t="s">
        <v>47</v>
      </c>
      <c r="H28" s="3" t="s">
        <v>48</v>
      </c>
      <c r="I28" s="3" t="s">
        <v>49</v>
      </c>
      <c r="J28" s="3">
        <v>56156528</v>
      </c>
      <c r="K28" s="3" t="s">
        <v>111</v>
      </c>
      <c r="L28" s="3"/>
      <c r="M28" s="3"/>
      <c r="N28" s="3" t="s">
        <v>64</v>
      </c>
      <c r="O28" s="3" t="s">
        <v>52</v>
      </c>
      <c r="P28" s="3">
        <v>0.7</v>
      </c>
      <c r="Q28" s="3">
        <v>0.6</v>
      </c>
      <c r="R28" s="4" t="s">
        <v>53</v>
      </c>
      <c r="S28" s="4">
        <v>2400</v>
      </c>
      <c r="T28" s="4">
        <v>14400</v>
      </c>
      <c r="U28" s="4">
        <v>6700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7700</v>
      </c>
      <c r="AD28" s="4">
        <v>14400</v>
      </c>
      <c r="AE28" s="4">
        <v>6700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7700</v>
      </c>
      <c r="AN28" s="4">
        <v>10080</v>
      </c>
      <c r="AO28" s="4">
        <v>0</v>
      </c>
      <c r="AP28" s="4">
        <v>10080</v>
      </c>
      <c r="AQ28" t="str">
        <f>VLOOKUP(N28,'[1]전체(5)'!$N:$AR,30,0)</f>
        <v>스토리위즈</v>
      </c>
      <c r="AR28" t="str">
        <f>VLOOKUP($N28,'[1]전체(5)'!$N:$AR,31,0)</f>
        <v>전혁</v>
      </c>
    </row>
    <row r="29" spans="1:44" x14ac:dyDescent="0.4">
      <c r="A29" s="3" t="s">
        <v>42</v>
      </c>
      <c r="B29" s="3" t="s">
        <v>43</v>
      </c>
      <c r="C29" s="3" t="s">
        <v>44</v>
      </c>
      <c r="D29" s="3" t="s">
        <v>45</v>
      </c>
      <c r="E29" s="3"/>
      <c r="F29" s="3" t="s">
        <v>46</v>
      </c>
      <c r="G29" s="3" t="s">
        <v>47</v>
      </c>
      <c r="H29" s="3" t="s">
        <v>48</v>
      </c>
      <c r="I29" s="3" t="s">
        <v>49</v>
      </c>
      <c r="J29" s="3">
        <v>56329616</v>
      </c>
      <c r="K29" s="3" t="s">
        <v>121</v>
      </c>
      <c r="L29" s="3"/>
      <c r="M29" s="3"/>
      <c r="N29" s="3" t="s">
        <v>60</v>
      </c>
      <c r="O29" s="3" t="s">
        <v>52</v>
      </c>
      <c r="P29" s="3">
        <v>0.7</v>
      </c>
      <c r="Q29" s="3">
        <v>0.6</v>
      </c>
      <c r="R29" s="4" t="s">
        <v>53</v>
      </c>
      <c r="S29" s="4">
        <v>900</v>
      </c>
      <c r="T29" s="4">
        <v>9500</v>
      </c>
      <c r="U29" s="4">
        <v>4500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5000</v>
      </c>
      <c r="AD29" s="4">
        <v>9500</v>
      </c>
      <c r="AE29" s="4">
        <v>4500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5000</v>
      </c>
      <c r="AN29" s="4">
        <v>6650</v>
      </c>
      <c r="AO29" s="4">
        <v>0</v>
      </c>
      <c r="AP29" s="4">
        <v>6650</v>
      </c>
      <c r="AQ29" t="str">
        <f>VLOOKUP(N29,'[1]전체(5)'!$N:$AR,30,0)</f>
        <v>스토리위즈</v>
      </c>
      <c r="AR29" t="str">
        <f>VLOOKUP($N29,'[1]전체(5)'!$N:$AR,31,0)</f>
        <v>주이서</v>
      </c>
    </row>
    <row r="30" spans="1:44" x14ac:dyDescent="0.4">
      <c r="A30" s="3" t="s">
        <v>42</v>
      </c>
      <c r="B30" s="3" t="s">
        <v>43</v>
      </c>
      <c r="C30" s="3" t="s">
        <v>44</v>
      </c>
      <c r="D30" s="3" t="s">
        <v>45</v>
      </c>
      <c r="E30" s="3"/>
      <c r="F30" s="3" t="s">
        <v>46</v>
      </c>
      <c r="G30" s="3" t="s">
        <v>47</v>
      </c>
      <c r="H30" s="3" t="s">
        <v>48</v>
      </c>
      <c r="I30" s="3" t="s">
        <v>49</v>
      </c>
      <c r="J30" s="3">
        <v>51532839</v>
      </c>
      <c r="K30" s="3" t="s">
        <v>159</v>
      </c>
      <c r="L30" s="3"/>
      <c r="M30" s="3"/>
      <c r="N30" s="3" t="s">
        <v>87</v>
      </c>
      <c r="O30" s="3" t="s">
        <v>52</v>
      </c>
      <c r="P30" s="3">
        <v>0.7</v>
      </c>
      <c r="Q30" s="3">
        <v>0.6</v>
      </c>
      <c r="R30" s="4" t="s">
        <v>53</v>
      </c>
      <c r="S30" s="4">
        <v>4500</v>
      </c>
      <c r="T30" s="4">
        <v>91600</v>
      </c>
      <c r="U30" s="4">
        <v>91600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91600</v>
      </c>
      <c r="AE30" s="4">
        <v>91600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64120</v>
      </c>
      <c r="AO30" s="4">
        <v>0</v>
      </c>
      <c r="AP30" s="4">
        <v>64120</v>
      </c>
      <c r="AQ30" t="str">
        <f>VLOOKUP(N30,'[1]전체(5)'!$N:$AR,30,0)</f>
        <v>스토리위즈</v>
      </c>
      <c r="AR30" t="str">
        <f>VLOOKUP($N30,'[1]전체(5)'!$N:$AR,31,0)</f>
        <v>권용찬</v>
      </c>
    </row>
    <row r="31" spans="1:44" x14ac:dyDescent="0.4">
      <c r="A31" s="3" t="s">
        <v>42</v>
      </c>
      <c r="B31" s="3" t="s">
        <v>43</v>
      </c>
      <c r="C31" s="3" t="s">
        <v>44</v>
      </c>
      <c r="D31" s="3" t="s">
        <v>45</v>
      </c>
      <c r="E31" s="3"/>
      <c r="F31" s="3" t="s">
        <v>46</v>
      </c>
      <c r="G31" s="3" t="s">
        <v>47</v>
      </c>
      <c r="H31" s="3" t="s">
        <v>48</v>
      </c>
      <c r="I31" s="3" t="s">
        <v>49</v>
      </c>
      <c r="J31" s="3">
        <v>56329616</v>
      </c>
      <c r="K31" s="3" t="s">
        <v>121</v>
      </c>
      <c r="L31" s="3"/>
      <c r="M31" s="3"/>
      <c r="N31" s="3" t="s">
        <v>60</v>
      </c>
      <c r="O31" s="3" t="s">
        <v>52</v>
      </c>
      <c r="P31" s="3">
        <v>0.7</v>
      </c>
      <c r="Q31" s="3">
        <v>0.6</v>
      </c>
      <c r="R31" s="4" t="s">
        <v>53</v>
      </c>
      <c r="S31" s="4">
        <v>2700</v>
      </c>
      <c r="T31" s="4">
        <v>2700</v>
      </c>
      <c r="U31" s="4">
        <v>2700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2700</v>
      </c>
      <c r="AE31" s="4">
        <v>2700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1890</v>
      </c>
      <c r="AO31" s="4">
        <v>0</v>
      </c>
      <c r="AP31" s="4">
        <v>1890</v>
      </c>
      <c r="AQ31" t="str">
        <f>VLOOKUP(N31,'[1]전체(5)'!$N:$AR,30,0)</f>
        <v>스토리위즈</v>
      </c>
      <c r="AR31" t="str">
        <f>VLOOKUP($N31,'[1]전체(5)'!$N:$AR,31,0)</f>
        <v>주이서</v>
      </c>
    </row>
    <row r="32" spans="1:44" x14ac:dyDescent="0.4">
      <c r="A32" s="3" t="s">
        <v>42</v>
      </c>
      <c r="B32" s="3" t="s">
        <v>43</v>
      </c>
      <c r="C32" s="3" t="s">
        <v>44</v>
      </c>
      <c r="D32" s="3" t="s">
        <v>45</v>
      </c>
      <c r="E32" s="3"/>
      <c r="F32" s="3" t="s">
        <v>46</v>
      </c>
      <c r="G32" s="3" t="s">
        <v>47</v>
      </c>
      <c r="H32" s="3" t="s">
        <v>48</v>
      </c>
      <c r="I32" s="3" t="s">
        <v>49</v>
      </c>
      <c r="J32" s="3">
        <v>51532839</v>
      </c>
      <c r="K32" s="3" t="s">
        <v>159</v>
      </c>
      <c r="L32" s="3"/>
      <c r="M32" s="3"/>
      <c r="N32" s="3" t="s">
        <v>87</v>
      </c>
      <c r="O32" s="3" t="s">
        <v>52</v>
      </c>
      <c r="P32" s="3">
        <v>0.7</v>
      </c>
      <c r="Q32" s="3">
        <v>0.6</v>
      </c>
      <c r="R32" s="4" t="s">
        <v>53</v>
      </c>
      <c r="S32" s="4">
        <v>9000</v>
      </c>
      <c r="T32" s="4">
        <v>92700</v>
      </c>
      <c r="U32" s="4">
        <v>72900</v>
      </c>
      <c r="V32" s="4">
        <v>0</v>
      </c>
      <c r="W32" s="4">
        <v>0</v>
      </c>
      <c r="X32" s="4">
        <v>0</v>
      </c>
      <c r="Y32" s="4">
        <v>0</v>
      </c>
      <c r="Z32" s="4">
        <v>17800</v>
      </c>
      <c r="AA32" s="4">
        <v>0</v>
      </c>
      <c r="AB32" s="4">
        <v>0</v>
      </c>
      <c r="AC32" s="4">
        <v>2000</v>
      </c>
      <c r="AD32" s="4">
        <v>94480</v>
      </c>
      <c r="AE32" s="4">
        <v>72900</v>
      </c>
      <c r="AF32" s="4">
        <v>0</v>
      </c>
      <c r="AG32" s="4">
        <v>0</v>
      </c>
      <c r="AH32" s="4">
        <v>0</v>
      </c>
      <c r="AI32" s="4">
        <v>0</v>
      </c>
      <c r="AJ32" s="4">
        <v>19580</v>
      </c>
      <c r="AK32" s="4">
        <v>0</v>
      </c>
      <c r="AL32" s="4">
        <v>0</v>
      </c>
      <c r="AM32" s="4">
        <v>2000</v>
      </c>
      <c r="AN32" s="4">
        <v>64178</v>
      </c>
      <c r="AO32" s="4">
        <v>0</v>
      </c>
      <c r="AP32" s="4">
        <v>64178</v>
      </c>
      <c r="AQ32" t="str">
        <f>VLOOKUP(N32,'[1]전체(5)'!$N:$AR,30,0)</f>
        <v>스토리위즈</v>
      </c>
      <c r="AR32" t="str">
        <f>VLOOKUP($N32,'[1]전체(5)'!$N:$AR,31,0)</f>
        <v>권용찬</v>
      </c>
    </row>
    <row r="33" spans="1:44" x14ac:dyDescent="0.4">
      <c r="A33" s="3" t="s">
        <v>42</v>
      </c>
      <c r="B33" s="3" t="s">
        <v>43</v>
      </c>
      <c r="C33" s="3" t="s">
        <v>44</v>
      </c>
      <c r="D33" s="3" t="s">
        <v>45</v>
      </c>
      <c r="E33" s="3"/>
      <c r="F33" s="3" t="s">
        <v>46</v>
      </c>
      <c r="G33" s="3" t="s">
        <v>47</v>
      </c>
      <c r="H33" s="3" t="s">
        <v>48</v>
      </c>
      <c r="I33" s="3" t="s">
        <v>49</v>
      </c>
      <c r="J33" s="3">
        <v>56329616</v>
      </c>
      <c r="K33" s="3" t="s">
        <v>121</v>
      </c>
      <c r="L33" s="3"/>
      <c r="M33" s="3"/>
      <c r="N33" s="3" t="s">
        <v>60</v>
      </c>
      <c r="O33" s="3" t="s">
        <v>52</v>
      </c>
      <c r="P33" s="3">
        <v>0.7</v>
      </c>
      <c r="Q33" s="3">
        <v>0.6</v>
      </c>
      <c r="R33" s="4" t="s">
        <v>53</v>
      </c>
      <c r="S33" s="4">
        <v>4500</v>
      </c>
      <c r="T33" s="4">
        <v>4500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4500</v>
      </c>
      <c r="AD33" s="4">
        <v>4500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4500</v>
      </c>
      <c r="AN33" s="4">
        <v>3150</v>
      </c>
      <c r="AO33" s="4">
        <v>0</v>
      </c>
      <c r="AP33" s="4">
        <v>3150</v>
      </c>
      <c r="AQ33" t="str">
        <f>VLOOKUP(N33,'[1]전체(5)'!$N:$AR,30,0)</f>
        <v>스토리위즈</v>
      </c>
      <c r="AR33" t="str">
        <f>VLOOKUP($N33,'[1]전체(5)'!$N:$AR,31,0)</f>
        <v>주이서</v>
      </c>
    </row>
    <row r="34" spans="1:44" x14ac:dyDescent="0.4">
      <c r="A34" s="3" t="s">
        <v>42</v>
      </c>
      <c r="B34" s="3" t="s">
        <v>43</v>
      </c>
      <c r="C34" s="3" t="s">
        <v>44</v>
      </c>
      <c r="D34" s="3" t="s">
        <v>45</v>
      </c>
      <c r="E34" s="3"/>
      <c r="F34" s="3" t="s">
        <v>46</v>
      </c>
      <c r="G34" s="3" t="s">
        <v>47</v>
      </c>
      <c r="H34" s="3" t="s">
        <v>48</v>
      </c>
      <c r="I34" s="3" t="s">
        <v>49</v>
      </c>
      <c r="J34" s="3">
        <v>52927609</v>
      </c>
      <c r="K34" s="3" t="s">
        <v>151</v>
      </c>
      <c r="L34" s="3"/>
      <c r="M34" s="3"/>
      <c r="N34" s="3" t="s">
        <v>76</v>
      </c>
      <c r="O34" s="3" t="s">
        <v>52</v>
      </c>
      <c r="P34" s="3">
        <v>0.7</v>
      </c>
      <c r="Q34" s="3">
        <v>0.6</v>
      </c>
      <c r="R34" s="4" t="s">
        <v>56</v>
      </c>
      <c r="S34" s="4">
        <v>100</v>
      </c>
      <c r="T34" s="4">
        <v>5500</v>
      </c>
      <c r="U34" s="4">
        <v>1500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4000</v>
      </c>
      <c r="AD34" s="4">
        <v>5500</v>
      </c>
      <c r="AE34" s="4">
        <v>1500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4000</v>
      </c>
      <c r="AN34" s="4">
        <v>3850</v>
      </c>
      <c r="AO34" s="4">
        <v>0</v>
      </c>
      <c r="AP34" s="4">
        <v>3850</v>
      </c>
      <c r="AQ34" t="str">
        <f>VLOOKUP(N34,'[1]전체(5)'!$N:$AR,30,0)</f>
        <v>스토리위즈</v>
      </c>
      <c r="AR34" t="str">
        <f>VLOOKUP($N34,'[1]전체(5)'!$N:$AR,31,0)</f>
        <v>블랙커피</v>
      </c>
    </row>
    <row r="35" spans="1:44" x14ac:dyDescent="0.4">
      <c r="A35" s="3" t="s">
        <v>42</v>
      </c>
      <c r="B35" s="3" t="s">
        <v>43</v>
      </c>
      <c r="C35" s="3" t="s">
        <v>44</v>
      </c>
      <c r="D35" s="3" t="s">
        <v>45</v>
      </c>
      <c r="E35" s="3"/>
      <c r="F35" s="3" t="s">
        <v>46</v>
      </c>
      <c r="G35" s="3" t="s">
        <v>47</v>
      </c>
      <c r="H35" s="3" t="s">
        <v>48</v>
      </c>
      <c r="I35" s="3" t="s">
        <v>49</v>
      </c>
      <c r="J35" s="3">
        <v>56774286</v>
      </c>
      <c r="K35" s="3" t="s">
        <v>131</v>
      </c>
      <c r="L35" s="3"/>
      <c r="M35" s="3"/>
      <c r="N35" s="3" t="s">
        <v>132</v>
      </c>
      <c r="O35" s="3" t="s">
        <v>52</v>
      </c>
      <c r="P35" s="3">
        <v>0.7</v>
      </c>
      <c r="Q35" s="3">
        <v>0.6</v>
      </c>
      <c r="R35" s="4" t="s">
        <v>56</v>
      </c>
      <c r="S35" s="4">
        <v>100</v>
      </c>
      <c r="T35" s="4">
        <v>105500</v>
      </c>
      <c r="U35" s="4">
        <v>62240</v>
      </c>
      <c r="V35" s="4">
        <v>0</v>
      </c>
      <c r="W35" s="4">
        <v>0</v>
      </c>
      <c r="X35" s="4">
        <v>0</v>
      </c>
      <c r="Y35" s="4">
        <v>580</v>
      </c>
      <c r="Z35" s="4">
        <v>11300</v>
      </c>
      <c r="AA35" s="4">
        <v>0</v>
      </c>
      <c r="AB35" s="4">
        <v>0</v>
      </c>
      <c r="AC35" s="4">
        <v>31380</v>
      </c>
      <c r="AD35" s="4">
        <v>106746</v>
      </c>
      <c r="AE35" s="4">
        <v>62240</v>
      </c>
      <c r="AF35" s="4">
        <v>0</v>
      </c>
      <c r="AG35" s="4">
        <v>0</v>
      </c>
      <c r="AH35" s="4">
        <v>0</v>
      </c>
      <c r="AI35" s="4">
        <v>696</v>
      </c>
      <c r="AJ35" s="4">
        <v>12430</v>
      </c>
      <c r="AK35" s="4">
        <v>0</v>
      </c>
      <c r="AL35" s="4">
        <v>0</v>
      </c>
      <c r="AM35" s="4">
        <v>31380</v>
      </c>
      <c r="AN35" s="4">
        <v>73410</v>
      </c>
      <c r="AO35" s="4">
        <v>0</v>
      </c>
      <c r="AP35" s="4">
        <v>73410</v>
      </c>
      <c r="AQ35" t="str">
        <f>VLOOKUP(N35,'[1]전체(5)'!$N:$AR,30,0)</f>
        <v>스토리위즈</v>
      </c>
      <c r="AR35" t="str">
        <f>VLOOKUP($N35,'[1]전체(5)'!$N:$AR,31,0)</f>
        <v>아슈크림</v>
      </c>
    </row>
    <row r="36" spans="1:44" x14ac:dyDescent="0.4">
      <c r="A36" s="3" t="s">
        <v>42</v>
      </c>
      <c r="B36" s="3" t="s">
        <v>43</v>
      </c>
      <c r="C36" s="3" t="s">
        <v>44</v>
      </c>
      <c r="D36" s="3" t="s">
        <v>45</v>
      </c>
      <c r="E36" s="3"/>
      <c r="F36" s="3" t="s">
        <v>46</v>
      </c>
      <c r="G36" s="3" t="s">
        <v>47</v>
      </c>
      <c r="H36" s="3" t="s">
        <v>48</v>
      </c>
      <c r="I36" s="3" t="s">
        <v>49</v>
      </c>
      <c r="J36" s="3">
        <v>52927609</v>
      </c>
      <c r="K36" s="3" t="s">
        <v>151</v>
      </c>
      <c r="L36" s="3"/>
      <c r="M36" s="3"/>
      <c r="N36" s="3" t="s">
        <v>76</v>
      </c>
      <c r="O36" s="3" t="s">
        <v>52</v>
      </c>
      <c r="P36" s="3">
        <v>0.7</v>
      </c>
      <c r="Q36" s="3">
        <v>0.6</v>
      </c>
      <c r="R36" s="4" t="s">
        <v>53</v>
      </c>
      <c r="S36" s="4">
        <v>3600</v>
      </c>
      <c r="T36" s="4">
        <v>3600</v>
      </c>
      <c r="U36" s="4">
        <v>3600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3600</v>
      </c>
      <c r="AE36" s="4">
        <v>3600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2520</v>
      </c>
      <c r="AO36" s="4">
        <v>0</v>
      </c>
      <c r="AP36" s="4">
        <v>2520</v>
      </c>
      <c r="AQ36" t="str">
        <f>VLOOKUP(N36,'[1]전체(5)'!$N:$AR,30,0)</f>
        <v>스토리위즈</v>
      </c>
      <c r="AR36" t="str">
        <f>VLOOKUP($N36,'[1]전체(5)'!$N:$AR,31,0)</f>
        <v>블랙커피</v>
      </c>
    </row>
    <row r="37" spans="1:44" x14ac:dyDescent="0.4">
      <c r="A37" s="3" t="s">
        <v>42</v>
      </c>
      <c r="B37" s="3" t="s">
        <v>43</v>
      </c>
      <c r="C37" s="3" t="s">
        <v>44</v>
      </c>
      <c r="D37" s="3" t="s">
        <v>45</v>
      </c>
      <c r="E37" s="3"/>
      <c r="F37" s="3" t="s">
        <v>46</v>
      </c>
      <c r="G37" s="3" t="s">
        <v>47</v>
      </c>
      <c r="H37" s="3" t="s">
        <v>48</v>
      </c>
      <c r="I37" s="3" t="s">
        <v>49</v>
      </c>
      <c r="J37" s="3">
        <v>56774286</v>
      </c>
      <c r="K37" s="3" t="s">
        <v>131</v>
      </c>
      <c r="L37" s="3"/>
      <c r="M37" s="3"/>
      <c r="N37" s="3" t="s">
        <v>132</v>
      </c>
      <c r="O37" s="3" t="s">
        <v>52</v>
      </c>
      <c r="P37" s="3">
        <v>0.7</v>
      </c>
      <c r="Q37" s="3">
        <v>0.6</v>
      </c>
      <c r="R37" s="4" t="s">
        <v>53</v>
      </c>
      <c r="S37" s="4">
        <v>900</v>
      </c>
      <c r="T37" s="4">
        <v>122000</v>
      </c>
      <c r="U37" s="4">
        <v>86080</v>
      </c>
      <c r="V37" s="4">
        <v>0</v>
      </c>
      <c r="W37" s="4">
        <v>0</v>
      </c>
      <c r="X37" s="4">
        <v>0</v>
      </c>
      <c r="Y37" s="4">
        <v>820</v>
      </c>
      <c r="Z37" s="4">
        <v>9900</v>
      </c>
      <c r="AA37" s="4">
        <v>0</v>
      </c>
      <c r="AB37" s="4">
        <v>0</v>
      </c>
      <c r="AC37" s="4">
        <v>25200</v>
      </c>
      <c r="AD37" s="4">
        <v>123154</v>
      </c>
      <c r="AE37" s="4">
        <v>86080</v>
      </c>
      <c r="AF37" s="4">
        <v>0</v>
      </c>
      <c r="AG37" s="4">
        <v>0</v>
      </c>
      <c r="AH37" s="4">
        <v>0</v>
      </c>
      <c r="AI37" s="4">
        <v>984</v>
      </c>
      <c r="AJ37" s="4">
        <v>10890</v>
      </c>
      <c r="AK37" s="4">
        <v>0</v>
      </c>
      <c r="AL37" s="4">
        <v>0</v>
      </c>
      <c r="AM37" s="4">
        <v>25200</v>
      </c>
      <c r="AN37" s="4">
        <v>85020</v>
      </c>
      <c r="AO37" s="4">
        <v>0</v>
      </c>
      <c r="AP37" s="4">
        <v>85020</v>
      </c>
      <c r="AQ37" t="str">
        <f>VLOOKUP(N37,'[1]전체(5)'!$N:$AR,30,0)</f>
        <v>스토리위즈</v>
      </c>
      <c r="AR37" t="str">
        <f>VLOOKUP($N37,'[1]전체(5)'!$N:$AR,31,0)</f>
        <v>아슈크림</v>
      </c>
    </row>
    <row r="38" spans="1:44" x14ac:dyDescent="0.4">
      <c r="A38" s="3" t="s">
        <v>42</v>
      </c>
      <c r="B38" s="3" t="s">
        <v>43</v>
      </c>
      <c r="C38" s="3" t="s">
        <v>44</v>
      </c>
      <c r="D38" s="3" t="s">
        <v>45</v>
      </c>
      <c r="E38" s="3"/>
      <c r="F38" s="3" t="s">
        <v>46</v>
      </c>
      <c r="G38" s="3" t="s">
        <v>47</v>
      </c>
      <c r="H38" s="3" t="s">
        <v>48</v>
      </c>
      <c r="I38" s="3" t="s">
        <v>49</v>
      </c>
      <c r="J38" s="3">
        <v>56774286</v>
      </c>
      <c r="K38" s="3" t="s">
        <v>131</v>
      </c>
      <c r="L38" s="3"/>
      <c r="M38" s="3"/>
      <c r="N38" s="3" t="s">
        <v>132</v>
      </c>
      <c r="O38" s="3" t="s">
        <v>52</v>
      </c>
      <c r="P38" s="3">
        <v>0.7</v>
      </c>
      <c r="Q38" s="3">
        <v>0.6</v>
      </c>
      <c r="R38" s="4" t="s">
        <v>53</v>
      </c>
      <c r="S38" s="4">
        <v>2700</v>
      </c>
      <c r="T38" s="4">
        <v>77200</v>
      </c>
      <c r="U38" s="4">
        <v>69200</v>
      </c>
      <c r="V38" s="4">
        <v>0</v>
      </c>
      <c r="W38" s="4">
        <v>0</v>
      </c>
      <c r="X38" s="4">
        <v>0</v>
      </c>
      <c r="Y38" s="4">
        <v>0</v>
      </c>
      <c r="Z38" s="4">
        <v>4300</v>
      </c>
      <c r="AA38" s="4">
        <v>0</v>
      </c>
      <c r="AB38" s="4">
        <v>0</v>
      </c>
      <c r="AC38" s="4">
        <v>3700</v>
      </c>
      <c r="AD38" s="4">
        <v>77630</v>
      </c>
      <c r="AE38" s="4">
        <v>69200</v>
      </c>
      <c r="AF38" s="4">
        <v>0</v>
      </c>
      <c r="AG38" s="4">
        <v>0</v>
      </c>
      <c r="AH38" s="4">
        <v>0</v>
      </c>
      <c r="AI38" s="4">
        <v>0</v>
      </c>
      <c r="AJ38" s="4">
        <v>4730</v>
      </c>
      <c r="AK38" s="4">
        <v>0</v>
      </c>
      <c r="AL38" s="4">
        <v>0</v>
      </c>
      <c r="AM38" s="4">
        <v>3700</v>
      </c>
      <c r="AN38" s="4">
        <v>53868</v>
      </c>
      <c r="AO38" s="4">
        <v>0</v>
      </c>
      <c r="AP38" s="4">
        <v>53868</v>
      </c>
      <c r="AQ38" t="str">
        <f>VLOOKUP(N38,'[1]전체(5)'!$N:$AR,30,0)</f>
        <v>스토리위즈</v>
      </c>
      <c r="AR38" t="str">
        <f>VLOOKUP($N38,'[1]전체(5)'!$N:$AR,31,0)</f>
        <v>아슈크림</v>
      </c>
    </row>
    <row r="39" spans="1:44" x14ac:dyDescent="0.4">
      <c r="A39" s="3" t="s">
        <v>42</v>
      </c>
      <c r="B39" s="3" t="s">
        <v>43</v>
      </c>
      <c r="C39" s="3" t="s">
        <v>44</v>
      </c>
      <c r="D39" s="3" t="s">
        <v>45</v>
      </c>
      <c r="E39" s="3"/>
      <c r="F39" s="3" t="s">
        <v>46</v>
      </c>
      <c r="G39" s="3" t="s">
        <v>47</v>
      </c>
      <c r="H39" s="3" t="s">
        <v>48</v>
      </c>
      <c r="I39" s="3" t="s">
        <v>49</v>
      </c>
      <c r="J39" s="3">
        <v>57849384</v>
      </c>
      <c r="K39" s="3" t="s">
        <v>122</v>
      </c>
      <c r="L39" s="3"/>
      <c r="M39" s="3"/>
      <c r="N39" s="3" t="s">
        <v>123</v>
      </c>
      <c r="O39" s="3" t="s">
        <v>52</v>
      </c>
      <c r="P39" s="3">
        <v>0.7</v>
      </c>
      <c r="Q39" s="3">
        <v>0.6</v>
      </c>
      <c r="R39" s="4" t="s">
        <v>56</v>
      </c>
      <c r="S39" s="4">
        <v>100</v>
      </c>
      <c r="T39" s="4">
        <v>10800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10800</v>
      </c>
      <c r="AD39" s="4">
        <v>10800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10800</v>
      </c>
      <c r="AN39" s="4">
        <v>7560</v>
      </c>
      <c r="AO39" s="4">
        <v>0</v>
      </c>
      <c r="AP39" s="4">
        <v>7560</v>
      </c>
      <c r="AQ39" t="str">
        <f>VLOOKUP(N39,'[1]전체(5)'!$N:$AR,30,0)</f>
        <v>스토리위즈</v>
      </c>
      <c r="AR39" t="str">
        <f>VLOOKUP($N39,'[1]전체(5)'!$N:$AR,31,0)</f>
        <v>이로세</v>
      </c>
    </row>
    <row r="40" spans="1:44" x14ac:dyDescent="0.4">
      <c r="A40" s="3" t="s">
        <v>42</v>
      </c>
      <c r="B40" s="3" t="s">
        <v>43</v>
      </c>
      <c r="C40" s="3" t="s">
        <v>44</v>
      </c>
      <c r="D40" s="3" t="s">
        <v>45</v>
      </c>
      <c r="E40" s="3"/>
      <c r="F40" s="3" t="s">
        <v>46</v>
      </c>
      <c r="G40" s="3" t="s">
        <v>47</v>
      </c>
      <c r="H40" s="3" t="s">
        <v>48</v>
      </c>
      <c r="I40" s="3" t="s">
        <v>49</v>
      </c>
      <c r="J40" s="3">
        <v>56774286</v>
      </c>
      <c r="K40" s="3" t="s">
        <v>131</v>
      </c>
      <c r="L40" s="3"/>
      <c r="M40" s="3"/>
      <c r="N40" s="3" t="s">
        <v>132</v>
      </c>
      <c r="O40" s="3" t="s">
        <v>52</v>
      </c>
      <c r="P40" s="3">
        <v>0.7</v>
      </c>
      <c r="Q40" s="3">
        <v>0.6</v>
      </c>
      <c r="R40" s="4" t="s">
        <v>53</v>
      </c>
      <c r="S40" s="4">
        <v>4500</v>
      </c>
      <c r="T40" s="4">
        <v>195200</v>
      </c>
      <c r="U40" s="4">
        <v>157800</v>
      </c>
      <c r="V40" s="4">
        <v>0</v>
      </c>
      <c r="W40" s="4">
        <v>0</v>
      </c>
      <c r="X40" s="4">
        <v>0</v>
      </c>
      <c r="Y40" s="4">
        <v>0</v>
      </c>
      <c r="Z40" s="4">
        <v>31400</v>
      </c>
      <c r="AA40" s="4">
        <v>0</v>
      </c>
      <c r="AB40" s="4">
        <v>0</v>
      </c>
      <c r="AC40" s="4">
        <v>6000</v>
      </c>
      <c r="AD40" s="4">
        <v>198340</v>
      </c>
      <c r="AE40" s="4">
        <v>157800</v>
      </c>
      <c r="AF40" s="4">
        <v>0</v>
      </c>
      <c r="AG40" s="4">
        <v>0</v>
      </c>
      <c r="AH40" s="4">
        <v>0</v>
      </c>
      <c r="AI40" s="4">
        <v>0</v>
      </c>
      <c r="AJ40" s="4">
        <v>34540</v>
      </c>
      <c r="AK40" s="4">
        <v>0</v>
      </c>
      <c r="AL40" s="4">
        <v>0</v>
      </c>
      <c r="AM40" s="4">
        <v>6000</v>
      </c>
      <c r="AN40" s="4">
        <v>135384</v>
      </c>
      <c r="AO40" s="4">
        <v>0</v>
      </c>
      <c r="AP40" s="4">
        <v>135384</v>
      </c>
      <c r="AQ40" t="str">
        <f>VLOOKUP(N40,'[1]전체(5)'!$N:$AR,30,0)</f>
        <v>스토리위즈</v>
      </c>
      <c r="AR40" t="str">
        <f>VLOOKUP($N40,'[1]전체(5)'!$N:$AR,31,0)</f>
        <v>아슈크림</v>
      </c>
    </row>
    <row r="41" spans="1:44" x14ac:dyDescent="0.4">
      <c r="A41" s="3" t="s">
        <v>42</v>
      </c>
      <c r="B41" s="3" t="s">
        <v>43</v>
      </c>
      <c r="C41" s="3" t="s">
        <v>44</v>
      </c>
      <c r="D41" s="3" t="s">
        <v>45</v>
      </c>
      <c r="E41" s="3"/>
      <c r="F41" s="3" t="s">
        <v>46</v>
      </c>
      <c r="G41" s="3" t="s">
        <v>47</v>
      </c>
      <c r="H41" s="3" t="s">
        <v>48</v>
      </c>
      <c r="I41" s="3" t="s">
        <v>49</v>
      </c>
      <c r="J41" s="3">
        <v>57849384</v>
      </c>
      <c r="K41" s="3" t="s">
        <v>122</v>
      </c>
      <c r="L41" s="3"/>
      <c r="M41" s="3"/>
      <c r="N41" s="3" t="s">
        <v>123</v>
      </c>
      <c r="O41" s="3" t="s">
        <v>52</v>
      </c>
      <c r="P41" s="3">
        <v>0.7</v>
      </c>
      <c r="Q41" s="3">
        <v>0.6</v>
      </c>
      <c r="R41" s="4" t="s">
        <v>53</v>
      </c>
      <c r="S41" s="4">
        <v>900</v>
      </c>
      <c r="T41" s="4">
        <v>7200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7200</v>
      </c>
      <c r="AD41" s="4">
        <v>7200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7200</v>
      </c>
      <c r="AN41" s="4">
        <v>5040</v>
      </c>
      <c r="AO41" s="4">
        <v>0</v>
      </c>
      <c r="AP41" s="4">
        <v>5040</v>
      </c>
      <c r="AQ41" t="str">
        <f>VLOOKUP(N41,'[1]전체(5)'!$N:$AR,30,0)</f>
        <v>스토리위즈</v>
      </c>
      <c r="AR41" t="str">
        <f>VLOOKUP($N41,'[1]전체(5)'!$N:$AR,31,0)</f>
        <v>이로세</v>
      </c>
    </row>
    <row r="42" spans="1:44" x14ac:dyDescent="0.4">
      <c r="A42" s="3" t="s">
        <v>42</v>
      </c>
      <c r="B42" s="3" t="s">
        <v>43</v>
      </c>
      <c r="C42" s="3" t="s">
        <v>44</v>
      </c>
      <c r="D42" s="3" t="s">
        <v>45</v>
      </c>
      <c r="E42" s="3"/>
      <c r="F42" s="3" t="s">
        <v>46</v>
      </c>
      <c r="G42" s="3" t="s">
        <v>47</v>
      </c>
      <c r="H42" s="3" t="s">
        <v>48</v>
      </c>
      <c r="I42" s="3" t="s">
        <v>49</v>
      </c>
      <c r="J42" s="3">
        <v>52929090</v>
      </c>
      <c r="K42" s="3" t="s">
        <v>155</v>
      </c>
      <c r="L42" s="3"/>
      <c r="M42" s="3"/>
      <c r="N42" s="3" t="s">
        <v>76</v>
      </c>
      <c r="O42" s="3" t="s">
        <v>52</v>
      </c>
      <c r="P42" s="3">
        <v>0.7</v>
      </c>
      <c r="Q42" s="3">
        <v>0.6</v>
      </c>
      <c r="R42" s="4" t="s">
        <v>56</v>
      </c>
      <c r="S42" s="4">
        <v>100</v>
      </c>
      <c r="T42" s="4">
        <v>4900</v>
      </c>
      <c r="U42" s="4">
        <v>2200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2700</v>
      </c>
      <c r="AD42" s="4">
        <v>4900</v>
      </c>
      <c r="AE42" s="4">
        <v>2200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2700</v>
      </c>
      <c r="AN42" s="4">
        <v>3430</v>
      </c>
      <c r="AO42" s="4">
        <v>0</v>
      </c>
      <c r="AP42" s="4">
        <v>3430</v>
      </c>
      <c r="AQ42" t="str">
        <f>VLOOKUP(N42,'[1]전체(5)'!$N:$AR,30,0)</f>
        <v>스토리위즈</v>
      </c>
      <c r="AR42" t="str">
        <f>VLOOKUP($N42,'[1]전체(5)'!$N:$AR,31,0)</f>
        <v>블랙커피</v>
      </c>
    </row>
    <row r="43" spans="1:44" x14ac:dyDescent="0.4">
      <c r="A43" s="3" t="s">
        <v>42</v>
      </c>
      <c r="B43" s="3" t="s">
        <v>43</v>
      </c>
      <c r="C43" s="3" t="s">
        <v>44</v>
      </c>
      <c r="D43" s="3" t="s">
        <v>45</v>
      </c>
      <c r="E43" s="3"/>
      <c r="F43" s="3" t="s">
        <v>46</v>
      </c>
      <c r="G43" s="3" t="s">
        <v>47</v>
      </c>
      <c r="H43" s="3" t="s">
        <v>48</v>
      </c>
      <c r="I43" s="3" t="s">
        <v>49</v>
      </c>
      <c r="J43" s="3">
        <v>57849384</v>
      </c>
      <c r="K43" s="3" t="s">
        <v>122</v>
      </c>
      <c r="L43" s="3"/>
      <c r="M43" s="3"/>
      <c r="N43" s="3" t="s">
        <v>123</v>
      </c>
      <c r="O43" s="3" t="s">
        <v>52</v>
      </c>
      <c r="P43" s="3">
        <v>0.7</v>
      </c>
      <c r="Q43" s="3">
        <v>0.6</v>
      </c>
      <c r="R43" s="4" t="s">
        <v>53</v>
      </c>
      <c r="S43" s="4">
        <v>2700</v>
      </c>
      <c r="T43" s="4">
        <v>2700</v>
      </c>
      <c r="U43" s="4">
        <v>2700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2700</v>
      </c>
      <c r="AE43" s="4">
        <v>2700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1890</v>
      </c>
      <c r="AO43" s="4">
        <v>0</v>
      </c>
      <c r="AP43" s="4">
        <v>1890</v>
      </c>
      <c r="AQ43" t="str">
        <f>VLOOKUP(N43,'[1]전체(5)'!$N:$AR,30,0)</f>
        <v>스토리위즈</v>
      </c>
      <c r="AR43" t="str">
        <f>VLOOKUP($N43,'[1]전체(5)'!$N:$AR,31,0)</f>
        <v>이로세</v>
      </c>
    </row>
    <row r="44" spans="1:44" x14ac:dyDescent="0.4">
      <c r="A44" s="3" t="s">
        <v>42</v>
      </c>
      <c r="B44" s="3" t="s">
        <v>43</v>
      </c>
      <c r="C44" s="3" t="s">
        <v>44</v>
      </c>
      <c r="D44" s="3" t="s">
        <v>45</v>
      </c>
      <c r="E44" s="3"/>
      <c r="F44" s="3" t="s">
        <v>46</v>
      </c>
      <c r="G44" s="3" t="s">
        <v>47</v>
      </c>
      <c r="H44" s="3" t="s">
        <v>48</v>
      </c>
      <c r="I44" s="3" t="s">
        <v>49</v>
      </c>
      <c r="J44" s="3">
        <v>52929090</v>
      </c>
      <c r="K44" s="3" t="s">
        <v>155</v>
      </c>
      <c r="L44" s="3"/>
      <c r="M44" s="3"/>
      <c r="N44" s="3" t="s">
        <v>76</v>
      </c>
      <c r="O44" s="3" t="s">
        <v>52</v>
      </c>
      <c r="P44" s="3">
        <v>0.7</v>
      </c>
      <c r="Q44" s="3">
        <v>0.6</v>
      </c>
      <c r="R44" s="4" t="s">
        <v>53</v>
      </c>
      <c r="S44" s="4">
        <v>900</v>
      </c>
      <c r="T44" s="4">
        <v>3600</v>
      </c>
      <c r="U44" s="4">
        <v>2700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900</v>
      </c>
      <c r="AD44" s="4">
        <v>3600</v>
      </c>
      <c r="AE44" s="4">
        <v>2700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900</v>
      </c>
      <c r="AN44" s="4">
        <v>2520</v>
      </c>
      <c r="AO44" s="4">
        <v>0</v>
      </c>
      <c r="AP44" s="4">
        <v>2520</v>
      </c>
      <c r="AQ44" t="str">
        <f>VLOOKUP(N44,'[1]전체(5)'!$N:$AR,30,0)</f>
        <v>스토리위즈</v>
      </c>
      <c r="AR44" t="str">
        <f>VLOOKUP($N44,'[1]전체(5)'!$N:$AR,31,0)</f>
        <v>블랙커피</v>
      </c>
    </row>
    <row r="45" spans="1:44" x14ac:dyDescent="0.4">
      <c r="A45" s="3" t="s">
        <v>42</v>
      </c>
      <c r="B45" s="3" t="s">
        <v>43</v>
      </c>
      <c r="C45" s="3" t="s">
        <v>44</v>
      </c>
      <c r="D45" s="3" t="s">
        <v>45</v>
      </c>
      <c r="E45" s="3"/>
      <c r="F45" s="3" t="s">
        <v>46</v>
      </c>
      <c r="G45" s="3" t="s">
        <v>47</v>
      </c>
      <c r="H45" s="3" t="s">
        <v>48</v>
      </c>
      <c r="I45" s="3" t="s">
        <v>49</v>
      </c>
      <c r="J45" s="3">
        <v>57849384</v>
      </c>
      <c r="K45" s="3" t="s">
        <v>122</v>
      </c>
      <c r="L45" s="3"/>
      <c r="M45" s="3"/>
      <c r="N45" s="3" t="s">
        <v>123</v>
      </c>
      <c r="O45" s="3" t="s">
        <v>52</v>
      </c>
      <c r="P45" s="3">
        <v>0.7</v>
      </c>
      <c r="Q45" s="3">
        <v>0.6</v>
      </c>
      <c r="R45" s="4" t="s">
        <v>53</v>
      </c>
      <c r="S45" s="4">
        <v>4500</v>
      </c>
      <c r="T45" s="4">
        <v>4500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4500</v>
      </c>
      <c r="AD45" s="4">
        <v>4500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4500</v>
      </c>
      <c r="AN45" s="4">
        <v>3150</v>
      </c>
      <c r="AO45" s="4">
        <v>0</v>
      </c>
      <c r="AP45" s="4">
        <v>3150</v>
      </c>
      <c r="AQ45" t="str">
        <f>VLOOKUP(N45,'[1]전체(5)'!$N:$AR,30,0)</f>
        <v>스토리위즈</v>
      </c>
      <c r="AR45" t="str">
        <f>VLOOKUP($N45,'[1]전체(5)'!$N:$AR,31,0)</f>
        <v>이로세</v>
      </c>
    </row>
    <row r="46" spans="1:44" x14ac:dyDescent="0.4">
      <c r="A46" s="3" t="s">
        <v>42</v>
      </c>
      <c r="B46" s="3" t="s">
        <v>43</v>
      </c>
      <c r="C46" s="3" t="s">
        <v>44</v>
      </c>
      <c r="D46" s="3" t="s">
        <v>45</v>
      </c>
      <c r="E46" s="3"/>
      <c r="F46" s="3" t="s">
        <v>46</v>
      </c>
      <c r="G46" s="3" t="s">
        <v>47</v>
      </c>
      <c r="H46" s="3" t="s">
        <v>48</v>
      </c>
      <c r="I46" s="3" t="s">
        <v>49</v>
      </c>
      <c r="J46" s="3">
        <v>52929090</v>
      </c>
      <c r="K46" s="3" t="s">
        <v>155</v>
      </c>
      <c r="L46" s="3"/>
      <c r="M46" s="3"/>
      <c r="N46" s="3" t="s">
        <v>76</v>
      </c>
      <c r="O46" s="3" t="s">
        <v>52</v>
      </c>
      <c r="P46" s="3">
        <v>0.7</v>
      </c>
      <c r="Q46" s="3">
        <v>0.6</v>
      </c>
      <c r="R46" s="4" t="s">
        <v>53</v>
      </c>
      <c r="S46" s="4">
        <v>2700</v>
      </c>
      <c r="T46" s="4">
        <v>2700</v>
      </c>
      <c r="U46" s="4">
        <v>2700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2700</v>
      </c>
      <c r="AE46" s="4">
        <v>2700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1890</v>
      </c>
      <c r="AO46" s="4">
        <v>0</v>
      </c>
      <c r="AP46" s="4">
        <v>1890</v>
      </c>
      <c r="AQ46" t="str">
        <f>VLOOKUP(N46,'[1]전체(5)'!$N:$AR,30,0)</f>
        <v>스토리위즈</v>
      </c>
      <c r="AR46" t="str">
        <f>VLOOKUP($N46,'[1]전체(5)'!$N:$AR,31,0)</f>
        <v>블랙커피</v>
      </c>
    </row>
    <row r="47" spans="1:44" x14ac:dyDescent="0.4">
      <c r="A47" s="3" t="s">
        <v>42</v>
      </c>
      <c r="B47" s="3" t="s">
        <v>43</v>
      </c>
      <c r="C47" s="3" t="s">
        <v>44</v>
      </c>
      <c r="D47" s="3" t="s">
        <v>45</v>
      </c>
      <c r="E47" s="3"/>
      <c r="F47" s="3" t="s">
        <v>46</v>
      </c>
      <c r="G47" s="3" t="s">
        <v>47</v>
      </c>
      <c r="H47" s="3" t="s">
        <v>48</v>
      </c>
      <c r="I47" s="3" t="s">
        <v>49</v>
      </c>
      <c r="J47" s="3">
        <v>56440493</v>
      </c>
      <c r="K47" s="3" t="s">
        <v>124</v>
      </c>
      <c r="L47" s="3"/>
      <c r="M47" s="3"/>
      <c r="N47" s="3" t="s">
        <v>125</v>
      </c>
      <c r="O47" s="3" t="s">
        <v>52</v>
      </c>
      <c r="P47" s="3">
        <v>0.7</v>
      </c>
      <c r="Q47" s="3">
        <v>0.6</v>
      </c>
      <c r="R47" s="4" t="s">
        <v>56</v>
      </c>
      <c r="S47" s="4">
        <v>100</v>
      </c>
      <c r="T47" s="4">
        <v>10000</v>
      </c>
      <c r="U47" s="4">
        <v>1600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8400</v>
      </c>
      <c r="AD47" s="4">
        <v>10000</v>
      </c>
      <c r="AE47" s="4">
        <v>1600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8400</v>
      </c>
      <c r="AN47" s="4">
        <v>7000</v>
      </c>
      <c r="AO47" s="4">
        <v>0</v>
      </c>
      <c r="AP47" s="4">
        <v>7000</v>
      </c>
      <c r="AQ47" t="str">
        <f>VLOOKUP(N47,'[1]전체(5)'!$N:$AR,30,0)</f>
        <v>스토리위즈</v>
      </c>
      <c r="AR47" t="str">
        <f>VLOOKUP($N47,'[1]전체(5)'!$N:$AR,31,0)</f>
        <v>DION(디온)</v>
      </c>
    </row>
    <row r="48" spans="1:44" x14ac:dyDescent="0.4">
      <c r="A48" s="3" t="s">
        <v>42</v>
      </c>
      <c r="B48" s="3" t="s">
        <v>43</v>
      </c>
      <c r="C48" s="3" t="s">
        <v>44</v>
      </c>
      <c r="D48" s="3" t="s">
        <v>45</v>
      </c>
      <c r="E48" s="3"/>
      <c r="F48" s="3" t="s">
        <v>46</v>
      </c>
      <c r="G48" s="3" t="s">
        <v>47</v>
      </c>
      <c r="H48" s="3" t="s">
        <v>48</v>
      </c>
      <c r="I48" s="3" t="s">
        <v>49</v>
      </c>
      <c r="J48" s="3">
        <v>56440493</v>
      </c>
      <c r="K48" s="3" t="s">
        <v>124</v>
      </c>
      <c r="L48" s="3"/>
      <c r="M48" s="3"/>
      <c r="N48" s="3" t="s">
        <v>125</v>
      </c>
      <c r="O48" s="3" t="s">
        <v>52</v>
      </c>
      <c r="P48" s="3">
        <v>0.7</v>
      </c>
      <c r="Q48" s="3">
        <v>0.6</v>
      </c>
      <c r="R48" s="4" t="s">
        <v>53</v>
      </c>
      <c r="S48" s="4">
        <v>900</v>
      </c>
      <c r="T48" s="4">
        <v>6000</v>
      </c>
      <c r="U48" s="4">
        <v>700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5300</v>
      </c>
      <c r="AD48" s="4">
        <v>6000</v>
      </c>
      <c r="AE48" s="4">
        <v>700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5300</v>
      </c>
      <c r="AN48" s="4">
        <v>4200</v>
      </c>
      <c r="AO48" s="4">
        <v>0</v>
      </c>
      <c r="AP48" s="4">
        <v>4200</v>
      </c>
      <c r="AQ48" t="str">
        <f>VLOOKUP(N48,'[1]전체(5)'!$N:$AR,30,0)</f>
        <v>스토리위즈</v>
      </c>
      <c r="AR48" t="str">
        <f>VLOOKUP($N48,'[1]전체(5)'!$N:$AR,31,0)</f>
        <v>DION(디온)</v>
      </c>
    </row>
    <row r="49" spans="1:44" x14ac:dyDescent="0.4">
      <c r="A49" s="3" t="s">
        <v>42</v>
      </c>
      <c r="B49" s="3" t="s">
        <v>43</v>
      </c>
      <c r="C49" s="3" t="s">
        <v>44</v>
      </c>
      <c r="D49" s="3" t="s">
        <v>45</v>
      </c>
      <c r="E49" s="3"/>
      <c r="F49" s="3" t="s">
        <v>46</v>
      </c>
      <c r="G49" s="3" t="s">
        <v>47</v>
      </c>
      <c r="H49" s="3" t="s">
        <v>48</v>
      </c>
      <c r="I49" s="3" t="s">
        <v>49</v>
      </c>
      <c r="J49" s="3">
        <v>56440493</v>
      </c>
      <c r="K49" s="3" t="s">
        <v>124</v>
      </c>
      <c r="L49" s="3"/>
      <c r="M49" s="3"/>
      <c r="N49" s="3" t="s">
        <v>125</v>
      </c>
      <c r="O49" s="3" t="s">
        <v>52</v>
      </c>
      <c r="P49" s="3">
        <v>0.7</v>
      </c>
      <c r="Q49" s="3">
        <v>0.6</v>
      </c>
      <c r="R49" s="4" t="s">
        <v>53</v>
      </c>
      <c r="S49" s="4">
        <v>2700</v>
      </c>
      <c r="T49" s="4">
        <v>9600</v>
      </c>
      <c r="U49" s="4">
        <v>6900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2700</v>
      </c>
      <c r="AD49" s="4">
        <v>9600</v>
      </c>
      <c r="AE49" s="4">
        <v>6900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2700</v>
      </c>
      <c r="AN49" s="4">
        <v>6720</v>
      </c>
      <c r="AO49" s="4">
        <v>0</v>
      </c>
      <c r="AP49" s="4">
        <v>6720</v>
      </c>
      <c r="AQ49" t="str">
        <f>VLOOKUP(N49,'[1]전체(5)'!$N:$AR,30,0)</f>
        <v>스토리위즈</v>
      </c>
      <c r="AR49" t="str">
        <f>VLOOKUP($N49,'[1]전체(5)'!$N:$AR,31,0)</f>
        <v>DION(디온)</v>
      </c>
    </row>
    <row r="50" spans="1:44" x14ac:dyDescent="0.4">
      <c r="A50" s="3" t="s">
        <v>42</v>
      </c>
      <c r="B50" s="3" t="s">
        <v>43</v>
      </c>
      <c r="C50" s="3" t="s">
        <v>44</v>
      </c>
      <c r="D50" s="3" t="s">
        <v>45</v>
      </c>
      <c r="E50" s="3"/>
      <c r="F50" s="3" t="s">
        <v>46</v>
      </c>
      <c r="G50" s="3" t="s">
        <v>47</v>
      </c>
      <c r="H50" s="3" t="s">
        <v>48</v>
      </c>
      <c r="I50" s="3" t="s">
        <v>49</v>
      </c>
      <c r="J50" s="3">
        <v>52013921</v>
      </c>
      <c r="K50" s="3" t="s">
        <v>197</v>
      </c>
      <c r="L50" s="3"/>
      <c r="M50" s="3"/>
      <c r="N50" s="3" t="s">
        <v>55</v>
      </c>
      <c r="O50" s="3" t="s">
        <v>52</v>
      </c>
      <c r="P50" s="3">
        <v>0.7</v>
      </c>
      <c r="Q50" s="3">
        <v>0.6</v>
      </c>
      <c r="R50" s="4" t="s">
        <v>56</v>
      </c>
      <c r="S50" s="4">
        <v>100</v>
      </c>
      <c r="T50" s="4">
        <v>14100</v>
      </c>
      <c r="U50" s="4">
        <v>12100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2000</v>
      </c>
      <c r="AD50" s="4">
        <v>14100</v>
      </c>
      <c r="AE50" s="4">
        <v>12100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2000</v>
      </c>
      <c r="AN50" s="4">
        <v>9870</v>
      </c>
      <c r="AO50" s="4">
        <v>0</v>
      </c>
      <c r="AP50" s="4">
        <v>9870</v>
      </c>
      <c r="AQ50" t="str">
        <f>VLOOKUP(N50,'[1]전체(5)'!$N:$AR,30,0)</f>
        <v>스토리위즈</v>
      </c>
      <c r="AR50" t="str">
        <f>VLOOKUP($N50,'[1]전체(5)'!$N:$AR,31,0)</f>
        <v>밈스</v>
      </c>
    </row>
    <row r="51" spans="1:44" x14ac:dyDescent="0.4">
      <c r="A51" s="3" t="s">
        <v>42</v>
      </c>
      <c r="B51" s="3" t="s">
        <v>43</v>
      </c>
      <c r="C51" s="3" t="s">
        <v>44</v>
      </c>
      <c r="D51" s="3" t="s">
        <v>45</v>
      </c>
      <c r="E51" s="3"/>
      <c r="F51" s="3" t="s">
        <v>46</v>
      </c>
      <c r="G51" s="3" t="s">
        <v>47</v>
      </c>
      <c r="H51" s="3" t="s">
        <v>48</v>
      </c>
      <c r="I51" s="3" t="s">
        <v>49</v>
      </c>
      <c r="J51" s="3">
        <v>59413255</v>
      </c>
      <c r="K51" s="3" t="s">
        <v>254</v>
      </c>
      <c r="L51" s="3"/>
      <c r="M51" s="3"/>
      <c r="N51" s="3" t="s">
        <v>255</v>
      </c>
      <c r="O51" s="3" t="s">
        <v>52</v>
      </c>
      <c r="P51" s="3">
        <v>0.7</v>
      </c>
      <c r="Q51" s="3">
        <v>0.6</v>
      </c>
      <c r="R51" s="4" t="s">
        <v>56</v>
      </c>
      <c r="S51" s="4">
        <v>100</v>
      </c>
      <c r="T51" s="4">
        <v>213800</v>
      </c>
      <c r="U51" s="4">
        <v>134900</v>
      </c>
      <c r="V51" s="4">
        <v>0</v>
      </c>
      <c r="W51" s="4">
        <v>0</v>
      </c>
      <c r="X51" s="4">
        <v>0</v>
      </c>
      <c r="Y51" s="4">
        <v>2900</v>
      </c>
      <c r="Z51" s="4">
        <v>4300</v>
      </c>
      <c r="AA51" s="4">
        <v>0</v>
      </c>
      <c r="AB51" s="4">
        <v>0</v>
      </c>
      <c r="AC51" s="4">
        <v>71700</v>
      </c>
      <c r="AD51" s="4">
        <v>214810</v>
      </c>
      <c r="AE51" s="4">
        <v>134900</v>
      </c>
      <c r="AF51" s="4">
        <v>0</v>
      </c>
      <c r="AG51" s="4">
        <v>0</v>
      </c>
      <c r="AH51" s="4">
        <v>0</v>
      </c>
      <c r="AI51" s="4">
        <v>3480</v>
      </c>
      <c r="AJ51" s="4">
        <v>4730</v>
      </c>
      <c r="AK51" s="4">
        <v>0</v>
      </c>
      <c r="AL51" s="4">
        <v>0</v>
      </c>
      <c r="AM51" s="4">
        <v>71700</v>
      </c>
      <c r="AN51" s="4">
        <v>149546</v>
      </c>
      <c r="AO51" s="4">
        <v>0</v>
      </c>
      <c r="AP51" s="4">
        <v>149546</v>
      </c>
      <c r="AQ51" t="str">
        <f>VLOOKUP(N51,'[1]전체(5)'!$N:$AR,30,0)</f>
        <v>스토리위즈</v>
      </c>
      <c r="AR51" t="str">
        <f>VLOOKUP($N51,'[1]전체(5)'!$N:$AR,31,0)</f>
        <v>서도연</v>
      </c>
    </row>
    <row r="52" spans="1:44" x14ac:dyDescent="0.4">
      <c r="A52" s="3" t="s">
        <v>42</v>
      </c>
      <c r="B52" s="3" t="s">
        <v>43</v>
      </c>
      <c r="C52" s="3" t="s">
        <v>44</v>
      </c>
      <c r="D52" s="3" t="s">
        <v>45</v>
      </c>
      <c r="E52" s="3"/>
      <c r="F52" s="3" t="s">
        <v>46</v>
      </c>
      <c r="G52" s="3" t="s">
        <v>47</v>
      </c>
      <c r="H52" s="3" t="s">
        <v>48</v>
      </c>
      <c r="I52" s="3" t="s">
        <v>49</v>
      </c>
      <c r="J52" s="3">
        <v>52013921</v>
      </c>
      <c r="K52" s="3" t="s">
        <v>197</v>
      </c>
      <c r="L52" s="3"/>
      <c r="M52" s="3"/>
      <c r="N52" s="3" t="s">
        <v>55</v>
      </c>
      <c r="O52" s="3" t="s">
        <v>52</v>
      </c>
      <c r="P52" s="3">
        <v>0.7</v>
      </c>
      <c r="Q52" s="3">
        <v>0.6</v>
      </c>
      <c r="R52" s="4" t="s">
        <v>53</v>
      </c>
      <c r="S52" s="4">
        <v>900</v>
      </c>
      <c r="T52" s="4">
        <v>12500</v>
      </c>
      <c r="U52" s="4">
        <v>10600</v>
      </c>
      <c r="V52" s="4">
        <v>0</v>
      </c>
      <c r="W52" s="4">
        <v>0</v>
      </c>
      <c r="X52" s="4">
        <v>0</v>
      </c>
      <c r="Y52" s="4">
        <v>0</v>
      </c>
      <c r="Z52" s="4">
        <v>1800</v>
      </c>
      <c r="AA52" s="4">
        <v>0</v>
      </c>
      <c r="AB52" s="4">
        <v>0</v>
      </c>
      <c r="AC52" s="4">
        <v>100</v>
      </c>
      <c r="AD52" s="4">
        <v>12680</v>
      </c>
      <c r="AE52" s="4">
        <v>10600</v>
      </c>
      <c r="AF52" s="4">
        <v>0</v>
      </c>
      <c r="AG52" s="4">
        <v>0</v>
      </c>
      <c r="AH52" s="4">
        <v>0</v>
      </c>
      <c r="AI52" s="4">
        <v>0</v>
      </c>
      <c r="AJ52" s="4">
        <v>1980</v>
      </c>
      <c r="AK52" s="4">
        <v>0</v>
      </c>
      <c r="AL52" s="4">
        <v>0</v>
      </c>
      <c r="AM52" s="4">
        <v>100</v>
      </c>
      <c r="AN52" s="4">
        <v>8678</v>
      </c>
      <c r="AO52" s="4">
        <v>0</v>
      </c>
      <c r="AP52" s="4">
        <v>8678</v>
      </c>
      <c r="AQ52" t="str">
        <f>VLOOKUP(N52,'[1]전체(5)'!$N:$AR,30,0)</f>
        <v>스토리위즈</v>
      </c>
      <c r="AR52" t="str">
        <f>VLOOKUP($N52,'[1]전체(5)'!$N:$AR,31,0)</f>
        <v>밈스</v>
      </c>
    </row>
    <row r="53" spans="1:44" x14ac:dyDescent="0.4">
      <c r="A53" s="3" t="s">
        <v>42</v>
      </c>
      <c r="B53" s="3" t="s">
        <v>43</v>
      </c>
      <c r="C53" s="3" t="s">
        <v>44</v>
      </c>
      <c r="D53" s="3" t="s">
        <v>45</v>
      </c>
      <c r="E53" s="3"/>
      <c r="F53" s="3" t="s">
        <v>46</v>
      </c>
      <c r="G53" s="3" t="s">
        <v>47</v>
      </c>
      <c r="H53" s="3" t="s">
        <v>48</v>
      </c>
      <c r="I53" s="3" t="s">
        <v>49</v>
      </c>
      <c r="J53" s="3">
        <v>56652170</v>
      </c>
      <c r="K53" s="3" t="s">
        <v>133</v>
      </c>
      <c r="L53" s="3"/>
      <c r="M53" s="3"/>
      <c r="N53" s="3" t="s">
        <v>115</v>
      </c>
      <c r="O53" s="3" t="s">
        <v>52</v>
      </c>
      <c r="P53" s="3">
        <v>0.7</v>
      </c>
      <c r="Q53" s="3">
        <v>0.6</v>
      </c>
      <c r="R53" s="4" t="s">
        <v>74</v>
      </c>
      <c r="S53" s="4">
        <v>900</v>
      </c>
      <c r="T53" s="4">
        <v>38700</v>
      </c>
      <c r="U53" s="4">
        <v>27000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11700</v>
      </c>
      <c r="AD53" s="4">
        <v>38700</v>
      </c>
      <c r="AE53" s="4">
        <v>27000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11700</v>
      </c>
      <c r="AN53" s="4">
        <v>27090</v>
      </c>
      <c r="AO53" s="4">
        <v>0</v>
      </c>
      <c r="AP53" s="4">
        <v>27090</v>
      </c>
      <c r="AQ53" t="str">
        <f>VLOOKUP(N53,'[1]전체(5)'!$N:$AR,30,0)</f>
        <v>스토리위즈</v>
      </c>
      <c r="AR53" t="str">
        <f>VLOOKUP($N53,'[1]전체(5)'!$N:$AR,31,0)</f>
        <v>독고진</v>
      </c>
    </row>
    <row r="54" spans="1:44" x14ac:dyDescent="0.4">
      <c r="A54" s="3" t="s">
        <v>42</v>
      </c>
      <c r="B54" s="3" t="s">
        <v>43</v>
      </c>
      <c r="C54" s="3" t="s">
        <v>44</v>
      </c>
      <c r="D54" s="3" t="s">
        <v>45</v>
      </c>
      <c r="E54" s="3"/>
      <c r="F54" s="3" t="s">
        <v>46</v>
      </c>
      <c r="G54" s="3" t="s">
        <v>47</v>
      </c>
      <c r="H54" s="3" t="s">
        <v>48</v>
      </c>
      <c r="I54" s="3" t="s">
        <v>49</v>
      </c>
      <c r="J54" s="3">
        <v>59413255</v>
      </c>
      <c r="K54" s="3" t="s">
        <v>254</v>
      </c>
      <c r="L54" s="3"/>
      <c r="M54" s="3"/>
      <c r="N54" s="3" t="s">
        <v>255</v>
      </c>
      <c r="O54" s="3" t="s">
        <v>52</v>
      </c>
      <c r="P54" s="3">
        <v>0.7</v>
      </c>
      <c r="Q54" s="3">
        <v>0.6</v>
      </c>
      <c r="R54" s="4" t="s">
        <v>53</v>
      </c>
      <c r="S54" s="4">
        <v>1900</v>
      </c>
      <c r="T54" s="4">
        <v>313500</v>
      </c>
      <c r="U54" s="4">
        <v>265000</v>
      </c>
      <c r="V54" s="4">
        <v>0</v>
      </c>
      <c r="W54" s="4">
        <v>0</v>
      </c>
      <c r="X54" s="4">
        <v>0</v>
      </c>
      <c r="Y54" s="4">
        <v>7000</v>
      </c>
      <c r="Z54" s="4">
        <v>10700</v>
      </c>
      <c r="AA54" s="4">
        <v>0</v>
      </c>
      <c r="AB54" s="4">
        <v>0</v>
      </c>
      <c r="AC54" s="4">
        <v>30800</v>
      </c>
      <c r="AD54" s="4">
        <v>315970</v>
      </c>
      <c r="AE54" s="4">
        <v>265000</v>
      </c>
      <c r="AF54" s="4">
        <v>0</v>
      </c>
      <c r="AG54" s="4">
        <v>0</v>
      </c>
      <c r="AH54" s="4">
        <v>0</v>
      </c>
      <c r="AI54" s="4">
        <v>8400</v>
      </c>
      <c r="AJ54" s="4">
        <v>11770</v>
      </c>
      <c r="AK54" s="4">
        <v>0</v>
      </c>
      <c r="AL54" s="4">
        <v>0</v>
      </c>
      <c r="AM54" s="4">
        <v>30800</v>
      </c>
      <c r="AN54" s="4">
        <v>219162</v>
      </c>
      <c r="AO54" s="4">
        <v>0</v>
      </c>
      <c r="AP54" s="4">
        <v>219162</v>
      </c>
      <c r="AQ54" t="str">
        <f>VLOOKUP(N54,'[1]전체(5)'!$N:$AR,30,0)</f>
        <v>스토리위즈</v>
      </c>
      <c r="AR54" t="str">
        <f>VLOOKUP($N54,'[1]전체(5)'!$N:$AR,31,0)</f>
        <v>서도연</v>
      </c>
    </row>
    <row r="55" spans="1:44" x14ac:dyDescent="0.4">
      <c r="A55" s="3" t="s">
        <v>42</v>
      </c>
      <c r="B55" s="3" t="s">
        <v>43</v>
      </c>
      <c r="C55" s="3" t="s">
        <v>44</v>
      </c>
      <c r="D55" s="3" t="s">
        <v>45</v>
      </c>
      <c r="E55" s="3"/>
      <c r="F55" s="3" t="s">
        <v>46</v>
      </c>
      <c r="G55" s="3" t="s">
        <v>47</v>
      </c>
      <c r="H55" s="3" t="s">
        <v>48</v>
      </c>
      <c r="I55" s="3" t="s">
        <v>49</v>
      </c>
      <c r="J55" s="3">
        <v>52013921</v>
      </c>
      <c r="K55" s="3" t="s">
        <v>197</v>
      </c>
      <c r="L55" s="3"/>
      <c r="M55" s="3"/>
      <c r="N55" s="3" t="s">
        <v>55</v>
      </c>
      <c r="O55" s="3" t="s">
        <v>52</v>
      </c>
      <c r="P55" s="3">
        <v>0.7</v>
      </c>
      <c r="Q55" s="3">
        <v>0.6</v>
      </c>
      <c r="R55" s="4" t="s">
        <v>53</v>
      </c>
      <c r="S55" s="4">
        <v>2700</v>
      </c>
      <c r="T55" s="4">
        <v>10400</v>
      </c>
      <c r="U55" s="4">
        <v>5800</v>
      </c>
      <c r="V55" s="4">
        <v>0</v>
      </c>
      <c r="W55" s="4">
        <v>0</v>
      </c>
      <c r="X55" s="4">
        <v>0</v>
      </c>
      <c r="Y55" s="4">
        <v>2700</v>
      </c>
      <c r="Z55" s="4">
        <v>400</v>
      </c>
      <c r="AA55" s="4">
        <v>0</v>
      </c>
      <c r="AB55" s="4">
        <v>0</v>
      </c>
      <c r="AC55" s="4">
        <v>1500</v>
      </c>
      <c r="AD55" s="4">
        <v>10980</v>
      </c>
      <c r="AE55" s="4">
        <v>5800</v>
      </c>
      <c r="AF55" s="4">
        <v>0</v>
      </c>
      <c r="AG55" s="4">
        <v>0</v>
      </c>
      <c r="AH55" s="4">
        <v>0</v>
      </c>
      <c r="AI55" s="4">
        <v>3240</v>
      </c>
      <c r="AJ55" s="4">
        <v>440</v>
      </c>
      <c r="AK55" s="4">
        <v>0</v>
      </c>
      <c r="AL55" s="4">
        <v>0</v>
      </c>
      <c r="AM55" s="4">
        <v>1500</v>
      </c>
      <c r="AN55" s="4">
        <v>7318</v>
      </c>
      <c r="AO55" s="4">
        <v>0</v>
      </c>
      <c r="AP55" s="4">
        <v>7318</v>
      </c>
      <c r="AQ55" t="str">
        <f>VLOOKUP(N55,'[1]전체(5)'!$N:$AR,30,0)</f>
        <v>스토리위즈</v>
      </c>
      <c r="AR55" t="str">
        <f>VLOOKUP($N55,'[1]전체(5)'!$N:$AR,31,0)</f>
        <v>밈스</v>
      </c>
    </row>
    <row r="56" spans="1:44" x14ac:dyDescent="0.4">
      <c r="A56" s="3" t="s">
        <v>42</v>
      </c>
      <c r="B56" s="3" t="s">
        <v>43</v>
      </c>
      <c r="C56" s="3" t="s">
        <v>44</v>
      </c>
      <c r="D56" s="3" t="s">
        <v>45</v>
      </c>
      <c r="E56" s="3"/>
      <c r="F56" s="3" t="s">
        <v>46</v>
      </c>
      <c r="G56" s="3" t="s">
        <v>47</v>
      </c>
      <c r="H56" s="3" t="s">
        <v>48</v>
      </c>
      <c r="I56" s="3" t="s">
        <v>49</v>
      </c>
      <c r="J56" s="3">
        <v>56652170</v>
      </c>
      <c r="K56" s="3" t="s">
        <v>133</v>
      </c>
      <c r="L56" s="3"/>
      <c r="M56" s="3"/>
      <c r="N56" s="3" t="s">
        <v>115</v>
      </c>
      <c r="O56" s="3" t="s">
        <v>52</v>
      </c>
      <c r="P56" s="3">
        <v>0.7</v>
      </c>
      <c r="Q56" s="3">
        <v>0.6</v>
      </c>
      <c r="R56" s="4" t="s">
        <v>110</v>
      </c>
      <c r="S56" s="4">
        <v>13500</v>
      </c>
      <c r="T56" s="4">
        <v>13500</v>
      </c>
      <c r="U56" s="4">
        <v>13500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13500</v>
      </c>
      <c r="AE56" s="4">
        <v>13500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9450</v>
      </c>
      <c r="AO56" s="4">
        <v>0</v>
      </c>
      <c r="AP56" s="4">
        <v>9450</v>
      </c>
      <c r="AQ56" t="str">
        <f>VLOOKUP(N56,'[1]전체(5)'!$N:$AR,30,0)</f>
        <v>스토리위즈</v>
      </c>
      <c r="AR56" t="str">
        <f>VLOOKUP($N56,'[1]전체(5)'!$N:$AR,31,0)</f>
        <v>독고진</v>
      </c>
    </row>
    <row r="57" spans="1:44" x14ac:dyDescent="0.4">
      <c r="A57" s="3" t="s">
        <v>42</v>
      </c>
      <c r="B57" s="3" t="s">
        <v>43</v>
      </c>
      <c r="C57" s="3" t="s">
        <v>44</v>
      </c>
      <c r="D57" s="3" t="s">
        <v>45</v>
      </c>
      <c r="E57" s="3"/>
      <c r="F57" s="3" t="s">
        <v>46</v>
      </c>
      <c r="G57" s="3" t="s">
        <v>47</v>
      </c>
      <c r="H57" s="3" t="s">
        <v>48</v>
      </c>
      <c r="I57" s="3" t="s">
        <v>49</v>
      </c>
      <c r="J57" s="3">
        <v>58263440</v>
      </c>
      <c r="K57" s="3" t="s">
        <v>88</v>
      </c>
      <c r="L57" s="3"/>
      <c r="M57" s="3"/>
      <c r="N57" s="3" t="s">
        <v>89</v>
      </c>
      <c r="O57" s="3" t="s">
        <v>52</v>
      </c>
      <c r="P57" s="3">
        <v>0.7</v>
      </c>
      <c r="Q57" s="3">
        <v>0.6</v>
      </c>
      <c r="R57" s="4" t="s">
        <v>56</v>
      </c>
      <c r="S57" s="4">
        <v>100</v>
      </c>
      <c r="T57" s="4">
        <v>16000</v>
      </c>
      <c r="U57" s="4">
        <v>2200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13800</v>
      </c>
      <c r="AD57" s="4">
        <v>16000</v>
      </c>
      <c r="AE57" s="4">
        <v>2200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13800</v>
      </c>
      <c r="AN57" s="4">
        <v>11200</v>
      </c>
      <c r="AO57" s="4">
        <v>0</v>
      </c>
      <c r="AP57" s="4">
        <v>11200</v>
      </c>
      <c r="AQ57" t="str">
        <f>VLOOKUP(N57,'[1]전체(5)'!$N:$AR,30,0)</f>
        <v>스토리위즈</v>
      </c>
      <c r="AR57" t="str">
        <f>VLOOKUP($N57,'[1]전체(5)'!$N:$AR,31,0)</f>
        <v>제외</v>
      </c>
    </row>
    <row r="58" spans="1:44" x14ac:dyDescent="0.4">
      <c r="A58" s="3" t="s">
        <v>42</v>
      </c>
      <c r="B58" s="3" t="s">
        <v>43</v>
      </c>
      <c r="C58" s="3" t="s">
        <v>44</v>
      </c>
      <c r="D58" s="3" t="s">
        <v>45</v>
      </c>
      <c r="E58" s="3"/>
      <c r="F58" s="3" t="s">
        <v>46</v>
      </c>
      <c r="G58" s="3" t="s">
        <v>47</v>
      </c>
      <c r="H58" s="3" t="s">
        <v>48</v>
      </c>
      <c r="I58" s="3" t="s">
        <v>49</v>
      </c>
      <c r="J58" s="3">
        <v>59413255</v>
      </c>
      <c r="K58" s="3" t="s">
        <v>254</v>
      </c>
      <c r="L58" s="3"/>
      <c r="M58" s="3"/>
      <c r="N58" s="3" t="s">
        <v>255</v>
      </c>
      <c r="O58" s="3" t="s">
        <v>52</v>
      </c>
      <c r="P58" s="3">
        <v>0.7</v>
      </c>
      <c r="Q58" s="3">
        <v>0.6</v>
      </c>
      <c r="R58" s="4" t="s">
        <v>53</v>
      </c>
      <c r="S58" s="4">
        <v>3700</v>
      </c>
      <c r="T58" s="4">
        <v>152100</v>
      </c>
      <c r="U58" s="4">
        <v>131100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21000</v>
      </c>
      <c r="AD58" s="4">
        <v>152100</v>
      </c>
      <c r="AE58" s="4">
        <v>131100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21000</v>
      </c>
      <c r="AN58" s="4">
        <v>106470</v>
      </c>
      <c r="AO58" s="4">
        <v>0</v>
      </c>
      <c r="AP58" s="4">
        <v>106470</v>
      </c>
      <c r="AQ58" t="str">
        <f>VLOOKUP(N58,'[1]전체(5)'!$N:$AR,30,0)</f>
        <v>스토리위즈</v>
      </c>
      <c r="AR58" t="str">
        <f>VLOOKUP($N58,'[1]전체(5)'!$N:$AR,31,0)</f>
        <v>서도연</v>
      </c>
    </row>
    <row r="59" spans="1:44" x14ac:dyDescent="0.4">
      <c r="A59" s="3" t="s">
        <v>42</v>
      </c>
      <c r="B59" s="3" t="s">
        <v>43</v>
      </c>
      <c r="C59" s="3" t="s">
        <v>44</v>
      </c>
      <c r="D59" s="3" t="s">
        <v>45</v>
      </c>
      <c r="E59" s="3"/>
      <c r="F59" s="3" t="s">
        <v>46</v>
      </c>
      <c r="G59" s="3" t="s">
        <v>47</v>
      </c>
      <c r="H59" s="3" t="s">
        <v>48</v>
      </c>
      <c r="I59" s="3" t="s">
        <v>49</v>
      </c>
      <c r="J59" s="3">
        <v>52013921</v>
      </c>
      <c r="K59" s="3" t="s">
        <v>197</v>
      </c>
      <c r="L59" s="3"/>
      <c r="M59" s="3"/>
      <c r="N59" s="3" t="s">
        <v>55</v>
      </c>
      <c r="O59" s="3" t="s">
        <v>52</v>
      </c>
      <c r="P59" s="3">
        <v>0.7</v>
      </c>
      <c r="Q59" s="3">
        <v>0.6</v>
      </c>
      <c r="R59" s="4" t="s">
        <v>53</v>
      </c>
      <c r="S59" s="4">
        <v>4500</v>
      </c>
      <c r="T59" s="4">
        <v>6600</v>
      </c>
      <c r="U59" s="4">
        <v>6300</v>
      </c>
      <c r="V59" s="4">
        <v>0</v>
      </c>
      <c r="W59" s="4">
        <v>0</v>
      </c>
      <c r="X59" s="4">
        <v>0</v>
      </c>
      <c r="Y59" s="4">
        <v>-2600</v>
      </c>
      <c r="Z59" s="4">
        <v>0</v>
      </c>
      <c r="AA59" s="4">
        <v>0</v>
      </c>
      <c r="AB59" s="4">
        <v>0</v>
      </c>
      <c r="AC59" s="4">
        <v>2900</v>
      </c>
      <c r="AD59" s="4">
        <v>6080</v>
      </c>
      <c r="AE59" s="4">
        <v>6300</v>
      </c>
      <c r="AF59" s="4">
        <v>0</v>
      </c>
      <c r="AG59" s="4">
        <v>0</v>
      </c>
      <c r="AH59" s="4">
        <v>0</v>
      </c>
      <c r="AI59" s="4">
        <v>-3120</v>
      </c>
      <c r="AJ59" s="4">
        <v>0</v>
      </c>
      <c r="AK59" s="4">
        <v>0</v>
      </c>
      <c r="AL59" s="4">
        <v>0</v>
      </c>
      <c r="AM59" s="4">
        <v>2900</v>
      </c>
      <c r="AN59" s="4">
        <v>4568</v>
      </c>
      <c r="AO59" s="4">
        <v>0</v>
      </c>
      <c r="AP59" s="4">
        <v>4568</v>
      </c>
      <c r="AQ59" t="str">
        <f>VLOOKUP(N59,'[1]전체(5)'!$N:$AR,30,0)</f>
        <v>스토리위즈</v>
      </c>
      <c r="AR59" t="str">
        <f>VLOOKUP($N59,'[1]전체(5)'!$N:$AR,31,0)</f>
        <v>밈스</v>
      </c>
    </row>
    <row r="60" spans="1:44" x14ac:dyDescent="0.4">
      <c r="A60" s="3" t="s">
        <v>42</v>
      </c>
      <c r="B60" s="3" t="s">
        <v>43</v>
      </c>
      <c r="C60" s="3" t="s">
        <v>44</v>
      </c>
      <c r="D60" s="3" t="s">
        <v>45</v>
      </c>
      <c r="E60" s="3"/>
      <c r="F60" s="3" t="s">
        <v>46</v>
      </c>
      <c r="G60" s="3" t="s">
        <v>47</v>
      </c>
      <c r="H60" s="3" t="s">
        <v>48</v>
      </c>
      <c r="I60" s="3" t="s">
        <v>49</v>
      </c>
      <c r="J60" s="3">
        <v>56652271</v>
      </c>
      <c r="K60" s="3" t="s">
        <v>134</v>
      </c>
      <c r="L60" s="3"/>
      <c r="M60" s="3"/>
      <c r="N60" s="3" t="s">
        <v>115</v>
      </c>
      <c r="O60" s="3" t="s">
        <v>52</v>
      </c>
      <c r="P60" s="3">
        <v>0.7</v>
      </c>
      <c r="Q60" s="3">
        <v>0.6</v>
      </c>
      <c r="R60" s="4" t="s">
        <v>56</v>
      </c>
      <c r="S60" s="4">
        <v>3200</v>
      </c>
      <c r="T60" s="4">
        <v>48000</v>
      </c>
      <c r="U60" s="4">
        <v>46000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2000</v>
      </c>
      <c r="AD60" s="4">
        <v>48000</v>
      </c>
      <c r="AE60" s="4">
        <v>46000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2000</v>
      </c>
      <c r="AN60" s="4">
        <v>33600</v>
      </c>
      <c r="AO60" s="4">
        <v>0</v>
      </c>
      <c r="AP60" s="4">
        <v>33600</v>
      </c>
      <c r="AQ60" t="str">
        <f>VLOOKUP(N60,'[1]전체(5)'!$N:$AR,30,0)</f>
        <v>스토리위즈</v>
      </c>
      <c r="AR60" t="str">
        <f>VLOOKUP($N60,'[1]전체(5)'!$N:$AR,31,0)</f>
        <v>독고진</v>
      </c>
    </row>
    <row r="61" spans="1:44" x14ac:dyDescent="0.4">
      <c r="A61" s="3" t="s">
        <v>42</v>
      </c>
      <c r="B61" s="3" t="s">
        <v>43</v>
      </c>
      <c r="C61" s="3" t="s">
        <v>44</v>
      </c>
      <c r="D61" s="3" t="s">
        <v>45</v>
      </c>
      <c r="E61" s="3"/>
      <c r="F61" s="3" t="s">
        <v>46</v>
      </c>
      <c r="G61" s="3" t="s">
        <v>47</v>
      </c>
      <c r="H61" s="3" t="s">
        <v>48</v>
      </c>
      <c r="I61" s="3" t="s">
        <v>49</v>
      </c>
      <c r="J61" s="3">
        <v>58263440</v>
      </c>
      <c r="K61" s="3" t="s">
        <v>88</v>
      </c>
      <c r="L61" s="3"/>
      <c r="M61" s="3"/>
      <c r="N61" s="3" t="s">
        <v>89</v>
      </c>
      <c r="O61" s="3" t="s">
        <v>52</v>
      </c>
      <c r="P61" s="3">
        <v>0.7</v>
      </c>
      <c r="Q61" s="3">
        <v>0.6</v>
      </c>
      <c r="R61" s="4" t="s">
        <v>53</v>
      </c>
      <c r="S61" s="4">
        <v>4500</v>
      </c>
      <c r="T61" s="4">
        <v>4500</v>
      </c>
      <c r="U61" s="4">
        <v>4500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4500</v>
      </c>
      <c r="AE61" s="4">
        <v>4500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3150</v>
      </c>
      <c r="AO61" s="4">
        <v>0</v>
      </c>
      <c r="AP61" s="4">
        <v>3150</v>
      </c>
      <c r="AQ61" t="str">
        <f>VLOOKUP(N61,'[1]전체(5)'!$N:$AR,30,0)</f>
        <v>스토리위즈</v>
      </c>
      <c r="AR61" t="str">
        <f>VLOOKUP($N61,'[1]전체(5)'!$N:$AR,31,0)</f>
        <v>제외</v>
      </c>
    </row>
    <row r="62" spans="1:44" x14ac:dyDescent="0.4">
      <c r="A62" s="3" t="s">
        <v>42</v>
      </c>
      <c r="B62" s="3" t="s">
        <v>43</v>
      </c>
      <c r="C62" s="3" t="s">
        <v>44</v>
      </c>
      <c r="D62" s="3" t="s">
        <v>45</v>
      </c>
      <c r="E62" s="3"/>
      <c r="F62" s="3" t="s">
        <v>46</v>
      </c>
      <c r="G62" s="3" t="s">
        <v>47</v>
      </c>
      <c r="H62" s="3" t="s">
        <v>48</v>
      </c>
      <c r="I62" s="3" t="s">
        <v>49</v>
      </c>
      <c r="J62" s="3">
        <v>59413255</v>
      </c>
      <c r="K62" s="3" t="s">
        <v>254</v>
      </c>
      <c r="L62" s="3"/>
      <c r="M62" s="3"/>
      <c r="N62" s="3" t="s">
        <v>255</v>
      </c>
      <c r="O62" s="3" t="s">
        <v>52</v>
      </c>
      <c r="P62" s="3">
        <v>0.7</v>
      </c>
      <c r="Q62" s="3">
        <v>0.6</v>
      </c>
      <c r="R62" s="4" t="s">
        <v>53</v>
      </c>
      <c r="S62" s="4">
        <v>7200</v>
      </c>
      <c r="T62" s="4">
        <v>89700</v>
      </c>
      <c r="U62" s="4">
        <v>67700</v>
      </c>
      <c r="V62" s="4">
        <v>0</v>
      </c>
      <c r="W62" s="4">
        <v>0</v>
      </c>
      <c r="X62" s="4">
        <v>0</v>
      </c>
      <c r="Y62" s="4">
        <v>0</v>
      </c>
      <c r="Z62" s="4">
        <v>14400</v>
      </c>
      <c r="AA62" s="4">
        <v>0</v>
      </c>
      <c r="AB62" s="4">
        <v>0</v>
      </c>
      <c r="AC62" s="4">
        <v>7600</v>
      </c>
      <c r="AD62" s="4">
        <v>91140</v>
      </c>
      <c r="AE62" s="4">
        <v>67700</v>
      </c>
      <c r="AF62" s="4">
        <v>0</v>
      </c>
      <c r="AG62" s="4">
        <v>0</v>
      </c>
      <c r="AH62" s="4">
        <v>0</v>
      </c>
      <c r="AI62" s="4">
        <v>0</v>
      </c>
      <c r="AJ62" s="4">
        <v>15840</v>
      </c>
      <c r="AK62" s="4">
        <v>0</v>
      </c>
      <c r="AL62" s="4">
        <v>0</v>
      </c>
      <c r="AM62" s="4">
        <v>7600</v>
      </c>
      <c r="AN62" s="4">
        <v>62214</v>
      </c>
      <c r="AO62" s="4">
        <v>0</v>
      </c>
      <c r="AP62" s="4">
        <v>62214</v>
      </c>
      <c r="AQ62" t="str">
        <f>VLOOKUP(N62,'[1]전체(5)'!$N:$AR,30,0)</f>
        <v>스토리위즈</v>
      </c>
      <c r="AR62" t="str">
        <f>VLOOKUP($N62,'[1]전체(5)'!$N:$AR,31,0)</f>
        <v>서도연</v>
      </c>
    </row>
    <row r="63" spans="1:44" x14ac:dyDescent="0.4">
      <c r="A63" s="3" t="s">
        <v>42</v>
      </c>
      <c r="B63" s="3" t="s">
        <v>43</v>
      </c>
      <c r="C63" s="3" t="s">
        <v>44</v>
      </c>
      <c r="D63" s="3" t="s">
        <v>45</v>
      </c>
      <c r="E63" s="3"/>
      <c r="F63" s="3" t="s">
        <v>46</v>
      </c>
      <c r="G63" s="3" t="s">
        <v>47</v>
      </c>
      <c r="H63" s="3" t="s">
        <v>48</v>
      </c>
      <c r="I63" s="3" t="s">
        <v>49</v>
      </c>
      <c r="J63" s="3">
        <v>56652328</v>
      </c>
      <c r="K63" s="3" t="s">
        <v>135</v>
      </c>
      <c r="L63" s="3"/>
      <c r="M63" s="3"/>
      <c r="N63" s="3" t="s">
        <v>64</v>
      </c>
      <c r="O63" s="3" t="s">
        <v>52</v>
      </c>
      <c r="P63" s="3">
        <v>0.7</v>
      </c>
      <c r="Q63" s="3">
        <v>0.6</v>
      </c>
      <c r="R63" s="4" t="s">
        <v>74</v>
      </c>
      <c r="S63" s="4">
        <v>900</v>
      </c>
      <c r="T63" s="4">
        <v>12600</v>
      </c>
      <c r="U63" s="4">
        <v>7210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5390</v>
      </c>
      <c r="AD63" s="4">
        <v>12600</v>
      </c>
      <c r="AE63" s="4">
        <v>7210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5390</v>
      </c>
      <c r="AN63" s="4">
        <v>8820</v>
      </c>
      <c r="AO63" s="4">
        <v>0</v>
      </c>
      <c r="AP63" s="4">
        <v>8820</v>
      </c>
      <c r="AQ63" t="str">
        <f>VLOOKUP(N63,'[1]전체(5)'!$N:$AR,30,0)</f>
        <v>스토리위즈</v>
      </c>
      <c r="AR63" t="str">
        <f>VLOOKUP($N63,'[1]전체(5)'!$N:$AR,31,0)</f>
        <v>전혁</v>
      </c>
    </row>
    <row r="64" spans="1:44" x14ac:dyDescent="0.4">
      <c r="A64" s="3" t="s">
        <v>42</v>
      </c>
      <c r="B64" s="3" t="s">
        <v>43</v>
      </c>
      <c r="C64" s="3" t="s">
        <v>44</v>
      </c>
      <c r="D64" s="3" t="s">
        <v>45</v>
      </c>
      <c r="E64" s="3"/>
      <c r="F64" s="3" t="s">
        <v>46</v>
      </c>
      <c r="G64" s="3" t="s">
        <v>47</v>
      </c>
      <c r="H64" s="3" t="s">
        <v>48</v>
      </c>
      <c r="I64" s="3" t="s">
        <v>49</v>
      </c>
      <c r="J64" s="3">
        <v>58263440</v>
      </c>
      <c r="K64" s="3" t="s">
        <v>88</v>
      </c>
      <c r="L64" s="3"/>
      <c r="M64" s="3"/>
      <c r="N64" s="3" t="s">
        <v>89</v>
      </c>
      <c r="O64" s="3" t="s">
        <v>52</v>
      </c>
      <c r="P64" s="3">
        <v>0.7</v>
      </c>
      <c r="Q64" s="3">
        <v>0.6</v>
      </c>
      <c r="R64" s="4" t="s">
        <v>53</v>
      </c>
      <c r="S64" s="4">
        <v>9000</v>
      </c>
      <c r="T64" s="4">
        <v>9000</v>
      </c>
      <c r="U64" s="4">
        <v>9000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9000</v>
      </c>
      <c r="AE64" s="4">
        <v>9000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6300</v>
      </c>
      <c r="AO64" s="4">
        <v>0</v>
      </c>
      <c r="AP64" s="4">
        <v>6300</v>
      </c>
      <c r="AQ64" t="str">
        <f>VLOOKUP(N64,'[1]전체(5)'!$N:$AR,30,0)</f>
        <v>스토리위즈</v>
      </c>
      <c r="AR64" t="str">
        <f>VLOOKUP($N64,'[1]전체(5)'!$N:$AR,31,0)</f>
        <v>제외</v>
      </c>
    </row>
    <row r="65" spans="1:44" x14ac:dyDescent="0.4">
      <c r="A65" s="3" t="s">
        <v>42</v>
      </c>
      <c r="B65" s="3" t="s">
        <v>43</v>
      </c>
      <c r="C65" s="3" t="s">
        <v>44</v>
      </c>
      <c r="D65" s="3" t="s">
        <v>45</v>
      </c>
      <c r="E65" s="3"/>
      <c r="F65" s="3" t="s">
        <v>46</v>
      </c>
      <c r="G65" s="3" t="s">
        <v>47</v>
      </c>
      <c r="H65" s="3" t="s">
        <v>48</v>
      </c>
      <c r="I65" s="3" t="s">
        <v>49</v>
      </c>
      <c r="J65" s="3">
        <v>56652561</v>
      </c>
      <c r="K65" s="3" t="s">
        <v>136</v>
      </c>
      <c r="L65" s="3"/>
      <c r="M65" s="3"/>
      <c r="N65" s="3" t="s">
        <v>64</v>
      </c>
      <c r="O65" s="3" t="s">
        <v>52</v>
      </c>
      <c r="P65" s="3">
        <v>0.7</v>
      </c>
      <c r="Q65" s="3">
        <v>0.6</v>
      </c>
      <c r="R65" s="4" t="s">
        <v>56</v>
      </c>
      <c r="S65" s="4">
        <v>3200</v>
      </c>
      <c r="T65" s="4">
        <v>32000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32000</v>
      </c>
      <c r="AD65" s="4">
        <v>32000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32000</v>
      </c>
      <c r="AN65" s="4">
        <v>22400</v>
      </c>
      <c r="AO65" s="4">
        <v>0</v>
      </c>
      <c r="AP65" s="4">
        <v>22400</v>
      </c>
      <c r="AQ65" t="str">
        <f>VLOOKUP(N65,'[1]전체(5)'!$N:$AR,30,0)</f>
        <v>스토리위즈</v>
      </c>
      <c r="AR65" t="str">
        <f>VLOOKUP($N65,'[1]전체(5)'!$N:$AR,31,0)</f>
        <v>전혁</v>
      </c>
    </row>
    <row r="66" spans="1:44" x14ac:dyDescent="0.4">
      <c r="A66" s="3" t="s">
        <v>42</v>
      </c>
      <c r="B66" s="3" t="s">
        <v>43</v>
      </c>
      <c r="C66" s="3" t="s">
        <v>44</v>
      </c>
      <c r="D66" s="3" t="s">
        <v>45</v>
      </c>
      <c r="E66" s="3"/>
      <c r="F66" s="3" t="s">
        <v>46</v>
      </c>
      <c r="G66" s="3" t="s">
        <v>47</v>
      </c>
      <c r="H66" s="3" t="s">
        <v>48</v>
      </c>
      <c r="I66" s="3" t="s">
        <v>49</v>
      </c>
      <c r="J66" s="3">
        <v>56652561</v>
      </c>
      <c r="K66" s="3" t="s">
        <v>136</v>
      </c>
      <c r="L66" s="3"/>
      <c r="M66" s="3"/>
      <c r="N66" s="3" t="s">
        <v>64</v>
      </c>
      <c r="O66" s="3" t="s">
        <v>52</v>
      </c>
      <c r="P66" s="3">
        <v>0.7</v>
      </c>
      <c r="Q66" s="3">
        <v>0.6</v>
      </c>
      <c r="R66" s="4" t="s">
        <v>74</v>
      </c>
      <c r="S66" s="4">
        <v>900</v>
      </c>
      <c r="T66" s="4">
        <v>1800</v>
      </c>
      <c r="U66" s="4">
        <v>1800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1800</v>
      </c>
      <c r="AE66" s="4">
        <v>1800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1260</v>
      </c>
      <c r="AO66" s="4">
        <v>0</v>
      </c>
      <c r="AP66" s="4">
        <v>1260</v>
      </c>
      <c r="AQ66" t="str">
        <f>VLOOKUP(N66,'[1]전체(5)'!$N:$AR,30,0)</f>
        <v>스토리위즈</v>
      </c>
      <c r="AR66" t="str">
        <f>VLOOKUP($N66,'[1]전체(5)'!$N:$AR,31,0)</f>
        <v>전혁</v>
      </c>
    </row>
    <row r="67" spans="1:44" x14ac:dyDescent="0.4">
      <c r="A67" s="3" t="s">
        <v>42</v>
      </c>
      <c r="B67" s="3" t="s">
        <v>43</v>
      </c>
      <c r="C67" s="3" t="s">
        <v>44</v>
      </c>
      <c r="D67" s="3" t="s">
        <v>45</v>
      </c>
      <c r="E67" s="3"/>
      <c r="F67" s="3" t="s">
        <v>46</v>
      </c>
      <c r="G67" s="3" t="s">
        <v>47</v>
      </c>
      <c r="H67" s="3" t="s">
        <v>48</v>
      </c>
      <c r="I67" s="3" t="s">
        <v>49</v>
      </c>
      <c r="J67" s="3">
        <v>56652633</v>
      </c>
      <c r="K67" s="3" t="s">
        <v>256</v>
      </c>
      <c r="L67" s="3"/>
      <c r="M67" s="3"/>
      <c r="N67" s="3" t="s">
        <v>64</v>
      </c>
      <c r="O67" s="3" t="s">
        <v>52</v>
      </c>
      <c r="P67" s="3">
        <v>0.7</v>
      </c>
      <c r="Q67" s="3">
        <v>0.6</v>
      </c>
      <c r="R67" s="4" t="s">
        <v>56</v>
      </c>
      <c r="S67" s="4">
        <v>3200</v>
      </c>
      <c r="T67" s="4">
        <v>32000</v>
      </c>
      <c r="U67" s="4">
        <v>28500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3500</v>
      </c>
      <c r="AD67" s="4">
        <v>32000</v>
      </c>
      <c r="AE67" s="4">
        <v>28500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3500</v>
      </c>
      <c r="AN67" s="4">
        <v>22400</v>
      </c>
      <c r="AO67" s="4">
        <v>0</v>
      </c>
      <c r="AP67" s="4">
        <v>22400</v>
      </c>
      <c r="AQ67" t="str">
        <f>VLOOKUP(N67,'[1]전체(5)'!$N:$AR,30,0)</f>
        <v>스토리위즈</v>
      </c>
      <c r="AR67" t="str">
        <f>VLOOKUP($N67,'[1]전체(5)'!$N:$AR,31,0)</f>
        <v>전혁</v>
      </c>
    </row>
    <row r="68" spans="1:44" x14ac:dyDescent="0.4">
      <c r="A68" s="3" t="s">
        <v>42</v>
      </c>
      <c r="B68" s="3" t="s">
        <v>43</v>
      </c>
      <c r="C68" s="3" t="s">
        <v>44</v>
      </c>
      <c r="D68" s="3" t="s">
        <v>45</v>
      </c>
      <c r="E68" s="3"/>
      <c r="F68" s="3" t="s">
        <v>46</v>
      </c>
      <c r="G68" s="3" t="s">
        <v>47</v>
      </c>
      <c r="H68" s="3" t="s">
        <v>48</v>
      </c>
      <c r="I68" s="3" t="s">
        <v>49</v>
      </c>
      <c r="J68" s="3">
        <v>56652730</v>
      </c>
      <c r="K68" s="3" t="s">
        <v>137</v>
      </c>
      <c r="L68" s="3"/>
      <c r="M68" s="3"/>
      <c r="N68" s="3" t="s">
        <v>64</v>
      </c>
      <c r="O68" s="3" t="s">
        <v>52</v>
      </c>
      <c r="P68" s="3">
        <v>0.7</v>
      </c>
      <c r="Q68" s="3">
        <v>0.6</v>
      </c>
      <c r="R68" s="4" t="s">
        <v>74</v>
      </c>
      <c r="S68" s="4">
        <v>900</v>
      </c>
      <c r="T68" s="4">
        <v>47700</v>
      </c>
      <c r="U68" s="4">
        <v>29000</v>
      </c>
      <c r="V68" s="4">
        <v>0</v>
      </c>
      <c r="W68" s="4">
        <v>0</v>
      </c>
      <c r="X68" s="4">
        <v>0</v>
      </c>
      <c r="Y68" s="4">
        <v>0</v>
      </c>
      <c r="Z68" s="4">
        <v>2700</v>
      </c>
      <c r="AA68" s="4">
        <v>0</v>
      </c>
      <c r="AB68" s="4">
        <v>0</v>
      </c>
      <c r="AC68" s="4">
        <v>16000</v>
      </c>
      <c r="AD68" s="4">
        <v>47970</v>
      </c>
      <c r="AE68" s="4">
        <v>29000</v>
      </c>
      <c r="AF68" s="4">
        <v>0</v>
      </c>
      <c r="AG68" s="4">
        <v>0</v>
      </c>
      <c r="AH68" s="4">
        <v>0</v>
      </c>
      <c r="AI68" s="4">
        <v>0</v>
      </c>
      <c r="AJ68" s="4">
        <v>2970</v>
      </c>
      <c r="AK68" s="4">
        <v>0</v>
      </c>
      <c r="AL68" s="4">
        <v>0</v>
      </c>
      <c r="AM68" s="4">
        <v>16000</v>
      </c>
      <c r="AN68" s="4">
        <v>33282</v>
      </c>
      <c r="AO68" s="4">
        <v>0</v>
      </c>
      <c r="AP68" s="4">
        <v>33282</v>
      </c>
      <c r="AQ68" t="str">
        <f>VLOOKUP(N68,'[1]전체(5)'!$N:$AR,30,0)</f>
        <v>스토리위즈</v>
      </c>
      <c r="AR68" t="str">
        <f>VLOOKUP($N68,'[1]전체(5)'!$N:$AR,31,0)</f>
        <v>전혁</v>
      </c>
    </row>
    <row r="69" spans="1:44" x14ac:dyDescent="0.4">
      <c r="A69" s="3" t="s">
        <v>42</v>
      </c>
      <c r="B69" s="3" t="s">
        <v>43</v>
      </c>
      <c r="C69" s="3" t="s">
        <v>44</v>
      </c>
      <c r="D69" s="3" t="s">
        <v>45</v>
      </c>
      <c r="E69" s="3"/>
      <c r="F69" s="3" t="s">
        <v>46</v>
      </c>
      <c r="G69" s="3" t="s">
        <v>47</v>
      </c>
      <c r="H69" s="3" t="s">
        <v>48</v>
      </c>
      <c r="I69" s="3" t="s">
        <v>49</v>
      </c>
      <c r="J69" s="3">
        <v>56652730</v>
      </c>
      <c r="K69" s="3" t="s">
        <v>137</v>
      </c>
      <c r="L69" s="3"/>
      <c r="M69" s="3"/>
      <c r="N69" s="3" t="s">
        <v>64</v>
      </c>
      <c r="O69" s="3" t="s">
        <v>52</v>
      </c>
      <c r="P69" s="3">
        <v>0.7</v>
      </c>
      <c r="Q69" s="3">
        <v>0.6</v>
      </c>
      <c r="R69" s="4" t="s">
        <v>110</v>
      </c>
      <c r="S69" s="4">
        <v>8100</v>
      </c>
      <c r="T69" s="4">
        <v>8100</v>
      </c>
      <c r="U69" s="4">
        <v>7200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900</v>
      </c>
      <c r="AD69" s="4">
        <v>8100</v>
      </c>
      <c r="AE69" s="4">
        <v>7200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900</v>
      </c>
      <c r="AN69" s="4">
        <v>5670</v>
      </c>
      <c r="AO69" s="4">
        <v>0</v>
      </c>
      <c r="AP69" s="4">
        <v>5670</v>
      </c>
      <c r="AQ69" t="str">
        <f>VLOOKUP(N69,'[1]전체(5)'!$N:$AR,30,0)</f>
        <v>스토리위즈</v>
      </c>
      <c r="AR69" t="str">
        <f>VLOOKUP($N69,'[1]전체(5)'!$N:$AR,31,0)</f>
        <v>전혁</v>
      </c>
    </row>
    <row r="70" spans="1:44" x14ac:dyDescent="0.4">
      <c r="A70" s="3" t="s">
        <v>42</v>
      </c>
      <c r="B70" s="3" t="s">
        <v>43</v>
      </c>
      <c r="C70" s="3" t="s">
        <v>44</v>
      </c>
      <c r="D70" s="3" t="s">
        <v>45</v>
      </c>
      <c r="E70" s="3"/>
      <c r="F70" s="3" t="s">
        <v>46</v>
      </c>
      <c r="G70" s="3" t="s">
        <v>47</v>
      </c>
      <c r="H70" s="3" t="s">
        <v>48</v>
      </c>
      <c r="I70" s="3" t="s">
        <v>49</v>
      </c>
      <c r="J70" s="3">
        <v>47628195</v>
      </c>
      <c r="K70" s="3" t="s">
        <v>69</v>
      </c>
      <c r="L70" s="3"/>
      <c r="M70" s="3"/>
      <c r="N70" s="3" t="s">
        <v>70</v>
      </c>
      <c r="O70" s="3" t="s">
        <v>52</v>
      </c>
      <c r="P70" s="3">
        <v>0.7</v>
      </c>
      <c r="Q70" s="3">
        <v>0.6</v>
      </c>
      <c r="R70" s="4" t="s">
        <v>56</v>
      </c>
      <c r="S70" s="4">
        <v>100</v>
      </c>
      <c r="T70" s="4">
        <v>27500</v>
      </c>
      <c r="U70" s="4">
        <v>11200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16300</v>
      </c>
      <c r="AD70" s="4">
        <v>27500</v>
      </c>
      <c r="AE70" s="4">
        <v>11200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16300</v>
      </c>
      <c r="AN70" s="4">
        <v>19250</v>
      </c>
      <c r="AO70" s="4">
        <v>0</v>
      </c>
      <c r="AP70" s="4">
        <v>19250</v>
      </c>
      <c r="AQ70" t="str">
        <f>VLOOKUP(N70,'[1]전체(5)'!$N:$AR,30,0)</f>
        <v>스토리위즈</v>
      </c>
      <c r="AR70" t="str">
        <f>VLOOKUP($N70,'[1]전체(5)'!$N:$AR,31,0)</f>
        <v>김정률</v>
      </c>
    </row>
    <row r="71" spans="1:44" x14ac:dyDescent="0.4">
      <c r="A71" s="3" t="s">
        <v>42</v>
      </c>
      <c r="B71" s="3" t="s">
        <v>43</v>
      </c>
      <c r="C71" s="3" t="s">
        <v>44</v>
      </c>
      <c r="D71" s="3" t="s">
        <v>45</v>
      </c>
      <c r="E71" s="3"/>
      <c r="F71" s="3" t="s">
        <v>46</v>
      </c>
      <c r="G71" s="3" t="s">
        <v>47</v>
      </c>
      <c r="H71" s="3" t="s">
        <v>48</v>
      </c>
      <c r="I71" s="3" t="s">
        <v>49</v>
      </c>
      <c r="J71" s="3">
        <v>53823730</v>
      </c>
      <c r="K71" s="3" t="s">
        <v>50</v>
      </c>
      <c r="L71" s="3"/>
      <c r="M71" s="3"/>
      <c r="N71" s="3" t="s">
        <v>51</v>
      </c>
      <c r="O71" s="3" t="s">
        <v>52</v>
      </c>
      <c r="P71" s="3">
        <v>0.7</v>
      </c>
      <c r="Q71" s="3">
        <v>0.6</v>
      </c>
      <c r="R71" s="4" t="s">
        <v>56</v>
      </c>
      <c r="S71" s="4">
        <v>100</v>
      </c>
      <c r="T71" s="4">
        <v>25400</v>
      </c>
      <c r="U71" s="4">
        <v>17300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8100</v>
      </c>
      <c r="AD71" s="4">
        <v>25400</v>
      </c>
      <c r="AE71" s="4">
        <v>17300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8100</v>
      </c>
      <c r="AN71" s="4">
        <v>17780</v>
      </c>
      <c r="AO71" s="4">
        <v>0</v>
      </c>
      <c r="AP71" s="4">
        <v>17780</v>
      </c>
      <c r="AQ71" t="str">
        <f>VLOOKUP(N71,'[1]전체(5)'!$N:$AR,30,0)</f>
        <v>스토리위즈</v>
      </c>
      <c r="AR71" t="str">
        <f>VLOOKUP($N71,'[1]전체(5)'!$N:$AR,31,0)</f>
        <v>문스톤</v>
      </c>
    </row>
    <row r="72" spans="1:44" x14ac:dyDescent="0.4">
      <c r="A72" s="3" t="s">
        <v>42</v>
      </c>
      <c r="B72" s="3" t="s">
        <v>43</v>
      </c>
      <c r="C72" s="3" t="s">
        <v>44</v>
      </c>
      <c r="D72" s="3" t="s">
        <v>45</v>
      </c>
      <c r="E72" s="3"/>
      <c r="F72" s="3" t="s">
        <v>46</v>
      </c>
      <c r="G72" s="3" t="s">
        <v>47</v>
      </c>
      <c r="H72" s="3" t="s">
        <v>48</v>
      </c>
      <c r="I72" s="3" t="s">
        <v>49</v>
      </c>
      <c r="J72" s="3">
        <v>47628195</v>
      </c>
      <c r="K72" s="3" t="s">
        <v>69</v>
      </c>
      <c r="L72" s="3"/>
      <c r="M72" s="3"/>
      <c r="N72" s="3" t="s">
        <v>70</v>
      </c>
      <c r="O72" s="3" t="s">
        <v>52</v>
      </c>
      <c r="P72" s="3">
        <v>0.7</v>
      </c>
      <c r="Q72" s="3">
        <v>0.6</v>
      </c>
      <c r="R72" s="4" t="s">
        <v>53</v>
      </c>
      <c r="S72" s="4">
        <v>2300</v>
      </c>
      <c r="T72" s="4">
        <v>30400</v>
      </c>
      <c r="U72" s="4">
        <v>25800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4600</v>
      </c>
      <c r="AD72" s="4">
        <v>30400</v>
      </c>
      <c r="AE72" s="4">
        <v>25800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4600</v>
      </c>
      <c r="AN72" s="4">
        <v>21280</v>
      </c>
      <c r="AO72" s="4">
        <v>0</v>
      </c>
      <c r="AP72" s="4">
        <v>21280</v>
      </c>
      <c r="AQ72" t="str">
        <f>VLOOKUP(N72,'[1]전체(5)'!$N:$AR,30,0)</f>
        <v>스토리위즈</v>
      </c>
      <c r="AR72" t="str">
        <f>VLOOKUP($N72,'[1]전체(5)'!$N:$AR,31,0)</f>
        <v>김정률</v>
      </c>
    </row>
    <row r="73" spans="1:44" x14ac:dyDescent="0.4">
      <c r="A73" s="3" t="s">
        <v>42</v>
      </c>
      <c r="B73" s="3" t="s">
        <v>43</v>
      </c>
      <c r="C73" s="3" t="s">
        <v>44</v>
      </c>
      <c r="D73" s="3" t="s">
        <v>45</v>
      </c>
      <c r="E73" s="3"/>
      <c r="F73" s="3" t="s">
        <v>46</v>
      </c>
      <c r="G73" s="3" t="s">
        <v>47</v>
      </c>
      <c r="H73" s="3" t="s">
        <v>48</v>
      </c>
      <c r="I73" s="3" t="s">
        <v>49</v>
      </c>
      <c r="J73" s="3">
        <v>53823730</v>
      </c>
      <c r="K73" s="3" t="s">
        <v>50</v>
      </c>
      <c r="L73" s="3"/>
      <c r="M73" s="3"/>
      <c r="N73" s="3" t="s">
        <v>51</v>
      </c>
      <c r="O73" s="3" t="s">
        <v>52</v>
      </c>
      <c r="P73" s="3">
        <v>0.7</v>
      </c>
      <c r="Q73" s="3">
        <v>0.6</v>
      </c>
      <c r="R73" s="4" t="s">
        <v>53</v>
      </c>
      <c r="S73" s="4">
        <v>900</v>
      </c>
      <c r="T73" s="4">
        <v>27000</v>
      </c>
      <c r="U73" s="4">
        <v>21900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5100</v>
      </c>
      <c r="AD73" s="4">
        <v>27000</v>
      </c>
      <c r="AE73" s="4">
        <v>21900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5100</v>
      </c>
      <c r="AN73" s="4">
        <v>18900</v>
      </c>
      <c r="AO73" s="4">
        <v>0</v>
      </c>
      <c r="AP73" s="4">
        <v>18900</v>
      </c>
      <c r="AQ73" t="str">
        <f>VLOOKUP(N73,'[1]전체(5)'!$N:$AR,30,0)</f>
        <v>스토리위즈</v>
      </c>
      <c r="AR73" t="str">
        <f>VLOOKUP($N73,'[1]전체(5)'!$N:$AR,31,0)</f>
        <v>문스톤</v>
      </c>
    </row>
    <row r="74" spans="1:44" x14ac:dyDescent="0.4">
      <c r="A74" s="3" t="s">
        <v>42</v>
      </c>
      <c r="B74" s="3" t="s">
        <v>43</v>
      </c>
      <c r="C74" s="3" t="s">
        <v>44</v>
      </c>
      <c r="D74" s="3" t="s">
        <v>45</v>
      </c>
      <c r="E74" s="3"/>
      <c r="F74" s="3" t="s">
        <v>46</v>
      </c>
      <c r="G74" s="3" t="s">
        <v>47</v>
      </c>
      <c r="H74" s="3" t="s">
        <v>48</v>
      </c>
      <c r="I74" s="3" t="s">
        <v>49</v>
      </c>
      <c r="J74" s="3">
        <v>47628195</v>
      </c>
      <c r="K74" s="3" t="s">
        <v>69</v>
      </c>
      <c r="L74" s="3"/>
      <c r="M74" s="3"/>
      <c r="N74" s="3" t="s">
        <v>70</v>
      </c>
      <c r="O74" s="3" t="s">
        <v>52</v>
      </c>
      <c r="P74" s="3">
        <v>0.7</v>
      </c>
      <c r="Q74" s="3">
        <v>0.6</v>
      </c>
      <c r="R74" s="4" t="s">
        <v>53</v>
      </c>
      <c r="S74" s="4">
        <v>4500</v>
      </c>
      <c r="T74" s="4">
        <v>13500</v>
      </c>
      <c r="U74" s="4">
        <v>13500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13500</v>
      </c>
      <c r="AE74" s="4">
        <v>13500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9450</v>
      </c>
      <c r="AO74" s="4">
        <v>0</v>
      </c>
      <c r="AP74" s="4">
        <v>9450</v>
      </c>
      <c r="AQ74" t="str">
        <f>VLOOKUP(N74,'[1]전체(5)'!$N:$AR,30,0)</f>
        <v>스토리위즈</v>
      </c>
      <c r="AR74" t="str">
        <f>VLOOKUP($N74,'[1]전체(5)'!$N:$AR,31,0)</f>
        <v>김정률</v>
      </c>
    </row>
    <row r="75" spans="1:44" x14ac:dyDescent="0.4">
      <c r="A75" s="3" t="s">
        <v>42</v>
      </c>
      <c r="B75" s="3" t="s">
        <v>43</v>
      </c>
      <c r="C75" s="3" t="s">
        <v>44</v>
      </c>
      <c r="D75" s="3" t="s">
        <v>45</v>
      </c>
      <c r="E75" s="3"/>
      <c r="F75" s="3" t="s">
        <v>46</v>
      </c>
      <c r="G75" s="3" t="s">
        <v>47</v>
      </c>
      <c r="H75" s="3" t="s">
        <v>48</v>
      </c>
      <c r="I75" s="3" t="s">
        <v>49</v>
      </c>
      <c r="J75" s="3">
        <v>53823730</v>
      </c>
      <c r="K75" s="3" t="s">
        <v>50</v>
      </c>
      <c r="L75" s="3"/>
      <c r="M75" s="3"/>
      <c r="N75" s="3" t="s">
        <v>51</v>
      </c>
      <c r="O75" s="3" t="s">
        <v>52</v>
      </c>
      <c r="P75" s="3">
        <v>0.7</v>
      </c>
      <c r="Q75" s="3">
        <v>0.6</v>
      </c>
      <c r="R75" s="4" t="s">
        <v>53</v>
      </c>
      <c r="S75" s="4">
        <v>1800</v>
      </c>
      <c r="T75" s="4">
        <v>5400</v>
      </c>
      <c r="U75" s="4">
        <v>4900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500</v>
      </c>
      <c r="AD75" s="4">
        <v>5400</v>
      </c>
      <c r="AE75" s="4">
        <v>4900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500</v>
      </c>
      <c r="AN75" s="4">
        <v>3780</v>
      </c>
      <c r="AO75" s="4">
        <v>0</v>
      </c>
      <c r="AP75" s="4">
        <v>3780</v>
      </c>
      <c r="AQ75" t="str">
        <f>VLOOKUP(N75,'[1]전체(5)'!$N:$AR,30,0)</f>
        <v>스토리위즈</v>
      </c>
      <c r="AR75" t="str">
        <f>VLOOKUP($N75,'[1]전체(5)'!$N:$AR,31,0)</f>
        <v>문스톤</v>
      </c>
    </row>
    <row r="76" spans="1:44" x14ac:dyDescent="0.4">
      <c r="A76" s="3" t="s">
        <v>42</v>
      </c>
      <c r="B76" s="3" t="s">
        <v>43</v>
      </c>
      <c r="C76" s="3" t="s">
        <v>44</v>
      </c>
      <c r="D76" s="3" t="s">
        <v>45</v>
      </c>
      <c r="E76" s="3"/>
      <c r="F76" s="3" t="s">
        <v>46</v>
      </c>
      <c r="G76" s="3" t="s">
        <v>47</v>
      </c>
      <c r="H76" s="3" t="s">
        <v>48</v>
      </c>
      <c r="I76" s="3" t="s">
        <v>49</v>
      </c>
      <c r="J76" s="3">
        <v>53879982</v>
      </c>
      <c r="K76" s="3" t="s">
        <v>61</v>
      </c>
      <c r="L76" s="3"/>
      <c r="M76" s="3"/>
      <c r="N76" s="3" t="s">
        <v>62</v>
      </c>
      <c r="O76" s="3" t="s">
        <v>52</v>
      </c>
      <c r="P76" s="3">
        <v>0.7</v>
      </c>
      <c r="Q76" s="3">
        <v>0.6</v>
      </c>
      <c r="R76" s="4" t="s">
        <v>56</v>
      </c>
      <c r="S76" s="4">
        <v>100</v>
      </c>
      <c r="T76" s="4">
        <v>700</v>
      </c>
      <c r="U76" s="4">
        <v>600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100</v>
      </c>
      <c r="AD76" s="4">
        <v>700</v>
      </c>
      <c r="AE76" s="4">
        <v>600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100</v>
      </c>
      <c r="AN76" s="4">
        <v>490</v>
      </c>
      <c r="AO76" s="4">
        <v>0</v>
      </c>
      <c r="AP76" s="4">
        <v>490</v>
      </c>
      <c r="AQ76" t="str">
        <f>VLOOKUP(N76,'[1]전체(5)'!$N:$AR,30,0)</f>
        <v>스토리위즈</v>
      </c>
      <c r="AR76" t="str">
        <f>VLOOKUP($N76,'[1]전체(5)'!$N:$AR,31,0)</f>
        <v>블 루 스 카 이</v>
      </c>
    </row>
    <row r="77" spans="1:44" x14ac:dyDescent="0.4">
      <c r="A77" s="3" t="s">
        <v>42</v>
      </c>
      <c r="B77" s="3" t="s">
        <v>43</v>
      </c>
      <c r="C77" s="3" t="s">
        <v>44</v>
      </c>
      <c r="D77" s="3" t="s">
        <v>45</v>
      </c>
      <c r="E77" s="3"/>
      <c r="F77" s="3" t="s">
        <v>46</v>
      </c>
      <c r="G77" s="3" t="s">
        <v>47</v>
      </c>
      <c r="H77" s="3" t="s">
        <v>48</v>
      </c>
      <c r="I77" s="3" t="s">
        <v>49</v>
      </c>
      <c r="J77" s="3">
        <v>47628195</v>
      </c>
      <c r="K77" s="3" t="s">
        <v>69</v>
      </c>
      <c r="L77" s="3"/>
      <c r="M77" s="3"/>
      <c r="N77" s="3" t="s">
        <v>70</v>
      </c>
      <c r="O77" s="3" t="s">
        <v>52</v>
      </c>
      <c r="P77" s="3">
        <v>0.7</v>
      </c>
      <c r="Q77" s="3">
        <v>0.6</v>
      </c>
      <c r="R77" s="4" t="s">
        <v>53</v>
      </c>
      <c r="S77" s="4">
        <v>9000</v>
      </c>
      <c r="T77" s="4">
        <v>59400</v>
      </c>
      <c r="U77" s="4">
        <v>58400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1000</v>
      </c>
      <c r="AD77" s="4">
        <v>59400</v>
      </c>
      <c r="AE77" s="4">
        <v>58400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1000</v>
      </c>
      <c r="AN77" s="4">
        <v>41580</v>
      </c>
      <c r="AO77" s="4">
        <v>0</v>
      </c>
      <c r="AP77" s="4">
        <v>41580</v>
      </c>
      <c r="AQ77" t="str">
        <f>VLOOKUP(N77,'[1]전체(5)'!$N:$AR,30,0)</f>
        <v>스토리위즈</v>
      </c>
      <c r="AR77" t="str">
        <f>VLOOKUP($N77,'[1]전체(5)'!$N:$AR,31,0)</f>
        <v>김정률</v>
      </c>
    </row>
    <row r="78" spans="1:44" x14ac:dyDescent="0.4">
      <c r="A78" s="3" t="s">
        <v>42</v>
      </c>
      <c r="B78" s="3" t="s">
        <v>43</v>
      </c>
      <c r="C78" s="3" t="s">
        <v>44</v>
      </c>
      <c r="D78" s="3" t="s">
        <v>45</v>
      </c>
      <c r="E78" s="3"/>
      <c r="F78" s="3" t="s">
        <v>46</v>
      </c>
      <c r="G78" s="3" t="s">
        <v>47</v>
      </c>
      <c r="H78" s="3" t="s">
        <v>48</v>
      </c>
      <c r="I78" s="3" t="s">
        <v>49</v>
      </c>
      <c r="J78" s="3">
        <v>53823730</v>
      </c>
      <c r="K78" s="3" t="s">
        <v>50</v>
      </c>
      <c r="L78" s="3"/>
      <c r="M78" s="3"/>
      <c r="N78" s="3" t="s">
        <v>51</v>
      </c>
      <c r="O78" s="3" t="s">
        <v>52</v>
      </c>
      <c r="P78" s="3">
        <v>0.7</v>
      </c>
      <c r="Q78" s="3">
        <v>0.6</v>
      </c>
      <c r="R78" s="4" t="s">
        <v>53</v>
      </c>
      <c r="S78" s="4">
        <v>2700</v>
      </c>
      <c r="T78" s="4">
        <v>5300</v>
      </c>
      <c r="U78" s="4">
        <v>10800</v>
      </c>
      <c r="V78" s="4">
        <v>0</v>
      </c>
      <c r="W78" s="4">
        <v>0</v>
      </c>
      <c r="X78" s="4">
        <v>0</v>
      </c>
      <c r="Y78" s="4">
        <v>-5500</v>
      </c>
      <c r="Z78" s="4">
        <v>0</v>
      </c>
      <c r="AA78" s="4">
        <v>0</v>
      </c>
      <c r="AB78" s="4">
        <v>0</v>
      </c>
      <c r="AC78" s="4">
        <v>0</v>
      </c>
      <c r="AD78" s="4">
        <v>4200</v>
      </c>
      <c r="AE78" s="4">
        <v>10800</v>
      </c>
      <c r="AF78" s="4">
        <v>0</v>
      </c>
      <c r="AG78" s="4">
        <v>0</v>
      </c>
      <c r="AH78" s="4">
        <v>0</v>
      </c>
      <c r="AI78" s="4">
        <v>-6600</v>
      </c>
      <c r="AJ78" s="4">
        <v>0</v>
      </c>
      <c r="AK78" s="4">
        <v>0</v>
      </c>
      <c r="AL78" s="4">
        <v>0</v>
      </c>
      <c r="AM78" s="4">
        <v>0</v>
      </c>
      <c r="AN78" s="4">
        <v>3600</v>
      </c>
      <c r="AO78" s="4">
        <v>0</v>
      </c>
      <c r="AP78" s="4">
        <v>3600</v>
      </c>
      <c r="AQ78" t="str">
        <f>VLOOKUP(N78,'[1]전체(5)'!$N:$AR,30,0)</f>
        <v>스토리위즈</v>
      </c>
      <c r="AR78" t="str">
        <f>VLOOKUP($N78,'[1]전체(5)'!$N:$AR,31,0)</f>
        <v>문스톤</v>
      </c>
    </row>
    <row r="79" spans="1:44" x14ac:dyDescent="0.4">
      <c r="A79" s="3" t="s">
        <v>42</v>
      </c>
      <c r="B79" s="3" t="s">
        <v>43</v>
      </c>
      <c r="C79" s="3" t="s">
        <v>44</v>
      </c>
      <c r="D79" s="3" t="s">
        <v>45</v>
      </c>
      <c r="E79" s="3"/>
      <c r="F79" s="3" t="s">
        <v>46</v>
      </c>
      <c r="G79" s="3" t="s">
        <v>47</v>
      </c>
      <c r="H79" s="3" t="s">
        <v>48</v>
      </c>
      <c r="I79" s="3" t="s">
        <v>49</v>
      </c>
      <c r="J79" s="3">
        <v>53879982</v>
      </c>
      <c r="K79" s="3" t="s">
        <v>61</v>
      </c>
      <c r="L79" s="3"/>
      <c r="M79" s="3"/>
      <c r="N79" s="3" t="s">
        <v>62</v>
      </c>
      <c r="O79" s="3" t="s">
        <v>52</v>
      </c>
      <c r="P79" s="3">
        <v>0.7</v>
      </c>
      <c r="Q79" s="3">
        <v>0.6</v>
      </c>
      <c r="R79" s="4" t="s">
        <v>53</v>
      </c>
      <c r="S79" s="4">
        <v>900</v>
      </c>
      <c r="T79" s="4">
        <v>1800</v>
      </c>
      <c r="U79" s="4">
        <v>1800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1800</v>
      </c>
      <c r="AE79" s="4">
        <v>1800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1260</v>
      </c>
      <c r="AO79" s="4">
        <v>0</v>
      </c>
      <c r="AP79" s="4">
        <v>1260</v>
      </c>
      <c r="AQ79" t="str">
        <f>VLOOKUP(N79,'[1]전체(5)'!$N:$AR,30,0)</f>
        <v>스토리위즈</v>
      </c>
      <c r="AR79" t="str">
        <f>VLOOKUP($N79,'[1]전체(5)'!$N:$AR,31,0)</f>
        <v>블 루 스 카 이</v>
      </c>
    </row>
    <row r="80" spans="1:44" x14ac:dyDescent="0.4">
      <c r="A80" s="3" t="s">
        <v>42</v>
      </c>
      <c r="B80" s="3" t="s">
        <v>43</v>
      </c>
      <c r="C80" s="3" t="s">
        <v>44</v>
      </c>
      <c r="D80" s="3" t="s">
        <v>45</v>
      </c>
      <c r="E80" s="3"/>
      <c r="F80" s="3" t="s">
        <v>46</v>
      </c>
      <c r="G80" s="3" t="s">
        <v>47</v>
      </c>
      <c r="H80" s="3" t="s">
        <v>48</v>
      </c>
      <c r="I80" s="3" t="s">
        <v>49</v>
      </c>
      <c r="J80" s="3">
        <v>56498463</v>
      </c>
      <c r="K80" s="3" t="s">
        <v>139</v>
      </c>
      <c r="L80" s="3"/>
      <c r="M80" s="3"/>
      <c r="N80" s="3" t="s">
        <v>87</v>
      </c>
      <c r="O80" s="3" t="s">
        <v>52</v>
      </c>
      <c r="P80" s="3">
        <v>0.7</v>
      </c>
      <c r="Q80" s="3">
        <v>0.6</v>
      </c>
      <c r="R80" s="4" t="s">
        <v>74</v>
      </c>
      <c r="S80" s="4">
        <v>900</v>
      </c>
      <c r="T80" s="4">
        <v>4500</v>
      </c>
      <c r="U80" s="4">
        <v>4500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4500</v>
      </c>
      <c r="AE80" s="4">
        <v>4500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3150</v>
      </c>
      <c r="AO80" s="4">
        <v>0</v>
      </c>
      <c r="AP80" s="4">
        <v>3150</v>
      </c>
      <c r="AQ80" t="str">
        <f>VLOOKUP(N80,'[1]전체(5)'!$N:$AR,30,0)</f>
        <v>스토리위즈</v>
      </c>
      <c r="AR80" t="str">
        <f>VLOOKUP($N80,'[1]전체(5)'!$N:$AR,31,0)</f>
        <v>권용찬</v>
      </c>
    </row>
    <row r="81" spans="1:44" x14ac:dyDescent="0.4">
      <c r="A81" s="3" t="s">
        <v>42</v>
      </c>
      <c r="B81" s="3" t="s">
        <v>43</v>
      </c>
      <c r="C81" s="3" t="s">
        <v>44</v>
      </c>
      <c r="D81" s="3" t="s">
        <v>45</v>
      </c>
      <c r="E81" s="3"/>
      <c r="F81" s="3" t="s">
        <v>46</v>
      </c>
      <c r="G81" s="3" t="s">
        <v>47</v>
      </c>
      <c r="H81" s="3" t="s">
        <v>48</v>
      </c>
      <c r="I81" s="3" t="s">
        <v>49</v>
      </c>
      <c r="J81" s="3">
        <v>56715232</v>
      </c>
      <c r="K81" s="3" t="s">
        <v>257</v>
      </c>
      <c r="L81" s="3"/>
      <c r="M81" s="3"/>
      <c r="N81" s="3" t="s">
        <v>235</v>
      </c>
      <c r="O81" s="3" t="s">
        <v>52</v>
      </c>
      <c r="P81" s="3">
        <v>0.7</v>
      </c>
      <c r="Q81" s="3">
        <v>0.6</v>
      </c>
      <c r="R81" s="4" t="s">
        <v>56</v>
      </c>
      <c r="S81" s="4">
        <v>400</v>
      </c>
      <c r="T81" s="4">
        <v>800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800</v>
      </c>
      <c r="AD81" s="4">
        <v>800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800</v>
      </c>
      <c r="AN81" s="4">
        <v>560</v>
      </c>
      <c r="AO81" s="4">
        <v>0</v>
      </c>
      <c r="AP81" s="4">
        <v>560</v>
      </c>
      <c r="AQ81" t="str">
        <f>VLOOKUP(N81,'[1]전체(5)'!$N:$AR,30,0)</f>
        <v>스토리위즈</v>
      </c>
      <c r="AR81" t="str">
        <f>VLOOKUP($N81,'[1]전체(5)'!$N:$AR,31,0)</f>
        <v>한례</v>
      </c>
    </row>
    <row r="82" spans="1:44" x14ac:dyDescent="0.4">
      <c r="A82" s="3" t="s">
        <v>42</v>
      </c>
      <c r="B82" s="3" t="s">
        <v>43</v>
      </c>
      <c r="C82" s="3" t="s">
        <v>44</v>
      </c>
      <c r="D82" s="3" t="s">
        <v>45</v>
      </c>
      <c r="E82" s="3"/>
      <c r="F82" s="3" t="s">
        <v>46</v>
      </c>
      <c r="G82" s="3" t="s">
        <v>47</v>
      </c>
      <c r="H82" s="3" t="s">
        <v>48</v>
      </c>
      <c r="I82" s="3" t="s">
        <v>156</v>
      </c>
      <c r="J82" s="3">
        <v>57102911</v>
      </c>
      <c r="K82" s="3" t="s">
        <v>157</v>
      </c>
      <c r="L82" s="3"/>
      <c r="M82" s="3"/>
      <c r="N82" s="3" t="s">
        <v>158</v>
      </c>
      <c r="O82" s="3" t="s">
        <v>52</v>
      </c>
      <c r="P82" s="3">
        <v>0.7</v>
      </c>
      <c r="Q82" s="3">
        <v>0.6</v>
      </c>
      <c r="R82" s="4" t="s">
        <v>56</v>
      </c>
      <c r="S82" s="4">
        <v>100</v>
      </c>
      <c r="T82" s="4">
        <v>2600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2600</v>
      </c>
      <c r="AD82" s="4">
        <v>2600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2600</v>
      </c>
      <c r="AN82" s="4">
        <v>1820</v>
      </c>
      <c r="AO82" s="4">
        <v>0</v>
      </c>
      <c r="AP82" s="4">
        <v>1820</v>
      </c>
      <c r="AQ82" t="str">
        <f>VLOOKUP(N82,'[1]전체(5)'!$N:$AR,30,0)</f>
        <v>스토리위즈</v>
      </c>
      <c r="AR82" t="str">
        <f>VLOOKUP($N82,'[1]전체(5)'!$N:$AR,31,0)</f>
        <v>징구빙구</v>
      </c>
    </row>
    <row r="83" spans="1:44" x14ac:dyDescent="0.4">
      <c r="A83" s="3" t="s">
        <v>42</v>
      </c>
      <c r="B83" s="3" t="s">
        <v>43</v>
      </c>
      <c r="C83" s="3" t="s">
        <v>44</v>
      </c>
      <c r="D83" s="3" t="s">
        <v>45</v>
      </c>
      <c r="E83" s="3"/>
      <c r="F83" s="3" t="s">
        <v>46</v>
      </c>
      <c r="G83" s="3" t="s">
        <v>47</v>
      </c>
      <c r="H83" s="3" t="s">
        <v>48</v>
      </c>
      <c r="I83" s="3" t="s">
        <v>49</v>
      </c>
      <c r="J83" s="3">
        <v>48260131</v>
      </c>
      <c r="K83" s="3" t="s">
        <v>258</v>
      </c>
      <c r="L83" s="3"/>
      <c r="M83" s="3"/>
      <c r="N83" s="3" t="s">
        <v>87</v>
      </c>
      <c r="O83" s="3" t="s">
        <v>52</v>
      </c>
      <c r="P83" s="3">
        <v>0.7</v>
      </c>
      <c r="Q83" s="3">
        <v>0.6</v>
      </c>
      <c r="R83" s="4" t="s">
        <v>56</v>
      </c>
      <c r="S83" s="4">
        <v>100</v>
      </c>
      <c r="T83" s="4">
        <v>21100</v>
      </c>
      <c r="U83" s="4">
        <v>20100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1000</v>
      </c>
      <c r="AD83" s="4">
        <v>21100</v>
      </c>
      <c r="AE83" s="4">
        <v>20100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1000</v>
      </c>
      <c r="AN83" s="4">
        <v>14770</v>
      </c>
      <c r="AO83" s="4">
        <v>0</v>
      </c>
      <c r="AP83" s="4">
        <v>14770</v>
      </c>
      <c r="AQ83" t="str">
        <f>VLOOKUP(N83,'[1]전체(5)'!$N:$AR,30,0)</f>
        <v>스토리위즈</v>
      </c>
      <c r="AR83" t="str">
        <f>VLOOKUP($N83,'[1]전체(5)'!$N:$AR,31,0)</f>
        <v>권용찬</v>
      </c>
    </row>
    <row r="84" spans="1:44" x14ac:dyDescent="0.4">
      <c r="A84" s="3" t="s">
        <v>42</v>
      </c>
      <c r="B84" s="3" t="s">
        <v>43</v>
      </c>
      <c r="C84" s="3" t="s">
        <v>44</v>
      </c>
      <c r="D84" s="3" t="s">
        <v>45</v>
      </c>
      <c r="E84" s="3"/>
      <c r="F84" s="3" t="s">
        <v>46</v>
      </c>
      <c r="G84" s="3" t="s">
        <v>47</v>
      </c>
      <c r="H84" s="3" t="s">
        <v>48</v>
      </c>
      <c r="I84" s="3" t="s">
        <v>49</v>
      </c>
      <c r="J84" s="3">
        <v>53824704</v>
      </c>
      <c r="K84" s="3" t="s">
        <v>59</v>
      </c>
      <c r="L84" s="3"/>
      <c r="M84" s="3"/>
      <c r="N84" s="3" t="s">
        <v>60</v>
      </c>
      <c r="O84" s="3" t="s">
        <v>52</v>
      </c>
      <c r="P84" s="3">
        <v>0.7</v>
      </c>
      <c r="Q84" s="3">
        <v>0.6</v>
      </c>
      <c r="R84" s="4" t="s">
        <v>56</v>
      </c>
      <c r="S84" s="4">
        <v>100</v>
      </c>
      <c r="T84" s="4">
        <v>1700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1700</v>
      </c>
      <c r="AD84" s="4">
        <v>1700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1700</v>
      </c>
      <c r="AN84" s="4">
        <v>1190</v>
      </c>
      <c r="AO84" s="4">
        <v>0</v>
      </c>
      <c r="AP84" s="4">
        <v>1190</v>
      </c>
      <c r="AQ84" t="str">
        <f>VLOOKUP(N84,'[1]전체(5)'!$N:$AR,30,0)</f>
        <v>스토리위즈</v>
      </c>
      <c r="AR84" t="str">
        <f>VLOOKUP($N84,'[1]전체(5)'!$N:$AR,31,0)</f>
        <v>주이서</v>
      </c>
    </row>
    <row r="85" spans="1:44" x14ac:dyDescent="0.4">
      <c r="A85" s="3" t="s">
        <v>42</v>
      </c>
      <c r="B85" s="3" t="s">
        <v>43</v>
      </c>
      <c r="C85" s="3" t="s">
        <v>44</v>
      </c>
      <c r="D85" s="3" t="s">
        <v>45</v>
      </c>
      <c r="E85" s="3"/>
      <c r="F85" s="3" t="s">
        <v>46</v>
      </c>
      <c r="G85" s="3" t="s">
        <v>47</v>
      </c>
      <c r="H85" s="3" t="s">
        <v>48</v>
      </c>
      <c r="I85" s="3" t="s">
        <v>49</v>
      </c>
      <c r="J85" s="3">
        <v>48260131</v>
      </c>
      <c r="K85" s="3" t="s">
        <v>258</v>
      </c>
      <c r="L85" s="3"/>
      <c r="M85" s="3"/>
      <c r="N85" s="3" t="s">
        <v>87</v>
      </c>
      <c r="O85" s="3" t="s">
        <v>52</v>
      </c>
      <c r="P85" s="3">
        <v>0.7</v>
      </c>
      <c r="Q85" s="3">
        <v>0.6</v>
      </c>
      <c r="R85" s="4" t="s">
        <v>53</v>
      </c>
      <c r="S85" s="4">
        <v>2300</v>
      </c>
      <c r="T85" s="4">
        <v>9200</v>
      </c>
      <c r="U85" s="4">
        <v>8900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300</v>
      </c>
      <c r="AD85" s="4">
        <v>9200</v>
      </c>
      <c r="AE85" s="4">
        <v>8900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300</v>
      </c>
      <c r="AN85" s="4">
        <v>6440</v>
      </c>
      <c r="AO85" s="4">
        <v>0</v>
      </c>
      <c r="AP85" s="4">
        <v>6440</v>
      </c>
      <c r="AQ85" t="str">
        <f>VLOOKUP(N85,'[1]전체(5)'!$N:$AR,30,0)</f>
        <v>스토리위즈</v>
      </c>
      <c r="AR85" t="str">
        <f>VLOOKUP($N85,'[1]전체(5)'!$N:$AR,31,0)</f>
        <v>권용찬</v>
      </c>
    </row>
    <row r="86" spans="1:44" x14ac:dyDescent="0.4">
      <c r="A86" s="3" t="s">
        <v>42</v>
      </c>
      <c r="B86" s="3" t="s">
        <v>43</v>
      </c>
      <c r="C86" s="3" t="s">
        <v>44</v>
      </c>
      <c r="D86" s="3" t="s">
        <v>45</v>
      </c>
      <c r="E86" s="3"/>
      <c r="F86" s="3" t="s">
        <v>46</v>
      </c>
      <c r="G86" s="3" t="s">
        <v>47</v>
      </c>
      <c r="H86" s="3" t="s">
        <v>48</v>
      </c>
      <c r="I86" s="3" t="s">
        <v>49</v>
      </c>
      <c r="J86" s="3">
        <v>53824704</v>
      </c>
      <c r="K86" s="3" t="s">
        <v>59</v>
      </c>
      <c r="L86" s="3"/>
      <c r="M86" s="3"/>
      <c r="N86" s="3" t="s">
        <v>60</v>
      </c>
      <c r="O86" s="3" t="s">
        <v>52</v>
      </c>
      <c r="P86" s="3">
        <v>0.7</v>
      </c>
      <c r="Q86" s="3">
        <v>0.6</v>
      </c>
      <c r="R86" s="4" t="s">
        <v>53</v>
      </c>
      <c r="S86" s="4">
        <v>900</v>
      </c>
      <c r="T86" s="4">
        <v>1800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1800</v>
      </c>
      <c r="AD86" s="4">
        <v>1800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1800</v>
      </c>
      <c r="AN86" s="4">
        <v>1260</v>
      </c>
      <c r="AO86" s="4">
        <v>0</v>
      </c>
      <c r="AP86" s="4">
        <v>1260</v>
      </c>
      <c r="AQ86" t="str">
        <f>VLOOKUP(N86,'[1]전체(5)'!$N:$AR,30,0)</f>
        <v>스토리위즈</v>
      </c>
      <c r="AR86" t="str">
        <f>VLOOKUP($N86,'[1]전체(5)'!$N:$AR,31,0)</f>
        <v>주이서</v>
      </c>
    </row>
    <row r="87" spans="1:44" x14ac:dyDescent="0.4">
      <c r="A87" s="3" t="s">
        <v>42</v>
      </c>
      <c r="B87" s="3" t="s">
        <v>43</v>
      </c>
      <c r="C87" s="3" t="s">
        <v>44</v>
      </c>
      <c r="D87" s="3" t="s">
        <v>45</v>
      </c>
      <c r="E87" s="3"/>
      <c r="F87" s="3" t="s">
        <v>46</v>
      </c>
      <c r="G87" s="3" t="s">
        <v>47</v>
      </c>
      <c r="H87" s="3" t="s">
        <v>48</v>
      </c>
      <c r="I87" s="3" t="s">
        <v>49</v>
      </c>
      <c r="J87" s="3">
        <v>54886637</v>
      </c>
      <c r="K87" s="3" t="s">
        <v>109</v>
      </c>
      <c r="L87" s="3"/>
      <c r="M87" s="3"/>
      <c r="N87" s="3" t="s">
        <v>55</v>
      </c>
      <c r="O87" s="3" t="s">
        <v>52</v>
      </c>
      <c r="P87" s="3">
        <v>0.7</v>
      </c>
      <c r="Q87" s="3">
        <v>0.6</v>
      </c>
      <c r="R87" s="4" t="s">
        <v>56</v>
      </c>
      <c r="S87" s="4">
        <v>100</v>
      </c>
      <c r="T87" s="4">
        <v>25200</v>
      </c>
      <c r="U87" s="4">
        <v>15400</v>
      </c>
      <c r="V87" s="4">
        <v>0</v>
      </c>
      <c r="W87" s="4">
        <v>0</v>
      </c>
      <c r="X87" s="4">
        <v>0</v>
      </c>
      <c r="Y87" s="4">
        <v>0</v>
      </c>
      <c r="Z87" s="4">
        <v>700</v>
      </c>
      <c r="AA87" s="4">
        <v>0</v>
      </c>
      <c r="AB87" s="4">
        <v>0</v>
      </c>
      <c r="AC87" s="4">
        <v>9100</v>
      </c>
      <c r="AD87" s="4">
        <v>25270</v>
      </c>
      <c r="AE87" s="4">
        <v>15400</v>
      </c>
      <c r="AF87" s="4">
        <v>0</v>
      </c>
      <c r="AG87" s="4">
        <v>0</v>
      </c>
      <c r="AH87" s="4">
        <v>0</v>
      </c>
      <c r="AI87" s="4">
        <v>0</v>
      </c>
      <c r="AJ87" s="4">
        <v>770</v>
      </c>
      <c r="AK87" s="4">
        <v>0</v>
      </c>
      <c r="AL87" s="4">
        <v>0</v>
      </c>
      <c r="AM87" s="4">
        <v>9100</v>
      </c>
      <c r="AN87" s="4">
        <v>17612</v>
      </c>
      <c r="AO87" s="4">
        <v>0</v>
      </c>
      <c r="AP87" s="4">
        <v>17612</v>
      </c>
      <c r="AQ87" t="str">
        <f>VLOOKUP(N87,'[1]전체(5)'!$N:$AR,30,0)</f>
        <v>스토리위즈</v>
      </c>
      <c r="AR87" t="str">
        <f>VLOOKUP($N87,'[1]전체(5)'!$N:$AR,31,0)</f>
        <v>밈스</v>
      </c>
    </row>
    <row r="88" spans="1:44" x14ac:dyDescent="0.4">
      <c r="A88" s="3" t="s">
        <v>42</v>
      </c>
      <c r="B88" s="3" t="s">
        <v>43</v>
      </c>
      <c r="C88" s="3" t="s">
        <v>44</v>
      </c>
      <c r="D88" s="3" t="s">
        <v>45</v>
      </c>
      <c r="E88" s="3"/>
      <c r="F88" s="3" t="s">
        <v>46</v>
      </c>
      <c r="G88" s="3" t="s">
        <v>47</v>
      </c>
      <c r="H88" s="3" t="s">
        <v>48</v>
      </c>
      <c r="I88" s="3" t="s">
        <v>49</v>
      </c>
      <c r="J88" s="3">
        <v>54886637</v>
      </c>
      <c r="K88" s="3" t="s">
        <v>109</v>
      </c>
      <c r="L88" s="3"/>
      <c r="M88" s="3"/>
      <c r="N88" s="3" t="s">
        <v>55</v>
      </c>
      <c r="O88" s="3" t="s">
        <v>52</v>
      </c>
      <c r="P88" s="3">
        <v>0.7</v>
      </c>
      <c r="Q88" s="3">
        <v>0.6</v>
      </c>
      <c r="R88" s="4" t="s">
        <v>53</v>
      </c>
      <c r="S88" s="4">
        <v>900</v>
      </c>
      <c r="T88" s="4">
        <v>40200</v>
      </c>
      <c r="U88" s="4">
        <v>29300</v>
      </c>
      <c r="V88" s="4">
        <v>0</v>
      </c>
      <c r="W88" s="4">
        <v>0</v>
      </c>
      <c r="X88" s="4">
        <v>0</v>
      </c>
      <c r="Y88" s="4">
        <v>0</v>
      </c>
      <c r="Z88" s="4">
        <v>1900</v>
      </c>
      <c r="AA88" s="4">
        <v>0</v>
      </c>
      <c r="AB88" s="4">
        <v>0</v>
      </c>
      <c r="AC88" s="4">
        <v>9000</v>
      </c>
      <c r="AD88" s="4">
        <v>40390</v>
      </c>
      <c r="AE88" s="4">
        <v>29300</v>
      </c>
      <c r="AF88" s="4">
        <v>0</v>
      </c>
      <c r="AG88" s="4">
        <v>0</v>
      </c>
      <c r="AH88" s="4">
        <v>0</v>
      </c>
      <c r="AI88" s="4">
        <v>0</v>
      </c>
      <c r="AJ88" s="4">
        <v>2090</v>
      </c>
      <c r="AK88" s="4">
        <v>0</v>
      </c>
      <c r="AL88" s="4">
        <v>0</v>
      </c>
      <c r="AM88" s="4">
        <v>9000</v>
      </c>
      <c r="AN88" s="4">
        <v>28064</v>
      </c>
      <c r="AO88" s="4">
        <v>0</v>
      </c>
      <c r="AP88" s="4">
        <v>28064</v>
      </c>
      <c r="AQ88" t="str">
        <f>VLOOKUP(N88,'[1]전체(5)'!$N:$AR,30,0)</f>
        <v>스토리위즈</v>
      </c>
      <c r="AR88" t="str">
        <f>VLOOKUP($N88,'[1]전체(5)'!$N:$AR,31,0)</f>
        <v>밈스</v>
      </c>
    </row>
    <row r="89" spans="1:44" x14ac:dyDescent="0.4">
      <c r="A89" s="3" t="s">
        <v>42</v>
      </c>
      <c r="B89" s="3" t="s">
        <v>43</v>
      </c>
      <c r="C89" s="3" t="s">
        <v>44</v>
      </c>
      <c r="D89" s="3" t="s">
        <v>45</v>
      </c>
      <c r="E89" s="3"/>
      <c r="F89" s="3" t="s">
        <v>46</v>
      </c>
      <c r="G89" s="3" t="s">
        <v>47</v>
      </c>
      <c r="H89" s="3" t="s">
        <v>48</v>
      </c>
      <c r="I89" s="3" t="s">
        <v>49</v>
      </c>
      <c r="J89" s="3">
        <v>52414953</v>
      </c>
      <c r="K89" s="3" t="s">
        <v>167</v>
      </c>
      <c r="L89" s="3"/>
      <c r="M89" s="3"/>
      <c r="N89" s="3" t="s">
        <v>168</v>
      </c>
      <c r="O89" s="3" t="s">
        <v>52</v>
      </c>
      <c r="P89" s="3">
        <v>0.7</v>
      </c>
      <c r="Q89" s="3">
        <v>0.6</v>
      </c>
      <c r="R89" s="4" t="s">
        <v>56</v>
      </c>
      <c r="S89" s="4">
        <v>100</v>
      </c>
      <c r="T89" s="4">
        <v>6000</v>
      </c>
      <c r="U89" s="4">
        <v>3400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2600</v>
      </c>
      <c r="AD89" s="4">
        <v>6000</v>
      </c>
      <c r="AE89" s="4">
        <v>3400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2600</v>
      </c>
      <c r="AN89" s="4">
        <v>4200</v>
      </c>
      <c r="AO89" s="4">
        <v>0</v>
      </c>
      <c r="AP89" s="4">
        <v>4200</v>
      </c>
      <c r="AQ89" t="str">
        <f>VLOOKUP(N89,'[1]전체(5)'!$N:$AR,30,0)</f>
        <v>스토리위즈</v>
      </c>
      <c r="AR89" t="str">
        <f>VLOOKUP($N89,'[1]전체(5)'!$N:$AR,31,0)</f>
        <v>김너울</v>
      </c>
    </row>
    <row r="90" spans="1:44" x14ac:dyDescent="0.4">
      <c r="A90" s="3" t="s">
        <v>42</v>
      </c>
      <c r="B90" s="3" t="s">
        <v>43</v>
      </c>
      <c r="C90" s="3" t="s">
        <v>44</v>
      </c>
      <c r="D90" s="3" t="s">
        <v>45</v>
      </c>
      <c r="E90" s="3"/>
      <c r="F90" s="3" t="s">
        <v>46</v>
      </c>
      <c r="G90" s="3" t="s">
        <v>47</v>
      </c>
      <c r="H90" s="3" t="s">
        <v>48</v>
      </c>
      <c r="I90" s="3" t="s">
        <v>49</v>
      </c>
      <c r="J90" s="3">
        <v>54886637</v>
      </c>
      <c r="K90" s="3" t="s">
        <v>109</v>
      </c>
      <c r="L90" s="3"/>
      <c r="M90" s="3"/>
      <c r="N90" s="3" t="s">
        <v>55</v>
      </c>
      <c r="O90" s="3" t="s">
        <v>52</v>
      </c>
      <c r="P90" s="3">
        <v>0.7</v>
      </c>
      <c r="Q90" s="3">
        <v>0.6</v>
      </c>
      <c r="R90" s="4" t="s">
        <v>53</v>
      </c>
      <c r="S90" s="4">
        <v>3600</v>
      </c>
      <c r="T90" s="4">
        <v>7200</v>
      </c>
      <c r="U90" s="4">
        <v>3600</v>
      </c>
      <c r="V90" s="4">
        <v>0</v>
      </c>
      <c r="W90" s="4">
        <v>0</v>
      </c>
      <c r="X90" s="4">
        <v>0</v>
      </c>
      <c r="Y90" s="4">
        <v>0</v>
      </c>
      <c r="Z90" s="4">
        <v>3600</v>
      </c>
      <c r="AA90" s="4">
        <v>0</v>
      </c>
      <c r="AB90" s="4">
        <v>0</v>
      </c>
      <c r="AC90" s="4">
        <v>0</v>
      </c>
      <c r="AD90" s="4">
        <v>7560</v>
      </c>
      <c r="AE90" s="4">
        <v>3600</v>
      </c>
      <c r="AF90" s="4">
        <v>0</v>
      </c>
      <c r="AG90" s="4">
        <v>0</v>
      </c>
      <c r="AH90" s="4">
        <v>0</v>
      </c>
      <c r="AI90" s="4">
        <v>0</v>
      </c>
      <c r="AJ90" s="4">
        <v>3960</v>
      </c>
      <c r="AK90" s="4">
        <v>0</v>
      </c>
      <c r="AL90" s="4">
        <v>0</v>
      </c>
      <c r="AM90" s="4">
        <v>0</v>
      </c>
      <c r="AN90" s="4">
        <v>4896</v>
      </c>
      <c r="AO90" s="4">
        <v>0</v>
      </c>
      <c r="AP90" s="4">
        <v>4896</v>
      </c>
      <c r="AQ90" t="str">
        <f>VLOOKUP(N90,'[1]전체(5)'!$N:$AR,30,0)</f>
        <v>스토리위즈</v>
      </c>
      <c r="AR90" t="str">
        <f>VLOOKUP($N90,'[1]전체(5)'!$N:$AR,31,0)</f>
        <v>밈스</v>
      </c>
    </row>
    <row r="91" spans="1:44" x14ac:dyDescent="0.4">
      <c r="A91" s="3" t="s">
        <v>42</v>
      </c>
      <c r="B91" s="3" t="s">
        <v>43</v>
      </c>
      <c r="C91" s="3" t="s">
        <v>44</v>
      </c>
      <c r="D91" s="3" t="s">
        <v>45</v>
      </c>
      <c r="E91" s="3"/>
      <c r="F91" s="3" t="s">
        <v>46</v>
      </c>
      <c r="G91" s="3" t="s">
        <v>47</v>
      </c>
      <c r="H91" s="3" t="s">
        <v>48</v>
      </c>
      <c r="I91" s="3" t="s">
        <v>49</v>
      </c>
      <c r="J91" s="3">
        <v>52414953</v>
      </c>
      <c r="K91" s="3" t="s">
        <v>167</v>
      </c>
      <c r="L91" s="3"/>
      <c r="M91" s="3"/>
      <c r="N91" s="3" t="s">
        <v>168</v>
      </c>
      <c r="O91" s="3" t="s">
        <v>52</v>
      </c>
      <c r="P91" s="3">
        <v>0.7</v>
      </c>
      <c r="Q91" s="3">
        <v>0.6</v>
      </c>
      <c r="R91" s="4" t="s">
        <v>53</v>
      </c>
      <c r="S91" s="4">
        <v>900</v>
      </c>
      <c r="T91" s="4">
        <v>11700</v>
      </c>
      <c r="U91" s="4">
        <v>7200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4500</v>
      </c>
      <c r="AD91" s="4">
        <v>11700</v>
      </c>
      <c r="AE91" s="4">
        <v>7200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4500</v>
      </c>
      <c r="AN91" s="4">
        <v>8190</v>
      </c>
      <c r="AO91" s="4">
        <v>0</v>
      </c>
      <c r="AP91" s="4">
        <v>8190</v>
      </c>
      <c r="AQ91" t="str">
        <f>VLOOKUP(N91,'[1]전체(5)'!$N:$AR,30,0)</f>
        <v>스토리위즈</v>
      </c>
      <c r="AR91" t="str">
        <f>VLOOKUP($N91,'[1]전체(5)'!$N:$AR,31,0)</f>
        <v>김너울</v>
      </c>
    </row>
    <row r="92" spans="1:44" x14ac:dyDescent="0.4">
      <c r="A92" s="3" t="s">
        <v>42</v>
      </c>
      <c r="B92" s="3" t="s">
        <v>43</v>
      </c>
      <c r="C92" s="3" t="s">
        <v>44</v>
      </c>
      <c r="D92" s="3" t="s">
        <v>45</v>
      </c>
      <c r="E92" s="3"/>
      <c r="F92" s="3" t="s">
        <v>46</v>
      </c>
      <c r="G92" s="3" t="s">
        <v>47</v>
      </c>
      <c r="H92" s="3" t="s">
        <v>48</v>
      </c>
      <c r="I92" s="3" t="s">
        <v>49</v>
      </c>
      <c r="J92" s="3">
        <v>54886637</v>
      </c>
      <c r="K92" s="3" t="s">
        <v>109</v>
      </c>
      <c r="L92" s="3"/>
      <c r="M92" s="3"/>
      <c r="N92" s="3" t="s">
        <v>55</v>
      </c>
      <c r="O92" s="3" t="s">
        <v>52</v>
      </c>
      <c r="P92" s="3">
        <v>0.7</v>
      </c>
      <c r="Q92" s="3">
        <v>0.6</v>
      </c>
      <c r="R92" s="4" t="s">
        <v>53</v>
      </c>
      <c r="S92" s="4">
        <v>6300</v>
      </c>
      <c r="T92" s="4">
        <v>25200</v>
      </c>
      <c r="U92" s="4">
        <v>25200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25200</v>
      </c>
      <c r="AE92" s="4">
        <v>25200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17640</v>
      </c>
      <c r="AO92" s="4">
        <v>0</v>
      </c>
      <c r="AP92" s="4">
        <v>17640</v>
      </c>
      <c r="AQ92" t="str">
        <f>VLOOKUP(N92,'[1]전체(5)'!$N:$AR,30,0)</f>
        <v>스토리위즈</v>
      </c>
      <c r="AR92" t="str">
        <f>VLOOKUP($N92,'[1]전체(5)'!$N:$AR,31,0)</f>
        <v>밈스</v>
      </c>
    </row>
    <row r="93" spans="1:44" x14ac:dyDescent="0.4">
      <c r="A93" s="3" t="s">
        <v>42</v>
      </c>
      <c r="B93" s="3" t="s">
        <v>43</v>
      </c>
      <c r="C93" s="3" t="s">
        <v>44</v>
      </c>
      <c r="D93" s="3" t="s">
        <v>45</v>
      </c>
      <c r="E93" s="3"/>
      <c r="F93" s="3" t="s">
        <v>46</v>
      </c>
      <c r="G93" s="3" t="s">
        <v>47</v>
      </c>
      <c r="H93" s="3" t="s">
        <v>48</v>
      </c>
      <c r="I93" s="3" t="s">
        <v>49</v>
      </c>
      <c r="J93" s="3">
        <v>58010151</v>
      </c>
      <c r="K93" s="3" t="s">
        <v>126</v>
      </c>
      <c r="L93" s="3"/>
      <c r="M93" s="3"/>
      <c r="N93" s="3" t="s">
        <v>127</v>
      </c>
      <c r="O93" s="3" t="s">
        <v>52</v>
      </c>
      <c r="P93" s="3">
        <v>0.7</v>
      </c>
      <c r="Q93" s="3">
        <v>0.6</v>
      </c>
      <c r="R93" s="4" t="s">
        <v>56</v>
      </c>
      <c r="S93" s="4">
        <v>100</v>
      </c>
      <c r="T93" s="4">
        <v>216700</v>
      </c>
      <c r="U93" s="4">
        <v>113210</v>
      </c>
      <c r="V93" s="4">
        <v>0</v>
      </c>
      <c r="W93" s="4">
        <v>0</v>
      </c>
      <c r="X93" s="4">
        <v>0</v>
      </c>
      <c r="Y93" s="4">
        <v>8430</v>
      </c>
      <c r="Z93" s="4">
        <v>2670</v>
      </c>
      <c r="AA93" s="4">
        <v>0</v>
      </c>
      <c r="AB93" s="4">
        <v>0</v>
      </c>
      <c r="AC93" s="4">
        <v>92390</v>
      </c>
      <c r="AD93" s="4">
        <v>218653</v>
      </c>
      <c r="AE93" s="4">
        <v>113210</v>
      </c>
      <c r="AF93" s="4">
        <v>0</v>
      </c>
      <c r="AG93" s="4">
        <v>0</v>
      </c>
      <c r="AH93" s="4">
        <v>0</v>
      </c>
      <c r="AI93" s="4">
        <v>10116</v>
      </c>
      <c r="AJ93" s="4">
        <v>2937</v>
      </c>
      <c r="AK93" s="4">
        <v>0</v>
      </c>
      <c r="AL93" s="4">
        <v>0</v>
      </c>
      <c r="AM93" s="4">
        <v>92390</v>
      </c>
      <c r="AN93" s="4">
        <v>151752</v>
      </c>
      <c r="AO93" s="4">
        <v>0</v>
      </c>
      <c r="AP93" s="4">
        <v>151752</v>
      </c>
      <c r="AQ93" t="str">
        <f>VLOOKUP(N93,'[1]전체(5)'!$N:$AR,30,0)</f>
        <v>스토리위즈</v>
      </c>
      <c r="AR93" t="str">
        <f>VLOOKUP($N93,'[1]전체(5)'!$N:$AR,31,0)</f>
        <v>마뇽</v>
      </c>
    </row>
    <row r="94" spans="1:44" x14ac:dyDescent="0.4">
      <c r="A94" s="3" t="s">
        <v>42</v>
      </c>
      <c r="B94" s="3" t="s">
        <v>43</v>
      </c>
      <c r="C94" s="3" t="s">
        <v>44</v>
      </c>
      <c r="D94" s="3" t="s">
        <v>45</v>
      </c>
      <c r="E94" s="3"/>
      <c r="F94" s="3" t="s">
        <v>46</v>
      </c>
      <c r="G94" s="3" t="s">
        <v>47</v>
      </c>
      <c r="H94" s="3" t="s">
        <v>48</v>
      </c>
      <c r="I94" s="3" t="s">
        <v>49</v>
      </c>
      <c r="J94" s="3">
        <v>52414953</v>
      </c>
      <c r="K94" s="3" t="s">
        <v>167</v>
      </c>
      <c r="L94" s="3"/>
      <c r="M94" s="3"/>
      <c r="N94" s="3" t="s">
        <v>168</v>
      </c>
      <c r="O94" s="3" t="s">
        <v>52</v>
      </c>
      <c r="P94" s="3">
        <v>0.7</v>
      </c>
      <c r="Q94" s="3">
        <v>0.6</v>
      </c>
      <c r="R94" s="4" t="s">
        <v>53</v>
      </c>
      <c r="S94" s="4">
        <v>2700</v>
      </c>
      <c r="T94" s="4">
        <v>2700</v>
      </c>
      <c r="U94" s="4">
        <v>2700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2700</v>
      </c>
      <c r="AE94" s="4">
        <v>2700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1890</v>
      </c>
      <c r="AO94" s="4">
        <v>0</v>
      </c>
      <c r="AP94" s="4">
        <v>1890</v>
      </c>
      <c r="AQ94" t="str">
        <f>VLOOKUP(N94,'[1]전체(5)'!$N:$AR,30,0)</f>
        <v>스토리위즈</v>
      </c>
      <c r="AR94" t="str">
        <f>VLOOKUP($N94,'[1]전체(5)'!$N:$AR,31,0)</f>
        <v>김너울</v>
      </c>
    </row>
    <row r="95" spans="1:44" x14ac:dyDescent="0.4">
      <c r="A95" s="3" t="s">
        <v>42</v>
      </c>
      <c r="B95" s="3" t="s">
        <v>43</v>
      </c>
      <c r="C95" s="3" t="s">
        <v>44</v>
      </c>
      <c r="D95" s="3" t="s">
        <v>45</v>
      </c>
      <c r="E95" s="3"/>
      <c r="F95" s="3" t="s">
        <v>46</v>
      </c>
      <c r="G95" s="3" t="s">
        <v>47</v>
      </c>
      <c r="H95" s="3" t="s">
        <v>48</v>
      </c>
      <c r="I95" s="3" t="s">
        <v>49</v>
      </c>
      <c r="J95" s="3">
        <v>58010151</v>
      </c>
      <c r="K95" s="3" t="s">
        <v>126</v>
      </c>
      <c r="L95" s="3"/>
      <c r="M95" s="3"/>
      <c r="N95" s="3" t="s">
        <v>127</v>
      </c>
      <c r="O95" s="3" t="s">
        <v>52</v>
      </c>
      <c r="P95" s="3">
        <v>0.7</v>
      </c>
      <c r="Q95" s="3">
        <v>0.6</v>
      </c>
      <c r="R95" s="4" t="s">
        <v>53</v>
      </c>
      <c r="S95" s="4">
        <v>900</v>
      </c>
      <c r="T95" s="4">
        <v>162500</v>
      </c>
      <c r="U95" s="4">
        <v>95650</v>
      </c>
      <c r="V95" s="4">
        <v>0</v>
      </c>
      <c r="W95" s="4">
        <v>0</v>
      </c>
      <c r="X95" s="4">
        <v>0</v>
      </c>
      <c r="Y95" s="4">
        <v>0</v>
      </c>
      <c r="Z95" s="4">
        <v>4500</v>
      </c>
      <c r="AA95" s="4">
        <v>0</v>
      </c>
      <c r="AB95" s="4">
        <v>0</v>
      </c>
      <c r="AC95" s="4">
        <v>62350</v>
      </c>
      <c r="AD95" s="4">
        <v>162950</v>
      </c>
      <c r="AE95" s="4">
        <v>95650</v>
      </c>
      <c r="AF95" s="4">
        <v>0</v>
      </c>
      <c r="AG95" s="4">
        <v>0</v>
      </c>
      <c r="AH95" s="4">
        <v>0</v>
      </c>
      <c r="AI95" s="4">
        <v>0</v>
      </c>
      <c r="AJ95" s="4">
        <v>4950</v>
      </c>
      <c r="AK95" s="4">
        <v>0</v>
      </c>
      <c r="AL95" s="4">
        <v>0</v>
      </c>
      <c r="AM95" s="4">
        <v>62350</v>
      </c>
      <c r="AN95" s="4">
        <v>113570</v>
      </c>
      <c r="AO95" s="4">
        <v>0</v>
      </c>
      <c r="AP95" s="4">
        <v>113570</v>
      </c>
      <c r="AQ95" t="str">
        <f>VLOOKUP(N95,'[1]전체(5)'!$N:$AR,30,0)</f>
        <v>스토리위즈</v>
      </c>
      <c r="AR95" t="str">
        <f>VLOOKUP($N95,'[1]전체(5)'!$N:$AR,31,0)</f>
        <v>마뇽</v>
      </c>
    </row>
    <row r="96" spans="1:44" x14ac:dyDescent="0.4">
      <c r="A96" s="3" t="s">
        <v>42</v>
      </c>
      <c r="B96" s="3" t="s">
        <v>43</v>
      </c>
      <c r="C96" s="3" t="s">
        <v>44</v>
      </c>
      <c r="D96" s="3" t="s">
        <v>45</v>
      </c>
      <c r="E96" s="3"/>
      <c r="F96" s="3" t="s">
        <v>46</v>
      </c>
      <c r="G96" s="3" t="s">
        <v>47</v>
      </c>
      <c r="H96" s="3" t="s">
        <v>48</v>
      </c>
      <c r="I96" s="3" t="s">
        <v>49</v>
      </c>
      <c r="J96" s="3">
        <v>58010151</v>
      </c>
      <c r="K96" s="3" t="s">
        <v>126</v>
      </c>
      <c r="L96" s="3"/>
      <c r="M96" s="3"/>
      <c r="N96" s="3" t="s">
        <v>127</v>
      </c>
      <c r="O96" s="3" t="s">
        <v>52</v>
      </c>
      <c r="P96" s="3">
        <v>0.7</v>
      </c>
      <c r="Q96" s="3">
        <v>0.6</v>
      </c>
      <c r="R96" s="4" t="s">
        <v>53</v>
      </c>
      <c r="S96" s="4">
        <v>2700</v>
      </c>
      <c r="T96" s="4">
        <v>51900</v>
      </c>
      <c r="U96" s="4">
        <v>40500</v>
      </c>
      <c r="V96" s="4">
        <v>0</v>
      </c>
      <c r="W96" s="4">
        <v>0</v>
      </c>
      <c r="X96" s="4">
        <v>0</v>
      </c>
      <c r="Y96" s="4">
        <v>0</v>
      </c>
      <c r="Z96" s="4">
        <v>5300</v>
      </c>
      <c r="AA96" s="4">
        <v>0</v>
      </c>
      <c r="AB96" s="4">
        <v>0</v>
      </c>
      <c r="AC96" s="4">
        <v>6100</v>
      </c>
      <c r="AD96" s="4">
        <v>52430</v>
      </c>
      <c r="AE96" s="4">
        <v>40500</v>
      </c>
      <c r="AF96" s="4">
        <v>0</v>
      </c>
      <c r="AG96" s="4">
        <v>0</v>
      </c>
      <c r="AH96" s="4">
        <v>0</v>
      </c>
      <c r="AI96" s="4">
        <v>0</v>
      </c>
      <c r="AJ96" s="4">
        <v>5830</v>
      </c>
      <c r="AK96" s="4">
        <v>0</v>
      </c>
      <c r="AL96" s="4">
        <v>0</v>
      </c>
      <c r="AM96" s="4">
        <v>6100</v>
      </c>
      <c r="AN96" s="4">
        <v>36118</v>
      </c>
      <c r="AO96" s="4">
        <v>0</v>
      </c>
      <c r="AP96" s="4">
        <v>36118</v>
      </c>
      <c r="AQ96" t="str">
        <f>VLOOKUP(N96,'[1]전체(5)'!$N:$AR,30,0)</f>
        <v>스토리위즈</v>
      </c>
      <c r="AR96" t="str">
        <f>VLOOKUP($N96,'[1]전체(5)'!$N:$AR,31,0)</f>
        <v>마뇽</v>
      </c>
    </row>
    <row r="97" spans="1:44" x14ac:dyDescent="0.4">
      <c r="A97" s="3" t="s">
        <v>42</v>
      </c>
      <c r="B97" s="3" t="s">
        <v>43</v>
      </c>
      <c r="C97" s="3" t="s">
        <v>44</v>
      </c>
      <c r="D97" s="3" t="s">
        <v>45</v>
      </c>
      <c r="E97" s="3"/>
      <c r="F97" s="3" t="s">
        <v>46</v>
      </c>
      <c r="G97" s="3" t="s">
        <v>47</v>
      </c>
      <c r="H97" s="3" t="s">
        <v>48</v>
      </c>
      <c r="I97" s="3" t="s">
        <v>49</v>
      </c>
      <c r="J97" s="3">
        <v>58010151</v>
      </c>
      <c r="K97" s="3" t="s">
        <v>126</v>
      </c>
      <c r="L97" s="3"/>
      <c r="M97" s="3"/>
      <c r="N97" s="3" t="s">
        <v>127</v>
      </c>
      <c r="O97" s="3" t="s">
        <v>52</v>
      </c>
      <c r="P97" s="3">
        <v>0.7</v>
      </c>
      <c r="Q97" s="3">
        <v>0.6</v>
      </c>
      <c r="R97" s="4" t="s">
        <v>53</v>
      </c>
      <c r="S97" s="4">
        <v>4500</v>
      </c>
      <c r="T97" s="4">
        <v>99000</v>
      </c>
      <c r="U97" s="4">
        <v>79000</v>
      </c>
      <c r="V97" s="4">
        <v>0</v>
      </c>
      <c r="W97" s="4">
        <v>0</v>
      </c>
      <c r="X97" s="4">
        <v>0</v>
      </c>
      <c r="Y97" s="4">
        <v>0</v>
      </c>
      <c r="Z97" s="4">
        <v>9000</v>
      </c>
      <c r="AA97" s="4">
        <v>0</v>
      </c>
      <c r="AB97" s="4">
        <v>0</v>
      </c>
      <c r="AC97" s="4">
        <v>11000</v>
      </c>
      <c r="AD97" s="4">
        <v>99900</v>
      </c>
      <c r="AE97" s="4">
        <v>79000</v>
      </c>
      <c r="AF97" s="4">
        <v>0</v>
      </c>
      <c r="AG97" s="4">
        <v>0</v>
      </c>
      <c r="AH97" s="4">
        <v>0</v>
      </c>
      <c r="AI97" s="4">
        <v>0</v>
      </c>
      <c r="AJ97" s="4">
        <v>9900</v>
      </c>
      <c r="AK97" s="4">
        <v>0</v>
      </c>
      <c r="AL97" s="4">
        <v>0</v>
      </c>
      <c r="AM97" s="4">
        <v>11000</v>
      </c>
      <c r="AN97" s="4">
        <v>68940</v>
      </c>
      <c r="AO97" s="4">
        <v>0</v>
      </c>
      <c r="AP97" s="4">
        <v>68940</v>
      </c>
      <c r="AQ97" t="str">
        <f>VLOOKUP(N97,'[1]전체(5)'!$N:$AR,30,0)</f>
        <v>스토리위즈</v>
      </c>
      <c r="AR97" t="str">
        <f>VLOOKUP($N97,'[1]전체(5)'!$N:$AR,31,0)</f>
        <v>마뇽</v>
      </c>
    </row>
    <row r="98" spans="1:44" x14ac:dyDescent="0.4">
      <c r="A98" s="3" t="s">
        <v>42</v>
      </c>
      <c r="B98" s="3" t="s">
        <v>43</v>
      </c>
      <c r="C98" s="3" t="s">
        <v>44</v>
      </c>
      <c r="D98" s="3" t="s">
        <v>45</v>
      </c>
      <c r="E98" s="3"/>
      <c r="F98" s="3" t="s">
        <v>46</v>
      </c>
      <c r="G98" s="3" t="s">
        <v>47</v>
      </c>
      <c r="H98" s="3" t="s">
        <v>48</v>
      </c>
      <c r="I98" s="3" t="s">
        <v>49</v>
      </c>
      <c r="J98" s="3">
        <v>46416390</v>
      </c>
      <c r="K98" s="3" t="s">
        <v>117</v>
      </c>
      <c r="L98" s="3"/>
      <c r="M98" s="3"/>
      <c r="N98" s="3" t="s">
        <v>70</v>
      </c>
      <c r="O98" s="3" t="s">
        <v>52</v>
      </c>
      <c r="P98" s="3">
        <v>0.7</v>
      </c>
      <c r="Q98" s="3">
        <v>0.6</v>
      </c>
      <c r="R98" s="4" t="s">
        <v>56</v>
      </c>
      <c r="S98" s="4">
        <v>100</v>
      </c>
      <c r="T98" s="4">
        <v>6500</v>
      </c>
      <c r="U98" s="4">
        <v>500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6000</v>
      </c>
      <c r="AD98" s="4">
        <v>6500</v>
      </c>
      <c r="AE98" s="4">
        <v>500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6000</v>
      </c>
      <c r="AN98" s="4">
        <v>4550</v>
      </c>
      <c r="AO98" s="4">
        <v>0</v>
      </c>
      <c r="AP98" s="4">
        <v>4550</v>
      </c>
      <c r="AQ98" t="str">
        <f>VLOOKUP(N98,'[1]전체(5)'!$N:$AR,30,0)</f>
        <v>스토리위즈</v>
      </c>
      <c r="AR98" t="str">
        <f>VLOOKUP($N98,'[1]전체(5)'!$N:$AR,31,0)</f>
        <v>김정률</v>
      </c>
    </row>
    <row r="99" spans="1:44" x14ac:dyDescent="0.4">
      <c r="A99" s="3" t="s">
        <v>42</v>
      </c>
      <c r="B99" s="3" t="s">
        <v>43</v>
      </c>
      <c r="C99" s="3" t="s">
        <v>44</v>
      </c>
      <c r="D99" s="3" t="s">
        <v>45</v>
      </c>
      <c r="E99" s="3"/>
      <c r="F99" s="3" t="s">
        <v>46</v>
      </c>
      <c r="G99" s="3" t="s">
        <v>47</v>
      </c>
      <c r="H99" s="3" t="s">
        <v>48</v>
      </c>
      <c r="I99" s="3" t="s">
        <v>49</v>
      </c>
      <c r="J99" s="3">
        <v>46416390</v>
      </c>
      <c r="K99" s="3" t="s">
        <v>117</v>
      </c>
      <c r="L99" s="3"/>
      <c r="M99" s="3"/>
      <c r="N99" s="3" t="s">
        <v>70</v>
      </c>
      <c r="O99" s="3" t="s">
        <v>52</v>
      </c>
      <c r="P99" s="3">
        <v>0.7</v>
      </c>
      <c r="Q99" s="3">
        <v>0.6</v>
      </c>
      <c r="R99" s="4" t="s">
        <v>53</v>
      </c>
      <c r="S99" s="4">
        <v>2700</v>
      </c>
      <c r="T99" s="4">
        <v>23200</v>
      </c>
      <c r="U99" s="4">
        <v>23200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23200</v>
      </c>
      <c r="AE99" s="4">
        <v>23200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16240</v>
      </c>
      <c r="AO99" s="4">
        <v>0</v>
      </c>
      <c r="AP99" s="4">
        <v>16240</v>
      </c>
      <c r="AQ99" t="str">
        <f>VLOOKUP(N99,'[1]전체(5)'!$N:$AR,30,0)</f>
        <v>스토리위즈</v>
      </c>
      <c r="AR99" t="str">
        <f>VLOOKUP($N99,'[1]전체(5)'!$N:$AR,31,0)</f>
        <v>김정률</v>
      </c>
    </row>
    <row r="100" spans="1:44" x14ac:dyDescent="0.4">
      <c r="A100" s="3" t="s">
        <v>42</v>
      </c>
      <c r="B100" s="3" t="s">
        <v>43</v>
      </c>
      <c r="C100" s="3" t="s">
        <v>44</v>
      </c>
      <c r="D100" s="3" t="s">
        <v>45</v>
      </c>
      <c r="E100" s="3"/>
      <c r="F100" s="3" t="s">
        <v>46</v>
      </c>
      <c r="G100" s="3" t="s">
        <v>47</v>
      </c>
      <c r="H100" s="3" t="s">
        <v>48</v>
      </c>
      <c r="I100" s="3" t="s">
        <v>49</v>
      </c>
      <c r="J100" s="3">
        <v>56608498</v>
      </c>
      <c r="K100" s="3" t="s">
        <v>149</v>
      </c>
      <c r="L100" s="3"/>
      <c r="M100" s="3"/>
      <c r="N100" s="3" t="s">
        <v>73</v>
      </c>
      <c r="O100" s="3" t="s">
        <v>52</v>
      </c>
      <c r="P100" s="3">
        <v>0.7</v>
      </c>
      <c r="Q100" s="3">
        <v>0.6</v>
      </c>
      <c r="R100" s="4" t="s">
        <v>56</v>
      </c>
      <c r="S100" s="4">
        <v>100</v>
      </c>
      <c r="T100" s="4">
        <v>8500</v>
      </c>
      <c r="U100" s="4">
        <v>4100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4400</v>
      </c>
      <c r="AD100" s="4">
        <v>8500</v>
      </c>
      <c r="AE100" s="4">
        <v>4100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4400</v>
      </c>
      <c r="AN100" s="4">
        <v>5950</v>
      </c>
      <c r="AO100" s="4">
        <v>0</v>
      </c>
      <c r="AP100" s="4">
        <v>5950</v>
      </c>
      <c r="AQ100" t="str">
        <f>VLOOKUP(N100,'[1]전체(5)'!$N:$AR,30,0)</f>
        <v>스토리위즈</v>
      </c>
      <c r="AR100" t="str">
        <f>VLOOKUP($N100,'[1]전체(5)'!$N:$AR,31,0)</f>
        <v>스내치</v>
      </c>
    </row>
    <row r="101" spans="1:44" x14ac:dyDescent="0.4">
      <c r="A101" s="3" t="s">
        <v>42</v>
      </c>
      <c r="B101" s="3" t="s">
        <v>43</v>
      </c>
      <c r="C101" s="3" t="s">
        <v>44</v>
      </c>
      <c r="D101" s="3" t="s">
        <v>45</v>
      </c>
      <c r="E101" s="3"/>
      <c r="F101" s="3" t="s">
        <v>46</v>
      </c>
      <c r="G101" s="3" t="s">
        <v>47</v>
      </c>
      <c r="H101" s="3" t="s">
        <v>48</v>
      </c>
      <c r="I101" s="3" t="s">
        <v>49</v>
      </c>
      <c r="J101" s="3">
        <v>46416390</v>
      </c>
      <c r="K101" s="3" t="s">
        <v>117</v>
      </c>
      <c r="L101" s="3"/>
      <c r="M101" s="3"/>
      <c r="N101" s="3" t="s">
        <v>70</v>
      </c>
      <c r="O101" s="3" t="s">
        <v>52</v>
      </c>
      <c r="P101" s="3">
        <v>0.7</v>
      </c>
      <c r="Q101" s="3">
        <v>0.6</v>
      </c>
      <c r="R101" s="4" t="s">
        <v>53</v>
      </c>
      <c r="S101" s="4">
        <v>9000</v>
      </c>
      <c r="T101" s="4">
        <v>5700</v>
      </c>
      <c r="U101" s="4">
        <v>9000</v>
      </c>
      <c r="V101" s="4">
        <v>0</v>
      </c>
      <c r="W101" s="4">
        <v>0</v>
      </c>
      <c r="X101" s="4">
        <v>0</v>
      </c>
      <c r="Y101" s="4">
        <v>-3300</v>
      </c>
      <c r="Z101" s="4">
        <v>0</v>
      </c>
      <c r="AA101" s="4">
        <v>0</v>
      </c>
      <c r="AB101" s="4">
        <v>0</v>
      </c>
      <c r="AC101" s="4">
        <v>0</v>
      </c>
      <c r="AD101" s="4">
        <v>5040</v>
      </c>
      <c r="AE101" s="4">
        <v>9000</v>
      </c>
      <c r="AF101" s="4">
        <v>0</v>
      </c>
      <c r="AG101" s="4">
        <v>0</v>
      </c>
      <c r="AH101" s="4">
        <v>0</v>
      </c>
      <c r="AI101" s="4">
        <v>-3960</v>
      </c>
      <c r="AJ101" s="4">
        <v>0</v>
      </c>
      <c r="AK101" s="4">
        <v>0</v>
      </c>
      <c r="AL101" s="4">
        <v>0</v>
      </c>
      <c r="AM101" s="4">
        <v>0</v>
      </c>
      <c r="AN101" s="4">
        <v>3924</v>
      </c>
      <c r="AO101" s="4">
        <v>0</v>
      </c>
      <c r="AP101" s="4">
        <v>3924</v>
      </c>
      <c r="AQ101" t="str">
        <f>VLOOKUP(N101,'[1]전체(5)'!$N:$AR,30,0)</f>
        <v>스토리위즈</v>
      </c>
      <c r="AR101" t="str">
        <f>VLOOKUP($N101,'[1]전체(5)'!$N:$AR,31,0)</f>
        <v>김정률</v>
      </c>
    </row>
    <row r="102" spans="1:44" x14ac:dyDescent="0.4">
      <c r="A102" s="3" t="s">
        <v>42</v>
      </c>
      <c r="B102" s="3" t="s">
        <v>43</v>
      </c>
      <c r="C102" s="3" t="s">
        <v>44</v>
      </c>
      <c r="D102" s="3" t="s">
        <v>45</v>
      </c>
      <c r="E102" s="3"/>
      <c r="F102" s="3" t="s">
        <v>46</v>
      </c>
      <c r="G102" s="3" t="s">
        <v>47</v>
      </c>
      <c r="H102" s="3" t="s">
        <v>48</v>
      </c>
      <c r="I102" s="3" t="s">
        <v>49</v>
      </c>
      <c r="J102" s="3">
        <v>56608498</v>
      </c>
      <c r="K102" s="3" t="s">
        <v>149</v>
      </c>
      <c r="L102" s="3"/>
      <c r="M102" s="3"/>
      <c r="N102" s="3" t="s">
        <v>73</v>
      </c>
      <c r="O102" s="3" t="s">
        <v>52</v>
      </c>
      <c r="P102" s="3">
        <v>0.7</v>
      </c>
      <c r="Q102" s="3">
        <v>0.6</v>
      </c>
      <c r="R102" s="4" t="s">
        <v>53</v>
      </c>
      <c r="S102" s="4">
        <v>900</v>
      </c>
      <c r="T102" s="4">
        <v>8600</v>
      </c>
      <c r="U102" s="4">
        <v>6300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2300</v>
      </c>
      <c r="AD102" s="4">
        <v>8600</v>
      </c>
      <c r="AE102" s="4">
        <v>6300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2300</v>
      </c>
      <c r="AN102" s="4">
        <v>6020</v>
      </c>
      <c r="AO102" s="4">
        <v>0</v>
      </c>
      <c r="AP102" s="4">
        <v>6020</v>
      </c>
      <c r="AQ102" t="str">
        <f>VLOOKUP(N102,'[1]전체(5)'!$N:$AR,30,0)</f>
        <v>스토리위즈</v>
      </c>
      <c r="AR102" t="str">
        <f>VLOOKUP($N102,'[1]전체(5)'!$N:$AR,31,0)</f>
        <v>스내치</v>
      </c>
    </row>
    <row r="103" spans="1:44" x14ac:dyDescent="0.4">
      <c r="A103" s="3" t="s">
        <v>42</v>
      </c>
      <c r="B103" s="3" t="s">
        <v>43</v>
      </c>
      <c r="C103" s="3" t="s">
        <v>44</v>
      </c>
      <c r="D103" s="3" t="s">
        <v>45</v>
      </c>
      <c r="E103" s="3"/>
      <c r="F103" s="3" t="s">
        <v>46</v>
      </c>
      <c r="G103" s="3" t="s">
        <v>47</v>
      </c>
      <c r="H103" s="3" t="s">
        <v>48</v>
      </c>
      <c r="I103" s="3" t="s">
        <v>49</v>
      </c>
      <c r="J103" s="3">
        <v>56608498</v>
      </c>
      <c r="K103" s="3" t="s">
        <v>149</v>
      </c>
      <c r="L103" s="3"/>
      <c r="M103" s="3"/>
      <c r="N103" s="3" t="s">
        <v>73</v>
      </c>
      <c r="O103" s="3" t="s">
        <v>52</v>
      </c>
      <c r="P103" s="3">
        <v>0.7</v>
      </c>
      <c r="Q103" s="3">
        <v>0.6</v>
      </c>
      <c r="R103" s="4" t="s">
        <v>53</v>
      </c>
      <c r="S103" s="4">
        <v>2700</v>
      </c>
      <c r="T103" s="4">
        <v>8100</v>
      </c>
      <c r="U103" s="4">
        <v>8100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8100</v>
      </c>
      <c r="AE103" s="4">
        <v>8100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5670</v>
      </c>
      <c r="AO103" s="4">
        <v>0</v>
      </c>
      <c r="AP103" s="4">
        <v>5670</v>
      </c>
      <c r="AQ103" t="str">
        <f>VLOOKUP(N103,'[1]전체(5)'!$N:$AR,30,0)</f>
        <v>스토리위즈</v>
      </c>
      <c r="AR103" t="str">
        <f>VLOOKUP($N103,'[1]전체(5)'!$N:$AR,31,0)</f>
        <v>스내치</v>
      </c>
    </row>
    <row r="104" spans="1:44" x14ac:dyDescent="0.4">
      <c r="A104" s="3" t="s">
        <v>42</v>
      </c>
      <c r="B104" s="3" t="s">
        <v>43</v>
      </c>
      <c r="C104" s="3" t="s">
        <v>44</v>
      </c>
      <c r="D104" s="3" t="s">
        <v>45</v>
      </c>
      <c r="E104" s="3"/>
      <c r="F104" s="3" t="s">
        <v>46</v>
      </c>
      <c r="G104" s="3" t="s">
        <v>47</v>
      </c>
      <c r="H104" s="3" t="s">
        <v>48</v>
      </c>
      <c r="I104" s="3" t="s">
        <v>49</v>
      </c>
      <c r="J104" s="3">
        <v>56608498</v>
      </c>
      <c r="K104" s="3" t="s">
        <v>149</v>
      </c>
      <c r="L104" s="3"/>
      <c r="M104" s="3"/>
      <c r="N104" s="3" t="s">
        <v>73</v>
      </c>
      <c r="O104" s="3" t="s">
        <v>52</v>
      </c>
      <c r="P104" s="3">
        <v>0.7</v>
      </c>
      <c r="Q104" s="3">
        <v>0.6</v>
      </c>
      <c r="R104" s="4" t="s">
        <v>53</v>
      </c>
      <c r="S104" s="4">
        <v>4500</v>
      </c>
      <c r="T104" s="4">
        <v>13500</v>
      </c>
      <c r="U104" s="4">
        <v>11700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1800</v>
      </c>
      <c r="AD104" s="4">
        <v>13500</v>
      </c>
      <c r="AE104" s="4">
        <v>11700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1800</v>
      </c>
      <c r="AN104" s="4">
        <v>9450</v>
      </c>
      <c r="AO104" s="4">
        <v>0</v>
      </c>
      <c r="AP104" s="4">
        <v>9450</v>
      </c>
      <c r="AQ104" t="str">
        <f>VLOOKUP(N104,'[1]전체(5)'!$N:$AR,30,0)</f>
        <v>스토리위즈</v>
      </c>
      <c r="AR104" t="str">
        <f>VLOOKUP($N104,'[1]전체(5)'!$N:$AR,31,0)</f>
        <v>스내치</v>
      </c>
    </row>
    <row r="105" spans="1:44" x14ac:dyDescent="0.4">
      <c r="A105" s="3" t="s">
        <v>42</v>
      </c>
      <c r="B105" s="3" t="s">
        <v>43</v>
      </c>
      <c r="C105" s="3" t="s">
        <v>44</v>
      </c>
      <c r="D105" s="3" t="s">
        <v>45</v>
      </c>
      <c r="E105" s="3"/>
      <c r="F105" s="3" t="s">
        <v>46</v>
      </c>
      <c r="G105" s="3" t="s">
        <v>47</v>
      </c>
      <c r="H105" s="3" t="s">
        <v>48</v>
      </c>
      <c r="I105" s="3" t="s">
        <v>49</v>
      </c>
      <c r="J105" s="3">
        <v>53440726</v>
      </c>
      <c r="K105" s="3" t="s">
        <v>226</v>
      </c>
      <c r="L105" s="3"/>
      <c r="M105" s="3"/>
      <c r="N105" s="3" t="s">
        <v>87</v>
      </c>
      <c r="O105" s="3" t="s">
        <v>52</v>
      </c>
      <c r="P105" s="3">
        <v>0.7</v>
      </c>
      <c r="Q105" s="3">
        <v>0.6</v>
      </c>
      <c r="R105" s="4" t="s">
        <v>56</v>
      </c>
      <c r="S105" s="4">
        <v>100</v>
      </c>
      <c r="T105" s="4">
        <v>229300</v>
      </c>
      <c r="U105" s="4">
        <v>135400</v>
      </c>
      <c r="V105" s="4">
        <v>0</v>
      </c>
      <c r="W105" s="4">
        <v>0</v>
      </c>
      <c r="X105" s="4">
        <v>0</v>
      </c>
      <c r="Y105" s="4">
        <v>100</v>
      </c>
      <c r="Z105" s="4">
        <v>4700</v>
      </c>
      <c r="AA105" s="4">
        <v>0</v>
      </c>
      <c r="AB105" s="4">
        <v>0</v>
      </c>
      <c r="AC105" s="4">
        <v>89100</v>
      </c>
      <c r="AD105" s="4">
        <v>229790</v>
      </c>
      <c r="AE105" s="4">
        <v>135400</v>
      </c>
      <c r="AF105" s="4">
        <v>0</v>
      </c>
      <c r="AG105" s="4">
        <v>0</v>
      </c>
      <c r="AH105" s="4">
        <v>0</v>
      </c>
      <c r="AI105" s="4">
        <v>120</v>
      </c>
      <c r="AJ105" s="4">
        <v>5170</v>
      </c>
      <c r="AK105" s="4">
        <v>0</v>
      </c>
      <c r="AL105" s="4">
        <v>0</v>
      </c>
      <c r="AM105" s="4">
        <v>89100</v>
      </c>
      <c r="AN105" s="4">
        <v>160324</v>
      </c>
      <c r="AO105" s="4">
        <v>0</v>
      </c>
      <c r="AP105" s="4">
        <v>160324</v>
      </c>
      <c r="AQ105" t="str">
        <f>VLOOKUP(N105,'[1]전체(5)'!$N:$AR,30,0)</f>
        <v>스토리위즈</v>
      </c>
      <c r="AR105" t="str">
        <f>VLOOKUP($N105,'[1]전체(5)'!$N:$AR,31,0)</f>
        <v>권용찬</v>
      </c>
    </row>
    <row r="106" spans="1:44" x14ac:dyDescent="0.4">
      <c r="A106" s="3" t="s">
        <v>42</v>
      </c>
      <c r="B106" s="3" t="s">
        <v>43</v>
      </c>
      <c r="C106" s="3" t="s">
        <v>44</v>
      </c>
      <c r="D106" s="3" t="s">
        <v>45</v>
      </c>
      <c r="E106" s="3"/>
      <c r="F106" s="3" t="s">
        <v>46</v>
      </c>
      <c r="G106" s="3" t="s">
        <v>47</v>
      </c>
      <c r="H106" s="3" t="s">
        <v>48</v>
      </c>
      <c r="I106" s="3" t="s">
        <v>49</v>
      </c>
      <c r="J106" s="3">
        <v>53010813</v>
      </c>
      <c r="K106" s="3" t="s">
        <v>186</v>
      </c>
      <c r="L106" s="3"/>
      <c r="M106" s="3"/>
      <c r="N106" s="3" t="s">
        <v>187</v>
      </c>
      <c r="O106" s="3" t="s">
        <v>52</v>
      </c>
      <c r="P106" s="3">
        <v>0.7</v>
      </c>
      <c r="Q106" s="3">
        <v>0.6</v>
      </c>
      <c r="R106" s="4" t="s">
        <v>56</v>
      </c>
      <c r="S106" s="4">
        <v>100</v>
      </c>
      <c r="T106" s="4">
        <v>8900</v>
      </c>
      <c r="U106" s="4">
        <v>7000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1900</v>
      </c>
      <c r="AD106" s="4">
        <v>8900</v>
      </c>
      <c r="AE106" s="4">
        <v>7000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1900</v>
      </c>
      <c r="AN106" s="4">
        <v>6230</v>
      </c>
      <c r="AO106" s="4">
        <v>0</v>
      </c>
      <c r="AP106" s="4">
        <v>6230</v>
      </c>
      <c r="AQ106" t="str">
        <f>VLOOKUP(N106,'[1]전체(5)'!$N:$AR,30,0)</f>
        <v>스토리위즈</v>
      </c>
      <c r="AR106" t="str">
        <f>VLOOKUP($N106,'[1]전체(5)'!$N:$AR,31,0)</f>
        <v>차홍주</v>
      </c>
    </row>
    <row r="107" spans="1:44" x14ac:dyDescent="0.4">
      <c r="A107" s="3" t="s">
        <v>42</v>
      </c>
      <c r="B107" s="3" t="s">
        <v>43</v>
      </c>
      <c r="C107" s="3" t="s">
        <v>44</v>
      </c>
      <c r="D107" s="3" t="s">
        <v>45</v>
      </c>
      <c r="E107" s="3"/>
      <c r="F107" s="3" t="s">
        <v>46</v>
      </c>
      <c r="G107" s="3" t="s">
        <v>47</v>
      </c>
      <c r="H107" s="3" t="s">
        <v>48</v>
      </c>
      <c r="I107" s="3" t="s">
        <v>49</v>
      </c>
      <c r="J107" s="3">
        <v>53440726</v>
      </c>
      <c r="K107" s="3" t="s">
        <v>226</v>
      </c>
      <c r="L107" s="3"/>
      <c r="M107" s="3"/>
      <c r="N107" s="3" t="s">
        <v>87</v>
      </c>
      <c r="O107" s="3" t="s">
        <v>52</v>
      </c>
      <c r="P107" s="3">
        <v>0.7</v>
      </c>
      <c r="Q107" s="3">
        <v>0.6</v>
      </c>
      <c r="R107" s="4" t="s">
        <v>53</v>
      </c>
      <c r="S107" s="4">
        <v>2700</v>
      </c>
      <c r="T107" s="4">
        <v>300600</v>
      </c>
      <c r="U107" s="4">
        <v>249360</v>
      </c>
      <c r="V107" s="4">
        <v>0</v>
      </c>
      <c r="W107" s="4">
        <v>0</v>
      </c>
      <c r="X107" s="4">
        <v>0</v>
      </c>
      <c r="Y107" s="4">
        <v>0</v>
      </c>
      <c r="Z107" s="4">
        <v>13500</v>
      </c>
      <c r="AA107" s="4">
        <v>0</v>
      </c>
      <c r="AB107" s="4">
        <v>0</v>
      </c>
      <c r="AC107" s="4">
        <v>37740</v>
      </c>
      <c r="AD107" s="4">
        <v>301950</v>
      </c>
      <c r="AE107" s="4">
        <v>249360</v>
      </c>
      <c r="AF107" s="4">
        <v>0</v>
      </c>
      <c r="AG107" s="4">
        <v>0</v>
      </c>
      <c r="AH107" s="4">
        <v>0</v>
      </c>
      <c r="AI107" s="4">
        <v>0</v>
      </c>
      <c r="AJ107" s="4">
        <v>14850</v>
      </c>
      <c r="AK107" s="4">
        <v>0</v>
      </c>
      <c r="AL107" s="4">
        <v>0</v>
      </c>
      <c r="AM107" s="4">
        <v>37740</v>
      </c>
      <c r="AN107" s="4">
        <v>209880</v>
      </c>
      <c r="AO107" s="4">
        <v>0</v>
      </c>
      <c r="AP107" s="4">
        <v>209880</v>
      </c>
      <c r="AQ107" t="str">
        <f>VLOOKUP(N107,'[1]전체(5)'!$N:$AR,30,0)</f>
        <v>스토리위즈</v>
      </c>
      <c r="AR107" t="str">
        <f>VLOOKUP($N107,'[1]전체(5)'!$N:$AR,31,0)</f>
        <v>권용찬</v>
      </c>
    </row>
    <row r="108" spans="1:44" x14ac:dyDescent="0.4">
      <c r="A108" s="3" t="s">
        <v>42</v>
      </c>
      <c r="B108" s="3" t="s">
        <v>43</v>
      </c>
      <c r="C108" s="3" t="s">
        <v>44</v>
      </c>
      <c r="D108" s="3" t="s">
        <v>45</v>
      </c>
      <c r="E108" s="3"/>
      <c r="F108" s="3" t="s">
        <v>46</v>
      </c>
      <c r="G108" s="3" t="s">
        <v>47</v>
      </c>
      <c r="H108" s="3" t="s">
        <v>48</v>
      </c>
      <c r="I108" s="3" t="s">
        <v>49</v>
      </c>
      <c r="J108" s="3">
        <v>53010813</v>
      </c>
      <c r="K108" s="3" t="s">
        <v>186</v>
      </c>
      <c r="L108" s="3"/>
      <c r="M108" s="3"/>
      <c r="N108" s="3" t="s">
        <v>187</v>
      </c>
      <c r="O108" s="3" t="s">
        <v>52</v>
      </c>
      <c r="P108" s="3">
        <v>0.7</v>
      </c>
      <c r="Q108" s="3">
        <v>0.6</v>
      </c>
      <c r="R108" s="4" t="s">
        <v>53</v>
      </c>
      <c r="S108" s="4">
        <v>900</v>
      </c>
      <c r="T108" s="4">
        <v>3200</v>
      </c>
      <c r="U108" s="4">
        <v>3200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3200</v>
      </c>
      <c r="AE108" s="4">
        <v>3200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2240</v>
      </c>
      <c r="AO108" s="4">
        <v>0</v>
      </c>
      <c r="AP108" s="4">
        <v>2240</v>
      </c>
      <c r="AQ108" t="str">
        <f>VLOOKUP(N108,'[1]전체(5)'!$N:$AR,30,0)</f>
        <v>스토리위즈</v>
      </c>
      <c r="AR108" t="str">
        <f>VLOOKUP($N108,'[1]전체(5)'!$N:$AR,31,0)</f>
        <v>차홍주</v>
      </c>
    </row>
    <row r="109" spans="1:44" x14ac:dyDescent="0.4">
      <c r="A109" s="3" t="s">
        <v>42</v>
      </c>
      <c r="B109" s="3" t="s">
        <v>43</v>
      </c>
      <c r="C109" s="3" t="s">
        <v>44</v>
      </c>
      <c r="D109" s="3" t="s">
        <v>45</v>
      </c>
      <c r="E109" s="3"/>
      <c r="F109" s="3" t="s">
        <v>46</v>
      </c>
      <c r="G109" s="3" t="s">
        <v>47</v>
      </c>
      <c r="H109" s="3" t="s">
        <v>48</v>
      </c>
      <c r="I109" s="3" t="s">
        <v>49</v>
      </c>
      <c r="J109" s="3">
        <v>53440726</v>
      </c>
      <c r="K109" s="3" t="s">
        <v>226</v>
      </c>
      <c r="L109" s="3"/>
      <c r="M109" s="3"/>
      <c r="N109" s="3" t="s">
        <v>87</v>
      </c>
      <c r="O109" s="3" t="s">
        <v>52</v>
      </c>
      <c r="P109" s="3">
        <v>0.7</v>
      </c>
      <c r="Q109" s="3">
        <v>0.6</v>
      </c>
      <c r="R109" s="4" t="s">
        <v>53</v>
      </c>
      <c r="S109" s="4">
        <v>4500</v>
      </c>
      <c r="T109" s="4">
        <v>214100</v>
      </c>
      <c r="U109" s="4">
        <v>185080</v>
      </c>
      <c r="V109" s="4">
        <v>0</v>
      </c>
      <c r="W109" s="4">
        <v>0</v>
      </c>
      <c r="X109" s="4">
        <v>0</v>
      </c>
      <c r="Y109" s="4">
        <v>0</v>
      </c>
      <c r="Z109" s="4">
        <v>9000</v>
      </c>
      <c r="AA109" s="4">
        <v>0</v>
      </c>
      <c r="AB109" s="4">
        <v>0</v>
      </c>
      <c r="AC109" s="4">
        <v>20020</v>
      </c>
      <c r="AD109" s="4">
        <v>215000</v>
      </c>
      <c r="AE109" s="4">
        <v>185080</v>
      </c>
      <c r="AF109" s="4">
        <v>0</v>
      </c>
      <c r="AG109" s="4">
        <v>0</v>
      </c>
      <c r="AH109" s="4">
        <v>0</v>
      </c>
      <c r="AI109" s="4">
        <v>0</v>
      </c>
      <c r="AJ109" s="4">
        <v>9900</v>
      </c>
      <c r="AK109" s="4">
        <v>0</v>
      </c>
      <c r="AL109" s="4">
        <v>0</v>
      </c>
      <c r="AM109" s="4">
        <v>20020</v>
      </c>
      <c r="AN109" s="4">
        <v>149510</v>
      </c>
      <c r="AO109" s="4">
        <v>0</v>
      </c>
      <c r="AP109" s="4">
        <v>149510</v>
      </c>
      <c r="AQ109" t="str">
        <f>VLOOKUP(N109,'[1]전체(5)'!$N:$AR,30,0)</f>
        <v>스토리위즈</v>
      </c>
      <c r="AR109" t="str">
        <f>VLOOKUP($N109,'[1]전체(5)'!$N:$AR,31,0)</f>
        <v>권용찬</v>
      </c>
    </row>
    <row r="110" spans="1:44" x14ac:dyDescent="0.4">
      <c r="A110" s="3" t="s">
        <v>42</v>
      </c>
      <c r="B110" s="3" t="s">
        <v>43</v>
      </c>
      <c r="C110" s="3" t="s">
        <v>44</v>
      </c>
      <c r="D110" s="3" t="s">
        <v>45</v>
      </c>
      <c r="E110" s="3"/>
      <c r="F110" s="3" t="s">
        <v>46</v>
      </c>
      <c r="G110" s="3" t="s">
        <v>47</v>
      </c>
      <c r="H110" s="3" t="s">
        <v>48</v>
      </c>
      <c r="I110" s="3" t="s">
        <v>49</v>
      </c>
      <c r="J110" s="3">
        <v>51792527</v>
      </c>
      <c r="K110" s="3" t="s">
        <v>215</v>
      </c>
      <c r="L110" s="3"/>
      <c r="M110" s="3"/>
      <c r="N110" s="3" t="s">
        <v>60</v>
      </c>
      <c r="O110" s="3" t="s">
        <v>52</v>
      </c>
      <c r="P110" s="3">
        <v>0.7</v>
      </c>
      <c r="Q110" s="3">
        <v>0.6</v>
      </c>
      <c r="R110" s="4" t="s">
        <v>56</v>
      </c>
      <c r="S110" s="4">
        <v>100</v>
      </c>
      <c r="T110" s="4">
        <v>12400</v>
      </c>
      <c r="U110" s="4">
        <v>7400</v>
      </c>
      <c r="V110" s="4">
        <v>0</v>
      </c>
      <c r="W110" s="4">
        <v>0</v>
      </c>
      <c r="X110" s="4">
        <v>0</v>
      </c>
      <c r="Y110" s="4">
        <v>0</v>
      </c>
      <c r="Z110" s="4">
        <v>400</v>
      </c>
      <c r="AA110" s="4">
        <v>0</v>
      </c>
      <c r="AB110" s="4">
        <v>0</v>
      </c>
      <c r="AC110" s="4">
        <v>4600</v>
      </c>
      <c r="AD110" s="4">
        <v>12440</v>
      </c>
      <c r="AE110" s="4">
        <v>7400</v>
      </c>
      <c r="AF110" s="4">
        <v>0</v>
      </c>
      <c r="AG110" s="4">
        <v>0</v>
      </c>
      <c r="AH110" s="4">
        <v>0</v>
      </c>
      <c r="AI110" s="4">
        <v>0</v>
      </c>
      <c r="AJ110" s="4">
        <v>440</v>
      </c>
      <c r="AK110" s="4">
        <v>0</v>
      </c>
      <c r="AL110" s="4">
        <v>0</v>
      </c>
      <c r="AM110" s="4">
        <v>4600</v>
      </c>
      <c r="AN110" s="4">
        <v>8664</v>
      </c>
      <c r="AO110" s="4">
        <v>0</v>
      </c>
      <c r="AP110" s="4">
        <v>8664</v>
      </c>
      <c r="AQ110" t="str">
        <f>VLOOKUP(N110,'[1]전체(5)'!$N:$AR,30,0)</f>
        <v>스토리위즈</v>
      </c>
      <c r="AR110" t="str">
        <f>VLOOKUP($N110,'[1]전체(5)'!$N:$AR,31,0)</f>
        <v>주이서</v>
      </c>
    </row>
    <row r="111" spans="1:44" x14ac:dyDescent="0.4">
      <c r="A111" s="3" t="s">
        <v>42</v>
      </c>
      <c r="B111" s="3" t="s">
        <v>43</v>
      </c>
      <c r="C111" s="3" t="s">
        <v>44</v>
      </c>
      <c r="D111" s="3" t="s">
        <v>45</v>
      </c>
      <c r="E111" s="3"/>
      <c r="F111" s="3" t="s">
        <v>46</v>
      </c>
      <c r="G111" s="3" t="s">
        <v>47</v>
      </c>
      <c r="H111" s="3" t="s">
        <v>48</v>
      </c>
      <c r="I111" s="3" t="s">
        <v>49</v>
      </c>
      <c r="J111" s="3">
        <v>53010813</v>
      </c>
      <c r="K111" s="3" t="s">
        <v>186</v>
      </c>
      <c r="L111" s="3"/>
      <c r="M111" s="3"/>
      <c r="N111" s="3" t="s">
        <v>187</v>
      </c>
      <c r="O111" s="3" t="s">
        <v>52</v>
      </c>
      <c r="P111" s="3">
        <v>0.7</v>
      </c>
      <c r="Q111" s="3">
        <v>0.6</v>
      </c>
      <c r="R111" s="4" t="s">
        <v>53</v>
      </c>
      <c r="S111" s="4">
        <v>1800</v>
      </c>
      <c r="T111" s="4">
        <v>3800</v>
      </c>
      <c r="U111" s="4">
        <v>3600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200</v>
      </c>
      <c r="AD111" s="4">
        <v>3800</v>
      </c>
      <c r="AE111" s="4">
        <v>3600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200</v>
      </c>
      <c r="AN111" s="4">
        <v>2660</v>
      </c>
      <c r="AO111" s="4">
        <v>0</v>
      </c>
      <c r="AP111" s="4">
        <v>2660</v>
      </c>
      <c r="AQ111" t="str">
        <f>VLOOKUP(N111,'[1]전체(5)'!$N:$AR,30,0)</f>
        <v>스토리위즈</v>
      </c>
      <c r="AR111" t="str">
        <f>VLOOKUP($N111,'[1]전체(5)'!$N:$AR,31,0)</f>
        <v>차홍주</v>
      </c>
    </row>
    <row r="112" spans="1:44" x14ac:dyDescent="0.4">
      <c r="A112" s="3" t="s">
        <v>42</v>
      </c>
      <c r="B112" s="3" t="s">
        <v>43</v>
      </c>
      <c r="C112" s="3" t="s">
        <v>44</v>
      </c>
      <c r="D112" s="3" t="s">
        <v>45</v>
      </c>
      <c r="E112" s="3"/>
      <c r="F112" s="3" t="s">
        <v>46</v>
      </c>
      <c r="G112" s="3" t="s">
        <v>47</v>
      </c>
      <c r="H112" s="3" t="s">
        <v>48</v>
      </c>
      <c r="I112" s="3" t="s">
        <v>49</v>
      </c>
      <c r="J112" s="3">
        <v>53440726</v>
      </c>
      <c r="K112" s="3" t="s">
        <v>226</v>
      </c>
      <c r="L112" s="3"/>
      <c r="M112" s="3"/>
      <c r="N112" s="3" t="s">
        <v>87</v>
      </c>
      <c r="O112" s="3" t="s">
        <v>52</v>
      </c>
      <c r="P112" s="3">
        <v>0.7</v>
      </c>
      <c r="Q112" s="3">
        <v>0.6</v>
      </c>
      <c r="R112" s="4" t="s">
        <v>53</v>
      </c>
      <c r="S112" s="4">
        <v>9000</v>
      </c>
      <c r="T112" s="4">
        <v>180000</v>
      </c>
      <c r="U112" s="4">
        <v>169700</v>
      </c>
      <c r="V112" s="4">
        <v>0</v>
      </c>
      <c r="W112" s="4">
        <v>0</v>
      </c>
      <c r="X112" s="4">
        <v>0</v>
      </c>
      <c r="Y112" s="4">
        <v>0</v>
      </c>
      <c r="Z112" s="4">
        <v>9500</v>
      </c>
      <c r="AA112" s="4">
        <v>0</v>
      </c>
      <c r="AB112" s="4">
        <v>0</v>
      </c>
      <c r="AC112" s="4">
        <v>800</v>
      </c>
      <c r="AD112" s="4">
        <v>180950</v>
      </c>
      <c r="AE112" s="4">
        <v>169700</v>
      </c>
      <c r="AF112" s="4">
        <v>0</v>
      </c>
      <c r="AG112" s="4">
        <v>0</v>
      </c>
      <c r="AH112" s="4">
        <v>0</v>
      </c>
      <c r="AI112" s="4">
        <v>0</v>
      </c>
      <c r="AJ112" s="4">
        <v>10450</v>
      </c>
      <c r="AK112" s="4">
        <v>0</v>
      </c>
      <c r="AL112" s="4">
        <v>0</v>
      </c>
      <c r="AM112" s="4">
        <v>800</v>
      </c>
      <c r="AN112" s="4">
        <v>125620</v>
      </c>
      <c r="AO112" s="4">
        <v>0</v>
      </c>
      <c r="AP112" s="4">
        <v>125620</v>
      </c>
      <c r="AQ112" t="str">
        <f>VLOOKUP(N112,'[1]전체(5)'!$N:$AR,30,0)</f>
        <v>스토리위즈</v>
      </c>
      <c r="AR112" t="str">
        <f>VLOOKUP($N112,'[1]전체(5)'!$N:$AR,31,0)</f>
        <v>권용찬</v>
      </c>
    </row>
    <row r="113" spans="1:44" x14ac:dyDescent="0.4">
      <c r="A113" s="3" t="s">
        <v>42</v>
      </c>
      <c r="B113" s="3" t="s">
        <v>43</v>
      </c>
      <c r="C113" s="3" t="s">
        <v>44</v>
      </c>
      <c r="D113" s="3" t="s">
        <v>45</v>
      </c>
      <c r="E113" s="3"/>
      <c r="F113" s="3" t="s">
        <v>46</v>
      </c>
      <c r="G113" s="3" t="s">
        <v>47</v>
      </c>
      <c r="H113" s="3" t="s">
        <v>48</v>
      </c>
      <c r="I113" s="3" t="s">
        <v>49</v>
      </c>
      <c r="J113" s="3">
        <v>54367950</v>
      </c>
      <c r="K113" s="3" t="s">
        <v>259</v>
      </c>
      <c r="L113" s="3"/>
      <c r="M113" s="3"/>
      <c r="N113" s="3" t="s">
        <v>260</v>
      </c>
      <c r="O113" s="3" t="s">
        <v>52</v>
      </c>
      <c r="P113" s="3">
        <v>0.7</v>
      </c>
      <c r="Q113" s="3">
        <v>0.6</v>
      </c>
      <c r="R113" s="4" t="s">
        <v>56</v>
      </c>
      <c r="S113" s="4">
        <v>100</v>
      </c>
      <c r="T113" s="4">
        <v>100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100</v>
      </c>
      <c r="AD113" s="4">
        <v>100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100</v>
      </c>
      <c r="AN113" s="4">
        <v>70</v>
      </c>
      <c r="AO113" s="4">
        <v>0</v>
      </c>
      <c r="AP113" s="4">
        <v>70</v>
      </c>
      <c r="AQ113" t="str">
        <f>VLOOKUP(N113,'[1]전체(5)'!$N:$AR,30,0)</f>
        <v>스토리위즈</v>
      </c>
      <c r="AR113" t="str">
        <f>VLOOKUP($N113,'[1]전체(5)'!$N:$AR,31,0)</f>
        <v>박도아</v>
      </c>
    </row>
    <row r="114" spans="1:44" x14ac:dyDescent="0.4">
      <c r="A114" s="3" t="s">
        <v>42</v>
      </c>
      <c r="B114" s="3" t="s">
        <v>43</v>
      </c>
      <c r="C114" s="3" t="s">
        <v>44</v>
      </c>
      <c r="D114" s="3" t="s">
        <v>45</v>
      </c>
      <c r="E114" s="3"/>
      <c r="F114" s="3" t="s">
        <v>46</v>
      </c>
      <c r="G114" s="3" t="s">
        <v>47</v>
      </c>
      <c r="H114" s="3" t="s">
        <v>48</v>
      </c>
      <c r="I114" s="3" t="s">
        <v>49</v>
      </c>
      <c r="J114" s="3">
        <v>51792527</v>
      </c>
      <c r="K114" s="3" t="s">
        <v>215</v>
      </c>
      <c r="L114" s="3"/>
      <c r="M114" s="3"/>
      <c r="N114" s="3" t="s">
        <v>60</v>
      </c>
      <c r="O114" s="3" t="s">
        <v>52</v>
      </c>
      <c r="P114" s="3">
        <v>0.7</v>
      </c>
      <c r="Q114" s="3">
        <v>0.6</v>
      </c>
      <c r="R114" s="4" t="s">
        <v>53</v>
      </c>
      <c r="S114" s="4">
        <v>1400</v>
      </c>
      <c r="T114" s="4">
        <v>19600</v>
      </c>
      <c r="U114" s="4">
        <v>7000</v>
      </c>
      <c r="V114" s="4">
        <v>0</v>
      </c>
      <c r="W114" s="4">
        <v>0</v>
      </c>
      <c r="X114" s="4">
        <v>0</v>
      </c>
      <c r="Y114" s="4">
        <v>0</v>
      </c>
      <c r="Z114" s="4">
        <v>4200</v>
      </c>
      <c r="AA114" s="4">
        <v>0</v>
      </c>
      <c r="AB114" s="4">
        <v>0</v>
      </c>
      <c r="AC114" s="4">
        <v>8400</v>
      </c>
      <c r="AD114" s="4">
        <v>20020</v>
      </c>
      <c r="AE114" s="4">
        <v>7000</v>
      </c>
      <c r="AF114" s="4">
        <v>0</v>
      </c>
      <c r="AG114" s="4">
        <v>0</v>
      </c>
      <c r="AH114" s="4">
        <v>0</v>
      </c>
      <c r="AI114" s="4">
        <v>0</v>
      </c>
      <c r="AJ114" s="4">
        <v>4620</v>
      </c>
      <c r="AK114" s="4">
        <v>0</v>
      </c>
      <c r="AL114" s="4">
        <v>0</v>
      </c>
      <c r="AM114" s="4">
        <v>8400</v>
      </c>
      <c r="AN114" s="4">
        <v>13552</v>
      </c>
      <c r="AO114" s="4">
        <v>0</v>
      </c>
      <c r="AP114" s="4">
        <v>13552</v>
      </c>
      <c r="AQ114" t="str">
        <f>VLOOKUP(N114,'[1]전체(5)'!$N:$AR,30,0)</f>
        <v>스토리위즈</v>
      </c>
      <c r="AR114" t="str">
        <f>VLOOKUP($N114,'[1]전체(5)'!$N:$AR,31,0)</f>
        <v>주이서</v>
      </c>
    </row>
    <row r="115" spans="1:44" x14ac:dyDescent="0.4">
      <c r="A115" s="3" t="s">
        <v>42</v>
      </c>
      <c r="B115" s="3" t="s">
        <v>43</v>
      </c>
      <c r="C115" s="3" t="s">
        <v>44</v>
      </c>
      <c r="D115" s="3" t="s">
        <v>45</v>
      </c>
      <c r="E115" s="3"/>
      <c r="F115" s="3" t="s">
        <v>46</v>
      </c>
      <c r="G115" s="3" t="s">
        <v>47</v>
      </c>
      <c r="H115" s="3" t="s">
        <v>48</v>
      </c>
      <c r="I115" s="3" t="s">
        <v>49</v>
      </c>
      <c r="J115" s="3">
        <v>52754924</v>
      </c>
      <c r="K115" s="3" t="s">
        <v>207</v>
      </c>
      <c r="L115" s="3"/>
      <c r="M115" s="3"/>
      <c r="N115" s="3" t="s">
        <v>154</v>
      </c>
      <c r="O115" s="3" t="s">
        <v>52</v>
      </c>
      <c r="P115" s="3">
        <v>0.7</v>
      </c>
      <c r="Q115" s="3">
        <v>0.6</v>
      </c>
      <c r="R115" s="4" t="s">
        <v>56</v>
      </c>
      <c r="S115" s="4">
        <v>100</v>
      </c>
      <c r="T115" s="4">
        <v>40200</v>
      </c>
      <c r="U115" s="4">
        <v>10900</v>
      </c>
      <c r="V115" s="4">
        <v>0</v>
      </c>
      <c r="W115" s="4">
        <v>0</v>
      </c>
      <c r="X115" s="4">
        <v>0</v>
      </c>
      <c r="Y115" s="4">
        <v>0</v>
      </c>
      <c r="Z115" s="4">
        <v>100</v>
      </c>
      <c r="AA115" s="4">
        <v>0</v>
      </c>
      <c r="AB115" s="4">
        <v>0</v>
      </c>
      <c r="AC115" s="4">
        <v>29200</v>
      </c>
      <c r="AD115" s="4">
        <v>40210</v>
      </c>
      <c r="AE115" s="4">
        <v>10900</v>
      </c>
      <c r="AF115" s="4">
        <v>0</v>
      </c>
      <c r="AG115" s="4">
        <v>0</v>
      </c>
      <c r="AH115" s="4">
        <v>0</v>
      </c>
      <c r="AI115" s="4">
        <v>0</v>
      </c>
      <c r="AJ115" s="4">
        <v>110</v>
      </c>
      <c r="AK115" s="4">
        <v>0</v>
      </c>
      <c r="AL115" s="4">
        <v>0</v>
      </c>
      <c r="AM115" s="4">
        <v>29200</v>
      </c>
      <c r="AN115" s="4">
        <v>28136</v>
      </c>
      <c r="AO115" s="4">
        <v>0</v>
      </c>
      <c r="AP115" s="4">
        <v>28136</v>
      </c>
      <c r="AQ115" t="str">
        <f>VLOOKUP(N115,'[1]전체(5)'!$N:$AR,30,0)</f>
        <v>스토리위즈</v>
      </c>
      <c r="AR115" t="str">
        <f>VLOOKUP($N115,'[1]전체(5)'!$N:$AR,31,0)</f>
        <v>모리미</v>
      </c>
    </row>
    <row r="116" spans="1:44" x14ac:dyDescent="0.4">
      <c r="A116" s="3" t="s">
        <v>42</v>
      </c>
      <c r="B116" s="3" t="s">
        <v>43</v>
      </c>
      <c r="C116" s="3" t="s">
        <v>44</v>
      </c>
      <c r="D116" s="3" t="s">
        <v>45</v>
      </c>
      <c r="E116" s="3"/>
      <c r="F116" s="3" t="s">
        <v>46</v>
      </c>
      <c r="G116" s="3" t="s">
        <v>47</v>
      </c>
      <c r="H116" s="3" t="s">
        <v>48</v>
      </c>
      <c r="I116" s="3" t="s">
        <v>49</v>
      </c>
      <c r="J116" s="3">
        <v>53010813</v>
      </c>
      <c r="K116" s="3" t="s">
        <v>186</v>
      </c>
      <c r="L116" s="3"/>
      <c r="M116" s="3"/>
      <c r="N116" s="3" t="s">
        <v>187</v>
      </c>
      <c r="O116" s="3" t="s">
        <v>52</v>
      </c>
      <c r="P116" s="3">
        <v>0.7</v>
      </c>
      <c r="Q116" s="3">
        <v>0.6</v>
      </c>
      <c r="R116" s="4" t="s">
        <v>53</v>
      </c>
      <c r="S116" s="4">
        <v>4500</v>
      </c>
      <c r="T116" s="4">
        <v>9000</v>
      </c>
      <c r="U116" s="4">
        <v>9000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9000</v>
      </c>
      <c r="AE116" s="4">
        <v>9000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6300</v>
      </c>
      <c r="AO116" s="4">
        <v>0</v>
      </c>
      <c r="AP116" s="4">
        <v>6300</v>
      </c>
      <c r="AQ116" t="str">
        <f>VLOOKUP(N116,'[1]전체(5)'!$N:$AR,30,0)</f>
        <v>스토리위즈</v>
      </c>
      <c r="AR116" t="str">
        <f>VLOOKUP($N116,'[1]전체(5)'!$N:$AR,31,0)</f>
        <v>차홍주</v>
      </c>
    </row>
    <row r="117" spans="1:44" x14ac:dyDescent="0.4">
      <c r="A117" s="3" t="s">
        <v>42</v>
      </c>
      <c r="B117" s="3" t="s">
        <v>43</v>
      </c>
      <c r="C117" s="3" t="s">
        <v>44</v>
      </c>
      <c r="D117" s="3" t="s">
        <v>45</v>
      </c>
      <c r="E117" s="3"/>
      <c r="F117" s="3" t="s">
        <v>46</v>
      </c>
      <c r="G117" s="3" t="s">
        <v>47</v>
      </c>
      <c r="H117" s="3" t="s">
        <v>48</v>
      </c>
      <c r="I117" s="3" t="s">
        <v>49</v>
      </c>
      <c r="J117" s="3">
        <v>53884097</v>
      </c>
      <c r="K117" s="3" t="s">
        <v>77</v>
      </c>
      <c r="L117" s="3"/>
      <c r="M117" s="3"/>
      <c r="N117" s="3" t="s">
        <v>78</v>
      </c>
      <c r="O117" s="3" t="s">
        <v>52</v>
      </c>
      <c r="P117" s="3">
        <v>0.7</v>
      </c>
      <c r="Q117" s="3">
        <v>0.6</v>
      </c>
      <c r="R117" s="4" t="s">
        <v>56</v>
      </c>
      <c r="S117" s="4">
        <v>100</v>
      </c>
      <c r="T117" s="4">
        <v>3200</v>
      </c>
      <c r="U117" s="4">
        <v>2700</v>
      </c>
      <c r="V117" s="4">
        <v>0</v>
      </c>
      <c r="W117" s="4">
        <v>0</v>
      </c>
      <c r="X117" s="4">
        <v>0</v>
      </c>
      <c r="Y117" s="4">
        <v>0</v>
      </c>
      <c r="Z117" s="4">
        <v>500</v>
      </c>
      <c r="AA117" s="4">
        <v>0</v>
      </c>
      <c r="AB117" s="4">
        <v>0</v>
      </c>
      <c r="AC117" s="4">
        <v>0</v>
      </c>
      <c r="AD117" s="4">
        <v>3250</v>
      </c>
      <c r="AE117" s="4">
        <v>2700</v>
      </c>
      <c r="AF117" s="4">
        <v>0</v>
      </c>
      <c r="AG117" s="4">
        <v>0</v>
      </c>
      <c r="AH117" s="4">
        <v>0</v>
      </c>
      <c r="AI117" s="4">
        <v>0</v>
      </c>
      <c r="AJ117" s="4">
        <v>550</v>
      </c>
      <c r="AK117" s="4">
        <v>0</v>
      </c>
      <c r="AL117" s="4">
        <v>0</v>
      </c>
      <c r="AM117" s="4">
        <v>0</v>
      </c>
      <c r="AN117" s="4">
        <v>2220</v>
      </c>
      <c r="AO117" s="4">
        <v>0</v>
      </c>
      <c r="AP117" s="4">
        <v>2220</v>
      </c>
      <c r="AQ117" t="str">
        <f>VLOOKUP(N117,'[1]전체(5)'!$N:$AR,30,0)</f>
        <v>스토리위즈</v>
      </c>
      <c r="AR117" t="str">
        <f>VLOOKUP($N117,'[1]전체(5)'!$N:$AR,31,0)</f>
        <v>셔틀</v>
      </c>
    </row>
    <row r="118" spans="1:44" x14ac:dyDescent="0.4">
      <c r="A118" s="3" t="s">
        <v>42</v>
      </c>
      <c r="B118" s="3" t="s">
        <v>43</v>
      </c>
      <c r="C118" s="3" t="s">
        <v>44</v>
      </c>
      <c r="D118" s="3" t="s">
        <v>45</v>
      </c>
      <c r="E118" s="3"/>
      <c r="F118" s="3" t="s">
        <v>46</v>
      </c>
      <c r="G118" s="3" t="s">
        <v>47</v>
      </c>
      <c r="H118" s="3" t="s">
        <v>48</v>
      </c>
      <c r="I118" s="3" t="s">
        <v>49</v>
      </c>
      <c r="J118" s="3">
        <v>51792527</v>
      </c>
      <c r="K118" s="3" t="s">
        <v>215</v>
      </c>
      <c r="L118" s="3"/>
      <c r="M118" s="3"/>
      <c r="N118" s="3" t="s">
        <v>60</v>
      </c>
      <c r="O118" s="3" t="s">
        <v>52</v>
      </c>
      <c r="P118" s="3">
        <v>0.7</v>
      </c>
      <c r="Q118" s="3">
        <v>0.6</v>
      </c>
      <c r="R118" s="4" t="s">
        <v>53</v>
      </c>
      <c r="S118" s="4">
        <v>4000</v>
      </c>
      <c r="T118" s="4">
        <v>13500</v>
      </c>
      <c r="U118" s="4">
        <v>11800</v>
      </c>
      <c r="V118" s="4">
        <v>0</v>
      </c>
      <c r="W118" s="4">
        <v>0</v>
      </c>
      <c r="X118" s="4">
        <v>0</v>
      </c>
      <c r="Y118" s="4">
        <v>0</v>
      </c>
      <c r="Z118" s="4">
        <v>1700</v>
      </c>
      <c r="AA118" s="4">
        <v>0</v>
      </c>
      <c r="AB118" s="4">
        <v>0</v>
      </c>
      <c r="AC118" s="4">
        <v>0</v>
      </c>
      <c r="AD118" s="4">
        <v>13670</v>
      </c>
      <c r="AE118" s="4">
        <v>11800</v>
      </c>
      <c r="AF118" s="4">
        <v>0</v>
      </c>
      <c r="AG118" s="4">
        <v>0</v>
      </c>
      <c r="AH118" s="4">
        <v>0</v>
      </c>
      <c r="AI118" s="4">
        <v>0</v>
      </c>
      <c r="AJ118" s="4">
        <v>1870</v>
      </c>
      <c r="AK118" s="4">
        <v>0</v>
      </c>
      <c r="AL118" s="4">
        <v>0</v>
      </c>
      <c r="AM118" s="4">
        <v>0</v>
      </c>
      <c r="AN118" s="4">
        <v>9382</v>
      </c>
      <c r="AO118" s="4">
        <v>0</v>
      </c>
      <c r="AP118" s="4">
        <v>9382</v>
      </c>
      <c r="AQ118" t="str">
        <f>VLOOKUP(N118,'[1]전체(5)'!$N:$AR,30,0)</f>
        <v>스토리위즈</v>
      </c>
      <c r="AR118" t="str">
        <f>VLOOKUP($N118,'[1]전체(5)'!$N:$AR,31,0)</f>
        <v>주이서</v>
      </c>
    </row>
    <row r="119" spans="1:44" x14ac:dyDescent="0.4">
      <c r="A119" s="3" t="s">
        <v>42</v>
      </c>
      <c r="B119" s="3" t="s">
        <v>43</v>
      </c>
      <c r="C119" s="3" t="s">
        <v>44</v>
      </c>
      <c r="D119" s="3" t="s">
        <v>45</v>
      </c>
      <c r="E119" s="3"/>
      <c r="F119" s="3" t="s">
        <v>46</v>
      </c>
      <c r="G119" s="3" t="s">
        <v>47</v>
      </c>
      <c r="H119" s="3" t="s">
        <v>48</v>
      </c>
      <c r="I119" s="3" t="s">
        <v>49</v>
      </c>
      <c r="J119" s="3">
        <v>52754924</v>
      </c>
      <c r="K119" s="3" t="s">
        <v>207</v>
      </c>
      <c r="L119" s="3"/>
      <c r="M119" s="3"/>
      <c r="N119" s="3" t="s">
        <v>154</v>
      </c>
      <c r="O119" s="3" t="s">
        <v>52</v>
      </c>
      <c r="P119" s="3">
        <v>0.7</v>
      </c>
      <c r="Q119" s="3">
        <v>0.6</v>
      </c>
      <c r="R119" s="4" t="s">
        <v>53</v>
      </c>
      <c r="S119" s="4">
        <v>900</v>
      </c>
      <c r="T119" s="4">
        <v>31700</v>
      </c>
      <c r="U119" s="4">
        <v>20300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11400</v>
      </c>
      <c r="AD119" s="4">
        <v>31700</v>
      </c>
      <c r="AE119" s="4">
        <v>20300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11400</v>
      </c>
      <c r="AN119" s="4">
        <v>22190</v>
      </c>
      <c r="AO119" s="4">
        <v>0</v>
      </c>
      <c r="AP119" s="4">
        <v>22190</v>
      </c>
      <c r="AQ119" t="str">
        <f>VLOOKUP(N119,'[1]전체(5)'!$N:$AR,30,0)</f>
        <v>스토리위즈</v>
      </c>
      <c r="AR119" t="str">
        <f>VLOOKUP($N119,'[1]전체(5)'!$N:$AR,31,0)</f>
        <v>모리미</v>
      </c>
    </row>
    <row r="120" spans="1:44" x14ac:dyDescent="0.4">
      <c r="A120" s="3" t="s">
        <v>42</v>
      </c>
      <c r="B120" s="3" t="s">
        <v>43</v>
      </c>
      <c r="C120" s="3" t="s">
        <v>44</v>
      </c>
      <c r="D120" s="3" t="s">
        <v>45</v>
      </c>
      <c r="E120" s="3"/>
      <c r="F120" s="3" t="s">
        <v>46</v>
      </c>
      <c r="G120" s="3" t="s">
        <v>47</v>
      </c>
      <c r="H120" s="3" t="s">
        <v>48</v>
      </c>
      <c r="I120" s="3" t="s">
        <v>49</v>
      </c>
      <c r="J120" s="3">
        <v>53194958</v>
      </c>
      <c r="K120" s="3" t="s">
        <v>202</v>
      </c>
      <c r="L120" s="3"/>
      <c r="M120" s="3"/>
      <c r="N120" s="3" t="s">
        <v>203</v>
      </c>
      <c r="O120" s="3" t="s">
        <v>52</v>
      </c>
      <c r="P120" s="3">
        <v>0.7</v>
      </c>
      <c r="Q120" s="3">
        <v>0.6</v>
      </c>
      <c r="R120" s="4" t="s">
        <v>53</v>
      </c>
      <c r="S120" s="4">
        <v>1800</v>
      </c>
      <c r="T120" s="4">
        <v>1800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1800</v>
      </c>
      <c r="AA120" s="4">
        <v>0</v>
      </c>
      <c r="AB120" s="4">
        <v>0</v>
      </c>
      <c r="AC120" s="4">
        <v>0</v>
      </c>
      <c r="AD120" s="4">
        <v>1980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1980</v>
      </c>
      <c r="AK120" s="4">
        <v>0</v>
      </c>
      <c r="AL120" s="4">
        <v>0</v>
      </c>
      <c r="AM120" s="4">
        <v>0</v>
      </c>
      <c r="AN120" s="4">
        <v>1188</v>
      </c>
      <c r="AO120" s="4">
        <v>0</v>
      </c>
      <c r="AP120" s="4">
        <v>1188</v>
      </c>
      <c r="AQ120" t="str">
        <f>VLOOKUP(N120,'[1]전체(5)'!$N:$AR,30,0)</f>
        <v>스토리위즈</v>
      </c>
      <c r="AR120" t="str">
        <f>VLOOKUP($N120,'[1]전체(5)'!$N:$AR,31,0)</f>
        <v>한서나</v>
      </c>
    </row>
    <row r="121" spans="1:44" x14ac:dyDescent="0.4">
      <c r="A121" s="3" t="s">
        <v>42</v>
      </c>
      <c r="B121" s="3" t="s">
        <v>43</v>
      </c>
      <c r="C121" s="3" t="s">
        <v>44</v>
      </c>
      <c r="D121" s="3" t="s">
        <v>45</v>
      </c>
      <c r="E121" s="3"/>
      <c r="F121" s="3" t="s">
        <v>46</v>
      </c>
      <c r="G121" s="3" t="s">
        <v>47</v>
      </c>
      <c r="H121" s="3" t="s">
        <v>48</v>
      </c>
      <c r="I121" s="3" t="s">
        <v>49</v>
      </c>
      <c r="J121" s="3">
        <v>53884097</v>
      </c>
      <c r="K121" s="3" t="s">
        <v>77</v>
      </c>
      <c r="L121" s="3"/>
      <c r="M121" s="3"/>
      <c r="N121" s="3" t="s">
        <v>78</v>
      </c>
      <c r="O121" s="3" t="s">
        <v>52</v>
      </c>
      <c r="P121" s="3">
        <v>0.7</v>
      </c>
      <c r="Q121" s="3">
        <v>0.6</v>
      </c>
      <c r="R121" s="4" t="s">
        <v>53</v>
      </c>
      <c r="S121" s="4">
        <v>900</v>
      </c>
      <c r="T121" s="4">
        <v>6800</v>
      </c>
      <c r="U121" s="4">
        <v>5900</v>
      </c>
      <c r="V121" s="4">
        <v>0</v>
      </c>
      <c r="W121" s="4">
        <v>0</v>
      </c>
      <c r="X121" s="4">
        <v>0</v>
      </c>
      <c r="Y121" s="4">
        <v>0</v>
      </c>
      <c r="Z121" s="4">
        <v>900</v>
      </c>
      <c r="AA121" s="4">
        <v>0</v>
      </c>
      <c r="AB121" s="4">
        <v>0</v>
      </c>
      <c r="AC121" s="4">
        <v>0</v>
      </c>
      <c r="AD121" s="4">
        <v>6890</v>
      </c>
      <c r="AE121" s="4">
        <v>5900</v>
      </c>
      <c r="AF121" s="4">
        <v>0</v>
      </c>
      <c r="AG121" s="4">
        <v>0</v>
      </c>
      <c r="AH121" s="4">
        <v>0</v>
      </c>
      <c r="AI121" s="4">
        <v>0</v>
      </c>
      <c r="AJ121" s="4">
        <v>990</v>
      </c>
      <c r="AK121" s="4">
        <v>0</v>
      </c>
      <c r="AL121" s="4">
        <v>0</v>
      </c>
      <c r="AM121" s="4">
        <v>0</v>
      </c>
      <c r="AN121" s="4">
        <v>4724</v>
      </c>
      <c r="AO121" s="4">
        <v>0</v>
      </c>
      <c r="AP121" s="4">
        <v>4724</v>
      </c>
      <c r="AQ121" t="str">
        <f>VLOOKUP(N121,'[1]전체(5)'!$N:$AR,30,0)</f>
        <v>스토리위즈</v>
      </c>
      <c r="AR121" t="str">
        <f>VLOOKUP($N121,'[1]전체(5)'!$N:$AR,31,0)</f>
        <v>셔틀</v>
      </c>
    </row>
    <row r="122" spans="1:44" x14ac:dyDescent="0.4">
      <c r="A122" s="3" t="s">
        <v>42</v>
      </c>
      <c r="B122" s="3" t="s">
        <v>43</v>
      </c>
      <c r="C122" s="3" t="s">
        <v>44</v>
      </c>
      <c r="D122" s="3" t="s">
        <v>45</v>
      </c>
      <c r="E122" s="3"/>
      <c r="F122" s="3" t="s">
        <v>46</v>
      </c>
      <c r="G122" s="3" t="s">
        <v>47</v>
      </c>
      <c r="H122" s="3" t="s">
        <v>48</v>
      </c>
      <c r="I122" s="3" t="s">
        <v>49</v>
      </c>
      <c r="J122" s="3">
        <v>55545653</v>
      </c>
      <c r="K122" s="3" t="s">
        <v>140</v>
      </c>
      <c r="L122" s="3"/>
      <c r="M122" s="3"/>
      <c r="N122" s="3" t="s">
        <v>51</v>
      </c>
      <c r="O122" s="3" t="s">
        <v>52</v>
      </c>
      <c r="P122" s="3">
        <v>0.7</v>
      </c>
      <c r="Q122" s="3">
        <v>0.6</v>
      </c>
      <c r="R122" s="4" t="s">
        <v>56</v>
      </c>
      <c r="S122" s="4">
        <v>100</v>
      </c>
      <c r="T122" s="4">
        <v>23800</v>
      </c>
      <c r="U122" s="4">
        <v>11300</v>
      </c>
      <c r="V122" s="4">
        <v>0</v>
      </c>
      <c r="W122" s="4">
        <v>0</v>
      </c>
      <c r="X122" s="4">
        <v>0</v>
      </c>
      <c r="Y122" s="4">
        <v>200</v>
      </c>
      <c r="Z122" s="4">
        <v>5100</v>
      </c>
      <c r="AA122" s="4">
        <v>0</v>
      </c>
      <c r="AB122" s="4">
        <v>0</v>
      </c>
      <c r="AC122" s="4">
        <v>7200</v>
      </c>
      <c r="AD122" s="4">
        <v>24350</v>
      </c>
      <c r="AE122" s="4">
        <v>11300</v>
      </c>
      <c r="AF122" s="4">
        <v>0</v>
      </c>
      <c r="AG122" s="4">
        <v>0</v>
      </c>
      <c r="AH122" s="4">
        <v>0</v>
      </c>
      <c r="AI122" s="4">
        <v>240</v>
      </c>
      <c r="AJ122" s="4">
        <v>5610</v>
      </c>
      <c r="AK122" s="4">
        <v>0</v>
      </c>
      <c r="AL122" s="4">
        <v>0</v>
      </c>
      <c r="AM122" s="4">
        <v>7200</v>
      </c>
      <c r="AN122" s="4">
        <v>16460</v>
      </c>
      <c r="AO122" s="4">
        <v>0</v>
      </c>
      <c r="AP122" s="4">
        <v>16460</v>
      </c>
      <c r="AQ122" t="str">
        <f>VLOOKUP(N122,'[1]전체(5)'!$N:$AR,30,0)</f>
        <v>스토리위즈</v>
      </c>
      <c r="AR122" t="str">
        <f>VLOOKUP($N122,'[1]전체(5)'!$N:$AR,31,0)</f>
        <v>문스톤</v>
      </c>
    </row>
    <row r="123" spans="1:44" x14ac:dyDescent="0.4">
      <c r="A123" s="3" t="s">
        <v>42</v>
      </c>
      <c r="B123" s="3" t="s">
        <v>43</v>
      </c>
      <c r="C123" s="3" t="s">
        <v>44</v>
      </c>
      <c r="D123" s="3" t="s">
        <v>45</v>
      </c>
      <c r="E123" s="3"/>
      <c r="F123" s="3" t="s">
        <v>46</v>
      </c>
      <c r="G123" s="3" t="s">
        <v>47</v>
      </c>
      <c r="H123" s="3" t="s">
        <v>48</v>
      </c>
      <c r="I123" s="3" t="s">
        <v>49</v>
      </c>
      <c r="J123" s="3">
        <v>52754924</v>
      </c>
      <c r="K123" s="3" t="s">
        <v>207</v>
      </c>
      <c r="L123" s="3"/>
      <c r="M123" s="3"/>
      <c r="N123" s="3" t="s">
        <v>154</v>
      </c>
      <c r="O123" s="3" t="s">
        <v>52</v>
      </c>
      <c r="P123" s="3">
        <v>0.7</v>
      </c>
      <c r="Q123" s="3">
        <v>0.6</v>
      </c>
      <c r="R123" s="4" t="s">
        <v>53</v>
      </c>
      <c r="S123" s="4">
        <v>1800</v>
      </c>
      <c r="T123" s="4">
        <v>18400</v>
      </c>
      <c r="U123" s="4">
        <v>12600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5800</v>
      </c>
      <c r="AD123" s="4">
        <v>18400</v>
      </c>
      <c r="AE123" s="4">
        <v>12600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5800</v>
      </c>
      <c r="AN123" s="4">
        <v>12880</v>
      </c>
      <c r="AO123" s="4">
        <v>0</v>
      </c>
      <c r="AP123" s="4">
        <v>12880</v>
      </c>
      <c r="AQ123" t="str">
        <f>VLOOKUP(N123,'[1]전체(5)'!$N:$AR,30,0)</f>
        <v>스토리위즈</v>
      </c>
      <c r="AR123" t="str">
        <f>VLOOKUP($N123,'[1]전체(5)'!$N:$AR,31,0)</f>
        <v>모리미</v>
      </c>
    </row>
    <row r="124" spans="1:44" x14ac:dyDescent="0.4">
      <c r="A124" s="3" t="s">
        <v>42</v>
      </c>
      <c r="B124" s="3" t="s">
        <v>43</v>
      </c>
      <c r="C124" s="3" t="s">
        <v>44</v>
      </c>
      <c r="D124" s="3" t="s">
        <v>45</v>
      </c>
      <c r="E124" s="3"/>
      <c r="F124" s="3" t="s">
        <v>46</v>
      </c>
      <c r="G124" s="3" t="s">
        <v>47</v>
      </c>
      <c r="H124" s="3" t="s">
        <v>48</v>
      </c>
      <c r="I124" s="3" t="s">
        <v>49</v>
      </c>
      <c r="J124" s="3">
        <v>53884097</v>
      </c>
      <c r="K124" s="3" t="s">
        <v>77</v>
      </c>
      <c r="L124" s="3"/>
      <c r="M124" s="3"/>
      <c r="N124" s="3" t="s">
        <v>78</v>
      </c>
      <c r="O124" s="3" t="s">
        <v>52</v>
      </c>
      <c r="P124" s="3">
        <v>0.7</v>
      </c>
      <c r="Q124" s="3">
        <v>0.6</v>
      </c>
      <c r="R124" s="4" t="s">
        <v>53</v>
      </c>
      <c r="S124" s="4">
        <v>5400</v>
      </c>
      <c r="T124" s="4">
        <v>5400</v>
      </c>
      <c r="U124" s="4">
        <v>5400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5400</v>
      </c>
      <c r="AE124" s="4">
        <v>5400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3780</v>
      </c>
      <c r="AO124" s="4">
        <v>0</v>
      </c>
      <c r="AP124" s="4">
        <v>3780</v>
      </c>
      <c r="AQ124" t="str">
        <f>VLOOKUP(N124,'[1]전체(5)'!$N:$AR,30,0)</f>
        <v>스토리위즈</v>
      </c>
      <c r="AR124" t="str">
        <f>VLOOKUP($N124,'[1]전체(5)'!$N:$AR,31,0)</f>
        <v>셔틀</v>
      </c>
    </row>
    <row r="125" spans="1:44" x14ac:dyDescent="0.4">
      <c r="A125" s="3" t="s">
        <v>42</v>
      </c>
      <c r="B125" s="3" t="s">
        <v>43</v>
      </c>
      <c r="C125" s="3" t="s">
        <v>44</v>
      </c>
      <c r="D125" s="3" t="s">
        <v>45</v>
      </c>
      <c r="E125" s="3"/>
      <c r="F125" s="3" t="s">
        <v>46</v>
      </c>
      <c r="G125" s="3" t="s">
        <v>47</v>
      </c>
      <c r="H125" s="3" t="s">
        <v>48</v>
      </c>
      <c r="I125" s="3" t="s">
        <v>49</v>
      </c>
      <c r="J125" s="3">
        <v>55545653</v>
      </c>
      <c r="K125" s="3" t="s">
        <v>140</v>
      </c>
      <c r="L125" s="3"/>
      <c r="M125" s="3"/>
      <c r="N125" s="3" t="s">
        <v>51</v>
      </c>
      <c r="O125" s="3" t="s">
        <v>52</v>
      </c>
      <c r="P125" s="3">
        <v>0.7</v>
      </c>
      <c r="Q125" s="3">
        <v>0.6</v>
      </c>
      <c r="R125" s="4" t="s">
        <v>53</v>
      </c>
      <c r="S125" s="4">
        <v>900</v>
      </c>
      <c r="T125" s="4">
        <v>33000</v>
      </c>
      <c r="U125" s="4">
        <v>22200</v>
      </c>
      <c r="V125" s="4">
        <v>0</v>
      </c>
      <c r="W125" s="4">
        <v>0</v>
      </c>
      <c r="X125" s="4">
        <v>0</v>
      </c>
      <c r="Y125" s="4">
        <v>900</v>
      </c>
      <c r="Z125" s="4">
        <v>4900</v>
      </c>
      <c r="AA125" s="4">
        <v>0</v>
      </c>
      <c r="AB125" s="4">
        <v>0</v>
      </c>
      <c r="AC125" s="4">
        <v>5000</v>
      </c>
      <c r="AD125" s="4">
        <v>33670</v>
      </c>
      <c r="AE125" s="4">
        <v>22200</v>
      </c>
      <c r="AF125" s="4">
        <v>0</v>
      </c>
      <c r="AG125" s="4">
        <v>0</v>
      </c>
      <c r="AH125" s="4">
        <v>0</v>
      </c>
      <c r="AI125" s="4">
        <v>1080</v>
      </c>
      <c r="AJ125" s="4">
        <v>5390</v>
      </c>
      <c r="AK125" s="4">
        <v>0</v>
      </c>
      <c r="AL125" s="4">
        <v>0</v>
      </c>
      <c r="AM125" s="4">
        <v>5000</v>
      </c>
      <c r="AN125" s="4">
        <v>22922</v>
      </c>
      <c r="AO125" s="4">
        <v>0</v>
      </c>
      <c r="AP125" s="4">
        <v>22922</v>
      </c>
      <c r="AQ125" t="str">
        <f>VLOOKUP(N125,'[1]전체(5)'!$N:$AR,30,0)</f>
        <v>스토리위즈</v>
      </c>
      <c r="AR125" t="str">
        <f>VLOOKUP($N125,'[1]전체(5)'!$N:$AR,31,0)</f>
        <v>문스톤</v>
      </c>
    </row>
    <row r="126" spans="1:44" x14ac:dyDescent="0.4">
      <c r="A126" s="3" t="s">
        <v>42</v>
      </c>
      <c r="B126" s="3" t="s">
        <v>43</v>
      </c>
      <c r="C126" s="3" t="s">
        <v>44</v>
      </c>
      <c r="D126" s="3" t="s">
        <v>45</v>
      </c>
      <c r="E126" s="3"/>
      <c r="F126" s="3" t="s">
        <v>46</v>
      </c>
      <c r="G126" s="3" t="s">
        <v>47</v>
      </c>
      <c r="H126" s="3" t="s">
        <v>48</v>
      </c>
      <c r="I126" s="3" t="s">
        <v>49</v>
      </c>
      <c r="J126" s="3">
        <v>52754924</v>
      </c>
      <c r="K126" s="3" t="s">
        <v>207</v>
      </c>
      <c r="L126" s="3"/>
      <c r="M126" s="3"/>
      <c r="N126" s="3" t="s">
        <v>154</v>
      </c>
      <c r="O126" s="3" t="s">
        <v>52</v>
      </c>
      <c r="P126" s="3">
        <v>0.7</v>
      </c>
      <c r="Q126" s="3">
        <v>0.6</v>
      </c>
      <c r="R126" s="4" t="s">
        <v>53</v>
      </c>
      <c r="S126" s="4">
        <v>3600</v>
      </c>
      <c r="T126" s="4">
        <v>25200</v>
      </c>
      <c r="U126" s="4">
        <v>21600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3600</v>
      </c>
      <c r="AD126" s="4">
        <v>25200</v>
      </c>
      <c r="AE126" s="4">
        <v>21600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3600</v>
      </c>
      <c r="AN126" s="4">
        <v>17640</v>
      </c>
      <c r="AO126" s="4">
        <v>0</v>
      </c>
      <c r="AP126" s="4">
        <v>17640</v>
      </c>
      <c r="AQ126" t="str">
        <f>VLOOKUP(N126,'[1]전체(5)'!$N:$AR,30,0)</f>
        <v>스토리위즈</v>
      </c>
      <c r="AR126" t="str">
        <f>VLOOKUP($N126,'[1]전체(5)'!$N:$AR,31,0)</f>
        <v>모리미</v>
      </c>
    </row>
    <row r="127" spans="1:44" x14ac:dyDescent="0.4">
      <c r="A127" s="3" t="s">
        <v>42</v>
      </c>
      <c r="B127" s="3" t="s">
        <v>43</v>
      </c>
      <c r="C127" s="3" t="s">
        <v>44</v>
      </c>
      <c r="D127" s="3" t="s">
        <v>45</v>
      </c>
      <c r="E127" s="3"/>
      <c r="F127" s="3" t="s">
        <v>46</v>
      </c>
      <c r="G127" s="3" t="s">
        <v>47</v>
      </c>
      <c r="H127" s="3" t="s">
        <v>48</v>
      </c>
      <c r="I127" s="3" t="s">
        <v>49</v>
      </c>
      <c r="J127" s="3">
        <v>55545653</v>
      </c>
      <c r="K127" s="3" t="s">
        <v>140</v>
      </c>
      <c r="L127" s="3"/>
      <c r="M127" s="3"/>
      <c r="N127" s="3" t="s">
        <v>51</v>
      </c>
      <c r="O127" s="3" t="s">
        <v>52</v>
      </c>
      <c r="P127" s="3">
        <v>0.7</v>
      </c>
      <c r="Q127" s="3">
        <v>0.6</v>
      </c>
      <c r="R127" s="4" t="s">
        <v>53</v>
      </c>
      <c r="S127" s="4">
        <v>1800</v>
      </c>
      <c r="T127" s="4">
        <v>5400</v>
      </c>
      <c r="U127" s="4">
        <v>3600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1800</v>
      </c>
      <c r="AD127" s="4">
        <v>5400</v>
      </c>
      <c r="AE127" s="4">
        <v>3600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1800</v>
      </c>
      <c r="AN127" s="4">
        <v>3780</v>
      </c>
      <c r="AO127" s="4">
        <v>0</v>
      </c>
      <c r="AP127" s="4">
        <v>3780</v>
      </c>
      <c r="AQ127" t="str">
        <f>VLOOKUP(N127,'[1]전체(5)'!$N:$AR,30,0)</f>
        <v>스토리위즈</v>
      </c>
      <c r="AR127" t="str">
        <f>VLOOKUP($N127,'[1]전체(5)'!$N:$AR,31,0)</f>
        <v>문스톤</v>
      </c>
    </row>
    <row r="128" spans="1:44" x14ac:dyDescent="0.4">
      <c r="A128" s="3" t="s">
        <v>42</v>
      </c>
      <c r="B128" s="3" t="s">
        <v>43</v>
      </c>
      <c r="C128" s="3" t="s">
        <v>44</v>
      </c>
      <c r="D128" s="3" t="s">
        <v>45</v>
      </c>
      <c r="E128" s="3"/>
      <c r="F128" s="3" t="s">
        <v>46</v>
      </c>
      <c r="G128" s="3" t="s">
        <v>47</v>
      </c>
      <c r="H128" s="3" t="s">
        <v>48</v>
      </c>
      <c r="I128" s="3" t="s">
        <v>49</v>
      </c>
      <c r="J128" s="3">
        <v>55545653</v>
      </c>
      <c r="K128" s="3" t="s">
        <v>140</v>
      </c>
      <c r="L128" s="3"/>
      <c r="M128" s="3"/>
      <c r="N128" s="3" t="s">
        <v>51</v>
      </c>
      <c r="O128" s="3" t="s">
        <v>52</v>
      </c>
      <c r="P128" s="3">
        <v>0.7</v>
      </c>
      <c r="Q128" s="3">
        <v>0.6</v>
      </c>
      <c r="R128" s="4" t="s">
        <v>53</v>
      </c>
      <c r="S128" s="4">
        <v>2700</v>
      </c>
      <c r="T128" s="4">
        <v>21600</v>
      </c>
      <c r="U128" s="4">
        <v>21600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21600</v>
      </c>
      <c r="AE128" s="4">
        <v>21600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15120</v>
      </c>
      <c r="AO128" s="4">
        <v>0</v>
      </c>
      <c r="AP128" s="4">
        <v>15120</v>
      </c>
      <c r="AQ128" t="str">
        <f>VLOOKUP(N128,'[1]전체(5)'!$N:$AR,30,0)</f>
        <v>스토리위즈</v>
      </c>
      <c r="AR128" t="str">
        <f>VLOOKUP($N128,'[1]전체(5)'!$N:$AR,31,0)</f>
        <v>문스톤</v>
      </c>
    </row>
    <row r="129" spans="1:44" x14ac:dyDescent="0.4">
      <c r="A129" s="3" t="s">
        <v>42</v>
      </c>
      <c r="B129" s="3" t="s">
        <v>43</v>
      </c>
      <c r="C129" s="3" t="s">
        <v>44</v>
      </c>
      <c r="D129" s="3" t="s">
        <v>45</v>
      </c>
      <c r="E129" s="3"/>
      <c r="F129" s="3" t="s">
        <v>46</v>
      </c>
      <c r="G129" s="3" t="s">
        <v>47</v>
      </c>
      <c r="H129" s="3" t="s">
        <v>48</v>
      </c>
      <c r="I129" s="3" t="s">
        <v>49</v>
      </c>
      <c r="J129" s="3">
        <v>57657967</v>
      </c>
      <c r="K129" s="3" t="s">
        <v>183</v>
      </c>
      <c r="L129" s="3"/>
      <c r="M129" s="3"/>
      <c r="N129" s="3" t="s">
        <v>73</v>
      </c>
      <c r="O129" s="3" t="s">
        <v>52</v>
      </c>
      <c r="P129" s="3">
        <v>0.7</v>
      </c>
      <c r="Q129" s="3">
        <v>0.6</v>
      </c>
      <c r="R129" s="4" t="s">
        <v>56</v>
      </c>
      <c r="S129" s="4">
        <v>100</v>
      </c>
      <c r="T129" s="4">
        <v>4000</v>
      </c>
      <c r="U129" s="4">
        <v>1600</v>
      </c>
      <c r="V129" s="4">
        <v>0</v>
      </c>
      <c r="W129" s="4">
        <v>0</v>
      </c>
      <c r="X129" s="4">
        <v>0</v>
      </c>
      <c r="Y129" s="4">
        <v>0</v>
      </c>
      <c r="Z129" s="4">
        <v>400</v>
      </c>
      <c r="AA129" s="4">
        <v>0</v>
      </c>
      <c r="AB129" s="4">
        <v>0</v>
      </c>
      <c r="AC129" s="4">
        <v>2000</v>
      </c>
      <c r="AD129" s="4">
        <v>4040</v>
      </c>
      <c r="AE129" s="4">
        <v>1600</v>
      </c>
      <c r="AF129" s="4">
        <v>0</v>
      </c>
      <c r="AG129" s="4">
        <v>0</v>
      </c>
      <c r="AH129" s="4">
        <v>0</v>
      </c>
      <c r="AI129" s="4">
        <v>0</v>
      </c>
      <c r="AJ129" s="4">
        <v>440</v>
      </c>
      <c r="AK129" s="4">
        <v>0</v>
      </c>
      <c r="AL129" s="4">
        <v>0</v>
      </c>
      <c r="AM129" s="4">
        <v>2000</v>
      </c>
      <c r="AN129" s="4">
        <v>2784</v>
      </c>
      <c r="AO129" s="4">
        <v>0</v>
      </c>
      <c r="AP129" s="4">
        <v>2784</v>
      </c>
      <c r="AQ129" t="str">
        <f>VLOOKUP(N129,'[1]전체(5)'!$N:$AR,30,0)</f>
        <v>스토리위즈</v>
      </c>
      <c r="AR129" t="str">
        <f>VLOOKUP($N129,'[1]전체(5)'!$N:$AR,31,0)</f>
        <v>스내치</v>
      </c>
    </row>
    <row r="130" spans="1:44" x14ac:dyDescent="0.4">
      <c r="A130" s="3" t="s">
        <v>42</v>
      </c>
      <c r="B130" s="3" t="s">
        <v>43</v>
      </c>
      <c r="C130" s="3" t="s">
        <v>44</v>
      </c>
      <c r="D130" s="3" t="s">
        <v>45</v>
      </c>
      <c r="E130" s="3"/>
      <c r="F130" s="3" t="s">
        <v>46</v>
      </c>
      <c r="G130" s="3" t="s">
        <v>47</v>
      </c>
      <c r="H130" s="3" t="s">
        <v>48</v>
      </c>
      <c r="I130" s="3" t="s">
        <v>49</v>
      </c>
      <c r="J130" s="3">
        <v>57657967</v>
      </c>
      <c r="K130" s="3" t="s">
        <v>183</v>
      </c>
      <c r="L130" s="3"/>
      <c r="M130" s="3"/>
      <c r="N130" s="3" t="s">
        <v>73</v>
      </c>
      <c r="O130" s="3" t="s">
        <v>52</v>
      </c>
      <c r="P130" s="3">
        <v>0.7</v>
      </c>
      <c r="Q130" s="3">
        <v>0.6</v>
      </c>
      <c r="R130" s="4" t="s">
        <v>53</v>
      </c>
      <c r="S130" s="4">
        <v>900</v>
      </c>
      <c r="T130" s="4">
        <v>14400</v>
      </c>
      <c r="U130" s="4">
        <v>10500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3900</v>
      </c>
      <c r="AD130" s="4">
        <v>14400</v>
      </c>
      <c r="AE130" s="4">
        <v>10500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3900</v>
      </c>
      <c r="AN130" s="4">
        <v>10080</v>
      </c>
      <c r="AO130" s="4">
        <v>0</v>
      </c>
      <c r="AP130" s="4">
        <v>10080</v>
      </c>
      <c r="AQ130" t="str">
        <f>VLOOKUP(N130,'[1]전체(5)'!$N:$AR,30,0)</f>
        <v>스토리위즈</v>
      </c>
      <c r="AR130" t="str">
        <f>VLOOKUP($N130,'[1]전체(5)'!$N:$AR,31,0)</f>
        <v>스내치</v>
      </c>
    </row>
    <row r="131" spans="1:44" x14ac:dyDescent="0.4">
      <c r="A131" s="3" t="s">
        <v>42</v>
      </c>
      <c r="B131" s="3" t="s">
        <v>43</v>
      </c>
      <c r="C131" s="3" t="s">
        <v>44</v>
      </c>
      <c r="D131" s="3" t="s">
        <v>45</v>
      </c>
      <c r="E131" s="3"/>
      <c r="F131" s="3" t="s">
        <v>46</v>
      </c>
      <c r="G131" s="3" t="s">
        <v>47</v>
      </c>
      <c r="H131" s="3" t="s">
        <v>48</v>
      </c>
      <c r="I131" s="3" t="s">
        <v>49</v>
      </c>
      <c r="J131" s="3">
        <v>57657967</v>
      </c>
      <c r="K131" s="3" t="s">
        <v>183</v>
      </c>
      <c r="L131" s="3"/>
      <c r="M131" s="3"/>
      <c r="N131" s="3" t="s">
        <v>73</v>
      </c>
      <c r="O131" s="3" t="s">
        <v>52</v>
      </c>
      <c r="P131" s="3">
        <v>0.7</v>
      </c>
      <c r="Q131" s="3">
        <v>0.6</v>
      </c>
      <c r="R131" s="4" t="s">
        <v>53</v>
      </c>
      <c r="S131" s="4">
        <v>2700</v>
      </c>
      <c r="T131" s="4">
        <v>16200</v>
      </c>
      <c r="U131" s="4">
        <v>10800</v>
      </c>
      <c r="V131" s="4">
        <v>0</v>
      </c>
      <c r="W131" s="4">
        <v>0</v>
      </c>
      <c r="X131" s="4">
        <v>0</v>
      </c>
      <c r="Y131" s="4">
        <v>0</v>
      </c>
      <c r="Z131" s="4">
        <v>2700</v>
      </c>
      <c r="AA131" s="4">
        <v>0</v>
      </c>
      <c r="AB131" s="4">
        <v>0</v>
      </c>
      <c r="AC131" s="4">
        <v>2700</v>
      </c>
      <c r="AD131" s="4">
        <v>16470</v>
      </c>
      <c r="AE131" s="4">
        <v>10800</v>
      </c>
      <c r="AF131" s="4">
        <v>0</v>
      </c>
      <c r="AG131" s="4">
        <v>0</v>
      </c>
      <c r="AH131" s="4">
        <v>0</v>
      </c>
      <c r="AI131" s="4">
        <v>0</v>
      </c>
      <c r="AJ131" s="4">
        <v>2970</v>
      </c>
      <c r="AK131" s="4">
        <v>0</v>
      </c>
      <c r="AL131" s="4">
        <v>0</v>
      </c>
      <c r="AM131" s="4">
        <v>2700</v>
      </c>
      <c r="AN131" s="4">
        <v>11232</v>
      </c>
      <c r="AO131" s="4">
        <v>0</v>
      </c>
      <c r="AP131" s="4">
        <v>11232</v>
      </c>
      <c r="AQ131" t="str">
        <f>VLOOKUP(N131,'[1]전체(5)'!$N:$AR,30,0)</f>
        <v>스토리위즈</v>
      </c>
      <c r="AR131" t="str">
        <f>VLOOKUP($N131,'[1]전체(5)'!$N:$AR,31,0)</f>
        <v>스내치</v>
      </c>
    </row>
    <row r="132" spans="1:44" x14ac:dyDescent="0.4">
      <c r="A132" s="3" t="s">
        <v>42</v>
      </c>
      <c r="B132" s="3" t="s">
        <v>43</v>
      </c>
      <c r="C132" s="3" t="s">
        <v>44</v>
      </c>
      <c r="D132" s="3" t="s">
        <v>45</v>
      </c>
      <c r="E132" s="3"/>
      <c r="F132" s="3" t="s">
        <v>46</v>
      </c>
      <c r="G132" s="3" t="s">
        <v>47</v>
      </c>
      <c r="H132" s="3" t="s">
        <v>48</v>
      </c>
      <c r="I132" s="3" t="s">
        <v>49</v>
      </c>
      <c r="J132" s="3">
        <v>53995877</v>
      </c>
      <c r="K132" s="3" t="s">
        <v>95</v>
      </c>
      <c r="L132" s="3"/>
      <c r="M132" s="3"/>
      <c r="N132" s="3" t="s">
        <v>78</v>
      </c>
      <c r="O132" s="3" t="s">
        <v>52</v>
      </c>
      <c r="P132" s="3">
        <v>0.7</v>
      </c>
      <c r="Q132" s="3">
        <v>0.6</v>
      </c>
      <c r="R132" s="4" t="s">
        <v>56</v>
      </c>
      <c r="S132" s="4">
        <v>100</v>
      </c>
      <c r="T132" s="4">
        <v>13000</v>
      </c>
      <c r="U132" s="4">
        <v>6000</v>
      </c>
      <c r="V132" s="4">
        <v>0</v>
      </c>
      <c r="W132" s="4">
        <v>0</v>
      </c>
      <c r="X132" s="4">
        <v>0</v>
      </c>
      <c r="Y132" s="4">
        <v>0</v>
      </c>
      <c r="Z132" s="4">
        <v>3000</v>
      </c>
      <c r="AA132" s="4">
        <v>0</v>
      </c>
      <c r="AB132" s="4">
        <v>0</v>
      </c>
      <c r="AC132" s="4">
        <v>4000</v>
      </c>
      <c r="AD132" s="4">
        <v>13300</v>
      </c>
      <c r="AE132" s="4">
        <v>6000</v>
      </c>
      <c r="AF132" s="4">
        <v>0</v>
      </c>
      <c r="AG132" s="4">
        <v>0</v>
      </c>
      <c r="AH132" s="4">
        <v>0</v>
      </c>
      <c r="AI132" s="4">
        <v>0</v>
      </c>
      <c r="AJ132" s="4">
        <v>3300</v>
      </c>
      <c r="AK132" s="4">
        <v>0</v>
      </c>
      <c r="AL132" s="4">
        <v>0</v>
      </c>
      <c r="AM132" s="4">
        <v>4000</v>
      </c>
      <c r="AN132" s="4">
        <v>8980</v>
      </c>
      <c r="AO132" s="4">
        <v>0</v>
      </c>
      <c r="AP132" s="4">
        <v>8980</v>
      </c>
      <c r="AQ132" t="str">
        <f>VLOOKUP(N132,'[1]전체(5)'!$N:$AR,30,0)</f>
        <v>스토리위즈</v>
      </c>
      <c r="AR132" t="str">
        <f>VLOOKUP($N132,'[1]전체(5)'!$N:$AR,31,0)</f>
        <v>셔틀</v>
      </c>
    </row>
    <row r="133" spans="1:44" x14ac:dyDescent="0.4">
      <c r="A133" s="3" t="s">
        <v>42</v>
      </c>
      <c r="B133" s="3" t="s">
        <v>43</v>
      </c>
      <c r="C133" s="3" t="s">
        <v>44</v>
      </c>
      <c r="D133" s="3" t="s">
        <v>45</v>
      </c>
      <c r="E133" s="3"/>
      <c r="F133" s="3" t="s">
        <v>46</v>
      </c>
      <c r="G133" s="3" t="s">
        <v>47</v>
      </c>
      <c r="H133" s="3" t="s">
        <v>48</v>
      </c>
      <c r="I133" s="3" t="s">
        <v>49</v>
      </c>
      <c r="J133" s="3">
        <v>57657967</v>
      </c>
      <c r="K133" s="3" t="s">
        <v>183</v>
      </c>
      <c r="L133" s="3"/>
      <c r="M133" s="3"/>
      <c r="N133" s="3" t="s">
        <v>73</v>
      </c>
      <c r="O133" s="3" t="s">
        <v>52</v>
      </c>
      <c r="P133" s="3">
        <v>0.7</v>
      </c>
      <c r="Q133" s="3">
        <v>0.6</v>
      </c>
      <c r="R133" s="4" t="s">
        <v>53</v>
      </c>
      <c r="S133" s="4">
        <v>4500</v>
      </c>
      <c r="T133" s="4">
        <v>11300</v>
      </c>
      <c r="U133" s="4">
        <v>2300</v>
      </c>
      <c r="V133" s="4">
        <v>0</v>
      </c>
      <c r="W133" s="4">
        <v>0</v>
      </c>
      <c r="X133" s="4">
        <v>0</v>
      </c>
      <c r="Y133" s="4">
        <v>0</v>
      </c>
      <c r="Z133" s="4">
        <v>4500</v>
      </c>
      <c r="AA133" s="4">
        <v>0</v>
      </c>
      <c r="AB133" s="4">
        <v>0</v>
      </c>
      <c r="AC133" s="4">
        <v>4500</v>
      </c>
      <c r="AD133" s="4">
        <v>11750</v>
      </c>
      <c r="AE133" s="4">
        <v>2300</v>
      </c>
      <c r="AF133" s="4">
        <v>0</v>
      </c>
      <c r="AG133" s="4">
        <v>0</v>
      </c>
      <c r="AH133" s="4">
        <v>0</v>
      </c>
      <c r="AI133" s="4">
        <v>0</v>
      </c>
      <c r="AJ133" s="4">
        <v>4950</v>
      </c>
      <c r="AK133" s="4">
        <v>0</v>
      </c>
      <c r="AL133" s="4">
        <v>0</v>
      </c>
      <c r="AM133" s="4">
        <v>4500</v>
      </c>
      <c r="AN133" s="4">
        <v>7730</v>
      </c>
      <c r="AO133" s="4">
        <v>0</v>
      </c>
      <c r="AP133" s="4">
        <v>7730</v>
      </c>
      <c r="AQ133" t="str">
        <f>VLOOKUP(N133,'[1]전체(5)'!$N:$AR,30,0)</f>
        <v>스토리위즈</v>
      </c>
      <c r="AR133" t="str">
        <f>VLOOKUP($N133,'[1]전체(5)'!$N:$AR,31,0)</f>
        <v>스내치</v>
      </c>
    </row>
    <row r="134" spans="1:44" x14ac:dyDescent="0.4">
      <c r="A134" s="3" t="s">
        <v>42</v>
      </c>
      <c r="B134" s="3" t="s">
        <v>43</v>
      </c>
      <c r="C134" s="3" t="s">
        <v>44</v>
      </c>
      <c r="D134" s="3" t="s">
        <v>45</v>
      </c>
      <c r="E134" s="3"/>
      <c r="F134" s="3" t="s">
        <v>46</v>
      </c>
      <c r="G134" s="3" t="s">
        <v>47</v>
      </c>
      <c r="H134" s="3" t="s">
        <v>48</v>
      </c>
      <c r="I134" s="3" t="s">
        <v>49</v>
      </c>
      <c r="J134" s="3">
        <v>53995877</v>
      </c>
      <c r="K134" s="3" t="s">
        <v>95</v>
      </c>
      <c r="L134" s="3"/>
      <c r="M134" s="3"/>
      <c r="N134" s="3" t="s">
        <v>78</v>
      </c>
      <c r="O134" s="3" t="s">
        <v>52</v>
      </c>
      <c r="P134" s="3">
        <v>0.7</v>
      </c>
      <c r="Q134" s="3">
        <v>0.6</v>
      </c>
      <c r="R134" s="4" t="s">
        <v>53</v>
      </c>
      <c r="S134" s="4">
        <v>900</v>
      </c>
      <c r="T134" s="4">
        <v>9500</v>
      </c>
      <c r="U134" s="4">
        <v>6300</v>
      </c>
      <c r="V134" s="4">
        <v>0</v>
      </c>
      <c r="W134" s="4">
        <v>0</v>
      </c>
      <c r="X134" s="4">
        <v>0</v>
      </c>
      <c r="Y134" s="4">
        <v>0</v>
      </c>
      <c r="Z134" s="4">
        <v>2800</v>
      </c>
      <c r="AA134" s="4">
        <v>0</v>
      </c>
      <c r="AB134" s="4">
        <v>0</v>
      </c>
      <c r="AC134" s="4">
        <v>400</v>
      </c>
      <c r="AD134" s="4">
        <v>9780</v>
      </c>
      <c r="AE134" s="4">
        <v>6300</v>
      </c>
      <c r="AF134" s="4">
        <v>0</v>
      </c>
      <c r="AG134" s="4">
        <v>0</v>
      </c>
      <c r="AH134" s="4">
        <v>0</v>
      </c>
      <c r="AI134" s="4">
        <v>0</v>
      </c>
      <c r="AJ134" s="4">
        <v>3080</v>
      </c>
      <c r="AK134" s="4">
        <v>0</v>
      </c>
      <c r="AL134" s="4">
        <v>0</v>
      </c>
      <c r="AM134" s="4">
        <v>400</v>
      </c>
      <c r="AN134" s="4">
        <v>6538</v>
      </c>
      <c r="AO134" s="4">
        <v>0</v>
      </c>
      <c r="AP134" s="4">
        <v>6538</v>
      </c>
      <c r="AQ134" t="str">
        <f>VLOOKUP(N134,'[1]전체(5)'!$N:$AR,30,0)</f>
        <v>스토리위즈</v>
      </c>
      <c r="AR134" t="str">
        <f>VLOOKUP($N134,'[1]전체(5)'!$N:$AR,31,0)</f>
        <v>셔틀</v>
      </c>
    </row>
    <row r="135" spans="1:44" x14ac:dyDescent="0.4">
      <c r="A135" s="3" t="s">
        <v>42</v>
      </c>
      <c r="B135" s="3" t="s">
        <v>43</v>
      </c>
      <c r="C135" s="3" t="s">
        <v>44</v>
      </c>
      <c r="D135" s="3" t="s">
        <v>45</v>
      </c>
      <c r="E135" s="3"/>
      <c r="F135" s="3" t="s">
        <v>46</v>
      </c>
      <c r="G135" s="3" t="s">
        <v>47</v>
      </c>
      <c r="H135" s="3" t="s">
        <v>48</v>
      </c>
      <c r="I135" s="3" t="s">
        <v>49</v>
      </c>
      <c r="J135" s="3">
        <v>53995877</v>
      </c>
      <c r="K135" s="3" t="s">
        <v>95</v>
      </c>
      <c r="L135" s="3"/>
      <c r="M135" s="3"/>
      <c r="N135" s="3" t="s">
        <v>78</v>
      </c>
      <c r="O135" s="3" t="s">
        <v>52</v>
      </c>
      <c r="P135" s="3">
        <v>0.7</v>
      </c>
      <c r="Q135" s="3">
        <v>0.6</v>
      </c>
      <c r="R135" s="4" t="s">
        <v>53</v>
      </c>
      <c r="S135" s="4">
        <v>3600</v>
      </c>
      <c r="T135" s="4">
        <v>7200</v>
      </c>
      <c r="U135" s="4">
        <v>7000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200</v>
      </c>
      <c r="AD135" s="4">
        <v>7200</v>
      </c>
      <c r="AE135" s="4">
        <v>7000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200</v>
      </c>
      <c r="AN135" s="4">
        <v>5040</v>
      </c>
      <c r="AO135" s="4">
        <v>0</v>
      </c>
      <c r="AP135" s="4">
        <v>5040</v>
      </c>
      <c r="AQ135" t="str">
        <f>VLOOKUP(N135,'[1]전체(5)'!$N:$AR,30,0)</f>
        <v>스토리위즈</v>
      </c>
      <c r="AR135" t="str">
        <f>VLOOKUP($N135,'[1]전체(5)'!$N:$AR,31,0)</f>
        <v>셔틀</v>
      </c>
    </row>
    <row r="136" spans="1:44" x14ac:dyDescent="0.4">
      <c r="A136" s="3" t="s">
        <v>42</v>
      </c>
      <c r="B136" s="3" t="s">
        <v>43</v>
      </c>
      <c r="C136" s="3" t="s">
        <v>44</v>
      </c>
      <c r="D136" s="3" t="s">
        <v>45</v>
      </c>
      <c r="E136" s="3"/>
      <c r="F136" s="3" t="s">
        <v>46</v>
      </c>
      <c r="G136" s="3" t="s">
        <v>47</v>
      </c>
      <c r="H136" s="3" t="s">
        <v>48</v>
      </c>
      <c r="I136" s="3" t="s">
        <v>49</v>
      </c>
      <c r="J136" s="3">
        <v>54944360</v>
      </c>
      <c r="K136" s="3" t="s">
        <v>144</v>
      </c>
      <c r="L136" s="3"/>
      <c r="M136" s="3"/>
      <c r="N136" s="3" t="s">
        <v>145</v>
      </c>
      <c r="O136" s="3" t="s">
        <v>52</v>
      </c>
      <c r="P136" s="3">
        <v>0.7</v>
      </c>
      <c r="Q136" s="3">
        <v>0.6</v>
      </c>
      <c r="R136" s="4" t="s">
        <v>56</v>
      </c>
      <c r="S136" s="4">
        <v>100</v>
      </c>
      <c r="T136" s="4">
        <v>24800</v>
      </c>
      <c r="U136" s="4">
        <v>21800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3000</v>
      </c>
      <c r="AD136" s="4">
        <v>24800</v>
      </c>
      <c r="AE136" s="4">
        <v>21800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3000</v>
      </c>
      <c r="AN136" s="4">
        <v>17360</v>
      </c>
      <c r="AO136" s="4">
        <v>0</v>
      </c>
      <c r="AP136" s="4">
        <v>17360</v>
      </c>
      <c r="AQ136" t="str">
        <f>VLOOKUP(N136,'[1]전체(5)'!$N:$AR,30,0)</f>
        <v>스토리위즈</v>
      </c>
      <c r="AR136" t="str">
        <f>VLOOKUP($N136,'[1]전체(5)'!$N:$AR,31,0)</f>
        <v>꽃잠</v>
      </c>
    </row>
    <row r="137" spans="1:44" x14ac:dyDescent="0.4">
      <c r="A137" s="3" t="s">
        <v>42</v>
      </c>
      <c r="B137" s="3" t="s">
        <v>43</v>
      </c>
      <c r="C137" s="3" t="s">
        <v>44</v>
      </c>
      <c r="D137" s="3" t="s">
        <v>45</v>
      </c>
      <c r="E137" s="3"/>
      <c r="F137" s="3" t="s">
        <v>46</v>
      </c>
      <c r="G137" s="3" t="s">
        <v>47</v>
      </c>
      <c r="H137" s="3" t="s">
        <v>48</v>
      </c>
      <c r="I137" s="3" t="s">
        <v>49</v>
      </c>
      <c r="J137" s="3">
        <v>58992794</v>
      </c>
      <c r="K137" s="3" t="s">
        <v>243</v>
      </c>
      <c r="L137" s="3"/>
      <c r="M137" s="3"/>
      <c r="N137" s="3" t="s">
        <v>244</v>
      </c>
      <c r="O137" s="3" t="s">
        <v>52</v>
      </c>
      <c r="P137" s="3">
        <v>0.7</v>
      </c>
      <c r="Q137" s="3">
        <v>0.6</v>
      </c>
      <c r="R137" s="4" t="s">
        <v>56</v>
      </c>
      <c r="S137" s="4">
        <v>100</v>
      </c>
      <c r="T137" s="4">
        <v>244600</v>
      </c>
      <c r="U137" s="4">
        <v>45510</v>
      </c>
      <c r="V137" s="4">
        <v>0</v>
      </c>
      <c r="W137" s="4">
        <v>0</v>
      </c>
      <c r="X137" s="4">
        <v>0</v>
      </c>
      <c r="Y137" s="4">
        <v>4100</v>
      </c>
      <c r="Z137" s="4">
        <v>900</v>
      </c>
      <c r="AA137" s="4">
        <v>0</v>
      </c>
      <c r="AB137" s="4">
        <v>0</v>
      </c>
      <c r="AC137" s="4">
        <v>194090</v>
      </c>
      <c r="AD137" s="4">
        <v>245510</v>
      </c>
      <c r="AE137" s="4">
        <v>45510</v>
      </c>
      <c r="AF137" s="4">
        <v>0</v>
      </c>
      <c r="AG137" s="4">
        <v>0</v>
      </c>
      <c r="AH137" s="4">
        <v>0</v>
      </c>
      <c r="AI137" s="4">
        <v>4920</v>
      </c>
      <c r="AJ137" s="4">
        <v>990</v>
      </c>
      <c r="AK137" s="4">
        <v>0</v>
      </c>
      <c r="AL137" s="4">
        <v>0</v>
      </c>
      <c r="AM137" s="4">
        <v>194090</v>
      </c>
      <c r="AN137" s="4">
        <v>171266</v>
      </c>
      <c r="AO137" s="4">
        <v>0</v>
      </c>
      <c r="AP137" s="4">
        <v>171266</v>
      </c>
      <c r="AQ137" t="str">
        <f>VLOOKUP(N137,'[1]전체(5)'!$N:$AR,30,0)</f>
        <v>스토리위즈</v>
      </c>
      <c r="AR137" t="str">
        <f>VLOOKUP($N137,'[1]전체(5)'!$N:$AR,31,0)</f>
        <v>양이율</v>
      </c>
    </row>
    <row r="138" spans="1:44" x14ac:dyDescent="0.4">
      <c r="A138" s="3" t="s">
        <v>42</v>
      </c>
      <c r="B138" s="3" t="s">
        <v>43</v>
      </c>
      <c r="C138" s="3" t="s">
        <v>44</v>
      </c>
      <c r="D138" s="3" t="s">
        <v>45</v>
      </c>
      <c r="E138" s="3"/>
      <c r="F138" s="3" t="s">
        <v>46</v>
      </c>
      <c r="G138" s="3" t="s">
        <v>47</v>
      </c>
      <c r="H138" s="3" t="s">
        <v>48</v>
      </c>
      <c r="I138" s="3" t="s">
        <v>49</v>
      </c>
      <c r="J138" s="3">
        <v>53995877</v>
      </c>
      <c r="K138" s="3" t="s">
        <v>95</v>
      </c>
      <c r="L138" s="3"/>
      <c r="M138" s="3"/>
      <c r="N138" s="3" t="s">
        <v>78</v>
      </c>
      <c r="O138" s="3" t="s">
        <v>52</v>
      </c>
      <c r="P138" s="3">
        <v>0.7</v>
      </c>
      <c r="Q138" s="3">
        <v>0.6</v>
      </c>
      <c r="R138" s="4" t="s">
        <v>53</v>
      </c>
      <c r="S138" s="4">
        <v>6300</v>
      </c>
      <c r="T138" s="4">
        <v>18600</v>
      </c>
      <c r="U138" s="4">
        <v>17600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1000</v>
      </c>
      <c r="AD138" s="4">
        <v>18600</v>
      </c>
      <c r="AE138" s="4">
        <v>17600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1000</v>
      </c>
      <c r="AN138" s="4">
        <v>13020</v>
      </c>
      <c r="AO138" s="4">
        <v>0</v>
      </c>
      <c r="AP138" s="4">
        <v>13020</v>
      </c>
      <c r="AQ138" t="str">
        <f>VLOOKUP(N138,'[1]전체(5)'!$N:$AR,30,0)</f>
        <v>스토리위즈</v>
      </c>
      <c r="AR138" t="str">
        <f>VLOOKUP($N138,'[1]전체(5)'!$N:$AR,31,0)</f>
        <v>셔틀</v>
      </c>
    </row>
    <row r="139" spans="1:44" x14ac:dyDescent="0.4">
      <c r="A139" s="3" t="s">
        <v>42</v>
      </c>
      <c r="B139" s="3" t="s">
        <v>43</v>
      </c>
      <c r="C139" s="3" t="s">
        <v>44</v>
      </c>
      <c r="D139" s="3" t="s">
        <v>45</v>
      </c>
      <c r="E139" s="3"/>
      <c r="F139" s="3" t="s">
        <v>46</v>
      </c>
      <c r="G139" s="3" t="s">
        <v>47</v>
      </c>
      <c r="H139" s="3" t="s">
        <v>48</v>
      </c>
      <c r="I139" s="3" t="s">
        <v>49</v>
      </c>
      <c r="J139" s="3">
        <v>54944360</v>
      </c>
      <c r="K139" s="3" t="s">
        <v>144</v>
      </c>
      <c r="L139" s="3"/>
      <c r="M139" s="3"/>
      <c r="N139" s="3" t="s">
        <v>145</v>
      </c>
      <c r="O139" s="3" t="s">
        <v>52</v>
      </c>
      <c r="P139" s="3">
        <v>0.7</v>
      </c>
      <c r="Q139" s="3">
        <v>0.6</v>
      </c>
      <c r="R139" s="4" t="s">
        <v>53</v>
      </c>
      <c r="S139" s="4">
        <v>900</v>
      </c>
      <c r="T139" s="4">
        <v>33300</v>
      </c>
      <c r="U139" s="4">
        <v>26200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7100</v>
      </c>
      <c r="AD139" s="4">
        <v>33300</v>
      </c>
      <c r="AE139" s="4">
        <v>26200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7100</v>
      </c>
      <c r="AN139" s="4">
        <v>23310</v>
      </c>
      <c r="AO139" s="4">
        <v>0</v>
      </c>
      <c r="AP139" s="4">
        <v>23310</v>
      </c>
      <c r="AQ139" t="str">
        <f>VLOOKUP(N139,'[1]전체(5)'!$N:$AR,30,0)</f>
        <v>스토리위즈</v>
      </c>
      <c r="AR139" t="str">
        <f>VLOOKUP($N139,'[1]전체(5)'!$N:$AR,31,0)</f>
        <v>꽃잠</v>
      </c>
    </row>
    <row r="140" spans="1:44" x14ac:dyDescent="0.4">
      <c r="A140" s="3" t="s">
        <v>42</v>
      </c>
      <c r="B140" s="3" t="s">
        <v>43</v>
      </c>
      <c r="C140" s="3" t="s">
        <v>44</v>
      </c>
      <c r="D140" s="3" t="s">
        <v>45</v>
      </c>
      <c r="E140" s="3"/>
      <c r="F140" s="3" t="s">
        <v>46</v>
      </c>
      <c r="G140" s="3" t="s">
        <v>47</v>
      </c>
      <c r="H140" s="3" t="s">
        <v>48</v>
      </c>
      <c r="I140" s="3" t="s">
        <v>49</v>
      </c>
      <c r="J140" s="3">
        <v>58992794</v>
      </c>
      <c r="K140" s="3" t="s">
        <v>243</v>
      </c>
      <c r="L140" s="3"/>
      <c r="M140" s="3"/>
      <c r="N140" s="3" t="s">
        <v>244</v>
      </c>
      <c r="O140" s="3" t="s">
        <v>52</v>
      </c>
      <c r="P140" s="3">
        <v>0.7</v>
      </c>
      <c r="Q140" s="3">
        <v>0.6</v>
      </c>
      <c r="R140" s="4" t="s">
        <v>53</v>
      </c>
      <c r="S140" s="4">
        <v>1900</v>
      </c>
      <c r="T140" s="4">
        <v>117600</v>
      </c>
      <c r="U140" s="4">
        <v>86060</v>
      </c>
      <c r="V140" s="4">
        <v>0</v>
      </c>
      <c r="W140" s="4">
        <v>0</v>
      </c>
      <c r="X140" s="4">
        <v>0</v>
      </c>
      <c r="Y140" s="4">
        <v>1100</v>
      </c>
      <c r="Z140" s="4">
        <v>800</v>
      </c>
      <c r="AA140" s="4">
        <v>0</v>
      </c>
      <c r="AB140" s="4">
        <v>0</v>
      </c>
      <c r="AC140" s="4">
        <v>29640</v>
      </c>
      <c r="AD140" s="4">
        <v>117900</v>
      </c>
      <c r="AE140" s="4">
        <v>86060</v>
      </c>
      <c r="AF140" s="4">
        <v>0</v>
      </c>
      <c r="AG140" s="4">
        <v>0</v>
      </c>
      <c r="AH140" s="4">
        <v>0</v>
      </c>
      <c r="AI140" s="4">
        <v>1320</v>
      </c>
      <c r="AJ140" s="4">
        <v>880</v>
      </c>
      <c r="AK140" s="4">
        <v>0</v>
      </c>
      <c r="AL140" s="4">
        <v>0</v>
      </c>
      <c r="AM140" s="4">
        <v>29640</v>
      </c>
      <c r="AN140" s="4">
        <v>82310</v>
      </c>
      <c r="AO140" s="4">
        <v>0</v>
      </c>
      <c r="AP140" s="4">
        <v>82310</v>
      </c>
      <c r="AQ140" t="str">
        <f>VLOOKUP(N140,'[1]전체(5)'!$N:$AR,30,0)</f>
        <v>스토리위즈</v>
      </c>
      <c r="AR140" t="str">
        <f>VLOOKUP($N140,'[1]전체(5)'!$N:$AR,31,0)</f>
        <v>양이율</v>
      </c>
    </row>
    <row r="141" spans="1:44" x14ac:dyDescent="0.4">
      <c r="A141" s="3" t="s">
        <v>42</v>
      </c>
      <c r="B141" s="3" t="s">
        <v>43</v>
      </c>
      <c r="C141" s="3" t="s">
        <v>44</v>
      </c>
      <c r="D141" s="3" t="s">
        <v>45</v>
      </c>
      <c r="E141" s="3"/>
      <c r="F141" s="3" t="s">
        <v>46</v>
      </c>
      <c r="G141" s="3" t="s">
        <v>47</v>
      </c>
      <c r="H141" s="3" t="s">
        <v>48</v>
      </c>
      <c r="I141" s="3" t="s">
        <v>49</v>
      </c>
      <c r="J141" s="3">
        <v>54944360</v>
      </c>
      <c r="K141" s="3" t="s">
        <v>144</v>
      </c>
      <c r="L141" s="3"/>
      <c r="M141" s="3"/>
      <c r="N141" s="3" t="s">
        <v>145</v>
      </c>
      <c r="O141" s="3" t="s">
        <v>52</v>
      </c>
      <c r="P141" s="3">
        <v>0.7</v>
      </c>
      <c r="Q141" s="3">
        <v>0.6</v>
      </c>
      <c r="R141" s="4" t="s">
        <v>53</v>
      </c>
      <c r="S141" s="4">
        <v>2700</v>
      </c>
      <c r="T141" s="4">
        <v>21600</v>
      </c>
      <c r="U141" s="4">
        <v>18900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2700</v>
      </c>
      <c r="AD141" s="4">
        <v>21600</v>
      </c>
      <c r="AE141" s="4">
        <v>18900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2700</v>
      </c>
      <c r="AN141" s="4">
        <v>15120</v>
      </c>
      <c r="AO141" s="4">
        <v>0</v>
      </c>
      <c r="AP141" s="4">
        <v>15120</v>
      </c>
      <c r="AQ141" t="str">
        <f>VLOOKUP(N141,'[1]전체(5)'!$N:$AR,30,0)</f>
        <v>스토리위즈</v>
      </c>
      <c r="AR141" t="str">
        <f>VLOOKUP($N141,'[1]전체(5)'!$N:$AR,31,0)</f>
        <v>꽃잠</v>
      </c>
    </row>
    <row r="142" spans="1:44" x14ac:dyDescent="0.4">
      <c r="A142" s="3" t="s">
        <v>42</v>
      </c>
      <c r="B142" s="3" t="s">
        <v>43</v>
      </c>
      <c r="C142" s="3" t="s">
        <v>44</v>
      </c>
      <c r="D142" s="3" t="s">
        <v>45</v>
      </c>
      <c r="E142" s="3"/>
      <c r="F142" s="3" t="s">
        <v>46</v>
      </c>
      <c r="G142" s="3" t="s">
        <v>47</v>
      </c>
      <c r="H142" s="3" t="s">
        <v>48</v>
      </c>
      <c r="I142" s="3" t="s">
        <v>49</v>
      </c>
      <c r="J142" s="3">
        <v>58992794</v>
      </c>
      <c r="K142" s="3" t="s">
        <v>243</v>
      </c>
      <c r="L142" s="3"/>
      <c r="M142" s="3"/>
      <c r="N142" s="3" t="s">
        <v>244</v>
      </c>
      <c r="O142" s="3" t="s">
        <v>52</v>
      </c>
      <c r="P142" s="3">
        <v>0.7</v>
      </c>
      <c r="Q142" s="3">
        <v>0.6</v>
      </c>
      <c r="R142" s="4" t="s">
        <v>53</v>
      </c>
      <c r="S142" s="4">
        <v>4700</v>
      </c>
      <c r="T142" s="4">
        <v>58000</v>
      </c>
      <c r="U142" s="4">
        <v>44400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13600</v>
      </c>
      <c r="AD142" s="4">
        <v>58000</v>
      </c>
      <c r="AE142" s="4">
        <v>44400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13600</v>
      </c>
      <c r="AN142" s="4">
        <v>40600</v>
      </c>
      <c r="AO142" s="4">
        <v>0</v>
      </c>
      <c r="AP142" s="4">
        <v>40600</v>
      </c>
      <c r="AQ142" t="str">
        <f>VLOOKUP(N142,'[1]전체(5)'!$N:$AR,30,0)</f>
        <v>스토리위즈</v>
      </c>
      <c r="AR142" t="str">
        <f>VLOOKUP($N142,'[1]전체(5)'!$N:$AR,31,0)</f>
        <v>양이율</v>
      </c>
    </row>
    <row r="143" spans="1:44" x14ac:dyDescent="0.4">
      <c r="A143" s="3" t="s">
        <v>42</v>
      </c>
      <c r="B143" s="3" t="s">
        <v>43</v>
      </c>
      <c r="C143" s="3" t="s">
        <v>44</v>
      </c>
      <c r="D143" s="3" t="s">
        <v>45</v>
      </c>
      <c r="E143" s="3"/>
      <c r="F143" s="3" t="s">
        <v>46</v>
      </c>
      <c r="G143" s="3" t="s">
        <v>47</v>
      </c>
      <c r="H143" s="3" t="s">
        <v>48</v>
      </c>
      <c r="I143" s="3" t="s">
        <v>49</v>
      </c>
      <c r="J143" s="3">
        <v>54944360</v>
      </c>
      <c r="K143" s="3" t="s">
        <v>144</v>
      </c>
      <c r="L143" s="3"/>
      <c r="M143" s="3"/>
      <c r="N143" s="3" t="s">
        <v>145</v>
      </c>
      <c r="O143" s="3" t="s">
        <v>52</v>
      </c>
      <c r="P143" s="3">
        <v>0.7</v>
      </c>
      <c r="Q143" s="3">
        <v>0.6</v>
      </c>
      <c r="R143" s="4" t="s">
        <v>53</v>
      </c>
      <c r="S143" s="4">
        <v>4500</v>
      </c>
      <c r="T143" s="4">
        <v>40500</v>
      </c>
      <c r="U143" s="4">
        <v>39900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600</v>
      </c>
      <c r="AD143" s="4">
        <v>40500</v>
      </c>
      <c r="AE143" s="4">
        <v>39900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600</v>
      </c>
      <c r="AN143" s="4">
        <v>28350</v>
      </c>
      <c r="AO143" s="4">
        <v>0</v>
      </c>
      <c r="AP143" s="4">
        <v>28350</v>
      </c>
      <c r="AQ143" t="str">
        <f>VLOOKUP(N143,'[1]전체(5)'!$N:$AR,30,0)</f>
        <v>스토리위즈</v>
      </c>
      <c r="AR143" t="str">
        <f>VLOOKUP($N143,'[1]전체(5)'!$N:$AR,31,0)</f>
        <v>꽃잠</v>
      </c>
    </row>
    <row r="144" spans="1:44" x14ac:dyDescent="0.4">
      <c r="A144" s="3" t="s">
        <v>42</v>
      </c>
      <c r="B144" s="3" t="s">
        <v>43</v>
      </c>
      <c r="C144" s="3" t="s">
        <v>44</v>
      </c>
      <c r="D144" s="3" t="s">
        <v>45</v>
      </c>
      <c r="E144" s="3"/>
      <c r="F144" s="3" t="s">
        <v>46</v>
      </c>
      <c r="G144" s="3" t="s">
        <v>47</v>
      </c>
      <c r="H144" s="3" t="s">
        <v>48</v>
      </c>
      <c r="I144" s="3" t="s">
        <v>49</v>
      </c>
      <c r="J144" s="3">
        <v>58992794</v>
      </c>
      <c r="K144" s="3" t="s">
        <v>243</v>
      </c>
      <c r="L144" s="3"/>
      <c r="M144" s="3"/>
      <c r="N144" s="3" t="s">
        <v>244</v>
      </c>
      <c r="O144" s="3" t="s">
        <v>52</v>
      </c>
      <c r="P144" s="3">
        <v>0.7</v>
      </c>
      <c r="Q144" s="3">
        <v>0.6</v>
      </c>
      <c r="R144" s="4" t="s">
        <v>53</v>
      </c>
      <c r="S144" s="4">
        <v>9200</v>
      </c>
      <c r="T144" s="4">
        <v>74000</v>
      </c>
      <c r="U144" s="4">
        <v>55100</v>
      </c>
      <c r="V144" s="4">
        <v>0</v>
      </c>
      <c r="W144" s="4">
        <v>0</v>
      </c>
      <c r="X144" s="4">
        <v>0</v>
      </c>
      <c r="Y144" s="4">
        <v>0</v>
      </c>
      <c r="Z144" s="4">
        <v>18400</v>
      </c>
      <c r="AA144" s="4">
        <v>0</v>
      </c>
      <c r="AB144" s="4">
        <v>0</v>
      </c>
      <c r="AC144" s="4">
        <v>500</v>
      </c>
      <c r="AD144" s="4">
        <v>75840</v>
      </c>
      <c r="AE144" s="4">
        <v>55100</v>
      </c>
      <c r="AF144" s="4">
        <v>0</v>
      </c>
      <c r="AG144" s="4">
        <v>0</v>
      </c>
      <c r="AH144" s="4">
        <v>0</v>
      </c>
      <c r="AI144" s="4">
        <v>0</v>
      </c>
      <c r="AJ144" s="4">
        <v>20240</v>
      </c>
      <c r="AK144" s="4">
        <v>0</v>
      </c>
      <c r="AL144" s="4">
        <v>0</v>
      </c>
      <c r="AM144" s="4">
        <v>500</v>
      </c>
      <c r="AN144" s="4">
        <v>51064</v>
      </c>
      <c r="AO144" s="4">
        <v>0</v>
      </c>
      <c r="AP144" s="4">
        <v>51064</v>
      </c>
      <c r="AQ144" t="str">
        <f>VLOOKUP(N144,'[1]전체(5)'!$N:$AR,30,0)</f>
        <v>스토리위즈</v>
      </c>
      <c r="AR144" t="str">
        <f>VLOOKUP($N144,'[1]전체(5)'!$N:$AR,31,0)</f>
        <v>양이율</v>
      </c>
    </row>
    <row r="145" spans="1:44" x14ac:dyDescent="0.4">
      <c r="A145" s="3" t="s">
        <v>42</v>
      </c>
      <c r="B145" s="3" t="s">
        <v>43</v>
      </c>
      <c r="C145" s="3" t="s">
        <v>44</v>
      </c>
      <c r="D145" s="3" t="s">
        <v>45</v>
      </c>
      <c r="E145" s="3"/>
      <c r="F145" s="3" t="s">
        <v>46</v>
      </c>
      <c r="G145" s="3" t="s">
        <v>47</v>
      </c>
      <c r="H145" s="3" t="s">
        <v>48</v>
      </c>
      <c r="I145" s="3" t="s">
        <v>49</v>
      </c>
      <c r="J145" s="3">
        <v>52578810</v>
      </c>
      <c r="K145" s="3" t="s">
        <v>188</v>
      </c>
      <c r="L145" s="3"/>
      <c r="M145" s="3"/>
      <c r="N145" s="3" t="s">
        <v>106</v>
      </c>
      <c r="O145" s="3" t="s">
        <v>52</v>
      </c>
      <c r="P145" s="3">
        <v>0.7</v>
      </c>
      <c r="Q145" s="3">
        <v>0.6</v>
      </c>
      <c r="R145" s="4" t="s">
        <v>56</v>
      </c>
      <c r="S145" s="4">
        <v>100</v>
      </c>
      <c r="T145" s="4">
        <v>49900</v>
      </c>
      <c r="U145" s="4">
        <v>25600</v>
      </c>
      <c r="V145" s="4">
        <v>0</v>
      </c>
      <c r="W145" s="4">
        <v>0</v>
      </c>
      <c r="X145" s="4">
        <v>0</v>
      </c>
      <c r="Y145" s="4">
        <v>1000</v>
      </c>
      <c r="Z145" s="4">
        <v>4500</v>
      </c>
      <c r="AA145" s="4">
        <v>0</v>
      </c>
      <c r="AB145" s="4">
        <v>0</v>
      </c>
      <c r="AC145" s="4">
        <v>18800</v>
      </c>
      <c r="AD145" s="4">
        <v>50550</v>
      </c>
      <c r="AE145" s="4">
        <v>25600</v>
      </c>
      <c r="AF145" s="4">
        <v>0</v>
      </c>
      <c r="AG145" s="4">
        <v>0</v>
      </c>
      <c r="AH145" s="4">
        <v>0</v>
      </c>
      <c r="AI145" s="4">
        <v>1200</v>
      </c>
      <c r="AJ145" s="4">
        <v>4950</v>
      </c>
      <c r="AK145" s="4">
        <v>0</v>
      </c>
      <c r="AL145" s="4">
        <v>0</v>
      </c>
      <c r="AM145" s="4">
        <v>18800</v>
      </c>
      <c r="AN145" s="4">
        <v>34770</v>
      </c>
      <c r="AO145" s="4">
        <v>0</v>
      </c>
      <c r="AP145" s="4">
        <v>34770</v>
      </c>
      <c r="AQ145" t="str">
        <f>VLOOKUP(N145,'[1]전체(5)'!$N:$AR,30,0)</f>
        <v>스토리위즈</v>
      </c>
      <c r="AR145" t="str">
        <f>VLOOKUP($N145,'[1]전체(5)'!$N:$AR,31,0)</f>
        <v>파란영</v>
      </c>
    </row>
    <row r="146" spans="1:44" x14ac:dyDescent="0.4">
      <c r="A146" s="3" t="s">
        <v>42</v>
      </c>
      <c r="B146" s="3" t="s">
        <v>43</v>
      </c>
      <c r="C146" s="3" t="s">
        <v>44</v>
      </c>
      <c r="D146" s="3" t="s">
        <v>45</v>
      </c>
      <c r="E146" s="3"/>
      <c r="F146" s="3" t="s">
        <v>46</v>
      </c>
      <c r="G146" s="3" t="s">
        <v>47</v>
      </c>
      <c r="H146" s="3" t="s">
        <v>48</v>
      </c>
      <c r="I146" s="3" t="s">
        <v>49</v>
      </c>
      <c r="J146" s="3">
        <v>52578810</v>
      </c>
      <c r="K146" s="3" t="s">
        <v>188</v>
      </c>
      <c r="L146" s="3"/>
      <c r="M146" s="3"/>
      <c r="N146" s="3" t="s">
        <v>106</v>
      </c>
      <c r="O146" s="3" t="s">
        <v>52</v>
      </c>
      <c r="P146" s="3">
        <v>0.7</v>
      </c>
      <c r="Q146" s="3">
        <v>0.6</v>
      </c>
      <c r="R146" s="4" t="s">
        <v>53</v>
      </c>
      <c r="S146" s="4">
        <v>2700</v>
      </c>
      <c r="T146" s="4">
        <v>104600</v>
      </c>
      <c r="U146" s="4">
        <v>83700</v>
      </c>
      <c r="V146" s="4">
        <v>0</v>
      </c>
      <c r="W146" s="4">
        <v>0</v>
      </c>
      <c r="X146" s="4">
        <v>0</v>
      </c>
      <c r="Y146" s="4">
        <v>0</v>
      </c>
      <c r="Z146" s="4">
        <v>11000</v>
      </c>
      <c r="AA146" s="4">
        <v>0</v>
      </c>
      <c r="AB146" s="4">
        <v>0</v>
      </c>
      <c r="AC146" s="4">
        <v>9900</v>
      </c>
      <c r="AD146" s="4">
        <v>105700</v>
      </c>
      <c r="AE146" s="4">
        <v>83700</v>
      </c>
      <c r="AF146" s="4">
        <v>0</v>
      </c>
      <c r="AG146" s="4">
        <v>0</v>
      </c>
      <c r="AH146" s="4">
        <v>0</v>
      </c>
      <c r="AI146" s="4">
        <v>0</v>
      </c>
      <c r="AJ146" s="4">
        <v>12100</v>
      </c>
      <c r="AK146" s="4">
        <v>0</v>
      </c>
      <c r="AL146" s="4">
        <v>0</v>
      </c>
      <c r="AM146" s="4">
        <v>9900</v>
      </c>
      <c r="AN146" s="4">
        <v>72780</v>
      </c>
      <c r="AO146" s="4">
        <v>0</v>
      </c>
      <c r="AP146" s="4">
        <v>72780</v>
      </c>
      <c r="AQ146" t="str">
        <f>VLOOKUP(N146,'[1]전체(5)'!$N:$AR,30,0)</f>
        <v>스토리위즈</v>
      </c>
      <c r="AR146" t="str">
        <f>VLOOKUP($N146,'[1]전체(5)'!$N:$AR,31,0)</f>
        <v>파란영</v>
      </c>
    </row>
    <row r="147" spans="1:44" x14ac:dyDescent="0.4">
      <c r="A147" s="3" t="s">
        <v>42</v>
      </c>
      <c r="B147" s="3" t="s">
        <v>43</v>
      </c>
      <c r="C147" s="3" t="s">
        <v>44</v>
      </c>
      <c r="D147" s="3" t="s">
        <v>45</v>
      </c>
      <c r="E147" s="3"/>
      <c r="F147" s="3" t="s">
        <v>46</v>
      </c>
      <c r="G147" s="3" t="s">
        <v>47</v>
      </c>
      <c r="H147" s="3" t="s">
        <v>48</v>
      </c>
      <c r="I147" s="3" t="s">
        <v>49</v>
      </c>
      <c r="J147" s="3">
        <v>52578810</v>
      </c>
      <c r="K147" s="3" t="s">
        <v>188</v>
      </c>
      <c r="L147" s="3"/>
      <c r="M147" s="3"/>
      <c r="N147" s="3" t="s">
        <v>106</v>
      </c>
      <c r="O147" s="3" t="s">
        <v>52</v>
      </c>
      <c r="P147" s="3">
        <v>0.7</v>
      </c>
      <c r="Q147" s="3">
        <v>0.6</v>
      </c>
      <c r="R147" s="4" t="s">
        <v>53</v>
      </c>
      <c r="S147" s="4">
        <v>4500</v>
      </c>
      <c r="T147" s="4">
        <v>67500</v>
      </c>
      <c r="U147" s="4">
        <v>58500</v>
      </c>
      <c r="V147" s="4">
        <v>0</v>
      </c>
      <c r="W147" s="4">
        <v>0</v>
      </c>
      <c r="X147" s="4">
        <v>0</v>
      </c>
      <c r="Y147" s="4">
        <v>0</v>
      </c>
      <c r="Z147" s="4">
        <v>9000</v>
      </c>
      <c r="AA147" s="4">
        <v>0</v>
      </c>
      <c r="AB147" s="4">
        <v>0</v>
      </c>
      <c r="AC147" s="4">
        <v>0</v>
      </c>
      <c r="AD147" s="4">
        <v>68400</v>
      </c>
      <c r="AE147" s="4">
        <v>58500</v>
      </c>
      <c r="AF147" s="4">
        <v>0</v>
      </c>
      <c r="AG147" s="4">
        <v>0</v>
      </c>
      <c r="AH147" s="4">
        <v>0</v>
      </c>
      <c r="AI147" s="4">
        <v>0</v>
      </c>
      <c r="AJ147" s="4">
        <v>9900</v>
      </c>
      <c r="AK147" s="4">
        <v>0</v>
      </c>
      <c r="AL147" s="4">
        <v>0</v>
      </c>
      <c r="AM147" s="4">
        <v>0</v>
      </c>
      <c r="AN147" s="4">
        <v>46890</v>
      </c>
      <c r="AO147" s="4">
        <v>0</v>
      </c>
      <c r="AP147" s="4">
        <v>46890</v>
      </c>
      <c r="AQ147" t="str">
        <f>VLOOKUP(N147,'[1]전체(5)'!$N:$AR,30,0)</f>
        <v>스토리위즈</v>
      </c>
      <c r="AR147" t="str">
        <f>VLOOKUP($N147,'[1]전체(5)'!$N:$AR,31,0)</f>
        <v>파란영</v>
      </c>
    </row>
    <row r="148" spans="1:44" x14ac:dyDescent="0.4">
      <c r="A148" s="3" t="s">
        <v>42</v>
      </c>
      <c r="B148" s="3" t="s">
        <v>43</v>
      </c>
      <c r="C148" s="3" t="s">
        <v>44</v>
      </c>
      <c r="D148" s="3" t="s">
        <v>45</v>
      </c>
      <c r="E148" s="3"/>
      <c r="F148" s="3" t="s">
        <v>46</v>
      </c>
      <c r="G148" s="3" t="s">
        <v>47</v>
      </c>
      <c r="H148" s="3" t="s">
        <v>48</v>
      </c>
      <c r="I148" s="3" t="s">
        <v>49</v>
      </c>
      <c r="J148" s="3">
        <v>55547802</v>
      </c>
      <c r="K148" s="3" t="s">
        <v>147</v>
      </c>
      <c r="L148" s="3"/>
      <c r="M148" s="3"/>
      <c r="N148" s="3" t="s">
        <v>76</v>
      </c>
      <c r="O148" s="3" t="s">
        <v>52</v>
      </c>
      <c r="P148" s="3">
        <v>0.7</v>
      </c>
      <c r="Q148" s="3">
        <v>0.6</v>
      </c>
      <c r="R148" s="4" t="s">
        <v>56</v>
      </c>
      <c r="S148" s="4">
        <v>100</v>
      </c>
      <c r="T148" s="4">
        <v>1400</v>
      </c>
      <c r="U148" s="4">
        <v>900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500</v>
      </c>
      <c r="AD148" s="4">
        <v>1400</v>
      </c>
      <c r="AE148" s="4">
        <v>900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500</v>
      </c>
      <c r="AN148" s="4">
        <v>980</v>
      </c>
      <c r="AO148" s="4">
        <v>0</v>
      </c>
      <c r="AP148" s="4">
        <v>980</v>
      </c>
      <c r="AQ148" t="str">
        <f>VLOOKUP(N148,'[1]전체(5)'!$N:$AR,30,0)</f>
        <v>스토리위즈</v>
      </c>
      <c r="AR148" t="str">
        <f>VLOOKUP($N148,'[1]전체(5)'!$N:$AR,31,0)</f>
        <v>블랙커피</v>
      </c>
    </row>
    <row r="149" spans="1:44" x14ac:dyDescent="0.4">
      <c r="A149" s="3" t="s">
        <v>42</v>
      </c>
      <c r="B149" s="3" t="s">
        <v>43</v>
      </c>
      <c r="C149" s="3" t="s">
        <v>44</v>
      </c>
      <c r="D149" s="3" t="s">
        <v>45</v>
      </c>
      <c r="E149" s="3"/>
      <c r="F149" s="3" t="s">
        <v>46</v>
      </c>
      <c r="G149" s="3" t="s">
        <v>47</v>
      </c>
      <c r="H149" s="3" t="s">
        <v>48</v>
      </c>
      <c r="I149" s="3" t="s">
        <v>49</v>
      </c>
      <c r="J149" s="3">
        <v>52578810</v>
      </c>
      <c r="K149" s="3" t="s">
        <v>188</v>
      </c>
      <c r="L149" s="3"/>
      <c r="M149" s="3"/>
      <c r="N149" s="3" t="s">
        <v>106</v>
      </c>
      <c r="O149" s="3" t="s">
        <v>52</v>
      </c>
      <c r="P149" s="3">
        <v>0.7</v>
      </c>
      <c r="Q149" s="3">
        <v>0.6</v>
      </c>
      <c r="R149" s="4" t="s">
        <v>53</v>
      </c>
      <c r="S149" s="4">
        <v>6300</v>
      </c>
      <c r="T149" s="4">
        <v>142500</v>
      </c>
      <c r="U149" s="4">
        <v>113200</v>
      </c>
      <c r="V149" s="4">
        <v>0</v>
      </c>
      <c r="W149" s="4">
        <v>0</v>
      </c>
      <c r="X149" s="4">
        <v>0</v>
      </c>
      <c r="Y149" s="4">
        <v>0</v>
      </c>
      <c r="Z149" s="4">
        <v>25200</v>
      </c>
      <c r="AA149" s="4">
        <v>0</v>
      </c>
      <c r="AB149" s="4">
        <v>0</v>
      </c>
      <c r="AC149" s="4">
        <v>4100</v>
      </c>
      <c r="AD149" s="4">
        <v>145020</v>
      </c>
      <c r="AE149" s="4">
        <v>113200</v>
      </c>
      <c r="AF149" s="4">
        <v>0</v>
      </c>
      <c r="AG149" s="4">
        <v>0</v>
      </c>
      <c r="AH149" s="4">
        <v>0</v>
      </c>
      <c r="AI149" s="4">
        <v>0</v>
      </c>
      <c r="AJ149" s="4">
        <v>27720</v>
      </c>
      <c r="AK149" s="4">
        <v>0</v>
      </c>
      <c r="AL149" s="4">
        <v>0</v>
      </c>
      <c r="AM149" s="4">
        <v>4100</v>
      </c>
      <c r="AN149" s="4">
        <v>98742</v>
      </c>
      <c r="AO149" s="4">
        <v>0</v>
      </c>
      <c r="AP149" s="4">
        <v>98742</v>
      </c>
      <c r="AQ149" t="str">
        <f>VLOOKUP(N149,'[1]전체(5)'!$N:$AR,30,0)</f>
        <v>스토리위즈</v>
      </c>
      <c r="AR149" t="str">
        <f>VLOOKUP($N149,'[1]전체(5)'!$N:$AR,31,0)</f>
        <v>파란영</v>
      </c>
    </row>
    <row r="150" spans="1:44" x14ac:dyDescent="0.4">
      <c r="A150" s="3" t="s">
        <v>42</v>
      </c>
      <c r="B150" s="3" t="s">
        <v>43</v>
      </c>
      <c r="C150" s="3" t="s">
        <v>44</v>
      </c>
      <c r="D150" s="3" t="s">
        <v>45</v>
      </c>
      <c r="E150" s="3"/>
      <c r="F150" s="3" t="s">
        <v>46</v>
      </c>
      <c r="G150" s="3" t="s">
        <v>47</v>
      </c>
      <c r="H150" s="3" t="s">
        <v>48</v>
      </c>
      <c r="I150" s="3" t="s">
        <v>49</v>
      </c>
      <c r="J150" s="3">
        <v>55907805</v>
      </c>
      <c r="K150" s="3" t="s">
        <v>176</v>
      </c>
      <c r="L150" s="3"/>
      <c r="M150" s="3"/>
      <c r="N150" s="3" t="s">
        <v>76</v>
      </c>
      <c r="O150" s="3" t="s">
        <v>52</v>
      </c>
      <c r="P150" s="3">
        <v>0.7</v>
      </c>
      <c r="Q150" s="3">
        <v>0.6</v>
      </c>
      <c r="R150" s="4" t="s">
        <v>56</v>
      </c>
      <c r="S150" s="4">
        <v>100</v>
      </c>
      <c r="T150" s="4">
        <v>1300</v>
      </c>
      <c r="U150" s="4">
        <v>1100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200</v>
      </c>
      <c r="AD150" s="4">
        <v>1300</v>
      </c>
      <c r="AE150" s="4">
        <v>1100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200</v>
      </c>
      <c r="AN150" s="4">
        <v>910</v>
      </c>
      <c r="AO150" s="4">
        <v>0</v>
      </c>
      <c r="AP150" s="4">
        <v>910</v>
      </c>
      <c r="AQ150" t="str">
        <f>VLOOKUP(N150,'[1]전체(5)'!$N:$AR,30,0)</f>
        <v>스토리위즈</v>
      </c>
      <c r="AR150" t="str">
        <f>VLOOKUP($N150,'[1]전체(5)'!$N:$AR,31,0)</f>
        <v>블랙커피</v>
      </c>
    </row>
    <row r="151" spans="1:44" x14ac:dyDescent="0.4">
      <c r="A151" s="3" t="s">
        <v>42</v>
      </c>
      <c r="B151" s="3" t="s">
        <v>43</v>
      </c>
      <c r="C151" s="3" t="s">
        <v>44</v>
      </c>
      <c r="D151" s="3" t="s">
        <v>45</v>
      </c>
      <c r="E151" s="3"/>
      <c r="F151" s="3" t="s">
        <v>46</v>
      </c>
      <c r="G151" s="3" t="s">
        <v>47</v>
      </c>
      <c r="H151" s="3" t="s">
        <v>48</v>
      </c>
      <c r="I151" s="3" t="s">
        <v>49</v>
      </c>
      <c r="J151" s="3">
        <v>55907805</v>
      </c>
      <c r="K151" s="3" t="s">
        <v>176</v>
      </c>
      <c r="L151" s="3"/>
      <c r="M151" s="3"/>
      <c r="N151" s="3" t="s">
        <v>76</v>
      </c>
      <c r="O151" s="3" t="s">
        <v>52</v>
      </c>
      <c r="P151" s="3">
        <v>0.7</v>
      </c>
      <c r="Q151" s="3">
        <v>0.6</v>
      </c>
      <c r="R151" s="4" t="s">
        <v>53</v>
      </c>
      <c r="S151" s="4">
        <v>900</v>
      </c>
      <c r="T151" s="4">
        <v>1800</v>
      </c>
      <c r="U151" s="4">
        <v>1800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1800</v>
      </c>
      <c r="AE151" s="4">
        <v>1800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1260</v>
      </c>
      <c r="AO151" s="4">
        <v>0</v>
      </c>
      <c r="AP151" s="4">
        <v>1260</v>
      </c>
      <c r="AQ151" t="str">
        <f>VLOOKUP(N151,'[1]전체(5)'!$N:$AR,30,0)</f>
        <v>스토리위즈</v>
      </c>
      <c r="AR151" t="str">
        <f>VLOOKUP($N151,'[1]전체(5)'!$N:$AR,31,0)</f>
        <v>블랙커피</v>
      </c>
    </row>
    <row r="152" spans="1:44" x14ac:dyDescent="0.4">
      <c r="A152" s="3" t="s">
        <v>42</v>
      </c>
      <c r="B152" s="3" t="s">
        <v>43</v>
      </c>
      <c r="C152" s="3" t="s">
        <v>44</v>
      </c>
      <c r="D152" s="3" t="s">
        <v>45</v>
      </c>
      <c r="E152" s="3"/>
      <c r="F152" s="3" t="s">
        <v>46</v>
      </c>
      <c r="G152" s="3" t="s">
        <v>47</v>
      </c>
      <c r="H152" s="3" t="s">
        <v>48</v>
      </c>
      <c r="I152" s="3" t="s">
        <v>49</v>
      </c>
      <c r="J152" s="3">
        <v>55907805</v>
      </c>
      <c r="K152" s="3" t="s">
        <v>176</v>
      </c>
      <c r="L152" s="3"/>
      <c r="M152" s="3"/>
      <c r="N152" s="3" t="s">
        <v>76</v>
      </c>
      <c r="O152" s="3" t="s">
        <v>52</v>
      </c>
      <c r="P152" s="3">
        <v>0.7</v>
      </c>
      <c r="Q152" s="3">
        <v>0.6</v>
      </c>
      <c r="R152" s="4" t="s">
        <v>53</v>
      </c>
      <c r="S152" s="4">
        <v>1800</v>
      </c>
      <c r="T152" s="4">
        <v>1800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1800</v>
      </c>
      <c r="AD152" s="4">
        <v>1800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1800</v>
      </c>
      <c r="AN152" s="4">
        <v>1260</v>
      </c>
      <c r="AO152" s="4">
        <v>0</v>
      </c>
      <c r="AP152" s="4">
        <v>1260</v>
      </c>
      <c r="AQ152" t="str">
        <f>VLOOKUP(N152,'[1]전체(5)'!$N:$AR,30,0)</f>
        <v>스토리위즈</v>
      </c>
      <c r="AR152" t="str">
        <f>VLOOKUP($N152,'[1]전체(5)'!$N:$AR,31,0)</f>
        <v>블랙커피</v>
      </c>
    </row>
    <row r="153" spans="1:44" x14ac:dyDescent="0.4">
      <c r="A153" s="3" t="s">
        <v>42</v>
      </c>
      <c r="B153" s="3" t="s">
        <v>43</v>
      </c>
      <c r="C153" s="3" t="s">
        <v>44</v>
      </c>
      <c r="D153" s="3" t="s">
        <v>45</v>
      </c>
      <c r="E153" s="3"/>
      <c r="F153" s="3" t="s">
        <v>46</v>
      </c>
      <c r="G153" s="3" t="s">
        <v>47</v>
      </c>
      <c r="H153" s="3" t="s">
        <v>48</v>
      </c>
      <c r="I153" s="3" t="s">
        <v>49</v>
      </c>
      <c r="J153" s="3">
        <v>51738051</v>
      </c>
      <c r="K153" s="3" t="s">
        <v>239</v>
      </c>
      <c r="L153" s="3"/>
      <c r="M153" s="3"/>
      <c r="N153" s="3" t="s">
        <v>60</v>
      </c>
      <c r="O153" s="3" t="s">
        <v>52</v>
      </c>
      <c r="P153" s="3">
        <v>0.7</v>
      </c>
      <c r="Q153" s="3">
        <v>0.6</v>
      </c>
      <c r="R153" s="4" t="s">
        <v>56</v>
      </c>
      <c r="S153" s="4">
        <v>100</v>
      </c>
      <c r="T153" s="4">
        <v>200</v>
      </c>
      <c r="U153" s="4">
        <v>200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200</v>
      </c>
      <c r="AE153" s="4">
        <v>200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140</v>
      </c>
      <c r="AO153" s="4">
        <v>0</v>
      </c>
      <c r="AP153" s="4">
        <v>140</v>
      </c>
      <c r="AQ153" t="str">
        <f>VLOOKUP(N153,'[1]전체(5)'!$N:$AR,30,0)</f>
        <v>스토리위즈</v>
      </c>
      <c r="AR153" t="str">
        <f>VLOOKUP($N153,'[1]전체(5)'!$N:$AR,31,0)</f>
        <v>주이서</v>
      </c>
    </row>
    <row r="154" spans="1:44" x14ac:dyDescent="0.4">
      <c r="A154" s="3" t="s">
        <v>42</v>
      </c>
      <c r="B154" s="3" t="s">
        <v>43</v>
      </c>
      <c r="C154" s="3" t="s">
        <v>44</v>
      </c>
      <c r="D154" s="3" t="s">
        <v>45</v>
      </c>
      <c r="E154" s="3"/>
      <c r="F154" s="3" t="s">
        <v>46</v>
      </c>
      <c r="G154" s="3" t="s">
        <v>47</v>
      </c>
      <c r="H154" s="3" t="s">
        <v>48</v>
      </c>
      <c r="I154" s="3" t="s">
        <v>49</v>
      </c>
      <c r="J154" s="3">
        <v>56394542</v>
      </c>
      <c r="K154" s="3" t="s">
        <v>179</v>
      </c>
      <c r="L154" s="3"/>
      <c r="M154" s="3"/>
      <c r="N154" s="3" t="s">
        <v>180</v>
      </c>
      <c r="O154" s="3" t="s">
        <v>52</v>
      </c>
      <c r="P154" s="3">
        <v>0.7</v>
      </c>
      <c r="Q154" s="3">
        <v>0.6</v>
      </c>
      <c r="R154" s="4" t="s">
        <v>56</v>
      </c>
      <c r="S154" s="4">
        <v>100</v>
      </c>
      <c r="T154" s="4">
        <v>24600</v>
      </c>
      <c r="U154" s="4">
        <v>15700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8900</v>
      </c>
      <c r="AD154" s="4">
        <v>24600</v>
      </c>
      <c r="AE154" s="4">
        <v>15700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8900</v>
      </c>
      <c r="AN154" s="4">
        <v>17220</v>
      </c>
      <c r="AO154" s="4">
        <v>0</v>
      </c>
      <c r="AP154" s="4">
        <v>17220</v>
      </c>
      <c r="AQ154" t="str">
        <f>VLOOKUP(N154,'[1]전체(5)'!$N:$AR,30,0)</f>
        <v>스토리위즈</v>
      </c>
      <c r="AR154" t="str">
        <f>VLOOKUP($N154,'[1]전체(5)'!$N:$AR,31,0)</f>
        <v>진문</v>
      </c>
    </row>
    <row r="155" spans="1:44" x14ac:dyDescent="0.4">
      <c r="A155" s="3" t="s">
        <v>42</v>
      </c>
      <c r="B155" s="3" t="s">
        <v>43</v>
      </c>
      <c r="C155" s="3" t="s">
        <v>44</v>
      </c>
      <c r="D155" s="3" t="s">
        <v>45</v>
      </c>
      <c r="E155" s="3"/>
      <c r="F155" s="3" t="s">
        <v>46</v>
      </c>
      <c r="G155" s="3" t="s">
        <v>47</v>
      </c>
      <c r="H155" s="3" t="s">
        <v>48</v>
      </c>
      <c r="I155" s="3" t="s">
        <v>49</v>
      </c>
      <c r="J155" s="3">
        <v>47428724</v>
      </c>
      <c r="K155" s="3" t="s">
        <v>116</v>
      </c>
      <c r="L155" s="3"/>
      <c r="M155" s="3"/>
      <c r="N155" s="3" t="s">
        <v>64</v>
      </c>
      <c r="O155" s="3" t="s">
        <v>52</v>
      </c>
      <c r="P155" s="3">
        <v>0.7</v>
      </c>
      <c r="Q155" s="3">
        <v>0.6</v>
      </c>
      <c r="R155" s="4" t="s">
        <v>56</v>
      </c>
      <c r="S155" s="4">
        <v>100</v>
      </c>
      <c r="T155" s="4">
        <v>300</v>
      </c>
      <c r="U155" s="4">
        <v>100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200</v>
      </c>
      <c r="AD155" s="4">
        <v>300</v>
      </c>
      <c r="AE155" s="4">
        <v>100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200</v>
      </c>
      <c r="AN155" s="4">
        <v>210</v>
      </c>
      <c r="AO155" s="4">
        <v>0</v>
      </c>
      <c r="AP155" s="4">
        <v>210</v>
      </c>
      <c r="AQ155" t="str">
        <f>VLOOKUP(N155,'[1]전체(5)'!$N:$AR,30,0)</f>
        <v>스토리위즈</v>
      </c>
      <c r="AR155" t="str">
        <f>VLOOKUP($N155,'[1]전체(5)'!$N:$AR,31,0)</f>
        <v>전혁</v>
      </c>
    </row>
    <row r="156" spans="1:44" x14ac:dyDescent="0.4">
      <c r="A156" s="3" t="s">
        <v>42</v>
      </c>
      <c r="B156" s="3" t="s">
        <v>43</v>
      </c>
      <c r="C156" s="3" t="s">
        <v>44</v>
      </c>
      <c r="D156" s="3" t="s">
        <v>45</v>
      </c>
      <c r="E156" s="3"/>
      <c r="F156" s="3" t="s">
        <v>46</v>
      </c>
      <c r="G156" s="3" t="s">
        <v>47</v>
      </c>
      <c r="H156" s="3" t="s">
        <v>48</v>
      </c>
      <c r="I156" s="3" t="s">
        <v>49</v>
      </c>
      <c r="J156" s="3">
        <v>55221750</v>
      </c>
      <c r="K156" s="3" t="s">
        <v>170</v>
      </c>
      <c r="L156" s="3"/>
      <c r="M156" s="3"/>
      <c r="N156" s="3" t="s">
        <v>171</v>
      </c>
      <c r="O156" s="3" t="s">
        <v>52</v>
      </c>
      <c r="P156" s="3">
        <v>0.7</v>
      </c>
      <c r="Q156" s="3">
        <v>0.6</v>
      </c>
      <c r="R156" s="4" t="s">
        <v>56</v>
      </c>
      <c r="S156" s="4">
        <v>100</v>
      </c>
      <c r="T156" s="4">
        <v>100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100</v>
      </c>
      <c r="AD156" s="4">
        <v>100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100</v>
      </c>
      <c r="AN156" s="4">
        <v>70</v>
      </c>
      <c r="AO156" s="4">
        <v>0</v>
      </c>
      <c r="AP156" s="4">
        <v>70</v>
      </c>
      <c r="AQ156" t="str">
        <f>VLOOKUP(N156,'[1]전체(5)'!$N:$AR,30,0)</f>
        <v>스토리위즈</v>
      </c>
      <c r="AR156" t="str">
        <f>VLOOKUP($N156,'[1]전체(5)'!$N:$AR,31,0)</f>
        <v>진새벽</v>
      </c>
    </row>
    <row r="157" spans="1:44" x14ac:dyDescent="0.4">
      <c r="A157" s="3" t="s">
        <v>42</v>
      </c>
      <c r="B157" s="3" t="s">
        <v>43</v>
      </c>
      <c r="C157" s="3" t="s">
        <v>44</v>
      </c>
      <c r="D157" s="3" t="s">
        <v>45</v>
      </c>
      <c r="E157" s="3"/>
      <c r="F157" s="3" t="s">
        <v>46</v>
      </c>
      <c r="G157" s="3" t="s">
        <v>47</v>
      </c>
      <c r="H157" s="3" t="s">
        <v>48</v>
      </c>
      <c r="I157" s="3" t="s">
        <v>49</v>
      </c>
      <c r="J157" s="3">
        <v>56394542</v>
      </c>
      <c r="K157" s="3" t="s">
        <v>179</v>
      </c>
      <c r="L157" s="3"/>
      <c r="M157" s="3"/>
      <c r="N157" s="3" t="s">
        <v>180</v>
      </c>
      <c r="O157" s="3" t="s">
        <v>52</v>
      </c>
      <c r="P157" s="3">
        <v>0.7</v>
      </c>
      <c r="Q157" s="3">
        <v>0.6</v>
      </c>
      <c r="R157" s="4" t="s">
        <v>53</v>
      </c>
      <c r="S157" s="4">
        <v>4900</v>
      </c>
      <c r="T157" s="4">
        <v>4900</v>
      </c>
      <c r="U157" s="4">
        <v>4900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4900</v>
      </c>
      <c r="AE157" s="4">
        <v>4900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3430</v>
      </c>
      <c r="AO157" s="4">
        <v>0</v>
      </c>
      <c r="AP157" s="4">
        <v>3430</v>
      </c>
      <c r="AQ157" t="str">
        <f>VLOOKUP(N157,'[1]전체(5)'!$N:$AR,30,0)</f>
        <v>스토리위즈</v>
      </c>
      <c r="AR157" t="str">
        <f>VLOOKUP($N157,'[1]전체(5)'!$N:$AR,31,0)</f>
        <v>진문</v>
      </c>
    </row>
    <row r="158" spans="1:44" x14ac:dyDescent="0.4">
      <c r="A158" s="3" t="s">
        <v>42</v>
      </c>
      <c r="B158" s="3" t="s">
        <v>43</v>
      </c>
      <c r="C158" s="3" t="s">
        <v>44</v>
      </c>
      <c r="D158" s="3" t="s">
        <v>45</v>
      </c>
      <c r="E158" s="3"/>
      <c r="F158" s="3" t="s">
        <v>46</v>
      </c>
      <c r="G158" s="3" t="s">
        <v>47</v>
      </c>
      <c r="H158" s="3" t="s">
        <v>48</v>
      </c>
      <c r="I158" s="3" t="s">
        <v>49</v>
      </c>
      <c r="J158" s="3">
        <v>47428724</v>
      </c>
      <c r="K158" s="3" t="s">
        <v>116</v>
      </c>
      <c r="L158" s="3"/>
      <c r="M158" s="3"/>
      <c r="N158" s="3" t="s">
        <v>64</v>
      </c>
      <c r="O158" s="3" t="s">
        <v>52</v>
      </c>
      <c r="P158" s="3">
        <v>0.7</v>
      </c>
      <c r="Q158" s="3">
        <v>0.6</v>
      </c>
      <c r="R158" s="4" t="s">
        <v>53</v>
      </c>
      <c r="S158" s="4">
        <v>9000</v>
      </c>
      <c r="T158" s="4">
        <v>9000</v>
      </c>
      <c r="U158" s="4">
        <v>9000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9000</v>
      </c>
      <c r="AE158" s="4">
        <v>9000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6300</v>
      </c>
      <c r="AO158" s="4">
        <v>0</v>
      </c>
      <c r="AP158" s="4">
        <v>6300</v>
      </c>
      <c r="AQ158" t="str">
        <f>VLOOKUP(N158,'[1]전체(5)'!$N:$AR,30,0)</f>
        <v>스토리위즈</v>
      </c>
      <c r="AR158" t="str">
        <f>VLOOKUP($N158,'[1]전체(5)'!$N:$AR,31,0)</f>
        <v>전혁</v>
      </c>
    </row>
    <row r="159" spans="1:44" x14ac:dyDescent="0.4">
      <c r="A159" s="3" t="s">
        <v>42</v>
      </c>
      <c r="B159" s="3" t="s">
        <v>43</v>
      </c>
      <c r="C159" s="3" t="s">
        <v>44</v>
      </c>
      <c r="D159" s="3" t="s">
        <v>45</v>
      </c>
      <c r="E159" s="3"/>
      <c r="F159" s="3" t="s">
        <v>46</v>
      </c>
      <c r="G159" s="3" t="s">
        <v>47</v>
      </c>
      <c r="H159" s="3" t="s">
        <v>48</v>
      </c>
      <c r="I159" s="3" t="s">
        <v>49</v>
      </c>
      <c r="J159" s="3">
        <v>55221750</v>
      </c>
      <c r="K159" s="3" t="s">
        <v>170</v>
      </c>
      <c r="L159" s="3"/>
      <c r="M159" s="3"/>
      <c r="N159" s="3" t="s">
        <v>171</v>
      </c>
      <c r="O159" s="3" t="s">
        <v>52</v>
      </c>
      <c r="P159" s="3">
        <v>0.7</v>
      </c>
      <c r="Q159" s="3">
        <v>0.6</v>
      </c>
      <c r="R159" s="4" t="s">
        <v>53</v>
      </c>
      <c r="S159" s="4">
        <v>900</v>
      </c>
      <c r="T159" s="4">
        <v>900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900</v>
      </c>
      <c r="AD159" s="4">
        <v>900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900</v>
      </c>
      <c r="AN159" s="4">
        <v>630</v>
      </c>
      <c r="AO159" s="4">
        <v>0</v>
      </c>
      <c r="AP159" s="4">
        <v>630</v>
      </c>
      <c r="AQ159" t="str">
        <f>VLOOKUP(N159,'[1]전체(5)'!$N:$AR,30,0)</f>
        <v>스토리위즈</v>
      </c>
      <c r="AR159" t="str">
        <f>VLOOKUP($N159,'[1]전체(5)'!$N:$AR,31,0)</f>
        <v>진새벽</v>
      </c>
    </row>
    <row r="160" spans="1:44" x14ac:dyDescent="0.4">
      <c r="A160" s="3" t="s">
        <v>42</v>
      </c>
      <c r="B160" s="3" t="s">
        <v>43</v>
      </c>
      <c r="C160" s="3" t="s">
        <v>44</v>
      </c>
      <c r="D160" s="3" t="s">
        <v>45</v>
      </c>
      <c r="E160" s="3"/>
      <c r="F160" s="3" t="s">
        <v>46</v>
      </c>
      <c r="G160" s="3" t="s">
        <v>47</v>
      </c>
      <c r="H160" s="3" t="s">
        <v>48</v>
      </c>
      <c r="I160" s="3" t="s">
        <v>49</v>
      </c>
      <c r="J160" s="3">
        <v>56394542</v>
      </c>
      <c r="K160" s="3" t="s">
        <v>179</v>
      </c>
      <c r="L160" s="3"/>
      <c r="M160" s="3"/>
      <c r="N160" s="3" t="s">
        <v>180</v>
      </c>
      <c r="O160" s="3" t="s">
        <v>52</v>
      </c>
      <c r="P160" s="3">
        <v>0.7</v>
      </c>
      <c r="Q160" s="3">
        <v>0.6</v>
      </c>
      <c r="R160" s="4" t="s">
        <v>53</v>
      </c>
      <c r="S160" s="4">
        <v>9500</v>
      </c>
      <c r="T160" s="4">
        <v>15400</v>
      </c>
      <c r="U160" s="4">
        <v>5900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9500</v>
      </c>
      <c r="AD160" s="4">
        <v>15400</v>
      </c>
      <c r="AE160" s="4">
        <v>5900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9500</v>
      </c>
      <c r="AN160" s="4">
        <v>10780</v>
      </c>
      <c r="AO160" s="4">
        <v>0</v>
      </c>
      <c r="AP160" s="4">
        <v>10780</v>
      </c>
      <c r="AQ160" t="str">
        <f>VLOOKUP(N160,'[1]전체(5)'!$N:$AR,30,0)</f>
        <v>스토리위즈</v>
      </c>
      <c r="AR160" t="str">
        <f>VLOOKUP($N160,'[1]전체(5)'!$N:$AR,31,0)</f>
        <v>진문</v>
      </c>
    </row>
    <row r="161" spans="1:44" x14ac:dyDescent="0.4">
      <c r="A161" s="3" t="s">
        <v>42</v>
      </c>
      <c r="B161" s="3" t="s">
        <v>43</v>
      </c>
      <c r="C161" s="3" t="s">
        <v>44</v>
      </c>
      <c r="D161" s="3" t="s">
        <v>45</v>
      </c>
      <c r="E161" s="3"/>
      <c r="F161" s="3" t="s">
        <v>46</v>
      </c>
      <c r="G161" s="3" t="s">
        <v>47</v>
      </c>
      <c r="H161" s="3" t="s">
        <v>48</v>
      </c>
      <c r="I161" s="3" t="s">
        <v>49</v>
      </c>
      <c r="J161" s="3">
        <v>57185376</v>
      </c>
      <c r="K161" s="3" t="s">
        <v>261</v>
      </c>
      <c r="L161" s="3"/>
      <c r="M161" s="3"/>
      <c r="N161" s="3" t="s">
        <v>249</v>
      </c>
      <c r="O161" s="3" t="s">
        <v>52</v>
      </c>
      <c r="P161" s="3">
        <v>0.7</v>
      </c>
      <c r="Q161" s="3">
        <v>0.6</v>
      </c>
      <c r="R161" s="4" t="s">
        <v>56</v>
      </c>
      <c r="S161" s="4">
        <v>2500</v>
      </c>
      <c r="T161" s="4">
        <v>7500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7500</v>
      </c>
      <c r="AD161" s="4">
        <v>7500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7500</v>
      </c>
      <c r="AN161" s="4">
        <v>5250</v>
      </c>
      <c r="AO161" s="4">
        <v>0</v>
      </c>
      <c r="AP161" s="4">
        <v>5250</v>
      </c>
      <c r="AQ161" t="str">
        <f>VLOOKUP(N161,'[1]전체(5)'!$N:$AR,30,0)</f>
        <v>스토리위즈</v>
      </c>
      <c r="AR161" t="str">
        <f>VLOOKUP($N161,'[1]전체(5)'!$N:$AR,31,0)</f>
        <v>구이</v>
      </c>
    </row>
    <row r="162" spans="1:44" x14ac:dyDescent="0.4">
      <c r="A162" s="3" t="s">
        <v>42</v>
      </c>
      <c r="B162" s="3" t="s">
        <v>43</v>
      </c>
      <c r="C162" s="3" t="s">
        <v>44</v>
      </c>
      <c r="D162" s="3" t="s">
        <v>45</v>
      </c>
      <c r="E162" s="3"/>
      <c r="F162" s="3" t="s">
        <v>46</v>
      </c>
      <c r="G162" s="3" t="s">
        <v>47</v>
      </c>
      <c r="H162" s="3" t="s">
        <v>48</v>
      </c>
      <c r="I162" s="3" t="s">
        <v>49</v>
      </c>
      <c r="J162" s="3">
        <v>55222371</v>
      </c>
      <c r="K162" s="3" t="s">
        <v>173</v>
      </c>
      <c r="L162" s="3"/>
      <c r="M162" s="3"/>
      <c r="N162" s="3" t="s">
        <v>55</v>
      </c>
      <c r="O162" s="3" t="s">
        <v>52</v>
      </c>
      <c r="P162" s="3">
        <v>0.7</v>
      </c>
      <c r="Q162" s="3">
        <v>0.6</v>
      </c>
      <c r="R162" s="4" t="s">
        <v>56</v>
      </c>
      <c r="S162" s="4">
        <v>100</v>
      </c>
      <c r="T162" s="4">
        <v>5700</v>
      </c>
      <c r="U162" s="4">
        <v>4800</v>
      </c>
      <c r="V162" s="4">
        <v>0</v>
      </c>
      <c r="W162" s="4">
        <v>0</v>
      </c>
      <c r="X162" s="4">
        <v>0</v>
      </c>
      <c r="Y162" s="4">
        <v>300</v>
      </c>
      <c r="Z162" s="4">
        <v>0</v>
      </c>
      <c r="AA162" s="4">
        <v>0</v>
      </c>
      <c r="AB162" s="4">
        <v>0</v>
      </c>
      <c r="AC162" s="4">
        <v>600</v>
      </c>
      <c r="AD162" s="4">
        <v>5760</v>
      </c>
      <c r="AE162" s="4">
        <v>4800</v>
      </c>
      <c r="AF162" s="4">
        <v>0</v>
      </c>
      <c r="AG162" s="4">
        <v>0</v>
      </c>
      <c r="AH162" s="4">
        <v>0</v>
      </c>
      <c r="AI162" s="4">
        <v>360</v>
      </c>
      <c r="AJ162" s="4">
        <v>0</v>
      </c>
      <c r="AK162" s="4">
        <v>0</v>
      </c>
      <c r="AL162" s="4">
        <v>0</v>
      </c>
      <c r="AM162" s="4">
        <v>600</v>
      </c>
      <c r="AN162" s="4">
        <v>3996</v>
      </c>
      <c r="AO162" s="4">
        <v>0</v>
      </c>
      <c r="AP162" s="4">
        <v>3996</v>
      </c>
      <c r="AQ162" t="str">
        <f>VLOOKUP(N162,'[1]전체(5)'!$N:$AR,30,0)</f>
        <v>스토리위즈</v>
      </c>
      <c r="AR162" t="str">
        <f>VLOOKUP($N162,'[1]전체(5)'!$N:$AR,31,0)</f>
        <v>밈스</v>
      </c>
    </row>
    <row r="163" spans="1:44" x14ac:dyDescent="0.4">
      <c r="A163" s="3" t="s">
        <v>42</v>
      </c>
      <c r="B163" s="3" t="s">
        <v>43</v>
      </c>
      <c r="C163" s="3" t="s">
        <v>44</v>
      </c>
      <c r="D163" s="3" t="s">
        <v>45</v>
      </c>
      <c r="E163" s="3"/>
      <c r="F163" s="3" t="s">
        <v>46</v>
      </c>
      <c r="G163" s="3" t="s">
        <v>47</v>
      </c>
      <c r="H163" s="3" t="s">
        <v>48</v>
      </c>
      <c r="I163" s="3" t="s">
        <v>49</v>
      </c>
      <c r="J163" s="3">
        <v>55222371</v>
      </c>
      <c r="K163" s="3" t="s">
        <v>173</v>
      </c>
      <c r="L163" s="3"/>
      <c r="M163" s="3"/>
      <c r="N163" s="3" t="s">
        <v>55</v>
      </c>
      <c r="O163" s="3" t="s">
        <v>52</v>
      </c>
      <c r="P163" s="3">
        <v>0.7</v>
      </c>
      <c r="Q163" s="3">
        <v>0.6</v>
      </c>
      <c r="R163" s="4" t="s">
        <v>53</v>
      </c>
      <c r="S163" s="4">
        <v>900</v>
      </c>
      <c r="T163" s="4">
        <v>17100</v>
      </c>
      <c r="U163" s="4">
        <v>17100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17100</v>
      </c>
      <c r="AE163" s="4">
        <v>17100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11970</v>
      </c>
      <c r="AO163" s="4">
        <v>0</v>
      </c>
      <c r="AP163" s="4">
        <v>11970</v>
      </c>
      <c r="AQ163" t="str">
        <f>VLOOKUP(N163,'[1]전체(5)'!$N:$AR,30,0)</f>
        <v>스토리위즈</v>
      </c>
      <c r="AR163" t="str">
        <f>VLOOKUP($N163,'[1]전체(5)'!$N:$AR,31,0)</f>
        <v>밈스</v>
      </c>
    </row>
    <row r="164" spans="1:44" x14ac:dyDescent="0.4">
      <c r="A164" s="3" t="s">
        <v>42</v>
      </c>
      <c r="B164" s="3" t="s">
        <v>43</v>
      </c>
      <c r="C164" s="3" t="s">
        <v>44</v>
      </c>
      <c r="D164" s="3" t="s">
        <v>45</v>
      </c>
      <c r="E164" s="3"/>
      <c r="F164" s="3" t="s">
        <v>46</v>
      </c>
      <c r="G164" s="3" t="s">
        <v>47</v>
      </c>
      <c r="H164" s="3" t="s">
        <v>48</v>
      </c>
      <c r="I164" s="3" t="s">
        <v>49</v>
      </c>
      <c r="J164" s="3">
        <v>48041933</v>
      </c>
      <c r="K164" s="3" t="s">
        <v>114</v>
      </c>
      <c r="L164" s="3"/>
      <c r="M164" s="3"/>
      <c r="N164" s="3" t="s">
        <v>115</v>
      </c>
      <c r="O164" s="3" t="s">
        <v>52</v>
      </c>
      <c r="P164" s="3">
        <v>0.7</v>
      </c>
      <c r="Q164" s="3">
        <v>0.6</v>
      </c>
      <c r="R164" s="4" t="s">
        <v>56</v>
      </c>
      <c r="S164" s="4">
        <v>100</v>
      </c>
      <c r="T164" s="4">
        <v>87400</v>
      </c>
      <c r="U164" s="4">
        <v>26300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61100</v>
      </c>
      <c r="AD164" s="4">
        <v>87400</v>
      </c>
      <c r="AE164" s="4">
        <v>26300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61100</v>
      </c>
      <c r="AN164" s="4">
        <v>61180</v>
      </c>
      <c r="AO164" s="4">
        <v>0</v>
      </c>
      <c r="AP164" s="4">
        <v>61180</v>
      </c>
      <c r="AQ164" t="str">
        <f>VLOOKUP(N164,'[1]전체(5)'!$N:$AR,30,0)</f>
        <v>스토리위즈</v>
      </c>
      <c r="AR164" t="str">
        <f>VLOOKUP($N164,'[1]전체(5)'!$N:$AR,31,0)</f>
        <v>독고진</v>
      </c>
    </row>
    <row r="165" spans="1:44" x14ac:dyDescent="0.4">
      <c r="A165" s="3" t="s">
        <v>42</v>
      </c>
      <c r="B165" s="3" t="s">
        <v>43</v>
      </c>
      <c r="C165" s="3" t="s">
        <v>44</v>
      </c>
      <c r="D165" s="3" t="s">
        <v>45</v>
      </c>
      <c r="E165" s="3"/>
      <c r="F165" s="3" t="s">
        <v>46</v>
      </c>
      <c r="G165" s="3" t="s">
        <v>47</v>
      </c>
      <c r="H165" s="3" t="s">
        <v>48</v>
      </c>
      <c r="I165" s="3" t="s">
        <v>49</v>
      </c>
      <c r="J165" s="3">
        <v>55222371</v>
      </c>
      <c r="K165" s="3" t="s">
        <v>173</v>
      </c>
      <c r="L165" s="3"/>
      <c r="M165" s="3"/>
      <c r="N165" s="3" t="s">
        <v>55</v>
      </c>
      <c r="O165" s="3" t="s">
        <v>52</v>
      </c>
      <c r="P165" s="3">
        <v>0.7</v>
      </c>
      <c r="Q165" s="3">
        <v>0.6</v>
      </c>
      <c r="R165" s="4" t="s">
        <v>53</v>
      </c>
      <c r="S165" s="4">
        <v>2700</v>
      </c>
      <c r="T165" s="4">
        <v>13500</v>
      </c>
      <c r="U165" s="4">
        <v>13200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300</v>
      </c>
      <c r="AD165" s="4">
        <v>13500</v>
      </c>
      <c r="AE165" s="4">
        <v>13200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300</v>
      </c>
      <c r="AN165" s="4">
        <v>9450</v>
      </c>
      <c r="AO165" s="4">
        <v>0</v>
      </c>
      <c r="AP165" s="4">
        <v>9450</v>
      </c>
      <c r="AQ165" t="str">
        <f>VLOOKUP(N165,'[1]전체(5)'!$N:$AR,30,0)</f>
        <v>스토리위즈</v>
      </c>
      <c r="AR165" t="str">
        <f>VLOOKUP($N165,'[1]전체(5)'!$N:$AR,31,0)</f>
        <v>밈스</v>
      </c>
    </row>
    <row r="166" spans="1:44" x14ac:dyDescent="0.4">
      <c r="A166" s="3" t="s">
        <v>42</v>
      </c>
      <c r="B166" s="3" t="s">
        <v>43</v>
      </c>
      <c r="C166" s="3" t="s">
        <v>44</v>
      </c>
      <c r="D166" s="3" t="s">
        <v>45</v>
      </c>
      <c r="E166" s="3"/>
      <c r="F166" s="3" t="s">
        <v>46</v>
      </c>
      <c r="G166" s="3" t="s">
        <v>47</v>
      </c>
      <c r="H166" s="3" t="s">
        <v>48</v>
      </c>
      <c r="I166" s="3" t="s">
        <v>49</v>
      </c>
      <c r="J166" s="3">
        <v>56395974</v>
      </c>
      <c r="K166" s="3" t="s">
        <v>185</v>
      </c>
      <c r="L166" s="3"/>
      <c r="M166" s="3"/>
      <c r="N166" s="3" t="s">
        <v>87</v>
      </c>
      <c r="O166" s="3" t="s">
        <v>52</v>
      </c>
      <c r="P166" s="3">
        <v>0.7</v>
      </c>
      <c r="Q166" s="3">
        <v>0.6</v>
      </c>
      <c r="R166" s="4" t="s">
        <v>74</v>
      </c>
      <c r="S166" s="4">
        <v>900</v>
      </c>
      <c r="T166" s="4">
        <v>2700</v>
      </c>
      <c r="U166" s="4">
        <v>2700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2700</v>
      </c>
      <c r="AE166" s="4">
        <v>2700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1890</v>
      </c>
      <c r="AO166" s="4">
        <v>0</v>
      </c>
      <c r="AP166" s="4">
        <v>1890</v>
      </c>
      <c r="AQ166" t="str">
        <f>VLOOKUP(N166,'[1]전체(5)'!$N:$AR,30,0)</f>
        <v>스토리위즈</v>
      </c>
      <c r="AR166" t="str">
        <f>VLOOKUP($N166,'[1]전체(5)'!$N:$AR,31,0)</f>
        <v>권용찬</v>
      </c>
    </row>
    <row r="167" spans="1:44" x14ac:dyDescent="0.4">
      <c r="A167" s="3" t="s">
        <v>42</v>
      </c>
      <c r="B167" s="3" t="s">
        <v>43</v>
      </c>
      <c r="C167" s="3" t="s">
        <v>44</v>
      </c>
      <c r="D167" s="3" t="s">
        <v>45</v>
      </c>
      <c r="E167" s="3"/>
      <c r="F167" s="3" t="s">
        <v>46</v>
      </c>
      <c r="G167" s="3" t="s">
        <v>47</v>
      </c>
      <c r="H167" s="3" t="s">
        <v>48</v>
      </c>
      <c r="I167" s="3" t="s">
        <v>49</v>
      </c>
      <c r="J167" s="3">
        <v>48041933</v>
      </c>
      <c r="K167" s="3" t="s">
        <v>114</v>
      </c>
      <c r="L167" s="3"/>
      <c r="M167" s="3"/>
      <c r="N167" s="3" t="s">
        <v>115</v>
      </c>
      <c r="O167" s="3" t="s">
        <v>52</v>
      </c>
      <c r="P167" s="3">
        <v>0.7</v>
      </c>
      <c r="Q167" s="3">
        <v>0.6</v>
      </c>
      <c r="R167" s="4" t="s">
        <v>53</v>
      </c>
      <c r="S167" s="4">
        <v>2300</v>
      </c>
      <c r="T167" s="4">
        <v>86100</v>
      </c>
      <c r="U167" s="4">
        <v>53940</v>
      </c>
      <c r="V167" s="4">
        <v>0</v>
      </c>
      <c r="W167" s="4">
        <v>0</v>
      </c>
      <c r="X167" s="4">
        <v>0</v>
      </c>
      <c r="Y167" s="4">
        <v>0</v>
      </c>
      <c r="Z167" s="4">
        <v>600</v>
      </c>
      <c r="AA167" s="4">
        <v>0</v>
      </c>
      <c r="AB167" s="4">
        <v>0</v>
      </c>
      <c r="AC167" s="4">
        <v>31560</v>
      </c>
      <c r="AD167" s="4">
        <v>86160</v>
      </c>
      <c r="AE167" s="4">
        <v>53940</v>
      </c>
      <c r="AF167" s="4">
        <v>0</v>
      </c>
      <c r="AG167" s="4">
        <v>0</v>
      </c>
      <c r="AH167" s="4">
        <v>0</v>
      </c>
      <c r="AI167" s="4">
        <v>0</v>
      </c>
      <c r="AJ167" s="4">
        <v>660</v>
      </c>
      <c r="AK167" s="4">
        <v>0</v>
      </c>
      <c r="AL167" s="4">
        <v>0</v>
      </c>
      <c r="AM167" s="4">
        <v>31560</v>
      </c>
      <c r="AN167" s="4">
        <v>60246</v>
      </c>
      <c r="AO167" s="4">
        <v>0</v>
      </c>
      <c r="AP167" s="4">
        <v>60246</v>
      </c>
      <c r="AQ167" t="str">
        <f>VLOOKUP(N167,'[1]전체(5)'!$N:$AR,30,0)</f>
        <v>스토리위즈</v>
      </c>
      <c r="AR167" t="str">
        <f>VLOOKUP($N167,'[1]전체(5)'!$N:$AR,31,0)</f>
        <v>독고진</v>
      </c>
    </row>
    <row r="168" spans="1:44" x14ac:dyDescent="0.4">
      <c r="A168" s="3" t="s">
        <v>42</v>
      </c>
      <c r="B168" s="3" t="s">
        <v>43</v>
      </c>
      <c r="C168" s="3" t="s">
        <v>44</v>
      </c>
      <c r="D168" s="3" t="s">
        <v>45</v>
      </c>
      <c r="E168" s="3"/>
      <c r="F168" s="3" t="s">
        <v>46</v>
      </c>
      <c r="G168" s="3" t="s">
        <v>47</v>
      </c>
      <c r="H168" s="3" t="s">
        <v>48</v>
      </c>
      <c r="I168" s="3" t="s">
        <v>49</v>
      </c>
      <c r="J168" s="3">
        <v>55222371</v>
      </c>
      <c r="K168" s="3" t="s">
        <v>173</v>
      </c>
      <c r="L168" s="3"/>
      <c r="M168" s="3"/>
      <c r="N168" s="3" t="s">
        <v>55</v>
      </c>
      <c r="O168" s="3" t="s">
        <v>52</v>
      </c>
      <c r="P168" s="3">
        <v>0.7</v>
      </c>
      <c r="Q168" s="3">
        <v>0.6</v>
      </c>
      <c r="R168" s="4" t="s">
        <v>53</v>
      </c>
      <c r="S168" s="4">
        <v>4500</v>
      </c>
      <c r="T168" s="4">
        <v>9000</v>
      </c>
      <c r="U168" s="4">
        <v>9000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9000</v>
      </c>
      <c r="AE168" s="4">
        <v>9000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6300</v>
      </c>
      <c r="AO168" s="4">
        <v>0</v>
      </c>
      <c r="AP168" s="4">
        <v>6300</v>
      </c>
      <c r="AQ168" t="str">
        <f>VLOOKUP(N168,'[1]전체(5)'!$N:$AR,30,0)</f>
        <v>스토리위즈</v>
      </c>
      <c r="AR168" t="str">
        <f>VLOOKUP($N168,'[1]전체(5)'!$N:$AR,31,0)</f>
        <v>밈스</v>
      </c>
    </row>
    <row r="169" spans="1:44" x14ac:dyDescent="0.4">
      <c r="A169" s="3" t="s">
        <v>42</v>
      </c>
      <c r="B169" s="3" t="s">
        <v>43</v>
      </c>
      <c r="C169" s="3" t="s">
        <v>44</v>
      </c>
      <c r="D169" s="3" t="s">
        <v>45</v>
      </c>
      <c r="E169" s="3"/>
      <c r="F169" s="3" t="s">
        <v>46</v>
      </c>
      <c r="G169" s="3" t="s">
        <v>47</v>
      </c>
      <c r="H169" s="3" t="s">
        <v>48</v>
      </c>
      <c r="I169" s="3" t="s">
        <v>49</v>
      </c>
      <c r="J169" s="3">
        <v>56396525</v>
      </c>
      <c r="K169" s="3" t="s">
        <v>191</v>
      </c>
      <c r="L169" s="3"/>
      <c r="M169" s="3"/>
      <c r="N169" s="3" t="s">
        <v>87</v>
      </c>
      <c r="O169" s="3" t="s">
        <v>52</v>
      </c>
      <c r="P169" s="3">
        <v>0.7</v>
      </c>
      <c r="Q169" s="3">
        <v>0.6</v>
      </c>
      <c r="R169" s="4" t="s">
        <v>74</v>
      </c>
      <c r="S169" s="4">
        <v>900</v>
      </c>
      <c r="T169" s="4">
        <v>3600</v>
      </c>
      <c r="U169" s="4">
        <v>2400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1200</v>
      </c>
      <c r="AD169" s="4">
        <v>3600</v>
      </c>
      <c r="AE169" s="4">
        <v>2400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1200</v>
      </c>
      <c r="AN169" s="4">
        <v>2520</v>
      </c>
      <c r="AO169" s="4">
        <v>0</v>
      </c>
      <c r="AP169" s="4">
        <v>2520</v>
      </c>
      <c r="AQ169" t="str">
        <f>VLOOKUP(N169,'[1]전체(5)'!$N:$AR,30,0)</f>
        <v>스토리위즈</v>
      </c>
      <c r="AR169" t="str">
        <f>VLOOKUP($N169,'[1]전체(5)'!$N:$AR,31,0)</f>
        <v>권용찬</v>
      </c>
    </row>
    <row r="170" spans="1:44" x14ac:dyDescent="0.4">
      <c r="A170" s="3" t="s">
        <v>42</v>
      </c>
      <c r="B170" s="3" t="s">
        <v>43</v>
      </c>
      <c r="C170" s="3" t="s">
        <v>44</v>
      </c>
      <c r="D170" s="3" t="s">
        <v>45</v>
      </c>
      <c r="E170" s="3"/>
      <c r="F170" s="3" t="s">
        <v>46</v>
      </c>
      <c r="G170" s="3" t="s">
        <v>47</v>
      </c>
      <c r="H170" s="3" t="s">
        <v>48</v>
      </c>
      <c r="I170" s="3" t="s">
        <v>49</v>
      </c>
      <c r="J170" s="3">
        <v>48041933</v>
      </c>
      <c r="K170" s="3" t="s">
        <v>114</v>
      </c>
      <c r="L170" s="3"/>
      <c r="M170" s="3"/>
      <c r="N170" s="3" t="s">
        <v>115</v>
      </c>
      <c r="O170" s="3" t="s">
        <v>52</v>
      </c>
      <c r="P170" s="3">
        <v>0.7</v>
      </c>
      <c r="Q170" s="3">
        <v>0.6</v>
      </c>
      <c r="R170" s="4" t="s">
        <v>53</v>
      </c>
      <c r="S170" s="4">
        <v>6800</v>
      </c>
      <c r="T170" s="4">
        <v>58100</v>
      </c>
      <c r="U170" s="4">
        <v>57200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900</v>
      </c>
      <c r="AD170" s="4">
        <v>58100</v>
      </c>
      <c r="AE170" s="4">
        <v>57200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900</v>
      </c>
      <c r="AN170" s="4">
        <v>40670</v>
      </c>
      <c r="AO170" s="4">
        <v>0</v>
      </c>
      <c r="AP170" s="4">
        <v>40670</v>
      </c>
      <c r="AQ170" t="str">
        <f>VLOOKUP(N170,'[1]전체(5)'!$N:$AR,30,0)</f>
        <v>스토리위즈</v>
      </c>
      <c r="AR170" t="str">
        <f>VLOOKUP($N170,'[1]전체(5)'!$N:$AR,31,0)</f>
        <v>독고진</v>
      </c>
    </row>
    <row r="171" spans="1:44" x14ac:dyDescent="0.4">
      <c r="A171" s="3" t="s">
        <v>42</v>
      </c>
      <c r="B171" s="3" t="s">
        <v>43</v>
      </c>
      <c r="C171" s="3" t="s">
        <v>44</v>
      </c>
      <c r="D171" s="3" t="s">
        <v>45</v>
      </c>
      <c r="E171" s="3"/>
      <c r="F171" s="3" t="s">
        <v>46</v>
      </c>
      <c r="G171" s="3" t="s">
        <v>47</v>
      </c>
      <c r="H171" s="3" t="s">
        <v>48</v>
      </c>
      <c r="I171" s="3" t="s">
        <v>49</v>
      </c>
      <c r="J171" s="3">
        <v>54953980</v>
      </c>
      <c r="K171" s="3" t="s">
        <v>166</v>
      </c>
      <c r="L171" s="3"/>
      <c r="M171" s="3"/>
      <c r="N171" s="3" t="s">
        <v>62</v>
      </c>
      <c r="O171" s="3" t="s">
        <v>52</v>
      </c>
      <c r="P171" s="3">
        <v>0.7</v>
      </c>
      <c r="Q171" s="3">
        <v>0.6</v>
      </c>
      <c r="R171" s="4" t="s">
        <v>56</v>
      </c>
      <c r="S171" s="4">
        <v>100</v>
      </c>
      <c r="T171" s="4">
        <v>700</v>
      </c>
      <c r="U171" s="4">
        <v>700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700</v>
      </c>
      <c r="AE171" s="4">
        <v>700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490</v>
      </c>
      <c r="AO171" s="4">
        <v>0</v>
      </c>
      <c r="AP171" s="4">
        <v>490</v>
      </c>
      <c r="AQ171" t="str">
        <f>VLOOKUP(N171,'[1]전체(5)'!$N:$AR,30,0)</f>
        <v>스토리위즈</v>
      </c>
      <c r="AR171" t="str">
        <f>VLOOKUP($N171,'[1]전체(5)'!$N:$AR,31,0)</f>
        <v>블 루 스 카 이</v>
      </c>
    </row>
    <row r="172" spans="1:44" x14ac:dyDescent="0.4">
      <c r="A172" s="3" t="s">
        <v>42</v>
      </c>
      <c r="B172" s="3" t="s">
        <v>43</v>
      </c>
      <c r="C172" s="3" t="s">
        <v>44</v>
      </c>
      <c r="D172" s="3" t="s">
        <v>45</v>
      </c>
      <c r="E172" s="3"/>
      <c r="F172" s="3" t="s">
        <v>46</v>
      </c>
      <c r="G172" s="3" t="s">
        <v>47</v>
      </c>
      <c r="H172" s="3" t="s">
        <v>48</v>
      </c>
      <c r="I172" s="3" t="s">
        <v>49</v>
      </c>
      <c r="J172" s="3">
        <v>48041933</v>
      </c>
      <c r="K172" s="3" t="s">
        <v>114</v>
      </c>
      <c r="L172" s="3"/>
      <c r="M172" s="3"/>
      <c r="N172" s="3" t="s">
        <v>115</v>
      </c>
      <c r="O172" s="3" t="s">
        <v>52</v>
      </c>
      <c r="P172" s="3">
        <v>0.7</v>
      </c>
      <c r="Q172" s="3">
        <v>0.6</v>
      </c>
      <c r="R172" s="4" t="s">
        <v>53</v>
      </c>
      <c r="S172" s="4">
        <v>13500</v>
      </c>
      <c r="T172" s="4">
        <v>48900</v>
      </c>
      <c r="U172" s="4">
        <v>44800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4100</v>
      </c>
      <c r="AD172" s="4">
        <v>48900</v>
      </c>
      <c r="AE172" s="4">
        <v>44800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4100</v>
      </c>
      <c r="AN172" s="4">
        <v>34230</v>
      </c>
      <c r="AO172" s="4">
        <v>0</v>
      </c>
      <c r="AP172" s="4">
        <v>34230</v>
      </c>
      <c r="AQ172" t="str">
        <f>VLOOKUP(N172,'[1]전체(5)'!$N:$AR,30,0)</f>
        <v>스토리위즈</v>
      </c>
      <c r="AR172" t="str">
        <f>VLOOKUP($N172,'[1]전체(5)'!$N:$AR,31,0)</f>
        <v>독고진</v>
      </c>
    </row>
    <row r="173" spans="1:44" x14ac:dyDescent="0.4">
      <c r="A173" s="3" t="s">
        <v>42</v>
      </c>
      <c r="B173" s="3" t="s">
        <v>43</v>
      </c>
      <c r="C173" s="3" t="s">
        <v>44</v>
      </c>
      <c r="D173" s="3" t="s">
        <v>45</v>
      </c>
      <c r="E173" s="3"/>
      <c r="F173" s="3" t="s">
        <v>46</v>
      </c>
      <c r="G173" s="3" t="s">
        <v>47</v>
      </c>
      <c r="H173" s="3" t="s">
        <v>48</v>
      </c>
      <c r="I173" s="3" t="s">
        <v>49</v>
      </c>
      <c r="J173" s="3">
        <v>56397340</v>
      </c>
      <c r="K173" s="3" t="s">
        <v>194</v>
      </c>
      <c r="L173" s="3"/>
      <c r="M173" s="3"/>
      <c r="N173" s="3" t="s">
        <v>87</v>
      </c>
      <c r="O173" s="3" t="s">
        <v>52</v>
      </c>
      <c r="P173" s="3">
        <v>0.7</v>
      </c>
      <c r="Q173" s="3">
        <v>0.6</v>
      </c>
      <c r="R173" s="4" t="s">
        <v>74</v>
      </c>
      <c r="S173" s="4">
        <v>900</v>
      </c>
      <c r="T173" s="4">
        <v>2700</v>
      </c>
      <c r="U173" s="4">
        <v>900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1800</v>
      </c>
      <c r="AD173" s="4">
        <v>2700</v>
      </c>
      <c r="AE173" s="4">
        <v>900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1800</v>
      </c>
      <c r="AN173" s="4">
        <v>1890</v>
      </c>
      <c r="AO173" s="4">
        <v>0</v>
      </c>
      <c r="AP173" s="4">
        <v>1890</v>
      </c>
      <c r="AQ173" t="str">
        <f>VLOOKUP(N173,'[1]전체(5)'!$N:$AR,30,0)</f>
        <v>스토리위즈</v>
      </c>
      <c r="AR173" t="str">
        <f>VLOOKUP($N173,'[1]전체(5)'!$N:$AR,31,0)</f>
        <v>권용찬</v>
      </c>
    </row>
    <row r="174" spans="1:44" x14ac:dyDescent="0.4">
      <c r="A174" s="3" t="s">
        <v>42</v>
      </c>
      <c r="B174" s="3" t="s">
        <v>43</v>
      </c>
      <c r="C174" s="3" t="s">
        <v>44</v>
      </c>
      <c r="D174" s="3" t="s">
        <v>45</v>
      </c>
      <c r="E174" s="3"/>
      <c r="F174" s="3" t="s">
        <v>46</v>
      </c>
      <c r="G174" s="3" t="s">
        <v>47</v>
      </c>
      <c r="H174" s="3" t="s">
        <v>48</v>
      </c>
      <c r="I174" s="3" t="s">
        <v>49</v>
      </c>
      <c r="J174" s="3">
        <v>56397797</v>
      </c>
      <c r="K174" s="3" t="s">
        <v>196</v>
      </c>
      <c r="L174" s="3"/>
      <c r="M174" s="3"/>
      <c r="N174" s="3" t="s">
        <v>87</v>
      </c>
      <c r="O174" s="3" t="s">
        <v>52</v>
      </c>
      <c r="P174" s="3">
        <v>0.7</v>
      </c>
      <c r="Q174" s="3">
        <v>0.6</v>
      </c>
      <c r="R174" s="4" t="s">
        <v>56</v>
      </c>
      <c r="S174" s="4">
        <v>3200</v>
      </c>
      <c r="T174" s="4">
        <v>22400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22400</v>
      </c>
      <c r="AD174" s="4">
        <v>22400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22400</v>
      </c>
      <c r="AN174" s="4">
        <v>15680</v>
      </c>
      <c r="AO174" s="4">
        <v>0</v>
      </c>
      <c r="AP174" s="4">
        <v>15680</v>
      </c>
      <c r="AQ174" t="str">
        <f>VLOOKUP(N174,'[1]전체(5)'!$N:$AR,30,0)</f>
        <v>스토리위즈</v>
      </c>
      <c r="AR174" t="str">
        <f>VLOOKUP($N174,'[1]전체(5)'!$N:$AR,31,0)</f>
        <v>권용찬</v>
      </c>
    </row>
    <row r="175" spans="1:44" x14ac:dyDescent="0.4">
      <c r="A175" s="3" t="s">
        <v>42</v>
      </c>
      <c r="B175" s="3" t="s">
        <v>43</v>
      </c>
      <c r="C175" s="3" t="s">
        <v>44</v>
      </c>
      <c r="D175" s="3" t="s">
        <v>45</v>
      </c>
      <c r="E175" s="3"/>
      <c r="F175" s="3" t="s">
        <v>46</v>
      </c>
      <c r="G175" s="3" t="s">
        <v>47</v>
      </c>
      <c r="H175" s="3" t="s">
        <v>48</v>
      </c>
      <c r="I175" s="3" t="s">
        <v>49</v>
      </c>
      <c r="J175" s="3">
        <v>56397797</v>
      </c>
      <c r="K175" s="3" t="s">
        <v>196</v>
      </c>
      <c r="L175" s="3"/>
      <c r="M175" s="3"/>
      <c r="N175" s="3" t="s">
        <v>87</v>
      </c>
      <c r="O175" s="3" t="s">
        <v>52</v>
      </c>
      <c r="P175" s="3">
        <v>0.7</v>
      </c>
      <c r="Q175" s="3">
        <v>0.6</v>
      </c>
      <c r="R175" s="4" t="s">
        <v>74</v>
      </c>
      <c r="S175" s="4">
        <v>900</v>
      </c>
      <c r="T175" s="4">
        <v>13500</v>
      </c>
      <c r="U175" s="4">
        <v>12700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800</v>
      </c>
      <c r="AD175" s="4">
        <v>13500</v>
      </c>
      <c r="AE175" s="4">
        <v>12700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800</v>
      </c>
      <c r="AN175" s="4">
        <v>9450</v>
      </c>
      <c r="AO175" s="4">
        <v>0</v>
      </c>
      <c r="AP175" s="4">
        <v>9450</v>
      </c>
      <c r="AQ175" t="str">
        <f>VLOOKUP(N175,'[1]전체(5)'!$N:$AR,30,0)</f>
        <v>스토리위즈</v>
      </c>
      <c r="AR175" t="str">
        <f>VLOOKUP($N175,'[1]전체(5)'!$N:$AR,31,0)</f>
        <v>권용찬</v>
      </c>
    </row>
    <row r="176" spans="1:44" x14ac:dyDescent="0.4">
      <c r="A176" s="3" t="s">
        <v>42</v>
      </c>
      <c r="B176" s="3" t="s">
        <v>43</v>
      </c>
      <c r="C176" s="3" t="s">
        <v>44</v>
      </c>
      <c r="D176" s="3" t="s">
        <v>45</v>
      </c>
      <c r="E176" s="3"/>
      <c r="F176" s="3" t="s">
        <v>46</v>
      </c>
      <c r="G176" s="3" t="s">
        <v>47</v>
      </c>
      <c r="H176" s="3" t="s">
        <v>48</v>
      </c>
      <c r="I176" s="3" t="s">
        <v>49</v>
      </c>
      <c r="J176" s="3">
        <v>52883338</v>
      </c>
      <c r="K176" s="3" t="s">
        <v>219</v>
      </c>
      <c r="L176" s="3"/>
      <c r="M176" s="3"/>
      <c r="N176" s="3" t="s">
        <v>76</v>
      </c>
      <c r="O176" s="3" t="s">
        <v>52</v>
      </c>
      <c r="P176" s="3">
        <v>0.7</v>
      </c>
      <c r="Q176" s="3">
        <v>0.6</v>
      </c>
      <c r="R176" s="4" t="s">
        <v>56</v>
      </c>
      <c r="S176" s="4">
        <v>100</v>
      </c>
      <c r="T176" s="4">
        <v>800</v>
      </c>
      <c r="U176" s="4">
        <v>250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550</v>
      </c>
      <c r="AD176" s="4">
        <v>800</v>
      </c>
      <c r="AE176" s="4">
        <v>250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550</v>
      </c>
      <c r="AN176" s="4">
        <v>560</v>
      </c>
      <c r="AO176" s="4">
        <v>0</v>
      </c>
      <c r="AP176" s="4">
        <v>560</v>
      </c>
      <c r="AQ176" t="str">
        <f>VLOOKUP(N176,'[1]전체(5)'!$N:$AR,30,0)</f>
        <v>스토리위즈</v>
      </c>
      <c r="AR176" t="str">
        <f>VLOOKUP($N176,'[1]전체(5)'!$N:$AR,31,0)</f>
        <v>블랙커피</v>
      </c>
    </row>
    <row r="177" spans="1:44" x14ac:dyDescent="0.4">
      <c r="A177" s="3" t="s">
        <v>42</v>
      </c>
      <c r="B177" s="3" t="s">
        <v>43</v>
      </c>
      <c r="C177" s="3" t="s">
        <v>44</v>
      </c>
      <c r="D177" s="3" t="s">
        <v>45</v>
      </c>
      <c r="E177" s="3"/>
      <c r="F177" s="3" t="s">
        <v>46</v>
      </c>
      <c r="G177" s="3" t="s">
        <v>47</v>
      </c>
      <c r="H177" s="3" t="s">
        <v>48</v>
      </c>
      <c r="I177" s="3" t="s">
        <v>49</v>
      </c>
      <c r="J177" s="3">
        <v>52883338</v>
      </c>
      <c r="K177" s="3" t="s">
        <v>219</v>
      </c>
      <c r="L177" s="3"/>
      <c r="M177" s="3"/>
      <c r="N177" s="3" t="s">
        <v>76</v>
      </c>
      <c r="O177" s="3" t="s">
        <v>52</v>
      </c>
      <c r="P177" s="3">
        <v>0.7</v>
      </c>
      <c r="Q177" s="3">
        <v>0.6</v>
      </c>
      <c r="R177" s="4" t="s">
        <v>53</v>
      </c>
      <c r="S177" s="4">
        <v>2700</v>
      </c>
      <c r="T177" s="4">
        <v>-1400</v>
      </c>
      <c r="U177" s="4">
        <v>-1400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-1400</v>
      </c>
      <c r="AE177" s="4">
        <v>-1400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-980</v>
      </c>
      <c r="AO177" s="4">
        <v>0</v>
      </c>
      <c r="AP177" s="4">
        <v>-980</v>
      </c>
      <c r="AQ177" t="str">
        <f>VLOOKUP(N177,'[1]전체(5)'!$N:$AR,30,0)</f>
        <v>스토리위즈</v>
      </c>
      <c r="AR177" t="str">
        <f>VLOOKUP($N177,'[1]전체(5)'!$N:$AR,31,0)</f>
        <v>블랙커피</v>
      </c>
    </row>
    <row r="178" spans="1:44" x14ac:dyDescent="0.4">
      <c r="A178" s="3" t="s">
        <v>42</v>
      </c>
      <c r="B178" s="3" t="s">
        <v>43</v>
      </c>
      <c r="C178" s="3" t="s">
        <v>44</v>
      </c>
      <c r="D178" s="3" t="s">
        <v>45</v>
      </c>
      <c r="E178" s="3"/>
      <c r="F178" s="3" t="s">
        <v>46</v>
      </c>
      <c r="G178" s="3" t="s">
        <v>47</v>
      </c>
      <c r="H178" s="3" t="s">
        <v>48</v>
      </c>
      <c r="I178" s="3" t="s">
        <v>49</v>
      </c>
      <c r="J178" s="3">
        <v>54383153</v>
      </c>
      <c r="K178" s="3" t="s">
        <v>141</v>
      </c>
      <c r="L178" s="3"/>
      <c r="M178" s="3"/>
      <c r="N178" s="3" t="s">
        <v>132</v>
      </c>
      <c r="O178" s="3" t="s">
        <v>52</v>
      </c>
      <c r="P178" s="3">
        <v>0.7</v>
      </c>
      <c r="Q178" s="3">
        <v>0.6</v>
      </c>
      <c r="R178" s="4" t="s">
        <v>56</v>
      </c>
      <c r="S178" s="4">
        <v>100</v>
      </c>
      <c r="T178" s="4">
        <v>11700</v>
      </c>
      <c r="U178" s="4">
        <v>9100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2600</v>
      </c>
      <c r="AD178" s="4">
        <v>11700</v>
      </c>
      <c r="AE178" s="4">
        <v>9100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2600</v>
      </c>
      <c r="AN178" s="4">
        <v>8190</v>
      </c>
      <c r="AO178" s="4">
        <v>0</v>
      </c>
      <c r="AP178" s="4">
        <v>8190</v>
      </c>
      <c r="AQ178" t="str">
        <f>VLOOKUP(N178,'[1]전체(5)'!$N:$AR,30,0)</f>
        <v>스토리위즈</v>
      </c>
      <c r="AR178" t="str">
        <f>VLOOKUP($N178,'[1]전체(5)'!$N:$AR,31,0)</f>
        <v>아슈크림</v>
      </c>
    </row>
    <row r="179" spans="1:44" x14ac:dyDescent="0.4">
      <c r="A179" s="3" t="s">
        <v>42</v>
      </c>
      <c r="B179" s="3" t="s">
        <v>43</v>
      </c>
      <c r="C179" s="3" t="s">
        <v>44</v>
      </c>
      <c r="D179" s="3" t="s">
        <v>45</v>
      </c>
      <c r="E179" s="3"/>
      <c r="F179" s="3" t="s">
        <v>46</v>
      </c>
      <c r="G179" s="3" t="s">
        <v>47</v>
      </c>
      <c r="H179" s="3" t="s">
        <v>48</v>
      </c>
      <c r="I179" s="3" t="s">
        <v>49</v>
      </c>
      <c r="J179" s="3">
        <v>54383153</v>
      </c>
      <c r="K179" s="3" t="s">
        <v>141</v>
      </c>
      <c r="L179" s="3"/>
      <c r="M179" s="3"/>
      <c r="N179" s="3" t="s">
        <v>132</v>
      </c>
      <c r="O179" s="3" t="s">
        <v>52</v>
      </c>
      <c r="P179" s="3">
        <v>0.7</v>
      </c>
      <c r="Q179" s="3">
        <v>0.6</v>
      </c>
      <c r="R179" s="4" t="s">
        <v>53</v>
      </c>
      <c r="S179" s="4">
        <v>900</v>
      </c>
      <c r="T179" s="4">
        <v>11900</v>
      </c>
      <c r="U179" s="4">
        <v>9480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2420</v>
      </c>
      <c r="AD179" s="4">
        <v>11900</v>
      </c>
      <c r="AE179" s="4">
        <v>9480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2420</v>
      </c>
      <c r="AN179" s="4">
        <v>8330</v>
      </c>
      <c r="AO179" s="4">
        <v>0</v>
      </c>
      <c r="AP179" s="4">
        <v>8330</v>
      </c>
      <c r="AQ179" t="str">
        <f>VLOOKUP(N179,'[1]전체(5)'!$N:$AR,30,0)</f>
        <v>스토리위즈</v>
      </c>
      <c r="AR179" t="str">
        <f>VLOOKUP($N179,'[1]전체(5)'!$N:$AR,31,0)</f>
        <v>아슈크림</v>
      </c>
    </row>
    <row r="180" spans="1:44" x14ac:dyDescent="0.4">
      <c r="A180" s="3" t="s">
        <v>42</v>
      </c>
      <c r="B180" s="3" t="s">
        <v>43</v>
      </c>
      <c r="C180" s="3" t="s">
        <v>44</v>
      </c>
      <c r="D180" s="3" t="s">
        <v>45</v>
      </c>
      <c r="E180" s="3"/>
      <c r="F180" s="3" t="s">
        <v>46</v>
      </c>
      <c r="G180" s="3" t="s">
        <v>47</v>
      </c>
      <c r="H180" s="3" t="s">
        <v>48</v>
      </c>
      <c r="I180" s="3" t="s">
        <v>49</v>
      </c>
      <c r="J180" s="3">
        <v>54383153</v>
      </c>
      <c r="K180" s="3" t="s">
        <v>141</v>
      </c>
      <c r="L180" s="3"/>
      <c r="M180" s="3"/>
      <c r="N180" s="3" t="s">
        <v>132</v>
      </c>
      <c r="O180" s="3" t="s">
        <v>52</v>
      </c>
      <c r="P180" s="3">
        <v>0.7</v>
      </c>
      <c r="Q180" s="3">
        <v>0.6</v>
      </c>
      <c r="R180" s="4" t="s">
        <v>53</v>
      </c>
      <c r="S180" s="4">
        <v>2700</v>
      </c>
      <c r="T180" s="4">
        <v>8100</v>
      </c>
      <c r="U180" s="4">
        <v>8100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8100</v>
      </c>
      <c r="AE180" s="4">
        <v>8100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5670</v>
      </c>
      <c r="AO180" s="4">
        <v>0</v>
      </c>
      <c r="AP180" s="4">
        <v>5670</v>
      </c>
      <c r="AQ180" t="str">
        <f>VLOOKUP(N180,'[1]전체(5)'!$N:$AR,30,0)</f>
        <v>스토리위즈</v>
      </c>
      <c r="AR180" t="str">
        <f>VLOOKUP($N180,'[1]전체(5)'!$N:$AR,31,0)</f>
        <v>아슈크림</v>
      </c>
    </row>
    <row r="181" spans="1:44" x14ac:dyDescent="0.4">
      <c r="A181" s="3" t="s">
        <v>42</v>
      </c>
      <c r="B181" s="3" t="s">
        <v>43</v>
      </c>
      <c r="C181" s="3" t="s">
        <v>44</v>
      </c>
      <c r="D181" s="3" t="s">
        <v>45</v>
      </c>
      <c r="E181" s="3"/>
      <c r="F181" s="3" t="s">
        <v>46</v>
      </c>
      <c r="G181" s="3" t="s">
        <v>47</v>
      </c>
      <c r="H181" s="3" t="s">
        <v>48</v>
      </c>
      <c r="I181" s="3" t="s">
        <v>49</v>
      </c>
      <c r="J181" s="3">
        <v>49044877</v>
      </c>
      <c r="K181" s="3" t="s">
        <v>262</v>
      </c>
      <c r="L181" s="3"/>
      <c r="M181" s="3"/>
      <c r="N181" s="3" t="s">
        <v>87</v>
      </c>
      <c r="O181" s="3" t="s">
        <v>52</v>
      </c>
      <c r="P181" s="3">
        <v>0.7</v>
      </c>
      <c r="Q181" s="3">
        <v>0.6</v>
      </c>
      <c r="R181" s="4" t="s">
        <v>56</v>
      </c>
      <c r="S181" s="4">
        <v>100</v>
      </c>
      <c r="T181" s="4">
        <v>200</v>
      </c>
      <c r="U181" s="4">
        <v>200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200</v>
      </c>
      <c r="AE181" s="4">
        <v>200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140</v>
      </c>
      <c r="AO181" s="4">
        <v>0</v>
      </c>
      <c r="AP181" s="4">
        <v>140</v>
      </c>
      <c r="AQ181" t="str">
        <f>VLOOKUP(N181,'[1]전체(5)'!$N:$AR,30,0)</f>
        <v>스토리위즈</v>
      </c>
      <c r="AR181" t="str">
        <f>VLOOKUP($N181,'[1]전체(5)'!$N:$AR,31,0)</f>
        <v>권용찬</v>
      </c>
    </row>
    <row r="182" spans="1:44" x14ac:dyDescent="0.4">
      <c r="A182" s="3" t="s">
        <v>42</v>
      </c>
      <c r="B182" s="3" t="s">
        <v>43</v>
      </c>
      <c r="C182" s="3" t="s">
        <v>44</v>
      </c>
      <c r="D182" s="3" t="s">
        <v>45</v>
      </c>
      <c r="E182" s="3"/>
      <c r="F182" s="3" t="s">
        <v>46</v>
      </c>
      <c r="G182" s="3" t="s">
        <v>47</v>
      </c>
      <c r="H182" s="3" t="s">
        <v>48</v>
      </c>
      <c r="I182" s="3" t="s">
        <v>49</v>
      </c>
      <c r="J182" s="3">
        <v>54383153</v>
      </c>
      <c r="K182" s="3" t="s">
        <v>141</v>
      </c>
      <c r="L182" s="3"/>
      <c r="M182" s="3"/>
      <c r="N182" s="3" t="s">
        <v>132</v>
      </c>
      <c r="O182" s="3" t="s">
        <v>52</v>
      </c>
      <c r="P182" s="3">
        <v>0.7</v>
      </c>
      <c r="Q182" s="3">
        <v>0.6</v>
      </c>
      <c r="R182" s="4" t="s">
        <v>53</v>
      </c>
      <c r="S182" s="4">
        <v>4500</v>
      </c>
      <c r="T182" s="4">
        <v>20100</v>
      </c>
      <c r="U182" s="4">
        <v>20100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20100</v>
      </c>
      <c r="AE182" s="4">
        <v>20100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14070</v>
      </c>
      <c r="AO182" s="4">
        <v>0</v>
      </c>
      <c r="AP182" s="4">
        <v>14070</v>
      </c>
      <c r="AQ182" t="str">
        <f>VLOOKUP(N182,'[1]전체(5)'!$N:$AR,30,0)</f>
        <v>스토리위즈</v>
      </c>
      <c r="AR182" t="str">
        <f>VLOOKUP($N182,'[1]전체(5)'!$N:$AR,31,0)</f>
        <v>아슈크림</v>
      </c>
    </row>
    <row r="183" spans="1:44" x14ac:dyDescent="0.4">
      <c r="A183" s="3" t="s">
        <v>42</v>
      </c>
      <c r="B183" s="3" t="s">
        <v>43</v>
      </c>
      <c r="C183" s="3" t="s">
        <v>44</v>
      </c>
      <c r="D183" s="3" t="s">
        <v>45</v>
      </c>
      <c r="E183" s="3"/>
      <c r="F183" s="3" t="s">
        <v>46</v>
      </c>
      <c r="G183" s="3" t="s">
        <v>47</v>
      </c>
      <c r="H183" s="3" t="s">
        <v>48</v>
      </c>
      <c r="I183" s="3" t="s">
        <v>49</v>
      </c>
      <c r="J183" s="3">
        <v>58325594</v>
      </c>
      <c r="K183" s="3" t="s">
        <v>142</v>
      </c>
      <c r="L183" s="3"/>
      <c r="M183" s="3"/>
      <c r="N183" s="3" t="s">
        <v>143</v>
      </c>
      <c r="O183" s="3" t="s">
        <v>52</v>
      </c>
      <c r="P183" s="3">
        <v>0.7</v>
      </c>
      <c r="Q183" s="3">
        <v>0.6</v>
      </c>
      <c r="R183" s="4" t="s">
        <v>56</v>
      </c>
      <c r="S183" s="4">
        <v>100</v>
      </c>
      <c r="T183" s="4">
        <v>300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300</v>
      </c>
      <c r="AD183" s="4">
        <v>300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300</v>
      </c>
      <c r="AN183" s="4">
        <v>210</v>
      </c>
      <c r="AO183" s="4">
        <v>0</v>
      </c>
      <c r="AP183" s="4">
        <v>210</v>
      </c>
      <c r="AQ183" t="str">
        <f>VLOOKUP(N183,'[1]전체(5)'!$N:$AR,30,0)</f>
        <v>스토리위즈</v>
      </c>
      <c r="AR183" t="str">
        <f>VLOOKUP($N183,'[1]전체(5)'!$N:$AR,31,0)</f>
        <v>제외</v>
      </c>
    </row>
    <row r="184" spans="1:44" x14ac:dyDescent="0.4">
      <c r="A184" s="3" t="s">
        <v>42</v>
      </c>
      <c r="B184" s="3" t="s">
        <v>43</v>
      </c>
      <c r="C184" s="3" t="s">
        <v>44</v>
      </c>
      <c r="D184" s="3" t="s">
        <v>45</v>
      </c>
      <c r="E184" s="3"/>
      <c r="F184" s="3" t="s">
        <v>46</v>
      </c>
      <c r="G184" s="3" t="s">
        <v>47</v>
      </c>
      <c r="H184" s="3" t="s">
        <v>48</v>
      </c>
      <c r="I184" s="3" t="s">
        <v>49</v>
      </c>
      <c r="J184" s="3">
        <v>46929860</v>
      </c>
      <c r="K184" s="3" t="s">
        <v>146</v>
      </c>
      <c r="L184" s="3"/>
      <c r="M184" s="3"/>
      <c r="N184" s="3" t="s">
        <v>70</v>
      </c>
      <c r="O184" s="3" t="s">
        <v>52</v>
      </c>
      <c r="P184" s="3">
        <v>0.7</v>
      </c>
      <c r="Q184" s="3">
        <v>0.6</v>
      </c>
      <c r="R184" s="4" t="s">
        <v>56</v>
      </c>
      <c r="S184" s="4">
        <v>100</v>
      </c>
      <c r="T184" s="4">
        <v>103800</v>
      </c>
      <c r="U184" s="4">
        <v>45500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58300</v>
      </c>
      <c r="AD184" s="4">
        <v>103800</v>
      </c>
      <c r="AE184" s="4">
        <v>45500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58300</v>
      </c>
      <c r="AN184" s="4">
        <v>72660</v>
      </c>
      <c r="AO184" s="4">
        <v>0</v>
      </c>
      <c r="AP184" s="4">
        <v>72660</v>
      </c>
      <c r="AQ184" t="str">
        <f>VLOOKUP(N184,'[1]전체(5)'!$N:$AR,30,0)</f>
        <v>스토리위즈</v>
      </c>
      <c r="AR184" t="str">
        <f>VLOOKUP($N184,'[1]전체(5)'!$N:$AR,31,0)</f>
        <v>김정률</v>
      </c>
    </row>
    <row r="185" spans="1:44" x14ac:dyDescent="0.4">
      <c r="A185" s="3" t="s">
        <v>42</v>
      </c>
      <c r="B185" s="3" t="s">
        <v>43</v>
      </c>
      <c r="C185" s="3" t="s">
        <v>44</v>
      </c>
      <c r="D185" s="3" t="s">
        <v>45</v>
      </c>
      <c r="E185" s="3"/>
      <c r="F185" s="3" t="s">
        <v>46</v>
      </c>
      <c r="G185" s="3" t="s">
        <v>47</v>
      </c>
      <c r="H185" s="3" t="s">
        <v>48</v>
      </c>
      <c r="I185" s="3" t="s">
        <v>49</v>
      </c>
      <c r="J185" s="3">
        <v>58572729</v>
      </c>
      <c r="K185" s="3" t="s">
        <v>177</v>
      </c>
      <c r="L185" s="3"/>
      <c r="M185" s="3"/>
      <c r="N185" s="3" t="s">
        <v>178</v>
      </c>
      <c r="O185" s="3" t="s">
        <v>52</v>
      </c>
      <c r="P185" s="3">
        <v>0.7</v>
      </c>
      <c r="Q185" s="3">
        <v>0.6</v>
      </c>
      <c r="R185" s="4" t="s">
        <v>56</v>
      </c>
      <c r="S185" s="4">
        <v>100</v>
      </c>
      <c r="T185" s="4">
        <v>105900</v>
      </c>
      <c r="U185" s="4">
        <v>23950</v>
      </c>
      <c r="V185" s="4">
        <v>0</v>
      </c>
      <c r="W185" s="4">
        <v>0</v>
      </c>
      <c r="X185" s="4">
        <v>0</v>
      </c>
      <c r="Y185" s="4">
        <v>0</v>
      </c>
      <c r="Z185" s="4">
        <v>100</v>
      </c>
      <c r="AA185" s="4">
        <v>0</v>
      </c>
      <c r="AB185" s="4">
        <v>0</v>
      </c>
      <c r="AC185" s="4">
        <v>81850</v>
      </c>
      <c r="AD185" s="4">
        <v>105910</v>
      </c>
      <c r="AE185" s="4">
        <v>23950</v>
      </c>
      <c r="AF185" s="4">
        <v>0</v>
      </c>
      <c r="AG185" s="4">
        <v>0</v>
      </c>
      <c r="AH185" s="4">
        <v>0</v>
      </c>
      <c r="AI185" s="4">
        <v>0</v>
      </c>
      <c r="AJ185" s="4">
        <v>110</v>
      </c>
      <c r="AK185" s="4">
        <v>0</v>
      </c>
      <c r="AL185" s="4">
        <v>0</v>
      </c>
      <c r="AM185" s="4">
        <v>81850</v>
      </c>
      <c r="AN185" s="4">
        <v>74126</v>
      </c>
      <c r="AO185" s="4">
        <v>0</v>
      </c>
      <c r="AP185" s="4">
        <v>74126</v>
      </c>
      <c r="AQ185" t="str">
        <f>VLOOKUP(N185,'[1]전체(5)'!$N:$AR,30,0)</f>
        <v>스토리위즈</v>
      </c>
      <c r="AR185" t="str">
        <f>VLOOKUP($N185,'[1]전체(5)'!$N:$AR,31,0)</f>
        <v>두나래</v>
      </c>
    </row>
    <row r="186" spans="1:44" x14ac:dyDescent="0.4">
      <c r="A186" s="3" t="s">
        <v>42</v>
      </c>
      <c r="B186" s="3" t="s">
        <v>43</v>
      </c>
      <c r="C186" s="3" t="s">
        <v>44</v>
      </c>
      <c r="D186" s="3" t="s">
        <v>45</v>
      </c>
      <c r="E186" s="3"/>
      <c r="F186" s="3" t="s">
        <v>46</v>
      </c>
      <c r="G186" s="3" t="s">
        <v>47</v>
      </c>
      <c r="H186" s="3" t="s">
        <v>48</v>
      </c>
      <c r="I186" s="3" t="s">
        <v>49</v>
      </c>
      <c r="J186" s="3">
        <v>46929860</v>
      </c>
      <c r="K186" s="3" t="s">
        <v>146</v>
      </c>
      <c r="L186" s="3"/>
      <c r="M186" s="3"/>
      <c r="N186" s="3" t="s">
        <v>70</v>
      </c>
      <c r="O186" s="3" t="s">
        <v>52</v>
      </c>
      <c r="P186" s="3">
        <v>0.7</v>
      </c>
      <c r="Q186" s="3">
        <v>0.6</v>
      </c>
      <c r="R186" s="4" t="s">
        <v>53</v>
      </c>
      <c r="S186" s="4">
        <v>2300</v>
      </c>
      <c r="T186" s="4">
        <v>92000</v>
      </c>
      <c r="U186" s="4">
        <v>83700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8300</v>
      </c>
      <c r="AD186" s="4">
        <v>92000</v>
      </c>
      <c r="AE186" s="4">
        <v>83700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8300</v>
      </c>
      <c r="AN186" s="4">
        <v>64400</v>
      </c>
      <c r="AO186" s="4">
        <v>0</v>
      </c>
      <c r="AP186" s="4">
        <v>64400</v>
      </c>
      <c r="AQ186" t="str">
        <f>VLOOKUP(N186,'[1]전체(5)'!$N:$AR,30,0)</f>
        <v>스토리위즈</v>
      </c>
      <c r="AR186" t="str">
        <f>VLOOKUP($N186,'[1]전체(5)'!$N:$AR,31,0)</f>
        <v>김정률</v>
      </c>
    </row>
    <row r="187" spans="1:44" x14ac:dyDescent="0.4">
      <c r="A187" s="3" t="s">
        <v>42</v>
      </c>
      <c r="B187" s="3" t="s">
        <v>43</v>
      </c>
      <c r="C187" s="3" t="s">
        <v>44</v>
      </c>
      <c r="D187" s="3" t="s">
        <v>45</v>
      </c>
      <c r="E187" s="3"/>
      <c r="F187" s="3" t="s">
        <v>46</v>
      </c>
      <c r="G187" s="3" t="s">
        <v>47</v>
      </c>
      <c r="H187" s="3" t="s">
        <v>48</v>
      </c>
      <c r="I187" s="3" t="s">
        <v>49</v>
      </c>
      <c r="J187" s="3">
        <v>52213219</v>
      </c>
      <c r="K187" s="3" t="s">
        <v>234</v>
      </c>
      <c r="L187" s="3"/>
      <c r="M187" s="3"/>
      <c r="N187" s="3" t="s">
        <v>235</v>
      </c>
      <c r="O187" s="3" t="s">
        <v>52</v>
      </c>
      <c r="P187" s="3">
        <v>0.7</v>
      </c>
      <c r="Q187" s="3">
        <v>0.6</v>
      </c>
      <c r="R187" s="4" t="s">
        <v>56</v>
      </c>
      <c r="S187" s="4">
        <v>100</v>
      </c>
      <c r="T187" s="4">
        <v>8300</v>
      </c>
      <c r="U187" s="4">
        <v>4700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3600</v>
      </c>
      <c r="AD187" s="4">
        <v>8300</v>
      </c>
      <c r="AE187" s="4">
        <v>4700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3600</v>
      </c>
      <c r="AN187" s="4">
        <v>5810</v>
      </c>
      <c r="AO187" s="4">
        <v>0</v>
      </c>
      <c r="AP187" s="4">
        <v>5810</v>
      </c>
      <c r="AQ187" t="str">
        <f>VLOOKUP(N187,'[1]전체(5)'!$N:$AR,30,0)</f>
        <v>스토리위즈</v>
      </c>
      <c r="AR187" t="str">
        <f>VLOOKUP($N187,'[1]전체(5)'!$N:$AR,31,0)</f>
        <v>한례</v>
      </c>
    </row>
    <row r="188" spans="1:44" x14ac:dyDescent="0.4">
      <c r="A188" s="3" t="s">
        <v>42</v>
      </c>
      <c r="B188" s="3" t="s">
        <v>43</v>
      </c>
      <c r="C188" s="3" t="s">
        <v>44</v>
      </c>
      <c r="D188" s="3" t="s">
        <v>45</v>
      </c>
      <c r="E188" s="3"/>
      <c r="F188" s="3" t="s">
        <v>46</v>
      </c>
      <c r="G188" s="3" t="s">
        <v>47</v>
      </c>
      <c r="H188" s="3" t="s">
        <v>48</v>
      </c>
      <c r="I188" s="3" t="s">
        <v>49</v>
      </c>
      <c r="J188" s="3">
        <v>56236124</v>
      </c>
      <c r="K188" s="3" t="s">
        <v>189</v>
      </c>
      <c r="L188" s="3"/>
      <c r="M188" s="3"/>
      <c r="N188" s="3" t="s">
        <v>190</v>
      </c>
      <c r="O188" s="3" t="s">
        <v>52</v>
      </c>
      <c r="P188" s="3">
        <v>0.7</v>
      </c>
      <c r="Q188" s="3">
        <v>0.6</v>
      </c>
      <c r="R188" s="4" t="s">
        <v>56</v>
      </c>
      <c r="S188" s="4">
        <v>100</v>
      </c>
      <c r="T188" s="4">
        <v>19800</v>
      </c>
      <c r="U188" s="4">
        <v>11000</v>
      </c>
      <c r="V188" s="4">
        <v>0</v>
      </c>
      <c r="W188" s="4">
        <v>0</v>
      </c>
      <c r="X188" s="4">
        <v>0</v>
      </c>
      <c r="Y188" s="4">
        <v>0</v>
      </c>
      <c r="Z188" s="4">
        <v>100</v>
      </c>
      <c r="AA188" s="4">
        <v>0</v>
      </c>
      <c r="AB188" s="4">
        <v>0</v>
      </c>
      <c r="AC188" s="4">
        <v>8700</v>
      </c>
      <c r="AD188" s="4">
        <v>19810</v>
      </c>
      <c r="AE188" s="4">
        <v>11000</v>
      </c>
      <c r="AF188" s="4">
        <v>0</v>
      </c>
      <c r="AG188" s="4">
        <v>0</v>
      </c>
      <c r="AH188" s="4">
        <v>0</v>
      </c>
      <c r="AI188" s="4">
        <v>0</v>
      </c>
      <c r="AJ188" s="4">
        <v>110</v>
      </c>
      <c r="AK188" s="4">
        <v>0</v>
      </c>
      <c r="AL188" s="4">
        <v>0</v>
      </c>
      <c r="AM188" s="4">
        <v>8700</v>
      </c>
      <c r="AN188" s="4">
        <v>13856</v>
      </c>
      <c r="AO188" s="4">
        <v>0</v>
      </c>
      <c r="AP188" s="4">
        <v>13856</v>
      </c>
      <c r="AQ188" t="str">
        <f>VLOOKUP(N188,'[1]전체(5)'!$N:$AR,30,0)</f>
        <v>스토리위즈</v>
      </c>
      <c r="AR188" t="str">
        <f>VLOOKUP($N188,'[1]전체(5)'!$N:$AR,31,0)</f>
        <v>AliceW</v>
      </c>
    </row>
    <row r="189" spans="1:44" x14ac:dyDescent="0.4">
      <c r="A189" s="3" t="s">
        <v>42</v>
      </c>
      <c r="B189" s="3" t="s">
        <v>43</v>
      </c>
      <c r="C189" s="3" t="s">
        <v>44</v>
      </c>
      <c r="D189" s="3" t="s">
        <v>45</v>
      </c>
      <c r="E189" s="3"/>
      <c r="F189" s="3" t="s">
        <v>46</v>
      </c>
      <c r="G189" s="3" t="s">
        <v>47</v>
      </c>
      <c r="H189" s="3" t="s">
        <v>48</v>
      </c>
      <c r="I189" s="3" t="s">
        <v>49</v>
      </c>
      <c r="J189" s="3">
        <v>58572729</v>
      </c>
      <c r="K189" s="3" t="s">
        <v>177</v>
      </c>
      <c r="L189" s="3"/>
      <c r="M189" s="3"/>
      <c r="N189" s="3" t="s">
        <v>178</v>
      </c>
      <c r="O189" s="3" t="s">
        <v>52</v>
      </c>
      <c r="P189" s="3">
        <v>0.7</v>
      </c>
      <c r="Q189" s="3">
        <v>0.6</v>
      </c>
      <c r="R189" s="4" t="s">
        <v>53</v>
      </c>
      <c r="S189" s="4">
        <v>1900</v>
      </c>
      <c r="T189" s="4">
        <v>29200</v>
      </c>
      <c r="U189" s="4">
        <v>17460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11740</v>
      </c>
      <c r="AD189" s="4">
        <v>29200</v>
      </c>
      <c r="AE189" s="4">
        <v>17460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11740</v>
      </c>
      <c r="AN189" s="4">
        <v>20440</v>
      </c>
      <c r="AO189" s="4">
        <v>0</v>
      </c>
      <c r="AP189" s="4">
        <v>20440</v>
      </c>
      <c r="AQ189" t="str">
        <f>VLOOKUP(N189,'[1]전체(5)'!$N:$AR,30,0)</f>
        <v>스토리위즈</v>
      </c>
      <c r="AR189" t="str">
        <f>VLOOKUP($N189,'[1]전체(5)'!$N:$AR,31,0)</f>
        <v>두나래</v>
      </c>
    </row>
    <row r="190" spans="1:44" x14ac:dyDescent="0.4">
      <c r="A190" s="3" t="s">
        <v>42</v>
      </c>
      <c r="B190" s="3" t="s">
        <v>43</v>
      </c>
      <c r="C190" s="3" t="s">
        <v>44</v>
      </c>
      <c r="D190" s="3" t="s">
        <v>45</v>
      </c>
      <c r="E190" s="3"/>
      <c r="F190" s="3" t="s">
        <v>46</v>
      </c>
      <c r="G190" s="3" t="s">
        <v>47</v>
      </c>
      <c r="H190" s="3" t="s">
        <v>48</v>
      </c>
      <c r="I190" s="3" t="s">
        <v>49</v>
      </c>
      <c r="J190" s="3">
        <v>46929860</v>
      </c>
      <c r="K190" s="3" t="s">
        <v>146</v>
      </c>
      <c r="L190" s="3"/>
      <c r="M190" s="3"/>
      <c r="N190" s="3" t="s">
        <v>70</v>
      </c>
      <c r="O190" s="3" t="s">
        <v>52</v>
      </c>
      <c r="P190" s="3">
        <v>0.7</v>
      </c>
      <c r="Q190" s="3">
        <v>0.6</v>
      </c>
      <c r="R190" s="4" t="s">
        <v>53</v>
      </c>
      <c r="S190" s="4">
        <v>4500</v>
      </c>
      <c r="T190" s="4">
        <v>67500</v>
      </c>
      <c r="U190" s="4">
        <v>54800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12700</v>
      </c>
      <c r="AD190" s="4">
        <v>67500</v>
      </c>
      <c r="AE190" s="4">
        <v>54800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12700</v>
      </c>
      <c r="AN190" s="4">
        <v>47250</v>
      </c>
      <c r="AO190" s="4">
        <v>0</v>
      </c>
      <c r="AP190" s="4">
        <v>47250</v>
      </c>
      <c r="AQ190" t="str">
        <f>VLOOKUP(N190,'[1]전체(5)'!$N:$AR,30,0)</f>
        <v>스토리위즈</v>
      </c>
      <c r="AR190" t="str">
        <f>VLOOKUP($N190,'[1]전체(5)'!$N:$AR,31,0)</f>
        <v>김정률</v>
      </c>
    </row>
    <row r="191" spans="1:44" x14ac:dyDescent="0.4">
      <c r="A191" s="3" t="s">
        <v>42</v>
      </c>
      <c r="B191" s="3" t="s">
        <v>43</v>
      </c>
      <c r="C191" s="3" t="s">
        <v>44</v>
      </c>
      <c r="D191" s="3" t="s">
        <v>45</v>
      </c>
      <c r="E191" s="3"/>
      <c r="F191" s="3" t="s">
        <v>46</v>
      </c>
      <c r="G191" s="3" t="s">
        <v>47</v>
      </c>
      <c r="H191" s="3" t="s">
        <v>48</v>
      </c>
      <c r="I191" s="3" t="s">
        <v>49</v>
      </c>
      <c r="J191" s="3">
        <v>52213219</v>
      </c>
      <c r="K191" s="3" t="s">
        <v>234</v>
      </c>
      <c r="L191" s="3"/>
      <c r="M191" s="3"/>
      <c r="N191" s="3" t="s">
        <v>235</v>
      </c>
      <c r="O191" s="3" t="s">
        <v>52</v>
      </c>
      <c r="P191" s="3">
        <v>0.7</v>
      </c>
      <c r="Q191" s="3">
        <v>0.6</v>
      </c>
      <c r="R191" s="4" t="s">
        <v>53</v>
      </c>
      <c r="S191" s="4">
        <v>1800</v>
      </c>
      <c r="T191" s="4">
        <v>600</v>
      </c>
      <c r="U191" s="4">
        <v>600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600</v>
      </c>
      <c r="AE191" s="4">
        <v>600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420</v>
      </c>
      <c r="AO191" s="4">
        <v>0</v>
      </c>
      <c r="AP191" s="4">
        <v>420</v>
      </c>
      <c r="AQ191" t="str">
        <f>VLOOKUP(N191,'[1]전체(5)'!$N:$AR,30,0)</f>
        <v>스토리위즈</v>
      </c>
      <c r="AR191" t="str">
        <f>VLOOKUP($N191,'[1]전체(5)'!$N:$AR,31,0)</f>
        <v>한례</v>
      </c>
    </row>
    <row r="192" spans="1:44" x14ac:dyDescent="0.4">
      <c r="A192" s="3" t="s">
        <v>42</v>
      </c>
      <c r="B192" s="3" t="s">
        <v>43</v>
      </c>
      <c r="C192" s="3" t="s">
        <v>44</v>
      </c>
      <c r="D192" s="3" t="s">
        <v>45</v>
      </c>
      <c r="E192" s="3"/>
      <c r="F192" s="3" t="s">
        <v>46</v>
      </c>
      <c r="G192" s="3" t="s">
        <v>47</v>
      </c>
      <c r="H192" s="3" t="s">
        <v>48</v>
      </c>
      <c r="I192" s="3" t="s">
        <v>49</v>
      </c>
      <c r="J192" s="3">
        <v>56236124</v>
      </c>
      <c r="K192" s="3" t="s">
        <v>189</v>
      </c>
      <c r="L192" s="3"/>
      <c r="M192" s="3"/>
      <c r="N192" s="3" t="s">
        <v>190</v>
      </c>
      <c r="O192" s="3" t="s">
        <v>52</v>
      </c>
      <c r="P192" s="3">
        <v>0.7</v>
      </c>
      <c r="Q192" s="3">
        <v>0.6</v>
      </c>
      <c r="R192" s="4" t="s">
        <v>53</v>
      </c>
      <c r="S192" s="4">
        <v>1900</v>
      </c>
      <c r="T192" s="4">
        <v>11500</v>
      </c>
      <c r="U192" s="4">
        <v>11700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-200</v>
      </c>
      <c r="AD192" s="4">
        <v>11500</v>
      </c>
      <c r="AE192" s="4">
        <v>11700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-200</v>
      </c>
      <c r="AN192" s="4">
        <v>8050</v>
      </c>
      <c r="AO192" s="4">
        <v>0</v>
      </c>
      <c r="AP192" s="4">
        <v>8050</v>
      </c>
      <c r="AQ192" t="str">
        <f>VLOOKUP(N192,'[1]전체(5)'!$N:$AR,30,0)</f>
        <v>스토리위즈</v>
      </c>
      <c r="AR192" t="str">
        <f>VLOOKUP($N192,'[1]전체(5)'!$N:$AR,31,0)</f>
        <v>AliceW</v>
      </c>
    </row>
    <row r="193" spans="1:44" x14ac:dyDescent="0.4">
      <c r="A193" s="3" t="s">
        <v>42</v>
      </c>
      <c r="B193" s="3" t="s">
        <v>43</v>
      </c>
      <c r="C193" s="3" t="s">
        <v>44</v>
      </c>
      <c r="D193" s="3" t="s">
        <v>45</v>
      </c>
      <c r="E193" s="3"/>
      <c r="F193" s="3" t="s">
        <v>46</v>
      </c>
      <c r="G193" s="3" t="s">
        <v>47</v>
      </c>
      <c r="H193" s="3" t="s">
        <v>48</v>
      </c>
      <c r="I193" s="3" t="s">
        <v>49</v>
      </c>
      <c r="J193" s="3">
        <v>58572729</v>
      </c>
      <c r="K193" s="3" t="s">
        <v>177</v>
      </c>
      <c r="L193" s="3"/>
      <c r="M193" s="3"/>
      <c r="N193" s="3" t="s">
        <v>178</v>
      </c>
      <c r="O193" s="3" t="s">
        <v>52</v>
      </c>
      <c r="P193" s="3">
        <v>0.7</v>
      </c>
      <c r="Q193" s="3">
        <v>0.6</v>
      </c>
      <c r="R193" s="4" t="s">
        <v>53</v>
      </c>
      <c r="S193" s="4">
        <v>3700</v>
      </c>
      <c r="T193" s="4">
        <v>25600</v>
      </c>
      <c r="U193" s="4">
        <v>17100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8500</v>
      </c>
      <c r="AD193" s="4">
        <v>25600</v>
      </c>
      <c r="AE193" s="4">
        <v>17100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8500</v>
      </c>
      <c r="AN193" s="4">
        <v>17920</v>
      </c>
      <c r="AO193" s="4">
        <v>0</v>
      </c>
      <c r="AP193" s="4">
        <v>17920</v>
      </c>
      <c r="AQ193" t="str">
        <f>VLOOKUP(N193,'[1]전체(5)'!$N:$AR,30,0)</f>
        <v>스토리위즈</v>
      </c>
      <c r="AR193" t="str">
        <f>VLOOKUP($N193,'[1]전체(5)'!$N:$AR,31,0)</f>
        <v>두나래</v>
      </c>
    </row>
    <row r="194" spans="1:44" x14ac:dyDescent="0.4">
      <c r="A194" s="3" t="s">
        <v>42</v>
      </c>
      <c r="B194" s="3" t="s">
        <v>43</v>
      </c>
      <c r="C194" s="3" t="s">
        <v>44</v>
      </c>
      <c r="D194" s="3" t="s">
        <v>45</v>
      </c>
      <c r="E194" s="3"/>
      <c r="F194" s="3" t="s">
        <v>46</v>
      </c>
      <c r="G194" s="3" t="s">
        <v>47</v>
      </c>
      <c r="H194" s="3" t="s">
        <v>48</v>
      </c>
      <c r="I194" s="3" t="s">
        <v>49</v>
      </c>
      <c r="J194" s="3">
        <v>46929860</v>
      </c>
      <c r="K194" s="3" t="s">
        <v>146</v>
      </c>
      <c r="L194" s="3"/>
      <c r="M194" s="3"/>
      <c r="N194" s="3" t="s">
        <v>70</v>
      </c>
      <c r="O194" s="3" t="s">
        <v>52</v>
      </c>
      <c r="P194" s="3">
        <v>0.7</v>
      </c>
      <c r="Q194" s="3">
        <v>0.6</v>
      </c>
      <c r="R194" s="4" t="s">
        <v>53</v>
      </c>
      <c r="S194" s="4">
        <v>9000</v>
      </c>
      <c r="T194" s="4">
        <v>135000</v>
      </c>
      <c r="U194" s="4">
        <v>100200</v>
      </c>
      <c r="V194" s="4">
        <v>0</v>
      </c>
      <c r="W194" s="4">
        <v>0</v>
      </c>
      <c r="X194" s="4">
        <v>0</v>
      </c>
      <c r="Y194" s="4">
        <v>0</v>
      </c>
      <c r="Z194" s="4">
        <v>9000</v>
      </c>
      <c r="AA194" s="4">
        <v>0</v>
      </c>
      <c r="AB194" s="4">
        <v>0</v>
      </c>
      <c r="AC194" s="4">
        <v>25800</v>
      </c>
      <c r="AD194" s="4">
        <v>135900</v>
      </c>
      <c r="AE194" s="4">
        <v>100200</v>
      </c>
      <c r="AF194" s="4">
        <v>0</v>
      </c>
      <c r="AG194" s="4">
        <v>0</v>
      </c>
      <c r="AH194" s="4">
        <v>0</v>
      </c>
      <c r="AI194" s="4">
        <v>0</v>
      </c>
      <c r="AJ194" s="4">
        <v>9900</v>
      </c>
      <c r="AK194" s="4">
        <v>0</v>
      </c>
      <c r="AL194" s="4">
        <v>0</v>
      </c>
      <c r="AM194" s="4">
        <v>25800</v>
      </c>
      <c r="AN194" s="4">
        <v>94140</v>
      </c>
      <c r="AO194" s="4">
        <v>0</v>
      </c>
      <c r="AP194" s="4">
        <v>94140</v>
      </c>
      <c r="AQ194" t="str">
        <f>VLOOKUP(N194,'[1]전체(5)'!$N:$AR,30,0)</f>
        <v>스토리위즈</v>
      </c>
      <c r="AR194" t="str">
        <f>VLOOKUP($N194,'[1]전체(5)'!$N:$AR,31,0)</f>
        <v>김정률</v>
      </c>
    </row>
    <row r="195" spans="1:44" x14ac:dyDescent="0.4">
      <c r="A195" s="3" t="s">
        <v>42</v>
      </c>
      <c r="B195" s="3" t="s">
        <v>43</v>
      </c>
      <c r="C195" s="3" t="s">
        <v>44</v>
      </c>
      <c r="D195" s="3" t="s">
        <v>45</v>
      </c>
      <c r="E195" s="3"/>
      <c r="F195" s="3" t="s">
        <v>46</v>
      </c>
      <c r="G195" s="3" t="s">
        <v>47</v>
      </c>
      <c r="H195" s="3" t="s">
        <v>48</v>
      </c>
      <c r="I195" s="3" t="s">
        <v>49</v>
      </c>
      <c r="J195" s="3">
        <v>52213219</v>
      </c>
      <c r="K195" s="3" t="s">
        <v>234</v>
      </c>
      <c r="L195" s="3"/>
      <c r="M195" s="3"/>
      <c r="N195" s="3" t="s">
        <v>235</v>
      </c>
      <c r="O195" s="3" t="s">
        <v>52</v>
      </c>
      <c r="P195" s="3">
        <v>0.7</v>
      </c>
      <c r="Q195" s="3">
        <v>0.6</v>
      </c>
      <c r="R195" s="4" t="s">
        <v>53</v>
      </c>
      <c r="S195" s="4">
        <v>6300</v>
      </c>
      <c r="T195" s="4">
        <v>3800</v>
      </c>
      <c r="U195" s="4">
        <v>6380</v>
      </c>
      <c r="V195" s="4">
        <v>0</v>
      </c>
      <c r="W195" s="4">
        <v>0</v>
      </c>
      <c r="X195" s="4">
        <v>0</v>
      </c>
      <c r="Y195" s="4">
        <v>-4000</v>
      </c>
      <c r="Z195" s="4">
        <v>0</v>
      </c>
      <c r="AA195" s="4">
        <v>0</v>
      </c>
      <c r="AB195" s="4">
        <v>0</v>
      </c>
      <c r="AC195" s="4">
        <v>1420</v>
      </c>
      <c r="AD195" s="4">
        <v>3000</v>
      </c>
      <c r="AE195" s="4">
        <v>6380</v>
      </c>
      <c r="AF195" s="4">
        <v>0</v>
      </c>
      <c r="AG195" s="4">
        <v>0</v>
      </c>
      <c r="AH195" s="4">
        <v>0</v>
      </c>
      <c r="AI195" s="4">
        <v>-4800</v>
      </c>
      <c r="AJ195" s="4">
        <v>0</v>
      </c>
      <c r="AK195" s="4">
        <v>0</v>
      </c>
      <c r="AL195" s="4">
        <v>0</v>
      </c>
      <c r="AM195" s="4">
        <v>1420</v>
      </c>
      <c r="AN195" s="4">
        <v>2580</v>
      </c>
      <c r="AO195" s="4">
        <v>0</v>
      </c>
      <c r="AP195" s="4">
        <v>2580</v>
      </c>
      <c r="AQ195" t="str">
        <f>VLOOKUP(N195,'[1]전체(5)'!$N:$AR,30,0)</f>
        <v>스토리위즈</v>
      </c>
      <c r="AR195" t="str">
        <f>VLOOKUP($N195,'[1]전체(5)'!$N:$AR,31,0)</f>
        <v>한례</v>
      </c>
    </row>
    <row r="196" spans="1:44" x14ac:dyDescent="0.4">
      <c r="A196" s="3" t="s">
        <v>42</v>
      </c>
      <c r="B196" s="3" t="s">
        <v>43</v>
      </c>
      <c r="C196" s="3" t="s">
        <v>44</v>
      </c>
      <c r="D196" s="3" t="s">
        <v>45</v>
      </c>
      <c r="E196" s="3"/>
      <c r="F196" s="3" t="s">
        <v>46</v>
      </c>
      <c r="G196" s="3" t="s">
        <v>47</v>
      </c>
      <c r="H196" s="3" t="s">
        <v>48</v>
      </c>
      <c r="I196" s="3" t="s">
        <v>49</v>
      </c>
      <c r="J196" s="3">
        <v>56236124</v>
      </c>
      <c r="K196" s="3" t="s">
        <v>189</v>
      </c>
      <c r="L196" s="3"/>
      <c r="M196" s="3"/>
      <c r="N196" s="3" t="s">
        <v>190</v>
      </c>
      <c r="O196" s="3" t="s">
        <v>52</v>
      </c>
      <c r="P196" s="3">
        <v>0.7</v>
      </c>
      <c r="Q196" s="3">
        <v>0.6</v>
      </c>
      <c r="R196" s="4" t="s">
        <v>53</v>
      </c>
      <c r="S196" s="4">
        <v>4700</v>
      </c>
      <c r="T196" s="4">
        <v>14900</v>
      </c>
      <c r="U196" s="4">
        <v>14900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14900</v>
      </c>
      <c r="AE196" s="4">
        <v>14900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10430</v>
      </c>
      <c r="AO196" s="4">
        <v>0</v>
      </c>
      <c r="AP196" s="4">
        <v>10430</v>
      </c>
      <c r="AQ196" t="str">
        <f>VLOOKUP(N196,'[1]전체(5)'!$N:$AR,30,0)</f>
        <v>스토리위즈</v>
      </c>
      <c r="AR196" t="str">
        <f>VLOOKUP($N196,'[1]전체(5)'!$N:$AR,31,0)</f>
        <v>AliceW</v>
      </c>
    </row>
    <row r="197" spans="1:44" x14ac:dyDescent="0.4">
      <c r="A197" s="3" t="s">
        <v>42</v>
      </c>
      <c r="B197" s="3" t="s">
        <v>43</v>
      </c>
      <c r="C197" s="3" t="s">
        <v>44</v>
      </c>
      <c r="D197" s="3" t="s">
        <v>45</v>
      </c>
      <c r="E197" s="3"/>
      <c r="F197" s="3" t="s">
        <v>46</v>
      </c>
      <c r="G197" s="3" t="s">
        <v>47</v>
      </c>
      <c r="H197" s="3" t="s">
        <v>48</v>
      </c>
      <c r="I197" s="3" t="s">
        <v>49</v>
      </c>
      <c r="J197" s="3">
        <v>58572729</v>
      </c>
      <c r="K197" s="3" t="s">
        <v>177</v>
      </c>
      <c r="L197" s="3"/>
      <c r="M197" s="3"/>
      <c r="N197" s="3" t="s">
        <v>178</v>
      </c>
      <c r="O197" s="3" t="s">
        <v>52</v>
      </c>
      <c r="P197" s="3">
        <v>0.7</v>
      </c>
      <c r="Q197" s="3">
        <v>0.6</v>
      </c>
      <c r="R197" s="4" t="s">
        <v>53</v>
      </c>
      <c r="S197" s="4">
        <v>7200</v>
      </c>
      <c r="T197" s="4">
        <v>41400</v>
      </c>
      <c r="U197" s="4">
        <v>36000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5400</v>
      </c>
      <c r="AD197" s="4">
        <v>41400</v>
      </c>
      <c r="AE197" s="4">
        <v>36000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5400</v>
      </c>
      <c r="AN197" s="4">
        <v>28980</v>
      </c>
      <c r="AO197" s="4">
        <v>0</v>
      </c>
      <c r="AP197" s="4">
        <v>28980</v>
      </c>
      <c r="AQ197" t="str">
        <f>VLOOKUP(N197,'[1]전체(5)'!$N:$AR,30,0)</f>
        <v>스토리위즈</v>
      </c>
      <c r="AR197" t="str">
        <f>VLOOKUP($N197,'[1]전체(5)'!$N:$AR,31,0)</f>
        <v>두나래</v>
      </c>
    </row>
    <row r="198" spans="1:44" x14ac:dyDescent="0.4">
      <c r="A198" s="3" t="s">
        <v>42</v>
      </c>
      <c r="B198" s="3" t="s">
        <v>43</v>
      </c>
      <c r="C198" s="3" t="s">
        <v>44</v>
      </c>
      <c r="D198" s="3" t="s">
        <v>45</v>
      </c>
      <c r="E198" s="3"/>
      <c r="F198" s="3" t="s">
        <v>46</v>
      </c>
      <c r="G198" s="3" t="s">
        <v>47</v>
      </c>
      <c r="H198" s="3" t="s">
        <v>48</v>
      </c>
      <c r="I198" s="3" t="s">
        <v>49</v>
      </c>
      <c r="J198" s="3">
        <v>55983703</v>
      </c>
      <c r="K198" s="3" t="s">
        <v>204</v>
      </c>
      <c r="L198" s="3"/>
      <c r="M198" s="3"/>
      <c r="N198" s="3" t="s">
        <v>70</v>
      </c>
      <c r="O198" s="3" t="s">
        <v>52</v>
      </c>
      <c r="P198" s="3">
        <v>0.7</v>
      </c>
      <c r="Q198" s="3">
        <v>0.6</v>
      </c>
      <c r="R198" s="4" t="s">
        <v>56</v>
      </c>
      <c r="S198" s="4">
        <v>3200</v>
      </c>
      <c r="T198" s="4">
        <v>246400</v>
      </c>
      <c r="U198" s="4">
        <v>120600</v>
      </c>
      <c r="V198" s="4">
        <v>0</v>
      </c>
      <c r="W198" s="4">
        <v>0</v>
      </c>
      <c r="X198" s="4">
        <v>0</v>
      </c>
      <c r="Y198" s="4">
        <v>0</v>
      </c>
      <c r="Z198" s="4">
        <v>74600</v>
      </c>
      <c r="AA198" s="4">
        <v>0</v>
      </c>
      <c r="AB198" s="4">
        <v>0</v>
      </c>
      <c r="AC198" s="4">
        <v>51200</v>
      </c>
      <c r="AD198" s="4">
        <v>253860</v>
      </c>
      <c r="AE198" s="4">
        <v>120600</v>
      </c>
      <c r="AF198" s="4">
        <v>0</v>
      </c>
      <c r="AG198" s="4">
        <v>0</v>
      </c>
      <c r="AH198" s="4">
        <v>0</v>
      </c>
      <c r="AI198" s="4">
        <v>0</v>
      </c>
      <c r="AJ198" s="4">
        <v>82060</v>
      </c>
      <c r="AK198" s="4">
        <v>0</v>
      </c>
      <c r="AL198" s="4">
        <v>0</v>
      </c>
      <c r="AM198" s="4">
        <v>51200</v>
      </c>
      <c r="AN198" s="4">
        <v>169496</v>
      </c>
      <c r="AO198" s="4">
        <v>0</v>
      </c>
      <c r="AP198" s="4">
        <v>169496</v>
      </c>
      <c r="AQ198" t="str">
        <f>VLOOKUP(N198,'[1]전체(5)'!$N:$AR,30,0)</f>
        <v>스토리위즈</v>
      </c>
      <c r="AR198" t="str">
        <f>VLOOKUP($N198,'[1]전체(5)'!$N:$AR,31,0)</f>
        <v>김정률</v>
      </c>
    </row>
    <row r="199" spans="1:44" x14ac:dyDescent="0.4">
      <c r="A199" s="3" t="s">
        <v>42</v>
      </c>
      <c r="B199" s="3" t="s">
        <v>43</v>
      </c>
      <c r="C199" s="3" t="s">
        <v>44</v>
      </c>
      <c r="D199" s="3" t="s">
        <v>45</v>
      </c>
      <c r="E199" s="3"/>
      <c r="F199" s="3" t="s">
        <v>46</v>
      </c>
      <c r="G199" s="3" t="s">
        <v>47</v>
      </c>
      <c r="H199" s="3" t="s">
        <v>48</v>
      </c>
      <c r="I199" s="3" t="s">
        <v>49</v>
      </c>
      <c r="J199" s="3">
        <v>51981614</v>
      </c>
      <c r="K199" s="3" t="s">
        <v>72</v>
      </c>
      <c r="L199" s="3"/>
      <c r="M199" s="3"/>
      <c r="N199" s="3" t="s">
        <v>73</v>
      </c>
      <c r="O199" s="3" t="s">
        <v>52</v>
      </c>
      <c r="P199" s="3">
        <v>0.7</v>
      </c>
      <c r="Q199" s="3">
        <v>0.6</v>
      </c>
      <c r="R199" s="4" t="s">
        <v>56</v>
      </c>
      <c r="S199" s="4">
        <v>100</v>
      </c>
      <c r="T199" s="4">
        <v>2500</v>
      </c>
      <c r="U199" s="4">
        <v>2200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300</v>
      </c>
      <c r="AD199" s="4">
        <v>2500</v>
      </c>
      <c r="AE199" s="4">
        <v>2200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300</v>
      </c>
      <c r="AN199" s="4">
        <v>1750</v>
      </c>
      <c r="AO199" s="4">
        <v>0</v>
      </c>
      <c r="AP199" s="4">
        <v>1750</v>
      </c>
      <c r="AQ199" t="str">
        <f>VLOOKUP(N199,'[1]전체(5)'!$N:$AR,30,0)</f>
        <v>스토리위즈</v>
      </c>
      <c r="AR199" t="str">
        <f>VLOOKUP($N199,'[1]전체(5)'!$N:$AR,31,0)</f>
        <v>스내치</v>
      </c>
    </row>
    <row r="200" spans="1:44" x14ac:dyDescent="0.4">
      <c r="A200" s="3" t="s">
        <v>42</v>
      </c>
      <c r="B200" s="3" t="s">
        <v>43</v>
      </c>
      <c r="C200" s="3" t="s">
        <v>44</v>
      </c>
      <c r="D200" s="3" t="s">
        <v>45</v>
      </c>
      <c r="E200" s="3"/>
      <c r="F200" s="3" t="s">
        <v>46</v>
      </c>
      <c r="G200" s="3" t="s">
        <v>47</v>
      </c>
      <c r="H200" s="3" t="s">
        <v>48</v>
      </c>
      <c r="I200" s="3" t="s">
        <v>49</v>
      </c>
      <c r="J200" s="3">
        <v>51981614</v>
      </c>
      <c r="K200" s="3" t="s">
        <v>72</v>
      </c>
      <c r="L200" s="3"/>
      <c r="M200" s="3"/>
      <c r="N200" s="3" t="s">
        <v>73</v>
      </c>
      <c r="O200" s="3" t="s">
        <v>52</v>
      </c>
      <c r="P200" s="3">
        <v>0.7</v>
      </c>
      <c r="Q200" s="3">
        <v>0.6</v>
      </c>
      <c r="R200" s="4" t="s">
        <v>53</v>
      </c>
      <c r="S200" s="4">
        <v>900</v>
      </c>
      <c r="T200" s="4">
        <v>500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500</v>
      </c>
      <c r="AD200" s="4">
        <v>500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500</v>
      </c>
      <c r="AN200" s="4">
        <v>350</v>
      </c>
      <c r="AO200" s="4">
        <v>0</v>
      </c>
      <c r="AP200" s="4">
        <v>350</v>
      </c>
      <c r="AQ200" t="str">
        <f>VLOOKUP(N200,'[1]전체(5)'!$N:$AR,30,0)</f>
        <v>스토리위즈</v>
      </c>
      <c r="AR200" t="str">
        <f>VLOOKUP($N200,'[1]전체(5)'!$N:$AR,31,0)</f>
        <v>스내치</v>
      </c>
    </row>
    <row r="201" spans="1:44" x14ac:dyDescent="0.4">
      <c r="A201" s="3" t="s">
        <v>42</v>
      </c>
      <c r="B201" s="3" t="s">
        <v>43</v>
      </c>
      <c r="C201" s="3" t="s">
        <v>44</v>
      </c>
      <c r="D201" s="3" t="s">
        <v>45</v>
      </c>
      <c r="E201" s="3"/>
      <c r="F201" s="3" t="s">
        <v>46</v>
      </c>
      <c r="G201" s="3" t="s">
        <v>47</v>
      </c>
      <c r="H201" s="3" t="s">
        <v>48</v>
      </c>
      <c r="I201" s="3" t="s">
        <v>49</v>
      </c>
      <c r="J201" s="3">
        <v>51981614</v>
      </c>
      <c r="K201" s="3" t="s">
        <v>72</v>
      </c>
      <c r="L201" s="3"/>
      <c r="M201" s="3"/>
      <c r="N201" s="3" t="s">
        <v>73</v>
      </c>
      <c r="O201" s="3" t="s">
        <v>52</v>
      </c>
      <c r="P201" s="3">
        <v>0.7</v>
      </c>
      <c r="Q201" s="3">
        <v>0.6</v>
      </c>
      <c r="R201" s="4" t="s">
        <v>53</v>
      </c>
      <c r="S201" s="4">
        <v>2700</v>
      </c>
      <c r="T201" s="4">
        <v>2700</v>
      </c>
      <c r="U201" s="4">
        <v>2700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2700</v>
      </c>
      <c r="AE201" s="4">
        <v>2700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1890</v>
      </c>
      <c r="AO201" s="4">
        <v>0</v>
      </c>
      <c r="AP201" s="4">
        <v>1890</v>
      </c>
      <c r="AQ201" t="str">
        <f>VLOOKUP(N201,'[1]전체(5)'!$N:$AR,30,0)</f>
        <v>스토리위즈</v>
      </c>
      <c r="AR201" t="str">
        <f>VLOOKUP($N201,'[1]전체(5)'!$N:$AR,31,0)</f>
        <v>스내치</v>
      </c>
    </row>
    <row r="202" spans="1:44" x14ac:dyDescent="0.4">
      <c r="A202" s="3" t="s">
        <v>42</v>
      </c>
      <c r="B202" s="3" t="s">
        <v>43</v>
      </c>
      <c r="C202" s="3" t="s">
        <v>44</v>
      </c>
      <c r="D202" s="3" t="s">
        <v>45</v>
      </c>
      <c r="E202" s="3"/>
      <c r="F202" s="3" t="s">
        <v>46</v>
      </c>
      <c r="G202" s="3" t="s">
        <v>47</v>
      </c>
      <c r="H202" s="3" t="s">
        <v>48</v>
      </c>
      <c r="I202" s="3" t="s">
        <v>49</v>
      </c>
      <c r="J202" s="3">
        <v>59386753</v>
      </c>
      <c r="K202" s="3" t="s">
        <v>263</v>
      </c>
      <c r="L202" s="3"/>
      <c r="M202" s="3"/>
      <c r="N202" s="3" t="s">
        <v>264</v>
      </c>
      <c r="O202" s="3" t="s">
        <v>52</v>
      </c>
      <c r="P202" s="3">
        <v>0.7</v>
      </c>
      <c r="Q202" s="3">
        <v>0.6</v>
      </c>
      <c r="R202" s="4" t="s">
        <v>56</v>
      </c>
      <c r="S202" s="4">
        <v>100</v>
      </c>
      <c r="T202" s="4">
        <v>126600</v>
      </c>
      <c r="U202" s="4">
        <v>93580</v>
      </c>
      <c r="V202" s="4">
        <v>0</v>
      </c>
      <c r="W202" s="4">
        <v>0</v>
      </c>
      <c r="X202" s="4">
        <v>0</v>
      </c>
      <c r="Y202" s="4">
        <v>5120</v>
      </c>
      <c r="Z202" s="4">
        <v>1580</v>
      </c>
      <c r="AA202" s="4">
        <v>0</v>
      </c>
      <c r="AB202" s="4">
        <v>0</v>
      </c>
      <c r="AC202" s="4">
        <v>26320</v>
      </c>
      <c r="AD202" s="4">
        <v>127782</v>
      </c>
      <c r="AE202" s="4">
        <v>93580</v>
      </c>
      <c r="AF202" s="4">
        <v>0</v>
      </c>
      <c r="AG202" s="4">
        <v>0</v>
      </c>
      <c r="AH202" s="4">
        <v>0</v>
      </c>
      <c r="AI202" s="4">
        <v>6144</v>
      </c>
      <c r="AJ202" s="4">
        <v>1738</v>
      </c>
      <c r="AK202" s="4">
        <v>0</v>
      </c>
      <c r="AL202" s="4">
        <v>0</v>
      </c>
      <c r="AM202" s="4">
        <v>26320</v>
      </c>
      <c r="AN202" s="4">
        <v>88659</v>
      </c>
      <c r="AO202" s="4">
        <v>0</v>
      </c>
      <c r="AP202" s="4">
        <v>88659</v>
      </c>
      <c r="AQ202" t="str">
        <f>VLOOKUP(N202,'[1]전체(5)'!$N:$AR,30,0)</f>
        <v>스토리위즈</v>
      </c>
      <c r="AR202" t="str">
        <f>VLOOKUP($N202,'[1]전체(5)'!$N:$AR,31,0)</f>
        <v>백열음</v>
      </c>
    </row>
    <row r="203" spans="1:44" x14ac:dyDescent="0.4">
      <c r="A203" s="3" t="s">
        <v>42</v>
      </c>
      <c r="B203" s="3" t="s">
        <v>43</v>
      </c>
      <c r="C203" s="3" t="s">
        <v>44</v>
      </c>
      <c r="D203" s="3" t="s">
        <v>45</v>
      </c>
      <c r="E203" s="3"/>
      <c r="F203" s="3" t="s">
        <v>46</v>
      </c>
      <c r="G203" s="3" t="s">
        <v>47</v>
      </c>
      <c r="H203" s="3" t="s">
        <v>48</v>
      </c>
      <c r="I203" s="3" t="s">
        <v>49</v>
      </c>
      <c r="J203" s="3">
        <v>59386753</v>
      </c>
      <c r="K203" s="3" t="s">
        <v>263</v>
      </c>
      <c r="L203" s="3"/>
      <c r="M203" s="3"/>
      <c r="N203" s="3" t="s">
        <v>264</v>
      </c>
      <c r="O203" s="3" t="s">
        <v>52</v>
      </c>
      <c r="P203" s="3">
        <v>0.7</v>
      </c>
      <c r="Q203" s="3">
        <v>0.6</v>
      </c>
      <c r="R203" s="4" t="s">
        <v>53</v>
      </c>
      <c r="S203" s="4">
        <v>1900</v>
      </c>
      <c r="T203" s="4">
        <v>98300</v>
      </c>
      <c r="U203" s="4">
        <v>85600</v>
      </c>
      <c r="V203" s="4">
        <v>0</v>
      </c>
      <c r="W203" s="4">
        <v>0</v>
      </c>
      <c r="X203" s="4">
        <v>0</v>
      </c>
      <c r="Y203" s="4">
        <v>1900</v>
      </c>
      <c r="Z203" s="4">
        <v>0</v>
      </c>
      <c r="AA203" s="4">
        <v>0</v>
      </c>
      <c r="AB203" s="4">
        <v>0</v>
      </c>
      <c r="AC203" s="4">
        <v>10800</v>
      </c>
      <c r="AD203" s="4">
        <v>98680</v>
      </c>
      <c r="AE203" s="4">
        <v>85600</v>
      </c>
      <c r="AF203" s="4">
        <v>0</v>
      </c>
      <c r="AG203" s="4">
        <v>0</v>
      </c>
      <c r="AH203" s="4">
        <v>0</v>
      </c>
      <c r="AI203" s="4">
        <v>2280</v>
      </c>
      <c r="AJ203" s="4">
        <v>0</v>
      </c>
      <c r="AK203" s="4">
        <v>0</v>
      </c>
      <c r="AL203" s="4">
        <v>0</v>
      </c>
      <c r="AM203" s="4">
        <v>10800</v>
      </c>
      <c r="AN203" s="4">
        <v>68848</v>
      </c>
      <c r="AO203" s="4">
        <v>0</v>
      </c>
      <c r="AP203" s="4">
        <v>68848</v>
      </c>
      <c r="AQ203" t="str">
        <f>VLOOKUP(N203,'[1]전체(5)'!$N:$AR,30,0)</f>
        <v>스토리위즈</v>
      </c>
      <c r="AR203" t="str">
        <f>VLOOKUP($N203,'[1]전체(5)'!$N:$AR,31,0)</f>
        <v>백열음</v>
      </c>
    </row>
    <row r="204" spans="1:44" x14ac:dyDescent="0.4">
      <c r="A204" s="3" t="s">
        <v>42</v>
      </c>
      <c r="B204" s="3" t="s">
        <v>43</v>
      </c>
      <c r="C204" s="3" t="s">
        <v>44</v>
      </c>
      <c r="D204" s="3" t="s">
        <v>45</v>
      </c>
      <c r="E204" s="3"/>
      <c r="F204" s="3" t="s">
        <v>46</v>
      </c>
      <c r="G204" s="3" t="s">
        <v>47</v>
      </c>
      <c r="H204" s="3" t="s">
        <v>48</v>
      </c>
      <c r="I204" s="3" t="s">
        <v>49</v>
      </c>
      <c r="J204" s="3">
        <v>56673870</v>
      </c>
      <c r="K204" s="3" t="s">
        <v>211</v>
      </c>
      <c r="L204" s="3"/>
      <c r="M204" s="3"/>
      <c r="N204" s="3" t="s">
        <v>76</v>
      </c>
      <c r="O204" s="3" t="s">
        <v>52</v>
      </c>
      <c r="P204" s="3">
        <v>0.7</v>
      </c>
      <c r="Q204" s="3">
        <v>0.6</v>
      </c>
      <c r="R204" s="4" t="s">
        <v>56</v>
      </c>
      <c r="S204" s="4">
        <v>100</v>
      </c>
      <c r="T204" s="4">
        <v>13200</v>
      </c>
      <c r="U204" s="4">
        <v>4500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8700</v>
      </c>
      <c r="AD204" s="4">
        <v>13200</v>
      </c>
      <c r="AE204" s="4">
        <v>4500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8700</v>
      </c>
      <c r="AN204" s="4">
        <v>9240</v>
      </c>
      <c r="AO204" s="4">
        <v>0</v>
      </c>
      <c r="AP204" s="4">
        <v>9240</v>
      </c>
      <c r="AQ204" t="str">
        <f>VLOOKUP(N204,'[1]전체(5)'!$N:$AR,30,0)</f>
        <v>스토리위즈</v>
      </c>
      <c r="AR204" t="str">
        <f>VLOOKUP($N204,'[1]전체(5)'!$N:$AR,31,0)</f>
        <v>블랙커피</v>
      </c>
    </row>
    <row r="205" spans="1:44" x14ac:dyDescent="0.4">
      <c r="A205" s="3" t="s">
        <v>42</v>
      </c>
      <c r="B205" s="3" t="s">
        <v>43</v>
      </c>
      <c r="C205" s="3" t="s">
        <v>44</v>
      </c>
      <c r="D205" s="3" t="s">
        <v>45</v>
      </c>
      <c r="E205" s="3"/>
      <c r="F205" s="3" t="s">
        <v>46</v>
      </c>
      <c r="G205" s="3" t="s">
        <v>47</v>
      </c>
      <c r="H205" s="3" t="s">
        <v>48</v>
      </c>
      <c r="I205" s="3" t="s">
        <v>49</v>
      </c>
      <c r="J205" s="3">
        <v>59386753</v>
      </c>
      <c r="K205" s="3" t="s">
        <v>263</v>
      </c>
      <c r="L205" s="3"/>
      <c r="M205" s="3"/>
      <c r="N205" s="3" t="s">
        <v>264</v>
      </c>
      <c r="O205" s="3" t="s">
        <v>52</v>
      </c>
      <c r="P205" s="3">
        <v>0.7</v>
      </c>
      <c r="Q205" s="3">
        <v>0.6</v>
      </c>
      <c r="R205" s="4" t="s">
        <v>53</v>
      </c>
      <c r="S205" s="4">
        <v>4700</v>
      </c>
      <c r="T205" s="4">
        <v>67100</v>
      </c>
      <c r="U205" s="4">
        <v>49500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17600</v>
      </c>
      <c r="AD205" s="4">
        <v>67100</v>
      </c>
      <c r="AE205" s="4">
        <v>49500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17600</v>
      </c>
      <c r="AN205" s="4">
        <v>46970</v>
      </c>
      <c r="AO205" s="4">
        <v>0</v>
      </c>
      <c r="AP205" s="4">
        <v>46970</v>
      </c>
      <c r="AQ205" t="str">
        <f>VLOOKUP(N205,'[1]전체(5)'!$N:$AR,30,0)</f>
        <v>스토리위즈</v>
      </c>
      <c r="AR205" t="str">
        <f>VLOOKUP($N205,'[1]전체(5)'!$N:$AR,31,0)</f>
        <v>백열음</v>
      </c>
    </row>
    <row r="206" spans="1:44" x14ac:dyDescent="0.4">
      <c r="A206" s="3" t="s">
        <v>42</v>
      </c>
      <c r="B206" s="3" t="s">
        <v>43</v>
      </c>
      <c r="C206" s="3" t="s">
        <v>44</v>
      </c>
      <c r="D206" s="3" t="s">
        <v>45</v>
      </c>
      <c r="E206" s="3"/>
      <c r="F206" s="3" t="s">
        <v>46</v>
      </c>
      <c r="G206" s="3" t="s">
        <v>47</v>
      </c>
      <c r="H206" s="3" t="s">
        <v>48</v>
      </c>
      <c r="I206" s="3" t="s">
        <v>49</v>
      </c>
      <c r="J206" s="3">
        <v>56241498</v>
      </c>
      <c r="K206" s="3" t="s">
        <v>205</v>
      </c>
      <c r="L206" s="3"/>
      <c r="M206" s="3"/>
      <c r="N206" s="3" t="s">
        <v>62</v>
      </c>
      <c r="O206" s="3" t="s">
        <v>52</v>
      </c>
      <c r="P206" s="3">
        <v>0.7</v>
      </c>
      <c r="Q206" s="3">
        <v>0.6</v>
      </c>
      <c r="R206" s="4" t="s">
        <v>56</v>
      </c>
      <c r="S206" s="4">
        <v>100</v>
      </c>
      <c r="T206" s="4">
        <v>21600</v>
      </c>
      <c r="U206" s="4">
        <v>16700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4900</v>
      </c>
      <c r="AD206" s="4">
        <v>21600</v>
      </c>
      <c r="AE206" s="4">
        <v>16700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4900</v>
      </c>
      <c r="AN206" s="4">
        <v>15120</v>
      </c>
      <c r="AO206" s="4">
        <v>0</v>
      </c>
      <c r="AP206" s="4">
        <v>15120</v>
      </c>
      <c r="AQ206" t="str">
        <f>VLOOKUP(N206,'[1]전체(5)'!$N:$AR,30,0)</f>
        <v>스토리위즈</v>
      </c>
      <c r="AR206" t="str">
        <f>VLOOKUP($N206,'[1]전체(5)'!$N:$AR,31,0)</f>
        <v>블 루 스 카 이</v>
      </c>
    </row>
    <row r="207" spans="1:44" x14ac:dyDescent="0.4">
      <c r="A207" s="3" t="s">
        <v>42</v>
      </c>
      <c r="B207" s="3" t="s">
        <v>43</v>
      </c>
      <c r="C207" s="3" t="s">
        <v>44</v>
      </c>
      <c r="D207" s="3" t="s">
        <v>45</v>
      </c>
      <c r="E207" s="3"/>
      <c r="F207" s="3" t="s">
        <v>46</v>
      </c>
      <c r="G207" s="3" t="s">
        <v>47</v>
      </c>
      <c r="H207" s="3" t="s">
        <v>48</v>
      </c>
      <c r="I207" s="3" t="s">
        <v>49</v>
      </c>
      <c r="J207" s="3">
        <v>56673870</v>
      </c>
      <c r="K207" s="3" t="s">
        <v>211</v>
      </c>
      <c r="L207" s="3"/>
      <c r="M207" s="3"/>
      <c r="N207" s="3" t="s">
        <v>76</v>
      </c>
      <c r="O207" s="3" t="s">
        <v>52</v>
      </c>
      <c r="P207" s="3">
        <v>0.7</v>
      </c>
      <c r="Q207" s="3">
        <v>0.6</v>
      </c>
      <c r="R207" s="4" t="s">
        <v>53</v>
      </c>
      <c r="S207" s="4">
        <v>900</v>
      </c>
      <c r="T207" s="4">
        <v>5400</v>
      </c>
      <c r="U207" s="4">
        <v>3600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1800</v>
      </c>
      <c r="AD207" s="4">
        <v>5400</v>
      </c>
      <c r="AE207" s="4">
        <v>3600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1800</v>
      </c>
      <c r="AN207" s="4">
        <v>3780</v>
      </c>
      <c r="AO207" s="4">
        <v>0</v>
      </c>
      <c r="AP207" s="4">
        <v>3780</v>
      </c>
      <c r="AQ207" t="str">
        <f>VLOOKUP(N207,'[1]전체(5)'!$N:$AR,30,0)</f>
        <v>스토리위즈</v>
      </c>
      <c r="AR207" t="str">
        <f>VLOOKUP($N207,'[1]전체(5)'!$N:$AR,31,0)</f>
        <v>블랙커피</v>
      </c>
    </row>
    <row r="208" spans="1:44" x14ac:dyDescent="0.4">
      <c r="A208" s="3" t="s">
        <v>42</v>
      </c>
      <c r="B208" s="3" t="s">
        <v>43</v>
      </c>
      <c r="C208" s="3" t="s">
        <v>44</v>
      </c>
      <c r="D208" s="3" t="s">
        <v>45</v>
      </c>
      <c r="E208" s="3"/>
      <c r="F208" s="3" t="s">
        <v>46</v>
      </c>
      <c r="G208" s="3" t="s">
        <v>47</v>
      </c>
      <c r="H208" s="3" t="s">
        <v>48</v>
      </c>
      <c r="I208" s="3" t="s">
        <v>49</v>
      </c>
      <c r="J208" s="3">
        <v>59386753</v>
      </c>
      <c r="K208" s="3" t="s">
        <v>263</v>
      </c>
      <c r="L208" s="3"/>
      <c r="M208" s="3"/>
      <c r="N208" s="3" t="s">
        <v>264</v>
      </c>
      <c r="O208" s="3" t="s">
        <v>52</v>
      </c>
      <c r="P208" s="3">
        <v>0.7</v>
      </c>
      <c r="Q208" s="3">
        <v>0.6</v>
      </c>
      <c r="R208" s="4" t="s">
        <v>53</v>
      </c>
      <c r="S208" s="4">
        <v>9200</v>
      </c>
      <c r="T208" s="4">
        <v>46200</v>
      </c>
      <c r="U208" s="4">
        <v>43500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2700</v>
      </c>
      <c r="AD208" s="4">
        <v>46200</v>
      </c>
      <c r="AE208" s="4">
        <v>43500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2700</v>
      </c>
      <c r="AN208" s="4">
        <v>32340</v>
      </c>
      <c r="AO208" s="4">
        <v>0</v>
      </c>
      <c r="AP208" s="4">
        <v>32340</v>
      </c>
      <c r="AQ208" t="str">
        <f>VLOOKUP(N208,'[1]전체(5)'!$N:$AR,30,0)</f>
        <v>스토리위즈</v>
      </c>
      <c r="AR208" t="str">
        <f>VLOOKUP($N208,'[1]전체(5)'!$N:$AR,31,0)</f>
        <v>백열음</v>
      </c>
    </row>
    <row r="209" spans="1:44" x14ac:dyDescent="0.4">
      <c r="A209" s="3" t="s">
        <v>42</v>
      </c>
      <c r="B209" s="3" t="s">
        <v>43</v>
      </c>
      <c r="C209" s="3" t="s">
        <v>44</v>
      </c>
      <c r="D209" s="3" t="s">
        <v>45</v>
      </c>
      <c r="E209" s="3"/>
      <c r="F209" s="3" t="s">
        <v>46</v>
      </c>
      <c r="G209" s="3" t="s">
        <v>47</v>
      </c>
      <c r="H209" s="3" t="s">
        <v>48</v>
      </c>
      <c r="I209" s="3" t="s">
        <v>49</v>
      </c>
      <c r="J209" s="3">
        <v>56241498</v>
      </c>
      <c r="K209" s="3" t="s">
        <v>205</v>
      </c>
      <c r="L209" s="3"/>
      <c r="M209" s="3"/>
      <c r="N209" s="3" t="s">
        <v>62</v>
      </c>
      <c r="O209" s="3" t="s">
        <v>52</v>
      </c>
      <c r="P209" s="3">
        <v>0.7</v>
      </c>
      <c r="Q209" s="3">
        <v>0.6</v>
      </c>
      <c r="R209" s="4" t="s">
        <v>53</v>
      </c>
      <c r="S209" s="4">
        <v>900</v>
      </c>
      <c r="T209" s="4">
        <v>9100</v>
      </c>
      <c r="U209" s="4">
        <v>8100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1000</v>
      </c>
      <c r="AD209" s="4">
        <v>9100</v>
      </c>
      <c r="AE209" s="4">
        <v>8100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1000</v>
      </c>
      <c r="AN209" s="4">
        <v>6370</v>
      </c>
      <c r="AO209" s="4">
        <v>0</v>
      </c>
      <c r="AP209" s="4">
        <v>6370</v>
      </c>
      <c r="AQ209" t="str">
        <f>VLOOKUP(N209,'[1]전체(5)'!$N:$AR,30,0)</f>
        <v>스토리위즈</v>
      </c>
      <c r="AR209" t="str">
        <f>VLOOKUP($N209,'[1]전체(5)'!$N:$AR,31,0)</f>
        <v>블 루 스 카 이</v>
      </c>
    </row>
    <row r="210" spans="1:44" x14ac:dyDescent="0.4">
      <c r="A210" s="3" t="s">
        <v>42</v>
      </c>
      <c r="B210" s="3" t="s">
        <v>43</v>
      </c>
      <c r="C210" s="3" t="s">
        <v>44</v>
      </c>
      <c r="D210" s="3" t="s">
        <v>45</v>
      </c>
      <c r="E210" s="3"/>
      <c r="F210" s="3" t="s">
        <v>46</v>
      </c>
      <c r="G210" s="3" t="s">
        <v>47</v>
      </c>
      <c r="H210" s="3" t="s">
        <v>48</v>
      </c>
      <c r="I210" s="3" t="s">
        <v>49</v>
      </c>
      <c r="J210" s="3">
        <v>48649629</v>
      </c>
      <c r="K210" s="3" t="s">
        <v>98</v>
      </c>
      <c r="L210" s="3"/>
      <c r="M210" s="3"/>
      <c r="N210" s="3" t="s">
        <v>87</v>
      </c>
      <c r="O210" s="3" t="s">
        <v>52</v>
      </c>
      <c r="P210" s="3">
        <v>0.7</v>
      </c>
      <c r="Q210" s="3">
        <v>0.6</v>
      </c>
      <c r="R210" s="4" t="s">
        <v>56</v>
      </c>
      <c r="S210" s="4">
        <v>100</v>
      </c>
      <c r="T210" s="4">
        <v>1900</v>
      </c>
      <c r="U210" s="4">
        <v>1000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900</v>
      </c>
      <c r="AD210" s="4">
        <v>1900</v>
      </c>
      <c r="AE210" s="4">
        <v>1000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900</v>
      </c>
      <c r="AN210" s="4">
        <v>1330</v>
      </c>
      <c r="AO210" s="4">
        <v>0</v>
      </c>
      <c r="AP210" s="4">
        <v>1330</v>
      </c>
      <c r="AQ210" t="str">
        <f>VLOOKUP(N210,'[1]전체(5)'!$N:$AR,30,0)</f>
        <v>스토리위즈</v>
      </c>
      <c r="AR210" t="str">
        <f>VLOOKUP($N210,'[1]전체(5)'!$N:$AR,31,0)</f>
        <v>권용찬</v>
      </c>
    </row>
    <row r="211" spans="1:44" x14ac:dyDescent="0.4">
      <c r="A211" s="3" t="s">
        <v>42</v>
      </c>
      <c r="B211" s="3" t="s">
        <v>43</v>
      </c>
      <c r="C211" s="3" t="s">
        <v>44</v>
      </c>
      <c r="D211" s="3" t="s">
        <v>45</v>
      </c>
      <c r="E211" s="3"/>
      <c r="F211" s="3" t="s">
        <v>46</v>
      </c>
      <c r="G211" s="3" t="s">
        <v>47</v>
      </c>
      <c r="H211" s="3" t="s">
        <v>48</v>
      </c>
      <c r="I211" s="3" t="s">
        <v>49</v>
      </c>
      <c r="J211" s="3">
        <v>56241498</v>
      </c>
      <c r="K211" s="3" t="s">
        <v>205</v>
      </c>
      <c r="L211" s="3"/>
      <c r="M211" s="3"/>
      <c r="N211" s="3" t="s">
        <v>62</v>
      </c>
      <c r="O211" s="3" t="s">
        <v>52</v>
      </c>
      <c r="P211" s="3">
        <v>0.7</v>
      </c>
      <c r="Q211" s="3">
        <v>0.6</v>
      </c>
      <c r="R211" s="4" t="s">
        <v>53</v>
      </c>
      <c r="S211" s="4">
        <v>2700</v>
      </c>
      <c r="T211" s="4">
        <v>16300</v>
      </c>
      <c r="U211" s="4">
        <v>15800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500</v>
      </c>
      <c r="AD211" s="4">
        <v>16300</v>
      </c>
      <c r="AE211" s="4">
        <v>15800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500</v>
      </c>
      <c r="AN211" s="4">
        <v>11410</v>
      </c>
      <c r="AO211" s="4">
        <v>0</v>
      </c>
      <c r="AP211" s="4">
        <v>11410</v>
      </c>
      <c r="AQ211" t="str">
        <f>VLOOKUP(N211,'[1]전체(5)'!$N:$AR,30,0)</f>
        <v>스토리위즈</v>
      </c>
      <c r="AR211" t="str">
        <f>VLOOKUP($N211,'[1]전체(5)'!$N:$AR,31,0)</f>
        <v>블 루 스 카 이</v>
      </c>
    </row>
    <row r="212" spans="1:44" x14ac:dyDescent="0.4">
      <c r="A212" s="3" t="s">
        <v>42</v>
      </c>
      <c r="B212" s="3" t="s">
        <v>43</v>
      </c>
      <c r="C212" s="3" t="s">
        <v>44</v>
      </c>
      <c r="D212" s="3" t="s">
        <v>45</v>
      </c>
      <c r="E212" s="3"/>
      <c r="F212" s="3" t="s">
        <v>46</v>
      </c>
      <c r="G212" s="3" t="s">
        <v>47</v>
      </c>
      <c r="H212" s="3" t="s">
        <v>48</v>
      </c>
      <c r="I212" s="3" t="s">
        <v>49</v>
      </c>
      <c r="J212" s="3">
        <v>56241498</v>
      </c>
      <c r="K212" s="3" t="s">
        <v>205</v>
      </c>
      <c r="L212" s="3"/>
      <c r="M212" s="3"/>
      <c r="N212" s="3" t="s">
        <v>62</v>
      </c>
      <c r="O212" s="3" t="s">
        <v>52</v>
      </c>
      <c r="P212" s="3">
        <v>0.7</v>
      </c>
      <c r="Q212" s="3">
        <v>0.6</v>
      </c>
      <c r="R212" s="4" t="s">
        <v>53</v>
      </c>
      <c r="S212" s="4">
        <v>4500</v>
      </c>
      <c r="T212" s="4">
        <v>13500</v>
      </c>
      <c r="U212" s="4">
        <v>13500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13500</v>
      </c>
      <c r="AE212" s="4">
        <v>13500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9450</v>
      </c>
      <c r="AO212" s="4">
        <v>0</v>
      </c>
      <c r="AP212" s="4">
        <v>9450</v>
      </c>
      <c r="AQ212" t="str">
        <f>VLOOKUP(N212,'[1]전체(5)'!$N:$AR,30,0)</f>
        <v>스토리위즈</v>
      </c>
      <c r="AR212" t="str">
        <f>VLOOKUP($N212,'[1]전체(5)'!$N:$AR,31,0)</f>
        <v>블 루 스 카 이</v>
      </c>
    </row>
    <row r="213" spans="1:44" x14ac:dyDescent="0.4">
      <c r="A213" s="3" t="s">
        <v>42</v>
      </c>
      <c r="B213" s="3" t="s">
        <v>43</v>
      </c>
      <c r="C213" s="3" t="s">
        <v>44</v>
      </c>
      <c r="D213" s="3" t="s">
        <v>45</v>
      </c>
      <c r="E213" s="3"/>
      <c r="F213" s="3" t="s">
        <v>46</v>
      </c>
      <c r="G213" s="3" t="s">
        <v>47</v>
      </c>
      <c r="H213" s="3" t="s">
        <v>48</v>
      </c>
      <c r="I213" s="3" t="s">
        <v>49</v>
      </c>
      <c r="J213" s="3">
        <v>57616573</v>
      </c>
      <c r="K213" s="3" t="s">
        <v>265</v>
      </c>
      <c r="L213" s="3"/>
      <c r="M213" s="3"/>
      <c r="N213" s="3" t="s">
        <v>102</v>
      </c>
      <c r="O213" s="3" t="s">
        <v>52</v>
      </c>
      <c r="P213" s="3">
        <v>0.7</v>
      </c>
      <c r="Q213" s="3">
        <v>0.6</v>
      </c>
      <c r="R213" s="4" t="s">
        <v>56</v>
      </c>
      <c r="S213" s="4">
        <v>2000</v>
      </c>
      <c r="T213" s="4">
        <v>4000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4000</v>
      </c>
      <c r="AD213" s="4">
        <v>4000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4000</v>
      </c>
      <c r="AN213" s="4">
        <v>2800</v>
      </c>
      <c r="AO213" s="4">
        <v>0</v>
      </c>
      <c r="AP213" s="4">
        <v>2800</v>
      </c>
      <c r="AQ213" t="str">
        <f>VLOOKUP(N213,'[1]전체(5)'!$N:$AR,30,0)</f>
        <v>스토리위즈</v>
      </c>
      <c r="AR213" t="str">
        <f>VLOOKUP($N213,'[1]전체(5)'!$N:$AR,31,0)</f>
        <v>먼나무</v>
      </c>
    </row>
    <row r="214" spans="1:44" x14ac:dyDescent="0.4">
      <c r="A214" s="3" t="s">
        <v>42</v>
      </c>
      <c r="B214" s="3" t="s">
        <v>43</v>
      </c>
      <c r="C214" s="3" t="s">
        <v>44</v>
      </c>
      <c r="D214" s="3" t="s">
        <v>45</v>
      </c>
      <c r="E214" s="3"/>
      <c r="F214" s="3" t="s">
        <v>46</v>
      </c>
      <c r="G214" s="3" t="s">
        <v>47</v>
      </c>
      <c r="H214" s="3" t="s">
        <v>48</v>
      </c>
      <c r="I214" s="3" t="s">
        <v>49</v>
      </c>
      <c r="J214" s="3">
        <v>55016659</v>
      </c>
      <c r="K214" s="3" t="s">
        <v>199</v>
      </c>
      <c r="L214" s="3"/>
      <c r="M214" s="3"/>
      <c r="N214" s="3" t="s">
        <v>200</v>
      </c>
      <c r="O214" s="3" t="s">
        <v>52</v>
      </c>
      <c r="P214" s="3">
        <v>0.7</v>
      </c>
      <c r="Q214" s="3">
        <v>0.6</v>
      </c>
      <c r="R214" s="4" t="s">
        <v>53</v>
      </c>
      <c r="S214" s="4">
        <v>900</v>
      </c>
      <c r="T214" s="4">
        <v>900</v>
      </c>
      <c r="U214" s="4">
        <v>900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900</v>
      </c>
      <c r="AE214" s="4">
        <v>900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630</v>
      </c>
      <c r="AO214" s="4">
        <v>0</v>
      </c>
      <c r="AP214" s="4">
        <v>630</v>
      </c>
      <c r="AQ214" t="str">
        <f>VLOOKUP(N214,'[1]전체(5)'!$N:$AR,30,0)</f>
        <v>스토리위즈</v>
      </c>
      <c r="AR214" t="str">
        <f>VLOOKUP($N214,'[1]전체(5)'!$N:$AR,31,0)</f>
        <v>테레자</v>
      </c>
    </row>
    <row r="215" spans="1:44" x14ac:dyDescent="0.4">
      <c r="A215" s="3" t="s">
        <v>42</v>
      </c>
      <c r="B215" s="3" t="s">
        <v>43</v>
      </c>
      <c r="C215" s="3" t="s">
        <v>44</v>
      </c>
      <c r="D215" s="3" t="s">
        <v>45</v>
      </c>
      <c r="E215" s="3"/>
      <c r="F215" s="3" t="s">
        <v>46</v>
      </c>
      <c r="G215" s="3" t="s">
        <v>47</v>
      </c>
      <c r="H215" s="3" t="s">
        <v>48</v>
      </c>
      <c r="I215" s="3" t="s">
        <v>49</v>
      </c>
      <c r="J215" s="3">
        <v>55016659</v>
      </c>
      <c r="K215" s="3" t="s">
        <v>199</v>
      </c>
      <c r="L215" s="3"/>
      <c r="M215" s="3"/>
      <c r="N215" s="3" t="s">
        <v>200</v>
      </c>
      <c r="O215" s="3" t="s">
        <v>52</v>
      </c>
      <c r="P215" s="3">
        <v>0.7</v>
      </c>
      <c r="Q215" s="3">
        <v>0.6</v>
      </c>
      <c r="R215" s="4" t="s">
        <v>53</v>
      </c>
      <c r="S215" s="4">
        <v>2700</v>
      </c>
      <c r="T215" s="4">
        <v>2700</v>
      </c>
      <c r="U215" s="4">
        <v>2700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2700</v>
      </c>
      <c r="AE215" s="4">
        <v>2700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1890</v>
      </c>
      <c r="AO215" s="4">
        <v>0</v>
      </c>
      <c r="AP215" s="4">
        <v>1890</v>
      </c>
      <c r="AQ215" t="str">
        <f>VLOOKUP(N215,'[1]전체(5)'!$N:$AR,30,0)</f>
        <v>스토리위즈</v>
      </c>
      <c r="AR215" t="str">
        <f>VLOOKUP($N215,'[1]전체(5)'!$N:$AR,31,0)</f>
        <v>테레자</v>
      </c>
    </row>
    <row r="216" spans="1:44" x14ac:dyDescent="0.4">
      <c r="A216" s="3" t="s">
        <v>42</v>
      </c>
      <c r="B216" s="3" t="s">
        <v>43</v>
      </c>
      <c r="C216" s="3" t="s">
        <v>44</v>
      </c>
      <c r="D216" s="3" t="s">
        <v>45</v>
      </c>
      <c r="E216" s="3"/>
      <c r="F216" s="3" t="s">
        <v>46</v>
      </c>
      <c r="G216" s="3" t="s">
        <v>47</v>
      </c>
      <c r="H216" s="3" t="s">
        <v>48</v>
      </c>
      <c r="I216" s="3" t="s">
        <v>49</v>
      </c>
      <c r="J216" s="3">
        <v>55288098</v>
      </c>
      <c r="K216" s="3" t="s">
        <v>193</v>
      </c>
      <c r="L216" s="3"/>
      <c r="M216" s="3"/>
      <c r="N216" s="3" t="s">
        <v>73</v>
      </c>
      <c r="O216" s="3" t="s">
        <v>52</v>
      </c>
      <c r="P216" s="3">
        <v>0.7</v>
      </c>
      <c r="Q216" s="3">
        <v>0.6</v>
      </c>
      <c r="R216" s="4" t="s">
        <v>56</v>
      </c>
      <c r="S216" s="4">
        <v>100</v>
      </c>
      <c r="T216" s="4">
        <v>2200</v>
      </c>
      <c r="U216" s="4">
        <v>1600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600</v>
      </c>
      <c r="AD216" s="4">
        <v>2200</v>
      </c>
      <c r="AE216" s="4">
        <v>1600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600</v>
      </c>
      <c r="AN216" s="4">
        <v>1540</v>
      </c>
      <c r="AO216" s="4">
        <v>0</v>
      </c>
      <c r="AP216" s="4">
        <v>1540</v>
      </c>
      <c r="AQ216" t="str">
        <f>VLOOKUP(N216,'[1]전체(5)'!$N:$AR,30,0)</f>
        <v>스토리위즈</v>
      </c>
      <c r="AR216" t="str">
        <f>VLOOKUP($N216,'[1]전체(5)'!$N:$AR,31,0)</f>
        <v>스내치</v>
      </c>
    </row>
    <row r="217" spans="1:44" x14ac:dyDescent="0.4">
      <c r="A217" s="3" t="s">
        <v>42</v>
      </c>
      <c r="B217" s="3" t="s">
        <v>43</v>
      </c>
      <c r="C217" s="3" t="s">
        <v>44</v>
      </c>
      <c r="D217" s="3" t="s">
        <v>45</v>
      </c>
      <c r="E217" s="3"/>
      <c r="F217" s="3" t="s">
        <v>46</v>
      </c>
      <c r="G217" s="3" t="s">
        <v>47</v>
      </c>
      <c r="H217" s="3" t="s">
        <v>48</v>
      </c>
      <c r="I217" s="3" t="s">
        <v>49</v>
      </c>
      <c r="J217" s="3">
        <v>55923655</v>
      </c>
      <c r="K217" s="3" t="s">
        <v>229</v>
      </c>
      <c r="L217" s="3"/>
      <c r="M217" s="3"/>
      <c r="N217" s="3" t="s">
        <v>230</v>
      </c>
      <c r="O217" s="3" t="s">
        <v>52</v>
      </c>
      <c r="P217" s="3">
        <v>0.7</v>
      </c>
      <c r="Q217" s="3">
        <v>0.6</v>
      </c>
      <c r="R217" s="4" t="s">
        <v>56</v>
      </c>
      <c r="S217" s="4">
        <v>100</v>
      </c>
      <c r="T217" s="4">
        <v>8700</v>
      </c>
      <c r="U217" s="4">
        <v>7700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1000</v>
      </c>
      <c r="AD217" s="4">
        <v>8700</v>
      </c>
      <c r="AE217" s="4">
        <v>7700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1000</v>
      </c>
      <c r="AN217" s="4">
        <v>6090</v>
      </c>
      <c r="AO217" s="4">
        <v>0</v>
      </c>
      <c r="AP217" s="4">
        <v>6090</v>
      </c>
      <c r="AQ217" t="str">
        <f>VLOOKUP(N217,'[1]전체(5)'!$N:$AR,30,0)</f>
        <v>스토리위즈</v>
      </c>
      <c r="AR217" t="str">
        <f>VLOOKUP($N217,'[1]전체(5)'!$N:$AR,31,0)</f>
        <v>윤비밀</v>
      </c>
    </row>
    <row r="218" spans="1:44" x14ac:dyDescent="0.4">
      <c r="A218" s="3" t="s">
        <v>42</v>
      </c>
      <c r="B218" s="3" t="s">
        <v>43</v>
      </c>
      <c r="C218" s="3" t="s">
        <v>44</v>
      </c>
      <c r="D218" s="3" t="s">
        <v>45</v>
      </c>
      <c r="E218" s="3"/>
      <c r="F218" s="3" t="s">
        <v>46</v>
      </c>
      <c r="G218" s="3" t="s">
        <v>47</v>
      </c>
      <c r="H218" s="3" t="s">
        <v>48</v>
      </c>
      <c r="I218" s="3" t="s">
        <v>49</v>
      </c>
      <c r="J218" s="3">
        <v>55288098</v>
      </c>
      <c r="K218" s="3" t="s">
        <v>193</v>
      </c>
      <c r="L218" s="3"/>
      <c r="M218" s="3"/>
      <c r="N218" s="3" t="s">
        <v>73</v>
      </c>
      <c r="O218" s="3" t="s">
        <v>52</v>
      </c>
      <c r="P218" s="3">
        <v>0.7</v>
      </c>
      <c r="Q218" s="3">
        <v>0.6</v>
      </c>
      <c r="R218" s="4" t="s">
        <v>53</v>
      </c>
      <c r="S218" s="4">
        <v>900</v>
      </c>
      <c r="T218" s="4">
        <v>6300</v>
      </c>
      <c r="U218" s="4">
        <v>900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5400</v>
      </c>
      <c r="AD218" s="4">
        <v>6300</v>
      </c>
      <c r="AE218" s="4">
        <v>900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5400</v>
      </c>
      <c r="AN218" s="4">
        <v>4410</v>
      </c>
      <c r="AO218" s="4">
        <v>0</v>
      </c>
      <c r="AP218" s="4">
        <v>4410</v>
      </c>
      <c r="AQ218" t="str">
        <f>VLOOKUP(N218,'[1]전체(5)'!$N:$AR,30,0)</f>
        <v>스토리위즈</v>
      </c>
      <c r="AR218" t="str">
        <f>VLOOKUP($N218,'[1]전체(5)'!$N:$AR,31,0)</f>
        <v>스내치</v>
      </c>
    </row>
    <row r="219" spans="1:44" x14ac:dyDescent="0.4">
      <c r="A219" s="3" t="s">
        <v>42</v>
      </c>
      <c r="B219" s="3" t="s">
        <v>43</v>
      </c>
      <c r="C219" s="3" t="s">
        <v>44</v>
      </c>
      <c r="D219" s="3" t="s">
        <v>45</v>
      </c>
      <c r="E219" s="3"/>
      <c r="F219" s="3" t="s">
        <v>46</v>
      </c>
      <c r="G219" s="3" t="s">
        <v>47</v>
      </c>
      <c r="H219" s="3" t="s">
        <v>48</v>
      </c>
      <c r="I219" s="3" t="s">
        <v>49</v>
      </c>
      <c r="J219" s="3">
        <v>55923655</v>
      </c>
      <c r="K219" s="3" t="s">
        <v>229</v>
      </c>
      <c r="L219" s="3"/>
      <c r="M219" s="3"/>
      <c r="N219" s="3" t="s">
        <v>230</v>
      </c>
      <c r="O219" s="3" t="s">
        <v>52</v>
      </c>
      <c r="P219" s="3">
        <v>0.7</v>
      </c>
      <c r="Q219" s="3">
        <v>0.6</v>
      </c>
      <c r="R219" s="4" t="s">
        <v>53</v>
      </c>
      <c r="S219" s="4">
        <v>7400</v>
      </c>
      <c r="T219" s="4">
        <v>14800</v>
      </c>
      <c r="U219" s="4">
        <v>14800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14800</v>
      </c>
      <c r="AE219" s="4">
        <v>14800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10360</v>
      </c>
      <c r="AO219" s="4">
        <v>0</v>
      </c>
      <c r="AP219" s="4">
        <v>10360</v>
      </c>
      <c r="AQ219" t="str">
        <f>VLOOKUP(N219,'[1]전체(5)'!$N:$AR,30,0)</f>
        <v>스토리위즈</v>
      </c>
      <c r="AR219" t="str">
        <f>VLOOKUP($N219,'[1]전체(5)'!$N:$AR,31,0)</f>
        <v>윤비밀</v>
      </c>
    </row>
    <row r="220" spans="1:44" x14ac:dyDescent="0.4">
      <c r="A220" s="3" t="s">
        <v>42</v>
      </c>
      <c r="B220" s="3" t="s">
        <v>43</v>
      </c>
      <c r="C220" s="3" t="s">
        <v>44</v>
      </c>
      <c r="D220" s="3" t="s">
        <v>45</v>
      </c>
      <c r="E220" s="3"/>
      <c r="F220" s="3" t="s">
        <v>46</v>
      </c>
      <c r="G220" s="3" t="s">
        <v>47</v>
      </c>
      <c r="H220" s="3" t="s">
        <v>48</v>
      </c>
      <c r="I220" s="3" t="s">
        <v>49</v>
      </c>
      <c r="J220" s="3">
        <v>55288098</v>
      </c>
      <c r="K220" s="3" t="s">
        <v>193</v>
      </c>
      <c r="L220" s="3"/>
      <c r="M220" s="3"/>
      <c r="N220" s="3" t="s">
        <v>73</v>
      </c>
      <c r="O220" s="3" t="s">
        <v>52</v>
      </c>
      <c r="P220" s="3">
        <v>0.7</v>
      </c>
      <c r="Q220" s="3">
        <v>0.6</v>
      </c>
      <c r="R220" s="4" t="s">
        <v>53</v>
      </c>
      <c r="S220" s="4">
        <v>2700</v>
      </c>
      <c r="T220" s="4">
        <v>2700</v>
      </c>
      <c r="U220" s="4">
        <v>2200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500</v>
      </c>
      <c r="AD220" s="4">
        <v>2700</v>
      </c>
      <c r="AE220" s="4">
        <v>2200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500</v>
      </c>
      <c r="AN220" s="4">
        <v>1890</v>
      </c>
      <c r="AO220" s="4">
        <v>0</v>
      </c>
      <c r="AP220" s="4">
        <v>1890</v>
      </c>
      <c r="AQ220" t="str">
        <f>VLOOKUP(N220,'[1]전체(5)'!$N:$AR,30,0)</f>
        <v>스토리위즈</v>
      </c>
      <c r="AR220" t="str">
        <f>VLOOKUP($N220,'[1]전체(5)'!$N:$AR,31,0)</f>
        <v>스내치</v>
      </c>
    </row>
    <row r="221" spans="1:44" x14ac:dyDescent="0.4">
      <c r="A221" s="3" t="s">
        <v>42</v>
      </c>
      <c r="B221" s="3" t="s">
        <v>43</v>
      </c>
      <c r="C221" s="3" t="s">
        <v>44</v>
      </c>
      <c r="D221" s="3" t="s">
        <v>45</v>
      </c>
      <c r="E221" s="3"/>
      <c r="F221" s="3" t="s">
        <v>46</v>
      </c>
      <c r="G221" s="3" t="s">
        <v>47</v>
      </c>
      <c r="H221" s="3" t="s">
        <v>48</v>
      </c>
      <c r="I221" s="3" t="s">
        <v>49</v>
      </c>
      <c r="J221" s="3">
        <v>55288098</v>
      </c>
      <c r="K221" s="3" t="s">
        <v>193</v>
      </c>
      <c r="L221" s="3"/>
      <c r="M221" s="3"/>
      <c r="N221" s="3" t="s">
        <v>73</v>
      </c>
      <c r="O221" s="3" t="s">
        <v>52</v>
      </c>
      <c r="P221" s="3">
        <v>0.7</v>
      </c>
      <c r="Q221" s="3">
        <v>0.6</v>
      </c>
      <c r="R221" s="4" t="s">
        <v>53</v>
      </c>
      <c r="S221" s="4">
        <v>4500</v>
      </c>
      <c r="T221" s="4">
        <v>4500</v>
      </c>
      <c r="U221" s="4">
        <v>4500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4500</v>
      </c>
      <c r="AE221" s="4">
        <v>4500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3150</v>
      </c>
      <c r="AO221" s="4">
        <v>0</v>
      </c>
      <c r="AP221" s="4">
        <v>3150</v>
      </c>
      <c r="AQ221" t="str">
        <f>VLOOKUP(N221,'[1]전체(5)'!$N:$AR,30,0)</f>
        <v>스토리위즈</v>
      </c>
      <c r="AR221" t="str">
        <f>VLOOKUP($N221,'[1]전체(5)'!$N:$AR,31,0)</f>
        <v>스내치</v>
      </c>
    </row>
    <row r="222" spans="1:44" x14ac:dyDescent="0.4">
      <c r="A222" s="3" t="s">
        <v>42</v>
      </c>
      <c r="B222" s="3" t="s">
        <v>43</v>
      </c>
      <c r="C222" s="3" t="s">
        <v>44</v>
      </c>
      <c r="D222" s="3" t="s">
        <v>45</v>
      </c>
      <c r="E222" s="3"/>
      <c r="F222" s="3" t="s">
        <v>46</v>
      </c>
      <c r="G222" s="3" t="s">
        <v>47</v>
      </c>
      <c r="H222" s="3" t="s">
        <v>48</v>
      </c>
      <c r="I222" s="3" t="s">
        <v>49</v>
      </c>
      <c r="J222" s="3">
        <v>55289114</v>
      </c>
      <c r="K222" s="3" t="s">
        <v>198</v>
      </c>
      <c r="L222" s="3"/>
      <c r="M222" s="3"/>
      <c r="N222" s="3" t="s">
        <v>187</v>
      </c>
      <c r="O222" s="3" t="s">
        <v>52</v>
      </c>
      <c r="P222" s="3">
        <v>0.7</v>
      </c>
      <c r="Q222" s="3">
        <v>0.6</v>
      </c>
      <c r="R222" s="4" t="s">
        <v>56</v>
      </c>
      <c r="S222" s="4">
        <v>100</v>
      </c>
      <c r="T222" s="4">
        <v>32400</v>
      </c>
      <c r="U222" s="4">
        <v>12540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19860</v>
      </c>
      <c r="AD222" s="4">
        <v>32400</v>
      </c>
      <c r="AE222" s="4">
        <v>12540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19860</v>
      </c>
      <c r="AN222" s="4">
        <v>22680</v>
      </c>
      <c r="AO222" s="4">
        <v>0</v>
      </c>
      <c r="AP222" s="4">
        <v>22680</v>
      </c>
      <c r="AQ222" t="str">
        <f>VLOOKUP(N222,'[1]전체(5)'!$N:$AR,30,0)</f>
        <v>스토리위즈</v>
      </c>
      <c r="AR222" t="str">
        <f>VLOOKUP($N222,'[1]전체(5)'!$N:$AR,31,0)</f>
        <v>차홍주</v>
      </c>
    </row>
    <row r="223" spans="1:44" x14ac:dyDescent="0.4">
      <c r="A223" s="3" t="s">
        <v>42</v>
      </c>
      <c r="B223" s="3" t="s">
        <v>43</v>
      </c>
      <c r="C223" s="3" t="s">
        <v>44</v>
      </c>
      <c r="D223" s="3" t="s">
        <v>45</v>
      </c>
      <c r="E223" s="3"/>
      <c r="F223" s="3" t="s">
        <v>46</v>
      </c>
      <c r="G223" s="3" t="s">
        <v>47</v>
      </c>
      <c r="H223" s="3" t="s">
        <v>48</v>
      </c>
      <c r="I223" s="3" t="s">
        <v>49</v>
      </c>
      <c r="J223" s="3">
        <v>55289114</v>
      </c>
      <c r="K223" s="3" t="s">
        <v>198</v>
      </c>
      <c r="L223" s="3"/>
      <c r="M223" s="3"/>
      <c r="N223" s="3" t="s">
        <v>187</v>
      </c>
      <c r="O223" s="3" t="s">
        <v>52</v>
      </c>
      <c r="P223" s="3">
        <v>0.7</v>
      </c>
      <c r="Q223" s="3">
        <v>0.6</v>
      </c>
      <c r="R223" s="4" t="s">
        <v>53</v>
      </c>
      <c r="S223" s="4">
        <v>900</v>
      </c>
      <c r="T223" s="4">
        <v>45500</v>
      </c>
      <c r="U223" s="4">
        <v>30100</v>
      </c>
      <c r="V223" s="4">
        <v>0</v>
      </c>
      <c r="W223" s="4">
        <v>0</v>
      </c>
      <c r="X223" s="4">
        <v>0</v>
      </c>
      <c r="Y223" s="4">
        <v>0</v>
      </c>
      <c r="Z223" s="4">
        <v>1800</v>
      </c>
      <c r="AA223" s="4">
        <v>0</v>
      </c>
      <c r="AB223" s="4">
        <v>0</v>
      </c>
      <c r="AC223" s="4">
        <v>13600</v>
      </c>
      <c r="AD223" s="4">
        <v>45680</v>
      </c>
      <c r="AE223" s="4">
        <v>30100</v>
      </c>
      <c r="AF223" s="4">
        <v>0</v>
      </c>
      <c r="AG223" s="4">
        <v>0</v>
      </c>
      <c r="AH223" s="4">
        <v>0</v>
      </c>
      <c r="AI223" s="4">
        <v>0</v>
      </c>
      <c r="AJ223" s="4">
        <v>1980</v>
      </c>
      <c r="AK223" s="4">
        <v>0</v>
      </c>
      <c r="AL223" s="4">
        <v>0</v>
      </c>
      <c r="AM223" s="4">
        <v>13600</v>
      </c>
      <c r="AN223" s="4">
        <v>31778</v>
      </c>
      <c r="AO223" s="4">
        <v>0</v>
      </c>
      <c r="AP223" s="4">
        <v>31778</v>
      </c>
      <c r="AQ223" t="str">
        <f>VLOOKUP(N223,'[1]전체(5)'!$N:$AR,30,0)</f>
        <v>스토리위즈</v>
      </c>
      <c r="AR223" t="str">
        <f>VLOOKUP($N223,'[1]전체(5)'!$N:$AR,31,0)</f>
        <v>차홍주</v>
      </c>
    </row>
    <row r="224" spans="1:44" x14ac:dyDescent="0.4">
      <c r="A224" s="3" t="s">
        <v>42</v>
      </c>
      <c r="B224" s="3" t="s">
        <v>43</v>
      </c>
      <c r="C224" s="3" t="s">
        <v>44</v>
      </c>
      <c r="D224" s="3" t="s">
        <v>45</v>
      </c>
      <c r="E224" s="3"/>
      <c r="F224" s="3" t="s">
        <v>46</v>
      </c>
      <c r="G224" s="3" t="s">
        <v>47</v>
      </c>
      <c r="H224" s="3" t="s">
        <v>48</v>
      </c>
      <c r="I224" s="3" t="s">
        <v>49</v>
      </c>
      <c r="J224" s="3">
        <v>49053889</v>
      </c>
      <c r="K224" s="3" t="s">
        <v>148</v>
      </c>
      <c r="L224" s="3"/>
      <c r="M224" s="3"/>
      <c r="N224" s="3" t="s">
        <v>87</v>
      </c>
      <c r="O224" s="3" t="s">
        <v>52</v>
      </c>
      <c r="P224" s="3">
        <v>0.7</v>
      </c>
      <c r="Q224" s="3">
        <v>0.6</v>
      </c>
      <c r="R224" s="4" t="s">
        <v>56</v>
      </c>
      <c r="S224" s="4">
        <v>100</v>
      </c>
      <c r="T224" s="4">
        <v>13500</v>
      </c>
      <c r="U224" s="4">
        <v>2700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10800</v>
      </c>
      <c r="AD224" s="4">
        <v>13500</v>
      </c>
      <c r="AE224" s="4">
        <v>2700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10800</v>
      </c>
      <c r="AN224" s="4">
        <v>9450</v>
      </c>
      <c r="AO224" s="4">
        <v>0</v>
      </c>
      <c r="AP224" s="4">
        <v>9450</v>
      </c>
      <c r="AQ224" t="str">
        <f>VLOOKUP(N224,'[1]전체(5)'!$N:$AR,30,0)</f>
        <v>스토리위즈</v>
      </c>
      <c r="AR224" t="str">
        <f>VLOOKUP($N224,'[1]전체(5)'!$N:$AR,31,0)</f>
        <v>권용찬</v>
      </c>
    </row>
    <row r="225" spans="1:44" x14ac:dyDescent="0.4">
      <c r="A225" s="3" t="s">
        <v>42</v>
      </c>
      <c r="B225" s="3" t="s">
        <v>43</v>
      </c>
      <c r="C225" s="3" t="s">
        <v>44</v>
      </c>
      <c r="D225" s="3" t="s">
        <v>45</v>
      </c>
      <c r="E225" s="3"/>
      <c r="F225" s="3" t="s">
        <v>46</v>
      </c>
      <c r="G225" s="3" t="s">
        <v>47</v>
      </c>
      <c r="H225" s="3" t="s">
        <v>48</v>
      </c>
      <c r="I225" s="3" t="s">
        <v>49</v>
      </c>
      <c r="J225" s="3">
        <v>55289114</v>
      </c>
      <c r="K225" s="3" t="s">
        <v>198</v>
      </c>
      <c r="L225" s="3"/>
      <c r="M225" s="3"/>
      <c r="N225" s="3" t="s">
        <v>187</v>
      </c>
      <c r="O225" s="3" t="s">
        <v>52</v>
      </c>
      <c r="P225" s="3">
        <v>0.7</v>
      </c>
      <c r="Q225" s="3">
        <v>0.6</v>
      </c>
      <c r="R225" s="4" t="s">
        <v>53</v>
      </c>
      <c r="S225" s="4">
        <v>2700</v>
      </c>
      <c r="T225" s="4">
        <v>13300</v>
      </c>
      <c r="U225" s="4">
        <v>10600</v>
      </c>
      <c r="V225" s="4">
        <v>0</v>
      </c>
      <c r="W225" s="4">
        <v>0</v>
      </c>
      <c r="X225" s="4">
        <v>0</v>
      </c>
      <c r="Y225" s="4">
        <v>0</v>
      </c>
      <c r="Z225" s="4">
        <v>1700</v>
      </c>
      <c r="AA225" s="4">
        <v>0</v>
      </c>
      <c r="AB225" s="4">
        <v>0</v>
      </c>
      <c r="AC225" s="4">
        <v>1000</v>
      </c>
      <c r="AD225" s="4">
        <v>13470</v>
      </c>
      <c r="AE225" s="4">
        <v>10600</v>
      </c>
      <c r="AF225" s="4">
        <v>0</v>
      </c>
      <c r="AG225" s="4">
        <v>0</v>
      </c>
      <c r="AH225" s="4">
        <v>0</v>
      </c>
      <c r="AI225" s="4">
        <v>0</v>
      </c>
      <c r="AJ225" s="4">
        <v>1870</v>
      </c>
      <c r="AK225" s="4">
        <v>0</v>
      </c>
      <c r="AL225" s="4">
        <v>0</v>
      </c>
      <c r="AM225" s="4">
        <v>1000</v>
      </c>
      <c r="AN225" s="4">
        <v>9242</v>
      </c>
      <c r="AO225" s="4">
        <v>0</v>
      </c>
      <c r="AP225" s="4">
        <v>9242</v>
      </c>
      <c r="AQ225" t="str">
        <f>VLOOKUP(N225,'[1]전체(5)'!$N:$AR,30,0)</f>
        <v>스토리위즈</v>
      </c>
      <c r="AR225" t="str">
        <f>VLOOKUP($N225,'[1]전체(5)'!$N:$AR,31,0)</f>
        <v>차홍주</v>
      </c>
    </row>
    <row r="226" spans="1:44" x14ac:dyDescent="0.4">
      <c r="A226" s="3" t="s">
        <v>42</v>
      </c>
      <c r="B226" s="3" t="s">
        <v>43</v>
      </c>
      <c r="C226" s="3" t="s">
        <v>44</v>
      </c>
      <c r="D226" s="3" t="s">
        <v>45</v>
      </c>
      <c r="E226" s="3"/>
      <c r="F226" s="3" t="s">
        <v>46</v>
      </c>
      <c r="G226" s="3" t="s">
        <v>47</v>
      </c>
      <c r="H226" s="3" t="s">
        <v>48</v>
      </c>
      <c r="I226" s="3" t="s">
        <v>49</v>
      </c>
      <c r="J226" s="3">
        <v>49053889</v>
      </c>
      <c r="K226" s="3" t="s">
        <v>148</v>
      </c>
      <c r="L226" s="3"/>
      <c r="M226" s="3"/>
      <c r="N226" s="3" t="s">
        <v>87</v>
      </c>
      <c r="O226" s="3" t="s">
        <v>52</v>
      </c>
      <c r="P226" s="3">
        <v>0.7</v>
      </c>
      <c r="Q226" s="3">
        <v>0.6</v>
      </c>
      <c r="R226" s="4" t="s">
        <v>53</v>
      </c>
      <c r="S226" s="4">
        <v>6800</v>
      </c>
      <c r="T226" s="4">
        <v>6800</v>
      </c>
      <c r="U226" s="4">
        <v>6800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6800</v>
      </c>
      <c r="AE226" s="4">
        <v>6800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4760</v>
      </c>
      <c r="AO226" s="4">
        <v>0</v>
      </c>
      <c r="AP226" s="4">
        <v>4760</v>
      </c>
      <c r="AQ226" t="str">
        <f>VLOOKUP(N226,'[1]전체(5)'!$N:$AR,30,0)</f>
        <v>스토리위즈</v>
      </c>
      <c r="AR226" t="str">
        <f>VLOOKUP($N226,'[1]전체(5)'!$N:$AR,31,0)</f>
        <v>권용찬</v>
      </c>
    </row>
    <row r="227" spans="1:44" x14ac:dyDescent="0.4">
      <c r="A227" s="3" t="s">
        <v>42</v>
      </c>
      <c r="B227" s="3" t="s">
        <v>43</v>
      </c>
      <c r="C227" s="3" t="s">
        <v>44</v>
      </c>
      <c r="D227" s="3" t="s">
        <v>45</v>
      </c>
      <c r="E227" s="3"/>
      <c r="F227" s="3" t="s">
        <v>46</v>
      </c>
      <c r="G227" s="3" t="s">
        <v>47</v>
      </c>
      <c r="H227" s="3" t="s">
        <v>48</v>
      </c>
      <c r="I227" s="3" t="s">
        <v>49</v>
      </c>
      <c r="J227" s="3">
        <v>55289114</v>
      </c>
      <c r="K227" s="3" t="s">
        <v>198</v>
      </c>
      <c r="L227" s="3"/>
      <c r="M227" s="3"/>
      <c r="N227" s="3" t="s">
        <v>187</v>
      </c>
      <c r="O227" s="3" t="s">
        <v>52</v>
      </c>
      <c r="P227" s="3">
        <v>0.7</v>
      </c>
      <c r="Q227" s="3">
        <v>0.6</v>
      </c>
      <c r="R227" s="4" t="s">
        <v>53</v>
      </c>
      <c r="S227" s="4">
        <v>4500</v>
      </c>
      <c r="T227" s="4">
        <v>41500</v>
      </c>
      <c r="U227" s="4">
        <v>40600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900</v>
      </c>
      <c r="AD227" s="4">
        <v>41500</v>
      </c>
      <c r="AE227" s="4">
        <v>40600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900</v>
      </c>
      <c r="AN227" s="4">
        <v>29050</v>
      </c>
      <c r="AO227" s="4">
        <v>0</v>
      </c>
      <c r="AP227" s="4">
        <v>29050</v>
      </c>
      <c r="AQ227" t="str">
        <f>VLOOKUP(N227,'[1]전체(5)'!$N:$AR,30,0)</f>
        <v>스토리위즈</v>
      </c>
      <c r="AR227" t="str">
        <f>VLOOKUP($N227,'[1]전체(5)'!$N:$AR,31,0)</f>
        <v>차홍주</v>
      </c>
    </row>
    <row r="228" spans="1:44" x14ac:dyDescent="0.4">
      <c r="A228" s="3" t="s">
        <v>42</v>
      </c>
      <c r="B228" s="3" t="s">
        <v>43</v>
      </c>
      <c r="C228" s="3" t="s">
        <v>44</v>
      </c>
      <c r="D228" s="3" t="s">
        <v>45</v>
      </c>
      <c r="E228" s="3"/>
      <c r="F228" s="3" t="s">
        <v>46</v>
      </c>
      <c r="G228" s="3" t="s">
        <v>47</v>
      </c>
      <c r="H228" s="3" t="s">
        <v>48</v>
      </c>
      <c r="I228" s="3" t="s">
        <v>49</v>
      </c>
      <c r="J228" s="3">
        <v>53565173</v>
      </c>
      <c r="K228" s="3" t="s">
        <v>128</v>
      </c>
      <c r="L228" s="3"/>
      <c r="M228" s="3"/>
      <c r="N228" s="3" t="s">
        <v>129</v>
      </c>
      <c r="O228" s="3" t="s">
        <v>52</v>
      </c>
      <c r="P228" s="3">
        <v>0.7</v>
      </c>
      <c r="Q228" s="3">
        <v>0.6</v>
      </c>
      <c r="R228" s="4" t="s">
        <v>56</v>
      </c>
      <c r="S228" s="4">
        <v>100</v>
      </c>
      <c r="T228" s="4">
        <v>2200</v>
      </c>
      <c r="U228" s="4">
        <v>2000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200</v>
      </c>
      <c r="AD228" s="4">
        <v>2200</v>
      </c>
      <c r="AE228" s="4">
        <v>2000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200</v>
      </c>
      <c r="AN228" s="4">
        <v>1540</v>
      </c>
      <c r="AO228" s="4">
        <v>0</v>
      </c>
      <c r="AP228" s="4">
        <v>1540</v>
      </c>
      <c r="AQ228" t="str">
        <f>VLOOKUP(N228,'[1]전체(5)'!$N:$AR,30,0)</f>
        <v>스토리위즈</v>
      </c>
      <c r="AR228" t="str">
        <f>VLOOKUP($N228,'[1]전체(5)'!$N:$AR,31,0)</f>
        <v>레드트러블</v>
      </c>
    </row>
    <row r="229" spans="1:44" x14ac:dyDescent="0.4">
      <c r="A229" s="3" t="s">
        <v>42</v>
      </c>
      <c r="B229" s="3" t="s">
        <v>43</v>
      </c>
      <c r="C229" s="3" t="s">
        <v>44</v>
      </c>
      <c r="D229" s="3" t="s">
        <v>45</v>
      </c>
      <c r="E229" s="3"/>
      <c r="F229" s="3" t="s">
        <v>46</v>
      </c>
      <c r="G229" s="3" t="s">
        <v>47</v>
      </c>
      <c r="H229" s="3" t="s">
        <v>48</v>
      </c>
      <c r="I229" s="3" t="s">
        <v>49</v>
      </c>
      <c r="J229" s="3">
        <v>51984201</v>
      </c>
      <c r="K229" s="3" t="s">
        <v>97</v>
      </c>
      <c r="L229" s="3"/>
      <c r="M229" s="3"/>
      <c r="N229" s="3" t="s">
        <v>73</v>
      </c>
      <c r="O229" s="3" t="s">
        <v>52</v>
      </c>
      <c r="P229" s="3">
        <v>0.7</v>
      </c>
      <c r="Q229" s="3">
        <v>0.6</v>
      </c>
      <c r="R229" s="4" t="s">
        <v>56</v>
      </c>
      <c r="S229" s="4">
        <v>100</v>
      </c>
      <c r="T229" s="4">
        <v>2700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800</v>
      </c>
      <c r="AA229" s="4">
        <v>0</v>
      </c>
      <c r="AB229" s="4">
        <v>0</v>
      </c>
      <c r="AC229" s="4">
        <v>1900</v>
      </c>
      <c r="AD229" s="4">
        <v>2780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880</v>
      </c>
      <c r="AK229" s="4">
        <v>0</v>
      </c>
      <c r="AL229" s="4">
        <v>0</v>
      </c>
      <c r="AM229" s="4">
        <v>1900</v>
      </c>
      <c r="AN229" s="4">
        <v>1858</v>
      </c>
      <c r="AO229" s="4">
        <v>0</v>
      </c>
      <c r="AP229" s="4">
        <v>1858</v>
      </c>
      <c r="AQ229" t="str">
        <f>VLOOKUP(N229,'[1]전체(5)'!$N:$AR,30,0)</f>
        <v>스토리위즈</v>
      </c>
      <c r="AR229" t="str">
        <f>VLOOKUP($N229,'[1]전체(5)'!$N:$AR,31,0)</f>
        <v>스내치</v>
      </c>
    </row>
    <row r="230" spans="1:44" x14ac:dyDescent="0.4">
      <c r="A230" s="3" t="s">
        <v>42</v>
      </c>
      <c r="B230" s="3" t="s">
        <v>43</v>
      </c>
      <c r="C230" s="3" t="s">
        <v>44</v>
      </c>
      <c r="D230" s="3" t="s">
        <v>45</v>
      </c>
      <c r="E230" s="3"/>
      <c r="F230" s="3" t="s">
        <v>46</v>
      </c>
      <c r="G230" s="3" t="s">
        <v>47</v>
      </c>
      <c r="H230" s="3" t="s">
        <v>48</v>
      </c>
      <c r="I230" s="3" t="s">
        <v>49</v>
      </c>
      <c r="J230" s="3">
        <v>53565173</v>
      </c>
      <c r="K230" s="3" t="s">
        <v>128</v>
      </c>
      <c r="L230" s="3"/>
      <c r="M230" s="3"/>
      <c r="N230" s="3" t="s">
        <v>129</v>
      </c>
      <c r="O230" s="3" t="s">
        <v>52</v>
      </c>
      <c r="P230" s="3">
        <v>0.7</v>
      </c>
      <c r="Q230" s="3">
        <v>0.6</v>
      </c>
      <c r="R230" s="4" t="s">
        <v>53</v>
      </c>
      <c r="S230" s="4">
        <v>900</v>
      </c>
      <c r="T230" s="4">
        <v>1800</v>
      </c>
      <c r="U230" s="4">
        <v>900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900</v>
      </c>
      <c r="AD230" s="4">
        <v>1800</v>
      </c>
      <c r="AE230" s="4">
        <v>900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900</v>
      </c>
      <c r="AN230" s="4">
        <v>1260</v>
      </c>
      <c r="AO230" s="4">
        <v>0</v>
      </c>
      <c r="AP230" s="4">
        <v>1260</v>
      </c>
      <c r="AQ230" t="str">
        <f>VLOOKUP(N230,'[1]전체(5)'!$N:$AR,30,0)</f>
        <v>스토리위즈</v>
      </c>
      <c r="AR230" t="str">
        <f>VLOOKUP($N230,'[1]전체(5)'!$N:$AR,31,0)</f>
        <v>레드트러블</v>
      </c>
    </row>
    <row r="231" spans="1:44" x14ac:dyDescent="0.4">
      <c r="A231" s="3" t="s">
        <v>42</v>
      </c>
      <c r="B231" s="3" t="s">
        <v>43</v>
      </c>
      <c r="C231" s="3" t="s">
        <v>44</v>
      </c>
      <c r="D231" s="3" t="s">
        <v>45</v>
      </c>
      <c r="E231" s="3"/>
      <c r="F231" s="3" t="s">
        <v>46</v>
      </c>
      <c r="G231" s="3" t="s">
        <v>47</v>
      </c>
      <c r="H231" s="3" t="s">
        <v>48</v>
      </c>
      <c r="I231" s="3" t="s">
        <v>49</v>
      </c>
      <c r="J231" s="3">
        <v>51984201</v>
      </c>
      <c r="K231" s="3" t="s">
        <v>97</v>
      </c>
      <c r="L231" s="3"/>
      <c r="M231" s="3"/>
      <c r="N231" s="3" t="s">
        <v>73</v>
      </c>
      <c r="O231" s="3" t="s">
        <v>52</v>
      </c>
      <c r="P231" s="3">
        <v>0.7</v>
      </c>
      <c r="Q231" s="3">
        <v>0.6</v>
      </c>
      <c r="R231" s="4" t="s">
        <v>53</v>
      </c>
      <c r="S231" s="4">
        <v>900</v>
      </c>
      <c r="T231" s="4">
        <v>400</v>
      </c>
      <c r="U231" s="4">
        <v>-500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900</v>
      </c>
      <c r="AD231" s="4">
        <v>400</v>
      </c>
      <c r="AE231" s="4">
        <v>-500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900</v>
      </c>
      <c r="AN231" s="4">
        <v>280</v>
      </c>
      <c r="AO231" s="4">
        <v>0</v>
      </c>
      <c r="AP231" s="4">
        <v>280</v>
      </c>
      <c r="AQ231" t="str">
        <f>VLOOKUP(N231,'[1]전체(5)'!$N:$AR,30,0)</f>
        <v>스토리위즈</v>
      </c>
      <c r="AR231" t="str">
        <f>VLOOKUP($N231,'[1]전체(5)'!$N:$AR,31,0)</f>
        <v>스내치</v>
      </c>
    </row>
    <row r="232" spans="1:44" x14ac:dyDescent="0.4">
      <c r="A232" s="3" t="s">
        <v>42</v>
      </c>
      <c r="B232" s="3" t="s">
        <v>43</v>
      </c>
      <c r="C232" s="3" t="s">
        <v>44</v>
      </c>
      <c r="D232" s="3" t="s">
        <v>45</v>
      </c>
      <c r="E232" s="3"/>
      <c r="F232" s="3" t="s">
        <v>46</v>
      </c>
      <c r="G232" s="3" t="s">
        <v>47</v>
      </c>
      <c r="H232" s="3" t="s">
        <v>48</v>
      </c>
      <c r="I232" s="3" t="s">
        <v>49</v>
      </c>
      <c r="J232" s="3">
        <v>48378982</v>
      </c>
      <c r="K232" s="3" t="s">
        <v>152</v>
      </c>
      <c r="L232" s="3"/>
      <c r="M232" s="3"/>
      <c r="N232" s="3" t="s">
        <v>87</v>
      </c>
      <c r="O232" s="3" t="s">
        <v>52</v>
      </c>
      <c r="P232" s="3">
        <v>0.7</v>
      </c>
      <c r="Q232" s="3">
        <v>0.6</v>
      </c>
      <c r="R232" s="4" t="s">
        <v>56</v>
      </c>
      <c r="S232" s="4">
        <v>100</v>
      </c>
      <c r="T232" s="4">
        <v>25400</v>
      </c>
      <c r="U232" s="4">
        <v>9000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16400</v>
      </c>
      <c r="AD232" s="4">
        <v>25400</v>
      </c>
      <c r="AE232" s="4">
        <v>9000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16400</v>
      </c>
      <c r="AN232" s="4">
        <v>17780</v>
      </c>
      <c r="AO232" s="4">
        <v>0</v>
      </c>
      <c r="AP232" s="4">
        <v>17780</v>
      </c>
      <c r="AQ232" t="str">
        <f>VLOOKUP(N232,'[1]전체(5)'!$N:$AR,30,0)</f>
        <v>스토리위즈</v>
      </c>
      <c r="AR232" t="str">
        <f>VLOOKUP($N232,'[1]전체(5)'!$N:$AR,31,0)</f>
        <v>권용찬</v>
      </c>
    </row>
    <row r="233" spans="1:44" x14ac:dyDescent="0.4">
      <c r="A233" s="3" t="s">
        <v>42</v>
      </c>
      <c r="B233" s="3" t="s">
        <v>43</v>
      </c>
      <c r="C233" s="3" t="s">
        <v>44</v>
      </c>
      <c r="D233" s="3" t="s">
        <v>45</v>
      </c>
      <c r="E233" s="3"/>
      <c r="F233" s="3" t="s">
        <v>46</v>
      </c>
      <c r="G233" s="3" t="s">
        <v>47</v>
      </c>
      <c r="H233" s="3" t="s">
        <v>48</v>
      </c>
      <c r="I233" s="3" t="s">
        <v>49</v>
      </c>
      <c r="J233" s="3">
        <v>51984201</v>
      </c>
      <c r="K233" s="3" t="s">
        <v>97</v>
      </c>
      <c r="L233" s="3"/>
      <c r="M233" s="3"/>
      <c r="N233" s="3" t="s">
        <v>73</v>
      </c>
      <c r="O233" s="3" t="s">
        <v>52</v>
      </c>
      <c r="P233" s="3">
        <v>0.7</v>
      </c>
      <c r="Q233" s="3">
        <v>0.6</v>
      </c>
      <c r="R233" s="4" t="s">
        <v>53</v>
      </c>
      <c r="S233" s="4">
        <v>1800</v>
      </c>
      <c r="T233" s="4">
        <v>1800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1800</v>
      </c>
      <c r="AD233" s="4">
        <v>1800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1800</v>
      </c>
      <c r="AN233" s="4">
        <v>1260</v>
      </c>
      <c r="AO233" s="4">
        <v>0</v>
      </c>
      <c r="AP233" s="4">
        <v>1260</v>
      </c>
      <c r="AQ233" t="str">
        <f>VLOOKUP(N233,'[1]전체(5)'!$N:$AR,30,0)</f>
        <v>스토리위즈</v>
      </c>
      <c r="AR233" t="str">
        <f>VLOOKUP($N233,'[1]전체(5)'!$N:$AR,31,0)</f>
        <v>스내치</v>
      </c>
    </row>
    <row r="234" spans="1:44" x14ac:dyDescent="0.4">
      <c r="A234" s="3" t="s">
        <v>42</v>
      </c>
      <c r="B234" s="3" t="s">
        <v>43</v>
      </c>
      <c r="C234" s="3" t="s">
        <v>44</v>
      </c>
      <c r="D234" s="3" t="s">
        <v>45</v>
      </c>
      <c r="E234" s="3"/>
      <c r="F234" s="3" t="s">
        <v>46</v>
      </c>
      <c r="G234" s="3" t="s">
        <v>47</v>
      </c>
      <c r="H234" s="3" t="s">
        <v>48</v>
      </c>
      <c r="I234" s="3" t="s">
        <v>49</v>
      </c>
      <c r="J234" s="3">
        <v>53208255</v>
      </c>
      <c r="K234" s="3" t="s">
        <v>79</v>
      </c>
      <c r="L234" s="3"/>
      <c r="M234" s="3"/>
      <c r="N234" s="3" t="s">
        <v>80</v>
      </c>
      <c r="O234" s="3" t="s">
        <v>52</v>
      </c>
      <c r="P234" s="3">
        <v>0.7</v>
      </c>
      <c r="Q234" s="3">
        <v>0.6</v>
      </c>
      <c r="R234" s="4" t="s">
        <v>56</v>
      </c>
      <c r="S234" s="4">
        <v>100</v>
      </c>
      <c r="T234" s="4">
        <v>1500</v>
      </c>
      <c r="U234" s="4">
        <v>500</v>
      </c>
      <c r="V234" s="4">
        <v>0</v>
      </c>
      <c r="W234" s="4">
        <v>0</v>
      </c>
      <c r="X234" s="4">
        <v>0</v>
      </c>
      <c r="Y234" s="4">
        <v>0</v>
      </c>
      <c r="Z234" s="4">
        <v>500</v>
      </c>
      <c r="AA234" s="4">
        <v>0</v>
      </c>
      <c r="AB234" s="4">
        <v>0</v>
      </c>
      <c r="AC234" s="4">
        <v>500</v>
      </c>
      <c r="AD234" s="4">
        <v>1550</v>
      </c>
      <c r="AE234" s="4">
        <v>500</v>
      </c>
      <c r="AF234" s="4">
        <v>0</v>
      </c>
      <c r="AG234" s="4">
        <v>0</v>
      </c>
      <c r="AH234" s="4">
        <v>0</v>
      </c>
      <c r="AI234" s="4">
        <v>0</v>
      </c>
      <c r="AJ234" s="4">
        <v>550</v>
      </c>
      <c r="AK234" s="4">
        <v>0</v>
      </c>
      <c r="AL234" s="4">
        <v>0</v>
      </c>
      <c r="AM234" s="4">
        <v>500</v>
      </c>
      <c r="AN234" s="4">
        <v>1030</v>
      </c>
      <c r="AO234" s="4">
        <v>0</v>
      </c>
      <c r="AP234" s="4">
        <v>1030</v>
      </c>
      <c r="AQ234" t="str">
        <f>VLOOKUP(N234,'[1]전체(5)'!$N:$AR,30,0)</f>
        <v>스토리위즈</v>
      </c>
      <c r="AR234" t="str">
        <f>VLOOKUP($N234,'[1]전체(5)'!$N:$AR,31,0)</f>
        <v>엘리신</v>
      </c>
    </row>
    <row r="235" spans="1:44" x14ac:dyDescent="0.4">
      <c r="A235" s="3" t="s">
        <v>42</v>
      </c>
      <c r="B235" s="3" t="s">
        <v>43</v>
      </c>
      <c r="C235" s="3" t="s">
        <v>44</v>
      </c>
      <c r="D235" s="3" t="s">
        <v>45</v>
      </c>
      <c r="E235" s="3"/>
      <c r="F235" s="3" t="s">
        <v>46</v>
      </c>
      <c r="G235" s="3" t="s">
        <v>47</v>
      </c>
      <c r="H235" s="3" t="s">
        <v>48</v>
      </c>
      <c r="I235" s="3" t="s">
        <v>49</v>
      </c>
      <c r="J235" s="3">
        <v>56139872</v>
      </c>
      <c r="K235" s="3" t="s">
        <v>209</v>
      </c>
      <c r="L235" s="3"/>
      <c r="M235" s="3"/>
      <c r="N235" s="3" t="s">
        <v>210</v>
      </c>
      <c r="O235" s="3" t="s">
        <v>52</v>
      </c>
      <c r="P235" s="3">
        <v>0.7</v>
      </c>
      <c r="Q235" s="3">
        <v>0.6</v>
      </c>
      <c r="R235" s="4" t="s">
        <v>56</v>
      </c>
      <c r="S235" s="4">
        <v>100</v>
      </c>
      <c r="T235" s="4">
        <v>3500</v>
      </c>
      <c r="U235" s="4">
        <v>2900</v>
      </c>
      <c r="V235" s="4">
        <v>0</v>
      </c>
      <c r="W235" s="4">
        <v>0</v>
      </c>
      <c r="X235" s="4">
        <v>0</v>
      </c>
      <c r="Y235" s="4">
        <v>0</v>
      </c>
      <c r="Z235" s="4">
        <v>400</v>
      </c>
      <c r="AA235" s="4">
        <v>0</v>
      </c>
      <c r="AB235" s="4">
        <v>0</v>
      </c>
      <c r="AC235" s="4">
        <v>200</v>
      </c>
      <c r="AD235" s="4">
        <v>3540</v>
      </c>
      <c r="AE235" s="4">
        <v>2900</v>
      </c>
      <c r="AF235" s="4">
        <v>0</v>
      </c>
      <c r="AG235" s="4">
        <v>0</v>
      </c>
      <c r="AH235" s="4">
        <v>0</v>
      </c>
      <c r="AI235" s="4">
        <v>0</v>
      </c>
      <c r="AJ235" s="4">
        <v>440</v>
      </c>
      <c r="AK235" s="4">
        <v>0</v>
      </c>
      <c r="AL235" s="4">
        <v>0</v>
      </c>
      <c r="AM235" s="4">
        <v>200</v>
      </c>
      <c r="AN235" s="4">
        <v>2434</v>
      </c>
      <c r="AO235" s="4">
        <v>0</v>
      </c>
      <c r="AP235" s="4">
        <v>2434</v>
      </c>
      <c r="AQ235" t="str">
        <f>VLOOKUP(N235,'[1]전체(5)'!$N:$AR,30,0)</f>
        <v>스토리위즈</v>
      </c>
      <c r="AR235" t="str">
        <f>VLOOKUP($N235,'[1]전체(5)'!$N:$AR,31,0)</f>
        <v>진숙</v>
      </c>
    </row>
    <row r="236" spans="1:44" x14ac:dyDescent="0.4">
      <c r="A236" s="3" t="s">
        <v>42</v>
      </c>
      <c r="B236" s="3" t="s">
        <v>43</v>
      </c>
      <c r="C236" s="3" t="s">
        <v>44</v>
      </c>
      <c r="D236" s="3" t="s">
        <v>45</v>
      </c>
      <c r="E236" s="3"/>
      <c r="F236" s="3" t="s">
        <v>46</v>
      </c>
      <c r="G236" s="3" t="s">
        <v>47</v>
      </c>
      <c r="H236" s="3" t="s">
        <v>48</v>
      </c>
      <c r="I236" s="3" t="s">
        <v>49</v>
      </c>
      <c r="J236" s="3">
        <v>48378982</v>
      </c>
      <c r="K236" s="3" t="s">
        <v>152</v>
      </c>
      <c r="L236" s="3"/>
      <c r="M236" s="3"/>
      <c r="N236" s="3" t="s">
        <v>87</v>
      </c>
      <c r="O236" s="3" t="s">
        <v>52</v>
      </c>
      <c r="P236" s="3">
        <v>0.7</v>
      </c>
      <c r="Q236" s="3">
        <v>0.6</v>
      </c>
      <c r="R236" s="4" t="s">
        <v>53</v>
      </c>
      <c r="S236" s="4">
        <v>2300</v>
      </c>
      <c r="T236" s="4">
        <v>5400</v>
      </c>
      <c r="U236" s="4">
        <v>5600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-200</v>
      </c>
      <c r="AD236" s="4">
        <v>5400</v>
      </c>
      <c r="AE236" s="4">
        <v>5600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-200</v>
      </c>
      <c r="AN236" s="4">
        <v>3780</v>
      </c>
      <c r="AO236" s="4">
        <v>0</v>
      </c>
      <c r="AP236" s="4">
        <v>3780</v>
      </c>
      <c r="AQ236" t="str">
        <f>VLOOKUP(N236,'[1]전체(5)'!$N:$AR,30,0)</f>
        <v>스토리위즈</v>
      </c>
      <c r="AR236" t="str">
        <f>VLOOKUP($N236,'[1]전체(5)'!$N:$AR,31,0)</f>
        <v>권용찬</v>
      </c>
    </row>
    <row r="237" spans="1:44" x14ac:dyDescent="0.4">
      <c r="A237" s="3" t="s">
        <v>42</v>
      </c>
      <c r="B237" s="3" t="s">
        <v>43</v>
      </c>
      <c r="C237" s="3" t="s">
        <v>44</v>
      </c>
      <c r="D237" s="3" t="s">
        <v>45</v>
      </c>
      <c r="E237" s="3"/>
      <c r="F237" s="3" t="s">
        <v>46</v>
      </c>
      <c r="G237" s="3" t="s">
        <v>47</v>
      </c>
      <c r="H237" s="3" t="s">
        <v>48</v>
      </c>
      <c r="I237" s="3" t="s">
        <v>49</v>
      </c>
      <c r="J237" s="3">
        <v>51984201</v>
      </c>
      <c r="K237" s="3" t="s">
        <v>97</v>
      </c>
      <c r="L237" s="3"/>
      <c r="M237" s="3"/>
      <c r="N237" s="3" t="s">
        <v>73</v>
      </c>
      <c r="O237" s="3" t="s">
        <v>52</v>
      </c>
      <c r="P237" s="3">
        <v>0.7</v>
      </c>
      <c r="Q237" s="3">
        <v>0.6</v>
      </c>
      <c r="R237" s="4" t="s">
        <v>53</v>
      </c>
      <c r="S237" s="4">
        <v>2700</v>
      </c>
      <c r="T237" s="4">
        <v>5400</v>
      </c>
      <c r="U237" s="4">
        <v>500</v>
      </c>
      <c r="V237" s="4">
        <v>0</v>
      </c>
      <c r="W237" s="4">
        <v>0</v>
      </c>
      <c r="X237" s="4">
        <v>0</v>
      </c>
      <c r="Y237" s="4">
        <v>0</v>
      </c>
      <c r="Z237" s="4">
        <v>2700</v>
      </c>
      <c r="AA237" s="4">
        <v>0</v>
      </c>
      <c r="AB237" s="4">
        <v>0</v>
      </c>
      <c r="AC237" s="4">
        <v>2200</v>
      </c>
      <c r="AD237" s="4">
        <v>5670</v>
      </c>
      <c r="AE237" s="4">
        <v>500</v>
      </c>
      <c r="AF237" s="4">
        <v>0</v>
      </c>
      <c r="AG237" s="4">
        <v>0</v>
      </c>
      <c r="AH237" s="4">
        <v>0</v>
      </c>
      <c r="AI237" s="4">
        <v>0</v>
      </c>
      <c r="AJ237" s="4">
        <v>2970</v>
      </c>
      <c r="AK237" s="4">
        <v>0</v>
      </c>
      <c r="AL237" s="4">
        <v>0</v>
      </c>
      <c r="AM237" s="4">
        <v>2200</v>
      </c>
      <c r="AN237" s="4">
        <v>3672</v>
      </c>
      <c r="AO237" s="4">
        <v>0</v>
      </c>
      <c r="AP237" s="4">
        <v>3672</v>
      </c>
      <c r="AQ237" t="str">
        <f>VLOOKUP(N237,'[1]전체(5)'!$N:$AR,30,0)</f>
        <v>스토리위즈</v>
      </c>
      <c r="AR237" t="str">
        <f>VLOOKUP($N237,'[1]전체(5)'!$N:$AR,31,0)</f>
        <v>스내치</v>
      </c>
    </row>
    <row r="238" spans="1:44" x14ac:dyDescent="0.4">
      <c r="A238" s="3" t="s">
        <v>42</v>
      </c>
      <c r="B238" s="3" t="s">
        <v>43</v>
      </c>
      <c r="C238" s="3" t="s">
        <v>44</v>
      </c>
      <c r="D238" s="3" t="s">
        <v>45</v>
      </c>
      <c r="E238" s="3"/>
      <c r="F238" s="3" t="s">
        <v>46</v>
      </c>
      <c r="G238" s="3" t="s">
        <v>47</v>
      </c>
      <c r="H238" s="3" t="s">
        <v>48</v>
      </c>
      <c r="I238" s="3" t="s">
        <v>49</v>
      </c>
      <c r="J238" s="3">
        <v>53208255</v>
      </c>
      <c r="K238" s="3" t="s">
        <v>79</v>
      </c>
      <c r="L238" s="3"/>
      <c r="M238" s="3"/>
      <c r="N238" s="3" t="s">
        <v>80</v>
      </c>
      <c r="O238" s="3" t="s">
        <v>52</v>
      </c>
      <c r="P238" s="3">
        <v>0.7</v>
      </c>
      <c r="Q238" s="3">
        <v>0.6</v>
      </c>
      <c r="R238" s="4" t="s">
        <v>53</v>
      </c>
      <c r="S238" s="4">
        <v>900</v>
      </c>
      <c r="T238" s="4">
        <v>5400</v>
      </c>
      <c r="U238" s="4">
        <v>4500</v>
      </c>
      <c r="V238" s="4">
        <v>0</v>
      </c>
      <c r="W238" s="4">
        <v>0</v>
      </c>
      <c r="X238" s="4">
        <v>0</v>
      </c>
      <c r="Y238" s="4">
        <v>0</v>
      </c>
      <c r="Z238" s="4">
        <v>900</v>
      </c>
      <c r="AA238" s="4">
        <v>0</v>
      </c>
      <c r="AB238" s="4">
        <v>0</v>
      </c>
      <c r="AC238" s="4">
        <v>0</v>
      </c>
      <c r="AD238" s="4">
        <v>5490</v>
      </c>
      <c r="AE238" s="4">
        <v>4500</v>
      </c>
      <c r="AF238" s="4">
        <v>0</v>
      </c>
      <c r="AG238" s="4">
        <v>0</v>
      </c>
      <c r="AH238" s="4">
        <v>0</v>
      </c>
      <c r="AI238" s="4">
        <v>0</v>
      </c>
      <c r="AJ238" s="4">
        <v>990</v>
      </c>
      <c r="AK238" s="4">
        <v>0</v>
      </c>
      <c r="AL238" s="4">
        <v>0</v>
      </c>
      <c r="AM238" s="4">
        <v>0</v>
      </c>
      <c r="AN238" s="4">
        <v>3744</v>
      </c>
      <c r="AO238" s="4">
        <v>0</v>
      </c>
      <c r="AP238" s="4">
        <v>3744</v>
      </c>
      <c r="AQ238" t="str">
        <f>VLOOKUP(N238,'[1]전체(5)'!$N:$AR,30,0)</f>
        <v>스토리위즈</v>
      </c>
      <c r="AR238" t="str">
        <f>VLOOKUP($N238,'[1]전체(5)'!$N:$AR,31,0)</f>
        <v>엘리신</v>
      </c>
    </row>
    <row r="239" spans="1:44" x14ac:dyDescent="0.4">
      <c r="A239" s="3" t="s">
        <v>42</v>
      </c>
      <c r="B239" s="3" t="s">
        <v>43</v>
      </c>
      <c r="C239" s="3" t="s">
        <v>44</v>
      </c>
      <c r="D239" s="3" t="s">
        <v>45</v>
      </c>
      <c r="E239" s="3"/>
      <c r="F239" s="3" t="s">
        <v>46</v>
      </c>
      <c r="G239" s="3" t="s">
        <v>47</v>
      </c>
      <c r="H239" s="3" t="s">
        <v>48</v>
      </c>
      <c r="I239" s="3" t="s">
        <v>49</v>
      </c>
      <c r="J239" s="3">
        <v>54903992</v>
      </c>
      <c r="K239" s="3" t="s">
        <v>195</v>
      </c>
      <c r="L239" s="3"/>
      <c r="M239" s="3"/>
      <c r="N239" s="3" t="s">
        <v>76</v>
      </c>
      <c r="O239" s="3" t="s">
        <v>52</v>
      </c>
      <c r="P239" s="3">
        <v>0.7</v>
      </c>
      <c r="Q239" s="3">
        <v>0.6</v>
      </c>
      <c r="R239" s="4" t="s">
        <v>56</v>
      </c>
      <c r="S239" s="4">
        <v>100</v>
      </c>
      <c r="T239" s="4">
        <v>13300</v>
      </c>
      <c r="U239" s="4">
        <v>9000</v>
      </c>
      <c r="V239" s="4">
        <v>0</v>
      </c>
      <c r="W239" s="4">
        <v>0</v>
      </c>
      <c r="X239" s="4">
        <v>0</v>
      </c>
      <c r="Y239" s="4">
        <v>1900</v>
      </c>
      <c r="Z239" s="4">
        <v>0</v>
      </c>
      <c r="AA239" s="4">
        <v>0</v>
      </c>
      <c r="AB239" s="4">
        <v>0</v>
      </c>
      <c r="AC239" s="4">
        <v>2400</v>
      </c>
      <c r="AD239" s="4">
        <v>13680</v>
      </c>
      <c r="AE239" s="4">
        <v>9000</v>
      </c>
      <c r="AF239" s="4">
        <v>0</v>
      </c>
      <c r="AG239" s="4">
        <v>0</v>
      </c>
      <c r="AH239" s="4">
        <v>0</v>
      </c>
      <c r="AI239" s="4">
        <v>2280</v>
      </c>
      <c r="AJ239" s="4">
        <v>0</v>
      </c>
      <c r="AK239" s="4">
        <v>0</v>
      </c>
      <c r="AL239" s="4">
        <v>0</v>
      </c>
      <c r="AM239" s="4">
        <v>2400</v>
      </c>
      <c r="AN239" s="4">
        <v>9348</v>
      </c>
      <c r="AO239" s="4">
        <v>0</v>
      </c>
      <c r="AP239" s="4">
        <v>9348</v>
      </c>
      <c r="AQ239" t="str">
        <f>VLOOKUP(N239,'[1]전체(5)'!$N:$AR,30,0)</f>
        <v>스토리위즈</v>
      </c>
      <c r="AR239" t="str">
        <f>VLOOKUP($N239,'[1]전체(5)'!$N:$AR,31,0)</f>
        <v>블랙커피</v>
      </c>
    </row>
    <row r="240" spans="1:44" x14ac:dyDescent="0.4">
      <c r="A240" s="3" t="s">
        <v>42</v>
      </c>
      <c r="B240" s="3" t="s">
        <v>43</v>
      </c>
      <c r="C240" s="3" t="s">
        <v>44</v>
      </c>
      <c r="D240" s="3" t="s">
        <v>45</v>
      </c>
      <c r="E240" s="3"/>
      <c r="F240" s="3" t="s">
        <v>46</v>
      </c>
      <c r="G240" s="3" t="s">
        <v>47</v>
      </c>
      <c r="H240" s="3" t="s">
        <v>48</v>
      </c>
      <c r="I240" s="3" t="s">
        <v>49</v>
      </c>
      <c r="J240" s="3">
        <v>56139872</v>
      </c>
      <c r="K240" s="3" t="s">
        <v>209</v>
      </c>
      <c r="L240" s="3"/>
      <c r="M240" s="3"/>
      <c r="N240" s="3" t="s">
        <v>210</v>
      </c>
      <c r="O240" s="3" t="s">
        <v>52</v>
      </c>
      <c r="P240" s="3">
        <v>0.7</v>
      </c>
      <c r="Q240" s="3">
        <v>0.6</v>
      </c>
      <c r="R240" s="4" t="s">
        <v>53</v>
      </c>
      <c r="S240" s="4">
        <v>900</v>
      </c>
      <c r="T240" s="4">
        <v>6300</v>
      </c>
      <c r="U240" s="4">
        <v>6300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6300</v>
      </c>
      <c r="AE240" s="4">
        <v>6300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4410</v>
      </c>
      <c r="AO240" s="4">
        <v>0</v>
      </c>
      <c r="AP240" s="4">
        <v>4410</v>
      </c>
      <c r="AQ240" t="str">
        <f>VLOOKUP(N240,'[1]전체(5)'!$N:$AR,30,0)</f>
        <v>스토리위즈</v>
      </c>
      <c r="AR240" t="str">
        <f>VLOOKUP($N240,'[1]전체(5)'!$N:$AR,31,0)</f>
        <v>진숙</v>
      </c>
    </row>
    <row r="241" spans="1:44" x14ac:dyDescent="0.4">
      <c r="A241" s="3" t="s">
        <v>42</v>
      </c>
      <c r="B241" s="3" t="s">
        <v>43</v>
      </c>
      <c r="C241" s="3" t="s">
        <v>44</v>
      </c>
      <c r="D241" s="3" t="s">
        <v>45</v>
      </c>
      <c r="E241" s="3"/>
      <c r="F241" s="3" t="s">
        <v>46</v>
      </c>
      <c r="G241" s="3" t="s">
        <v>47</v>
      </c>
      <c r="H241" s="3" t="s">
        <v>48</v>
      </c>
      <c r="I241" s="3" t="s">
        <v>49</v>
      </c>
      <c r="J241" s="3">
        <v>47913458</v>
      </c>
      <c r="K241" s="3" t="s">
        <v>160</v>
      </c>
      <c r="L241" s="3"/>
      <c r="M241" s="3"/>
      <c r="N241" s="3" t="s">
        <v>64</v>
      </c>
      <c r="O241" s="3" t="s">
        <v>52</v>
      </c>
      <c r="P241" s="3">
        <v>0.7</v>
      </c>
      <c r="Q241" s="3">
        <v>0.6</v>
      </c>
      <c r="R241" s="4" t="s">
        <v>56</v>
      </c>
      <c r="S241" s="4">
        <v>100</v>
      </c>
      <c r="T241" s="4">
        <v>30500</v>
      </c>
      <c r="U241" s="4">
        <v>14400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16100</v>
      </c>
      <c r="AD241" s="4">
        <v>30500</v>
      </c>
      <c r="AE241" s="4">
        <v>14400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16100</v>
      </c>
      <c r="AN241" s="4">
        <v>21350</v>
      </c>
      <c r="AO241" s="4">
        <v>0</v>
      </c>
      <c r="AP241" s="4">
        <v>21350</v>
      </c>
      <c r="AQ241" t="str">
        <f>VLOOKUP(N241,'[1]전체(5)'!$N:$AR,30,0)</f>
        <v>스토리위즈</v>
      </c>
      <c r="AR241" t="str">
        <f>VLOOKUP($N241,'[1]전체(5)'!$N:$AR,31,0)</f>
        <v>전혁</v>
      </c>
    </row>
    <row r="242" spans="1:44" x14ac:dyDescent="0.4">
      <c r="A242" s="3" t="s">
        <v>42</v>
      </c>
      <c r="B242" s="3" t="s">
        <v>43</v>
      </c>
      <c r="C242" s="3" t="s">
        <v>44</v>
      </c>
      <c r="D242" s="3" t="s">
        <v>45</v>
      </c>
      <c r="E242" s="3"/>
      <c r="F242" s="3" t="s">
        <v>46</v>
      </c>
      <c r="G242" s="3" t="s">
        <v>47</v>
      </c>
      <c r="H242" s="3" t="s">
        <v>48</v>
      </c>
      <c r="I242" s="3" t="s">
        <v>49</v>
      </c>
      <c r="J242" s="3">
        <v>48378982</v>
      </c>
      <c r="K242" s="3" t="s">
        <v>152</v>
      </c>
      <c r="L242" s="3"/>
      <c r="M242" s="3"/>
      <c r="N242" s="3" t="s">
        <v>87</v>
      </c>
      <c r="O242" s="3" t="s">
        <v>52</v>
      </c>
      <c r="P242" s="3">
        <v>0.7</v>
      </c>
      <c r="Q242" s="3">
        <v>0.6</v>
      </c>
      <c r="R242" s="4" t="s">
        <v>53</v>
      </c>
      <c r="S242" s="4">
        <v>6800</v>
      </c>
      <c r="T242" s="4">
        <v>-5300</v>
      </c>
      <c r="U242" s="4">
        <v>-5300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-5300</v>
      </c>
      <c r="AE242" s="4">
        <v>-5300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-3710</v>
      </c>
      <c r="AO242" s="4">
        <v>0</v>
      </c>
      <c r="AP242" s="4">
        <v>-3710</v>
      </c>
      <c r="AQ242" t="str">
        <f>VLOOKUP(N242,'[1]전체(5)'!$N:$AR,30,0)</f>
        <v>스토리위즈</v>
      </c>
      <c r="AR242" t="str">
        <f>VLOOKUP($N242,'[1]전체(5)'!$N:$AR,31,0)</f>
        <v>권용찬</v>
      </c>
    </row>
    <row r="243" spans="1:44" x14ac:dyDescent="0.4">
      <c r="A243" s="3" t="s">
        <v>42</v>
      </c>
      <c r="B243" s="3" t="s">
        <v>43</v>
      </c>
      <c r="C243" s="3" t="s">
        <v>44</v>
      </c>
      <c r="D243" s="3" t="s">
        <v>45</v>
      </c>
      <c r="E243" s="3"/>
      <c r="F243" s="3" t="s">
        <v>46</v>
      </c>
      <c r="G243" s="3" t="s">
        <v>47</v>
      </c>
      <c r="H243" s="3" t="s">
        <v>48</v>
      </c>
      <c r="I243" s="3" t="s">
        <v>49</v>
      </c>
      <c r="J243" s="3">
        <v>53208255</v>
      </c>
      <c r="K243" s="3" t="s">
        <v>79</v>
      </c>
      <c r="L243" s="3"/>
      <c r="M243" s="3"/>
      <c r="N243" s="3" t="s">
        <v>80</v>
      </c>
      <c r="O243" s="3" t="s">
        <v>52</v>
      </c>
      <c r="P243" s="3">
        <v>0.7</v>
      </c>
      <c r="Q243" s="3">
        <v>0.6</v>
      </c>
      <c r="R243" s="4" t="s">
        <v>53</v>
      </c>
      <c r="S243" s="4">
        <v>1800</v>
      </c>
      <c r="T243" s="4">
        <v>5400</v>
      </c>
      <c r="U243" s="4">
        <v>5400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5400</v>
      </c>
      <c r="AE243" s="4">
        <v>5400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3780</v>
      </c>
      <c r="AO243" s="4">
        <v>0</v>
      </c>
      <c r="AP243" s="4">
        <v>3780</v>
      </c>
      <c r="AQ243" t="str">
        <f>VLOOKUP(N243,'[1]전체(5)'!$N:$AR,30,0)</f>
        <v>스토리위즈</v>
      </c>
      <c r="AR243" t="str">
        <f>VLOOKUP($N243,'[1]전체(5)'!$N:$AR,31,0)</f>
        <v>엘리신</v>
      </c>
    </row>
    <row r="244" spans="1:44" x14ac:dyDescent="0.4">
      <c r="A244" s="3" t="s">
        <v>42</v>
      </c>
      <c r="B244" s="3" t="s">
        <v>43</v>
      </c>
      <c r="C244" s="3" t="s">
        <v>44</v>
      </c>
      <c r="D244" s="3" t="s">
        <v>45</v>
      </c>
      <c r="E244" s="3"/>
      <c r="F244" s="3" t="s">
        <v>46</v>
      </c>
      <c r="G244" s="3" t="s">
        <v>47</v>
      </c>
      <c r="H244" s="3" t="s">
        <v>48</v>
      </c>
      <c r="I244" s="3" t="s">
        <v>49</v>
      </c>
      <c r="J244" s="3">
        <v>54903992</v>
      </c>
      <c r="K244" s="3" t="s">
        <v>195</v>
      </c>
      <c r="L244" s="3"/>
      <c r="M244" s="3"/>
      <c r="N244" s="3" t="s">
        <v>76</v>
      </c>
      <c r="O244" s="3" t="s">
        <v>52</v>
      </c>
      <c r="P244" s="3">
        <v>0.7</v>
      </c>
      <c r="Q244" s="3">
        <v>0.6</v>
      </c>
      <c r="R244" s="4" t="s">
        <v>53</v>
      </c>
      <c r="S244" s="4">
        <v>900</v>
      </c>
      <c r="T244" s="4">
        <v>3600</v>
      </c>
      <c r="U244" s="4">
        <v>2200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1400</v>
      </c>
      <c r="AD244" s="4">
        <v>3600</v>
      </c>
      <c r="AE244" s="4">
        <v>2200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1400</v>
      </c>
      <c r="AN244" s="4">
        <v>2520</v>
      </c>
      <c r="AO244" s="4">
        <v>0</v>
      </c>
      <c r="AP244" s="4">
        <v>2520</v>
      </c>
      <c r="AQ244" t="str">
        <f>VLOOKUP(N244,'[1]전체(5)'!$N:$AR,30,0)</f>
        <v>스토리위즈</v>
      </c>
      <c r="AR244" t="str">
        <f>VLOOKUP($N244,'[1]전체(5)'!$N:$AR,31,0)</f>
        <v>블랙커피</v>
      </c>
    </row>
    <row r="245" spans="1:44" x14ac:dyDescent="0.4">
      <c r="A245" s="3" t="s">
        <v>42</v>
      </c>
      <c r="B245" s="3" t="s">
        <v>43</v>
      </c>
      <c r="C245" s="3" t="s">
        <v>44</v>
      </c>
      <c r="D245" s="3" t="s">
        <v>45</v>
      </c>
      <c r="E245" s="3"/>
      <c r="F245" s="3" t="s">
        <v>46</v>
      </c>
      <c r="G245" s="3" t="s">
        <v>47</v>
      </c>
      <c r="H245" s="3" t="s">
        <v>48</v>
      </c>
      <c r="I245" s="3" t="s">
        <v>49</v>
      </c>
      <c r="J245" s="3">
        <v>56139872</v>
      </c>
      <c r="K245" s="3" t="s">
        <v>209</v>
      </c>
      <c r="L245" s="3"/>
      <c r="M245" s="3"/>
      <c r="N245" s="3" t="s">
        <v>210</v>
      </c>
      <c r="O245" s="3" t="s">
        <v>52</v>
      </c>
      <c r="P245" s="3">
        <v>0.7</v>
      </c>
      <c r="Q245" s="3">
        <v>0.6</v>
      </c>
      <c r="R245" s="4" t="s">
        <v>53</v>
      </c>
      <c r="S245" s="4">
        <v>2700</v>
      </c>
      <c r="T245" s="4">
        <v>2700</v>
      </c>
      <c r="U245" s="4">
        <v>2700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2700</v>
      </c>
      <c r="AE245" s="4">
        <v>2700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1890</v>
      </c>
      <c r="AO245" s="4">
        <v>0</v>
      </c>
      <c r="AP245" s="4">
        <v>1890</v>
      </c>
      <c r="AQ245" t="str">
        <f>VLOOKUP(N245,'[1]전체(5)'!$N:$AR,30,0)</f>
        <v>스토리위즈</v>
      </c>
      <c r="AR245" t="str">
        <f>VLOOKUP($N245,'[1]전체(5)'!$N:$AR,31,0)</f>
        <v>진숙</v>
      </c>
    </row>
    <row r="246" spans="1:44" x14ac:dyDescent="0.4">
      <c r="A246" s="3" t="s">
        <v>42</v>
      </c>
      <c r="B246" s="3" t="s">
        <v>43</v>
      </c>
      <c r="C246" s="3" t="s">
        <v>44</v>
      </c>
      <c r="D246" s="3" t="s">
        <v>45</v>
      </c>
      <c r="E246" s="3"/>
      <c r="F246" s="3" t="s">
        <v>46</v>
      </c>
      <c r="G246" s="3" t="s">
        <v>47</v>
      </c>
      <c r="H246" s="3" t="s">
        <v>48</v>
      </c>
      <c r="I246" s="3" t="s">
        <v>49</v>
      </c>
      <c r="J246" s="3">
        <v>56520642</v>
      </c>
      <c r="K246" s="3" t="s">
        <v>221</v>
      </c>
      <c r="L246" s="3"/>
      <c r="M246" s="3"/>
      <c r="N246" s="3" t="s">
        <v>70</v>
      </c>
      <c r="O246" s="3" t="s">
        <v>52</v>
      </c>
      <c r="P246" s="3">
        <v>0.7</v>
      </c>
      <c r="Q246" s="3">
        <v>0.6</v>
      </c>
      <c r="R246" s="4" t="s">
        <v>56</v>
      </c>
      <c r="S246" s="4">
        <v>3200</v>
      </c>
      <c r="T246" s="4">
        <v>35200</v>
      </c>
      <c r="U246" s="4">
        <v>21400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13800</v>
      </c>
      <c r="AD246" s="4">
        <v>35200</v>
      </c>
      <c r="AE246" s="4">
        <v>21400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13800</v>
      </c>
      <c r="AN246" s="4">
        <v>24640</v>
      </c>
      <c r="AO246" s="4">
        <v>0</v>
      </c>
      <c r="AP246" s="4">
        <v>24640</v>
      </c>
      <c r="AQ246" t="str">
        <f>VLOOKUP(N246,'[1]전체(5)'!$N:$AR,30,0)</f>
        <v>스토리위즈</v>
      </c>
      <c r="AR246" t="str">
        <f>VLOOKUP($N246,'[1]전체(5)'!$N:$AR,31,0)</f>
        <v>김정률</v>
      </c>
    </row>
    <row r="247" spans="1:44" x14ac:dyDescent="0.4">
      <c r="A247" s="3" t="s">
        <v>42</v>
      </c>
      <c r="B247" s="3" t="s">
        <v>43</v>
      </c>
      <c r="C247" s="3" t="s">
        <v>44</v>
      </c>
      <c r="D247" s="3" t="s">
        <v>45</v>
      </c>
      <c r="E247" s="3"/>
      <c r="F247" s="3" t="s">
        <v>46</v>
      </c>
      <c r="G247" s="3" t="s">
        <v>47</v>
      </c>
      <c r="H247" s="3" t="s">
        <v>48</v>
      </c>
      <c r="I247" s="3" t="s">
        <v>49</v>
      </c>
      <c r="J247" s="3">
        <v>47913458</v>
      </c>
      <c r="K247" s="3" t="s">
        <v>160</v>
      </c>
      <c r="L247" s="3"/>
      <c r="M247" s="3"/>
      <c r="N247" s="3" t="s">
        <v>64</v>
      </c>
      <c r="O247" s="3" t="s">
        <v>52</v>
      </c>
      <c r="P247" s="3">
        <v>0.7</v>
      </c>
      <c r="Q247" s="3">
        <v>0.6</v>
      </c>
      <c r="R247" s="4" t="s">
        <v>53</v>
      </c>
      <c r="S247" s="4">
        <v>2300</v>
      </c>
      <c r="T247" s="4">
        <v>25600</v>
      </c>
      <c r="U247" s="4">
        <v>25200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400</v>
      </c>
      <c r="AD247" s="4">
        <v>25600</v>
      </c>
      <c r="AE247" s="4">
        <v>25200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400</v>
      </c>
      <c r="AN247" s="4">
        <v>17920</v>
      </c>
      <c r="AO247" s="4">
        <v>0</v>
      </c>
      <c r="AP247" s="4">
        <v>17920</v>
      </c>
      <c r="AQ247" t="str">
        <f>VLOOKUP(N247,'[1]전체(5)'!$N:$AR,30,0)</f>
        <v>스토리위즈</v>
      </c>
      <c r="AR247" t="str">
        <f>VLOOKUP($N247,'[1]전체(5)'!$N:$AR,31,0)</f>
        <v>전혁</v>
      </c>
    </row>
    <row r="248" spans="1:44" x14ac:dyDescent="0.4">
      <c r="A248" s="3" t="s">
        <v>42</v>
      </c>
      <c r="B248" s="3" t="s">
        <v>43</v>
      </c>
      <c r="C248" s="3" t="s">
        <v>44</v>
      </c>
      <c r="D248" s="3" t="s">
        <v>45</v>
      </c>
      <c r="E248" s="3"/>
      <c r="F248" s="3" t="s">
        <v>46</v>
      </c>
      <c r="G248" s="3" t="s">
        <v>47</v>
      </c>
      <c r="H248" s="3" t="s">
        <v>48</v>
      </c>
      <c r="I248" s="3" t="s">
        <v>49</v>
      </c>
      <c r="J248" s="3">
        <v>48378982</v>
      </c>
      <c r="K248" s="3" t="s">
        <v>152</v>
      </c>
      <c r="L248" s="3"/>
      <c r="M248" s="3"/>
      <c r="N248" s="3" t="s">
        <v>87</v>
      </c>
      <c r="O248" s="3" t="s">
        <v>52</v>
      </c>
      <c r="P248" s="3">
        <v>0.7</v>
      </c>
      <c r="Q248" s="3">
        <v>0.6</v>
      </c>
      <c r="R248" s="4" t="s">
        <v>53</v>
      </c>
      <c r="S248" s="4">
        <v>13500</v>
      </c>
      <c r="T248" s="4">
        <v>22400</v>
      </c>
      <c r="U248" s="4">
        <v>22400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22400</v>
      </c>
      <c r="AE248" s="4">
        <v>22400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15680</v>
      </c>
      <c r="AO248" s="4">
        <v>0</v>
      </c>
      <c r="AP248" s="4">
        <v>15680</v>
      </c>
      <c r="AQ248" t="str">
        <f>VLOOKUP(N248,'[1]전체(5)'!$N:$AR,30,0)</f>
        <v>스토리위즈</v>
      </c>
      <c r="AR248" t="str">
        <f>VLOOKUP($N248,'[1]전체(5)'!$N:$AR,31,0)</f>
        <v>권용찬</v>
      </c>
    </row>
    <row r="249" spans="1:44" x14ac:dyDescent="0.4">
      <c r="A249" s="3" t="s">
        <v>42</v>
      </c>
      <c r="B249" s="3" t="s">
        <v>43</v>
      </c>
      <c r="C249" s="3" t="s">
        <v>44</v>
      </c>
      <c r="D249" s="3" t="s">
        <v>45</v>
      </c>
      <c r="E249" s="3"/>
      <c r="F249" s="3" t="s">
        <v>46</v>
      </c>
      <c r="G249" s="3" t="s">
        <v>47</v>
      </c>
      <c r="H249" s="3" t="s">
        <v>48</v>
      </c>
      <c r="I249" s="3" t="s">
        <v>49</v>
      </c>
      <c r="J249" s="3">
        <v>53208255</v>
      </c>
      <c r="K249" s="3" t="s">
        <v>79</v>
      </c>
      <c r="L249" s="3"/>
      <c r="M249" s="3"/>
      <c r="N249" s="3" t="s">
        <v>80</v>
      </c>
      <c r="O249" s="3" t="s">
        <v>52</v>
      </c>
      <c r="P249" s="3">
        <v>0.7</v>
      </c>
      <c r="Q249" s="3">
        <v>0.6</v>
      </c>
      <c r="R249" s="4" t="s">
        <v>53</v>
      </c>
      <c r="S249" s="4">
        <v>4500</v>
      </c>
      <c r="T249" s="4">
        <v>9000</v>
      </c>
      <c r="U249" s="4">
        <v>200</v>
      </c>
      <c r="V249" s="4">
        <v>0</v>
      </c>
      <c r="W249" s="4">
        <v>0</v>
      </c>
      <c r="X249" s="4">
        <v>0</v>
      </c>
      <c r="Y249" s="4">
        <v>0</v>
      </c>
      <c r="Z249" s="4">
        <v>4500</v>
      </c>
      <c r="AA249" s="4">
        <v>0</v>
      </c>
      <c r="AB249" s="4">
        <v>0</v>
      </c>
      <c r="AC249" s="4">
        <v>4300</v>
      </c>
      <c r="AD249" s="4">
        <v>9450</v>
      </c>
      <c r="AE249" s="4">
        <v>200</v>
      </c>
      <c r="AF249" s="4">
        <v>0</v>
      </c>
      <c r="AG249" s="4">
        <v>0</v>
      </c>
      <c r="AH249" s="4">
        <v>0</v>
      </c>
      <c r="AI249" s="4">
        <v>0</v>
      </c>
      <c r="AJ249" s="4">
        <v>4950</v>
      </c>
      <c r="AK249" s="4">
        <v>0</v>
      </c>
      <c r="AL249" s="4">
        <v>0</v>
      </c>
      <c r="AM249" s="4">
        <v>4300</v>
      </c>
      <c r="AN249" s="4">
        <v>6120</v>
      </c>
      <c r="AO249" s="4">
        <v>0</v>
      </c>
      <c r="AP249" s="4">
        <v>6120</v>
      </c>
      <c r="AQ249" t="str">
        <f>VLOOKUP(N249,'[1]전체(5)'!$N:$AR,30,0)</f>
        <v>스토리위즈</v>
      </c>
      <c r="AR249" t="str">
        <f>VLOOKUP($N249,'[1]전체(5)'!$N:$AR,31,0)</f>
        <v>엘리신</v>
      </c>
    </row>
    <row r="250" spans="1:44" x14ac:dyDescent="0.4">
      <c r="A250" s="3" t="s">
        <v>42</v>
      </c>
      <c r="B250" s="3" t="s">
        <v>43</v>
      </c>
      <c r="C250" s="3" t="s">
        <v>44</v>
      </c>
      <c r="D250" s="3" t="s">
        <v>45</v>
      </c>
      <c r="E250" s="3"/>
      <c r="F250" s="3" t="s">
        <v>46</v>
      </c>
      <c r="G250" s="3" t="s">
        <v>47</v>
      </c>
      <c r="H250" s="3" t="s">
        <v>48</v>
      </c>
      <c r="I250" s="3" t="s">
        <v>49</v>
      </c>
      <c r="J250" s="3">
        <v>54903992</v>
      </c>
      <c r="K250" s="3" t="s">
        <v>195</v>
      </c>
      <c r="L250" s="3"/>
      <c r="M250" s="3"/>
      <c r="N250" s="3" t="s">
        <v>76</v>
      </c>
      <c r="O250" s="3" t="s">
        <v>52</v>
      </c>
      <c r="P250" s="3">
        <v>0.7</v>
      </c>
      <c r="Q250" s="3">
        <v>0.6</v>
      </c>
      <c r="R250" s="4" t="s">
        <v>53</v>
      </c>
      <c r="S250" s="4">
        <v>2700</v>
      </c>
      <c r="T250" s="4">
        <v>5400</v>
      </c>
      <c r="U250" s="4">
        <v>5400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5400</v>
      </c>
      <c r="AE250" s="4">
        <v>5400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3780</v>
      </c>
      <c r="AO250" s="4">
        <v>0</v>
      </c>
      <c r="AP250" s="4">
        <v>3780</v>
      </c>
      <c r="AQ250" t="str">
        <f>VLOOKUP(N250,'[1]전체(5)'!$N:$AR,30,0)</f>
        <v>스토리위즈</v>
      </c>
      <c r="AR250" t="str">
        <f>VLOOKUP($N250,'[1]전체(5)'!$N:$AR,31,0)</f>
        <v>블랙커피</v>
      </c>
    </row>
    <row r="251" spans="1:44" x14ac:dyDescent="0.4">
      <c r="A251" s="3" t="s">
        <v>42</v>
      </c>
      <c r="B251" s="3" t="s">
        <v>43</v>
      </c>
      <c r="C251" s="3" t="s">
        <v>44</v>
      </c>
      <c r="D251" s="3" t="s">
        <v>45</v>
      </c>
      <c r="E251" s="3"/>
      <c r="F251" s="3" t="s">
        <v>46</v>
      </c>
      <c r="G251" s="3" t="s">
        <v>47</v>
      </c>
      <c r="H251" s="3" t="s">
        <v>48</v>
      </c>
      <c r="I251" s="3" t="s">
        <v>49</v>
      </c>
      <c r="J251" s="3">
        <v>55019302</v>
      </c>
      <c r="K251" s="3" t="s">
        <v>214</v>
      </c>
      <c r="L251" s="3"/>
      <c r="M251" s="3"/>
      <c r="N251" s="3" t="s">
        <v>73</v>
      </c>
      <c r="O251" s="3" t="s">
        <v>52</v>
      </c>
      <c r="P251" s="3">
        <v>0.7</v>
      </c>
      <c r="Q251" s="3">
        <v>0.6</v>
      </c>
      <c r="R251" s="4" t="s">
        <v>56</v>
      </c>
      <c r="S251" s="4">
        <v>100</v>
      </c>
      <c r="T251" s="4">
        <v>6800</v>
      </c>
      <c r="U251" s="4">
        <v>4800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2000</v>
      </c>
      <c r="AD251" s="4">
        <v>6800</v>
      </c>
      <c r="AE251" s="4">
        <v>4800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2000</v>
      </c>
      <c r="AN251" s="4">
        <v>4760</v>
      </c>
      <c r="AO251" s="4">
        <v>0</v>
      </c>
      <c r="AP251" s="4">
        <v>4760</v>
      </c>
      <c r="AQ251" t="str">
        <f>VLOOKUP(N251,'[1]전체(5)'!$N:$AR,30,0)</f>
        <v>스토리위즈</v>
      </c>
      <c r="AR251" t="str">
        <f>VLOOKUP($N251,'[1]전체(5)'!$N:$AR,31,0)</f>
        <v>스내치</v>
      </c>
    </row>
    <row r="252" spans="1:44" x14ac:dyDescent="0.4">
      <c r="A252" s="3" t="s">
        <v>42</v>
      </c>
      <c r="B252" s="3" t="s">
        <v>43</v>
      </c>
      <c r="C252" s="3" t="s">
        <v>44</v>
      </c>
      <c r="D252" s="3" t="s">
        <v>45</v>
      </c>
      <c r="E252" s="3"/>
      <c r="F252" s="3" t="s">
        <v>46</v>
      </c>
      <c r="G252" s="3" t="s">
        <v>47</v>
      </c>
      <c r="H252" s="3" t="s">
        <v>48</v>
      </c>
      <c r="I252" s="3" t="s">
        <v>49</v>
      </c>
      <c r="J252" s="3">
        <v>56520642</v>
      </c>
      <c r="K252" s="3" t="s">
        <v>221</v>
      </c>
      <c r="L252" s="3"/>
      <c r="M252" s="3"/>
      <c r="N252" s="3" t="s">
        <v>70</v>
      </c>
      <c r="O252" s="3" t="s">
        <v>52</v>
      </c>
      <c r="P252" s="3">
        <v>0.7</v>
      </c>
      <c r="Q252" s="3">
        <v>0.6</v>
      </c>
      <c r="R252" s="4" t="s">
        <v>74</v>
      </c>
      <c r="S252" s="4">
        <v>900</v>
      </c>
      <c r="T252" s="4">
        <v>35100</v>
      </c>
      <c r="U252" s="4">
        <v>30900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4200</v>
      </c>
      <c r="AD252" s="4">
        <v>35100</v>
      </c>
      <c r="AE252" s="4">
        <v>30900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4200</v>
      </c>
      <c r="AN252" s="4">
        <v>24570</v>
      </c>
      <c r="AO252" s="4">
        <v>0</v>
      </c>
      <c r="AP252" s="4">
        <v>24570</v>
      </c>
      <c r="AQ252" t="str">
        <f>VLOOKUP(N252,'[1]전체(5)'!$N:$AR,30,0)</f>
        <v>스토리위즈</v>
      </c>
      <c r="AR252" t="str">
        <f>VLOOKUP($N252,'[1]전체(5)'!$N:$AR,31,0)</f>
        <v>김정률</v>
      </c>
    </row>
    <row r="253" spans="1:44" x14ac:dyDescent="0.4">
      <c r="A253" s="3" t="s">
        <v>42</v>
      </c>
      <c r="B253" s="3" t="s">
        <v>43</v>
      </c>
      <c r="C253" s="3" t="s">
        <v>44</v>
      </c>
      <c r="D253" s="3" t="s">
        <v>45</v>
      </c>
      <c r="E253" s="3"/>
      <c r="F253" s="3" t="s">
        <v>46</v>
      </c>
      <c r="G253" s="3" t="s">
        <v>47</v>
      </c>
      <c r="H253" s="3" t="s">
        <v>48</v>
      </c>
      <c r="I253" s="3" t="s">
        <v>49</v>
      </c>
      <c r="J253" s="3">
        <v>47913458</v>
      </c>
      <c r="K253" s="3" t="s">
        <v>160</v>
      </c>
      <c r="L253" s="3"/>
      <c r="M253" s="3"/>
      <c r="N253" s="3" t="s">
        <v>64</v>
      </c>
      <c r="O253" s="3" t="s">
        <v>52</v>
      </c>
      <c r="P253" s="3">
        <v>0.7</v>
      </c>
      <c r="Q253" s="3">
        <v>0.6</v>
      </c>
      <c r="R253" s="4" t="s">
        <v>53</v>
      </c>
      <c r="S253" s="4">
        <v>4500</v>
      </c>
      <c r="T253" s="4">
        <v>5500</v>
      </c>
      <c r="U253" s="4">
        <v>5500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5500</v>
      </c>
      <c r="AE253" s="4">
        <v>5500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3850</v>
      </c>
      <c r="AO253" s="4">
        <v>0</v>
      </c>
      <c r="AP253" s="4">
        <v>3850</v>
      </c>
      <c r="AQ253" t="str">
        <f>VLOOKUP(N253,'[1]전체(5)'!$N:$AR,30,0)</f>
        <v>스토리위즈</v>
      </c>
      <c r="AR253" t="str">
        <f>VLOOKUP($N253,'[1]전체(5)'!$N:$AR,31,0)</f>
        <v>전혁</v>
      </c>
    </row>
    <row r="254" spans="1:44" x14ac:dyDescent="0.4">
      <c r="A254" s="3" t="s">
        <v>42</v>
      </c>
      <c r="B254" s="3" t="s">
        <v>43</v>
      </c>
      <c r="C254" s="3" t="s">
        <v>44</v>
      </c>
      <c r="D254" s="3" t="s">
        <v>45</v>
      </c>
      <c r="E254" s="3"/>
      <c r="F254" s="3" t="s">
        <v>46</v>
      </c>
      <c r="G254" s="3" t="s">
        <v>47</v>
      </c>
      <c r="H254" s="3" t="s">
        <v>48</v>
      </c>
      <c r="I254" s="3" t="s">
        <v>49</v>
      </c>
      <c r="J254" s="3">
        <v>52488221</v>
      </c>
      <c r="K254" s="3" t="s">
        <v>253</v>
      </c>
      <c r="L254" s="3"/>
      <c r="M254" s="3"/>
      <c r="N254" s="3" t="s">
        <v>73</v>
      </c>
      <c r="O254" s="3" t="s">
        <v>52</v>
      </c>
      <c r="P254" s="3">
        <v>0.7</v>
      </c>
      <c r="Q254" s="3">
        <v>0.6</v>
      </c>
      <c r="R254" s="4" t="s">
        <v>56</v>
      </c>
      <c r="S254" s="4">
        <v>100</v>
      </c>
      <c r="T254" s="4">
        <v>1700</v>
      </c>
      <c r="U254" s="4">
        <v>900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800</v>
      </c>
      <c r="AD254" s="4">
        <v>1700</v>
      </c>
      <c r="AE254" s="4">
        <v>900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800</v>
      </c>
      <c r="AN254" s="4">
        <v>1190</v>
      </c>
      <c r="AO254" s="4">
        <v>0</v>
      </c>
      <c r="AP254" s="4">
        <v>1190</v>
      </c>
      <c r="AQ254" t="str">
        <f>VLOOKUP(N254,'[1]전체(5)'!$N:$AR,30,0)</f>
        <v>스토리위즈</v>
      </c>
      <c r="AR254" t="str">
        <f>VLOOKUP($N254,'[1]전체(5)'!$N:$AR,31,0)</f>
        <v>스내치</v>
      </c>
    </row>
    <row r="255" spans="1:44" x14ac:dyDescent="0.4">
      <c r="A255" s="3" t="s">
        <v>42</v>
      </c>
      <c r="B255" s="3" t="s">
        <v>43</v>
      </c>
      <c r="C255" s="3" t="s">
        <v>44</v>
      </c>
      <c r="D255" s="3" t="s">
        <v>45</v>
      </c>
      <c r="E255" s="3"/>
      <c r="F255" s="3" t="s">
        <v>46</v>
      </c>
      <c r="G255" s="3" t="s">
        <v>47</v>
      </c>
      <c r="H255" s="3" t="s">
        <v>48</v>
      </c>
      <c r="I255" s="3" t="s">
        <v>49</v>
      </c>
      <c r="J255" s="3">
        <v>54903992</v>
      </c>
      <c r="K255" s="3" t="s">
        <v>195</v>
      </c>
      <c r="L255" s="3"/>
      <c r="M255" s="3"/>
      <c r="N255" s="3" t="s">
        <v>76</v>
      </c>
      <c r="O255" s="3" t="s">
        <v>52</v>
      </c>
      <c r="P255" s="3">
        <v>0.7</v>
      </c>
      <c r="Q255" s="3">
        <v>0.6</v>
      </c>
      <c r="R255" s="4" t="s">
        <v>53</v>
      </c>
      <c r="S255" s="4">
        <v>4500</v>
      </c>
      <c r="T255" s="4">
        <v>9000</v>
      </c>
      <c r="U255" s="4">
        <v>9000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9000</v>
      </c>
      <c r="AE255" s="4">
        <v>9000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6300</v>
      </c>
      <c r="AO255" s="4">
        <v>0</v>
      </c>
      <c r="AP255" s="4">
        <v>6300</v>
      </c>
      <c r="AQ255" t="str">
        <f>VLOOKUP(N255,'[1]전체(5)'!$N:$AR,30,0)</f>
        <v>스토리위즈</v>
      </c>
      <c r="AR255" t="str">
        <f>VLOOKUP($N255,'[1]전체(5)'!$N:$AR,31,0)</f>
        <v>블랙커피</v>
      </c>
    </row>
    <row r="256" spans="1:44" x14ac:dyDescent="0.4">
      <c r="A256" s="3" t="s">
        <v>42</v>
      </c>
      <c r="B256" s="3" t="s">
        <v>43</v>
      </c>
      <c r="C256" s="3" t="s">
        <v>44</v>
      </c>
      <c r="D256" s="3" t="s">
        <v>45</v>
      </c>
      <c r="E256" s="3"/>
      <c r="F256" s="3" t="s">
        <v>46</v>
      </c>
      <c r="G256" s="3" t="s">
        <v>47</v>
      </c>
      <c r="H256" s="3" t="s">
        <v>48</v>
      </c>
      <c r="I256" s="3" t="s">
        <v>49</v>
      </c>
      <c r="J256" s="3">
        <v>55019302</v>
      </c>
      <c r="K256" s="3" t="s">
        <v>214</v>
      </c>
      <c r="L256" s="3"/>
      <c r="M256" s="3"/>
      <c r="N256" s="3" t="s">
        <v>73</v>
      </c>
      <c r="O256" s="3" t="s">
        <v>52</v>
      </c>
      <c r="P256" s="3">
        <v>0.7</v>
      </c>
      <c r="Q256" s="3">
        <v>0.6</v>
      </c>
      <c r="R256" s="4" t="s">
        <v>53</v>
      </c>
      <c r="S256" s="4">
        <v>900</v>
      </c>
      <c r="T256" s="4">
        <v>900</v>
      </c>
      <c r="U256" s="4">
        <v>900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900</v>
      </c>
      <c r="AE256" s="4">
        <v>900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630</v>
      </c>
      <c r="AO256" s="4">
        <v>0</v>
      </c>
      <c r="AP256" s="4">
        <v>630</v>
      </c>
      <c r="AQ256" t="str">
        <f>VLOOKUP(N256,'[1]전체(5)'!$N:$AR,30,0)</f>
        <v>스토리위즈</v>
      </c>
      <c r="AR256" t="str">
        <f>VLOOKUP($N256,'[1]전체(5)'!$N:$AR,31,0)</f>
        <v>스내치</v>
      </c>
    </row>
    <row r="257" spans="1:44" x14ac:dyDescent="0.4">
      <c r="A257" s="3" t="s">
        <v>42</v>
      </c>
      <c r="B257" s="3" t="s">
        <v>43</v>
      </c>
      <c r="C257" s="3" t="s">
        <v>44</v>
      </c>
      <c r="D257" s="3" t="s">
        <v>45</v>
      </c>
      <c r="E257" s="3"/>
      <c r="F257" s="3" t="s">
        <v>46</v>
      </c>
      <c r="G257" s="3" t="s">
        <v>47</v>
      </c>
      <c r="H257" s="3" t="s">
        <v>48</v>
      </c>
      <c r="I257" s="3" t="s">
        <v>49</v>
      </c>
      <c r="J257" s="3">
        <v>56520642</v>
      </c>
      <c r="K257" s="3" t="s">
        <v>221</v>
      </c>
      <c r="L257" s="3"/>
      <c r="M257" s="3"/>
      <c r="N257" s="3" t="s">
        <v>70</v>
      </c>
      <c r="O257" s="3" t="s">
        <v>52</v>
      </c>
      <c r="P257" s="3">
        <v>0.7</v>
      </c>
      <c r="Q257" s="3">
        <v>0.6</v>
      </c>
      <c r="R257" s="4" t="s">
        <v>110</v>
      </c>
      <c r="S257" s="4">
        <v>8100</v>
      </c>
      <c r="T257" s="4">
        <v>8100</v>
      </c>
      <c r="U257" s="4">
        <v>8100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8100</v>
      </c>
      <c r="AE257" s="4">
        <v>8100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5670</v>
      </c>
      <c r="AO257" s="4">
        <v>0</v>
      </c>
      <c r="AP257" s="4">
        <v>5670</v>
      </c>
      <c r="AQ257" t="str">
        <f>VLOOKUP(N257,'[1]전체(5)'!$N:$AR,30,0)</f>
        <v>스토리위즈</v>
      </c>
      <c r="AR257" t="str">
        <f>VLOOKUP($N257,'[1]전체(5)'!$N:$AR,31,0)</f>
        <v>김정률</v>
      </c>
    </row>
    <row r="258" spans="1:44" x14ac:dyDescent="0.4">
      <c r="A258" s="3" t="s">
        <v>42</v>
      </c>
      <c r="B258" s="3" t="s">
        <v>43</v>
      </c>
      <c r="C258" s="3" t="s">
        <v>44</v>
      </c>
      <c r="D258" s="3" t="s">
        <v>45</v>
      </c>
      <c r="E258" s="3"/>
      <c r="F258" s="3" t="s">
        <v>46</v>
      </c>
      <c r="G258" s="3" t="s">
        <v>47</v>
      </c>
      <c r="H258" s="3" t="s">
        <v>48</v>
      </c>
      <c r="I258" s="3" t="s">
        <v>49</v>
      </c>
      <c r="J258" s="3">
        <v>47913458</v>
      </c>
      <c r="K258" s="3" t="s">
        <v>160</v>
      </c>
      <c r="L258" s="3"/>
      <c r="M258" s="3"/>
      <c r="N258" s="3" t="s">
        <v>64</v>
      </c>
      <c r="O258" s="3" t="s">
        <v>52</v>
      </c>
      <c r="P258" s="3">
        <v>0.7</v>
      </c>
      <c r="Q258" s="3">
        <v>0.6</v>
      </c>
      <c r="R258" s="4" t="s">
        <v>53</v>
      </c>
      <c r="S258" s="4">
        <v>9000</v>
      </c>
      <c r="T258" s="4">
        <v>9000</v>
      </c>
      <c r="U258" s="4">
        <v>9000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9000</v>
      </c>
      <c r="AE258" s="4">
        <v>9000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6300</v>
      </c>
      <c r="AO258" s="4">
        <v>0</v>
      </c>
      <c r="AP258" s="4">
        <v>6300</v>
      </c>
      <c r="AQ258" t="str">
        <f>VLOOKUP(N258,'[1]전체(5)'!$N:$AR,30,0)</f>
        <v>스토리위즈</v>
      </c>
      <c r="AR258" t="str">
        <f>VLOOKUP($N258,'[1]전체(5)'!$N:$AR,31,0)</f>
        <v>전혁</v>
      </c>
    </row>
    <row r="259" spans="1:44" x14ac:dyDescent="0.4">
      <c r="A259" s="3" t="s">
        <v>42</v>
      </c>
      <c r="B259" s="3" t="s">
        <v>43</v>
      </c>
      <c r="C259" s="3" t="s">
        <v>44</v>
      </c>
      <c r="D259" s="3" t="s">
        <v>45</v>
      </c>
      <c r="E259" s="3"/>
      <c r="F259" s="3" t="s">
        <v>46</v>
      </c>
      <c r="G259" s="3" t="s">
        <v>47</v>
      </c>
      <c r="H259" s="3" t="s">
        <v>48</v>
      </c>
      <c r="I259" s="3" t="s">
        <v>49</v>
      </c>
      <c r="J259" s="3">
        <v>52488221</v>
      </c>
      <c r="K259" s="3" t="s">
        <v>253</v>
      </c>
      <c r="L259" s="3"/>
      <c r="M259" s="3"/>
      <c r="N259" s="3" t="s">
        <v>73</v>
      </c>
      <c r="O259" s="3" t="s">
        <v>52</v>
      </c>
      <c r="P259" s="3">
        <v>0.7</v>
      </c>
      <c r="Q259" s="3">
        <v>0.6</v>
      </c>
      <c r="R259" s="4" t="s">
        <v>53</v>
      </c>
      <c r="S259" s="4">
        <v>900</v>
      </c>
      <c r="T259" s="4">
        <v>2700</v>
      </c>
      <c r="U259" s="4">
        <v>2700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2700</v>
      </c>
      <c r="AE259" s="4">
        <v>2700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1890</v>
      </c>
      <c r="AO259" s="4">
        <v>0</v>
      </c>
      <c r="AP259" s="4">
        <v>1890</v>
      </c>
      <c r="AQ259" t="str">
        <f>VLOOKUP(N259,'[1]전체(5)'!$N:$AR,30,0)</f>
        <v>스토리위즈</v>
      </c>
      <c r="AR259" t="str">
        <f>VLOOKUP($N259,'[1]전체(5)'!$N:$AR,31,0)</f>
        <v>스내치</v>
      </c>
    </row>
    <row r="260" spans="1:44" x14ac:dyDescent="0.4">
      <c r="A260" s="3" t="s">
        <v>42</v>
      </c>
      <c r="B260" s="3" t="s">
        <v>43</v>
      </c>
      <c r="C260" s="3" t="s">
        <v>44</v>
      </c>
      <c r="D260" s="3" t="s">
        <v>45</v>
      </c>
      <c r="E260" s="3"/>
      <c r="F260" s="3" t="s">
        <v>46</v>
      </c>
      <c r="G260" s="3" t="s">
        <v>47</v>
      </c>
      <c r="H260" s="3" t="s">
        <v>48</v>
      </c>
      <c r="I260" s="3" t="s">
        <v>49</v>
      </c>
      <c r="J260" s="3">
        <v>55019302</v>
      </c>
      <c r="K260" s="3" t="s">
        <v>214</v>
      </c>
      <c r="L260" s="3"/>
      <c r="M260" s="3"/>
      <c r="N260" s="3" t="s">
        <v>73</v>
      </c>
      <c r="O260" s="3" t="s">
        <v>52</v>
      </c>
      <c r="P260" s="3">
        <v>0.7</v>
      </c>
      <c r="Q260" s="3">
        <v>0.6</v>
      </c>
      <c r="R260" s="4" t="s">
        <v>53</v>
      </c>
      <c r="S260" s="4">
        <v>2700</v>
      </c>
      <c r="T260" s="4">
        <v>2700</v>
      </c>
      <c r="U260" s="4">
        <v>2700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2700</v>
      </c>
      <c r="AE260" s="4">
        <v>2700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1890</v>
      </c>
      <c r="AO260" s="4">
        <v>0</v>
      </c>
      <c r="AP260" s="4">
        <v>1890</v>
      </c>
      <c r="AQ260" t="str">
        <f>VLOOKUP(N260,'[1]전체(5)'!$N:$AR,30,0)</f>
        <v>스토리위즈</v>
      </c>
      <c r="AR260" t="str">
        <f>VLOOKUP($N260,'[1]전체(5)'!$N:$AR,31,0)</f>
        <v>스내치</v>
      </c>
    </row>
    <row r="261" spans="1:44" x14ac:dyDescent="0.4">
      <c r="A261" s="3" t="s">
        <v>42</v>
      </c>
      <c r="B261" s="3" t="s">
        <v>43</v>
      </c>
      <c r="C261" s="3" t="s">
        <v>44</v>
      </c>
      <c r="D261" s="3" t="s">
        <v>45</v>
      </c>
      <c r="E261" s="3"/>
      <c r="F261" s="3" t="s">
        <v>46</v>
      </c>
      <c r="G261" s="3" t="s">
        <v>47</v>
      </c>
      <c r="H261" s="3" t="s">
        <v>48</v>
      </c>
      <c r="I261" s="3" t="s">
        <v>49</v>
      </c>
      <c r="J261" s="3">
        <v>55019302</v>
      </c>
      <c r="K261" s="3" t="s">
        <v>214</v>
      </c>
      <c r="L261" s="3"/>
      <c r="M261" s="3"/>
      <c r="N261" s="3" t="s">
        <v>73</v>
      </c>
      <c r="O261" s="3" t="s">
        <v>52</v>
      </c>
      <c r="P261" s="3">
        <v>0.7</v>
      </c>
      <c r="Q261" s="3">
        <v>0.6</v>
      </c>
      <c r="R261" s="4" t="s">
        <v>53</v>
      </c>
      <c r="S261" s="4">
        <v>4500</v>
      </c>
      <c r="T261" s="4">
        <v>9000</v>
      </c>
      <c r="U261" s="4">
        <v>9000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9000</v>
      </c>
      <c r="AE261" s="4">
        <v>9000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6300</v>
      </c>
      <c r="AO261" s="4">
        <v>0</v>
      </c>
      <c r="AP261" s="4">
        <v>6300</v>
      </c>
      <c r="AQ261" t="str">
        <f>VLOOKUP(N261,'[1]전체(5)'!$N:$AR,30,0)</f>
        <v>스토리위즈</v>
      </c>
      <c r="AR261" t="str">
        <f>VLOOKUP($N261,'[1]전체(5)'!$N:$AR,31,0)</f>
        <v>스내치</v>
      </c>
    </row>
    <row r="262" spans="1:44" x14ac:dyDescent="0.4">
      <c r="A262" s="3" t="s">
        <v>42</v>
      </c>
      <c r="B262" s="3" t="s">
        <v>43</v>
      </c>
      <c r="C262" s="3" t="s">
        <v>44</v>
      </c>
      <c r="D262" s="3" t="s">
        <v>45</v>
      </c>
      <c r="E262" s="3"/>
      <c r="F262" s="3" t="s">
        <v>46</v>
      </c>
      <c r="G262" s="3" t="s">
        <v>47</v>
      </c>
      <c r="H262" s="3" t="s">
        <v>48</v>
      </c>
      <c r="I262" s="3" t="s">
        <v>49</v>
      </c>
      <c r="J262" s="3">
        <v>48381559</v>
      </c>
      <c r="K262" s="3" t="s">
        <v>163</v>
      </c>
      <c r="L262" s="3"/>
      <c r="M262" s="3"/>
      <c r="N262" s="3" t="s">
        <v>87</v>
      </c>
      <c r="O262" s="3" t="s">
        <v>52</v>
      </c>
      <c r="P262" s="3">
        <v>0.7</v>
      </c>
      <c r="Q262" s="3">
        <v>0.6</v>
      </c>
      <c r="R262" s="4" t="s">
        <v>56</v>
      </c>
      <c r="S262" s="4">
        <v>100</v>
      </c>
      <c r="T262" s="4">
        <v>3100</v>
      </c>
      <c r="U262" s="4">
        <v>600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2500</v>
      </c>
      <c r="AD262" s="4">
        <v>3100</v>
      </c>
      <c r="AE262" s="4">
        <v>600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2500</v>
      </c>
      <c r="AN262" s="4">
        <v>2170</v>
      </c>
      <c r="AO262" s="4">
        <v>0</v>
      </c>
      <c r="AP262" s="4">
        <v>2170</v>
      </c>
      <c r="AQ262" t="str">
        <f>VLOOKUP(N262,'[1]전체(5)'!$N:$AR,30,0)</f>
        <v>스토리위즈</v>
      </c>
      <c r="AR262" t="str">
        <f>VLOOKUP($N262,'[1]전체(5)'!$N:$AR,31,0)</f>
        <v>권용찬</v>
      </c>
    </row>
    <row r="263" spans="1:44" x14ac:dyDescent="0.4">
      <c r="A263" s="3" t="s">
        <v>42</v>
      </c>
      <c r="B263" s="3" t="s">
        <v>43</v>
      </c>
      <c r="C263" s="3" t="s">
        <v>44</v>
      </c>
      <c r="D263" s="3" t="s">
        <v>45</v>
      </c>
      <c r="E263" s="3"/>
      <c r="F263" s="3" t="s">
        <v>46</v>
      </c>
      <c r="G263" s="3" t="s">
        <v>47</v>
      </c>
      <c r="H263" s="3" t="s">
        <v>48</v>
      </c>
      <c r="I263" s="3" t="s">
        <v>49</v>
      </c>
      <c r="J263" s="3">
        <v>48381559</v>
      </c>
      <c r="K263" s="3" t="s">
        <v>163</v>
      </c>
      <c r="L263" s="3"/>
      <c r="M263" s="3"/>
      <c r="N263" s="3" t="s">
        <v>87</v>
      </c>
      <c r="O263" s="3" t="s">
        <v>52</v>
      </c>
      <c r="P263" s="3">
        <v>0.7</v>
      </c>
      <c r="Q263" s="3">
        <v>0.6</v>
      </c>
      <c r="R263" s="4" t="s">
        <v>53</v>
      </c>
      <c r="S263" s="4">
        <v>2300</v>
      </c>
      <c r="T263" s="4">
        <v>4600</v>
      </c>
      <c r="U263" s="4">
        <v>4600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4600</v>
      </c>
      <c r="AE263" s="4">
        <v>4600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3220</v>
      </c>
      <c r="AO263" s="4">
        <v>0</v>
      </c>
      <c r="AP263" s="4">
        <v>3220</v>
      </c>
      <c r="AQ263" t="str">
        <f>VLOOKUP(N263,'[1]전체(5)'!$N:$AR,30,0)</f>
        <v>스토리위즈</v>
      </c>
      <c r="AR263" t="str">
        <f>VLOOKUP($N263,'[1]전체(5)'!$N:$AR,31,0)</f>
        <v>권용찬</v>
      </c>
    </row>
    <row r="264" spans="1:44" x14ac:dyDescent="0.4">
      <c r="A264" s="3" t="s">
        <v>42</v>
      </c>
      <c r="B264" s="3" t="s">
        <v>43</v>
      </c>
      <c r="C264" s="3" t="s">
        <v>44</v>
      </c>
      <c r="D264" s="3" t="s">
        <v>45</v>
      </c>
      <c r="E264" s="3"/>
      <c r="F264" s="3" t="s">
        <v>46</v>
      </c>
      <c r="G264" s="3" t="s">
        <v>47</v>
      </c>
      <c r="H264" s="3" t="s">
        <v>48</v>
      </c>
      <c r="I264" s="3" t="s">
        <v>49</v>
      </c>
      <c r="J264" s="3">
        <v>48381559</v>
      </c>
      <c r="K264" s="3" t="s">
        <v>163</v>
      </c>
      <c r="L264" s="3"/>
      <c r="M264" s="3"/>
      <c r="N264" s="3" t="s">
        <v>87</v>
      </c>
      <c r="O264" s="3" t="s">
        <v>52</v>
      </c>
      <c r="P264" s="3">
        <v>0.7</v>
      </c>
      <c r="Q264" s="3">
        <v>0.6</v>
      </c>
      <c r="R264" s="4" t="s">
        <v>53</v>
      </c>
      <c r="S264" s="4">
        <v>6800</v>
      </c>
      <c r="T264" s="4">
        <v>6800</v>
      </c>
      <c r="U264" s="4">
        <v>6800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6800</v>
      </c>
      <c r="AE264" s="4">
        <v>6800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4760</v>
      </c>
      <c r="AO264" s="4">
        <v>0</v>
      </c>
      <c r="AP264" s="4">
        <v>4760</v>
      </c>
      <c r="AQ264" t="str">
        <f>VLOOKUP(N264,'[1]전체(5)'!$N:$AR,30,0)</f>
        <v>스토리위즈</v>
      </c>
      <c r="AR264" t="str">
        <f>VLOOKUP($N264,'[1]전체(5)'!$N:$AR,31,0)</f>
        <v>권용찬</v>
      </c>
    </row>
    <row r="265" spans="1:44" x14ac:dyDescent="0.4">
      <c r="A265" s="3" t="s">
        <v>42</v>
      </c>
      <c r="B265" s="3" t="s">
        <v>43</v>
      </c>
      <c r="C265" s="3" t="s">
        <v>44</v>
      </c>
      <c r="D265" s="3" t="s">
        <v>45</v>
      </c>
      <c r="E265" s="3"/>
      <c r="F265" s="3" t="s">
        <v>46</v>
      </c>
      <c r="G265" s="3" t="s">
        <v>47</v>
      </c>
      <c r="H265" s="3" t="s">
        <v>48</v>
      </c>
      <c r="I265" s="3" t="s">
        <v>49</v>
      </c>
      <c r="J265" s="3">
        <v>55928146</v>
      </c>
      <c r="K265" s="3" t="s">
        <v>240</v>
      </c>
      <c r="L265" s="3"/>
      <c r="M265" s="3"/>
      <c r="N265" s="3" t="s">
        <v>241</v>
      </c>
      <c r="O265" s="3" t="s">
        <v>52</v>
      </c>
      <c r="P265" s="3">
        <v>0.7</v>
      </c>
      <c r="Q265" s="3">
        <v>0.6</v>
      </c>
      <c r="R265" s="4" t="s">
        <v>56</v>
      </c>
      <c r="S265" s="4">
        <v>100</v>
      </c>
      <c r="T265" s="4">
        <v>7300</v>
      </c>
      <c r="U265" s="4">
        <v>3400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3900</v>
      </c>
      <c r="AD265" s="4">
        <v>7300</v>
      </c>
      <c r="AE265" s="4">
        <v>3400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3900</v>
      </c>
      <c r="AN265" s="4">
        <v>5110</v>
      </c>
      <c r="AO265" s="4">
        <v>0</v>
      </c>
      <c r="AP265" s="4">
        <v>5110</v>
      </c>
      <c r="AQ265" t="str">
        <f>VLOOKUP(N265,'[1]전체(5)'!$N:$AR,30,0)</f>
        <v>스토리위즈</v>
      </c>
      <c r="AR265" t="str">
        <f>VLOOKUP($N265,'[1]전체(5)'!$N:$AR,31,0)</f>
        <v>쇠렌센</v>
      </c>
    </row>
    <row r="266" spans="1:44" x14ac:dyDescent="0.4">
      <c r="A266" s="3" t="s">
        <v>42</v>
      </c>
      <c r="B266" s="3" t="s">
        <v>43</v>
      </c>
      <c r="C266" s="3" t="s">
        <v>44</v>
      </c>
      <c r="D266" s="3" t="s">
        <v>45</v>
      </c>
      <c r="E266" s="3"/>
      <c r="F266" s="3" t="s">
        <v>46</v>
      </c>
      <c r="G266" s="3" t="s">
        <v>47</v>
      </c>
      <c r="H266" s="3" t="s">
        <v>48</v>
      </c>
      <c r="I266" s="3" t="s">
        <v>49</v>
      </c>
      <c r="J266" s="3">
        <v>55928146</v>
      </c>
      <c r="K266" s="3" t="s">
        <v>240</v>
      </c>
      <c r="L266" s="3"/>
      <c r="M266" s="3"/>
      <c r="N266" s="3" t="s">
        <v>241</v>
      </c>
      <c r="O266" s="3" t="s">
        <v>52</v>
      </c>
      <c r="P266" s="3">
        <v>0.7</v>
      </c>
      <c r="Q266" s="3">
        <v>0.6</v>
      </c>
      <c r="R266" s="4" t="s">
        <v>53</v>
      </c>
      <c r="S266" s="4">
        <v>9000</v>
      </c>
      <c r="T266" s="4">
        <v>9000</v>
      </c>
      <c r="U266" s="4">
        <v>9000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9000</v>
      </c>
      <c r="AE266" s="4">
        <v>9000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6300</v>
      </c>
      <c r="AO266" s="4">
        <v>0</v>
      </c>
      <c r="AP266" s="4">
        <v>6300</v>
      </c>
      <c r="AQ266" t="str">
        <f>VLOOKUP(N266,'[1]전체(5)'!$N:$AR,30,0)</f>
        <v>스토리위즈</v>
      </c>
      <c r="AR266" t="str">
        <f>VLOOKUP($N266,'[1]전체(5)'!$N:$AR,31,0)</f>
        <v>쇠렌센</v>
      </c>
    </row>
    <row r="267" spans="1:44" x14ac:dyDescent="0.4">
      <c r="A267" s="3" t="s">
        <v>42</v>
      </c>
      <c r="B267" s="3" t="s">
        <v>43</v>
      </c>
      <c r="C267" s="3" t="s">
        <v>44</v>
      </c>
      <c r="D267" s="3" t="s">
        <v>45</v>
      </c>
      <c r="E267" s="3"/>
      <c r="F267" s="3" t="s">
        <v>46</v>
      </c>
      <c r="G267" s="3" t="s">
        <v>47</v>
      </c>
      <c r="H267" s="3" t="s">
        <v>48</v>
      </c>
      <c r="I267" s="3" t="s">
        <v>49</v>
      </c>
      <c r="J267" s="3">
        <v>55928146</v>
      </c>
      <c r="K267" s="3" t="s">
        <v>240</v>
      </c>
      <c r="L267" s="3"/>
      <c r="M267" s="3"/>
      <c r="N267" s="3" t="s">
        <v>241</v>
      </c>
      <c r="O267" s="3" t="s">
        <v>52</v>
      </c>
      <c r="P267" s="3">
        <v>0.7</v>
      </c>
      <c r="Q267" s="3">
        <v>0.6</v>
      </c>
      <c r="R267" s="4" t="s">
        <v>53</v>
      </c>
      <c r="S267" s="4">
        <v>18000</v>
      </c>
      <c r="T267" s="4">
        <v>18000</v>
      </c>
      <c r="U267" s="4">
        <v>18000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18000</v>
      </c>
      <c r="AE267" s="4">
        <v>18000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12600</v>
      </c>
      <c r="AO267" s="4">
        <v>0</v>
      </c>
      <c r="AP267" s="4">
        <v>12600</v>
      </c>
      <c r="AQ267" t="str">
        <f>VLOOKUP(N267,'[1]전체(5)'!$N:$AR,30,0)</f>
        <v>스토리위즈</v>
      </c>
      <c r="AR267" t="str">
        <f>VLOOKUP($N267,'[1]전체(5)'!$N:$AR,31,0)</f>
        <v>쇠렌센</v>
      </c>
    </row>
    <row r="268" spans="1:44" x14ac:dyDescent="0.4">
      <c r="A268" s="3" t="s">
        <v>42</v>
      </c>
      <c r="B268" s="3" t="s">
        <v>43</v>
      </c>
      <c r="C268" s="3" t="s">
        <v>44</v>
      </c>
      <c r="D268" s="3" t="s">
        <v>45</v>
      </c>
      <c r="E268" s="3"/>
      <c r="F268" s="3" t="s">
        <v>46</v>
      </c>
      <c r="G268" s="3" t="s">
        <v>47</v>
      </c>
      <c r="H268" s="3" t="s">
        <v>48</v>
      </c>
      <c r="I268" s="3" t="s">
        <v>49</v>
      </c>
      <c r="J268" s="3">
        <v>50924987</v>
      </c>
      <c r="K268" s="3" t="s">
        <v>245</v>
      </c>
      <c r="L268" s="3"/>
      <c r="M268" s="3"/>
      <c r="N268" s="3" t="s">
        <v>73</v>
      </c>
      <c r="O268" s="3" t="s">
        <v>52</v>
      </c>
      <c r="P268" s="3">
        <v>0.7</v>
      </c>
      <c r="Q268" s="3">
        <v>0.6</v>
      </c>
      <c r="R268" s="4" t="s">
        <v>56</v>
      </c>
      <c r="S268" s="4">
        <v>100</v>
      </c>
      <c r="T268" s="4">
        <v>6200</v>
      </c>
      <c r="U268" s="4">
        <v>4200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2000</v>
      </c>
      <c r="AD268" s="4">
        <v>6200</v>
      </c>
      <c r="AE268" s="4">
        <v>4200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2000</v>
      </c>
      <c r="AN268" s="4">
        <v>4340</v>
      </c>
      <c r="AO268" s="4">
        <v>0</v>
      </c>
      <c r="AP268" s="4">
        <v>4340</v>
      </c>
      <c r="AQ268" t="str">
        <f>VLOOKUP(N268,'[1]전체(5)'!$N:$AR,30,0)</f>
        <v>스토리위즈</v>
      </c>
      <c r="AR268" t="str">
        <f>VLOOKUP($N268,'[1]전체(5)'!$N:$AR,31,0)</f>
        <v>스내치</v>
      </c>
    </row>
    <row r="269" spans="1:44" x14ac:dyDescent="0.4">
      <c r="A269" s="3" t="s">
        <v>42</v>
      </c>
      <c r="B269" s="3" t="s">
        <v>43</v>
      </c>
      <c r="C269" s="3" t="s">
        <v>44</v>
      </c>
      <c r="D269" s="3" t="s">
        <v>45</v>
      </c>
      <c r="E269" s="3"/>
      <c r="F269" s="3" t="s">
        <v>46</v>
      </c>
      <c r="G269" s="3" t="s">
        <v>47</v>
      </c>
      <c r="H269" s="3" t="s">
        <v>48</v>
      </c>
      <c r="I269" s="3" t="s">
        <v>49</v>
      </c>
      <c r="J269" s="3">
        <v>55928146</v>
      </c>
      <c r="K269" s="3" t="s">
        <v>240</v>
      </c>
      <c r="L269" s="3"/>
      <c r="M269" s="3"/>
      <c r="N269" s="3" t="s">
        <v>241</v>
      </c>
      <c r="O269" s="3" t="s">
        <v>52</v>
      </c>
      <c r="P269" s="3">
        <v>0.7</v>
      </c>
      <c r="Q269" s="3">
        <v>0.6</v>
      </c>
      <c r="R269" s="4" t="s">
        <v>53</v>
      </c>
      <c r="S269" s="4">
        <v>27000</v>
      </c>
      <c r="T269" s="4">
        <v>27000</v>
      </c>
      <c r="U269" s="4">
        <v>27000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27000</v>
      </c>
      <c r="AE269" s="4">
        <v>27000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18900</v>
      </c>
      <c r="AO269" s="4">
        <v>0</v>
      </c>
      <c r="AP269" s="4">
        <v>18900</v>
      </c>
      <c r="AQ269" t="str">
        <f>VLOOKUP(N269,'[1]전체(5)'!$N:$AR,30,0)</f>
        <v>스토리위즈</v>
      </c>
      <c r="AR269" t="str">
        <f>VLOOKUP($N269,'[1]전체(5)'!$N:$AR,31,0)</f>
        <v>쇠렌센</v>
      </c>
    </row>
    <row r="270" spans="1:44" x14ac:dyDescent="0.4">
      <c r="A270" s="3" t="s">
        <v>42</v>
      </c>
      <c r="B270" s="3" t="s">
        <v>43</v>
      </c>
      <c r="C270" s="3" t="s">
        <v>44</v>
      </c>
      <c r="D270" s="3" t="s">
        <v>45</v>
      </c>
      <c r="E270" s="3"/>
      <c r="F270" s="3" t="s">
        <v>46</v>
      </c>
      <c r="G270" s="3" t="s">
        <v>47</v>
      </c>
      <c r="H270" s="3" t="s">
        <v>48</v>
      </c>
      <c r="I270" s="3" t="s">
        <v>49</v>
      </c>
      <c r="J270" s="3">
        <v>52042920</v>
      </c>
      <c r="K270" s="3" t="s">
        <v>103</v>
      </c>
      <c r="L270" s="3"/>
      <c r="M270" s="3"/>
      <c r="N270" s="3" t="s">
        <v>104</v>
      </c>
      <c r="O270" s="3" t="s">
        <v>52</v>
      </c>
      <c r="P270" s="3">
        <v>0.7</v>
      </c>
      <c r="Q270" s="3">
        <v>0.6</v>
      </c>
      <c r="R270" s="4" t="s">
        <v>56</v>
      </c>
      <c r="S270" s="4">
        <v>100</v>
      </c>
      <c r="T270" s="4">
        <v>4400</v>
      </c>
      <c r="U270" s="4">
        <v>3900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500</v>
      </c>
      <c r="AD270" s="4">
        <v>4400</v>
      </c>
      <c r="AE270" s="4">
        <v>3900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500</v>
      </c>
      <c r="AN270" s="4">
        <v>3080</v>
      </c>
      <c r="AO270" s="4">
        <v>0</v>
      </c>
      <c r="AP270" s="4">
        <v>3080</v>
      </c>
      <c r="AQ270" t="str">
        <f>VLOOKUP(N270,'[1]전체(5)'!$N:$AR,30,0)</f>
        <v>스토리위즈</v>
      </c>
      <c r="AR270" t="str">
        <f>VLOOKUP($N270,'[1]전체(5)'!$N:$AR,31,0)</f>
        <v>라비니안느</v>
      </c>
    </row>
    <row r="271" spans="1:44" x14ac:dyDescent="0.4">
      <c r="A271" s="3" t="s">
        <v>42</v>
      </c>
      <c r="B271" s="3" t="s">
        <v>43</v>
      </c>
      <c r="C271" s="3" t="s">
        <v>44</v>
      </c>
      <c r="D271" s="3" t="s">
        <v>45</v>
      </c>
      <c r="E271" s="3"/>
      <c r="F271" s="3" t="s">
        <v>46</v>
      </c>
      <c r="G271" s="3" t="s">
        <v>47</v>
      </c>
      <c r="H271" s="3" t="s">
        <v>48</v>
      </c>
      <c r="I271" s="3" t="s">
        <v>49</v>
      </c>
      <c r="J271" s="3">
        <v>54966528</v>
      </c>
      <c r="K271" s="3" t="s">
        <v>212</v>
      </c>
      <c r="L271" s="3"/>
      <c r="M271" s="3"/>
      <c r="N271" s="3" t="s">
        <v>213</v>
      </c>
      <c r="O271" s="3" t="s">
        <v>52</v>
      </c>
      <c r="P271" s="3">
        <v>0.7</v>
      </c>
      <c r="Q271" s="3">
        <v>0.6</v>
      </c>
      <c r="R271" s="4" t="s">
        <v>56</v>
      </c>
      <c r="S271" s="4">
        <v>100</v>
      </c>
      <c r="T271" s="4">
        <v>5700</v>
      </c>
      <c r="U271" s="4">
        <v>5000</v>
      </c>
      <c r="V271" s="4">
        <v>0</v>
      </c>
      <c r="W271" s="4">
        <v>0</v>
      </c>
      <c r="X271" s="4">
        <v>0</v>
      </c>
      <c r="Y271" s="4">
        <v>200</v>
      </c>
      <c r="Z271" s="4">
        <v>0</v>
      </c>
      <c r="AA271" s="4">
        <v>0</v>
      </c>
      <c r="AB271" s="4">
        <v>0</v>
      </c>
      <c r="AC271" s="4">
        <v>500</v>
      </c>
      <c r="AD271" s="4">
        <v>5740</v>
      </c>
      <c r="AE271" s="4">
        <v>5000</v>
      </c>
      <c r="AF271" s="4">
        <v>0</v>
      </c>
      <c r="AG271" s="4">
        <v>0</v>
      </c>
      <c r="AH271" s="4">
        <v>0</v>
      </c>
      <c r="AI271" s="4">
        <v>240</v>
      </c>
      <c r="AJ271" s="4">
        <v>0</v>
      </c>
      <c r="AK271" s="4">
        <v>0</v>
      </c>
      <c r="AL271" s="4">
        <v>0</v>
      </c>
      <c r="AM271" s="4">
        <v>500</v>
      </c>
      <c r="AN271" s="4">
        <v>3994</v>
      </c>
      <c r="AO271" s="4">
        <v>0</v>
      </c>
      <c r="AP271" s="4">
        <v>3994</v>
      </c>
      <c r="AQ271" t="str">
        <f>VLOOKUP(N271,'[1]전체(5)'!$N:$AR,30,0)</f>
        <v>스토리위즈</v>
      </c>
      <c r="AR271" t="str">
        <f>VLOOKUP($N271,'[1]전체(5)'!$N:$AR,31,0)</f>
        <v>해달화영</v>
      </c>
    </row>
    <row r="272" spans="1:44" x14ac:dyDescent="0.4">
      <c r="A272" s="3" t="s">
        <v>42</v>
      </c>
      <c r="B272" s="3" t="s">
        <v>43</v>
      </c>
      <c r="C272" s="3" t="s">
        <v>44</v>
      </c>
      <c r="D272" s="3" t="s">
        <v>45</v>
      </c>
      <c r="E272" s="3"/>
      <c r="F272" s="3" t="s">
        <v>46</v>
      </c>
      <c r="G272" s="3" t="s">
        <v>47</v>
      </c>
      <c r="H272" s="3" t="s">
        <v>48</v>
      </c>
      <c r="I272" s="3" t="s">
        <v>49</v>
      </c>
      <c r="J272" s="3">
        <v>52042920</v>
      </c>
      <c r="K272" s="3" t="s">
        <v>103</v>
      </c>
      <c r="L272" s="3"/>
      <c r="M272" s="3"/>
      <c r="N272" s="3" t="s">
        <v>104</v>
      </c>
      <c r="O272" s="3" t="s">
        <v>52</v>
      </c>
      <c r="P272" s="3">
        <v>0.7</v>
      </c>
      <c r="Q272" s="3">
        <v>0.6</v>
      </c>
      <c r="R272" s="4" t="s">
        <v>53</v>
      </c>
      <c r="S272" s="4">
        <v>900</v>
      </c>
      <c r="T272" s="4">
        <v>9400</v>
      </c>
      <c r="U272" s="4">
        <v>6900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2500</v>
      </c>
      <c r="AD272" s="4">
        <v>9400</v>
      </c>
      <c r="AE272" s="4">
        <v>6900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2500</v>
      </c>
      <c r="AN272" s="4">
        <v>6580</v>
      </c>
      <c r="AO272" s="4">
        <v>0</v>
      </c>
      <c r="AP272" s="4">
        <v>6580</v>
      </c>
      <c r="AQ272" t="str">
        <f>VLOOKUP(N272,'[1]전체(5)'!$N:$AR,30,0)</f>
        <v>스토리위즈</v>
      </c>
      <c r="AR272" t="str">
        <f>VLOOKUP($N272,'[1]전체(5)'!$N:$AR,31,0)</f>
        <v>라비니안느</v>
      </c>
    </row>
    <row r="273" spans="1:44" x14ac:dyDescent="0.4">
      <c r="A273" s="3" t="s">
        <v>42</v>
      </c>
      <c r="B273" s="3" t="s">
        <v>43</v>
      </c>
      <c r="C273" s="3" t="s">
        <v>44</v>
      </c>
      <c r="D273" s="3" t="s">
        <v>45</v>
      </c>
      <c r="E273" s="3"/>
      <c r="F273" s="3" t="s">
        <v>46</v>
      </c>
      <c r="G273" s="3" t="s">
        <v>47</v>
      </c>
      <c r="H273" s="3" t="s">
        <v>48</v>
      </c>
      <c r="I273" s="3" t="s">
        <v>49</v>
      </c>
      <c r="J273" s="3">
        <v>54966528</v>
      </c>
      <c r="K273" s="3" t="s">
        <v>212</v>
      </c>
      <c r="L273" s="3"/>
      <c r="M273" s="3"/>
      <c r="N273" s="3" t="s">
        <v>213</v>
      </c>
      <c r="O273" s="3" t="s">
        <v>52</v>
      </c>
      <c r="P273" s="3">
        <v>0.7</v>
      </c>
      <c r="Q273" s="3">
        <v>0.6</v>
      </c>
      <c r="R273" s="4" t="s">
        <v>53</v>
      </c>
      <c r="S273" s="4">
        <v>900</v>
      </c>
      <c r="T273" s="4">
        <v>1800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1800</v>
      </c>
      <c r="AD273" s="4">
        <v>1800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1800</v>
      </c>
      <c r="AN273" s="4">
        <v>1260</v>
      </c>
      <c r="AO273" s="4">
        <v>0</v>
      </c>
      <c r="AP273" s="4">
        <v>1260</v>
      </c>
      <c r="AQ273" t="str">
        <f>VLOOKUP(N273,'[1]전체(5)'!$N:$AR,30,0)</f>
        <v>스토리위즈</v>
      </c>
      <c r="AR273" t="str">
        <f>VLOOKUP($N273,'[1]전체(5)'!$N:$AR,31,0)</f>
        <v>해달화영</v>
      </c>
    </row>
    <row r="274" spans="1:44" x14ac:dyDescent="0.4">
      <c r="A274" s="3" t="s">
        <v>42</v>
      </c>
      <c r="B274" s="3" t="s">
        <v>43</v>
      </c>
      <c r="C274" s="3" t="s">
        <v>44</v>
      </c>
      <c r="D274" s="3" t="s">
        <v>45</v>
      </c>
      <c r="E274" s="3"/>
      <c r="F274" s="3" t="s">
        <v>46</v>
      </c>
      <c r="G274" s="3" t="s">
        <v>47</v>
      </c>
      <c r="H274" s="3" t="s">
        <v>48</v>
      </c>
      <c r="I274" s="3" t="s">
        <v>49</v>
      </c>
      <c r="J274" s="3">
        <v>52042920</v>
      </c>
      <c r="K274" s="3" t="s">
        <v>103</v>
      </c>
      <c r="L274" s="3"/>
      <c r="M274" s="3"/>
      <c r="N274" s="3" t="s">
        <v>104</v>
      </c>
      <c r="O274" s="3" t="s">
        <v>52</v>
      </c>
      <c r="P274" s="3">
        <v>0.7</v>
      </c>
      <c r="Q274" s="3">
        <v>0.6</v>
      </c>
      <c r="R274" s="4" t="s">
        <v>53</v>
      </c>
      <c r="S274" s="4">
        <v>2700</v>
      </c>
      <c r="T274" s="4">
        <v>2700</v>
      </c>
      <c r="U274" s="4">
        <v>2100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600</v>
      </c>
      <c r="AD274" s="4">
        <v>2700</v>
      </c>
      <c r="AE274" s="4">
        <v>2100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600</v>
      </c>
      <c r="AN274" s="4">
        <v>1890</v>
      </c>
      <c r="AO274" s="4">
        <v>0</v>
      </c>
      <c r="AP274" s="4">
        <v>1890</v>
      </c>
      <c r="AQ274" t="str">
        <f>VLOOKUP(N274,'[1]전체(5)'!$N:$AR,30,0)</f>
        <v>스토리위즈</v>
      </c>
      <c r="AR274" t="str">
        <f>VLOOKUP($N274,'[1]전체(5)'!$N:$AR,31,0)</f>
        <v>라비니안느</v>
      </c>
    </row>
    <row r="275" spans="1:44" x14ac:dyDescent="0.4">
      <c r="A275" s="3" t="s">
        <v>42</v>
      </c>
      <c r="B275" s="3" t="s">
        <v>43</v>
      </c>
      <c r="C275" s="3" t="s">
        <v>44</v>
      </c>
      <c r="D275" s="3" t="s">
        <v>45</v>
      </c>
      <c r="E275" s="3"/>
      <c r="F275" s="3" t="s">
        <v>46</v>
      </c>
      <c r="G275" s="3" t="s">
        <v>47</v>
      </c>
      <c r="H275" s="3" t="s">
        <v>48</v>
      </c>
      <c r="I275" s="3" t="s">
        <v>49</v>
      </c>
      <c r="J275" s="3">
        <v>54966528</v>
      </c>
      <c r="K275" s="3" t="s">
        <v>212</v>
      </c>
      <c r="L275" s="3"/>
      <c r="M275" s="3"/>
      <c r="N275" s="3" t="s">
        <v>213</v>
      </c>
      <c r="O275" s="3" t="s">
        <v>52</v>
      </c>
      <c r="P275" s="3">
        <v>0.7</v>
      </c>
      <c r="Q275" s="3">
        <v>0.6</v>
      </c>
      <c r="R275" s="4" t="s">
        <v>53</v>
      </c>
      <c r="S275" s="4">
        <v>2700</v>
      </c>
      <c r="T275" s="4">
        <v>2700</v>
      </c>
      <c r="U275" s="4">
        <v>2700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2700</v>
      </c>
      <c r="AE275" s="4">
        <v>2700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1890</v>
      </c>
      <c r="AO275" s="4">
        <v>0</v>
      </c>
      <c r="AP275" s="4">
        <v>1890</v>
      </c>
      <c r="AQ275" t="str">
        <f>VLOOKUP(N275,'[1]전체(5)'!$N:$AR,30,0)</f>
        <v>스토리위즈</v>
      </c>
      <c r="AR275" t="str">
        <f>VLOOKUP($N275,'[1]전체(5)'!$N:$AR,31,0)</f>
        <v>해달화영</v>
      </c>
    </row>
    <row r="276" spans="1:44" x14ac:dyDescent="0.4">
      <c r="A276" s="3" t="s">
        <v>42</v>
      </c>
      <c r="B276" s="3" t="s">
        <v>43</v>
      </c>
      <c r="C276" s="3" t="s">
        <v>44</v>
      </c>
      <c r="D276" s="3" t="s">
        <v>45</v>
      </c>
      <c r="E276" s="3"/>
      <c r="F276" s="3" t="s">
        <v>46</v>
      </c>
      <c r="G276" s="3" t="s">
        <v>47</v>
      </c>
      <c r="H276" s="3" t="s">
        <v>48</v>
      </c>
      <c r="I276" s="3" t="s">
        <v>49</v>
      </c>
      <c r="J276" s="3">
        <v>54966528</v>
      </c>
      <c r="K276" s="3" t="s">
        <v>212</v>
      </c>
      <c r="L276" s="3"/>
      <c r="M276" s="3"/>
      <c r="N276" s="3" t="s">
        <v>213</v>
      </c>
      <c r="O276" s="3" t="s">
        <v>52</v>
      </c>
      <c r="P276" s="3">
        <v>0.7</v>
      </c>
      <c r="Q276" s="3">
        <v>0.6</v>
      </c>
      <c r="R276" s="4" t="s">
        <v>53</v>
      </c>
      <c r="S276" s="4">
        <v>4500</v>
      </c>
      <c r="T276" s="4">
        <v>-3600</v>
      </c>
      <c r="U276" s="4">
        <v>-3600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-3600</v>
      </c>
      <c r="AE276" s="4">
        <v>-3600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-2520</v>
      </c>
      <c r="AO276" s="4">
        <v>0</v>
      </c>
      <c r="AP276" s="4">
        <v>-2520</v>
      </c>
      <c r="AQ276" t="str">
        <f>VLOOKUP(N276,'[1]전체(5)'!$N:$AR,30,0)</f>
        <v>스토리위즈</v>
      </c>
      <c r="AR276" t="str">
        <f>VLOOKUP($N276,'[1]전체(5)'!$N:$AR,31,0)</f>
        <v>해달화영</v>
      </c>
    </row>
    <row r="277" spans="1:44" x14ac:dyDescent="0.4">
      <c r="A277" s="3" t="s">
        <v>42</v>
      </c>
      <c r="B277" s="3" t="s">
        <v>43</v>
      </c>
      <c r="C277" s="3" t="s">
        <v>44</v>
      </c>
      <c r="D277" s="3" t="s">
        <v>45</v>
      </c>
      <c r="E277" s="3"/>
      <c r="F277" s="3" t="s">
        <v>46</v>
      </c>
      <c r="G277" s="3" t="s">
        <v>47</v>
      </c>
      <c r="H277" s="3" t="s">
        <v>48</v>
      </c>
      <c r="I277" s="3" t="s">
        <v>49</v>
      </c>
      <c r="J277" s="3">
        <v>55182185</v>
      </c>
      <c r="K277" s="3" t="s">
        <v>220</v>
      </c>
      <c r="L277" s="3"/>
      <c r="M277" s="3"/>
      <c r="N277" s="3" t="s">
        <v>73</v>
      </c>
      <c r="O277" s="3" t="s">
        <v>52</v>
      </c>
      <c r="P277" s="3">
        <v>0.7</v>
      </c>
      <c r="Q277" s="3">
        <v>0.6</v>
      </c>
      <c r="R277" s="4" t="s">
        <v>56</v>
      </c>
      <c r="S277" s="4">
        <v>100</v>
      </c>
      <c r="T277" s="4">
        <v>3600</v>
      </c>
      <c r="U277" s="4">
        <v>3300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300</v>
      </c>
      <c r="AD277" s="4">
        <v>3600</v>
      </c>
      <c r="AE277" s="4">
        <v>3300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300</v>
      </c>
      <c r="AN277" s="4">
        <v>2520</v>
      </c>
      <c r="AO277" s="4">
        <v>0</v>
      </c>
      <c r="AP277" s="4">
        <v>2520</v>
      </c>
      <c r="AQ277" t="str">
        <f>VLOOKUP(N277,'[1]전체(5)'!$N:$AR,30,0)</f>
        <v>스토리위즈</v>
      </c>
      <c r="AR277" t="str">
        <f>VLOOKUP($N277,'[1]전체(5)'!$N:$AR,31,0)</f>
        <v>스내치</v>
      </c>
    </row>
    <row r="278" spans="1:44" x14ac:dyDescent="0.4">
      <c r="A278" s="3" t="s">
        <v>42</v>
      </c>
      <c r="B278" s="3" t="s">
        <v>43</v>
      </c>
      <c r="C278" s="3" t="s">
        <v>44</v>
      </c>
      <c r="D278" s="3" t="s">
        <v>45</v>
      </c>
      <c r="E278" s="3"/>
      <c r="F278" s="3" t="s">
        <v>46</v>
      </c>
      <c r="G278" s="3" t="s">
        <v>47</v>
      </c>
      <c r="H278" s="3" t="s">
        <v>48</v>
      </c>
      <c r="I278" s="3" t="s">
        <v>49</v>
      </c>
      <c r="J278" s="3">
        <v>55182185</v>
      </c>
      <c r="K278" s="3" t="s">
        <v>220</v>
      </c>
      <c r="L278" s="3"/>
      <c r="M278" s="3"/>
      <c r="N278" s="3" t="s">
        <v>73</v>
      </c>
      <c r="O278" s="3" t="s">
        <v>52</v>
      </c>
      <c r="P278" s="3">
        <v>0.7</v>
      </c>
      <c r="Q278" s="3">
        <v>0.6</v>
      </c>
      <c r="R278" s="4" t="s">
        <v>53</v>
      </c>
      <c r="S278" s="4">
        <v>900</v>
      </c>
      <c r="T278" s="4">
        <v>7200</v>
      </c>
      <c r="U278" s="4">
        <v>7200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7200</v>
      </c>
      <c r="AE278" s="4">
        <v>7200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5040</v>
      </c>
      <c r="AO278" s="4">
        <v>0</v>
      </c>
      <c r="AP278" s="4">
        <v>5040</v>
      </c>
      <c r="AQ278" t="str">
        <f>VLOOKUP(N278,'[1]전체(5)'!$N:$AR,30,0)</f>
        <v>스토리위즈</v>
      </c>
      <c r="AR278" t="str">
        <f>VLOOKUP($N278,'[1]전체(5)'!$N:$AR,31,0)</f>
        <v>스내치</v>
      </c>
    </row>
    <row r="279" spans="1:44" x14ac:dyDescent="0.4">
      <c r="A279" s="3" t="s">
        <v>42</v>
      </c>
      <c r="B279" s="3" t="s">
        <v>43</v>
      </c>
      <c r="C279" s="3" t="s">
        <v>44</v>
      </c>
      <c r="D279" s="3" t="s">
        <v>45</v>
      </c>
      <c r="E279" s="3"/>
      <c r="F279" s="3" t="s">
        <v>46</v>
      </c>
      <c r="G279" s="3" t="s">
        <v>47</v>
      </c>
      <c r="H279" s="3" t="s">
        <v>48</v>
      </c>
      <c r="I279" s="3" t="s">
        <v>49</v>
      </c>
      <c r="J279" s="3">
        <v>55182185</v>
      </c>
      <c r="K279" s="3" t="s">
        <v>220</v>
      </c>
      <c r="L279" s="3"/>
      <c r="M279" s="3"/>
      <c r="N279" s="3" t="s">
        <v>73</v>
      </c>
      <c r="O279" s="3" t="s">
        <v>52</v>
      </c>
      <c r="P279" s="3">
        <v>0.7</v>
      </c>
      <c r="Q279" s="3">
        <v>0.6</v>
      </c>
      <c r="R279" s="4" t="s">
        <v>53</v>
      </c>
      <c r="S279" s="4">
        <v>2700</v>
      </c>
      <c r="T279" s="4">
        <v>5400</v>
      </c>
      <c r="U279" s="4">
        <v>2700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2700</v>
      </c>
      <c r="AD279" s="4">
        <v>5400</v>
      </c>
      <c r="AE279" s="4">
        <v>2700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2700</v>
      </c>
      <c r="AN279" s="4">
        <v>3780</v>
      </c>
      <c r="AO279" s="4">
        <v>0</v>
      </c>
      <c r="AP279" s="4">
        <v>3780</v>
      </c>
      <c r="AQ279" t="str">
        <f>VLOOKUP(N279,'[1]전체(5)'!$N:$AR,30,0)</f>
        <v>스토리위즈</v>
      </c>
      <c r="AR279" t="str">
        <f>VLOOKUP($N279,'[1]전체(5)'!$N:$AR,31,0)</f>
        <v>스내치</v>
      </c>
    </row>
    <row r="280" spans="1:44" x14ac:dyDescent="0.4">
      <c r="A280" s="3" t="s">
        <v>42</v>
      </c>
      <c r="B280" s="3" t="s">
        <v>43</v>
      </c>
      <c r="C280" s="3" t="s">
        <v>44</v>
      </c>
      <c r="D280" s="3" t="s">
        <v>45</v>
      </c>
      <c r="E280" s="3"/>
      <c r="F280" s="3" t="s">
        <v>46</v>
      </c>
      <c r="G280" s="3" t="s">
        <v>47</v>
      </c>
      <c r="H280" s="3" t="s">
        <v>48</v>
      </c>
      <c r="I280" s="3" t="s">
        <v>49</v>
      </c>
      <c r="J280" s="3">
        <v>55182185</v>
      </c>
      <c r="K280" s="3" t="s">
        <v>220</v>
      </c>
      <c r="L280" s="3"/>
      <c r="M280" s="3"/>
      <c r="N280" s="3" t="s">
        <v>73</v>
      </c>
      <c r="O280" s="3" t="s">
        <v>52</v>
      </c>
      <c r="P280" s="3">
        <v>0.7</v>
      </c>
      <c r="Q280" s="3">
        <v>0.6</v>
      </c>
      <c r="R280" s="4" t="s">
        <v>53</v>
      </c>
      <c r="S280" s="4">
        <v>4500</v>
      </c>
      <c r="T280" s="4">
        <v>4800</v>
      </c>
      <c r="U280" s="4">
        <v>300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4500</v>
      </c>
      <c r="AD280" s="4">
        <v>4800</v>
      </c>
      <c r="AE280" s="4">
        <v>300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4500</v>
      </c>
      <c r="AN280" s="4">
        <v>3360</v>
      </c>
      <c r="AO280" s="4">
        <v>0</v>
      </c>
      <c r="AP280" s="4">
        <v>3360</v>
      </c>
      <c r="AQ280" t="str">
        <f>VLOOKUP(N280,'[1]전체(5)'!$N:$AR,30,0)</f>
        <v>스토리위즈</v>
      </c>
      <c r="AR280" t="str">
        <f>VLOOKUP($N280,'[1]전체(5)'!$N:$AR,31,0)</f>
        <v>스내치</v>
      </c>
    </row>
    <row r="281" spans="1:44" x14ac:dyDescent="0.4">
      <c r="A281" s="3" t="s">
        <v>42</v>
      </c>
      <c r="B281" s="3" t="s">
        <v>43</v>
      </c>
      <c r="C281" s="3" t="s">
        <v>44</v>
      </c>
      <c r="D281" s="3" t="s">
        <v>45</v>
      </c>
      <c r="E281" s="3"/>
      <c r="F281" s="3" t="s">
        <v>46</v>
      </c>
      <c r="G281" s="3" t="s">
        <v>47</v>
      </c>
      <c r="H281" s="3" t="s">
        <v>48</v>
      </c>
      <c r="I281" s="3" t="s">
        <v>49</v>
      </c>
      <c r="J281" s="3">
        <v>55520742</v>
      </c>
      <c r="K281" s="3" t="s">
        <v>217</v>
      </c>
      <c r="L281" s="3"/>
      <c r="M281" s="3"/>
      <c r="N281" s="3" t="s">
        <v>154</v>
      </c>
      <c r="O281" s="3" t="s">
        <v>52</v>
      </c>
      <c r="P281" s="3">
        <v>0.7</v>
      </c>
      <c r="Q281" s="3">
        <v>0.6</v>
      </c>
      <c r="R281" s="4" t="s">
        <v>56</v>
      </c>
      <c r="S281" s="4">
        <v>100</v>
      </c>
      <c r="T281" s="4">
        <v>5600</v>
      </c>
      <c r="U281" s="4">
        <v>3000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2600</v>
      </c>
      <c r="AD281" s="4">
        <v>5600</v>
      </c>
      <c r="AE281" s="4">
        <v>3000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2600</v>
      </c>
      <c r="AN281" s="4">
        <v>3920</v>
      </c>
      <c r="AO281" s="4">
        <v>0</v>
      </c>
      <c r="AP281" s="4">
        <v>3920</v>
      </c>
      <c r="AQ281" t="str">
        <f>VLOOKUP(N281,'[1]전체(5)'!$N:$AR,30,0)</f>
        <v>스토리위즈</v>
      </c>
      <c r="AR281" t="str">
        <f>VLOOKUP($N281,'[1]전체(5)'!$N:$AR,31,0)</f>
        <v>모리미</v>
      </c>
    </row>
    <row r="282" spans="1:44" x14ac:dyDescent="0.4">
      <c r="A282" s="3" t="s">
        <v>42</v>
      </c>
      <c r="B282" s="3" t="s">
        <v>43</v>
      </c>
      <c r="C282" s="3" t="s">
        <v>44</v>
      </c>
      <c r="D282" s="3" t="s">
        <v>45</v>
      </c>
      <c r="E282" s="3"/>
      <c r="F282" s="3" t="s">
        <v>46</v>
      </c>
      <c r="G282" s="3" t="s">
        <v>47</v>
      </c>
      <c r="H282" s="3" t="s">
        <v>48</v>
      </c>
      <c r="I282" s="3" t="s">
        <v>49</v>
      </c>
      <c r="J282" s="3">
        <v>55182836</v>
      </c>
      <c r="K282" s="3" t="s">
        <v>225</v>
      </c>
      <c r="L282" s="3"/>
      <c r="M282" s="3"/>
      <c r="N282" s="3" t="s">
        <v>76</v>
      </c>
      <c r="O282" s="3" t="s">
        <v>52</v>
      </c>
      <c r="P282" s="3">
        <v>0.7</v>
      </c>
      <c r="Q282" s="3">
        <v>0.6</v>
      </c>
      <c r="R282" s="4" t="s">
        <v>56</v>
      </c>
      <c r="S282" s="4">
        <v>100</v>
      </c>
      <c r="T282" s="4">
        <v>12700</v>
      </c>
      <c r="U282" s="4">
        <v>2000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10700</v>
      </c>
      <c r="AD282" s="4">
        <v>12700</v>
      </c>
      <c r="AE282" s="4">
        <v>2000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10700</v>
      </c>
      <c r="AN282" s="4">
        <v>8890</v>
      </c>
      <c r="AO282" s="4">
        <v>0</v>
      </c>
      <c r="AP282" s="4">
        <v>8890</v>
      </c>
      <c r="AQ282" t="str">
        <f>VLOOKUP(N282,'[1]전체(5)'!$N:$AR,30,0)</f>
        <v>스토리위즈</v>
      </c>
      <c r="AR282" t="str">
        <f>VLOOKUP($N282,'[1]전체(5)'!$N:$AR,31,0)</f>
        <v>블랙커피</v>
      </c>
    </row>
    <row r="283" spans="1:44" x14ac:dyDescent="0.4">
      <c r="A283" s="3" t="s">
        <v>42</v>
      </c>
      <c r="B283" s="3" t="s">
        <v>43</v>
      </c>
      <c r="C283" s="3" t="s">
        <v>44</v>
      </c>
      <c r="D283" s="3" t="s">
        <v>45</v>
      </c>
      <c r="E283" s="3"/>
      <c r="F283" s="3" t="s">
        <v>46</v>
      </c>
      <c r="G283" s="3" t="s">
        <v>47</v>
      </c>
      <c r="H283" s="3" t="s">
        <v>48</v>
      </c>
      <c r="I283" s="3" t="s">
        <v>49</v>
      </c>
      <c r="J283" s="3">
        <v>55520742</v>
      </c>
      <c r="K283" s="3" t="s">
        <v>217</v>
      </c>
      <c r="L283" s="3"/>
      <c r="M283" s="3"/>
      <c r="N283" s="3" t="s">
        <v>154</v>
      </c>
      <c r="O283" s="3" t="s">
        <v>52</v>
      </c>
      <c r="P283" s="3">
        <v>0.7</v>
      </c>
      <c r="Q283" s="3">
        <v>0.6</v>
      </c>
      <c r="R283" s="4" t="s">
        <v>53</v>
      </c>
      <c r="S283" s="4">
        <v>900</v>
      </c>
      <c r="T283" s="4">
        <v>12000</v>
      </c>
      <c r="U283" s="4">
        <v>9300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2700</v>
      </c>
      <c r="AD283" s="4">
        <v>12000</v>
      </c>
      <c r="AE283" s="4">
        <v>9300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2700</v>
      </c>
      <c r="AN283" s="4">
        <v>8400</v>
      </c>
      <c r="AO283" s="4">
        <v>0</v>
      </c>
      <c r="AP283" s="4">
        <v>8400</v>
      </c>
      <c r="AQ283" t="str">
        <f>VLOOKUP(N283,'[1]전체(5)'!$N:$AR,30,0)</f>
        <v>스토리위즈</v>
      </c>
      <c r="AR283" t="str">
        <f>VLOOKUP($N283,'[1]전체(5)'!$N:$AR,31,0)</f>
        <v>모리미</v>
      </c>
    </row>
    <row r="284" spans="1:44" x14ac:dyDescent="0.4">
      <c r="A284" s="3" t="s">
        <v>42</v>
      </c>
      <c r="B284" s="3" t="s">
        <v>43</v>
      </c>
      <c r="C284" s="3" t="s">
        <v>44</v>
      </c>
      <c r="D284" s="3" t="s">
        <v>45</v>
      </c>
      <c r="E284" s="3"/>
      <c r="F284" s="3" t="s">
        <v>46</v>
      </c>
      <c r="G284" s="3" t="s">
        <v>47</v>
      </c>
      <c r="H284" s="3" t="s">
        <v>48</v>
      </c>
      <c r="I284" s="3" t="s">
        <v>49</v>
      </c>
      <c r="J284" s="3">
        <v>54635771</v>
      </c>
      <c r="K284" s="3" t="s">
        <v>182</v>
      </c>
      <c r="L284" s="3"/>
      <c r="M284" s="3"/>
      <c r="N284" s="3" t="s">
        <v>80</v>
      </c>
      <c r="O284" s="3" t="s">
        <v>52</v>
      </c>
      <c r="P284" s="3">
        <v>0.7</v>
      </c>
      <c r="Q284" s="3">
        <v>0.6</v>
      </c>
      <c r="R284" s="4" t="s">
        <v>56</v>
      </c>
      <c r="S284" s="4">
        <v>100</v>
      </c>
      <c r="T284" s="4">
        <v>60800</v>
      </c>
      <c r="U284" s="4">
        <v>40400</v>
      </c>
      <c r="V284" s="4">
        <v>0</v>
      </c>
      <c r="W284" s="4">
        <v>0</v>
      </c>
      <c r="X284" s="4">
        <v>0</v>
      </c>
      <c r="Y284" s="4">
        <v>0</v>
      </c>
      <c r="Z284" s="4">
        <v>2000</v>
      </c>
      <c r="AA284" s="4">
        <v>0</v>
      </c>
      <c r="AB284" s="4">
        <v>0</v>
      </c>
      <c r="AC284" s="4">
        <v>18400</v>
      </c>
      <c r="AD284" s="4">
        <v>61000</v>
      </c>
      <c r="AE284" s="4">
        <v>40400</v>
      </c>
      <c r="AF284" s="4">
        <v>0</v>
      </c>
      <c r="AG284" s="4">
        <v>0</v>
      </c>
      <c r="AH284" s="4">
        <v>0</v>
      </c>
      <c r="AI284" s="4">
        <v>0</v>
      </c>
      <c r="AJ284" s="4">
        <v>2200</v>
      </c>
      <c r="AK284" s="4">
        <v>0</v>
      </c>
      <c r="AL284" s="4">
        <v>0</v>
      </c>
      <c r="AM284" s="4">
        <v>18400</v>
      </c>
      <c r="AN284" s="4">
        <v>42480</v>
      </c>
      <c r="AO284" s="4">
        <v>0</v>
      </c>
      <c r="AP284" s="4">
        <v>42480</v>
      </c>
      <c r="AQ284" t="str">
        <f>VLOOKUP(N284,'[1]전체(5)'!$N:$AR,30,0)</f>
        <v>스토리위즈</v>
      </c>
      <c r="AR284" t="str">
        <f>VLOOKUP($N284,'[1]전체(5)'!$N:$AR,31,0)</f>
        <v>엘리신</v>
      </c>
    </row>
    <row r="285" spans="1:44" x14ac:dyDescent="0.4">
      <c r="A285" s="3" t="s">
        <v>42</v>
      </c>
      <c r="B285" s="3" t="s">
        <v>43</v>
      </c>
      <c r="C285" s="3" t="s">
        <v>44</v>
      </c>
      <c r="D285" s="3" t="s">
        <v>45</v>
      </c>
      <c r="E285" s="3"/>
      <c r="F285" s="3" t="s">
        <v>46</v>
      </c>
      <c r="G285" s="3" t="s">
        <v>47</v>
      </c>
      <c r="H285" s="3" t="s">
        <v>48</v>
      </c>
      <c r="I285" s="3" t="s">
        <v>49</v>
      </c>
      <c r="J285" s="3">
        <v>55182836</v>
      </c>
      <c r="K285" s="3" t="s">
        <v>225</v>
      </c>
      <c r="L285" s="3"/>
      <c r="M285" s="3"/>
      <c r="N285" s="3" t="s">
        <v>76</v>
      </c>
      <c r="O285" s="3" t="s">
        <v>52</v>
      </c>
      <c r="P285" s="3">
        <v>0.7</v>
      </c>
      <c r="Q285" s="3">
        <v>0.6</v>
      </c>
      <c r="R285" s="4" t="s">
        <v>53</v>
      </c>
      <c r="S285" s="4">
        <v>900</v>
      </c>
      <c r="T285" s="4">
        <v>12600</v>
      </c>
      <c r="U285" s="4">
        <v>4450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8150</v>
      </c>
      <c r="AD285" s="4">
        <v>12600</v>
      </c>
      <c r="AE285" s="4">
        <v>4450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8150</v>
      </c>
      <c r="AN285" s="4">
        <v>8820</v>
      </c>
      <c r="AO285" s="4">
        <v>0</v>
      </c>
      <c r="AP285" s="4">
        <v>8820</v>
      </c>
      <c r="AQ285" t="str">
        <f>VLOOKUP(N285,'[1]전체(5)'!$N:$AR,30,0)</f>
        <v>스토리위즈</v>
      </c>
      <c r="AR285" t="str">
        <f>VLOOKUP($N285,'[1]전체(5)'!$N:$AR,31,0)</f>
        <v>블랙커피</v>
      </c>
    </row>
    <row r="286" spans="1:44" x14ac:dyDescent="0.4">
      <c r="A286" s="3" t="s">
        <v>42</v>
      </c>
      <c r="B286" s="3" t="s">
        <v>43</v>
      </c>
      <c r="C286" s="3" t="s">
        <v>44</v>
      </c>
      <c r="D286" s="3" t="s">
        <v>45</v>
      </c>
      <c r="E286" s="3"/>
      <c r="F286" s="3" t="s">
        <v>46</v>
      </c>
      <c r="G286" s="3" t="s">
        <v>47</v>
      </c>
      <c r="H286" s="3" t="s">
        <v>48</v>
      </c>
      <c r="I286" s="3" t="s">
        <v>49</v>
      </c>
      <c r="J286" s="3">
        <v>55520742</v>
      </c>
      <c r="K286" s="3" t="s">
        <v>217</v>
      </c>
      <c r="L286" s="3"/>
      <c r="M286" s="3"/>
      <c r="N286" s="3" t="s">
        <v>154</v>
      </c>
      <c r="O286" s="3" t="s">
        <v>52</v>
      </c>
      <c r="P286" s="3">
        <v>0.7</v>
      </c>
      <c r="Q286" s="3">
        <v>0.6</v>
      </c>
      <c r="R286" s="4" t="s">
        <v>53</v>
      </c>
      <c r="S286" s="4">
        <v>1800</v>
      </c>
      <c r="T286" s="4">
        <v>3100</v>
      </c>
      <c r="U286" s="4">
        <v>2600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500</v>
      </c>
      <c r="AD286" s="4">
        <v>3100</v>
      </c>
      <c r="AE286" s="4">
        <v>2600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500</v>
      </c>
      <c r="AN286" s="4">
        <v>2170</v>
      </c>
      <c r="AO286" s="4">
        <v>0</v>
      </c>
      <c r="AP286" s="4">
        <v>2170</v>
      </c>
      <c r="AQ286" t="str">
        <f>VLOOKUP(N286,'[1]전체(5)'!$N:$AR,30,0)</f>
        <v>스토리위즈</v>
      </c>
      <c r="AR286" t="str">
        <f>VLOOKUP($N286,'[1]전체(5)'!$N:$AR,31,0)</f>
        <v>모리미</v>
      </c>
    </row>
    <row r="287" spans="1:44" x14ac:dyDescent="0.4">
      <c r="A287" s="3" t="s">
        <v>42</v>
      </c>
      <c r="B287" s="3" t="s">
        <v>43</v>
      </c>
      <c r="C287" s="3" t="s">
        <v>44</v>
      </c>
      <c r="D287" s="3" t="s">
        <v>45</v>
      </c>
      <c r="E287" s="3"/>
      <c r="F287" s="3" t="s">
        <v>46</v>
      </c>
      <c r="G287" s="3" t="s">
        <v>47</v>
      </c>
      <c r="H287" s="3" t="s">
        <v>48</v>
      </c>
      <c r="I287" s="3" t="s">
        <v>49</v>
      </c>
      <c r="J287" s="3">
        <v>54635771</v>
      </c>
      <c r="K287" s="3" t="s">
        <v>182</v>
      </c>
      <c r="L287" s="3"/>
      <c r="M287" s="3"/>
      <c r="N287" s="3" t="s">
        <v>80</v>
      </c>
      <c r="O287" s="3" t="s">
        <v>52</v>
      </c>
      <c r="P287" s="3">
        <v>0.7</v>
      </c>
      <c r="Q287" s="3">
        <v>0.6</v>
      </c>
      <c r="R287" s="4" t="s">
        <v>53</v>
      </c>
      <c r="S287" s="4">
        <v>900</v>
      </c>
      <c r="T287" s="4">
        <v>86000</v>
      </c>
      <c r="U287" s="4">
        <v>58800</v>
      </c>
      <c r="V287" s="4">
        <v>0</v>
      </c>
      <c r="W287" s="4">
        <v>0</v>
      </c>
      <c r="X287" s="4">
        <v>0</v>
      </c>
      <c r="Y287" s="4">
        <v>0</v>
      </c>
      <c r="Z287" s="4">
        <v>3500</v>
      </c>
      <c r="AA287" s="4">
        <v>0</v>
      </c>
      <c r="AB287" s="4">
        <v>0</v>
      </c>
      <c r="AC287" s="4">
        <v>23700</v>
      </c>
      <c r="AD287" s="4">
        <v>86350</v>
      </c>
      <c r="AE287" s="4">
        <v>58800</v>
      </c>
      <c r="AF287" s="4">
        <v>0</v>
      </c>
      <c r="AG287" s="4">
        <v>0</v>
      </c>
      <c r="AH287" s="4">
        <v>0</v>
      </c>
      <c r="AI287" s="4">
        <v>0</v>
      </c>
      <c r="AJ287" s="4">
        <v>3850</v>
      </c>
      <c r="AK287" s="4">
        <v>0</v>
      </c>
      <c r="AL287" s="4">
        <v>0</v>
      </c>
      <c r="AM287" s="4">
        <v>23700</v>
      </c>
      <c r="AN287" s="4">
        <v>60060</v>
      </c>
      <c r="AO287" s="4">
        <v>0</v>
      </c>
      <c r="AP287" s="4">
        <v>60060</v>
      </c>
      <c r="AQ287" t="str">
        <f>VLOOKUP(N287,'[1]전체(5)'!$N:$AR,30,0)</f>
        <v>스토리위즈</v>
      </c>
      <c r="AR287" t="str">
        <f>VLOOKUP($N287,'[1]전체(5)'!$N:$AR,31,0)</f>
        <v>엘리신</v>
      </c>
    </row>
    <row r="288" spans="1:44" x14ac:dyDescent="0.4">
      <c r="A288" s="3" t="s">
        <v>42</v>
      </c>
      <c r="B288" s="3" t="s">
        <v>43</v>
      </c>
      <c r="C288" s="3" t="s">
        <v>44</v>
      </c>
      <c r="D288" s="3" t="s">
        <v>45</v>
      </c>
      <c r="E288" s="3"/>
      <c r="F288" s="3" t="s">
        <v>46</v>
      </c>
      <c r="G288" s="3" t="s">
        <v>47</v>
      </c>
      <c r="H288" s="3" t="s">
        <v>48</v>
      </c>
      <c r="I288" s="3" t="s">
        <v>49</v>
      </c>
      <c r="J288" s="3">
        <v>55182836</v>
      </c>
      <c r="K288" s="3" t="s">
        <v>225</v>
      </c>
      <c r="L288" s="3"/>
      <c r="M288" s="3"/>
      <c r="N288" s="3" t="s">
        <v>76</v>
      </c>
      <c r="O288" s="3" t="s">
        <v>52</v>
      </c>
      <c r="P288" s="3">
        <v>0.7</v>
      </c>
      <c r="Q288" s="3">
        <v>0.6</v>
      </c>
      <c r="R288" s="4" t="s">
        <v>53</v>
      </c>
      <c r="S288" s="4">
        <v>1800</v>
      </c>
      <c r="T288" s="4">
        <v>1800</v>
      </c>
      <c r="U288" s="4">
        <v>1800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1800</v>
      </c>
      <c r="AE288" s="4">
        <v>1800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1260</v>
      </c>
      <c r="AO288" s="4">
        <v>0</v>
      </c>
      <c r="AP288" s="4">
        <v>1260</v>
      </c>
      <c r="AQ288" t="str">
        <f>VLOOKUP(N288,'[1]전체(5)'!$N:$AR,30,0)</f>
        <v>스토리위즈</v>
      </c>
      <c r="AR288" t="str">
        <f>VLOOKUP($N288,'[1]전체(5)'!$N:$AR,31,0)</f>
        <v>블랙커피</v>
      </c>
    </row>
    <row r="289" spans="1:44" x14ac:dyDescent="0.4">
      <c r="A289" s="3" t="s">
        <v>42</v>
      </c>
      <c r="B289" s="3" t="s">
        <v>43</v>
      </c>
      <c r="C289" s="3" t="s">
        <v>44</v>
      </c>
      <c r="D289" s="3" t="s">
        <v>45</v>
      </c>
      <c r="E289" s="3"/>
      <c r="F289" s="3" t="s">
        <v>46</v>
      </c>
      <c r="G289" s="3" t="s">
        <v>47</v>
      </c>
      <c r="H289" s="3" t="s">
        <v>48</v>
      </c>
      <c r="I289" s="3" t="s">
        <v>49</v>
      </c>
      <c r="J289" s="3">
        <v>55520742</v>
      </c>
      <c r="K289" s="3" t="s">
        <v>217</v>
      </c>
      <c r="L289" s="3"/>
      <c r="M289" s="3"/>
      <c r="N289" s="3" t="s">
        <v>154</v>
      </c>
      <c r="O289" s="3" t="s">
        <v>52</v>
      </c>
      <c r="P289" s="3">
        <v>0.7</v>
      </c>
      <c r="Q289" s="3">
        <v>0.6</v>
      </c>
      <c r="R289" s="4" t="s">
        <v>53</v>
      </c>
      <c r="S289" s="4">
        <v>2700</v>
      </c>
      <c r="T289" s="4">
        <v>16300</v>
      </c>
      <c r="U289" s="4">
        <v>10900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5400</v>
      </c>
      <c r="AD289" s="4">
        <v>16300</v>
      </c>
      <c r="AE289" s="4">
        <v>10900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5400</v>
      </c>
      <c r="AN289" s="4">
        <v>11410</v>
      </c>
      <c r="AO289" s="4">
        <v>0</v>
      </c>
      <c r="AP289" s="4">
        <v>11410</v>
      </c>
      <c r="AQ289" t="str">
        <f>VLOOKUP(N289,'[1]전체(5)'!$N:$AR,30,0)</f>
        <v>스토리위즈</v>
      </c>
      <c r="AR289" t="str">
        <f>VLOOKUP($N289,'[1]전체(5)'!$N:$AR,31,0)</f>
        <v>모리미</v>
      </c>
    </row>
    <row r="290" spans="1:44" x14ac:dyDescent="0.4">
      <c r="A290" s="3" t="s">
        <v>42</v>
      </c>
      <c r="B290" s="3" t="s">
        <v>43</v>
      </c>
      <c r="C290" s="3" t="s">
        <v>44</v>
      </c>
      <c r="D290" s="3" t="s">
        <v>45</v>
      </c>
      <c r="E290" s="3"/>
      <c r="F290" s="3" t="s">
        <v>46</v>
      </c>
      <c r="G290" s="3" t="s">
        <v>47</v>
      </c>
      <c r="H290" s="3" t="s">
        <v>48</v>
      </c>
      <c r="I290" s="3" t="s">
        <v>49</v>
      </c>
      <c r="J290" s="3">
        <v>54635771</v>
      </c>
      <c r="K290" s="3" t="s">
        <v>182</v>
      </c>
      <c r="L290" s="3"/>
      <c r="M290" s="3"/>
      <c r="N290" s="3" t="s">
        <v>80</v>
      </c>
      <c r="O290" s="3" t="s">
        <v>52</v>
      </c>
      <c r="P290" s="3">
        <v>0.7</v>
      </c>
      <c r="Q290" s="3">
        <v>0.6</v>
      </c>
      <c r="R290" s="4" t="s">
        <v>53</v>
      </c>
      <c r="S290" s="4">
        <v>4500</v>
      </c>
      <c r="T290" s="4">
        <v>63100</v>
      </c>
      <c r="U290" s="4">
        <v>61860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1240</v>
      </c>
      <c r="AD290" s="4">
        <v>63100</v>
      </c>
      <c r="AE290" s="4">
        <v>61860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1240</v>
      </c>
      <c r="AN290" s="4">
        <v>44170</v>
      </c>
      <c r="AO290" s="4">
        <v>0</v>
      </c>
      <c r="AP290" s="4">
        <v>44170</v>
      </c>
      <c r="AQ290" t="str">
        <f>VLOOKUP(N290,'[1]전체(5)'!$N:$AR,30,0)</f>
        <v>스토리위즈</v>
      </c>
      <c r="AR290" t="str">
        <f>VLOOKUP($N290,'[1]전체(5)'!$N:$AR,31,0)</f>
        <v>엘리신</v>
      </c>
    </row>
    <row r="291" spans="1:44" x14ac:dyDescent="0.4">
      <c r="A291" s="3" t="s">
        <v>42</v>
      </c>
      <c r="B291" s="3" t="s">
        <v>43</v>
      </c>
      <c r="C291" s="3" t="s">
        <v>44</v>
      </c>
      <c r="D291" s="3" t="s">
        <v>45</v>
      </c>
      <c r="E291" s="3"/>
      <c r="F291" s="3" t="s">
        <v>46</v>
      </c>
      <c r="G291" s="3" t="s">
        <v>47</v>
      </c>
      <c r="H291" s="3" t="s">
        <v>48</v>
      </c>
      <c r="I291" s="3" t="s">
        <v>49</v>
      </c>
      <c r="J291" s="3">
        <v>55182836</v>
      </c>
      <c r="K291" s="3" t="s">
        <v>225</v>
      </c>
      <c r="L291" s="3"/>
      <c r="M291" s="3"/>
      <c r="N291" s="3" t="s">
        <v>76</v>
      </c>
      <c r="O291" s="3" t="s">
        <v>52</v>
      </c>
      <c r="P291" s="3">
        <v>0.7</v>
      </c>
      <c r="Q291" s="3">
        <v>0.6</v>
      </c>
      <c r="R291" s="4" t="s">
        <v>53</v>
      </c>
      <c r="S291" s="4">
        <v>2700</v>
      </c>
      <c r="T291" s="4">
        <v>13500</v>
      </c>
      <c r="U291" s="4">
        <v>8100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5400</v>
      </c>
      <c r="AD291" s="4">
        <v>13500</v>
      </c>
      <c r="AE291" s="4">
        <v>8100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5400</v>
      </c>
      <c r="AN291" s="4">
        <v>9450</v>
      </c>
      <c r="AO291" s="4">
        <v>0</v>
      </c>
      <c r="AP291" s="4">
        <v>9450</v>
      </c>
      <c r="AQ291" t="str">
        <f>VLOOKUP(N291,'[1]전체(5)'!$N:$AR,30,0)</f>
        <v>스토리위즈</v>
      </c>
      <c r="AR291" t="str">
        <f>VLOOKUP($N291,'[1]전체(5)'!$N:$AR,31,0)</f>
        <v>블랙커피</v>
      </c>
    </row>
    <row r="292" spans="1:44" x14ac:dyDescent="0.4">
      <c r="A292" s="3" t="s">
        <v>42</v>
      </c>
      <c r="B292" s="3" t="s">
        <v>43</v>
      </c>
      <c r="C292" s="3" t="s">
        <v>44</v>
      </c>
      <c r="D292" s="3" t="s">
        <v>45</v>
      </c>
      <c r="E292" s="3"/>
      <c r="F292" s="3" t="s">
        <v>46</v>
      </c>
      <c r="G292" s="3" t="s">
        <v>47</v>
      </c>
      <c r="H292" s="3" t="s">
        <v>48</v>
      </c>
      <c r="I292" s="3" t="s">
        <v>49</v>
      </c>
      <c r="J292" s="3">
        <v>54635771</v>
      </c>
      <c r="K292" s="3" t="s">
        <v>182</v>
      </c>
      <c r="L292" s="3"/>
      <c r="M292" s="3"/>
      <c r="N292" s="3" t="s">
        <v>80</v>
      </c>
      <c r="O292" s="3" t="s">
        <v>52</v>
      </c>
      <c r="P292" s="3">
        <v>0.7</v>
      </c>
      <c r="Q292" s="3">
        <v>0.6</v>
      </c>
      <c r="R292" s="4" t="s">
        <v>53</v>
      </c>
      <c r="S292" s="4">
        <v>8100</v>
      </c>
      <c r="T292" s="4">
        <v>48600</v>
      </c>
      <c r="U292" s="4">
        <v>47700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900</v>
      </c>
      <c r="AD292" s="4">
        <v>48600</v>
      </c>
      <c r="AE292" s="4">
        <v>47700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900</v>
      </c>
      <c r="AN292" s="4">
        <v>34020</v>
      </c>
      <c r="AO292" s="4">
        <v>0</v>
      </c>
      <c r="AP292" s="4">
        <v>34020</v>
      </c>
      <c r="AQ292" t="str">
        <f>VLOOKUP(N292,'[1]전체(5)'!$N:$AR,30,0)</f>
        <v>스토리위즈</v>
      </c>
      <c r="AR292" t="str">
        <f>VLOOKUP($N292,'[1]전체(5)'!$N:$AR,31,0)</f>
        <v>엘리신</v>
      </c>
    </row>
    <row r="293" spans="1:44" x14ac:dyDescent="0.4">
      <c r="A293" s="3" t="s">
        <v>42</v>
      </c>
      <c r="B293" s="3" t="s">
        <v>43</v>
      </c>
      <c r="C293" s="3" t="s">
        <v>44</v>
      </c>
      <c r="D293" s="3" t="s">
        <v>45</v>
      </c>
      <c r="E293" s="3"/>
      <c r="F293" s="3" t="s">
        <v>46</v>
      </c>
      <c r="G293" s="3" t="s">
        <v>47</v>
      </c>
      <c r="H293" s="3" t="s">
        <v>48</v>
      </c>
      <c r="I293" s="3" t="s">
        <v>49</v>
      </c>
      <c r="J293" s="3">
        <v>48388365</v>
      </c>
      <c r="K293" s="3" t="s">
        <v>174</v>
      </c>
      <c r="L293" s="3"/>
      <c r="M293" s="3"/>
      <c r="N293" s="3" t="s">
        <v>87</v>
      </c>
      <c r="O293" s="3" t="s">
        <v>52</v>
      </c>
      <c r="P293" s="3">
        <v>0.7</v>
      </c>
      <c r="Q293" s="3">
        <v>0.6</v>
      </c>
      <c r="R293" s="4" t="s">
        <v>56</v>
      </c>
      <c r="S293" s="4">
        <v>100</v>
      </c>
      <c r="T293" s="4">
        <v>2700</v>
      </c>
      <c r="U293" s="4">
        <v>1400</v>
      </c>
      <c r="V293" s="4">
        <v>0</v>
      </c>
      <c r="W293" s="4">
        <v>0</v>
      </c>
      <c r="X293" s="4">
        <v>0</v>
      </c>
      <c r="Y293" s="4">
        <v>0</v>
      </c>
      <c r="Z293" s="4">
        <v>1000</v>
      </c>
      <c r="AA293" s="4">
        <v>0</v>
      </c>
      <c r="AB293" s="4">
        <v>0</v>
      </c>
      <c r="AC293" s="4">
        <v>300</v>
      </c>
      <c r="AD293" s="4">
        <v>2800</v>
      </c>
      <c r="AE293" s="4">
        <v>1400</v>
      </c>
      <c r="AF293" s="4">
        <v>0</v>
      </c>
      <c r="AG293" s="4">
        <v>0</v>
      </c>
      <c r="AH293" s="4">
        <v>0</v>
      </c>
      <c r="AI293" s="4">
        <v>0</v>
      </c>
      <c r="AJ293" s="4">
        <v>1100</v>
      </c>
      <c r="AK293" s="4">
        <v>0</v>
      </c>
      <c r="AL293" s="4">
        <v>0</v>
      </c>
      <c r="AM293" s="4">
        <v>300</v>
      </c>
      <c r="AN293" s="4">
        <v>1850</v>
      </c>
      <c r="AO293" s="4">
        <v>0</v>
      </c>
      <c r="AP293" s="4">
        <v>1850</v>
      </c>
      <c r="AQ293" t="str">
        <f>VLOOKUP(N293,'[1]전체(5)'!$N:$AR,30,0)</f>
        <v>스토리위즈</v>
      </c>
      <c r="AR293" t="str">
        <f>VLOOKUP($N293,'[1]전체(5)'!$N:$AR,31,0)</f>
        <v>권용찬</v>
      </c>
    </row>
    <row r="294" spans="1:44" x14ac:dyDescent="0.4">
      <c r="A294" s="3" t="s">
        <v>42</v>
      </c>
      <c r="B294" s="3" t="s">
        <v>43</v>
      </c>
      <c r="C294" s="3" t="s">
        <v>44</v>
      </c>
      <c r="D294" s="3" t="s">
        <v>45</v>
      </c>
      <c r="E294" s="3"/>
      <c r="F294" s="3" t="s">
        <v>46</v>
      </c>
      <c r="G294" s="3" t="s">
        <v>47</v>
      </c>
      <c r="H294" s="3" t="s">
        <v>48</v>
      </c>
      <c r="I294" s="3" t="s">
        <v>49</v>
      </c>
      <c r="J294" s="3">
        <v>48388365</v>
      </c>
      <c r="K294" s="3" t="s">
        <v>174</v>
      </c>
      <c r="L294" s="3"/>
      <c r="M294" s="3"/>
      <c r="N294" s="3" t="s">
        <v>87</v>
      </c>
      <c r="O294" s="3" t="s">
        <v>52</v>
      </c>
      <c r="P294" s="3">
        <v>0.7</v>
      </c>
      <c r="Q294" s="3">
        <v>0.6</v>
      </c>
      <c r="R294" s="4" t="s">
        <v>53</v>
      </c>
      <c r="S294" s="4">
        <v>2700</v>
      </c>
      <c r="T294" s="4">
        <v>19600</v>
      </c>
      <c r="U294" s="4">
        <v>19400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200</v>
      </c>
      <c r="AD294" s="4">
        <v>19600</v>
      </c>
      <c r="AE294" s="4">
        <v>19400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200</v>
      </c>
      <c r="AN294" s="4">
        <v>13720</v>
      </c>
      <c r="AO294" s="4">
        <v>0</v>
      </c>
      <c r="AP294" s="4">
        <v>13720</v>
      </c>
      <c r="AQ294" t="str">
        <f>VLOOKUP(N294,'[1]전체(5)'!$N:$AR,30,0)</f>
        <v>스토리위즈</v>
      </c>
      <c r="AR294" t="str">
        <f>VLOOKUP($N294,'[1]전체(5)'!$N:$AR,31,0)</f>
        <v>권용찬</v>
      </c>
    </row>
    <row r="295" spans="1:44" x14ac:dyDescent="0.4">
      <c r="A295" s="3" t="s">
        <v>42</v>
      </c>
      <c r="B295" s="3" t="s">
        <v>43</v>
      </c>
      <c r="C295" s="3" t="s">
        <v>44</v>
      </c>
      <c r="D295" s="3" t="s">
        <v>45</v>
      </c>
      <c r="E295" s="3"/>
      <c r="F295" s="3" t="s">
        <v>46</v>
      </c>
      <c r="G295" s="3" t="s">
        <v>47</v>
      </c>
      <c r="H295" s="3" t="s">
        <v>48</v>
      </c>
      <c r="I295" s="3" t="s">
        <v>49</v>
      </c>
      <c r="J295" s="3">
        <v>48448655</v>
      </c>
      <c r="K295" s="3" t="s">
        <v>172</v>
      </c>
      <c r="L295" s="3"/>
      <c r="M295" s="3"/>
      <c r="N295" s="3" t="s">
        <v>87</v>
      </c>
      <c r="O295" s="3" t="s">
        <v>52</v>
      </c>
      <c r="P295" s="3">
        <v>0.7</v>
      </c>
      <c r="Q295" s="3">
        <v>0.6</v>
      </c>
      <c r="R295" s="4" t="s">
        <v>56</v>
      </c>
      <c r="S295" s="4">
        <v>100</v>
      </c>
      <c r="T295" s="4">
        <v>10300</v>
      </c>
      <c r="U295" s="4">
        <v>6200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4100</v>
      </c>
      <c r="AD295" s="4">
        <v>10300</v>
      </c>
      <c r="AE295" s="4">
        <v>6200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4100</v>
      </c>
      <c r="AN295" s="4">
        <v>7210</v>
      </c>
      <c r="AO295" s="4">
        <v>0</v>
      </c>
      <c r="AP295" s="4">
        <v>7210</v>
      </c>
      <c r="AQ295" t="str">
        <f>VLOOKUP(N295,'[1]전체(5)'!$N:$AR,30,0)</f>
        <v>스토리위즈</v>
      </c>
      <c r="AR295" t="str">
        <f>VLOOKUP($N295,'[1]전체(5)'!$N:$AR,31,0)</f>
        <v>권용찬</v>
      </c>
    </row>
    <row r="296" spans="1:44" x14ac:dyDescent="0.4">
      <c r="A296" s="3" t="s">
        <v>42</v>
      </c>
      <c r="B296" s="3" t="s">
        <v>43</v>
      </c>
      <c r="C296" s="3" t="s">
        <v>44</v>
      </c>
      <c r="D296" s="3" t="s">
        <v>45</v>
      </c>
      <c r="E296" s="3"/>
      <c r="F296" s="3" t="s">
        <v>46</v>
      </c>
      <c r="G296" s="3" t="s">
        <v>47</v>
      </c>
      <c r="H296" s="3" t="s">
        <v>48</v>
      </c>
      <c r="I296" s="3" t="s">
        <v>49</v>
      </c>
      <c r="J296" s="3">
        <v>55612079</v>
      </c>
      <c r="K296" s="3" t="s">
        <v>232</v>
      </c>
      <c r="L296" s="3"/>
      <c r="M296" s="3"/>
      <c r="N296" s="3" t="s">
        <v>233</v>
      </c>
      <c r="O296" s="3" t="s">
        <v>52</v>
      </c>
      <c r="P296" s="3">
        <v>0.7</v>
      </c>
      <c r="Q296" s="3">
        <v>0.6</v>
      </c>
      <c r="R296" s="4" t="s">
        <v>56</v>
      </c>
      <c r="S296" s="4">
        <v>100</v>
      </c>
      <c r="T296" s="4">
        <v>4400</v>
      </c>
      <c r="U296" s="4">
        <v>300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4100</v>
      </c>
      <c r="AD296" s="4">
        <v>4400</v>
      </c>
      <c r="AE296" s="4">
        <v>300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4100</v>
      </c>
      <c r="AN296" s="4">
        <v>3080</v>
      </c>
      <c r="AO296" s="4">
        <v>0</v>
      </c>
      <c r="AP296" s="4">
        <v>3080</v>
      </c>
      <c r="AQ296" t="str">
        <f>VLOOKUP(N296,'[1]전체(5)'!$N:$AR,30,0)</f>
        <v>스토리위즈</v>
      </c>
      <c r="AR296" t="str">
        <f>VLOOKUP($N296,'[1]전체(5)'!$N:$AR,31,0)</f>
        <v>김온별</v>
      </c>
    </row>
    <row r="297" spans="1:44" x14ac:dyDescent="0.4">
      <c r="A297" s="3" t="s">
        <v>42</v>
      </c>
      <c r="B297" s="3" t="s">
        <v>43</v>
      </c>
      <c r="C297" s="3" t="s">
        <v>44</v>
      </c>
      <c r="D297" s="3" t="s">
        <v>45</v>
      </c>
      <c r="E297" s="3"/>
      <c r="F297" s="3" t="s">
        <v>46</v>
      </c>
      <c r="G297" s="3" t="s">
        <v>47</v>
      </c>
      <c r="H297" s="3" t="s">
        <v>48</v>
      </c>
      <c r="I297" s="3" t="s">
        <v>49</v>
      </c>
      <c r="J297" s="3">
        <v>48388365</v>
      </c>
      <c r="K297" s="3" t="s">
        <v>174</v>
      </c>
      <c r="L297" s="3"/>
      <c r="M297" s="3"/>
      <c r="N297" s="3" t="s">
        <v>87</v>
      </c>
      <c r="O297" s="3" t="s">
        <v>52</v>
      </c>
      <c r="P297" s="3">
        <v>0.7</v>
      </c>
      <c r="Q297" s="3">
        <v>0.6</v>
      </c>
      <c r="R297" s="4" t="s">
        <v>53</v>
      </c>
      <c r="S297" s="4">
        <v>4500</v>
      </c>
      <c r="T297" s="4">
        <v>13500</v>
      </c>
      <c r="U297" s="4">
        <v>8500</v>
      </c>
      <c r="V297" s="4">
        <v>0</v>
      </c>
      <c r="W297" s="4">
        <v>0</v>
      </c>
      <c r="X297" s="4">
        <v>0</v>
      </c>
      <c r="Y297" s="4">
        <v>0</v>
      </c>
      <c r="Z297" s="4">
        <v>4500</v>
      </c>
      <c r="AA297" s="4">
        <v>0</v>
      </c>
      <c r="AB297" s="4">
        <v>0</v>
      </c>
      <c r="AC297" s="4">
        <v>500</v>
      </c>
      <c r="AD297" s="4">
        <v>13950</v>
      </c>
      <c r="AE297" s="4">
        <v>8500</v>
      </c>
      <c r="AF297" s="4">
        <v>0</v>
      </c>
      <c r="AG297" s="4">
        <v>0</v>
      </c>
      <c r="AH297" s="4">
        <v>0</v>
      </c>
      <c r="AI297" s="4">
        <v>0</v>
      </c>
      <c r="AJ297" s="4">
        <v>4950</v>
      </c>
      <c r="AK297" s="4">
        <v>0</v>
      </c>
      <c r="AL297" s="4">
        <v>0</v>
      </c>
      <c r="AM297" s="4">
        <v>500</v>
      </c>
      <c r="AN297" s="4">
        <v>9270</v>
      </c>
      <c r="AO297" s="4">
        <v>0</v>
      </c>
      <c r="AP297" s="4">
        <v>9270</v>
      </c>
      <c r="AQ297" t="str">
        <f>VLOOKUP(N297,'[1]전체(5)'!$N:$AR,30,0)</f>
        <v>스토리위즈</v>
      </c>
      <c r="AR297" t="str">
        <f>VLOOKUP($N297,'[1]전체(5)'!$N:$AR,31,0)</f>
        <v>권용찬</v>
      </c>
    </row>
    <row r="298" spans="1:44" x14ac:dyDescent="0.4">
      <c r="A298" s="3" t="s">
        <v>42</v>
      </c>
      <c r="B298" s="3" t="s">
        <v>43</v>
      </c>
      <c r="C298" s="3" t="s">
        <v>44</v>
      </c>
      <c r="D298" s="3" t="s">
        <v>45</v>
      </c>
      <c r="E298" s="3"/>
      <c r="F298" s="3" t="s">
        <v>46</v>
      </c>
      <c r="G298" s="3" t="s">
        <v>47</v>
      </c>
      <c r="H298" s="3" t="s">
        <v>48</v>
      </c>
      <c r="I298" s="3" t="s">
        <v>49</v>
      </c>
      <c r="J298" s="3">
        <v>48448655</v>
      </c>
      <c r="K298" s="3" t="s">
        <v>172</v>
      </c>
      <c r="L298" s="3"/>
      <c r="M298" s="3"/>
      <c r="N298" s="3" t="s">
        <v>87</v>
      </c>
      <c r="O298" s="3" t="s">
        <v>52</v>
      </c>
      <c r="P298" s="3">
        <v>0.7</v>
      </c>
      <c r="Q298" s="3">
        <v>0.6</v>
      </c>
      <c r="R298" s="4" t="s">
        <v>53</v>
      </c>
      <c r="S298" s="4">
        <v>2300</v>
      </c>
      <c r="T298" s="4">
        <v>46000</v>
      </c>
      <c r="U298" s="4">
        <v>43200</v>
      </c>
      <c r="V298" s="4">
        <v>0</v>
      </c>
      <c r="W298" s="4">
        <v>0</v>
      </c>
      <c r="X298" s="4">
        <v>0</v>
      </c>
      <c r="Y298" s="4">
        <v>2300</v>
      </c>
      <c r="Z298" s="4">
        <v>0</v>
      </c>
      <c r="AA298" s="4">
        <v>0</v>
      </c>
      <c r="AB298" s="4">
        <v>0</v>
      </c>
      <c r="AC298" s="4">
        <v>500</v>
      </c>
      <c r="AD298" s="4">
        <v>46460</v>
      </c>
      <c r="AE298" s="4">
        <v>43200</v>
      </c>
      <c r="AF298" s="4">
        <v>0</v>
      </c>
      <c r="AG298" s="4">
        <v>0</v>
      </c>
      <c r="AH298" s="4">
        <v>0</v>
      </c>
      <c r="AI298" s="4">
        <v>2760</v>
      </c>
      <c r="AJ298" s="4">
        <v>0</v>
      </c>
      <c r="AK298" s="4">
        <v>0</v>
      </c>
      <c r="AL298" s="4">
        <v>0</v>
      </c>
      <c r="AM298" s="4">
        <v>500</v>
      </c>
      <c r="AN298" s="4">
        <v>32246</v>
      </c>
      <c r="AO298" s="4">
        <v>0</v>
      </c>
      <c r="AP298" s="4">
        <v>32246</v>
      </c>
      <c r="AQ298" t="str">
        <f>VLOOKUP(N298,'[1]전체(5)'!$N:$AR,30,0)</f>
        <v>스토리위즈</v>
      </c>
      <c r="AR298" t="str">
        <f>VLOOKUP($N298,'[1]전체(5)'!$N:$AR,31,0)</f>
        <v>권용찬</v>
      </c>
    </row>
    <row r="299" spans="1:44" x14ac:dyDescent="0.4">
      <c r="A299" s="3" t="s">
        <v>42</v>
      </c>
      <c r="B299" s="3" t="s">
        <v>43</v>
      </c>
      <c r="C299" s="3" t="s">
        <v>44</v>
      </c>
      <c r="D299" s="3" t="s">
        <v>45</v>
      </c>
      <c r="E299" s="3"/>
      <c r="F299" s="3" t="s">
        <v>46</v>
      </c>
      <c r="G299" s="3" t="s">
        <v>47</v>
      </c>
      <c r="H299" s="3" t="s">
        <v>48</v>
      </c>
      <c r="I299" s="3" t="s">
        <v>49</v>
      </c>
      <c r="J299" s="3">
        <v>55612079</v>
      </c>
      <c r="K299" s="3" t="s">
        <v>232</v>
      </c>
      <c r="L299" s="3"/>
      <c r="M299" s="3"/>
      <c r="N299" s="3" t="s">
        <v>233</v>
      </c>
      <c r="O299" s="3" t="s">
        <v>52</v>
      </c>
      <c r="P299" s="3">
        <v>0.7</v>
      </c>
      <c r="Q299" s="3">
        <v>0.6</v>
      </c>
      <c r="R299" s="4" t="s">
        <v>53</v>
      </c>
      <c r="S299" s="4">
        <v>900</v>
      </c>
      <c r="T299" s="4">
        <v>5400</v>
      </c>
      <c r="U299" s="4">
        <v>4300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1100</v>
      </c>
      <c r="AD299" s="4">
        <v>5400</v>
      </c>
      <c r="AE299" s="4">
        <v>4300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1100</v>
      </c>
      <c r="AN299" s="4">
        <v>3780</v>
      </c>
      <c r="AO299" s="4">
        <v>0</v>
      </c>
      <c r="AP299" s="4">
        <v>3780</v>
      </c>
      <c r="AQ299" t="str">
        <f>VLOOKUP(N299,'[1]전체(5)'!$N:$AR,30,0)</f>
        <v>스토리위즈</v>
      </c>
      <c r="AR299" t="str">
        <f>VLOOKUP($N299,'[1]전체(5)'!$N:$AR,31,0)</f>
        <v>김온별</v>
      </c>
    </row>
    <row r="300" spans="1:44" x14ac:dyDescent="0.4">
      <c r="A300" s="3" t="s">
        <v>42</v>
      </c>
      <c r="B300" s="3" t="s">
        <v>43</v>
      </c>
      <c r="C300" s="3" t="s">
        <v>44</v>
      </c>
      <c r="D300" s="3" t="s">
        <v>45</v>
      </c>
      <c r="E300" s="3"/>
      <c r="F300" s="3" t="s">
        <v>46</v>
      </c>
      <c r="G300" s="3" t="s">
        <v>47</v>
      </c>
      <c r="H300" s="3" t="s">
        <v>48</v>
      </c>
      <c r="I300" s="3" t="s">
        <v>49</v>
      </c>
      <c r="J300" s="3">
        <v>48388365</v>
      </c>
      <c r="K300" s="3" t="s">
        <v>174</v>
      </c>
      <c r="L300" s="3"/>
      <c r="M300" s="3"/>
      <c r="N300" s="3" t="s">
        <v>87</v>
      </c>
      <c r="O300" s="3" t="s">
        <v>52</v>
      </c>
      <c r="P300" s="3">
        <v>0.7</v>
      </c>
      <c r="Q300" s="3">
        <v>0.6</v>
      </c>
      <c r="R300" s="4" t="s">
        <v>53</v>
      </c>
      <c r="S300" s="4">
        <v>9000</v>
      </c>
      <c r="T300" s="4">
        <v>19400</v>
      </c>
      <c r="U300" s="4">
        <v>9900</v>
      </c>
      <c r="V300" s="4">
        <v>0</v>
      </c>
      <c r="W300" s="4">
        <v>0</v>
      </c>
      <c r="X300" s="4">
        <v>0</v>
      </c>
      <c r="Y300" s="4">
        <v>0</v>
      </c>
      <c r="Z300" s="4">
        <v>9000</v>
      </c>
      <c r="AA300" s="4">
        <v>0</v>
      </c>
      <c r="AB300" s="4">
        <v>0</v>
      </c>
      <c r="AC300" s="4">
        <v>500</v>
      </c>
      <c r="AD300" s="4">
        <v>20300</v>
      </c>
      <c r="AE300" s="4">
        <v>9900</v>
      </c>
      <c r="AF300" s="4">
        <v>0</v>
      </c>
      <c r="AG300" s="4">
        <v>0</v>
      </c>
      <c r="AH300" s="4">
        <v>0</v>
      </c>
      <c r="AI300" s="4">
        <v>0</v>
      </c>
      <c r="AJ300" s="4">
        <v>9900</v>
      </c>
      <c r="AK300" s="4">
        <v>0</v>
      </c>
      <c r="AL300" s="4">
        <v>0</v>
      </c>
      <c r="AM300" s="4">
        <v>500</v>
      </c>
      <c r="AN300" s="4">
        <v>13220</v>
      </c>
      <c r="AO300" s="4">
        <v>0</v>
      </c>
      <c r="AP300" s="4">
        <v>13220</v>
      </c>
      <c r="AQ300" t="str">
        <f>VLOOKUP(N300,'[1]전체(5)'!$N:$AR,30,0)</f>
        <v>스토리위즈</v>
      </c>
      <c r="AR300" t="str">
        <f>VLOOKUP($N300,'[1]전체(5)'!$N:$AR,31,0)</f>
        <v>권용찬</v>
      </c>
    </row>
    <row r="301" spans="1:44" x14ac:dyDescent="0.4">
      <c r="A301" s="3" t="s">
        <v>42</v>
      </c>
      <c r="B301" s="3" t="s">
        <v>43</v>
      </c>
      <c r="C301" s="3" t="s">
        <v>44</v>
      </c>
      <c r="D301" s="3" t="s">
        <v>45</v>
      </c>
      <c r="E301" s="3"/>
      <c r="F301" s="3" t="s">
        <v>46</v>
      </c>
      <c r="G301" s="3" t="s">
        <v>47</v>
      </c>
      <c r="H301" s="3" t="s">
        <v>48</v>
      </c>
      <c r="I301" s="3" t="s">
        <v>49</v>
      </c>
      <c r="J301" s="3">
        <v>48448655</v>
      </c>
      <c r="K301" s="3" t="s">
        <v>172</v>
      </c>
      <c r="L301" s="3"/>
      <c r="M301" s="3"/>
      <c r="N301" s="3" t="s">
        <v>87</v>
      </c>
      <c r="O301" s="3" t="s">
        <v>52</v>
      </c>
      <c r="P301" s="3">
        <v>0.7</v>
      </c>
      <c r="Q301" s="3">
        <v>0.6</v>
      </c>
      <c r="R301" s="4" t="s">
        <v>53</v>
      </c>
      <c r="S301" s="4">
        <v>9100</v>
      </c>
      <c r="T301" s="4">
        <v>9100</v>
      </c>
      <c r="U301" s="4">
        <v>0</v>
      </c>
      <c r="V301" s="4">
        <v>0</v>
      </c>
      <c r="W301" s="4">
        <v>0</v>
      </c>
      <c r="X301" s="4">
        <v>0</v>
      </c>
      <c r="Y301" s="4">
        <v>9100</v>
      </c>
      <c r="Z301" s="4">
        <v>0</v>
      </c>
      <c r="AA301" s="4">
        <v>0</v>
      </c>
      <c r="AB301" s="4">
        <v>0</v>
      </c>
      <c r="AC301" s="4">
        <v>0</v>
      </c>
      <c r="AD301" s="4">
        <v>10920</v>
      </c>
      <c r="AE301" s="4">
        <v>0</v>
      </c>
      <c r="AF301" s="4">
        <v>0</v>
      </c>
      <c r="AG301" s="4">
        <v>0</v>
      </c>
      <c r="AH301" s="4">
        <v>0</v>
      </c>
      <c r="AI301" s="4">
        <v>10920</v>
      </c>
      <c r="AJ301" s="4">
        <v>0</v>
      </c>
      <c r="AK301" s="4">
        <v>0</v>
      </c>
      <c r="AL301" s="4">
        <v>0</v>
      </c>
      <c r="AM301" s="4">
        <v>0</v>
      </c>
      <c r="AN301" s="4">
        <v>6552</v>
      </c>
      <c r="AO301" s="4">
        <v>0</v>
      </c>
      <c r="AP301" s="4">
        <v>6552</v>
      </c>
      <c r="AQ301" t="str">
        <f>VLOOKUP(N301,'[1]전체(5)'!$N:$AR,30,0)</f>
        <v>스토리위즈</v>
      </c>
      <c r="AR301" t="str">
        <f>VLOOKUP($N301,'[1]전체(5)'!$N:$AR,31,0)</f>
        <v>권용찬</v>
      </c>
    </row>
    <row r="302" spans="1:44" x14ac:dyDescent="0.4">
      <c r="A302" s="3" t="s">
        <v>42</v>
      </c>
      <c r="B302" s="3" t="s">
        <v>43</v>
      </c>
      <c r="C302" s="3" t="s">
        <v>44</v>
      </c>
      <c r="D302" s="3" t="s">
        <v>45</v>
      </c>
      <c r="E302" s="3"/>
      <c r="F302" s="3" t="s">
        <v>46</v>
      </c>
      <c r="G302" s="3" t="s">
        <v>47</v>
      </c>
      <c r="H302" s="3" t="s">
        <v>48</v>
      </c>
      <c r="I302" s="3" t="s">
        <v>49</v>
      </c>
      <c r="J302" s="3">
        <v>49945284</v>
      </c>
      <c r="K302" s="3" t="s">
        <v>206</v>
      </c>
      <c r="L302" s="3"/>
      <c r="M302" s="3"/>
      <c r="N302" s="3" t="s">
        <v>115</v>
      </c>
      <c r="O302" s="3" t="s">
        <v>52</v>
      </c>
      <c r="P302" s="3">
        <v>0.7</v>
      </c>
      <c r="Q302" s="3">
        <v>0.6</v>
      </c>
      <c r="R302" s="4" t="s">
        <v>56</v>
      </c>
      <c r="S302" s="4">
        <v>100</v>
      </c>
      <c r="T302" s="4">
        <v>52100</v>
      </c>
      <c r="U302" s="4">
        <v>12600</v>
      </c>
      <c r="V302" s="4">
        <v>0</v>
      </c>
      <c r="W302" s="4">
        <v>0</v>
      </c>
      <c r="X302" s="4">
        <v>0</v>
      </c>
      <c r="Y302" s="4">
        <v>1500</v>
      </c>
      <c r="Z302" s="4">
        <v>100</v>
      </c>
      <c r="AA302" s="4">
        <v>0</v>
      </c>
      <c r="AB302" s="4">
        <v>0</v>
      </c>
      <c r="AC302" s="4">
        <v>37900</v>
      </c>
      <c r="AD302" s="4">
        <v>52410</v>
      </c>
      <c r="AE302" s="4">
        <v>12600</v>
      </c>
      <c r="AF302" s="4">
        <v>0</v>
      </c>
      <c r="AG302" s="4">
        <v>0</v>
      </c>
      <c r="AH302" s="4">
        <v>0</v>
      </c>
      <c r="AI302" s="4">
        <v>1800</v>
      </c>
      <c r="AJ302" s="4">
        <v>110</v>
      </c>
      <c r="AK302" s="4">
        <v>0</v>
      </c>
      <c r="AL302" s="4">
        <v>0</v>
      </c>
      <c r="AM302" s="4">
        <v>37900</v>
      </c>
      <c r="AN302" s="4">
        <v>36496</v>
      </c>
      <c r="AO302" s="4">
        <v>0</v>
      </c>
      <c r="AP302" s="4">
        <v>36496</v>
      </c>
      <c r="AQ302" t="str">
        <f>VLOOKUP(N302,'[1]전체(5)'!$N:$AR,30,0)</f>
        <v>스토리위즈</v>
      </c>
      <c r="AR302" t="str">
        <f>VLOOKUP($N302,'[1]전체(5)'!$N:$AR,31,0)</f>
        <v>독고진</v>
      </c>
    </row>
    <row r="303" spans="1:44" x14ac:dyDescent="0.4">
      <c r="A303" s="3" t="s">
        <v>42</v>
      </c>
      <c r="B303" s="3" t="s">
        <v>43</v>
      </c>
      <c r="C303" s="3" t="s">
        <v>44</v>
      </c>
      <c r="D303" s="3" t="s">
        <v>45</v>
      </c>
      <c r="E303" s="3"/>
      <c r="F303" s="3" t="s">
        <v>46</v>
      </c>
      <c r="G303" s="3" t="s">
        <v>47</v>
      </c>
      <c r="H303" s="3" t="s">
        <v>48</v>
      </c>
      <c r="I303" s="3" t="s">
        <v>49</v>
      </c>
      <c r="J303" s="3">
        <v>55612079</v>
      </c>
      <c r="K303" s="3" t="s">
        <v>232</v>
      </c>
      <c r="L303" s="3"/>
      <c r="M303" s="3"/>
      <c r="N303" s="3" t="s">
        <v>233</v>
      </c>
      <c r="O303" s="3" t="s">
        <v>52</v>
      </c>
      <c r="P303" s="3">
        <v>0.7</v>
      </c>
      <c r="Q303" s="3">
        <v>0.6</v>
      </c>
      <c r="R303" s="4" t="s">
        <v>53</v>
      </c>
      <c r="S303" s="4">
        <v>4500</v>
      </c>
      <c r="T303" s="4">
        <v>13500</v>
      </c>
      <c r="U303" s="4">
        <v>13500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13500</v>
      </c>
      <c r="AE303" s="4">
        <v>13500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9450</v>
      </c>
      <c r="AO303" s="4">
        <v>0</v>
      </c>
      <c r="AP303" s="4">
        <v>9450</v>
      </c>
      <c r="AQ303" t="str">
        <f>VLOOKUP(N303,'[1]전체(5)'!$N:$AR,30,0)</f>
        <v>스토리위즈</v>
      </c>
      <c r="AR303" t="str">
        <f>VLOOKUP($N303,'[1]전체(5)'!$N:$AR,31,0)</f>
        <v>김온별</v>
      </c>
    </row>
    <row r="304" spans="1:44" x14ac:dyDescent="0.4">
      <c r="A304" s="3" t="s">
        <v>42</v>
      </c>
      <c r="B304" s="3" t="s">
        <v>43</v>
      </c>
      <c r="C304" s="3" t="s">
        <v>44</v>
      </c>
      <c r="D304" s="3" t="s">
        <v>45</v>
      </c>
      <c r="E304" s="3"/>
      <c r="F304" s="3" t="s">
        <v>46</v>
      </c>
      <c r="G304" s="3" t="s">
        <v>47</v>
      </c>
      <c r="H304" s="3" t="s">
        <v>48</v>
      </c>
      <c r="I304" s="3" t="s">
        <v>49</v>
      </c>
      <c r="J304" s="3">
        <v>48448655</v>
      </c>
      <c r="K304" s="3" t="s">
        <v>172</v>
      </c>
      <c r="L304" s="3"/>
      <c r="M304" s="3"/>
      <c r="N304" s="3" t="s">
        <v>87</v>
      </c>
      <c r="O304" s="3" t="s">
        <v>52</v>
      </c>
      <c r="P304" s="3">
        <v>0.7</v>
      </c>
      <c r="Q304" s="3">
        <v>0.6</v>
      </c>
      <c r="R304" s="4" t="s">
        <v>53</v>
      </c>
      <c r="S304" s="4">
        <v>24800</v>
      </c>
      <c r="T304" s="4">
        <v>6100</v>
      </c>
      <c r="U304" s="4">
        <v>6100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6100</v>
      </c>
      <c r="AE304" s="4">
        <v>6100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4270</v>
      </c>
      <c r="AO304" s="4">
        <v>0</v>
      </c>
      <c r="AP304" s="4">
        <v>4270</v>
      </c>
      <c r="AQ304" t="str">
        <f>VLOOKUP(N304,'[1]전체(5)'!$N:$AR,30,0)</f>
        <v>스토리위즈</v>
      </c>
      <c r="AR304" t="str">
        <f>VLOOKUP($N304,'[1]전체(5)'!$N:$AR,31,0)</f>
        <v>권용찬</v>
      </c>
    </row>
    <row r="305" spans="1:44" x14ac:dyDescent="0.4">
      <c r="A305" s="3" t="s">
        <v>42</v>
      </c>
      <c r="B305" s="3" t="s">
        <v>43</v>
      </c>
      <c r="C305" s="3" t="s">
        <v>44</v>
      </c>
      <c r="D305" s="3" t="s">
        <v>45</v>
      </c>
      <c r="E305" s="3"/>
      <c r="F305" s="3" t="s">
        <v>46</v>
      </c>
      <c r="G305" s="3" t="s">
        <v>47</v>
      </c>
      <c r="H305" s="3" t="s">
        <v>48</v>
      </c>
      <c r="I305" s="3" t="s">
        <v>49</v>
      </c>
      <c r="J305" s="3">
        <v>49945284</v>
      </c>
      <c r="K305" s="3" t="s">
        <v>206</v>
      </c>
      <c r="L305" s="3"/>
      <c r="M305" s="3"/>
      <c r="N305" s="3" t="s">
        <v>115</v>
      </c>
      <c r="O305" s="3" t="s">
        <v>52</v>
      </c>
      <c r="P305" s="3">
        <v>0.7</v>
      </c>
      <c r="Q305" s="3">
        <v>0.6</v>
      </c>
      <c r="R305" s="4" t="s">
        <v>53</v>
      </c>
      <c r="S305" s="4">
        <v>2700</v>
      </c>
      <c r="T305" s="4">
        <v>32100</v>
      </c>
      <c r="U305" s="4">
        <v>17500</v>
      </c>
      <c r="V305" s="4">
        <v>0</v>
      </c>
      <c r="W305" s="4">
        <v>0</v>
      </c>
      <c r="X305" s="4">
        <v>0</v>
      </c>
      <c r="Y305" s="4">
        <v>2700</v>
      </c>
      <c r="Z305" s="4">
        <v>0</v>
      </c>
      <c r="AA305" s="4">
        <v>0</v>
      </c>
      <c r="AB305" s="4">
        <v>0</v>
      </c>
      <c r="AC305" s="4">
        <v>11900</v>
      </c>
      <c r="AD305" s="4">
        <v>32640</v>
      </c>
      <c r="AE305" s="4">
        <v>17500</v>
      </c>
      <c r="AF305" s="4">
        <v>0</v>
      </c>
      <c r="AG305" s="4">
        <v>0</v>
      </c>
      <c r="AH305" s="4">
        <v>0</v>
      </c>
      <c r="AI305" s="4">
        <v>3240</v>
      </c>
      <c r="AJ305" s="4">
        <v>0</v>
      </c>
      <c r="AK305" s="4">
        <v>0</v>
      </c>
      <c r="AL305" s="4">
        <v>0</v>
      </c>
      <c r="AM305" s="4">
        <v>11900</v>
      </c>
      <c r="AN305" s="4">
        <v>22524</v>
      </c>
      <c r="AO305" s="4">
        <v>0</v>
      </c>
      <c r="AP305" s="4">
        <v>22524</v>
      </c>
      <c r="AQ305" t="str">
        <f>VLOOKUP(N305,'[1]전체(5)'!$N:$AR,30,0)</f>
        <v>스토리위즈</v>
      </c>
      <c r="AR305" t="str">
        <f>VLOOKUP($N305,'[1]전체(5)'!$N:$AR,31,0)</f>
        <v>독고진</v>
      </c>
    </row>
    <row r="306" spans="1:44" x14ac:dyDescent="0.4">
      <c r="A306" s="3" t="s">
        <v>42</v>
      </c>
      <c r="B306" s="3" t="s">
        <v>43</v>
      </c>
      <c r="C306" s="3" t="s">
        <v>44</v>
      </c>
      <c r="D306" s="3" t="s">
        <v>45</v>
      </c>
      <c r="E306" s="3"/>
      <c r="F306" s="3" t="s">
        <v>46</v>
      </c>
      <c r="G306" s="3" t="s">
        <v>47</v>
      </c>
      <c r="H306" s="3" t="s">
        <v>48</v>
      </c>
      <c r="I306" s="3" t="s">
        <v>49</v>
      </c>
      <c r="J306" s="3">
        <v>49945284</v>
      </c>
      <c r="K306" s="3" t="s">
        <v>206</v>
      </c>
      <c r="L306" s="3"/>
      <c r="M306" s="3"/>
      <c r="N306" s="3" t="s">
        <v>115</v>
      </c>
      <c r="O306" s="3" t="s">
        <v>52</v>
      </c>
      <c r="P306" s="3">
        <v>0.7</v>
      </c>
      <c r="Q306" s="3">
        <v>0.6</v>
      </c>
      <c r="R306" s="4" t="s">
        <v>53</v>
      </c>
      <c r="S306" s="4">
        <v>4500</v>
      </c>
      <c r="T306" s="4">
        <v>19000</v>
      </c>
      <c r="U306" s="4">
        <v>19200</v>
      </c>
      <c r="V306" s="4">
        <v>0</v>
      </c>
      <c r="W306" s="4">
        <v>0</v>
      </c>
      <c r="X306" s="4">
        <v>0</v>
      </c>
      <c r="Y306" s="4">
        <v>-200</v>
      </c>
      <c r="Z306" s="4">
        <v>0</v>
      </c>
      <c r="AA306" s="4">
        <v>0</v>
      </c>
      <c r="AB306" s="4">
        <v>0</v>
      </c>
      <c r="AC306" s="4">
        <v>0</v>
      </c>
      <c r="AD306" s="4">
        <v>18960</v>
      </c>
      <c r="AE306" s="4">
        <v>19200</v>
      </c>
      <c r="AF306" s="4">
        <v>0</v>
      </c>
      <c r="AG306" s="4">
        <v>0</v>
      </c>
      <c r="AH306" s="4">
        <v>0</v>
      </c>
      <c r="AI306" s="4">
        <v>-240</v>
      </c>
      <c r="AJ306" s="4">
        <v>0</v>
      </c>
      <c r="AK306" s="4">
        <v>0</v>
      </c>
      <c r="AL306" s="4">
        <v>0</v>
      </c>
      <c r="AM306" s="4">
        <v>0</v>
      </c>
      <c r="AN306" s="4">
        <v>13296</v>
      </c>
      <c r="AO306" s="4">
        <v>0</v>
      </c>
      <c r="AP306" s="4">
        <v>13296</v>
      </c>
      <c r="AQ306" t="str">
        <f>VLOOKUP(N306,'[1]전체(5)'!$N:$AR,30,0)</f>
        <v>스토리위즈</v>
      </c>
      <c r="AR306" t="str">
        <f>VLOOKUP($N306,'[1]전체(5)'!$N:$AR,31,0)</f>
        <v>독고진</v>
      </c>
    </row>
    <row r="307" spans="1:44" x14ac:dyDescent="0.4">
      <c r="A307" s="3" t="s">
        <v>42</v>
      </c>
      <c r="B307" s="3" t="s">
        <v>43</v>
      </c>
      <c r="C307" s="3" t="s">
        <v>44</v>
      </c>
      <c r="D307" s="3" t="s">
        <v>45</v>
      </c>
      <c r="E307" s="3"/>
      <c r="F307" s="3" t="s">
        <v>46</v>
      </c>
      <c r="G307" s="3" t="s">
        <v>47</v>
      </c>
      <c r="H307" s="3" t="s">
        <v>48</v>
      </c>
      <c r="I307" s="3" t="s">
        <v>49</v>
      </c>
      <c r="J307" s="3">
        <v>55565374</v>
      </c>
      <c r="K307" s="3" t="s">
        <v>227</v>
      </c>
      <c r="L307" s="3"/>
      <c r="M307" s="3"/>
      <c r="N307" s="3" t="s">
        <v>228</v>
      </c>
      <c r="O307" s="3" t="s">
        <v>52</v>
      </c>
      <c r="P307" s="3">
        <v>0.7</v>
      </c>
      <c r="Q307" s="3">
        <v>0.6</v>
      </c>
      <c r="R307" s="4" t="s">
        <v>56</v>
      </c>
      <c r="S307" s="4">
        <v>100</v>
      </c>
      <c r="T307" s="4">
        <v>2500</v>
      </c>
      <c r="U307" s="4">
        <v>500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2000</v>
      </c>
      <c r="AD307" s="4">
        <v>2500</v>
      </c>
      <c r="AE307" s="4">
        <v>500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2000</v>
      </c>
      <c r="AN307" s="4">
        <v>1750</v>
      </c>
      <c r="AO307" s="4">
        <v>0</v>
      </c>
      <c r="AP307" s="4">
        <v>1750</v>
      </c>
      <c r="AQ307" t="str">
        <f>VLOOKUP(N307,'[1]전체(5)'!$N:$AR,30,0)</f>
        <v>스토리위즈</v>
      </c>
      <c r="AR307" t="str">
        <f>VLOOKUP($N307,'[1]전체(5)'!$N:$AR,31,0)</f>
        <v>Livingston</v>
      </c>
    </row>
    <row r="308" spans="1:44" x14ac:dyDescent="0.4">
      <c r="A308" s="3" t="s">
        <v>42</v>
      </c>
      <c r="B308" s="3" t="s">
        <v>43</v>
      </c>
      <c r="C308" s="3" t="s">
        <v>44</v>
      </c>
      <c r="D308" s="3" t="s">
        <v>45</v>
      </c>
      <c r="E308" s="3"/>
      <c r="F308" s="3" t="s">
        <v>46</v>
      </c>
      <c r="G308" s="3" t="s">
        <v>47</v>
      </c>
      <c r="H308" s="3" t="s">
        <v>48</v>
      </c>
      <c r="I308" s="3" t="s">
        <v>49</v>
      </c>
      <c r="J308" s="3">
        <v>56861180</v>
      </c>
      <c r="K308" s="3" t="s">
        <v>266</v>
      </c>
      <c r="L308" s="3"/>
      <c r="M308" s="3"/>
      <c r="N308" s="3" t="s">
        <v>65</v>
      </c>
      <c r="O308" s="3" t="s">
        <v>52</v>
      </c>
      <c r="P308" s="3">
        <v>0.7</v>
      </c>
      <c r="Q308" s="3">
        <v>0.6</v>
      </c>
      <c r="R308" s="4" t="s">
        <v>53</v>
      </c>
      <c r="S308" s="4">
        <v>8400</v>
      </c>
      <c r="T308" s="4">
        <v>8400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8400</v>
      </c>
      <c r="AD308" s="4">
        <v>8400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8400</v>
      </c>
      <c r="AN308" s="4">
        <v>5880</v>
      </c>
      <c r="AO308" s="4">
        <v>0</v>
      </c>
      <c r="AP308" s="4">
        <v>5880</v>
      </c>
      <c r="AQ308" t="str">
        <f>VLOOKUP(N308,'[1]전체(5)'!$N:$AR,30,0)</f>
        <v>스토리위즈</v>
      </c>
      <c r="AR308" t="str">
        <f>VLOOKUP($N308,'[1]전체(5)'!$N:$AR,31,0)</f>
        <v>세상</v>
      </c>
    </row>
    <row r="309" spans="1:44" x14ac:dyDescent="0.4">
      <c r="A309" s="3" t="s">
        <v>42</v>
      </c>
      <c r="B309" s="3" t="s">
        <v>43</v>
      </c>
      <c r="C309" s="3" t="s">
        <v>44</v>
      </c>
      <c r="D309" s="3" t="s">
        <v>45</v>
      </c>
      <c r="E309" s="3"/>
      <c r="F309" s="3" t="s">
        <v>46</v>
      </c>
      <c r="G309" s="3" t="s">
        <v>47</v>
      </c>
      <c r="H309" s="3" t="s">
        <v>48</v>
      </c>
      <c r="I309" s="3" t="s">
        <v>49</v>
      </c>
      <c r="J309" s="3">
        <v>49945284</v>
      </c>
      <c r="K309" s="3" t="s">
        <v>206</v>
      </c>
      <c r="L309" s="3"/>
      <c r="M309" s="3"/>
      <c r="N309" s="3" t="s">
        <v>115</v>
      </c>
      <c r="O309" s="3" t="s">
        <v>52</v>
      </c>
      <c r="P309" s="3">
        <v>0.7</v>
      </c>
      <c r="Q309" s="3">
        <v>0.6</v>
      </c>
      <c r="R309" s="4" t="s">
        <v>53</v>
      </c>
      <c r="S309" s="4">
        <v>9000</v>
      </c>
      <c r="T309" s="4">
        <v>135300</v>
      </c>
      <c r="U309" s="4">
        <v>107800</v>
      </c>
      <c r="V309" s="4">
        <v>0</v>
      </c>
      <c r="W309" s="4">
        <v>0</v>
      </c>
      <c r="X309" s="4">
        <v>-2200</v>
      </c>
      <c r="Y309" s="4">
        <v>27000</v>
      </c>
      <c r="Z309" s="4">
        <v>0</v>
      </c>
      <c r="AA309" s="4">
        <v>0</v>
      </c>
      <c r="AB309" s="4">
        <v>0</v>
      </c>
      <c r="AC309" s="4">
        <v>2700</v>
      </c>
      <c r="AD309" s="4">
        <v>139854.8278</v>
      </c>
      <c r="AE309" s="4">
        <v>107800</v>
      </c>
      <c r="AF309" s="4">
        <v>0</v>
      </c>
      <c r="AG309" s="4">
        <v>0</v>
      </c>
      <c r="AH309" s="4">
        <v>-3045.1722</v>
      </c>
      <c r="AI309" s="4">
        <v>32400</v>
      </c>
      <c r="AJ309" s="4">
        <v>0</v>
      </c>
      <c r="AK309" s="4">
        <v>0</v>
      </c>
      <c r="AL309" s="4">
        <v>0</v>
      </c>
      <c r="AM309" s="4">
        <v>2700</v>
      </c>
      <c r="AN309" s="4">
        <v>94963</v>
      </c>
      <c r="AO309" s="4">
        <v>0</v>
      </c>
      <c r="AP309" s="4">
        <v>94963</v>
      </c>
      <c r="AQ309" t="str">
        <f>VLOOKUP(N309,'[1]전체(5)'!$N:$AR,30,0)</f>
        <v>스토리위즈</v>
      </c>
      <c r="AR309" t="str">
        <f>VLOOKUP($N309,'[1]전체(5)'!$N:$AR,31,0)</f>
        <v>독고진</v>
      </c>
    </row>
    <row r="310" spans="1:44" x14ac:dyDescent="0.4">
      <c r="A310" s="3" t="s">
        <v>42</v>
      </c>
      <c r="B310" s="3" t="s">
        <v>43</v>
      </c>
      <c r="C310" s="3" t="s">
        <v>44</v>
      </c>
      <c r="D310" s="3" t="s">
        <v>45</v>
      </c>
      <c r="E310" s="3"/>
      <c r="F310" s="3" t="s">
        <v>46</v>
      </c>
      <c r="G310" s="3" t="s">
        <v>47</v>
      </c>
      <c r="H310" s="3" t="s">
        <v>48</v>
      </c>
      <c r="I310" s="3" t="s">
        <v>49</v>
      </c>
      <c r="J310" s="3">
        <v>55082393</v>
      </c>
      <c r="K310" s="3" t="s">
        <v>236</v>
      </c>
      <c r="L310" s="3"/>
      <c r="M310" s="3"/>
      <c r="N310" s="3" t="s">
        <v>237</v>
      </c>
      <c r="O310" s="3" t="s">
        <v>52</v>
      </c>
      <c r="P310" s="3">
        <v>0.7</v>
      </c>
      <c r="Q310" s="3">
        <v>0.6</v>
      </c>
      <c r="R310" s="4" t="s">
        <v>56</v>
      </c>
      <c r="S310" s="4">
        <v>100</v>
      </c>
      <c r="T310" s="4">
        <v>7800</v>
      </c>
      <c r="U310" s="4">
        <v>3000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4800</v>
      </c>
      <c r="AD310" s="4">
        <v>7800</v>
      </c>
      <c r="AE310" s="4">
        <v>3000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4800</v>
      </c>
      <c r="AN310" s="4">
        <v>5460</v>
      </c>
      <c r="AO310" s="4">
        <v>0</v>
      </c>
      <c r="AP310" s="4">
        <v>5460</v>
      </c>
      <c r="AQ310" t="str">
        <f>VLOOKUP(N310,'[1]전체(5)'!$N:$AR,30,0)</f>
        <v>스토리위즈</v>
      </c>
      <c r="AR310" t="str">
        <f>VLOOKUP($N310,'[1]전체(5)'!$N:$AR,31,0)</f>
        <v>무성매직</v>
      </c>
    </row>
    <row r="311" spans="1:44" x14ac:dyDescent="0.4">
      <c r="A311" s="3" t="s">
        <v>42</v>
      </c>
      <c r="B311" s="3" t="s">
        <v>43</v>
      </c>
      <c r="C311" s="3" t="s">
        <v>44</v>
      </c>
      <c r="D311" s="3" t="s">
        <v>45</v>
      </c>
      <c r="E311" s="3"/>
      <c r="F311" s="3" t="s">
        <v>46</v>
      </c>
      <c r="G311" s="3" t="s">
        <v>47</v>
      </c>
      <c r="H311" s="3" t="s">
        <v>48</v>
      </c>
      <c r="I311" s="3" t="s">
        <v>49</v>
      </c>
      <c r="J311" s="3">
        <v>49197281</v>
      </c>
      <c r="K311" s="3" t="s">
        <v>184</v>
      </c>
      <c r="L311" s="3"/>
      <c r="M311" s="3"/>
      <c r="N311" s="3" t="s">
        <v>64</v>
      </c>
      <c r="O311" s="3" t="s">
        <v>52</v>
      </c>
      <c r="P311" s="3">
        <v>0.7</v>
      </c>
      <c r="Q311" s="3">
        <v>0.6</v>
      </c>
      <c r="R311" s="4" t="s">
        <v>56</v>
      </c>
      <c r="S311" s="4">
        <v>100</v>
      </c>
      <c r="T311" s="4">
        <v>7100</v>
      </c>
      <c r="U311" s="4">
        <v>2000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5100</v>
      </c>
      <c r="AD311" s="4">
        <v>7100</v>
      </c>
      <c r="AE311" s="4">
        <v>2000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5100</v>
      </c>
      <c r="AN311" s="4">
        <v>4970</v>
      </c>
      <c r="AO311" s="4">
        <v>0</v>
      </c>
      <c r="AP311" s="4">
        <v>4970</v>
      </c>
      <c r="AQ311" t="str">
        <f>VLOOKUP(N311,'[1]전체(5)'!$N:$AR,30,0)</f>
        <v>스토리위즈</v>
      </c>
      <c r="AR311" t="str">
        <f>VLOOKUP($N311,'[1]전체(5)'!$N:$AR,31,0)</f>
        <v>전혁</v>
      </c>
    </row>
    <row r="312" spans="1:44" x14ac:dyDescent="0.4">
      <c r="A312" s="3" t="s">
        <v>42</v>
      </c>
      <c r="B312" s="3" t="s">
        <v>43</v>
      </c>
      <c r="C312" s="3" t="s">
        <v>44</v>
      </c>
      <c r="D312" s="3" t="s">
        <v>45</v>
      </c>
      <c r="E312" s="3"/>
      <c r="F312" s="3" t="s">
        <v>46</v>
      </c>
      <c r="G312" s="3" t="s">
        <v>47</v>
      </c>
      <c r="H312" s="3" t="s">
        <v>48</v>
      </c>
      <c r="I312" s="3" t="s">
        <v>49</v>
      </c>
      <c r="J312" s="3">
        <v>55082393</v>
      </c>
      <c r="K312" s="3" t="s">
        <v>236</v>
      </c>
      <c r="L312" s="3"/>
      <c r="M312" s="3"/>
      <c r="N312" s="3" t="s">
        <v>237</v>
      </c>
      <c r="O312" s="3" t="s">
        <v>52</v>
      </c>
      <c r="P312" s="3">
        <v>0.7</v>
      </c>
      <c r="Q312" s="3">
        <v>0.6</v>
      </c>
      <c r="R312" s="4" t="s">
        <v>53</v>
      </c>
      <c r="S312" s="4">
        <v>2700</v>
      </c>
      <c r="T312" s="4">
        <v>11600</v>
      </c>
      <c r="U312" s="4">
        <v>11400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200</v>
      </c>
      <c r="AD312" s="4">
        <v>11600</v>
      </c>
      <c r="AE312" s="4">
        <v>11400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200</v>
      </c>
      <c r="AN312" s="4">
        <v>8120</v>
      </c>
      <c r="AO312" s="4">
        <v>0</v>
      </c>
      <c r="AP312" s="4">
        <v>8120</v>
      </c>
      <c r="AQ312" t="str">
        <f>VLOOKUP(N312,'[1]전체(5)'!$N:$AR,30,0)</f>
        <v>스토리위즈</v>
      </c>
      <c r="AR312" t="str">
        <f>VLOOKUP($N312,'[1]전체(5)'!$N:$AR,31,0)</f>
        <v>무성매직</v>
      </c>
    </row>
    <row r="313" spans="1:44" x14ac:dyDescent="0.4">
      <c r="A313" s="3" t="s">
        <v>42</v>
      </c>
      <c r="B313" s="3" t="s">
        <v>43</v>
      </c>
      <c r="C313" s="3" t="s">
        <v>44</v>
      </c>
      <c r="D313" s="3" t="s">
        <v>45</v>
      </c>
      <c r="E313" s="3"/>
      <c r="F313" s="3" t="s">
        <v>46</v>
      </c>
      <c r="G313" s="3" t="s">
        <v>47</v>
      </c>
      <c r="H313" s="3" t="s">
        <v>48</v>
      </c>
      <c r="I313" s="3" t="s">
        <v>49</v>
      </c>
      <c r="J313" s="3">
        <v>49197281</v>
      </c>
      <c r="K313" s="3" t="s">
        <v>184</v>
      </c>
      <c r="L313" s="3"/>
      <c r="M313" s="3"/>
      <c r="N313" s="3" t="s">
        <v>64</v>
      </c>
      <c r="O313" s="3" t="s">
        <v>52</v>
      </c>
      <c r="P313" s="3">
        <v>0.7</v>
      </c>
      <c r="Q313" s="3">
        <v>0.6</v>
      </c>
      <c r="R313" s="4" t="s">
        <v>53</v>
      </c>
      <c r="S313" s="4">
        <v>2700</v>
      </c>
      <c r="T313" s="4">
        <v>4200</v>
      </c>
      <c r="U313" s="4">
        <v>3400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800</v>
      </c>
      <c r="AD313" s="4">
        <v>4200</v>
      </c>
      <c r="AE313" s="4">
        <v>3400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800</v>
      </c>
      <c r="AN313" s="4">
        <v>2940</v>
      </c>
      <c r="AO313" s="4">
        <v>0</v>
      </c>
      <c r="AP313" s="4">
        <v>2940</v>
      </c>
      <c r="AQ313" t="str">
        <f>VLOOKUP(N313,'[1]전체(5)'!$N:$AR,30,0)</f>
        <v>스토리위즈</v>
      </c>
      <c r="AR313" t="str">
        <f>VLOOKUP($N313,'[1]전체(5)'!$N:$AR,31,0)</f>
        <v>전혁</v>
      </c>
    </row>
    <row r="314" spans="1:44" x14ac:dyDescent="0.4">
      <c r="A314" s="3" t="s">
        <v>42</v>
      </c>
      <c r="B314" s="3" t="s">
        <v>43</v>
      </c>
      <c r="C314" s="3" t="s">
        <v>44</v>
      </c>
      <c r="D314" s="3" t="s">
        <v>45</v>
      </c>
      <c r="E314" s="3"/>
      <c r="F314" s="3" t="s">
        <v>46</v>
      </c>
      <c r="G314" s="3" t="s">
        <v>47</v>
      </c>
      <c r="H314" s="3" t="s">
        <v>48</v>
      </c>
      <c r="I314" s="3" t="s">
        <v>49</v>
      </c>
      <c r="J314" s="3">
        <v>55082393</v>
      </c>
      <c r="K314" s="3" t="s">
        <v>236</v>
      </c>
      <c r="L314" s="3"/>
      <c r="M314" s="3"/>
      <c r="N314" s="3" t="s">
        <v>237</v>
      </c>
      <c r="O314" s="3" t="s">
        <v>52</v>
      </c>
      <c r="P314" s="3">
        <v>0.7</v>
      </c>
      <c r="Q314" s="3">
        <v>0.6</v>
      </c>
      <c r="R314" s="4" t="s">
        <v>53</v>
      </c>
      <c r="S314" s="4">
        <v>4500</v>
      </c>
      <c r="T314" s="4">
        <v>4500</v>
      </c>
      <c r="U314" s="4">
        <v>4500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4500</v>
      </c>
      <c r="AE314" s="4">
        <v>4500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3150</v>
      </c>
      <c r="AO314" s="4">
        <v>0</v>
      </c>
      <c r="AP314" s="4">
        <v>3150</v>
      </c>
      <c r="AQ314" t="str">
        <f>VLOOKUP(N314,'[1]전체(5)'!$N:$AR,30,0)</f>
        <v>스토리위즈</v>
      </c>
      <c r="AR314" t="str">
        <f>VLOOKUP($N314,'[1]전체(5)'!$N:$AR,31,0)</f>
        <v>무성매직</v>
      </c>
    </row>
    <row r="315" spans="1:44" x14ac:dyDescent="0.4">
      <c r="A315" s="3" t="s">
        <v>42</v>
      </c>
      <c r="B315" s="3" t="s">
        <v>43</v>
      </c>
      <c r="C315" s="3" t="s">
        <v>44</v>
      </c>
      <c r="D315" s="3" t="s">
        <v>45</v>
      </c>
      <c r="E315" s="3"/>
      <c r="F315" s="3" t="s">
        <v>46</v>
      </c>
      <c r="G315" s="3" t="s">
        <v>47</v>
      </c>
      <c r="H315" s="3" t="s">
        <v>48</v>
      </c>
      <c r="I315" s="3" t="s">
        <v>49</v>
      </c>
      <c r="J315" s="3">
        <v>55669749</v>
      </c>
      <c r="K315" s="3" t="s">
        <v>54</v>
      </c>
      <c r="L315" s="3"/>
      <c r="M315" s="3"/>
      <c r="N315" s="3" t="s">
        <v>55</v>
      </c>
      <c r="O315" s="3" t="s">
        <v>52</v>
      </c>
      <c r="P315" s="3">
        <v>0.7</v>
      </c>
      <c r="Q315" s="3">
        <v>0.6</v>
      </c>
      <c r="R315" s="4" t="s">
        <v>56</v>
      </c>
      <c r="S315" s="4">
        <v>100</v>
      </c>
      <c r="T315" s="4">
        <v>5700</v>
      </c>
      <c r="U315" s="4">
        <v>3260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2440</v>
      </c>
      <c r="AD315" s="4">
        <v>5700</v>
      </c>
      <c r="AE315" s="4">
        <v>3260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2440</v>
      </c>
      <c r="AN315" s="4">
        <v>3990</v>
      </c>
      <c r="AO315" s="4">
        <v>0</v>
      </c>
      <c r="AP315" s="4">
        <v>3990</v>
      </c>
      <c r="AQ315" t="str">
        <f>VLOOKUP(N315,'[1]전체(5)'!$N:$AR,30,0)</f>
        <v>스토리위즈</v>
      </c>
      <c r="AR315" t="str">
        <f>VLOOKUP($N315,'[1]전체(5)'!$N:$AR,31,0)</f>
        <v>밈스</v>
      </c>
    </row>
    <row r="316" spans="1:44" x14ac:dyDescent="0.4">
      <c r="A316" s="3" t="s">
        <v>42</v>
      </c>
      <c r="B316" s="3" t="s">
        <v>43</v>
      </c>
      <c r="C316" s="3" t="s">
        <v>44</v>
      </c>
      <c r="D316" s="3" t="s">
        <v>45</v>
      </c>
      <c r="E316" s="3"/>
      <c r="F316" s="3" t="s">
        <v>46</v>
      </c>
      <c r="G316" s="3" t="s">
        <v>47</v>
      </c>
      <c r="H316" s="3" t="s">
        <v>48</v>
      </c>
      <c r="I316" s="3" t="s">
        <v>49</v>
      </c>
      <c r="J316" s="3">
        <v>49197281</v>
      </c>
      <c r="K316" s="3" t="s">
        <v>184</v>
      </c>
      <c r="L316" s="3"/>
      <c r="M316" s="3"/>
      <c r="N316" s="3" t="s">
        <v>64</v>
      </c>
      <c r="O316" s="3" t="s">
        <v>52</v>
      </c>
      <c r="P316" s="3">
        <v>0.7</v>
      </c>
      <c r="Q316" s="3">
        <v>0.6</v>
      </c>
      <c r="R316" s="4" t="s">
        <v>53</v>
      </c>
      <c r="S316" s="4">
        <v>4500</v>
      </c>
      <c r="T316" s="4">
        <v>13500</v>
      </c>
      <c r="U316" s="4">
        <v>13300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200</v>
      </c>
      <c r="AD316" s="4">
        <v>13500</v>
      </c>
      <c r="AE316" s="4">
        <v>13300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200</v>
      </c>
      <c r="AN316" s="4">
        <v>9450</v>
      </c>
      <c r="AO316" s="4">
        <v>0</v>
      </c>
      <c r="AP316" s="4">
        <v>9450</v>
      </c>
      <c r="AQ316" t="str">
        <f>VLOOKUP(N316,'[1]전체(5)'!$N:$AR,30,0)</f>
        <v>스토리위즈</v>
      </c>
      <c r="AR316" t="str">
        <f>VLOOKUP($N316,'[1]전체(5)'!$N:$AR,31,0)</f>
        <v>전혁</v>
      </c>
    </row>
    <row r="317" spans="1:44" x14ac:dyDescent="0.4">
      <c r="A317" s="3" t="s">
        <v>42</v>
      </c>
      <c r="B317" s="3" t="s">
        <v>43</v>
      </c>
      <c r="C317" s="3" t="s">
        <v>44</v>
      </c>
      <c r="D317" s="3" t="s">
        <v>45</v>
      </c>
      <c r="E317" s="3"/>
      <c r="F317" s="3" t="s">
        <v>46</v>
      </c>
      <c r="G317" s="3" t="s">
        <v>47</v>
      </c>
      <c r="H317" s="3" t="s">
        <v>48</v>
      </c>
      <c r="I317" s="3" t="s">
        <v>49</v>
      </c>
      <c r="J317" s="3">
        <v>55669749</v>
      </c>
      <c r="K317" s="3" t="s">
        <v>54</v>
      </c>
      <c r="L317" s="3"/>
      <c r="M317" s="3"/>
      <c r="N317" s="3" t="s">
        <v>55</v>
      </c>
      <c r="O317" s="3" t="s">
        <v>52</v>
      </c>
      <c r="P317" s="3">
        <v>0.7</v>
      </c>
      <c r="Q317" s="3">
        <v>0.6</v>
      </c>
      <c r="R317" s="4" t="s">
        <v>53</v>
      </c>
      <c r="S317" s="4">
        <v>900</v>
      </c>
      <c r="T317" s="4">
        <v>11700</v>
      </c>
      <c r="U317" s="4">
        <v>9900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1800</v>
      </c>
      <c r="AD317" s="4">
        <v>11700</v>
      </c>
      <c r="AE317" s="4">
        <v>9900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1800</v>
      </c>
      <c r="AN317" s="4">
        <v>8190</v>
      </c>
      <c r="AO317" s="4">
        <v>0</v>
      </c>
      <c r="AP317" s="4">
        <v>8190</v>
      </c>
      <c r="AQ317" t="str">
        <f>VLOOKUP(N317,'[1]전체(5)'!$N:$AR,30,0)</f>
        <v>스토리위즈</v>
      </c>
      <c r="AR317" t="str">
        <f>VLOOKUP($N317,'[1]전체(5)'!$N:$AR,31,0)</f>
        <v>밈스</v>
      </c>
    </row>
    <row r="318" spans="1:44" x14ac:dyDescent="0.4">
      <c r="A318" s="3" t="s">
        <v>42</v>
      </c>
      <c r="B318" s="3" t="s">
        <v>43</v>
      </c>
      <c r="C318" s="3" t="s">
        <v>44</v>
      </c>
      <c r="D318" s="3" t="s">
        <v>45</v>
      </c>
      <c r="E318" s="3"/>
      <c r="F318" s="3" t="s">
        <v>46</v>
      </c>
      <c r="G318" s="3" t="s">
        <v>47</v>
      </c>
      <c r="H318" s="3" t="s">
        <v>48</v>
      </c>
      <c r="I318" s="3" t="s">
        <v>49</v>
      </c>
      <c r="J318" s="3">
        <v>49197281</v>
      </c>
      <c r="K318" s="3" t="s">
        <v>184</v>
      </c>
      <c r="L318" s="3"/>
      <c r="M318" s="3"/>
      <c r="N318" s="3" t="s">
        <v>64</v>
      </c>
      <c r="O318" s="3" t="s">
        <v>52</v>
      </c>
      <c r="P318" s="3">
        <v>0.7</v>
      </c>
      <c r="Q318" s="3">
        <v>0.6</v>
      </c>
      <c r="R318" s="4" t="s">
        <v>53</v>
      </c>
      <c r="S318" s="4">
        <v>9000</v>
      </c>
      <c r="T318" s="4">
        <v>9000</v>
      </c>
      <c r="U318" s="4">
        <v>9000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9000</v>
      </c>
      <c r="AE318" s="4">
        <v>9000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6300</v>
      </c>
      <c r="AO318" s="4">
        <v>0</v>
      </c>
      <c r="AP318" s="4">
        <v>6300</v>
      </c>
      <c r="AQ318" t="str">
        <f>VLOOKUP(N318,'[1]전체(5)'!$N:$AR,30,0)</f>
        <v>스토리위즈</v>
      </c>
      <c r="AR318" t="str">
        <f>VLOOKUP($N318,'[1]전체(5)'!$N:$AR,31,0)</f>
        <v>전혁</v>
      </c>
    </row>
    <row r="319" spans="1:44" x14ac:dyDescent="0.4">
      <c r="A319" s="3" t="s">
        <v>42</v>
      </c>
      <c r="B319" s="3" t="s">
        <v>43</v>
      </c>
      <c r="C319" s="3" t="s">
        <v>44</v>
      </c>
      <c r="D319" s="3" t="s">
        <v>45</v>
      </c>
      <c r="E319" s="3"/>
      <c r="F319" s="3" t="s">
        <v>46</v>
      </c>
      <c r="G319" s="3" t="s">
        <v>47</v>
      </c>
      <c r="H319" s="3" t="s">
        <v>48</v>
      </c>
      <c r="I319" s="3" t="s">
        <v>49</v>
      </c>
      <c r="J319" s="3">
        <v>55669749</v>
      </c>
      <c r="K319" s="3" t="s">
        <v>54</v>
      </c>
      <c r="L319" s="3"/>
      <c r="M319" s="3"/>
      <c r="N319" s="3" t="s">
        <v>55</v>
      </c>
      <c r="O319" s="3" t="s">
        <v>52</v>
      </c>
      <c r="P319" s="3">
        <v>0.7</v>
      </c>
      <c r="Q319" s="3">
        <v>0.6</v>
      </c>
      <c r="R319" s="4" t="s">
        <v>53</v>
      </c>
      <c r="S319" s="4">
        <v>1800</v>
      </c>
      <c r="T319" s="4">
        <v>10800</v>
      </c>
      <c r="U319" s="4">
        <v>7600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3200</v>
      </c>
      <c r="AD319" s="4">
        <v>10800</v>
      </c>
      <c r="AE319" s="4">
        <v>7600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3200</v>
      </c>
      <c r="AN319" s="4">
        <v>7560</v>
      </c>
      <c r="AO319" s="4">
        <v>0</v>
      </c>
      <c r="AP319" s="4">
        <v>7560</v>
      </c>
      <c r="AQ319" t="str">
        <f>VLOOKUP(N319,'[1]전체(5)'!$N:$AR,30,0)</f>
        <v>스토리위즈</v>
      </c>
      <c r="AR319" t="str">
        <f>VLOOKUP($N319,'[1]전체(5)'!$N:$AR,31,0)</f>
        <v>밈스</v>
      </c>
    </row>
    <row r="320" spans="1:44" x14ac:dyDescent="0.4">
      <c r="A320" s="3" t="s">
        <v>42</v>
      </c>
      <c r="B320" s="3" t="s">
        <v>43</v>
      </c>
      <c r="C320" s="3" t="s">
        <v>44</v>
      </c>
      <c r="D320" s="3" t="s">
        <v>45</v>
      </c>
      <c r="E320" s="3"/>
      <c r="F320" s="3" t="s">
        <v>46</v>
      </c>
      <c r="G320" s="3" t="s">
        <v>47</v>
      </c>
      <c r="H320" s="3" t="s">
        <v>48</v>
      </c>
      <c r="I320" s="3" t="s">
        <v>49</v>
      </c>
      <c r="J320" s="3">
        <v>55669749</v>
      </c>
      <c r="K320" s="3" t="s">
        <v>54</v>
      </c>
      <c r="L320" s="3"/>
      <c r="M320" s="3"/>
      <c r="N320" s="3" t="s">
        <v>55</v>
      </c>
      <c r="O320" s="3" t="s">
        <v>52</v>
      </c>
      <c r="P320" s="3">
        <v>0.7</v>
      </c>
      <c r="Q320" s="3">
        <v>0.6</v>
      </c>
      <c r="R320" s="4" t="s">
        <v>53</v>
      </c>
      <c r="S320" s="4">
        <v>2700</v>
      </c>
      <c r="T320" s="4">
        <v>23800</v>
      </c>
      <c r="U320" s="4">
        <v>19600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4200</v>
      </c>
      <c r="AD320" s="4">
        <v>23800</v>
      </c>
      <c r="AE320" s="4">
        <v>19600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4200</v>
      </c>
      <c r="AN320" s="4">
        <v>16660</v>
      </c>
      <c r="AO320" s="4">
        <v>0</v>
      </c>
      <c r="AP320" s="4">
        <v>16660</v>
      </c>
      <c r="AQ320" t="str">
        <f>VLOOKUP(N320,'[1]전체(5)'!$N:$AR,30,0)</f>
        <v>스토리위즈</v>
      </c>
      <c r="AR320" t="str">
        <f>VLOOKUP($N320,'[1]전체(5)'!$N:$AR,31,0)</f>
        <v>밈스</v>
      </c>
    </row>
    <row r="321" spans="1:44" x14ac:dyDescent="0.4">
      <c r="A321" s="3" t="s">
        <v>42</v>
      </c>
      <c r="B321" s="3" t="s">
        <v>43</v>
      </c>
      <c r="C321" s="3" t="s">
        <v>44</v>
      </c>
      <c r="D321" s="3" t="s">
        <v>45</v>
      </c>
      <c r="E321" s="3"/>
      <c r="F321" s="3" t="s">
        <v>46</v>
      </c>
      <c r="G321" s="3" t="s">
        <v>47</v>
      </c>
      <c r="H321" s="3" t="s">
        <v>48</v>
      </c>
      <c r="I321" s="3" t="s">
        <v>49</v>
      </c>
      <c r="J321" s="3">
        <v>53574168</v>
      </c>
      <c r="K321" s="3" t="s">
        <v>161</v>
      </c>
      <c r="L321" s="3"/>
      <c r="M321" s="3"/>
      <c r="N321" s="3" t="s">
        <v>162</v>
      </c>
      <c r="O321" s="3" t="s">
        <v>52</v>
      </c>
      <c r="P321" s="3">
        <v>0.7</v>
      </c>
      <c r="Q321" s="3">
        <v>0.6</v>
      </c>
      <c r="R321" s="4" t="s">
        <v>56</v>
      </c>
      <c r="S321" s="4">
        <v>100</v>
      </c>
      <c r="T321" s="4">
        <v>20800</v>
      </c>
      <c r="U321" s="4">
        <v>1900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18900</v>
      </c>
      <c r="AD321" s="4">
        <v>20800</v>
      </c>
      <c r="AE321" s="4">
        <v>1900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18900</v>
      </c>
      <c r="AN321" s="4">
        <v>14560</v>
      </c>
      <c r="AO321" s="4">
        <v>0</v>
      </c>
      <c r="AP321" s="4">
        <v>14560</v>
      </c>
      <c r="AQ321" t="str">
        <f>VLOOKUP(N321,'[1]전체(5)'!$N:$AR,30,0)</f>
        <v>스토리위즈</v>
      </c>
      <c r="AR321" t="str">
        <f>VLOOKUP($N321,'[1]전체(5)'!$N:$AR,31,0)</f>
        <v>빵양이</v>
      </c>
    </row>
    <row r="322" spans="1:44" x14ac:dyDescent="0.4">
      <c r="A322" s="3" t="s">
        <v>42</v>
      </c>
      <c r="B322" s="3" t="s">
        <v>43</v>
      </c>
      <c r="C322" s="3" t="s">
        <v>44</v>
      </c>
      <c r="D322" s="3" t="s">
        <v>45</v>
      </c>
      <c r="E322" s="3"/>
      <c r="F322" s="3" t="s">
        <v>46</v>
      </c>
      <c r="G322" s="3" t="s">
        <v>47</v>
      </c>
      <c r="H322" s="3" t="s">
        <v>48</v>
      </c>
      <c r="I322" s="3" t="s">
        <v>49</v>
      </c>
      <c r="J322" s="3">
        <v>56201174</v>
      </c>
      <c r="K322" s="3" t="s">
        <v>248</v>
      </c>
      <c r="L322" s="3"/>
      <c r="M322" s="3"/>
      <c r="N322" s="3" t="s">
        <v>249</v>
      </c>
      <c r="O322" s="3" t="s">
        <v>52</v>
      </c>
      <c r="P322" s="3">
        <v>0.7</v>
      </c>
      <c r="Q322" s="3">
        <v>0.6</v>
      </c>
      <c r="R322" s="4" t="s">
        <v>56</v>
      </c>
      <c r="S322" s="4">
        <v>100</v>
      </c>
      <c r="T322" s="4">
        <v>400</v>
      </c>
      <c r="U322" s="4">
        <v>400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400</v>
      </c>
      <c r="AE322" s="4">
        <v>400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280</v>
      </c>
      <c r="AO322" s="4">
        <v>0</v>
      </c>
      <c r="AP322" s="4">
        <v>280</v>
      </c>
      <c r="AQ322" t="str">
        <f>VLOOKUP(N322,'[1]전체(5)'!$N:$AR,30,0)</f>
        <v>스토리위즈</v>
      </c>
      <c r="AR322" t="str">
        <f>VLOOKUP($N322,'[1]전체(5)'!$N:$AR,31,0)</f>
        <v>구이</v>
      </c>
    </row>
    <row r="323" spans="1:44" x14ac:dyDescent="0.4">
      <c r="A323" s="3" t="s">
        <v>42</v>
      </c>
      <c r="B323" s="3" t="s">
        <v>43</v>
      </c>
      <c r="C323" s="3" t="s">
        <v>44</v>
      </c>
      <c r="D323" s="3" t="s">
        <v>45</v>
      </c>
      <c r="E323" s="3"/>
      <c r="F323" s="3" t="s">
        <v>46</v>
      </c>
      <c r="G323" s="3" t="s">
        <v>47</v>
      </c>
      <c r="H323" s="3" t="s">
        <v>48</v>
      </c>
      <c r="I323" s="3" t="s">
        <v>49</v>
      </c>
      <c r="J323" s="3">
        <v>53574168</v>
      </c>
      <c r="K323" s="3" t="s">
        <v>161</v>
      </c>
      <c r="L323" s="3"/>
      <c r="M323" s="3"/>
      <c r="N323" s="3" t="s">
        <v>162</v>
      </c>
      <c r="O323" s="3" t="s">
        <v>52</v>
      </c>
      <c r="P323" s="3">
        <v>0.7</v>
      </c>
      <c r="Q323" s="3">
        <v>0.6</v>
      </c>
      <c r="R323" s="4" t="s">
        <v>53</v>
      </c>
      <c r="S323" s="4">
        <v>900</v>
      </c>
      <c r="T323" s="4">
        <v>7700</v>
      </c>
      <c r="U323" s="4">
        <v>1770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5930</v>
      </c>
      <c r="AD323" s="4">
        <v>7700</v>
      </c>
      <c r="AE323" s="4">
        <v>1770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5930</v>
      </c>
      <c r="AN323" s="4">
        <v>5390</v>
      </c>
      <c r="AO323" s="4">
        <v>0</v>
      </c>
      <c r="AP323" s="4">
        <v>5390</v>
      </c>
      <c r="AQ323" t="str">
        <f>VLOOKUP(N323,'[1]전체(5)'!$N:$AR,30,0)</f>
        <v>스토리위즈</v>
      </c>
      <c r="AR323" t="str">
        <f>VLOOKUP($N323,'[1]전체(5)'!$N:$AR,31,0)</f>
        <v>빵양이</v>
      </c>
    </row>
    <row r="324" spans="1:44" x14ac:dyDescent="0.4">
      <c r="A324" s="3" t="s">
        <v>42</v>
      </c>
      <c r="B324" s="3" t="s">
        <v>43</v>
      </c>
      <c r="C324" s="3" t="s">
        <v>44</v>
      </c>
      <c r="D324" s="3" t="s">
        <v>45</v>
      </c>
      <c r="E324" s="3"/>
      <c r="F324" s="3" t="s">
        <v>46</v>
      </c>
      <c r="G324" s="3" t="s">
        <v>47</v>
      </c>
      <c r="H324" s="3" t="s">
        <v>48</v>
      </c>
      <c r="I324" s="3" t="s">
        <v>49</v>
      </c>
      <c r="J324" s="3">
        <v>56482095</v>
      </c>
      <c r="K324" s="3" t="s">
        <v>246</v>
      </c>
      <c r="L324" s="3"/>
      <c r="M324" s="3"/>
      <c r="N324" s="3" t="s">
        <v>87</v>
      </c>
      <c r="O324" s="3" t="s">
        <v>52</v>
      </c>
      <c r="P324" s="3">
        <v>0.7</v>
      </c>
      <c r="Q324" s="3">
        <v>0.6</v>
      </c>
      <c r="R324" s="4" t="s">
        <v>74</v>
      </c>
      <c r="S324" s="4">
        <v>900</v>
      </c>
      <c r="T324" s="4">
        <v>18900</v>
      </c>
      <c r="U324" s="4">
        <v>17100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1800</v>
      </c>
      <c r="AD324" s="4">
        <v>18900</v>
      </c>
      <c r="AE324" s="4">
        <v>17100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1800</v>
      </c>
      <c r="AN324" s="4">
        <v>13230</v>
      </c>
      <c r="AO324" s="4">
        <v>0</v>
      </c>
      <c r="AP324" s="4">
        <v>13230</v>
      </c>
      <c r="AQ324" t="str">
        <f>VLOOKUP(N324,'[1]전체(5)'!$N:$AR,30,0)</f>
        <v>스토리위즈</v>
      </c>
      <c r="AR324" t="str">
        <f>VLOOKUP($N324,'[1]전체(5)'!$N:$AR,31,0)</f>
        <v>권용찬</v>
      </c>
    </row>
    <row r="325" spans="1:44" x14ac:dyDescent="0.4">
      <c r="A325" s="3" t="s">
        <v>42</v>
      </c>
      <c r="B325" s="3" t="s">
        <v>43</v>
      </c>
      <c r="C325" s="3" t="s">
        <v>44</v>
      </c>
      <c r="D325" s="3" t="s">
        <v>45</v>
      </c>
      <c r="E325" s="3"/>
      <c r="F325" s="3" t="s">
        <v>46</v>
      </c>
      <c r="G325" s="3" t="s">
        <v>47</v>
      </c>
      <c r="H325" s="3" t="s">
        <v>48</v>
      </c>
      <c r="I325" s="3" t="s">
        <v>49</v>
      </c>
      <c r="J325" s="3">
        <v>53574168</v>
      </c>
      <c r="K325" s="3" t="s">
        <v>161</v>
      </c>
      <c r="L325" s="3"/>
      <c r="M325" s="3"/>
      <c r="N325" s="3" t="s">
        <v>162</v>
      </c>
      <c r="O325" s="3" t="s">
        <v>52</v>
      </c>
      <c r="P325" s="3">
        <v>0.7</v>
      </c>
      <c r="Q325" s="3">
        <v>0.6</v>
      </c>
      <c r="R325" s="4" t="s">
        <v>53</v>
      </c>
      <c r="S325" s="4">
        <v>2700</v>
      </c>
      <c r="T325" s="4">
        <v>2700</v>
      </c>
      <c r="U325" s="4">
        <v>2700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2700</v>
      </c>
      <c r="AE325" s="4">
        <v>2700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1890</v>
      </c>
      <c r="AO325" s="4">
        <v>0</v>
      </c>
      <c r="AP325" s="4">
        <v>1890</v>
      </c>
      <c r="AQ325" t="str">
        <f>VLOOKUP(N325,'[1]전체(5)'!$N:$AR,30,0)</f>
        <v>스토리위즈</v>
      </c>
      <c r="AR325" t="str">
        <f>VLOOKUP($N325,'[1]전체(5)'!$N:$AR,31,0)</f>
        <v>빵양이</v>
      </c>
    </row>
    <row r="326" spans="1:44" x14ac:dyDescent="0.4">
      <c r="A326" s="3" t="s">
        <v>42</v>
      </c>
      <c r="B326" s="3" t="s">
        <v>43</v>
      </c>
      <c r="C326" s="3" t="s">
        <v>44</v>
      </c>
      <c r="D326" s="3" t="s">
        <v>45</v>
      </c>
      <c r="E326" s="3"/>
      <c r="F326" s="3" t="s">
        <v>46</v>
      </c>
      <c r="G326" s="3" t="s">
        <v>47</v>
      </c>
      <c r="H326" s="3" t="s">
        <v>48</v>
      </c>
      <c r="I326" s="3" t="s">
        <v>49</v>
      </c>
      <c r="J326" s="3">
        <v>54018328</v>
      </c>
      <c r="K326" s="3" t="s">
        <v>175</v>
      </c>
      <c r="L326" s="3"/>
      <c r="M326" s="3"/>
      <c r="N326" s="3" t="s">
        <v>62</v>
      </c>
      <c r="O326" s="3" t="s">
        <v>52</v>
      </c>
      <c r="P326" s="3">
        <v>0.7</v>
      </c>
      <c r="Q326" s="3">
        <v>0.6</v>
      </c>
      <c r="R326" s="4" t="s">
        <v>56</v>
      </c>
      <c r="S326" s="4">
        <v>100</v>
      </c>
      <c r="T326" s="4">
        <v>1900</v>
      </c>
      <c r="U326" s="4">
        <v>1000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900</v>
      </c>
      <c r="AD326" s="4">
        <v>1900</v>
      </c>
      <c r="AE326" s="4">
        <v>1000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900</v>
      </c>
      <c r="AN326" s="4">
        <v>1330</v>
      </c>
      <c r="AO326" s="4">
        <v>0</v>
      </c>
      <c r="AP326" s="4">
        <v>1330</v>
      </c>
      <c r="AQ326" t="str">
        <f>VLOOKUP(N326,'[1]전체(5)'!$N:$AR,30,0)</f>
        <v>스토리위즈</v>
      </c>
      <c r="AR326" t="str">
        <f>VLOOKUP($N326,'[1]전체(5)'!$N:$AR,31,0)</f>
        <v>블 루 스 카 이</v>
      </c>
    </row>
    <row r="327" spans="1:44" x14ac:dyDescent="0.4">
      <c r="A327" s="3" t="s">
        <v>42</v>
      </c>
      <c r="B327" s="3" t="s">
        <v>43</v>
      </c>
      <c r="C327" s="3" t="s">
        <v>44</v>
      </c>
      <c r="D327" s="3" t="s">
        <v>45</v>
      </c>
      <c r="E327" s="3"/>
      <c r="F327" s="3" t="s">
        <v>46</v>
      </c>
      <c r="G327" s="3" t="s">
        <v>47</v>
      </c>
      <c r="H327" s="3" t="s">
        <v>48</v>
      </c>
      <c r="I327" s="3" t="s">
        <v>49</v>
      </c>
      <c r="J327" s="3">
        <v>56482156</v>
      </c>
      <c r="K327" s="3" t="s">
        <v>247</v>
      </c>
      <c r="L327" s="3"/>
      <c r="M327" s="3"/>
      <c r="N327" s="3" t="s">
        <v>87</v>
      </c>
      <c r="O327" s="3" t="s">
        <v>52</v>
      </c>
      <c r="P327" s="3">
        <v>0.7</v>
      </c>
      <c r="Q327" s="3">
        <v>0.6</v>
      </c>
      <c r="R327" s="4" t="s">
        <v>74</v>
      </c>
      <c r="S327" s="4">
        <v>900</v>
      </c>
      <c r="T327" s="4">
        <v>21600</v>
      </c>
      <c r="U327" s="4">
        <v>21500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100</v>
      </c>
      <c r="AD327" s="4">
        <v>21600</v>
      </c>
      <c r="AE327" s="4">
        <v>21500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100</v>
      </c>
      <c r="AN327" s="4">
        <v>15120</v>
      </c>
      <c r="AO327" s="4">
        <v>0</v>
      </c>
      <c r="AP327" s="4">
        <v>15120</v>
      </c>
      <c r="AQ327" t="str">
        <f>VLOOKUP(N327,'[1]전체(5)'!$N:$AR,30,0)</f>
        <v>스토리위즈</v>
      </c>
      <c r="AR327" t="str">
        <f>VLOOKUP($N327,'[1]전체(5)'!$N:$AR,31,0)</f>
        <v>권용찬</v>
      </c>
    </row>
    <row r="328" spans="1:44" x14ac:dyDescent="0.4">
      <c r="A328" s="3" t="s">
        <v>42</v>
      </c>
      <c r="B328" s="3" t="s">
        <v>43</v>
      </c>
      <c r="C328" s="3" t="s">
        <v>44</v>
      </c>
      <c r="D328" s="3" t="s">
        <v>45</v>
      </c>
      <c r="E328" s="3"/>
      <c r="F328" s="3" t="s">
        <v>46</v>
      </c>
      <c r="G328" s="3" t="s">
        <v>47</v>
      </c>
      <c r="H328" s="3" t="s">
        <v>48</v>
      </c>
      <c r="I328" s="3" t="s">
        <v>49</v>
      </c>
      <c r="J328" s="3">
        <v>56810903</v>
      </c>
      <c r="K328" s="3" t="s">
        <v>68</v>
      </c>
      <c r="L328" s="3"/>
      <c r="M328" s="3"/>
      <c r="N328" s="3" t="s">
        <v>65</v>
      </c>
      <c r="O328" s="3" t="s">
        <v>52</v>
      </c>
      <c r="P328" s="3">
        <v>0.7</v>
      </c>
      <c r="Q328" s="3">
        <v>0.6</v>
      </c>
      <c r="R328" s="4" t="s">
        <v>56</v>
      </c>
      <c r="S328" s="4">
        <v>100</v>
      </c>
      <c r="T328" s="4">
        <v>6300</v>
      </c>
      <c r="U328" s="4">
        <v>1100</v>
      </c>
      <c r="V328" s="4">
        <v>0</v>
      </c>
      <c r="W328" s="4">
        <v>0</v>
      </c>
      <c r="X328" s="4">
        <v>0</v>
      </c>
      <c r="Y328" s="4">
        <v>0</v>
      </c>
      <c r="Z328" s="4">
        <v>1000</v>
      </c>
      <c r="AA328" s="4">
        <v>0</v>
      </c>
      <c r="AB328" s="4">
        <v>0</v>
      </c>
      <c r="AC328" s="4">
        <v>4200</v>
      </c>
      <c r="AD328" s="4">
        <v>6400</v>
      </c>
      <c r="AE328" s="4">
        <v>1100</v>
      </c>
      <c r="AF328" s="4">
        <v>0</v>
      </c>
      <c r="AG328" s="4">
        <v>0</v>
      </c>
      <c r="AH328" s="4">
        <v>0</v>
      </c>
      <c r="AI328" s="4">
        <v>0</v>
      </c>
      <c r="AJ328" s="4">
        <v>1100</v>
      </c>
      <c r="AK328" s="4">
        <v>0</v>
      </c>
      <c r="AL328" s="4">
        <v>0</v>
      </c>
      <c r="AM328" s="4">
        <v>4200</v>
      </c>
      <c r="AN328" s="4">
        <v>4370</v>
      </c>
      <c r="AO328" s="4">
        <v>0</v>
      </c>
      <c r="AP328" s="4">
        <v>4370</v>
      </c>
      <c r="AQ328" t="str">
        <f>VLOOKUP(N328,'[1]전체(5)'!$N:$AR,30,0)</f>
        <v>스토리위즈</v>
      </c>
      <c r="AR328" t="str">
        <f>VLOOKUP($N328,'[1]전체(5)'!$N:$AR,31,0)</f>
        <v>세상</v>
      </c>
    </row>
    <row r="329" spans="1:44" x14ac:dyDescent="0.4">
      <c r="A329" s="3" t="s">
        <v>42</v>
      </c>
      <c r="B329" s="3" t="s">
        <v>43</v>
      </c>
      <c r="C329" s="3" t="s">
        <v>44</v>
      </c>
      <c r="D329" s="3" t="s">
        <v>45</v>
      </c>
      <c r="E329" s="3"/>
      <c r="F329" s="3" t="s">
        <v>46</v>
      </c>
      <c r="G329" s="3" t="s">
        <v>47</v>
      </c>
      <c r="H329" s="3" t="s">
        <v>48</v>
      </c>
      <c r="I329" s="3" t="s">
        <v>49</v>
      </c>
      <c r="J329" s="3">
        <v>53574666</v>
      </c>
      <c r="K329" s="3" t="s">
        <v>164</v>
      </c>
      <c r="L329" s="3"/>
      <c r="M329" s="3"/>
      <c r="N329" s="3" t="s">
        <v>165</v>
      </c>
      <c r="O329" s="3" t="s">
        <v>52</v>
      </c>
      <c r="P329" s="3">
        <v>0.7</v>
      </c>
      <c r="Q329" s="3">
        <v>0.6</v>
      </c>
      <c r="R329" s="4" t="s">
        <v>56</v>
      </c>
      <c r="S329" s="4">
        <v>100</v>
      </c>
      <c r="T329" s="4">
        <v>200</v>
      </c>
      <c r="U329" s="4">
        <v>100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100</v>
      </c>
      <c r="AD329" s="4">
        <v>200</v>
      </c>
      <c r="AE329" s="4">
        <v>100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100</v>
      </c>
      <c r="AN329" s="4">
        <v>140</v>
      </c>
      <c r="AO329" s="4">
        <v>0</v>
      </c>
      <c r="AP329" s="4">
        <v>140</v>
      </c>
      <c r="AQ329" t="str">
        <f>VLOOKUP(N329,'[1]전체(5)'!$N:$AR,30,0)</f>
        <v>스토리위즈</v>
      </c>
      <c r="AR329" t="str">
        <f>VLOOKUP($N329,'[1]전체(5)'!$N:$AR,31,0)</f>
        <v>아이리스</v>
      </c>
    </row>
    <row r="330" spans="1:44" x14ac:dyDescent="0.4">
      <c r="A330" s="3" t="s">
        <v>42</v>
      </c>
      <c r="B330" s="3" t="s">
        <v>43</v>
      </c>
      <c r="C330" s="3" t="s">
        <v>44</v>
      </c>
      <c r="D330" s="3" t="s">
        <v>45</v>
      </c>
      <c r="E330" s="3"/>
      <c r="F330" s="3" t="s">
        <v>46</v>
      </c>
      <c r="G330" s="3" t="s">
        <v>47</v>
      </c>
      <c r="H330" s="3" t="s">
        <v>48</v>
      </c>
      <c r="I330" s="3" t="s">
        <v>49</v>
      </c>
      <c r="J330" s="3">
        <v>54018328</v>
      </c>
      <c r="K330" s="3" t="s">
        <v>175</v>
      </c>
      <c r="L330" s="3"/>
      <c r="M330" s="3"/>
      <c r="N330" s="3" t="s">
        <v>62</v>
      </c>
      <c r="O330" s="3" t="s">
        <v>52</v>
      </c>
      <c r="P330" s="3">
        <v>0.7</v>
      </c>
      <c r="Q330" s="3">
        <v>0.6</v>
      </c>
      <c r="R330" s="4" t="s">
        <v>53</v>
      </c>
      <c r="S330" s="4">
        <v>900</v>
      </c>
      <c r="T330" s="4">
        <v>7700</v>
      </c>
      <c r="U330" s="4">
        <v>7200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500</v>
      </c>
      <c r="AD330" s="4">
        <v>7700</v>
      </c>
      <c r="AE330" s="4">
        <v>7200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500</v>
      </c>
      <c r="AN330" s="4">
        <v>5390</v>
      </c>
      <c r="AO330" s="4">
        <v>0</v>
      </c>
      <c r="AP330" s="4">
        <v>5390</v>
      </c>
      <c r="AQ330" t="str">
        <f>VLOOKUP(N330,'[1]전체(5)'!$N:$AR,30,0)</f>
        <v>스토리위즈</v>
      </c>
      <c r="AR330" t="str">
        <f>VLOOKUP($N330,'[1]전체(5)'!$N:$AR,31,0)</f>
        <v>블 루 스 카 이</v>
      </c>
    </row>
    <row r="331" spans="1:44" x14ac:dyDescent="0.4">
      <c r="A331" s="3" t="s">
        <v>42</v>
      </c>
      <c r="B331" s="3" t="s">
        <v>43</v>
      </c>
      <c r="C331" s="3" t="s">
        <v>44</v>
      </c>
      <c r="D331" s="3" t="s">
        <v>45</v>
      </c>
      <c r="E331" s="3"/>
      <c r="F331" s="3" t="s">
        <v>46</v>
      </c>
      <c r="G331" s="3" t="s">
        <v>47</v>
      </c>
      <c r="H331" s="3" t="s">
        <v>48</v>
      </c>
      <c r="I331" s="3" t="s">
        <v>49</v>
      </c>
      <c r="J331" s="3">
        <v>56482370</v>
      </c>
      <c r="K331" s="3" t="s">
        <v>250</v>
      </c>
      <c r="L331" s="3"/>
      <c r="M331" s="3"/>
      <c r="N331" s="3" t="s">
        <v>87</v>
      </c>
      <c r="O331" s="3" t="s">
        <v>52</v>
      </c>
      <c r="P331" s="3">
        <v>0.7</v>
      </c>
      <c r="Q331" s="3">
        <v>0.6</v>
      </c>
      <c r="R331" s="4" t="s">
        <v>74</v>
      </c>
      <c r="S331" s="4">
        <v>900</v>
      </c>
      <c r="T331" s="4">
        <v>17100</v>
      </c>
      <c r="U331" s="4">
        <v>15300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1800</v>
      </c>
      <c r="AD331" s="4">
        <v>17100</v>
      </c>
      <c r="AE331" s="4">
        <v>15300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1800</v>
      </c>
      <c r="AN331" s="4">
        <v>11970</v>
      </c>
      <c r="AO331" s="4">
        <v>0</v>
      </c>
      <c r="AP331" s="4">
        <v>11970</v>
      </c>
      <c r="AQ331" t="str">
        <f>VLOOKUP(N331,'[1]전체(5)'!$N:$AR,30,0)</f>
        <v>스토리위즈</v>
      </c>
      <c r="AR331" t="str">
        <f>VLOOKUP($N331,'[1]전체(5)'!$N:$AR,31,0)</f>
        <v>권용찬</v>
      </c>
    </row>
    <row r="332" spans="1:44" x14ac:dyDescent="0.4">
      <c r="A332" s="3" t="s">
        <v>42</v>
      </c>
      <c r="B332" s="3" t="s">
        <v>43</v>
      </c>
      <c r="C332" s="3" t="s">
        <v>44</v>
      </c>
      <c r="D332" s="3" t="s">
        <v>45</v>
      </c>
      <c r="E332" s="3"/>
      <c r="F332" s="3" t="s">
        <v>46</v>
      </c>
      <c r="G332" s="3" t="s">
        <v>47</v>
      </c>
      <c r="H332" s="3" t="s">
        <v>48</v>
      </c>
      <c r="I332" s="3" t="s">
        <v>49</v>
      </c>
      <c r="J332" s="3">
        <v>56810903</v>
      </c>
      <c r="K332" s="3" t="s">
        <v>68</v>
      </c>
      <c r="L332" s="3"/>
      <c r="M332" s="3"/>
      <c r="N332" s="3" t="s">
        <v>65</v>
      </c>
      <c r="O332" s="3" t="s">
        <v>52</v>
      </c>
      <c r="P332" s="3">
        <v>0.7</v>
      </c>
      <c r="Q332" s="3">
        <v>0.6</v>
      </c>
      <c r="R332" s="4" t="s">
        <v>53</v>
      </c>
      <c r="S332" s="4">
        <v>1900</v>
      </c>
      <c r="T332" s="4">
        <v>7600</v>
      </c>
      <c r="U332" s="4">
        <v>3800</v>
      </c>
      <c r="V332" s="4">
        <v>0</v>
      </c>
      <c r="W332" s="4">
        <v>0</v>
      </c>
      <c r="X332" s="4">
        <v>0</v>
      </c>
      <c r="Y332" s="4">
        <v>0</v>
      </c>
      <c r="Z332" s="4">
        <v>1900</v>
      </c>
      <c r="AA332" s="4">
        <v>0</v>
      </c>
      <c r="AB332" s="4">
        <v>0</v>
      </c>
      <c r="AC332" s="4">
        <v>1900</v>
      </c>
      <c r="AD332" s="4">
        <v>7790</v>
      </c>
      <c r="AE332" s="4">
        <v>3800</v>
      </c>
      <c r="AF332" s="4">
        <v>0</v>
      </c>
      <c r="AG332" s="4">
        <v>0</v>
      </c>
      <c r="AH332" s="4">
        <v>0</v>
      </c>
      <c r="AI332" s="4">
        <v>0</v>
      </c>
      <c r="AJ332" s="4">
        <v>2090</v>
      </c>
      <c r="AK332" s="4">
        <v>0</v>
      </c>
      <c r="AL332" s="4">
        <v>0</v>
      </c>
      <c r="AM332" s="4">
        <v>1900</v>
      </c>
      <c r="AN332" s="4">
        <v>5244</v>
      </c>
      <c r="AO332" s="4">
        <v>0</v>
      </c>
      <c r="AP332" s="4">
        <v>5244</v>
      </c>
      <c r="AQ332" t="str">
        <f>VLOOKUP(N332,'[1]전체(5)'!$N:$AR,30,0)</f>
        <v>스토리위즈</v>
      </c>
      <c r="AR332" t="str">
        <f>VLOOKUP($N332,'[1]전체(5)'!$N:$AR,31,0)</f>
        <v>세상</v>
      </c>
    </row>
    <row r="333" spans="1:44" x14ac:dyDescent="0.4">
      <c r="A333" s="3" t="s">
        <v>42</v>
      </c>
      <c r="B333" s="3" t="s">
        <v>43</v>
      </c>
      <c r="C333" s="3" t="s">
        <v>44</v>
      </c>
      <c r="D333" s="3" t="s">
        <v>45</v>
      </c>
      <c r="E333" s="3"/>
      <c r="F333" s="3" t="s">
        <v>46</v>
      </c>
      <c r="G333" s="3" t="s">
        <v>47</v>
      </c>
      <c r="H333" s="3" t="s">
        <v>48</v>
      </c>
      <c r="I333" s="3" t="s">
        <v>49</v>
      </c>
      <c r="J333" s="3">
        <v>53574666</v>
      </c>
      <c r="K333" s="3" t="s">
        <v>164</v>
      </c>
      <c r="L333" s="3"/>
      <c r="M333" s="3"/>
      <c r="N333" s="3" t="s">
        <v>165</v>
      </c>
      <c r="O333" s="3" t="s">
        <v>52</v>
      </c>
      <c r="P333" s="3">
        <v>0.7</v>
      </c>
      <c r="Q333" s="3">
        <v>0.6</v>
      </c>
      <c r="R333" s="4" t="s">
        <v>53</v>
      </c>
      <c r="S333" s="4">
        <v>900</v>
      </c>
      <c r="T333" s="4">
        <v>1800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1800</v>
      </c>
      <c r="AD333" s="4">
        <v>1800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1800</v>
      </c>
      <c r="AN333" s="4">
        <v>1260</v>
      </c>
      <c r="AO333" s="4">
        <v>0</v>
      </c>
      <c r="AP333" s="4">
        <v>1260</v>
      </c>
      <c r="AQ333" t="str">
        <f>VLOOKUP(N333,'[1]전체(5)'!$N:$AR,30,0)</f>
        <v>스토리위즈</v>
      </c>
      <c r="AR333" t="str">
        <f>VLOOKUP($N333,'[1]전체(5)'!$N:$AR,31,0)</f>
        <v>아이리스</v>
      </c>
    </row>
    <row r="334" spans="1:44" x14ac:dyDescent="0.4">
      <c r="A334" s="3" t="s">
        <v>42</v>
      </c>
      <c r="B334" s="3" t="s">
        <v>43</v>
      </c>
      <c r="C334" s="3" t="s">
        <v>44</v>
      </c>
      <c r="D334" s="3" t="s">
        <v>45</v>
      </c>
      <c r="E334" s="3"/>
      <c r="F334" s="3" t="s">
        <v>46</v>
      </c>
      <c r="G334" s="3" t="s">
        <v>47</v>
      </c>
      <c r="H334" s="3" t="s">
        <v>48</v>
      </c>
      <c r="I334" s="3" t="s">
        <v>49</v>
      </c>
      <c r="J334" s="3">
        <v>54018328</v>
      </c>
      <c r="K334" s="3" t="s">
        <v>175</v>
      </c>
      <c r="L334" s="3"/>
      <c r="M334" s="3"/>
      <c r="N334" s="3" t="s">
        <v>62</v>
      </c>
      <c r="O334" s="3" t="s">
        <v>52</v>
      </c>
      <c r="P334" s="3">
        <v>0.7</v>
      </c>
      <c r="Q334" s="3">
        <v>0.6</v>
      </c>
      <c r="R334" s="4" t="s">
        <v>53</v>
      </c>
      <c r="S334" s="4">
        <v>7200</v>
      </c>
      <c r="T334" s="4">
        <v>5400</v>
      </c>
      <c r="U334" s="4">
        <v>5400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5400</v>
      </c>
      <c r="AE334" s="4">
        <v>5400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3780</v>
      </c>
      <c r="AO334" s="4">
        <v>0</v>
      </c>
      <c r="AP334" s="4">
        <v>3780</v>
      </c>
      <c r="AQ334" t="str">
        <f>VLOOKUP(N334,'[1]전체(5)'!$N:$AR,30,0)</f>
        <v>스토리위즈</v>
      </c>
      <c r="AR334" t="str">
        <f>VLOOKUP($N334,'[1]전체(5)'!$N:$AR,31,0)</f>
        <v>블 루 스 카 이</v>
      </c>
    </row>
    <row r="335" spans="1:44" x14ac:dyDescent="0.4">
      <c r="A335" s="3" t="s">
        <v>42</v>
      </c>
      <c r="B335" s="3" t="s">
        <v>43</v>
      </c>
      <c r="C335" s="3" t="s">
        <v>44</v>
      </c>
      <c r="D335" s="3" t="s">
        <v>45</v>
      </c>
      <c r="E335" s="3"/>
      <c r="F335" s="3" t="s">
        <v>46</v>
      </c>
      <c r="G335" s="3" t="s">
        <v>47</v>
      </c>
      <c r="H335" s="3" t="s">
        <v>48</v>
      </c>
      <c r="I335" s="3" t="s">
        <v>49</v>
      </c>
      <c r="J335" s="3">
        <v>56364615</v>
      </c>
      <c r="K335" s="3" t="s">
        <v>66</v>
      </c>
      <c r="L335" s="3"/>
      <c r="M335" s="3"/>
      <c r="N335" s="3" t="s">
        <v>67</v>
      </c>
      <c r="O335" s="3" t="s">
        <v>52</v>
      </c>
      <c r="P335" s="3">
        <v>0.7</v>
      </c>
      <c r="Q335" s="3">
        <v>0.6</v>
      </c>
      <c r="R335" s="4" t="s">
        <v>56</v>
      </c>
      <c r="S335" s="4">
        <v>100</v>
      </c>
      <c r="T335" s="4">
        <v>500</v>
      </c>
      <c r="U335" s="4">
        <v>500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500</v>
      </c>
      <c r="AE335" s="4">
        <v>500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350</v>
      </c>
      <c r="AO335" s="4">
        <v>0</v>
      </c>
      <c r="AP335" s="4">
        <v>350</v>
      </c>
      <c r="AQ335" t="str">
        <f>VLOOKUP(N335,'[1]전체(5)'!$N:$AR,30,0)</f>
        <v>스토리위즈</v>
      </c>
      <c r="AR335" t="str">
        <f>VLOOKUP($N335,'[1]전체(5)'!$N:$AR,31,0)</f>
        <v>온서</v>
      </c>
    </row>
    <row r="336" spans="1:44" x14ac:dyDescent="0.4">
      <c r="A336" s="3" t="s">
        <v>42</v>
      </c>
      <c r="B336" s="3" t="s">
        <v>43</v>
      </c>
      <c r="C336" s="3" t="s">
        <v>44</v>
      </c>
      <c r="D336" s="3" t="s">
        <v>45</v>
      </c>
      <c r="E336" s="3"/>
      <c r="F336" s="3" t="s">
        <v>46</v>
      </c>
      <c r="G336" s="3" t="s">
        <v>47</v>
      </c>
      <c r="H336" s="3" t="s">
        <v>48</v>
      </c>
      <c r="I336" s="3" t="s">
        <v>49</v>
      </c>
      <c r="J336" s="3">
        <v>56810903</v>
      </c>
      <c r="K336" s="3" t="s">
        <v>68</v>
      </c>
      <c r="L336" s="3"/>
      <c r="M336" s="3"/>
      <c r="N336" s="3" t="s">
        <v>65</v>
      </c>
      <c r="O336" s="3" t="s">
        <v>52</v>
      </c>
      <c r="P336" s="3">
        <v>0.7</v>
      </c>
      <c r="Q336" s="3">
        <v>0.6</v>
      </c>
      <c r="R336" s="4" t="s">
        <v>53</v>
      </c>
      <c r="S336" s="4">
        <v>5400</v>
      </c>
      <c r="T336" s="4">
        <v>5400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5400</v>
      </c>
      <c r="AA336" s="4">
        <v>0</v>
      </c>
      <c r="AB336" s="4">
        <v>0</v>
      </c>
      <c r="AC336" s="4">
        <v>0</v>
      </c>
      <c r="AD336" s="4">
        <v>5940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5940</v>
      </c>
      <c r="AK336" s="4">
        <v>0</v>
      </c>
      <c r="AL336" s="4">
        <v>0</v>
      </c>
      <c r="AM336" s="4">
        <v>0</v>
      </c>
      <c r="AN336" s="4">
        <v>3564</v>
      </c>
      <c r="AO336" s="4">
        <v>0</v>
      </c>
      <c r="AP336" s="4">
        <v>3564</v>
      </c>
      <c r="AQ336" t="str">
        <f>VLOOKUP(N336,'[1]전체(5)'!$N:$AR,30,0)</f>
        <v>스토리위즈</v>
      </c>
      <c r="AR336" t="str">
        <f>VLOOKUP($N336,'[1]전체(5)'!$N:$AR,31,0)</f>
        <v>세상</v>
      </c>
    </row>
    <row r="337" spans="1:44" x14ac:dyDescent="0.4">
      <c r="A337" s="3" t="s">
        <v>42</v>
      </c>
      <c r="B337" s="3" t="s">
        <v>43</v>
      </c>
      <c r="C337" s="3" t="s">
        <v>44</v>
      </c>
      <c r="D337" s="3" t="s">
        <v>45</v>
      </c>
      <c r="E337" s="3"/>
      <c r="F337" s="3" t="s">
        <v>46</v>
      </c>
      <c r="G337" s="3" t="s">
        <v>47</v>
      </c>
      <c r="H337" s="3" t="s">
        <v>48</v>
      </c>
      <c r="I337" s="3" t="s">
        <v>49</v>
      </c>
      <c r="J337" s="3">
        <v>46730490</v>
      </c>
      <c r="K337" s="3" t="s">
        <v>218</v>
      </c>
      <c r="L337" s="3"/>
      <c r="M337" s="3"/>
      <c r="N337" s="3" t="s">
        <v>70</v>
      </c>
      <c r="O337" s="3" t="s">
        <v>52</v>
      </c>
      <c r="P337" s="3">
        <v>0.7</v>
      </c>
      <c r="Q337" s="3">
        <v>0.6</v>
      </c>
      <c r="R337" s="4" t="s">
        <v>56</v>
      </c>
      <c r="S337" s="4">
        <v>100</v>
      </c>
      <c r="T337" s="4">
        <v>65200</v>
      </c>
      <c r="U337" s="4">
        <v>9000</v>
      </c>
      <c r="V337" s="4">
        <v>0</v>
      </c>
      <c r="W337" s="4">
        <v>0</v>
      </c>
      <c r="X337" s="4">
        <v>0</v>
      </c>
      <c r="Y337" s="4">
        <v>1100</v>
      </c>
      <c r="Z337" s="4">
        <v>2800</v>
      </c>
      <c r="AA337" s="4">
        <v>0</v>
      </c>
      <c r="AB337" s="4">
        <v>0</v>
      </c>
      <c r="AC337" s="4">
        <v>52300</v>
      </c>
      <c r="AD337" s="4">
        <v>65700</v>
      </c>
      <c r="AE337" s="4">
        <v>9000</v>
      </c>
      <c r="AF337" s="4">
        <v>0</v>
      </c>
      <c r="AG337" s="4">
        <v>0</v>
      </c>
      <c r="AH337" s="4">
        <v>0</v>
      </c>
      <c r="AI337" s="4">
        <v>1320</v>
      </c>
      <c r="AJ337" s="4">
        <v>3080</v>
      </c>
      <c r="AK337" s="4">
        <v>0</v>
      </c>
      <c r="AL337" s="4">
        <v>0</v>
      </c>
      <c r="AM337" s="4">
        <v>52300</v>
      </c>
      <c r="AN337" s="4">
        <v>45550</v>
      </c>
      <c r="AO337" s="4">
        <v>0</v>
      </c>
      <c r="AP337" s="4">
        <v>45550</v>
      </c>
      <c r="AQ337" t="str">
        <f>VLOOKUP(N337,'[1]전체(5)'!$N:$AR,30,0)</f>
        <v>스토리위즈</v>
      </c>
      <c r="AR337" t="str">
        <f>VLOOKUP($N337,'[1]전체(5)'!$N:$AR,31,0)</f>
        <v>김정률</v>
      </c>
    </row>
    <row r="338" spans="1:44" x14ac:dyDescent="0.4">
      <c r="A338" s="3" t="s">
        <v>42</v>
      </c>
      <c r="B338" s="3" t="s">
        <v>43</v>
      </c>
      <c r="C338" s="3" t="s">
        <v>44</v>
      </c>
      <c r="D338" s="3" t="s">
        <v>45</v>
      </c>
      <c r="E338" s="3"/>
      <c r="F338" s="3" t="s">
        <v>46</v>
      </c>
      <c r="G338" s="3" t="s">
        <v>47</v>
      </c>
      <c r="H338" s="3" t="s">
        <v>48</v>
      </c>
      <c r="I338" s="3" t="s">
        <v>49</v>
      </c>
      <c r="J338" s="3">
        <v>46730490</v>
      </c>
      <c r="K338" s="3" t="s">
        <v>218</v>
      </c>
      <c r="L338" s="3"/>
      <c r="M338" s="3"/>
      <c r="N338" s="3" t="s">
        <v>70</v>
      </c>
      <c r="O338" s="3" t="s">
        <v>52</v>
      </c>
      <c r="P338" s="3">
        <v>0.7</v>
      </c>
      <c r="Q338" s="3">
        <v>0.6</v>
      </c>
      <c r="R338" s="4" t="s">
        <v>53</v>
      </c>
      <c r="S338" s="4">
        <v>2300</v>
      </c>
      <c r="T338" s="4">
        <v>80500</v>
      </c>
      <c r="U338" s="4">
        <v>70900</v>
      </c>
      <c r="V338" s="4">
        <v>0</v>
      </c>
      <c r="W338" s="4">
        <v>0</v>
      </c>
      <c r="X338" s="4">
        <v>0</v>
      </c>
      <c r="Y338" s="4">
        <v>4600</v>
      </c>
      <c r="Z338" s="4">
        <v>0</v>
      </c>
      <c r="AA338" s="4">
        <v>0</v>
      </c>
      <c r="AB338" s="4">
        <v>0</v>
      </c>
      <c r="AC338" s="4">
        <v>5000</v>
      </c>
      <c r="AD338" s="4">
        <v>81420</v>
      </c>
      <c r="AE338" s="4">
        <v>70900</v>
      </c>
      <c r="AF338" s="4">
        <v>0</v>
      </c>
      <c r="AG338" s="4">
        <v>0</v>
      </c>
      <c r="AH338" s="4">
        <v>0</v>
      </c>
      <c r="AI338" s="4">
        <v>5520</v>
      </c>
      <c r="AJ338" s="4">
        <v>0</v>
      </c>
      <c r="AK338" s="4">
        <v>0</v>
      </c>
      <c r="AL338" s="4">
        <v>0</v>
      </c>
      <c r="AM338" s="4">
        <v>5000</v>
      </c>
      <c r="AN338" s="4">
        <v>56442</v>
      </c>
      <c r="AO338" s="4">
        <v>0</v>
      </c>
      <c r="AP338" s="4">
        <v>56442</v>
      </c>
      <c r="AQ338" t="str">
        <f>VLOOKUP(N338,'[1]전체(5)'!$N:$AR,30,0)</f>
        <v>스토리위즈</v>
      </c>
      <c r="AR338" t="str">
        <f>VLOOKUP($N338,'[1]전체(5)'!$N:$AR,31,0)</f>
        <v>김정률</v>
      </c>
    </row>
    <row r="339" spans="1:44" x14ac:dyDescent="0.4">
      <c r="A339" s="3" t="s">
        <v>42</v>
      </c>
      <c r="B339" s="3" t="s">
        <v>43</v>
      </c>
      <c r="C339" s="3" t="s">
        <v>44</v>
      </c>
      <c r="D339" s="3" t="s">
        <v>45</v>
      </c>
      <c r="E339" s="3"/>
      <c r="F339" s="3" t="s">
        <v>46</v>
      </c>
      <c r="G339" s="3" t="s">
        <v>47</v>
      </c>
      <c r="H339" s="3" t="s">
        <v>48</v>
      </c>
      <c r="I339" s="3" t="s">
        <v>49</v>
      </c>
      <c r="J339" s="3">
        <v>53747115</v>
      </c>
      <c r="K339" s="3" t="s">
        <v>181</v>
      </c>
      <c r="L339" s="3"/>
      <c r="M339" s="3"/>
      <c r="N339" s="3" t="s">
        <v>73</v>
      </c>
      <c r="O339" s="3" t="s">
        <v>52</v>
      </c>
      <c r="P339" s="3">
        <v>0.7</v>
      </c>
      <c r="Q339" s="3">
        <v>0.6</v>
      </c>
      <c r="R339" s="4" t="s">
        <v>56</v>
      </c>
      <c r="S339" s="4">
        <v>100</v>
      </c>
      <c r="T339" s="4">
        <v>1600</v>
      </c>
      <c r="U339" s="4">
        <v>200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1400</v>
      </c>
      <c r="AD339" s="4">
        <v>1600</v>
      </c>
      <c r="AE339" s="4">
        <v>200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1400</v>
      </c>
      <c r="AN339" s="4">
        <v>1120</v>
      </c>
      <c r="AO339" s="4">
        <v>0</v>
      </c>
      <c r="AP339" s="4">
        <v>1120</v>
      </c>
      <c r="AQ339" t="str">
        <f>VLOOKUP(N339,'[1]전체(5)'!$N:$AR,30,0)</f>
        <v>스토리위즈</v>
      </c>
      <c r="AR339" t="str">
        <f>VLOOKUP($N339,'[1]전체(5)'!$N:$AR,31,0)</f>
        <v>스내치</v>
      </c>
    </row>
    <row r="340" spans="1:44" x14ac:dyDescent="0.4">
      <c r="A340" s="3" t="s">
        <v>42</v>
      </c>
      <c r="B340" s="3" t="s">
        <v>43</v>
      </c>
      <c r="C340" s="3" t="s">
        <v>44</v>
      </c>
      <c r="D340" s="3" t="s">
        <v>45</v>
      </c>
      <c r="E340" s="3"/>
      <c r="F340" s="3" t="s">
        <v>46</v>
      </c>
      <c r="G340" s="3" t="s">
        <v>47</v>
      </c>
      <c r="H340" s="3" t="s">
        <v>48</v>
      </c>
      <c r="I340" s="3" t="s">
        <v>49</v>
      </c>
      <c r="J340" s="3">
        <v>46730490</v>
      </c>
      <c r="K340" s="3" t="s">
        <v>218</v>
      </c>
      <c r="L340" s="3"/>
      <c r="M340" s="3"/>
      <c r="N340" s="3" t="s">
        <v>70</v>
      </c>
      <c r="O340" s="3" t="s">
        <v>52</v>
      </c>
      <c r="P340" s="3">
        <v>0.7</v>
      </c>
      <c r="Q340" s="3">
        <v>0.6</v>
      </c>
      <c r="R340" s="4" t="s">
        <v>53</v>
      </c>
      <c r="S340" s="4">
        <v>9000</v>
      </c>
      <c r="T340" s="4">
        <v>189000</v>
      </c>
      <c r="U340" s="4">
        <v>121100</v>
      </c>
      <c r="V340" s="4">
        <v>0</v>
      </c>
      <c r="W340" s="4">
        <v>0</v>
      </c>
      <c r="X340" s="4">
        <v>0</v>
      </c>
      <c r="Y340" s="4">
        <v>0</v>
      </c>
      <c r="Z340" s="4">
        <v>45000</v>
      </c>
      <c r="AA340" s="4">
        <v>0</v>
      </c>
      <c r="AB340" s="4">
        <v>0</v>
      </c>
      <c r="AC340" s="4">
        <v>22900</v>
      </c>
      <c r="AD340" s="4">
        <v>193500</v>
      </c>
      <c r="AE340" s="4">
        <v>121100</v>
      </c>
      <c r="AF340" s="4">
        <v>0</v>
      </c>
      <c r="AG340" s="4">
        <v>0</v>
      </c>
      <c r="AH340" s="4">
        <v>0</v>
      </c>
      <c r="AI340" s="4">
        <v>0</v>
      </c>
      <c r="AJ340" s="4">
        <v>49500</v>
      </c>
      <c r="AK340" s="4">
        <v>0</v>
      </c>
      <c r="AL340" s="4">
        <v>0</v>
      </c>
      <c r="AM340" s="4">
        <v>22900</v>
      </c>
      <c r="AN340" s="4">
        <v>130500</v>
      </c>
      <c r="AO340" s="4">
        <v>0</v>
      </c>
      <c r="AP340" s="4">
        <v>130500</v>
      </c>
      <c r="AQ340" t="str">
        <f>VLOOKUP(N340,'[1]전체(5)'!$N:$AR,30,0)</f>
        <v>스토리위즈</v>
      </c>
      <c r="AR340" t="str">
        <f>VLOOKUP($N340,'[1]전체(5)'!$N:$AR,31,0)</f>
        <v>김정률</v>
      </c>
    </row>
    <row r="341" spans="1:44" x14ac:dyDescent="0.4">
      <c r="A341" s="3" t="s">
        <v>42</v>
      </c>
      <c r="B341" s="3" t="s">
        <v>43</v>
      </c>
      <c r="C341" s="3" t="s">
        <v>44</v>
      </c>
      <c r="D341" s="3" t="s">
        <v>45</v>
      </c>
      <c r="E341" s="3"/>
      <c r="F341" s="3" t="s">
        <v>46</v>
      </c>
      <c r="G341" s="3" t="s">
        <v>47</v>
      </c>
      <c r="H341" s="3" t="s">
        <v>48</v>
      </c>
      <c r="I341" s="3" t="s">
        <v>49</v>
      </c>
      <c r="J341" s="3">
        <v>53747115</v>
      </c>
      <c r="K341" s="3" t="s">
        <v>181</v>
      </c>
      <c r="L341" s="3"/>
      <c r="M341" s="3"/>
      <c r="N341" s="3" t="s">
        <v>73</v>
      </c>
      <c r="O341" s="3" t="s">
        <v>52</v>
      </c>
      <c r="P341" s="3">
        <v>0.7</v>
      </c>
      <c r="Q341" s="3">
        <v>0.6</v>
      </c>
      <c r="R341" s="4" t="s">
        <v>53</v>
      </c>
      <c r="S341" s="4">
        <v>900</v>
      </c>
      <c r="T341" s="4">
        <v>4500</v>
      </c>
      <c r="U341" s="4">
        <v>1000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3500</v>
      </c>
      <c r="AD341" s="4">
        <v>4500</v>
      </c>
      <c r="AE341" s="4">
        <v>1000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3500</v>
      </c>
      <c r="AN341" s="4">
        <v>3150</v>
      </c>
      <c r="AO341" s="4">
        <v>0</v>
      </c>
      <c r="AP341" s="4">
        <v>3150</v>
      </c>
      <c r="AQ341" t="str">
        <f>VLOOKUP(N341,'[1]전체(5)'!$N:$AR,30,0)</f>
        <v>스토리위즈</v>
      </c>
      <c r="AR341" t="str">
        <f>VLOOKUP($N341,'[1]전체(5)'!$N:$AR,31,0)</f>
        <v>스내치</v>
      </c>
    </row>
    <row r="342" spans="1:44" x14ac:dyDescent="0.4">
      <c r="A342" s="3" t="s">
        <v>42</v>
      </c>
      <c r="B342" s="3" t="s">
        <v>43</v>
      </c>
      <c r="C342" s="3" t="s">
        <v>44</v>
      </c>
      <c r="D342" s="3" t="s">
        <v>45</v>
      </c>
      <c r="E342" s="3"/>
      <c r="F342" s="3" t="s">
        <v>46</v>
      </c>
      <c r="G342" s="3" t="s">
        <v>47</v>
      </c>
      <c r="H342" s="3" t="s">
        <v>48</v>
      </c>
      <c r="I342" s="3" t="s">
        <v>49</v>
      </c>
      <c r="J342" s="3">
        <v>46730490</v>
      </c>
      <c r="K342" s="3" t="s">
        <v>218</v>
      </c>
      <c r="L342" s="3"/>
      <c r="M342" s="3"/>
      <c r="N342" s="3" t="s">
        <v>70</v>
      </c>
      <c r="O342" s="3" t="s">
        <v>52</v>
      </c>
      <c r="P342" s="3">
        <v>0.7</v>
      </c>
      <c r="Q342" s="3">
        <v>0.6</v>
      </c>
      <c r="R342" s="4" t="s">
        <v>53</v>
      </c>
      <c r="S342" s="4">
        <v>27000</v>
      </c>
      <c r="T342" s="4">
        <v>-19200</v>
      </c>
      <c r="U342" s="4">
        <v>-19200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-19200</v>
      </c>
      <c r="AE342" s="4">
        <v>-19200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-13440</v>
      </c>
      <c r="AO342" s="4">
        <v>0</v>
      </c>
      <c r="AP342" s="4">
        <v>-13440</v>
      </c>
      <c r="AQ342" t="str">
        <f>VLOOKUP(N342,'[1]전체(5)'!$N:$AR,30,0)</f>
        <v>스토리위즈</v>
      </c>
      <c r="AR342" t="str">
        <f>VLOOKUP($N342,'[1]전체(5)'!$N:$AR,31,0)</f>
        <v>김정률</v>
      </c>
    </row>
    <row r="343" spans="1:44" x14ac:dyDescent="0.4">
      <c r="A343" s="3" t="s">
        <v>42</v>
      </c>
      <c r="B343" s="3" t="s">
        <v>43</v>
      </c>
      <c r="C343" s="3" t="s">
        <v>44</v>
      </c>
      <c r="D343" s="3" t="s">
        <v>45</v>
      </c>
      <c r="E343" s="3"/>
      <c r="F343" s="3" t="s">
        <v>46</v>
      </c>
      <c r="G343" s="3" t="s">
        <v>47</v>
      </c>
      <c r="H343" s="3" t="s">
        <v>48</v>
      </c>
      <c r="I343" s="3" t="s">
        <v>49</v>
      </c>
      <c r="J343" s="3">
        <v>53747115</v>
      </c>
      <c r="K343" s="3" t="s">
        <v>181</v>
      </c>
      <c r="L343" s="3"/>
      <c r="M343" s="3"/>
      <c r="N343" s="3" t="s">
        <v>73</v>
      </c>
      <c r="O343" s="3" t="s">
        <v>52</v>
      </c>
      <c r="P343" s="3">
        <v>0.7</v>
      </c>
      <c r="Q343" s="3">
        <v>0.6</v>
      </c>
      <c r="R343" s="4" t="s">
        <v>53</v>
      </c>
      <c r="S343" s="4">
        <v>1800</v>
      </c>
      <c r="T343" s="4">
        <v>1800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1800</v>
      </c>
      <c r="AD343" s="4">
        <v>1800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1800</v>
      </c>
      <c r="AN343" s="4">
        <v>1260</v>
      </c>
      <c r="AO343" s="4">
        <v>0</v>
      </c>
      <c r="AP343" s="4">
        <v>1260</v>
      </c>
      <c r="AQ343" t="str">
        <f>VLOOKUP(N343,'[1]전체(5)'!$N:$AR,30,0)</f>
        <v>스토리위즈</v>
      </c>
      <c r="AR343" t="str">
        <f>VLOOKUP($N343,'[1]전체(5)'!$N:$AR,31,0)</f>
        <v>스내치</v>
      </c>
    </row>
    <row r="344" spans="1:44" x14ac:dyDescent="0.4">
      <c r="A344" s="3" t="s">
        <v>42</v>
      </c>
      <c r="B344" s="3" t="s">
        <v>43</v>
      </c>
      <c r="C344" s="3" t="s">
        <v>44</v>
      </c>
      <c r="D344" s="3" t="s">
        <v>45</v>
      </c>
      <c r="E344" s="3"/>
      <c r="F344" s="3" t="s">
        <v>46</v>
      </c>
      <c r="G344" s="3" t="s">
        <v>47</v>
      </c>
      <c r="H344" s="3" t="s">
        <v>48</v>
      </c>
      <c r="I344" s="3" t="s">
        <v>49</v>
      </c>
      <c r="J344" s="3">
        <v>53748697</v>
      </c>
      <c r="K344" s="3" t="s">
        <v>192</v>
      </c>
      <c r="L344" s="3"/>
      <c r="M344" s="3"/>
      <c r="N344" s="3" t="s">
        <v>154</v>
      </c>
      <c r="O344" s="3" t="s">
        <v>52</v>
      </c>
      <c r="P344" s="3">
        <v>0.7</v>
      </c>
      <c r="Q344" s="3">
        <v>0.6</v>
      </c>
      <c r="R344" s="4" t="s">
        <v>56</v>
      </c>
      <c r="S344" s="4">
        <v>100</v>
      </c>
      <c r="T344" s="4">
        <v>33100</v>
      </c>
      <c r="U344" s="4">
        <v>17600</v>
      </c>
      <c r="V344" s="4">
        <v>0</v>
      </c>
      <c r="W344" s="4">
        <v>0</v>
      </c>
      <c r="X344" s="4">
        <v>0</v>
      </c>
      <c r="Y344" s="4">
        <v>0</v>
      </c>
      <c r="Z344" s="4">
        <v>300</v>
      </c>
      <c r="AA344" s="4">
        <v>0</v>
      </c>
      <c r="AB344" s="4">
        <v>0</v>
      </c>
      <c r="AC344" s="4">
        <v>15200</v>
      </c>
      <c r="AD344" s="4">
        <v>33130</v>
      </c>
      <c r="AE344" s="4">
        <v>17600</v>
      </c>
      <c r="AF344" s="4">
        <v>0</v>
      </c>
      <c r="AG344" s="4">
        <v>0</v>
      </c>
      <c r="AH344" s="4">
        <v>0</v>
      </c>
      <c r="AI344" s="4">
        <v>0</v>
      </c>
      <c r="AJ344" s="4">
        <v>330</v>
      </c>
      <c r="AK344" s="4">
        <v>0</v>
      </c>
      <c r="AL344" s="4">
        <v>0</v>
      </c>
      <c r="AM344" s="4">
        <v>15200</v>
      </c>
      <c r="AN344" s="4">
        <v>23158</v>
      </c>
      <c r="AO344" s="4">
        <v>0</v>
      </c>
      <c r="AP344" s="4">
        <v>23158</v>
      </c>
      <c r="AQ344" t="str">
        <f>VLOOKUP(N344,'[1]전체(5)'!$N:$AR,30,0)</f>
        <v>스토리위즈</v>
      </c>
      <c r="AR344" t="str">
        <f>VLOOKUP($N344,'[1]전체(5)'!$N:$AR,31,0)</f>
        <v>모리미</v>
      </c>
    </row>
    <row r="345" spans="1:44" x14ac:dyDescent="0.4">
      <c r="A345" s="3" t="s">
        <v>42</v>
      </c>
      <c r="B345" s="3" t="s">
        <v>43</v>
      </c>
      <c r="C345" s="3" t="s">
        <v>44</v>
      </c>
      <c r="D345" s="3" t="s">
        <v>45</v>
      </c>
      <c r="E345" s="3"/>
      <c r="F345" s="3" t="s">
        <v>46</v>
      </c>
      <c r="G345" s="3" t="s">
        <v>47</v>
      </c>
      <c r="H345" s="3" t="s">
        <v>48</v>
      </c>
      <c r="I345" s="3" t="s">
        <v>49</v>
      </c>
      <c r="J345" s="3">
        <v>54410472</v>
      </c>
      <c r="K345" s="3" t="s">
        <v>224</v>
      </c>
      <c r="L345" s="3"/>
      <c r="M345" s="3"/>
      <c r="N345" s="3" t="s">
        <v>154</v>
      </c>
      <c r="O345" s="3" t="s">
        <v>52</v>
      </c>
      <c r="P345" s="3">
        <v>0.7</v>
      </c>
      <c r="Q345" s="3">
        <v>0.6</v>
      </c>
      <c r="R345" s="4" t="s">
        <v>56</v>
      </c>
      <c r="S345" s="4">
        <v>100</v>
      </c>
      <c r="T345" s="4">
        <v>21600</v>
      </c>
      <c r="U345" s="4">
        <v>5600</v>
      </c>
      <c r="V345" s="4">
        <v>0</v>
      </c>
      <c r="W345" s="4">
        <v>0</v>
      </c>
      <c r="X345" s="4">
        <v>0</v>
      </c>
      <c r="Y345" s="4">
        <v>0</v>
      </c>
      <c r="Z345" s="4">
        <v>1200</v>
      </c>
      <c r="AA345" s="4">
        <v>0</v>
      </c>
      <c r="AB345" s="4">
        <v>0</v>
      </c>
      <c r="AC345" s="4">
        <v>14800</v>
      </c>
      <c r="AD345" s="4">
        <v>21720</v>
      </c>
      <c r="AE345" s="4">
        <v>5600</v>
      </c>
      <c r="AF345" s="4">
        <v>0</v>
      </c>
      <c r="AG345" s="4">
        <v>0</v>
      </c>
      <c r="AH345" s="4">
        <v>0</v>
      </c>
      <c r="AI345" s="4">
        <v>0</v>
      </c>
      <c r="AJ345" s="4">
        <v>1320</v>
      </c>
      <c r="AK345" s="4">
        <v>0</v>
      </c>
      <c r="AL345" s="4">
        <v>0</v>
      </c>
      <c r="AM345" s="4">
        <v>14800</v>
      </c>
      <c r="AN345" s="4">
        <v>15072</v>
      </c>
      <c r="AO345" s="4">
        <v>0</v>
      </c>
      <c r="AP345" s="4">
        <v>15072</v>
      </c>
      <c r="AQ345" t="str">
        <f>VLOOKUP(N345,'[1]전체(5)'!$N:$AR,30,0)</f>
        <v>스토리위즈</v>
      </c>
      <c r="AR345" t="str">
        <f>VLOOKUP($N345,'[1]전체(5)'!$N:$AR,31,0)</f>
        <v>모리미</v>
      </c>
    </row>
    <row r="346" spans="1:44" x14ac:dyDescent="0.4">
      <c r="A346" s="3" t="s">
        <v>42</v>
      </c>
      <c r="B346" s="3" t="s">
        <v>43</v>
      </c>
      <c r="C346" s="3" t="s">
        <v>44</v>
      </c>
      <c r="D346" s="3" t="s">
        <v>45</v>
      </c>
      <c r="E346" s="3"/>
      <c r="F346" s="3" t="s">
        <v>46</v>
      </c>
      <c r="G346" s="3" t="s">
        <v>47</v>
      </c>
      <c r="H346" s="3" t="s">
        <v>48</v>
      </c>
      <c r="I346" s="3" t="s">
        <v>49</v>
      </c>
      <c r="J346" s="3">
        <v>53748697</v>
      </c>
      <c r="K346" s="3" t="s">
        <v>192</v>
      </c>
      <c r="L346" s="3"/>
      <c r="M346" s="3"/>
      <c r="N346" s="3" t="s">
        <v>154</v>
      </c>
      <c r="O346" s="3" t="s">
        <v>52</v>
      </c>
      <c r="P346" s="3">
        <v>0.7</v>
      </c>
      <c r="Q346" s="3">
        <v>0.6</v>
      </c>
      <c r="R346" s="4" t="s">
        <v>53</v>
      </c>
      <c r="S346" s="4">
        <v>900</v>
      </c>
      <c r="T346" s="4">
        <v>31700</v>
      </c>
      <c r="U346" s="4">
        <v>25100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6600</v>
      </c>
      <c r="AD346" s="4">
        <v>31700</v>
      </c>
      <c r="AE346" s="4">
        <v>25100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6600</v>
      </c>
      <c r="AN346" s="4">
        <v>22190</v>
      </c>
      <c r="AO346" s="4">
        <v>0</v>
      </c>
      <c r="AP346" s="4">
        <v>22190</v>
      </c>
      <c r="AQ346" t="str">
        <f>VLOOKUP(N346,'[1]전체(5)'!$N:$AR,30,0)</f>
        <v>스토리위즈</v>
      </c>
      <c r="AR346" t="str">
        <f>VLOOKUP($N346,'[1]전체(5)'!$N:$AR,31,0)</f>
        <v>모리미</v>
      </c>
    </row>
    <row r="347" spans="1:44" x14ac:dyDescent="0.4">
      <c r="A347" s="3" t="s">
        <v>42</v>
      </c>
      <c r="B347" s="3" t="s">
        <v>43</v>
      </c>
      <c r="C347" s="3" t="s">
        <v>44</v>
      </c>
      <c r="D347" s="3" t="s">
        <v>45</v>
      </c>
      <c r="E347" s="3"/>
      <c r="F347" s="3" t="s">
        <v>46</v>
      </c>
      <c r="G347" s="3" t="s">
        <v>47</v>
      </c>
      <c r="H347" s="3" t="s">
        <v>48</v>
      </c>
      <c r="I347" s="3" t="s">
        <v>49</v>
      </c>
      <c r="J347" s="3">
        <v>54410472</v>
      </c>
      <c r="K347" s="3" t="s">
        <v>224</v>
      </c>
      <c r="L347" s="3"/>
      <c r="M347" s="3"/>
      <c r="N347" s="3" t="s">
        <v>154</v>
      </c>
      <c r="O347" s="3" t="s">
        <v>52</v>
      </c>
      <c r="P347" s="3">
        <v>0.7</v>
      </c>
      <c r="Q347" s="3">
        <v>0.6</v>
      </c>
      <c r="R347" s="4" t="s">
        <v>53</v>
      </c>
      <c r="S347" s="4">
        <v>900</v>
      </c>
      <c r="T347" s="4">
        <v>21700</v>
      </c>
      <c r="U347" s="4">
        <v>12700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9000</v>
      </c>
      <c r="AD347" s="4">
        <v>21700</v>
      </c>
      <c r="AE347" s="4">
        <v>12700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9000</v>
      </c>
      <c r="AN347" s="4">
        <v>15190</v>
      </c>
      <c r="AO347" s="4">
        <v>0</v>
      </c>
      <c r="AP347" s="4">
        <v>15190</v>
      </c>
      <c r="AQ347" t="str">
        <f>VLOOKUP(N347,'[1]전체(5)'!$N:$AR,30,0)</f>
        <v>스토리위즈</v>
      </c>
      <c r="AR347" t="str">
        <f>VLOOKUP($N347,'[1]전체(5)'!$N:$AR,31,0)</f>
        <v>모리미</v>
      </c>
    </row>
    <row r="348" spans="1:44" x14ac:dyDescent="0.4">
      <c r="A348" s="3" t="s">
        <v>42</v>
      </c>
      <c r="B348" s="3" t="s">
        <v>43</v>
      </c>
      <c r="C348" s="3" t="s">
        <v>44</v>
      </c>
      <c r="D348" s="3" t="s">
        <v>45</v>
      </c>
      <c r="E348" s="3"/>
      <c r="F348" s="3" t="s">
        <v>46</v>
      </c>
      <c r="G348" s="3" t="s">
        <v>47</v>
      </c>
      <c r="H348" s="3" t="s">
        <v>48</v>
      </c>
      <c r="I348" s="3" t="s">
        <v>49</v>
      </c>
      <c r="J348" s="3">
        <v>56149358</v>
      </c>
      <c r="K348" s="3" t="s">
        <v>57</v>
      </c>
      <c r="L348" s="3"/>
      <c r="M348" s="3"/>
      <c r="N348" s="3" t="s">
        <v>58</v>
      </c>
      <c r="O348" s="3" t="s">
        <v>52</v>
      </c>
      <c r="P348" s="3">
        <v>0.7</v>
      </c>
      <c r="Q348" s="3">
        <v>0.6</v>
      </c>
      <c r="R348" s="4" t="s">
        <v>56</v>
      </c>
      <c r="S348" s="4">
        <v>100</v>
      </c>
      <c r="T348" s="4">
        <v>163300</v>
      </c>
      <c r="U348" s="4">
        <v>52800</v>
      </c>
      <c r="V348" s="4">
        <v>0</v>
      </c>
      <c r="W348" s="4">
        <v>0</v>
      </c>
      <c r="X348" s="4">
        <v>0</v>
      </c>
      <c r="Y348" s="4">
        <v>600</v>
      </c>
      <c r="Z348" s="4">
        <v>700</v>
      </c>
      <c r="AA348" s="4">
        <v>0</v>
      </c>
      <c r="AB348" s="4">
        <v>0</v>
      </c>
      <c r="AC348" s="4">
        <v>109200</v>
      </c>
      <c r="AD348" s="4">
        <v>163490</v>
      </c>
      <c r="AE348" s="4">
        <v>52800</v>
      </c>
      <c r="AF348" s="4">
        <v>0</v>
      </c>
      <c r="AG348" s="4">
        <v>0</v>
      </c>
      <c r="AH348" s="4">
        <v>0</v>
      </c>
      <c r="AI348" s="4">
        <v>720</v>
      </c>
      <c r="AJ348" s="4">
        <v>770</v>
      </c>
      <c r="AK348" s="4">
        <v>0</v>
      </c>
      <c r="AL348" s="4">
        <v>0</v>
      </c>
      <c r="AM348" s="4">
        <v>109200</v>
      </c>
      <c r="AN348" s="4">
        <v>114294</v>
      </c>
      <c r="AO348" s="4">
        <v>0</v>
      </c>
      <c r="AP348" s="4">
        <v>114294</v>
      </c>
      <c r="AQ348" t="str">
        <f>VLOOKUP(N348,'[1]전체(5)'!$N:$AR,30,0)</f>
        <v>스토리위즈</v>
      </c>
      <c r="AR348" t="str">
        <f>VLOOKUP($N348,'[1]전체(5)'!$N:$AR,31,0)</f>
        <v>윈델</v>
      </c>
    </row>
    <row r="349" spans="1:44" x14ac:dyDescent="0.4">
      <c r="A349" s="3" t="s">
        <v>42</v>
      </c>
      <c r="B349" s="3" t="s">
        <v>43</v>
      </c>
      <c r="C349" s="3" t="s">
        <v>44</v>
      </c>
      <c r="D349" s="3" t="s">
        <v>45</v>
      </c>
      <c r="E349" s="3"/>
      <c r="F349" s="3" t="s">
        <v>46</v>
      </c>
      <c r="G349" s="3" t="s">
        <v>47</v>
      </c>
      <c r="H349" s="3" t="s">
        <v>48</v>
      </c>
      <c r="I349" s="3" t="s">
        <v>49</v>
      </c>
      <c r="J349" s="3">
        <v>53748697</v>
      </c>
      <c r="K349" s="3" t="s">
        <v>192</v>
      </c>
      <c r="L349" s="3"/>
      <c r="M349" s="3"/>
      <c r="N349" s="3" t="s">
        <v>154</v>
      </c>
      <c r="O349" s="3" t="s">
        <v>52</v>
      </c>
      <c r="P349" s="3">
        <v>0.7</v>
      </c>
      <c r="Q349" s="3">
        <v>0.6</v>
      </c>
      <c r="R349" s="4" t="s">
        <v>53</v>
      </c>
      <c r="S349" s="4">
        <v>2700</v>
      </c>
      <c r="T349" s="4">
        <v>10800</v>
      </c>
      <c r="U349" s="4">
        <v>10700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100</v>
      </c>
      <c r="AD349" s="4">
        <v>10800</v>
      </c>
      <c r="AE349" s="4">
        <v>10700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100</v>
      </c>
      <c r="AN349" s="4">
        <v>7560</v>
      </c>
      <c r="AO349" s="4">
        <v>0</v>
      </c>
      <c r="AP349" s="4">
        <v>7560</v>
      </c>
      <c r="AQ349" t="str">
        <f>VLOOKUP(N349,'[1]전체(5)'!$N:$AR,30,0)</f>
        <v>스토리위즈</v>
      </c>
      <c r="AR349" t="str">
        <f>VLOOKUP($N349,'[1]전체(5)'!$N:$AR,31,0)</f>
        <v>모리미</v>
      </c>
    </row>
    <row r="350" spans="1:44" x14ac:dyDescent="0.4">
      <c r="A350" s="3" t="s">
        <v>42</v>
      </c>
      <c r="B350" s="3" t="s">
        <v>43</v>
      </c>
      <c r="C350" s="3" t="s">
        <v>44</v>
      </c>
      <c r="D350" s="3" t="s">
        <v>45</v>
      </c>
      <c r="E350" s="3"/>
      <c r="F350" s="3" t="s">
        <v>46</v>
      </c>
      <c r="G350" s="3" t="s">
        <v>47</v>
      </c>
      <c r="H350" s="3" t="s">
        <v>48</v>
      </c>
      <c r="I350" s="3" t="s">
        <v>49</v>
      </c>
      <c r="J350" s="3">
        <v>54410472</v>
      </c>
      <c r="K350" s="3" t="s">
        <v>224</v>
      </c>
      <c r="L350" s="3"/>
      <c r="M350" s="3"/>
      <c r="N350" s="3" t="s">
        <v>154</v>
      </c>
      <c r="O350" s="3" t="s">
        <v>52</v>
      </c>
      <c r="P350" s="3">
        <v>0.7</v>
      </c>
      <c r="Q350" s="3">
        <v>0.6</v>
      </c>
      <c r="R350" s="4" t="s">
        <v>53</v>
      </c>
      <c r="S350" s="4">
        <v>2700</v>
      </c>
      <c r="T350" s="4">
        <v>8100</v>
      </c>
      <c r="U350" s="4">
        <v>5400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2700</v>
      </c>
      <c r="AD350" s="4">
        <v>8100</v>
      </c>
      <c r="AE350" s="4">
        <v>5400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2700</v>
      </c>
      <c r="AN350" s="4">
        <v>5670</v>
      </c>
      <c r="AO350" s="4">
        <v>0</v>
      </c>
      <c r="AP350" s="4">
        <v>5670</v>
      </c>
      <c r="AQ350" t="str">
        <f>VLOOKUP(N350,'[1]전체(5)'!$N:$AR,30,0)</f>
        <v>스토리위즈</v>
      </c>
      <c r="AR350" t="str">
        <f>VLOOKUP($N350,'[1]전체(5)'!$N:$AR,31,0)</f>
        <v>모리미</v>
      </c>
    </row>
    <row r="351" spans="1:44" x14ac:dyDescent="0.4">
      <c r="A351" s="3" t="s">
        <v>42</v>
      </c>
      <c r="B351" s="3" t="s">
        <v>43</v>
      </c>
      <c r="C351" s="3" t="s">
        <v>44</v>
      </c>
      <c r="D351" s="3" t="s">
        <v>45</v>
      </c>
      <c r="E351" s="3"/>
      <c r="F351" s="3" t="s">
        <v>46</v>
      </c>
      <c r="G351" s="3" t="s">
        <v>47</v>
      </c>
      <c r="H351" s="3" t="s">
        <v>48</v>
      </c>
      <c r="I351" s="3" t="s">
        <v>49</v>
      </c>
      <c r="J351" s="3">
        <v>56149358</v>
      </c>
      <c r="K351" s="3" t="s">
        <v>57</v>
      </c>
      <c r="L351" s="3"/>
      <c r="M351" s="3"/>
      <c r="N351" s="3" t="s">
        <v>58</v>
      </c>
      <c r="O351" s="3" t="s">
        <v>52</v>
      </c>
      <c r="P351" s="3">
        <v>0.7</v>
      </c>
      <c r="Q351" s="3">
        <v>0.6</v>
      </c>
      <c r="R351" s="4" t="s">
        <v>53</v>
      </c>
      <c r="S351" s="4">
        <v>2400</v>
      </c>
      <c r="T351" s="4">
        <v>144000</v>
      </c>
      <c r="U351" s="4">
        <v>115480</v>
      </c>
      <c r="V351" s="4">
        <v>0</v>
      </c>
      <c r="W351" s="4">
        <v>0</v>
      </c>
      <c r="X351" s="4">
        <v>0</v>
      </c>
      <c r="Y351" s="4">
        <v>400</v>
      </c>
      <c r="Z351" s="4">
        <v>4800</v>
      </c>
      <c r="AA351" s="4">
        <v>0</v>
      </c>
      <c r="AB351" s="4">
        <v>0</v>
      </c>
      <c r="AC351" s="4">
        <v>23320</v>
      </c>
      <c r="AD351" s="4">
        <v>144560</v>
      </c>
      <c r="AE351" s="4">
        <v>115480</v>
      </c>
      <c r="AF351" s="4">
        <v>0</v>
      </c>
      <c r="AG351" s="4">
        <v>0</v>
      </c>
      <c r="AH351" s="4">
        <v>0</v>
      </c>
      <c r="AI351" s="4">
        <v>480</v>
      </c>
      <c r="AJ351" s="4">
        <v>5280</v>
      </c>
      <c r="AK351" s="4">
        <v>0</v>
      </c>
      <c r="AL351" s="4">
        <v>0</v>
      </c>
      <c r="AM351" s="4">
        <v>23320</v>
      </c>
      <c r="AN351" s="4">
        <v>100616</v>
      </c>
      <c r="AO351" s="4">
        <v>0</v>
      </c>
      <c r="AP351" s="4">
        <v>100616</v>
      </c>
      <c r="AQ351" t="str">
        <f>VLOOKUP(N351,'[1]전체(5)'!$N:$AR,30,0)</f>
        <v>스토리위즈</v>
      </c>
      <c r="AR351" t="str">
        <f>VLOOKUP($N351,'[1]전체(5)'!$N:$AR,31,0)</f>
        <v>윈델</v>
      </c>
    </row>
    <row r="352" spans="1:44" x14ac:dyDescent="0.4">
      <c r="A352" s="3" t="s">
        <v>42</v>
      </c>
      <c r="B352" s="3" t="s">
        <v>43</v>
      </c>
      <c r="C352" s="3" t="s">
        <v>44</v>
      </c>
      <c r="D352" s="3" t="s">
        <v>45</v>
      </c>
      <c r="E352" s="3"/>
      <c r="F352" s="3" t="s">
        <v>46</v>
      </c>
      <c r="G352" s="3" t="s">
        <v>47</v>
      </c>
      <c r="H352" s="3" t="s">
        <v>48</v>
      </c>
      <c r="I352" s="3" t="s">
        <v>49</v>
      </c>
      <c r="J352" s="3">
        <v>46730594</v>
      </c>
      <c r="K352" s="3" t="s">
        <v>231</v>
      </c>
      <c r="L352" s="3"/>
      <c r="M352" s="3"/>
      <c r="N352" s="3" t="s">
        <v>70</v>
      </c>
      <c r="O352" s="3" t="s">
        <v>52</v>
      </c>
      <c r="P352" s="3">
        <v>0.7</v>
      </c>
      <c r="Q352" s="3">
        <v>0.6</v>
      </c>
      <c r="R352" s="4" t="s">
        <v>56</v>
      </c>
      <c r="S352" s="4">
        <v>100</v>
      </c>
      <c r="T352" s="4">
        <v>16600</v>
      </c>
      <c r="U352" s="4">
        <v>4300</v>
      </c>
      <c r="V352" s="4">
        <v>0</v>
      </c>
      <c r="W352" s="4">
        <v>0</v>
      </c>
      <c r="X352" s="4">
        <v>0</v>
      </c>
      <c r="Y352" s="4">
        <v>200</v>
      </c>
      <c r="Z352" s="4">
        <v>2300</v>
      </c>
      <c r="AA352" s="4">
        <v>0</v>
      </c>
      <c r="AB352" s="4">
        <v>0</v>
      </c>
      <c r="AC352" s="4">
        <v>9800</v>
      </c>
      <c r="AD352" s="4">
        <v>16870</v>
      </c>
      <c r="AE352" s="4">
        <v>4300</v>
      </c>
      <c r="AF352" s="4">
        <v>0</v>
      </c>
      <c r="AG352" s="4">
        <v>0</v>
      </c>
      <c r="AH352" s="4">
        <v>0</v>
      </c>
      <c r="AI352" s="4">
        <v>240</v>
      </c>
      <c r="AJ352" s="4">
        <v>2530</v>
      </c>
      <c r="AK352" s="4">
        <v>0</v>
      </c>
      <c r="AL352" s="4">
        <v>0</v>
      </c>
      <c r="AM352" s="4">
        <v>9800</v>
      </c>
      <c r="AN352" s="4">
        <v>11532</v>
      </c>
      <c r="AO352" s="4">
        <v>0</v>
      </c>
      <c r="AP352" s="4">
        <v>11532</v>
      </c>
      <c r="AQ352" t="str">
        <f>VLOOKUP(N352,'[1]전체(5)'!$N:$AR,30,0)</f>
        <v>스토리위즈</v>
      </c>
      <c r="AR352" t="str">
        <f>VLOOKUP($N352,'[1]전체(5)'!$N:$AR,31,0)</f>
        <v>김정률</v>
      </c>
    </row>
    <row r="353" spans="1:44" x14ac:dyDescent="0.4">
      <c r="A353" s="3" t="s">
        <v>42</v>
      </c>
      <c r="B353" s="3" t="s">
        <v>43</v>
      </c>
      <c r="C353" s="3" t="s">
        <v>44</v>
      </c>
      <c r="D353" s="3" t="s">
        <v>45</v>
      </c>
      <c r="E353" s="3"/>
      <c r="F353" s="3" t="s">
        <v>46</v>
      </c>
      <c r="G353" s="3" t="s">
        <v>47</v>
      </c>
      <c r="H353" s="3" t="s">
        <v>48</v>
      </c>
      <c r="I353" s="3" t="s">
        <v>49</v>
      </c>
      <c r="J353" s="3">
        <v>51945813</v>
      </c>
      <c r="K353" s="3" t="s">
        <v>138</v>
      </c>
      <c r="L353" s="3"/>
      <c r="M353" s="3"/>
      <c r="N353" s="3" t="s">
        <v>60</v>
      </c>
      <c r="O353" s="3" t="s">
        <v>52</v>
      </c>
      <c r="P353" s="3">
        <v>0.7</v>
      </c>
      <c r="Q353" s="3">
        <v>0.6</v>
      </c>
      <c r="R353" s="4" t="s">
        <v>56</v>
      </c>
      <c r="S353" s="4">
        <v>100</v>
      </c>
      <c r="T353" s="4">
        <v>7400</v>
      </c>
      <c r="U353" s="4">
        <v>2200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5200</v>
      </c>
      <c r="AD353" s="4">
        <v>7400</v>
      </c>
      <c r="AE353" s="4">
        <v>2200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5200</v>
      </c>
      <c r="AN353" s="4">
        <v>5180</v>
      </c>
      <c r="AO353" s="4">
        <v>0</v>
      </c>
      <c r="AP353" s="4">
        <v>5180</v>
      </c>
      <c r="AQ353" t="str">
        <f>VLOOKUP(N353,'[1]전체(5)'!$N:$AR,30,0)</f>
        <v>스토리위즈</v>
      </c>
      <c r="AR353" t="str">
        <f>VLOOKUP($N353,'[1]전체(5)'!$N:$AR,31,0)</f>
        <v>주이서</v>
      </c>
    </row>
    <row r="354" spans="1:44" x14ac:dyDescent="0.4">
      <c r="A354" s="3" t="s">
        <v>42</v>
      </c>
      <c r="B354" s="3" t="s">
        <v>43</v>
      </c>
      <c r="C354" s="3" t="s">
        <v>44</v>
      </c>
      <c r="D354" s="3" t="s">
        <v>45</v>
      </c>
      <c r="E354" s="3"/>
      <c r="F354" s="3" t="s">
        <v>46</v>
      </c>
      <c r="G354" s="3" t="s">
        <v>47</v>
      </c>
      <c r="H354" s="3" t="s">
        <v>48</v>
      </c>
      <c r="I354" s="3" t="s">
        <v>49</v>
      </c>
      <c r="J354" s="3">
        <v>53472058</v>
      </c>
      <c r="K354" s="3" t="s">
        <v>150</v>
      </c>
      <c r="L354" s="3"/>
      <c r="M354" s="3"/>
      <c r="N354" s="3" t="s">
        <v>132</v>
      </c>
      <c r="O354" s="3" t="s">
        <v>52</v>
      </c>
      <c r="P354" s="3">
        <v>0.7</v>
      </c>
      <c r="Q354" s="3">
        <v>0.6</v>
      </c>
      <c r="R354" s="4" t="s">
        <v>56</v>
      </c>
      <c r="S354" s="4">
        <v>100</v>
      </c>
      <c r="T354" s="4">
        <v>8000</v>
      </c>
      <c r="U354" s="4">
        <v>5800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2200</v>
      </c>
      <c r="AD354" s="4">
        <v>8000</v>
      </c>
      <c r="AE354" s="4">
        <v>5800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2200</v>
      </c>
      <c r="AN354" s="4">
        <v>5600</v>
      </c>
      <c r="AO354" s="4">
        <v>0</v>
      </c>
      <c r="AP354" s="4">
        <v>5600</v>
      </c>
      <c r="AQ354" t="str">
        <f>VLOOKUP(N354,'[1]전체(5)'!$N:$AR,30,0)</f>
        <v>스토리위즈</v>
      </c>
      <c r="AR354" t="str">
        <f>VLOOKUP($N354,'[1]전체(5)'!$N:$AR,31,0)</f>
        <v>아슈크림</v>
      </c>
    </row>
    <row r="355" spans="1:44" x14ac:dyDescent="0.4">
      <c r="A355" s="3" t="s">
        <v>42</v>
      </c>
      <c r="B355" s="3" t="s">
        <v>43</v>
      </c>
      <c r="C355" s="3" t="s">
        <v>44</v>
      </c>
      <c r="D355" s="3" t="s">
        <v>45</v>
      </c>
      <c r="E355" s="3"/>
      <c r="F355" s="3" t="s">
        <v>46</v>
      </c>
      <c r="G355" s="3" t="s">
        <v>47</v>
      </c>
      <c r="H355" s="3" t="s">
        <v>48</v>
      </c>
      <c r="I355" s="3" t="s">
        <v>49</v>
      </c>
      <c r="J355" s="3">
        <v>53748697</v>
      </c>
      <c r="K355" s="3" t="s">
        <v>192</v>
      </c>
      <c r="L355" s="3"/>
      <c r="M355" s="3"/>
      <c r="N355" s="3" t="s">
        <v>154</v>
      </c>
      <c r="O355" s="3" t="s">
        <v>52</v>
      </c>
      <c r="P355" s="3">
        <v>0.7</v>
      </c>
      <c r="Q355" s="3">
        <v>0.6</v>
      </c>
      <c r="R355" s="4" t="s">
        <v>53</v>
      </c>
      <c r="S355" s="4">
        <v>5400</v>
      </c>
      <c r="T355" s="4">
        <v>27300</v>
      </c>
      <c r="U355" s="4">
        <v>21100</v>
      </c>
      <c r="V355" s="4">
        <v>0</v>
      </c>
      <c r="W355" s="4">
        <v>0</v>
      </c>
      <c r="X355" s="4">
        <v>0</v>
      </c>
      <c r="Y355" s="4">
        <v>0</v>
      </c>
      <c r="Z355" s="4">
        <v>300</v>
      </c>
      <c r="AA355" s="4">
        <v>0</v>
      </c>
      <c r="AB355" s="4">
        <v>0</v>
      </c>
      <c r="AC355" s="4">
        <v>5900</v>
      </c>
      <c r="AD355" s="4">
        <v>27330</v>
      </c>
      <c r="AE355" s="4">
        <v>21100</v>
      </c>
      <c r="AF355" s="4">
        <v>0</v>
      </c>
      <c r="AG355" s="4">
        <v>0</v>
      </c>
      <c r="AH355" s="4">
        <v>0</v>
      </c>
      <c r="AI355" s="4">
        <v>0</v>
      </c>
      <c r="AJ355" s="4">
        <v>330</v>
      </c>
      <c r="AK355" s="4">
        <v>0</v>
      </c>
      <c r="AL355" s="4">
        <v>0</v>
      </c>
      <c r="AM355" s="4">
        <v>5900</v>
      </c>
      <c r="AN355" s="4">
        <v>19098</v>
      </c>
      <c r="AO355" s="4">
        <v>0</v>
      </c>
      <c r="AP355" s="4">
        <v>19098</v>
      </c>
      <c r="AQ355" t="str">
        <f>VLOOKUP(N355,'[1]전체(5)'!$N:$AR,30,0)</f>
        <v>스토리위즈</v>
      </c>
      <c r="AR355" t="str">
        <f>VLOOKUP($N355,'[1]전체(5)'!$N:$AR,31,0)</f>
        <v>모리미</v>
      </c>
    </row>
    <row r="356" spans="1:44" x14ac:dyDescent="0.4">
      <c r="A356" s="3" t="s">
        <v>42</v>
      </c>
      <c r="B356" s="3" t="s">
        <v>43</v>
      </c>
      <c r="C356" s="3" t="s">
        <v>44</v>
      </c>
      <c r="D356" s="3" t="s">
        <v>45</v>
      </c>
      <c r="E356" s="3"/>
      <c r="F356" s="3" t="s">
        <v>46</v>
      </c>
      <c r="G356" s="3" t="s">
        <v>47</v>
      </c>
      <c r="H356" s="3" t="s">
        <v>48</v>
      </c>
      <c r="I356" s="3" t="s">
        <v>49</v>
      </c>
      <c r="J356" s="3">
        <v>53915537</v>
      </c>
      <c r="K356" s="3" t="s">
        <v>201</v>
      </c>
      <c r="L356" s="3"/>
      <c r="M356" s="3"/>
      <c r="N356" s="3" t="s">
        <v>145</v>
      </c>
      <c r="O356" s="3" t="s">
        <v>52</v>
      </c>
      <c r="P356" s="3">
        <v>0.7</v>
      </c>
      <c r="Q356" s="3">
        <v>0.6</v>
      </c>
      <c r="R356" s="4" t="s">
        <v>56</v>
      </c>
      <c r="S356" s="4">
        <v>100</v>
      </c>
      <c r="T356" s="4">
        <v>1800</v>
      </c>
      <c r="U356" s="4">
        <v>500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1300</v>
      </c>
      <c r="AD356" s="4">
        <v>1800</v>
      </c>
      <c r="AE356" s="4">
        <v>500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1300</v>
      </c>
      <c r="AN356" s="4">
        <v>1260</v>
      </c>
      <c r="AO356" s="4">
        <v>0</v>
      </c>
      <c r="AP356" s="4">
        <v>1260</v>
      </c>
      <c r="AQ356" t="str">
        <f>VLOOKUP(N356,'[1]전체(5)'!$N:$AR,30,0)</f>
        <v>스토리위즈</v>
      </c>
      <c r="AR356" t="str">
        <f>VLOOKUP($N356,'[1]전체(5)'!$N:$AR,31,0)</f>
        <v>꽃잠</v>
      </c>
    </row>
    <row r="357" spans="1:44" x14ac:dyDescent="0.4">
      <c r="A357" s="3" t="s">
        <v>42</v>
      </c>
      <c r="B357" s="3" t="s">
        <v>43</v>
      </c>
      <c r="C357" s="3" t="s">
        <v>44</v>
      </c>
      <c r="D357" s="3" t="s">
        <v>45</v>
      </c>
      <c r="E357" s="3"/>
      <c r="F357" s="3" t="s">
        <v>46</v>
      </c>
      <c r="G357" s="3" t="s">
        <v>47</v>
      </c>
      <c r="H357" s="3" t="s">
        <v>48</v>
      </c>
      <c r="I357" s="3" t="s">
        <v>49</v>
      </c>
      <c r="J357" s="3">
        <v>54410472</v>
      </c>
      <c r="K357" s="3" t="s">
        <v>224</v>
      </c>
      <c r="L357" s="3"/>
      <c r="M357" s="3"/>
      <c r="N357" s="3" t="s">
        <v>154</v>
      </c>
      <c r="O357" s="3" t="s">
        <v>52</v>
      </c>
      <c r="P357" s="3">
        <v>0.7</v>
      </c>
      <c r="Q357" s="3">
        <v>0.6</v>
      </c>
      <c r="R357" s="4" t="s">
        <v>53</v>
      </c>
      <c r="S357" s="4">
        <v>4500</v>
      </c>
      <c r="T357" s="4">
        <v>27000</v>
      </c>
      <c r="U357" s="4">
        <v>22500</v>
      </c>
      <c r="V357" s="4">
        <v>0</v>
      </c>
      <c r="W357" s="4">
        <v>0</v>
      </c>
      <c r="X357" s="4">
        <v>0</v>
      </c>
      <c r="Y357" s="4">
        <v>0</v>
      </c>
      <c r="Z357" s="4">
        <v>4500</v>
      </c>
      <c r="AA357" s="4">
        <v>0</v>
      </c>
      <c r="AB357" s="4">
        <v>0</v>
      </c>
      <c r="AC357" s="4">
        <v>0</v>
      </c>
      <c r="AD357" s="4">
        <v>27450</v>
      </c>
      <c r="AE357" s="4">
        <v>22500</v>
      </c>
      <c r="AF357" s="4">
        <v>0</v>
      </c>
      <c r="AG357" s="4">
        <v>0</v>
      </c>
      <c r="AH357" s="4">
        <v>0</v>
      </c>
      <c r="AI357" s="4">
        <v>0</v>
      </c>
      <c r="AJ357" s="4">
        <v>4950</v>
      </c>
      <c r="AK357" s="4">
        <v>0</v>
      </c>
      <c r="AL357" s="4">
        <v>0</v>
      </c>
      <c r="AM357" s="4">
        <v>0</v>
      </c>
      <c r="AN357" s="4">
        <v>18720</v>
      </c>
      <c r="AO357" s="4">
        <v>0</v>
      </c>
      <c r="AP357" s="4">
        <v>18720</v>
      </c>
      <c r="AQ357" t="str">
        <f>VLOOKUP(N357,'[1]전체(5)'!$N:$AR,30,0)</f>
        <v>스토리위즈</v>
      </c>
      <c r="AR357" t="str">
        <f>VLOOKUP($N357,'[1]전체(5)'!$N:$AR,31,0)</f>
        <v>모리미</v>
      </c>
    </row>
    <row r="358" spans="1:44" x14ac:dyDescent="0.4">
      <c r="A358" s="3" t="s">
        <v>42</v>
      </c>
      <c r="B358" s="3" t="s">
        <v>43</v>
      </c>
      <c r="C358" s="3" t="s">
        <v>44</v>
      </c>
      <c r="D358" s="3" t="s">
        <v>45</v>
      </c>
      <c r="E358" s="3"/>
      <c r="F358" s="3" t="s">
        <v>46</v>
      </c>
      <c r="G358" s="3" t="s">
        <v>47</v>
      </c>
      <c r="H358" s="3" t="s">
        <v>48</v>
      </c>
      <c r="I358" s="3" t="s">
        <v>49</v>
      </c>
      <c r="J358" s="3">
        <v>56149358</v>
      </c>
      <c r="K358" s="3" t="s">
        <v>57</v>
      </c>
      <c r="L358" s="3"/>
      <c r="M358" s="3"/>
      <c r="N358" s="3" t="s">
        <v>58</v>
      </c>
      <c r="O358" s="3" t="s">
        <v>52</v>
      </c>
      <c r="P358" s="3">
        <v>0.7</v>
      </c>
      <c r="Q358" s="3">
        <v>0.6</v>
      </c>
      <c r="R358" s="4" t="s">
        <v>53</v>
      </c>
      <c r="S358" s="4">
        <v>4700</v>
      </c>
      <c r="T358" s="4">
        <v>152700</v>
      </c>
      <c r="U358" s="4">
        <v>119080</v>
      </c>
      <c r="V358" s="4">
        <v>0</v>
      </c>
      <c r="W358" s="4">
        <v>0</v>
      </c>
      <c r="X358" s="4">
        <v>0</v>
      </c>
      <c r="Y358" s="4">
        <v>-100</v>
      </c>
      <c r="Z358" s="4">
        <v>17900</v>
      </c>
      <c r="AA358" s="4">
        <v>0</v>
      </c>
      <c r="AB358" s="4">
        <v>0</v>
      </c>
      <c r="AC358" s="4">
        <v>15820</v>
      </c>
      <c r="AD358" s="4">
        <v>154470</v>
      </c>
      <c r="AE358" s="4">
        <v>119080</v>
      </c>
      <c r="AF358" s="4">
        <v>0</v>
      </c>
      <c r="AG358" s="4">
        <v>0</v>
      </c>
      <c r="AH358" s="4">
        <v>0</v>
      </c>
      <c r="AI358" s="4">
        <v>-120</v>
      </c>
      <c r="AJ358" s="4">
        <v>19690</v>
      </c>
      <c r="AK358" s="4">
        <v>0</v>
      </c>
      <c r="AL358" s="4">
        <v>0</v>
      </c>
      <c r="AM358" s="4">
        <v>15820</v>
      </c>
      <c r="AN358" s="4">
        <v>106172</v>
      </c>
      <c r="AO358" s="4">
        <v>0</v>
      </c>
      <c r="AP358" s="4">
        <v>106172</v>
      </c>
      <c r="AQ358" t="str">
        <f>VLOOKUP(N358,'[1]전체(5)'!$N:$AR,30,0)</f>
        <v>스토리위즈</v>
      </c>
      <c r="AR358" t="str">
        <f>VLOOKUP($N358,'[1]전체(5)'!$N:$AR,31,0)</f>
        <v>윈델</v>
      </c>
    </row>
    <row r="359" spans="1:44" x14ac:dyDescent="0.4">
      <c r="A359" s="3" t="s">
        <v>42</v>
      </c>
      <c r="B359" s="3" t="s">
        <v>43</v>
      </c>
      <c r="C359" s="3" t="s">
        <v>44</v>
      </c>
      <c r="D359" s="3" t="s">
        <v>45</v>
      </c>
      <c r="E359" s="3"/>
      <c r="F359" s="3" t="s">
        <v>46</v>
      </c>
      <c r="G359" s="3" t="s">
        <v>47</v>
      </c>
      <c r="H359" s="3" t="s">
        <v>48</v>
      </c>
      <c r="I359" s="3" t="s">
        <v>49</v>
      </c>
      <c r="J359" s="3">
        <v>46730594</v>
      </c>
      <c r="K359" s="3" t="s">
        <v>231</v>
      </c>
      <c r="L359" s="3"/>
      <c r="M359" s="3"/>
      <c r="N359" s="3" t="s">
        <v>70</v>
      </c>
      <c r="O359" s="3" t="s">
        <v>52</v>
      </c>
      <c r="P359" s="3">
        <v>0.7</v>
      </c>
      <c r="Q359" s="3">
        <v>0.6</v>
      </c>
      <c r="R359" s="4" t="s">
        <v>53</v>
      </c>
      <c r="S359" s="4">
        <v>2300</v>
      </c>
      <c r="T359" s="4">
        <v>23000</v>
      </c>
      <c r="U359" s="4">
        <v>11500</v>
      </c>
      <c r="V359" s="4">
        <v>0</v>
      </c>
      <c r="W359" s="4">
        <v>0</v>
      </c>
      <c r="X359" s="4">
        <v>0</v>
      </c>
      <c r="Y359" s="4">
        <v>4600</v>
      </c>
      <c r="Z359" s="4">
        <v>6900</v>
      </c>
      <c r="AA359" s="4">
        <v>0</v>
      </c>
      <c r="AB359" s="4">
        <v>0</v>
      </c>
      <c r="AC359" s="4">
        <v>0</v>
      </c>
      <c r="AD359" s="4">
        <v>24610</v>
      </c>
      <c r="AE359" s="4">
        <v>11500</v>
      </c>
      <c r="AF359" s="4">
        <v>0</v>
      </c>
      <c r="AG359" s="4">
        <v>0</v>
      </c>
      <c r="AH359" s="4">
        <v>0</v>
      </c>
      <c r="AI359" s="4">
        <v>5520</v>
      </c>
      <c r="AJ359" s="4">
        <v>7590</v>
      </c>
      <c r="AK359" s="4">
        <v>0</v>
      </c>
      <c r="AL359" s="4">
        <v>0</v>
      </c>
      <c r="AM359" s="4">
        <v>0</v>
      </c>
      <c r="AN359" s="4">
        <v>15916</v>
      </c>
      <c r="AO359" s="4">
        <v>0</v>
      </c>
      <c r="AP359" s="4">
        <v>15916</v>
      </c>
      <c r="AQ359" t="str">
        <f>VLOOKUP(N359,'[1]전체(5)'!$N:$AR,30,0)</f>
        <v>스토리위즈</v>
      </c>
      <c r="AR359" t="str">
        <f>VLOOKUP($N359,'[1]전체(5)'!$N:$AR,31,0)</f>
        <v>김정률</v>
      </c>
    </row>
    <row r="360" spans="1:44" x14ac:dyDescent="0.4">
      <c r="A360" s="3" t="s">
        <v>42</v>
      </c>
      <c r="B360" s="3" t="s">
        <v>43</v>
      </c>
      <c r="C360" s="3" t="s">
        <v>44</v>
      </c>
      <c r="D360" s="3" t="s">
        <v>45</v>
      </c>
      <c r="E360" s="3"/>
      <c r="F360" s="3" t="s">
        <v>46</v>
      </c>
      <c r="G360" s="3" t="s">
        <v>47</v>
      </c>
      <c r="H360" s="3" t="s">
        <v>48</v>
      </c>
      <c r="I360" s="3" t="s">
        <v>49</v>
      </c>
      <c r="J360" s="3">
        <v>51945813</v>
      </c>
      <c r="K360" s="3" t="s">
        <v>138</v>
      </c>
      <c r="L360" s="3"/>
      <c r="M360" s="3"/>
      <c r="N360" s="3" t="s">
        <v>60</v>
      </c>
      <c r="O360" s="3" t="s">
        <v>52</v>
      </c>
      <c r="P360" s="3">
        <v>0.7</v>
      </c>
      <c r="Q360" s="3">
        <v>0.6</v>
      </c>
      <c r="R360" s="4" t="s">
        <v>53</v>
      </c>
      <c r="S360" s="4">
        <v>900</v>
      </c>
      <c r="T360" s="4">
        <v>6300</v>
      </c>
      <c r="U360" s="4">
        <v>3600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2700</v>
      </c>
      <c r="AD360" s="4">
        <v>6300</v>
      </c>
      <c r="AE360" s="4">
        <v>3600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2700</v>
      </c>
      <c r="AN360" s="4">
        <v>4410</v>
      </c>
      <c r="AO360" s="4">
        <v>0</v>
      </c>
      <c r="AP360" s="4">
        <v>4410</v>
      </c>
      <c r="AQ360" t="str">
        <f>VLOOKUP(N360,'[1]전체(5)'!$N:$AR,30,0)</f>
        <v>스토리위즈</v>
      </c>
      <c r="AR360" t="str">
        <f>VLOOKUP($N360,'[1]전체(5)'!$N:$AR,31,0)</f>
        <v>주이서</v>
      </c>
    </row>
    <row r="361" spans="1:44" x14ac:dyDescent="0.4">
      <c r="A361" s="3" t="s">
        <v>42</v>
      </c>
      <c r="B361" s="3" t="s">
        <v>43</v>
      </c>
      <c r="C361" s="3" t="s">
        <v>44</v>
      </c>
      <c r="D361" s="3" t="s">
        <v>45</v>
      </c>
      <c r="E361" s="3"/>
      <c r="F361" s="3" t="s">
        <v>46</v>
      </c>
      <c r="G361" s="3" t="s">
        <v>47</v>
      </c>
      <c r="H361" s="3" t="s">
        <v>48</v>
      </c>
      <c r="I361" s="3" t="s">
        <v>49</v>
      </c>
      <c r="J361" s="3">
        <v>53472058</v>
      </c>
      <c r="K361" s="3" t="s">
        <v>150</v>
      </c>
      <c r="L361" s="3"/>
      <c r="M361" s="3"/>
      <c r="N361" s="3" t="s">
        <v>132</v>
      </c>
      <c r="O361" s="3" t="s">
        <v>52</v>
      </c>
      <c r="P361" s="3">
        <v>0.7</v>
      </c>
      <c r="Q361" s="3">
        <v>0.6</v>
      </c>
      <c r="R361" s="4" t="s">
        <v>53</v>
      </c>
      <c r="S361" s="4">
        <v>900</v>
      </c>
      <c r="T361" s="4">
        <v>10800</v>
      </c>
      <c r="U361" s="4">
        <v>6380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4420</v>
      </c>
      <c r="AD361" s="4">
        <v>10800</v>
      </c>
      <c r="AE361" s="4">
        <v>6380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4420</v>
      </c>
      <c r="AN361" s="4">
        <v>7560</v>
      </c>
      <c r="AO361" s="4">
        <v>0</v>
      </c>
      <c r="AP361" s="4">
        <v>7560</v>
      </c>
      <c r="AQ361" t="str">
        <f>VLOOKUP(N361,'[1]전체(5)'!$N:$AR,30,0)</f>
        <v>스토리위즈</v>
      </c>
      <c r="AR361" t="str">
        <f>VLOOKUP($N361,'[1]전체(5)'!$N:$AR,31,0)</f>
        <v>아슈크림</v>
      </c>
    </row>
    <row r="362" spans="1:44" x14ac:dyDescent="0.4">
      <c r="A362" s="3" t="s">
        <v>42</v>
      </c>
      <c r="B362" s="3" t="s">
        <v>43</v>
      </c>
      <c r="C362" s="3" t="s">
        <v>44</v>
      </c>
      <c r="D362" s="3" t="s">
        <v>45</v>
      </c>
      <c r="E362" s="3"/>
      <c r="F362" s="3" t="s">
        <v>46</v>
      </c>
      <c r="G362" s="3" t="s">
        <v>47</v>
      </c>
      <c r="H362" s="3" t="s">
        <v>48</v>
      </c>
      <c r="I362" s="3" t="s">
        <v>49</v>
      </c>
      <c r="J362" s="3">
        <v>53915537</v>
      </c>
      <c r="K362" s="3" t="s">
        <v>201</v>
      </c>
      <c r="L362" s="3"/>
      <c r="M362" s="3"/>
      <c r="N362" s="3" t="s">
        <v>145</v>
      </c>
      <c r="O362" s="3" t="s">
        <v>52</v>
      </c>
      <c r="P362" s="3">
        <v>0.7</v>
      </c>
      <c r="Q362" s="3">
        <v>0.6</v>
      </c>
      <c r="R362" s="4" t="s">
        <v>53</v>
      </c>
      <c r="S362" s="4">
        <v>900</v>
      </c>
      <c r="T362" s="4">
        <v>3200</v>
      </c>
      <c r="U362" s="4">
        <v>3200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3200</v>
      </c>
      <c r="AE362" s="4">
        <v>3200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2240</v>
      </c>
      <c r="AO362" s="4">
        <v>0</v>
      </c>
      <c r="AP362" s="4">
        <v>2240</v>
      </c>
      <c r="AQ362" t="str">
        <f>VLOOKUP(N362,'[1]전체(5)'!$N:$AR,30,0)</f>
        <v>스토리위즈</v>
      </c>
      <c r="AR362" t="str">
        <f>VLOOKUP($N362,'[1]전체(5)'!$N:$AR,31,0)</f>
        <v>꽃잠</v>
      </c>
    </row>
    <row r="363" spans="1:44" x14ac:dyDescent="0.4">
      <c r="A363" s="3" t="s">
        <v>42</v>
      </c>
      <c r="B363" s="3" t="s">
        <v>43</v>
      </c>
      <c r="C363" s="3" t="s">
        <v>44</v>
      </c>
      <c r="D363" s="3" t="s">
        <v>45</v>
      </c>
      <c r="E363" s="3"/>
      <c r="F363" s="3" t="s">
        <v>46</v>
      </c>
      <c r="G363" s="3" t="s">
        <v>47</v>
      </c>
      <c r="H363" s="3" t="s">
        <v>48</v>
      </c>
      <c r="I363" s="3" t="s">
        <v>49</v>
      </c>
      <c r="J363" s="3">
        <v>56149358</v>
      </c>
      <c r="K363" s="3" t="s">
        <v>57</v>
      </c>
      <c r="L363" s="3"/>
      <c r="M363" s="3"/>
      <c r="N363" s="3" t="s">
        <v>58</v>
      </c>
      <c r="O363" s="3" t="s">
        <v>52</v>
      </c>
      <c r="P363" s="3">
        <v>0.7</v>
      </c>
      <c r="Q363" s="3">
        <v>0.6</v>
      </c>
      <c r="R363" s="4" t="s">
        <v>53</v>
      </c>
      <c r="S363" s="4">
        <v>7400</v>
      </c>
      <c r="T363" s="4">
        <v>174400</v>
      </c>
      <c r="U363" s="4">
        <v>135980</v>
      </c>
      <c r="V363" s="4">
        <v>0</v>
      </c>
      <c r="W363" s="4">
        <v>0</v>
      </c>
      <c r="X363" s="4">
        <v>0</v>
      </c>
      <c r="Y363" s="4">
        <v>0</v>
      </c>
      <c r="Z363" s="4">
        <v>7400</v>
      </c>
      <c r="AA363" s="4">
        <v>0</v>
      </c>
      <c r="AB363" s="4">
        <v>0</v>
      </c>
      <c r="AC363" s="4">
        <v>31020</v>
      </c>
      <c r="AD363" s="4">
        <v>175140</v>
      </c>
      <c r="AE363" s="4">
        <v>135980</v>
      </c>
      <c r="AF363" s="4">
        <v>0</v>
      </c>
      <c r="AG363" s="4">
        <v>0</v>
      </c>
      <c r="AH363" s="4">
        <v>0</v>
      </c>
      <c r="AI363" s="4">
        <v>0</v>
      </c>
      <c r="AJ363" s="4">
        <v>8140</v>
      </c>
      <c r="AK363" s="4">
        <v>0</v>
      </c>
      <c r="AL363" s="4">
        <v>0</v>
      </c>
      <c r="AM363" s="4">
        <v>31020</v>
      </c>
      <c r="AN363" s="4">
        <v>121784</v>
      </c>
      <c r="AO363" s="4">
        <v>0</v>
      </c>
      <c r="AP363" s="4">
        <v>121784</v>
      </c>
      <c r="AQ363" t="str">
        <f>VLOOKUP(N363,'[1]전체(5)'!$N:$AR,30,0)</f>
        <v>스토리위즈</v>
      </c>
      <c r="AR363" t="str">
        <f>VLOOKUP($N363,'[1]전체(5)'!$N:$AR,31,0)</f>
        <v>윈델</v>
      </c>
    </row>
    <row r="364" spans="1:44" x14ac:dyDescent="0.4">
      <c r="A364" s="3" t="s">
        <v>42</v>
      </c>
      <c r="B364" s="3" t="s">
        <v>43</v>
      </c>
      <c r="C364" s="3" t="s">
        <v>44</v>
      </c>
      <c r="D364" s="3" t="s">
        <v>45</v>
      </c>
      <c r="E364" s="3"/>
      <c r="F364" s="3" t="s">
        <v>46</v>
      </c>
      <c r="G364" s="3" t="s">
        <v>47</v>
      </c>
      <c r="H364" s="3" t="s">
        <v>48</v>
      </c>
      <c r="I364" s="3" t="s">
        <v>49</v>
      </c>
      <c r="J364" s="3">
        <v>46730594</v>
      </c>
      <c r="K364" s="3" t="s">
        <v>231</v>
      </c>
      <c r="L364" s="3"/>
      <c r="M364" s="3"/>
      <c r="N364" s="3" t="s">
        <v>70</v>
      </c>
      <c r="O364" s="3" t="s">
        <v>52</v>
      </c>
      <c r="P364" s="3">
        <v>0.7</v>
      </c>
      <c r="Q364" s="3">
        <v>0.6</v>
      </c>
      <c r="R364" s="4" t="s">
        <v>53</v>
      </c>
      <c r="S364" s="4">
        <v>9000</v>
      </c>
      <c r="T364" s="4">
        <v>36000</v>
      </c>
      <c r="U364" s="4">
        <v>26980</v>
      </c>
      <c r="V364" s="4">
        <v>0</v>
      </c>
      <c r="W364" s="4">
        <v>0</v>
      </c>
      <c r="X364" s="4">
        <v>0</v>
      </c>
      <c r="Y364" s="4">
        <v>0</v>
      </c>
      <c r="Z364" s="4">
        <v>9000</v>
      </c>
      <c r="AA364" s="4">
        <v>0</v>
      </c>
      <c r="AB364" s="4">
        <v>0</v>
      </c>
      <c r="AC364" s="4">
        <v>20</v>
      </c>
      <c r="AD364" s="4">
        <v>36900</v>
      </c>
      <c r="AE364" s="4">
        <v>26980</v>
      </c>
      <c r="AF364" s="4">
        <v>0</v>
      </c>
      <c r="AG364" s="4">
        <v>0</v>
      </c>
      <c r="AH364" s="4">
        <v>0</v>
      </c>
      <c r="AI364" s="4">
        <v>0</v>
      </c>
      <c r="AJ364" s="4">
        <v>9900</v>
      </c>
      <c r="AK364" s="4">
        <v>0</v>
      </c>
      <c r="AL364" s="4">
        <v>0</v>
      </c>
      <c r="AM364" s="4">
        <v>20</v>
      </c>
      <c r="AN364" s="4">
        <v>24840</v>
      </c>
      <c r="AO364" s="4">
        <v>0</v>
      </c>
      <c r="AP364" s="4">
        <v>24840</v>
      </c>
      <c r="AQ364" t="str">
        <f>VLOOKUP(N364,'[1]전체(5)'!$N:$AR,30,0)</f>
        <v>스토리위즈</v>
      </c>
      <c r="AR364" t="str">
        <f>VLOOKUP($N364,'[1]전체(5)'!$N:$AR,31,0)</f>
        <v>김정률</v>
      </c>
    </row>
    <row r="365" spans="1:44" x14ac:dyDescent="0.4">
      <c r="A365" s="3" t="s">
        <v>42</v>
      </c>
      <c r="B365" s="3" t="s">
        <v>43</v>
      </c>
      <c r="C365" s="3" t="s">
        <v>44</v>
      </c>
      <c r="D365" s="3" t="s">
        <v>45</v>
      </c>
      <c r="E365" s="3"/>
      <c r="F365" s="3" t="s">
        <v>46</v>
      </c>
      <c r="G365" s="3" t="s">
        <v>47</v>
      </c>
      <c r="H365" s="3" t="s">
        <v>48</v>
      </c>
      <c r="I365" s="3" t="s">
        <v>49</v>
      </c>
      <c r="J365" s="3">
        <v>51945813</v>
      </c>
      <c r="K365" s="3" t="s">
        <v>138</v>
      </c>
      <c r="L365" s="3"/>
      <c r="M365" s="3"/>
      <c r="N365" s="3" t="s">
        <v>60</v>
      </c>
      <c r="O365" s="3" t="s">
        <v>52</v>
      </c>
      <c r="P365" s="3">
        <v>0.7</v>
      </c>
      <c r="Q365" s="3">
        <v>0.6</v>
      </c>
      <c r="R365" s="4" t="s">
        <v>53</v>
      </c>
      <c r="S365" s="4">
        <v>1800</v>
      </c>
      <c r="T365" s="4">
        <v>2500</v>
      </c>
      <c r="U365" s="4">
        <v>700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1800</v>
      </c>
      <c r="AD365" s="4">
        <v>2500</v>
      </c>
      <c r="AE365" s="4">
        <v>700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1800</v>
      </c>
      <c r="AN365" s="4">
        <v>1750</v>
      </c>
      <c r="AO365" s="4">
        <v>0</v>
      </c>
      <c r="AP365" s="4">
        <v>1750</v>
      </c>
      <c r="AQ365" t="str">
        <f>VLOOKUP(N365,'[1]전체(5)'!$N:$AR,30,0)</f>
        <v>스토리위즈</v>
      </c>
      <c r="AR365" t="str">
        <f>VLOOKUP($N365,'[1]전체(5)'!$N:$AR,31,0)</f>
        <v>주이서</v>
      </c>
    </row>
    <row r="366" spans="1:44" x14ac:dyDescent="0.4">
      <c r="A366" s="3" t="s">
        <v>42</v>
      </c>
      <c r="B366" s="3" t="s">
        <v>43</v>
      </c>
      <c r="C366" s="3" t="s">
        <v>44</v>
      </c>
      <c r="D366" s="3" t="s">
        <v>45</v>
      </c>
      <c r="E366" s="3"/>
      <c r="F366" s="3" t="s">
        <v>46</v>
      </c>
      <c r="G366" s="3" t="s">
        <v>47</v>
      </c>
      <c r="H366" s="3" t="s">
        <v>48</v>
      </c>
      <c r="I366" s="3" t="s">
        <v>49</v>
      </c>
      <c r="J366" s="3">
        <v>53472058</v>
      </c>
      <c r="K366" s="3" t="s">
        <v>150</v>
      </c>
      <c r="L366" s="3"/>
      <c r="M366" s="3"/>
      <c r="N366" s="3" t="s">
        <v>132</v>
      </c>
      <c r="O366" s="3" t="s">
        <v>52</v>
      </c>
      <c r="P366" s="3">
        <v>0.7</v>
      </c>
      <c r="Q366" s="3">
        <v>0.6</v>
      </c>
      <c r="R366" s="4" t="s">
        <v>53</v>
      </c>
      <c r="S366" s="4">
        <v>2700</v>
      </c>
      <c r="T366" s="4">
        <v>15200</v>
      </c>
      <c r="U366" s="4">
        <v>14500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700</v>
      </c>
      <c r="AD366" s="4">
        <v>15200</v>
      </c>
      <c r="AE366" s="4">
        <v>14500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700</v>
      </c>
      <c r="AN366" s="4">
        <v>10640</v>
      </c>
      <c r="AO366" s="4">
        <v>0</v>
      </c>
      <c r="AP366" s="4">
        <v>10640</v>
      </c>
      <c r="AQ366" t="str">
        <f>VLOOKUP(N366,'[1]전체(5)'!$N:$AR,30,0)</f>
        <v>스토리위즈</v>
      </c>
      <c r="AR366" t="str">
        <f>VLOOKUP($N366,'[1]전체(5)'!$N:$AR,31,0)</f>
        <v>아슈크림</v>
      </c>
    </row>
    <row r="367" spans="1:44" x14ac:dyDescent="0.4">
      <c r="A367" s="3" t="s">
        <v>42</v>
      </c>
      <c r="B367" s="3" t="s">
        <v>43</v>
      </c>
      <c r="C367" s="3" t="s">
        <v>44</v>
      </c>
      <c r="D367" s="3" t="s">
        <v>45</v>
      </c>
      <c r="E367" s="3"/>
      <c r="F367" s="3" t="s">
        <v>46</v>
      </c>
      <c r="G367" s="3" t="s">
        <v>47</v>
      </c>
      <c r="H367" s="3" t="s">
        <v>48</v>
      </c>
      <c r="I367" s="3" t="s">
        <v>49</v>
      </c>
      <c r="J367" s="3">
        <v>53915537</v>
      </c>
      <c r="K367" s="3" t="s">
        <v>201</v>
      </c>
      <c r="L367" s="3"/>
      <c r="M367" s="3"/>
      <c r="N367" s="3" t="s">
        <v>145</v>
      </c>
      <c r="O367" s="3" t="s">
        <v>52</v>
      </c>
      <c r="P367" s="3">
        <v>0.7</v>
      </c>
      <c r="Q367" s="3">
        <v>0.6</v>
      </c>
      <c r="R367" s="4" t="s">
        <v>53</v>
      </c>
      <c r="S367" s="4">
        <v>2700</v>
      </c>
      <c r="T367" s="4">
        <v>2700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2700</v>
      </c>
      <c r="AD367" s="4">
        <v>2700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2700</v>
      </c>
      <c r="AN367" s="4">
        <v>1890</v>
      </c>
      <c r="AO367" s="4">
        <v>0</v>
      </c>
      <c r="AP367" s="4">
        <v>1890</v>
      </c>
      <c r="AQ367" t="str">
        <f>VLOOKUP(N367,'[1]전체(5)'!$N:$AR,30,0)</f>
        <v>스토리위즈</v>
      </c>
      <c r="AR367" t="str">
        <f>VLOOKUP($N367,'[1]전체(5)'!$N:$AR,31,0)</f>
        <v>꽃잠</v>
      </c>
    </row>
    <row r="368" spans="1:44" x14ac:dyDescent="0.4">
      <c r="A368" s="3" t="s">
        <v>42</v>
      </c>
      <c r="B368" s="3" t="s">
        <v>43</v>
      </c>
      <c r="C368" s="3" t="s">
        <v>44</v>
      </c>
      <c r="D368" s="3" t="s">
        <v>45</v>
      </c>
      <c r="E368" s="3"/>
      <c r="F368" s="3" t="s">
        <v>46</v>
      </c>
      <c r="G368" s="3" t="s">
        <v>47</v>
      </c>
      <c r="H368" s="3" t="s">
        <v>48</v>
      </c>
      <c r="I368" s="3" t="s">
        <v>49</v>
      </c>
      <c r="J368" s="3">
        <v>58824793</v>
      </c>
      <c r="K368" s="3" t="s">
        <v>267</v>
      </c>
      <c r="L368" s="3"/>
      <c r="M368" s="3"/>
      <c r="N368" s="3" t="s">
        <v>90</v>
      </c>
      <c r="O368" s="3" t="s">
        <v>52</v>
      </c>
      <c r="P368" s="3">
        <v>0.7</v>
      </c>
      <c r="Q368" s="3">
        <v>0.6</v>
      </c>
      <c r="R368" s="4" t="s">
        <v>56</v>
      </c>
      <c r="S368" s="4">
        <v>2200</v>
      </c>
      <c r="T368" s="4">
        <v>4400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4400</v>
      </c>
      <c r="AD368" s="4">
        <v>4400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4400</v>
      </c>
      <c r="AN368" s="4">
        <v>3080</v>
      </c>
      <c r="AO368" s="4">
        <v>0</v>
      </c>
      <c r="AP368" s="4">
        <v>3080</v>
      </c>
      <c r="AQ368" t="str">
        <f>VLOOKUP(N368,'[1]전체(5)'!$N:$AR,30,0)</f>
        <v>스토리위즈</v>
      </c>
      <c r="AR368" t="str">
        <f>VLOOKUP($N368,'[1]전체(5)'!$N:$AR,31,0)</f>
        <v>부엉이콩</v>
      </c>
    </row>
    <row r="369" spans="1:44" x14ac:dyDescent="0.4">
      <c r="A369" s="3" t="s">
        <v>42</v>
      </c>
      <c r="B369" s="3" t="s">
        <v>43</v>
      </c>
      <c r="C369" s="3" t="s">
        <v>44</v>
      </c>
      <c r="D369" s="3" t="s">
        <v>45</v>
      </c>
      <c r="E369" s="3"/>
      <c r="F369" s="3" t="s">
        <v>46</v>
      </c>
      <c r="G369" s="3" t="s">
        <v>47</v>
      </c>
      <c r="H369" s="3" t="s">
        <v>48</v>
      </c>
      <c r="I369" s="3" t="s">
        <v>49</v>
      </c>
      <c r="J369" s="3">
        <v>51945813</v>
      </c>
      <c r="K369" s="3" t="s">
        <v>138</v>
      </c>
      <c r="L369" s="3"/>
      <c r="M369" s="3"/>
      <c r="N369" s="3" t="s">
        <v>60</v>
      </c>
      <c r="O369" s="3" t="s">
        <v>52</v>
      </c>
      <c r="P369" s="3">
        <v>0.7</v>
      </c>
      <c r="Q369" s="3">
        <v>0.6</v>
      </c>
      <c r="R369" s="4" t="s">
        <v>53</v>
      </c>
      <c r="S369" s="4">
        <v>4500</v>
      </c>
      <c r="T369" s="4">
        <v>4500</v>
      </c>
      <c r="U369" s="4">
        <v>4500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4500</v>
      </c>
      <c r="AE369" s="4">
        <v>4500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3150</v>
      </c>
      <c r="AO369" s="4">
        <v>0</v>
      </c>
      <c r="AP369" s="4">
        <v>3150</v>
      </c>
      <c r="AQ369" t="str">
        <f>VLOOKUP(N369,'[1]전체(5)'!$N:$AR,30,0)</f>
        <v>스토리위즈</v>
      </c>
      <c r="AR369" t="str">
        <f>VLOOKUP($N369,'[1]전체(5)'!$N:$AR,31,0)</f>
        <v>주이서</v>
      </c>
    </row>
    <row r="370" spans="1:44" x14ac:dyDescent="0.4">
      <c r="A370" s="3" t="s">
        <v>42</v>
      </c>
      <c r="B370" s="3" t="s">
        <v>43</v>
      </c>
      <c r="C370" s="3" t="s">
        <v>44</v>
      </c>
      <c r="D370" s="3" t="s">
        <v>45</v>
      </c>
      <c r="E370" s="3"/>
      <c r="F370" s="3" t="s">
        <v>46</v>
      </c>
      <c r="G370" s="3" t="s">
        <v>47</v>
      </c>
      <c r="H370" s="3" t="s">
        <v>48</v>
      </c>
      <c r="I370" s="3" t="s">
        <v>49</v>
      </c>
      <c r="J370" s="3">
        <v>53472058</v>
      </c>
      <c r="K370" s="3" t="s">
        <v>150</v>
      </c>
      <c r="L370" s="3"/>
      <c r="M370" s="3"/>
      <c r="N370" s="3" t="s">
        <v>132</v>
      </c>
      <c r="O370" s="3" t="s">
        <v>52</v>
      </c>
      <c r="P370" s="3">
        <v>0.7</v>
      </c>
      <c r="Q370" s="3">
        <v>0.6</v>
      </c>
      <c r="R370" s="4" t="s">
        <v>53</v>
      </c>
      <c r="S370" s="4">
        <v>4500</v>
      </c>
      <c r="T370" s="4">
        <v>9000</v>
      </c>
      <c r="U370" s="4">
        <v>9000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9000</v>
      </c>
      <c r="AE370" s="4">
        <v>9000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6300</v>
      </c>
      <c r="AO370" s="4">
        <v>0</v>
      </c>
      <c r="AP370" s="4">
        <v>6300</v>
      </c>
      <c r="AQ370" t="str">
        <f>VLOOKUP(N370,'[1]전체(5)'!$N:$AR,30,0)</f>
        <v>스토리위즈</v>
      </c>
      <c r="AR370" t="str">
        <f>VLOOKUP($N370,'[1]전체(5)'!$N:$AR,31,0)</f>
        <v>아슈크림</v>
      </c>
    </row>
    <row r="371" spans="1:44" x14ac:dyDescent="0.4">
      <c r="A371" s="3" t="s">
        <v>42</v>
      </c>
      <c r="B371" s="3" t="s">
        <v>43</v>
      </c>
      <c r="C371" s="3" t="s">
        <v>44</v>
      </c>
      <c r="D371" s="3" t="s">
        <v>45</v>
      </c>
      <c r="E371" s="3"/>
      <c r="F371" s="3" t="s">
        <v>46</v>
      </c>
      <c r="G371" s="3" t="s">
        <v>47</v>
      </c>
      <c r="H371" s="3" t="s">
        <v>48</v>
      </c>
      <c r="I371" s="3" t="s">
        <v>49</v>
      </c>
      <c r="J371" s="3">
        <v>56641966</v>
      </c>
      <c r="K371" s="3" t="s">
        <v>75</v>
      </c>
      <c r="L371" s="3"/>
      <c r="M371" s="3"/>
      <c r="N371" s="3" t="s">
        <v>76</v>
      </c>
      <c r="O371" s="3" t="s">
        <v>52</v>
      </c>
      <c r="P371" s="3">
        <v>0.7</v>
      </c>
      <c r="Q371" s="3">
        <v>0.6</v>
      </c>
      <c r="R371" s="4" t="s">
        <v>56</v>
      </c>
      <c r="S371" s="4">
        <v>100</v>
      </c>
      <c r="T371" s="4">
        <v>4000</v>
      </c>
      <c r="U371" s="4">
        <v>1000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3000</v>
      </c>
      <c r="AD371" s="4">
        <v>4000</v>
      </c>
      <c r="AE371" s="4">
        <v>1000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3000</v>
      </c>
      <c r="AN371" s="4">
        <v>2800</v>
      </c>
      <c r="AO371" s="4">
        <v>0</v>
      </c>
      <c r="AP371" s="4">
        <v>2800</v>
      </c>
      <c r="AQ371" t="str">
        <f>VLOOKUP(N371,'[1]전체(5)'!$N:$AR,30,0)</f>
        <v>스토리위즈</v>
      </c>
      <c r="AR371" t="str">
        <f>VLOOKUP($N371,'[1]전체(5)'!$N:$AR,31,0)</f>
        <v>블랙커피</v>
      </c>
    </row>
    <row r="372" spans="1:44" x14ac:dyDescent="0.4">
      <c r="A372" s="3" t="s">
        <v>42</v>
      </c>
      <c r="B372" s="3" t="s">
        <v>43</v>
      </c>
      <c r="C372" s="3" t="s">
        <v>44</v>
      </c>
      <c r="D372" s="3" t="s">
        <v>45</v>
      </c>
      <c r="E372" s="3"/>
      <c r="F372" s="3" t="s">
        <v>46</v>
      </c>
      <c r="G372" s="3" t="s">
        <v>47</v>
      </c>
      <c r="H372" s="3" t="s">
        <v>48</v>
      </c>
      <c r="I372" s="3" t="s">
        <v>49</v>
      </c>
      <c r="J372" s="3">
        <v>56641966</v>
      </c>
      <c r="K372" s="3" t="s">
        <v>75</v>
      </c>
      <c r="L372" s="3"/>
      <c r="M372" s="3"/>
      <c r="N372" s="3" t="s">
        <v>76</v>
      </c>
      <c r="O372" s="3" t="s">
        <v>52</v>
      </c>
      <c r="P372" s="3">
        <v>0.7</v>
      </c>
      <c r="Q372" s="3">
        <v>0.6</v>
      </c>
      <c r="R372" s="4" t="s">
        <v>53</v>
      </c>
      <c r="S372" s="4">
        <v>900</v>
      </c>
      <c r="T372" s="4">
        <v>3600</v>
      </c>
      <c r="U372" s="4">
        <v>2700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900</v>
      </c>
      <c r="AD372" s="4">
        <v>3600</v>
      </c>
      <c r="AE372" s="4">
        <v>2700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900</v>
      </c>
      <c r="AN372" s="4">
        <v>2520</v>
      </c>
      <c r="AO372" s="4">
        <v>0</v>
      </c>
      <c r="AP372" s="4">
        <v>2520</v>
      </c>
      <c r="AQ372" t="str">
        <f>VLOOKUP(N372,'[1]전체(5)'!$N:$AR,30,0)</f>
        <v>스토리위즈</v>
      </c>
      <c r="AR372" t="str">
        <f>VLOOKUP($N372,'[1]전체(5)'!$N:$AR,31,0)</f>
        <v>블랙커피</v>
      </c>
    </row>
    <row r="373" spans="1:44" x14ac:dyDescent="0.4">
      <c r="A373" s="3" t="s">
        <v>42</v>
      </c>
      <c r="B373" s="3" t="s">
        <v>43</v>
      </c>
      <c r="C373" s="3" t="s">
        <v>44</v>
      </c>
      <c r="D373" s="3" t="s">
        <v>45</v>
      </c>
      <c r="E373" s="3"/>
      <c r="F373" s="3" t="s">
        <v>46</v>
      </c>
      <c r="G373" s="3" t="s">
        <v>47</v>
      </c>
      <c r="H373" s="3" t="s">
        <v>48</v>
      </c>
      <c r="I373" s="3" t="s">
        <v>49</v>
      </c>
      <c r="J373" s="3">
        <v>56641966</v>
      </c>
      <c r="K373" s="3" t="s">
        <v>75</v>
      </c>
      <c r="L373" s="3"/>
      <c r="M373" s="3"/>
      <c r="N373" s="3" t="s">
        <v>76</v>
      </c>
      <c r="O373" s="3" t="s">
        <v>52</v>
      </c>
      <c r="P373" s="3">
        <v>0.7</v>
      </c>
      <c r="Q373" s="3">
        <v>0.6</v>
      </c>
      <c r="R373" s="4" t="s">
        <v>53</v>
      </c>
      <c r="S373" s="4">
        <v>2700</v>
      </c>
      <c r="T373" s="4">
        <v>2700</v>
      </c>
      <c r="U373" s="4">
        <v>2700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2700</v>
      </c>
      <c r="AE373" s="4">
        <v>2700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1890</v>
      </c>
      <c r="AO373" s="4">
        <v>0</v>
      </c>
      <c r="AP373" s="4">
        <v>1890</v>
      </c>
      <c r="AQ373" t="str">
        <f>VLOOKUP(N373,'[1]전체(5)'!$N:$AR,30,0)</f>
        <v>스토리위즈</v>
      </c>
      <c r="AR373" t="str">
        <f>VLOOKUP($N373,'[1]전체(5)'!$N:$AR,31,0)</f>
        <v>블랙커피</v>
      </c>
    </row>
    <row r="374" spans="1:44" x14ac:dyDescent="0.4">
      <c r="A374" s="3" t="s">
        <v>42</v>
      </c>
      <c r="B374" s="3" t="s">
        <v>43</v>
      </c>
      <c r="C374" s="3" t="s">
        <v>44</v>
      </c>
      <c r="D374" s="3" t="s">
        <v>45</v>
      </c>
      <c r="E374" s="3"/>
      <c r="F374" s="3" t="s">
        <v>46</v>
      </c>
      <c r="G374" s="3" t="s">
        <v>47</v>
      </c>
      <c r="H374" s="3" t="s">
        <v>48</v>
      </c>
      <c r="I374" s="3" t="s">
        <v>49</v>
      </c>
      <c r="J374" s="3">
        <v>46736064</v>
      </c>
      <c r="K374" s="3" t="s">
        <v>238</v>
      </c>
      <c r="L374" s="3"/>
      <c r="M374" s="3"/>
      <c r="N374" s="3" t="s">
        <v>70</v>
      </c>
      <c r="O374" s="3" t="s">
        <v>52</v>
      </c>
      <c r="P374" s="3">
        <v>0.7</v>
      </c>
      <c r="Q374" s="3">
        <v>0.6</v>
      </c>
      <c r="R374" s="4" t="s">
        <v>56</v>
      </c>
      <c r="S374" s="4">
        <v>100</v>
      </c>
      <c r="T374" s="4">
        <v>64900</v>
      </c>
      <c r="U374" s="4">
        <v>3800</v>
      </c>
      <c r="V374" s="4">
        <v>0</v>
      </c>
      <c r="W374" s="4">
        <v>0</v>
      </c>
      <c r="X374" s="4">
        <v>0</v>
      </c>
      <c r="Y374" s="4">
        <v>300</v>
      </c>
      <c r="Z374" s="4">
        <v>0</v>
      </c>
      <c r="AA374" s="4">
        <v>0</v>
      </c>
      <c r="AB374" s="4">
        <v>0</v>
      </c>
      <c r="AC374" s="4">
        <v>60800</v>
      </c>
      <c r="AD374" s="4">
        <v>64960</v>
      </c>
      <c r="AE374" s="4">
        <v>3800</v>
      </c>
      <c r="AF374" s="4">
        <v>0</v>
      </c>
      <c r="AG374" s="4">
        <v>0</v>
      </c>
      <c r="AH374" s="4">
        <v>0</v>
      </c>
      <c r="AI374" s="4">
        <v>360</v>
      </c>
      <c r="AJ374" s="4">
        <v>0</v>
      </c>
      <c r="AK374" s="4">
        <v>0</v>
      </c>
      <c r="AL374" s="4">
        <v>0</v>
      </c>
      <c r="AM374" s="4">
        <v>60800</v>
      </c>
      <c r="AN374" s="4">
        <v>45436</v>
      </c>
      <c r="AO374" s="4">
        <v>0</v>
      </c>
      <c r="AP374" s="4">
        <v>45436</v>
      </c>
      <c r="AQ374" t="str">
        <f>VLOOKUP(N374,'[1]전체(5)'!$N:$AR,30,0)</f>
        <v>스토리위즈</v>
      </c>
      <c r="AR374" t="str">
        <f>VLOOKUP($N374,'[1]전체(5)'!$N:$AR,31,0)</f>
        <v>김정률</v>
      </c>
    </row>
    <row r="375" spans="1:44" x14ac:dyDescent="0.4">
      <c r="A375" s="3" t="s">
        <v>42</v>
      </c>
      <c r="B375" s="3" t="s">
        <v>43</v>
      </c>
      <c r="C375" s="3" t="s">
        <v>44</v>
      </c>
      <c r="D375" s="3" t="s">
        <v>45</v>
      </c>
      <c r="E375" s="3"/>
      <c r="F375" s="3" t="s">
        <v>46</v>
      </c>
      <c r="G375" s="3" t="s">
        <v>47</v>
      </c>
      <c r="H375" s="3" t="s">
        <v>48</v>
      </c>
      <c r="I375" s="3" t="s">
        <v>49</v>
      </c>
      <c r="J375" s="3">
        <v>56540488</v>
      </c>
      <c r="K375" s="3" t="s">
        <v>71</v>
      </c>
      <c r="L375" s="3"/>
      <c r="M375" s="3"/>
      <c r="N375" s="3" t="s">
        <v>70</v>
      </c>
      <c r="O375" s="3" t="s">
        <v>52</v>
      </c>
      <c r="P375" s="3">
        <v>0.7</v>
      </c>
      <c r="Q375" s="3">
        <v>0.6</v>
      </c>
      <c r="R375" s="4" t="s">
        <v>74</v>
      </c>
      <c r="S375" s="4">
        <v>900</v>
      </c>
      <c r="T375" s="4">
        <v>44100</v>
      </c>
      <c r="U375" s="4">
        <v>32900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11200</v>
      </c>
      <c r="AD375" s="4">
        <v>44100</v>
      </c>
      <c r="AE375" s="4">
        <v>32900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11200</v>
      </c>
      <c r="AN375" s="4">
        <v>30870</v>
      </c>
      <c r="AO375" s="4">
        <v>0</v>
      </c>
      <c r="AP375" s="4">
        <v>30870</v>
      </c>
      <c r="AQ375" t="str">
        <f>VLOOKUP(N375,'[1]전체(5)'!$N:$AR,30,0)</f>
        <v>스토리위즈</v>
      </c>
      <c r="AR375" t="str">
        <f>VLOOKUP($N375,'[1]전체(5)'!$N:$AR,31,0)</f>
        <v>김정률</v>
      </c>
    </row>
    <row r="376" spans="1:44" x14ac:dyDescent="0.4">
      <c r="A376" s="3" t="s">
        <v>42</v>
      </c>
      <c r="B376" s="3" t="s">
        <v>43</v>
      </c>
      <c r="C376" s="3" t="s">
        <v>44</v>
      </c>
      <c r="D376" s="3" t="s">
        <v>45</v>
      </c>
      <c r="E376" s="3"/>
      <c r="F376" s="3" t="s">
        <v>46</v>
      </c>
      <c r="G376" s="3" t="s">
        <v>47</v>
      </c>
      <c r="H376" s="3" t="s">
        <v>48</v>
      </c>
      <c r="I376" s="3" t="s">
        <v>49</v>
      </c>
      <c r="J376" s="3">
        <v>46736064</v>
      </c>
      <c r="K376" s="3" t="s">
        <v>238</v>
      </c>
      <c r="L376" s="3"/>
      <c r="M376" s="3"/>
      <c r="N376" s="3" t="s">
        <v>70</v>
      </c>
      <c r="O376" s="3" t="s">
        <v>52</v>
      </c>
      <c r="P376" s="3">
        <v>0.7</v>
      </c>
      <c r="Q376" s="3">
        <v>0.6</v>
      </c>
      <c r="R376" s="4" t="s">
        <v>53</v>
      </c>
      <c r="S376" s="4">
        <v>2200</v>
      </c>
      <c r="T376" s="4">
        <v>59400</v>
      </c>
      <c r="U376" s="4">
        <v>46290</v>
      </c>
      <c r="V376" s="4">
        <v>0</v>
      </c>
      <c r="W376" s="4">
        <v>0</v>
      </c>
      <c r="X376" s="4">
        <v>0</v>
      </c>
      <c r="Y376" s="4">
        <v>0</v>
      </c>
      <c r="Z376" s="4">
        <v>6600</v>
      </c>
      <c r="AA376" s="4">
        <v>0</v>
      </c>
      <c r="AB376" s="4">
        <v>0</v>
      </c>
      <c r="AC376" s="4">
        <v>6510</v>
      </c>
      <c r="AD376" s="4">
        <v>60060</v>
      </c>
      <c r="AE376" s="4">
        <v>46290</v>
      </c>
      <c r="AF376" s="4">
        <v>0</v>
      </c>
      <c r="AG376" s="4">
        <v>0</v>
      </c>
      <c r="AH376" s="4">
        <v>0</v>
      </c>
      <c r="AI376" s="4">
        <v>0</v>
      </c>
      <c r="AJ376" s="4">
        <v>7260</v>
      </c>
      <c r="AK376" s="4">
        <v>0</v>
      </c>
      <c r="AL376" s="4">
        <v>0</v>
      </c>
      <c r="AM376" s="4">
        <v>6510</v>
      </c>
      <c r="AN376" s="4">
        <v>41316</v>
      </c>
      <c r="AO376" s="4">
        <v>0</v>
      </c>
      <c r="AP376" s="4">
        <v>41316</v>
      </c>
      <c r="AQ376" t="str">
        <f>VLOOKUP(N376,'[1]전체(5)'!$N:$AR,30,0)</f>
        <v>스토리위즈</v>
      </c>
      <c r="AR376" t="str">
        <f>VLOOKUP($N376,'[1]전체(5)'!$N:$AR,31,0)</f>
        <v>김정률</v>
      </c>
    </row>
    <row r="377" spans="1:44" x14ac:dyDescent="0.4">
      <c r="A377" s="3" t="s">
        <v>42</v>
      </c>
      <c r="B377" s="3" t="s">
        <v>43</v>
      </c>
      <c r="C377" s="3" t="s">
        <v>44</v>
      </c>
      <c r="D377" s="3" t="s">
        <v>45</v>
      </c>
      <c r="E377" s="3"/>
      <c r="F377" s="3" t="s">
        <v>46</v>
      </c>
      <c r="G377" s="3" t="s">
        <v>47</v>
      </c>
      <c r="H377" s="3" t="s">
        <v>48</v>
      </c>
      <c r="I377" s="3" t="s">
        <v>49</v>
      </c>
      <c r="J377" s="3">
        <v>54345611</v>
      </c>
      <c r="K377" s="3" t="s">
        <v>223</v>
      </c>
      <c r="L377" s="3"/>
      <c r="M377" s="3"/>
      <c r="N377" s="3" t="s">
        <v>187</v>
      </c>
      <c r="O377" s="3" t="s">
        <v>52</v>
      </c>
      <c r="P377" s="3">
        <v>0.7</v>
      </c>
      <c r="Q377" s="3">
        <v>0.6</v>
      </c>
      <c r="R377" s="4" t="s">
        <v>56</v>
      </c>
      <c r="S377" s="4">
        <v>100</v>
      </c>
      <c r="T377" s="4">
        <v>8700</v>
      </c>
      <c r="U377" s="4">
        <v>6500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2200</v>
      </c>
      <c r="AD377" s="4">
        <v>8700</v>
      </c>
      <c r="AE377" s="4">
        <v>6500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2200</v>
      </c>
      <c r="AN377" s="4">
        <v>6090</v>
      </c>
      <c r="AO377" s="4">
        <v>0</v>
      </c>
      <c r="AP377" s="4">
        <v>6090</v>
      </c>
      <c r="AQ377" t="str">
        <f>VLOOKUP(N377,'[1]전체(5)'!$N:$AR,30,0)</f>
        <v>스토리위즈</v>
      </c>
      <c r="AR377" t="str">
        <f>VLOOKUP($N377,'[1]전체(5)'!$N:$AR,31,0)</f>
        <v>차홍주</v>
      </c>
    </row>
    <row r="378" spans="1:44" x14ac:dyDescent="0.4">
      <c r="A378" s="3" t="s">
        <v>42</v>
      </c>
      <c r="B378" s="3" t="s">
        <v>43</v>
      </c>
      <c r="C378" s="3" t="s">
        <v>44</v>
      </c>
      <c r="D378" s="3" t="s">
        <v>45</v>
      </c>
      <c r="E378" s="3"/>
      <c r="F378" s="3" t="s">
        <v>46</v>
      </c>
      <c r="G378" s="3" t="s">
        <v>47</v>
      </c>
      <c r="H378" s="3" t="s">
        <v>48</v>
      </c>
      <c r="I378" s="3" t="s">
        <v>49</v>
      </c>
      <c r="J378" s="3">
        <v>46736064</v>
      </c>
      <c r="K378" s="3" t="s">
        <v>238</v>
      </c>
      <c r="L378" s="3"/>
      <c r="M378" s="3"/>
      <c r="N378" s="3" t="s">
        <v>70</v>
      </c>
      <c r="O378" s="3" t="s">
        <v>52</v>
      </c>
      <c r="P378" s="3">
        <v>0.7</v>
      </c>
      <c r="Q378" s="3">
        <v>0.6</v>
      </c>
      <c r="R378" s="4" t="s">
        <v>53</v>
      </c>
      <c r="S378" s="4">
        <v>7000</v>
      </c>
      <c r="T378" s="4">
        <v>70000</v>
      </c>
      <c r="U378" s="4">
        <v>41300</v>
      </c>
      <c r="V378" s="4">
        <v>0</v>
      </c>
      <c r="W378" s="4">
        <v>0</v>
      </c>
      <c r="X378" s="4">
        <v>0</v>
      </c>
      <c r="Y378" s="4">
        <v>8700</v>
      </c>
      <c r="Z378" s="4">
        <v>19300</v>
      </c>
      <c r="AA378" s="4">
        <v>0</v>
      </c>
      <c r="AB378" s="4">
        <v>0</v>
      </c>
      <c r="AC378" s="4">
        <v>700</v>
      </c>
      <c r="AD378" s="4">
        <v>73670</v>
      </c>
      <c r="AE378" s="4">
        <v>41300</v>
      </c>
      <c r="AF378" s="4">
        <v>0</v>
      </c>
      <c r="AG378" s="4">
        <v>0</v>
      </c>
      <c r="AH378" s="4">
        <v>0</v>
      </c>
      <c r="AI378" s="4">
        <v>10440</v>
      </c>
      <c r="AJ378" s="4">
        <v>21230</v>
      </c>
      <c r="AK378" s="4">
        <v>0</v>
      </c>
      <c r="AL378" s="4">
        <v>0</v>
      </c>
      <c r="AM378" s="4">
        <v>700</v>
      </c>
      <c r="AN378" s="4">
        <v>48402</v>
      </c>
      <c r="AO378" s="4">
        <v>0</v>
      </c>
      <c r="AP378" s="4">
        <v>48402</v>
      </c>
      <c r="AQ378" t="str">
        <f>VLOOKUP(N378,'[1]전체(5)'!$N:$AR,30,0)</f>
        <v>스토리위즈</v>
      </c>
      <c r="AR378" t="str">
        <f>VLOOKUP($N378,'[1]전체(5)'!$N:$AR,31,0)</f>
        <v>김정률</v>
      </c>
    </row>
    <row r="379" spans="1:44" x14ac:dyDescent="0.4">
      <c r="A379" s="3" t="s">
        <v>42</v>
      </c>
      <c r="B379" s="3" t="s">
        <v>43</v>
      </c>
      <c r="C379" s="3" t="s">
        <v>44</v>
      </c>
      <c r="D379" s="3" t="s">
        <v>45</v>
      </c>
      <c r="E379" s="3"/>
      <c r="F379" s="3" t="s">
        <v>46</v>
      </c>
      <c r="G379" s="3" t="s">
        <v>47</v>
      </c>
      <c r="H379" s="3" t="s">
        <v>48</v>
      </c>
      <c r="I379" s="3" t="s">
        <v>49</v>
      </c>
      <c r="J379" s="3">
        <v>52914315</v>
      </c>
      <c r="K379" s="3" t="s">
        <v>119</v>
      </c>
      <c r="L379" s="3"/>
      <c r="M379" s="3"/>
      <c r="N379" s="3" t="s">
        <v>120</v>
      </c>
      <c r="O379" s="3" t="s">
        <v>52</v>
      </c>
      <c r="P379" s="3">
        <v>0.7</v>
      </c>
      <c r="Q379" s="3">
        <v>0.6</v>
      </c>
      <c r="R379" s="4" t="s">
        <v>56</v>
      </c>
      <c r="S379" s="4">
        <v>100</v>
      </c>
      <c r="T379" s="4">
        <v>200</v>
      </c>
      <c r="U379" s="4">
        <v>200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200</v>
      </c>
      <c r="AE379" s="4">
        <v>200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140</v>
      </c>
      <c r="AO379" s="4">
        <v>0</v>
      </c>
      <c r="AP379" s="4">
        <v>140</v>
      </c>
      <c r="AQ379" t="str">
        <f>VLOOKUP(N379,'[1]전체(5)'!$N:$AR,30,0)</f>
        <v>스토리위즈</v>
      </c>
      <c r="AR379" t="str">
        <f>VLOOKUP($N379,'[1]전체(5)'!$N:$AR,31,0)</f>
        <v>빨강뽀뽀</v>
      </c>
    </row>
    <row r="380" spans="1:44" x14ac:dyDescent="0.4">
      <c r="A380" s="3" t="s">
        <v>42</v>
      </c>
      <c r="B380" s="3" t="s">
        <v>43</v>
      </c>
      <c r="C380" s="3" t="s">
        <v>44</v>
      </c>
      <c r="D380" s="3" t="s">
        <v>45</v>
      </c>
      <c r="E380" s="3"/>
      <c r="F380" s="3" t="s">
        <v>46</v>
      </c>
      <c r="G380" s="3" t="s">
        <v>47</v>
      </c>
      <c r="H380" s="3" t="s">
        <v>48</v>
      </c>
      <c r="I380" s="3" t="s">
        <v>49</v>
      </c>
      <c r="J380" s="3">
        <v>54345611</v>
      </c>
      <c r="K380" s="3" t="s">
        <v>223</v>
      </c>
      <c r="L380" s="3"/>
      <c r="M380" s="3"/>
      <c r="N380" s="3" t="s">
        <v>187</v>
      </c>
      <c r="O380" s="3" t="s">
        <v>52</v>
      </c>
      <c r="P380" s="3">
        <v>0.7</v>
      </c>
      <c r="Q380" s="3">
        <v>0.6</v>
      </c>
      <c r="R380" s="4" t="s">
        <v>53</v>
      </c>
      <c r="S380" s="4">
        <v>900</v>
      </c>
      <c r="T380" s="4">
        <v>8100</v>
      </c>
      <c r="U380" s="4">
        <v>5300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2800</v>
      </c>
      <c r="AD380" s="4">
        <v>8100</v>
      </c>
      <c r="AE380" s="4">
        <v>5300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2800</v>
      </c>
      <c r="AN380" s="4">
        <v>5670</v>
      </c>
      <c r="AO380" s="4">
        <v>0</v>
      </c>
      <c r="AP380" s="4">
        <v>5670</v>
      </c>
      <c r="AQ380" t="str">
        <f>VLOOKUP(N380,'[1]전체(5)'!$N:$AR,30,0)</f>
        <v>스토리위즈</v>
      </c>
      <c r="AR380" t="str">
        <f>VLOOKUP($N380,'[1]전체(5)'!$N:$AR,31,0)</f>
        <v>차홍주</v>
      </c>
    </row>
    <row r="381" spans="1:44" x14ac:dyDescent="0.4">
      <c r="A381" s="3" t="s">
        <v>42</v>
      </c>
      <c r="B381" s="3" t="s">
        <v>43</v>
      </c>
      <c r="C381" s="3" t="s">
        <v>44</v>
      </c>
      <c r="D381" s="3" t="s">
        <v>45</v>
      </c>
      <c r="E381" s="3"/>
      <c r="F381" s="3" t="s">
        <v>46</v>
      </c>
      <c r="G381" s="3" t="s">
        <v>47</v>
      </c>
      <c r="H381" s="3" t="s">
        <v>48</v>
      </c>
      <c r="I381" s="3" t="s">
        <v>49</v>
      </c>
      <c r="J381" s="3">
        <v>54345611</v>
      </c>
      <c r="K381" s="3" t="s">
        <v>223</v>
      </c>
      <c r="L381" s="3"/>
      <c r="M381" s="3"/>
      <c r="N381" s="3" t="s">
        <v>187</v>
      </c>
      <c r="O381" s="3" t="s">
        <v>52</v>
      </c>
      <c r="P381" s="3">
        <v>0.7</v>
      </c>
      <c r="Q381" s="3">
        <v>0.6</v>
      </c>
      <c r="R381" s="4" t="s">
        <v>53</v>
      </c>
      <c r="S381" s="4">
        <v>2700</v>
      </c>
      <c r="T381" s="4">
        <v>7100</v>
      </c>
      <c r="U381" s="4">
        <v>2700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4400</v>
      </c>
      <c r="AD381" s="4">
        <v>7100</v>
      </c>
      <c r="AE381" s="4">
        <v>2700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4400</v>
      </c>
      <c r="AN381" s="4">
        <v>4970</v>
      </c>
      <c r="AO381" s="4">
        <v>0</v>
      </c>
      <c r="AP381" s="4">
        <v>4970</v>
      </c>
      <c r="AQ381" t="str">
        <f>VLOOKUP(N381,'[1]전체(5)'!$N:$AR,30,0)</f>
        <v>스토리위즈</v>
      </c>
      <c r="AR381" t="str">
        <f>VLOOKUP($N381,'[1]전체(5)'!$N:$AR,31,0)</f>
        <v>차홍주</v>
      </c>
    </row>
    <row r="382" spans="1:44" x14ac:dyDescent="0.4">
      <c r="A382" s="3" t="s">
        <v>42</v>
      </c>
      <c r="B382" s="3" t="s">
        <v>43</v>
      </c>
      <c r="C382" s="3" t="s">
        <v>44</v>
      </c>
      <c r="D382" s="3" t="s">
        <v>45</v>
      </c>
      <c r="E382" s="3"/>
      <c r="F382" s="3" t="s">
        <v>46</v>
      </c>
      <c r="G382" s="3" t="s">
        <v>47</v>
      </c>
      <c r="H382" s="3" t="s">
        <v>48</v>
      </c>
      <c r="I382" s="3" t="s">
        <v>49</v>
      </c>
      <c r="J382" s="3">
        <v>54345611</v>
      </c>
      <c r="K382" s="3" t="s">
        <v>223</v>
      </c>
      <c r="L382" s="3"/>
      <c r="M382" s="3"/>
      <c r="N382" s="3" t="s">
        <v>187</v>
      </c>
      <c r="O382" s="3" t="s">
        <v>52</v>
      </c>
      <c r="P382" s="3">
        <v>0.7</v>
      </c>
      <c r="Q382" s="3">
        <v>0.6</v>
      </c>
      <c r="R382" s="4" t="s">
        <v>53</v>
      </c>
      <c r="S382" s="4">
        <v>4500</v>
      </c>
      <c r="T382" s="4">
        <v>6200</v>
      </c>
      <c r="U382" s="4">
        <v>6200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6200</v>
      </c>
      <c r="AE382" s="4">
        <v>6200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4340</v>
      </c>
      <c r="AO382" s="4">
        <v>0</v>
      </c>
      <c r="AP382" s="4">
        <v>4340</v>
      </c>
      <c r="AQ382" t="str">
        <f>VLOOKUP(N382,'[1]전체(5)'!$N:$AR,30,0)</f>
        <v>스토리위즈</v>
      </c>
      <c r="AR382" t="str">
        <f>VLOOKUP($N382,'[1]전체(5)'!$N:$AR,31,0)</f>
        <v>차홍주</v>
      </c>
    </row>
    <row r="383" spans="1:44" x14ac:dyDescent="0.4">
      <c r="A383" s="3" t="s">
        <v>42</v>
      </c>
      <c r="B383" s="3" t="s">
        <v>43</v>
      </c>
      <c r="C383" s="3" t="s">
        <v>44</v>
      </c>
      <c r="D383" s="3" t="s">
        <v>45</v>
      </c>
      <c r="E383" s="3"/>
      <c r="F383" s="3" t="s">
        <v>46</v>
      </c>
      <c r="G383" s="3" t="s">
        <v>47</v>
      </c>
      <c r="H383" s="3" t="s">
        <v>48</v>
      </c>
      <c r="I383" s="3" t="s">
        <v>49</v>
      </c>
      <c r="J383" s="3">
        <v>56372121</v>
      </c>
      <c r="K383" s="3" t="s">
        <v>92</v>
      </c>
      <c r="L383" s="3"/>
      <c r="M383" s="3"/>
      <c r="N383" s="3" t="s">
        <v>93</v>
      </c>
      <c r="O383" s="3" t="s">
        <v>52</v>
      </c>
      <c r="P383" s="3">
        <v>0.7</v>
      </c>
      <c r="Q383" s="3">
        <v>0.6</v>
      </c>
      <c r="R383" s="4" t="s">
        <v>56</v>
      </c>
      <c r="S383" s="4">
        <v>100</v>
      </c>
      <c r="T383" s="4">
        <v>5000</v>
      </c>
      <c r="U383" s="4">
        <v>2700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2300</v>
      </c>
      <c r="AD383" s="4">
        <v>5000</v>
      </c>
      <c r="AE383" s="4">
        <v>2700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2300</v>
      </c>
      <c r="AN383" s="4">
        <v>3500</v>
      </c>
      <c r="AO383" s="4">
        <v>0</v>
      </c>
      <c r="AP383" s="4">
        <v>3500</v>
      </c>
      <c r="AQ383" t="str">
        <f>VLOOKUP(N383,'[1]전체(5)'!$N:$AR,30,0)</f>
        <v>스토리위즈</v>
      </c>
      <c r="AR383" t="str">
        <f>VLOOKUP($N383,'[1]전체(5)'!$N:$AR,31,0)</f>
        <v>청빙</v>
      </c>
    </row>
    <row r="384" spans="1:44" x14ac:dyDescent="0.4">
      <c r="A384" s="3" t="s">
        <v>42</v>
      </c>
      <c r="B384" s="3" t="s">
        <v>43</v>
      </c>
      <c r="C384" s="3" t="s">
        <v>44</v>
      </c>
      <c r="D384" s="3" t="s">
        <v>45</v>
      </c>
      <c r="E384" s="3"/>
      <c r="F384" s="3" t="s">
        <v>46</v>
      </c>
      <c r="G384" s="3" t="s">
        <v>47</v>
      </c>
      <c r="H384" s="3" t="s">
        <v>48</v>
      </c>
      <c r="I384" s="3" t="s">
        <v>49</v>
      </c>
      <c r="J384" s="3">
        <v>56372121</v>
      </c>
      <c r="K384" s="3" t="s">
        <v>92</v>
      </c>
      <c r="L384" s="3"/>
      <c r="M384" s="3"/>
      <c r="N384" s="3" t="s">
        <v>93</v>
      </c>
      <c r="O384" s="3" t="s">
        <v>52</v>
      </c>
      <c r="P384" s="3">
        <v>0.7</v>
      </c>
      <c r="Q384" s="3">
        <v>0.6</v>
      </c>
      <c r="R384" s="4" t="s">
        <v>53</v>
      </c>
      <c r="S384" s="4">
        <v>2400</v>
      </c>
      <c r="T384" s="4">
        <v>10900</v>
      </c>
      <c r="U384" s="4">
        <v>9800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1100</v>
      </c>
      <c r="AD384" s="4">
        <v>10900</v>
      </c>
      <c r="AE384" s="4">
        <v>9800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1100</v>
      </c>
      <c r="AN384" s="4">
        <v>7630</v>
      </c>
      <c r="AO384" s="4">
        <v>0</v>
      </c>
      <c r="AP384" s="4">
        <v>7630</v>
      </c>
      <c r="AQ384" t="str">
        <f>VLOOKUP(N384,'[1]전체(5)'!$N:$AR,30,0)</f>
        <v>스토리위즈</v>
      </c>
      <c r="AR384" t="str">
        <f>VLOOKUP($N384,'[1]전체(5)'!$N:$AR,31,0)</f>
        <v>청빙</v>
      </c>
    </row>
    <row r="385" spans="1:44" x14ac:dyDescent="0.4">
      <c r="A385" s="3" t="s">
        <v>42</v>
      </c>
      <c r="B385" s="3" t="s">
        <v>43</v>
      </c>
      <c r="C385" s="3" t="s">
        <v>44</v>
      </c>
      <c r="D385" s="3" t="s">
        <v>45</v>
      </c>
      <c r="E385" s="3"/>
      <c r="F385" s="3" t="s">
        <v>46</v>
      </c>
      <c r="G385" s="3" t="s">
        <v>47</v>
      </c>
      <c r="H385" s="3" t="s">
        <v>48</v>
      </c>
      <c r="I385" s="3" t="s">
        <v>49</v>
      </c>
      <c r="J385" s="3">
        <v>56372121</v>
      </c>
      <c r="K385" s="3" t="s">
        <v>92</v>
      </c>
      <c r="L385" s="3"/>
      <c r="M385" s="3"/>
      <c r="N385" s="3" t="s">
        <v>93</v>
      </c>
      <c r="O385" s="3" t="s">
        <v>52</v>
      </c>
      <c r="P385" s="3">
        <v>0.7</v>
      </c>
      <c r="Q385" s="3">
        <v>0.6</v>
      </c>
      <c r="R385" s="4" t="s">
        <v>53</v>
      </c>
      <c r="S385" s="4">
        <v>9200</v>
      </c>
      <c r="T385" s="4">
        <v>2700</v>
      </c>
      <c r="U385" s="4">
        <v>2700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2700</v>
      </c>
      <c r="AE385" s="4">
        <v>2700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1890</v>
      </c>
      <c r="AO385" s="4">
        <v>0</v>
      </c>
      <c r="AP385" s="4">
        <v>1890</v>
      </c>
      <c r="AQ385" t="str">
        <f>VLOOKUP(N385,'[1]전체(5)'!$N:$AR,30,0)</f>
        <v>스토리위즈</v>
      </c>
      <c r="AR385" t="str">
        <f>VLOOKUP($N385,'[1]전체(5)'!$N:$AR,31,0)</f>
        <v>청빙</v>
      </c>
    </row>
    <row r="386" spans="1:44" x14ac:dyDescent="0.4">
      <c r="A386" s="3" t="s">
        <v>42</v>
      </c>
      <c r="B386" s="3" t="s">
        <v>43</v>
      </c>
      <c r="C386" s="3" t="s">
        <v>44</v>
      </c>
      <c r="D386" s="3" t="s">
        <v>45</v>
      </c>
      <c r="E386" s="3"/>
      <c r="F386" s="3" t="s">
        <v>46</v>
      </c>
      <c r="G386" s="3" t="s">
        <v>47</v>
      </c>
      <c r="H386" s="3" t="s">
        <v>48</v>
      </c>
      <c r="I386" s="3" t="s">
        <v>49</v>
      </c>
      <c r="J386" s="3">
        <v>46742689</v>
      </c>
      <c r="K386" s="3" t="s">
        <v>242</v>
      </c>
      <c r="L386" s="3"/>
      <c r="M386" s="3"/>
      <c r="N386" s="3" t="s">
        <v>70</v>
      </c>
      <c r="O386" s="3" t="s">
        <v>52</v>
      </c>
      <c r="P386" s="3">
        <v>0.7</v>
      </c>
      <c r="Q386" s="3">
        <v>0.6</v>
      </c>
      <c r="R386" s="4" t="s">
        <v>56</v>
      </c>
      <c r="S386" s="4">
        <v>100</v>
      </c>
      <c r="T386" s="4">
        <v>43100</v>
      </c>
      <c r="U386" s="4">
        <v>4600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38500</v>
      </c>
      <c r="AD386" s="4">
        <v>43100</v>
      </c>
      <c r="AE386" s="4">
        <v>4600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38500</v>
      </c>
      <c r="AN386" s="4">
        <v>30170</v>
      </c>
      <c r="AO386" s="4">
        <v>0</v>
      </c>
      <c r="AP386" s="4">
        <v>30170</v>
      </c>
      <c r="AQ386" t="str">
        <f>VLOOKUP(N386,'[1]전체(5)'!$N:$AR,30,0)</f>
        <v>스토리위즈</v>
      </c>
      <c r="AR386" t="str">
        <f>VLOOKUP($N386,'[1]전체(5)'!$N:$AR,31,0)</f>
        <v>김정률</v>
      </c>
    </row>
    <row r="387" spans="1:44" x14ac:dyDescent="0.4">
      <c r="A387" s="3" t="s">
        <v>42</v>
      </c>
      <c r="B387" s="3" t="s">
        <v>43</v>
      </c>
      <c r="C387" s="3" t="s">
        <v>44</v>
      </c>
      <c r="D387" s="3" t="s">
        <v>45</v>
      </c>
      <c r="E387" s="3"/>
      <c r="F387" s="3" t="s">
        <v>46</v>
      </c>
      <c r="G387" s="3" t="s">
        <v>47</v>
      </c>
      <c r="H387" s="3" t="s">
        <v>48</v>
      </c>
      <c r="I387" s="3" t="s">
        <v>49</v>
      </c>
      <c r="J387" s="3">
        <v>46742689</v>
      </c>
      <c r="K387" s="3" t="s">
        <v>242</v>
      </c>
      <c r="L387" s="3"/>
      <c r="M387" s="3"/>
      <c r="N387" s="3" t="s">
        <v>70</v>
      </c>
      <c r="O387" s="3" t="s">
        <v>52</v>
      </c>
      <c r="P387" s="3">
        <v>0.7</v>
      </c>
      <c r="Q387" s="3">
        <v>0.6</v>
      </c>
      <c r="R387" s="4" t="s">
        <v>53</v>
      </c>
      <c r="S387" s="4">
        <v>2300</v>
      </c>
      <c r="T387" s="4">
        <v>11500</v>
      </c>
      <c r="U387" s="4">
        <v>6200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5300</v>
      </c>
      <c r="AD387" s="4">
        <v>11500</v>
      </c>
      <c r="AE387" s="4">
        <v>6200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5300</v>
      </c>
      <c r="AN387" s="4">
        <v>8050</v>
      </c>
      <c r="AO387" s="4">
        <v>0</v>
      </c>
      <c r="AP387" s="4">
        <v>8050</v>
      </c>
      <c r="AQ387" t="str">
        <f>VLOOKUP(N387,'[1]전체(5)'!$N:$AR,30,0)</f>
        <v>스토리위즈</v>
      </c>
      <c r="AR387" t="str">
        <f>VLOOKUP($N387,'[1]전체(5)'!$N:$AR,31,0)</f>
        <v>김정률</v>
      </c>
    </row>
    <row r="388" spans="1:44" x14ac:dyDescent="0.4">
      <c r="A388" s="3" t="s">
        <v>42</v>
      </c>
      <c r="B388" s="3" t="s">
        <v>43</v>
      </c>
      <c r="C388" s="3" t="s">
        <v>44</v>
      </c>
      <c r="D388" s="3" t="s">
        <v>45</v>
      </c>
      <c r="E388" s="3"/>
      <c r="F388" s="3" t="s">
        <v>46</v>
      </c>
      <c r="G388" s="3" t="s">
        <v>47</v>
      </c>
      <c r="H388" s="3" t="s">
        <v>48</v>
      </c>
      <c r="I388" s="3" t="s">
        <v>49</v>
      </c>
      <c r="J388" s="3">
        <v>48674463</v>
      </c>
      <c r="K388" s="3" t="s">
        <v>169</v>
      </c>
      <c r="L388" s="3"/>
      <c r="M388" s="3"/>
      <c r="N388" s="3" t="s">
        <v>70</v>
      </c>
      <c r="O388" s="3" t="s">
        <v>52</v>
      </c>
      <c r="P388" s="3">
        <v>0.7</v>
      </c>
      <c r="Q388" s="3">
        <v>0.6</v>
      </c>
      <c r="R388" s="4" t="s">
        <v>56</v>
      </c>
      <c r="S388" s="4">
        <v>100</v>
      </c>
      <c r="T388" s="4">
        <v>222900</v>
      </c>
      <c r="U388" s="4">
        <v>38500</v>
      </c>
      <c r="V388" s="4">
        <v>0</v>
      </c>
      <c r="W388" s="4">
        <v>0</v>
      </c>
      <c r="X388" s="4">
        <v>0</v>
      </c>
      <c r="Y388" s="4">
        <v>400</v>
      </c>
      <c r="Z388" s="4">
        <v>1500</v>
      </c>
      <c r="AA388" s="4">
        <v>0</v>
      </c>
      <c r="AB388" s="4">
        <v>0</v>
      </c>
      <c r="AC388" s="4">
        <v>182500</v>
      </c>
      <c r="AD388" s="4">
        <v>223130</v>
      </c>
      <c r="AE388" s="4">
        <v>38500</v>
      </c>
      <c r="AF388" s="4">
        <v>0</v>
      </c>
      <c r="AG388" s="4">
        <v>0</v>
      </c>
      <c r="AH388" s="4">
        <v>0</v>
      </c>
      <c r="AI388" s="4">
        <v>480</v>
      </c>
      <c r="AJ388" s="4">
        <v>1650</v>
      </c>
      <c r="AK388" s="4">
        <v>0</v>
      </c>
      <c r="AL388" s="4">
        <v>0</v>
      </c>
      <c r="AM388" s="4">
        <v>182500</v>
      </c>
      <c r="AN388" s="4">
        <v>155978</v>
      </c>
      <c r="AO388" s="4">
        <v>0</v>
      </c>
      <c r="AP388" s="4">
        <v>155978</v>
      </c>
      <c r="AQ388" t="str">
        <f>VLOOKUP(N388,'[1]전체(5)'!$N:$AR,30,0)</f>
        <v>스토리위즈</v>
      </c>
      <c r="AR388" t="str">
        <f>VLOOKUP($N388,'[1]전체(5)'!$N:$AR,31,0)</f>
        <v>김정률</v>
      </c>
    </row>
    <row r="389" spans="1:44" x14ac:dyDescent="0.4">
      <c r="A389" s="3" t="s">
        <v>42</v>
      </c>
      <c r="B389" s="3" t="s">
        <v>43</v>
      </c>
      <c r="C389" s="3" t="s">
        <v>44</v>
      </c>
      <c r="D389" s="3" t="s">
        <v>45</v>
      </c>
      <c r="E389" s="3"/>
      <c r="F389" s="3" t="s">
        <v>46</v>
      </c>
      <c r="G389" s="3" t="s">
        <v>47</v>
      </c>
      <c r="H389" s="3" t="s">
        <v>48</v>
      </c>
      <c r="I389" s="3" t="s">
        <v>49</v>
      </c>
      <c r="J389" s="3">
        <v>46742689</v>
      </c>
      <c r="K389" s="3" t="s">
        <v>242</v>
      </c>
      <c r="L389" s="3"/>
      <c r="M389" s="3"/>
      <c r="N389" s="3" t="s">
        <v>70</v>
      </c>
      <c r="O389" s="3" t="s">
        <v>52</v>
      </c>
      <c r="P389" s="3">
        <v>0.7</v>
      </c>
      <c r="Q389" s="3">
        <v>0.6</v>
      </c>
      <c r="R389" s="4" t="s">
        <v>53</v>
      </c>
      <c r="S389" s="4">
        <v>4500</v>
      </c>
      <c r="T389" s="4">
        <v>31500</v>
      </c>
      <c r="U389" s="4">
        <v>29800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1700</v>
      </c>
      <c r="AD389" s="4">
        <v>31500</v>
      </c>
      <c r="AE389" s="4">
        <v>29800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1700</v>
      </c>
      <c r="AN389" s="4">
        <v>22050</v>
      </c>
      <c r="AO389" s="4">
        <v>0</v>
      </c>
      <c r="AP389" s="4">
        <v>22050</v>
      </c>
      <c r="AQ389" t="str">
        <f>VLOOKUP(N389,'[1]전체(5)'!$N:$AR,30,0)</f>
        <v>스토리위즈</v>
      </c>
      <c r="AR389" t="str">
        <f>VLOOKUP($N389,'[1]전체(5)'!$N:$AR,31,0)</f>
        <v>김정률</v>
      </c>
    </row>
    <row r="390" spans="1:44" x14ac:dyDescent="0.4">
      <c r="A390" s="3" t="s">
        <v>42</v>
      </c>
      <c r="B390" s="3" t="s">
        <v>43</v>
      </c>
      <c r="C390" s="3" t="s">
        <v>44</v>
      </c>
      <c r="D390" s="3" t="s">
        <v>45</v>
      </c>
      <c r="E390" s="3"/>
      <c r="F390" s="3" t="s">
        <v>46</v>
      </c>
      <c r="G390" s="3" t="s">
        <v>47</v>
      </c>
      <c r="H390" s="3" t="s">
        <v>48</v>
      </c>
      <c r="I390" s="3" t="s">
        <v>49</v>
      </c>
      <c r="J390" s="3">
        <v>48674463</v>
      </c>
      <c r="K390" s="3" t="s">
        <v>169</v>
      </c>
      <c r="L390" s="3"/>
      <c r="M390" s="3"/>
      <c r="N390" s="3" t="s">
        <v>70</v>
      </c>
      <c r="O390" s="3" t="s">
        <v>52</v>
      </c>
      <c r="P390" s="3">
        <v>0.7</v>
      </c>
      <c r="Q390" s="3">
        <v>0.6</v>
      </c>
      <c r="R390" s="4" t="s">
        <v>53</v>
      </c>
      <c r="S390" s="4">
        <v>2300</v>
      </c>
      <c r="T390" s="4">
        <v>347300</v>
      </c>
      <c r="U390" s="4">
        <v>290580</v>
      </c>
      <c r="V390" s="4">
        <v>0</v>
      </c>
      <c r="W390" s="4">
        <v>0</v>
      </c>
      <c r="X390" s="4">
        <v>0</v>
      </c>
      <c r="Y390" s="4">
        <v>4100</v>
      </c>
      <c r="Z390" s="4">
        <v>0</v>
      </c>
      <c r="AA390" s="4">
        <v>0</v>
      </c>
      <c r="AB390" s="4">
        <v>0</v>
      </c>
      <c r="AC390" s="4">
        <v>52620</v>
      </c>
      <c r="AD390" s="4">
        <v>348120</v>
      </c>
      <c r="AE390" s="4">
        <v>290580</v>
      </c>
      <c r="AF390" s="4">
        <v>0</v>
      </c>
      <c r="AG390" s="4">
        <v>0</v>
      </c>
      <c r="AH390" s="4">
        <v>0</v>
      </c>
      <c r="AI390" s="4">
        <v>4920</v>
      </c>
      <c r="AJ390" s="4">
        <v>0</v>
      </c>
      <c r="AK390" s="4">
        <v>0</v>
      </c>
      <c r="AL390" s="4">
        <v>0</v>
      </c>
      <c r="AM390" s="4">
        <v>52620</v>
      </c>
      <c r="AN390" s="4">
        <v>243192</v>
      </c>
      <c r="AO390" s="4">
        <v>0</v>
      </c>
      <c r="AP390" s="4">
        <v>243192</v>
      </c>
      <c r="AQ390" t="str">
        <f>VLOOKUP(N390,'[1]전체(5)'!$N:$AR,30,0)</f>
        <v>스토리위즈</v>
      </c>
      <c r="AR390" t="str">
        <f>VLOOKUP($N390,'[1]전체(5)'!$N:$AR,31,0)</f>
        <v>김정률</v>
      </c>
    </row>
    <row r="391" spans="1:44" x14ac:dyDescent="0.4">
      <c r="A391" s="3" t="s">
        <v>42</v>
      </c>
      <c r="B391" s="3" t="s">
        <v>43</v>
      </c>
      <c r="C391" s="3" t="s">
        <v>44</v>
      </c>
      <c r="D391" s="3" t="s">
        <v>45</v>
      </c>
      <c r="E391" s="3"/>
      <c r="F391" s="3" t="s">
        <v>46</v>
      </c>
      <c r="G391" s="3" t="s">
        <v>47</v>
      </c>
      <c r="H391" s="3" t="s">
        <v>48</v>
      </c>
      <c r="I391" s="3" t="s">
        <v>49</v>
      </c>
      <c r="J391" s="3">
        <v>46742689</v>
      </c>
      <c r="K391" s="3" t="s">
        <v>242</v>
      </c>
      <c r="L391" s="3"/>
      <c r="M391" s="3"/>
      <c r="N391" s="3" t="s">
        <v>70</v>
      </c>
      <c r="O391" s="3" t="s">
        <v>52</v>
      </c>
      <c r="P391" s="3">
        <v>0.7</v>
      </c>
      <c r="Q391" s="3">
        <v>0.6</v>
      </c>
      <c r="R391" s="4" t="s">
        <v>53</v>
      </c>
      <c r="S391" s="4">
        <v>9000</v>
      </c>
      <c r="T391" s="4">
        <v>72000</v>
      </c>
      <c r="U391" s="4">
        <v>71460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540</v>
      </c>
      <c r="AD391" s="4">
        <v>72000</v>
      </c>
      <c r="AE391" s="4">
        <v>71460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540</v>
      </c>
      <c r="AN391" s="4">
        <v>50400</v>
      </c>
      <c r="AO391" s="4">
        <v>0</v>
      </c>
      <c r="AP391" s="4">
        <v>50400</v>
      </c>
      <c r="AQ391" t="str">
        <f>VLOOKUP(N391,'[1]전체(5)'!$N:$AR,30,0)</f>
        <v>스토리위즈</v>
      </c>
      <c r="AR391" t="str">
        <f>VLOOKUP($N391,'[1]전체(5)'!$N:$AR,31,0)</f>
        <v>김정률</v>
      </c>
    </row>
    <row r="392" spans="1:44" x14ac:dyDescent="0.4">
      <c r="A392" s="3" t="s">
        <v>42</v>
      </c>
      <c r="B392" s="3" t="s">
        <v>43</v>
      </c>
      <c r="C392" s="3" t="s">
        <v>44</v>
      </c>
      <c r="D392" s="3" t="s">
        <v>45</v>
      </c>
      <c r="E392" s="3"/>
      <c r="F392" s="3" t="s">
        <v>46</v>
      </c>
      <c r="G392" s="3" t="s">
        <v>47</v>
      </c>
      <c r="H392" s="3" t="s">
        <v>48</v>
      </c>
      <c r="I392" s="3" t="s">
        <v>49</v>
      </c>
      <c r="J392" s="3">
        <v>48674463</v>
      </c>
      <c r="K392" s="3" t="s">
        <v>169</v>
      </c>
      <c r="L392" s="3"/>
      <c r="M392" s="3"/>
      <c r="N392" s="3" t="s">
        <v>70</v>
      </c>
      <c r="O392" s="3" t="s">
        <v>52</v>
      </c>
      <c r="P392" s="3">
        <v>0.7</v>
      </c>
      <c r="Q392" s="3">
        <v>0.6</v>
      </c>
      <c r="R392" s="4" t="s">
        <v>53</v>
      </c>
      <c r="S392" s="4">
        <v>9000</v>
      </c>
      <c r="T392" s="4">
        <v>313600</v>
      </c>
      <c r="U392" s="4">
        <v>222600</v>
      </c>
      <c r="V392" s="4">
        <v>0</v>
      </c>
      <c r="W392" s="4">
        <v>0</v>
      </c>
      <c r="X392" s="4">
        <v>0</v>
      </c>
      <c r="Y392" s="4">
        <v>401</v>
      </c>
      <c r="Z392" s="4">
        <v>35599</v>
      </c>
      <c r="AA392" s="4">
        <v>0</v>
      </c>
      <c r="AB392" s="4">
        <v>0</v>
      </c>
      <c r="AC392" s="4">
        <v>55000</v>
      </c>
      <c r="AD392" s="4">
        <v>317240.09999999998</v>
      </c>
      <c r="AE392" s="4">
        <v>222600</v>
      </c>
      <c r="AF392" s="4">
        <v>0</v>
      </c>
      <c r="AG392" s="4">
        <v>0</v>
      </c>
      <c r="AH392" s="4">
        <v>0</v>
      </c>
      <c r="AI392" s="4">
        <v>481.2</v>
      </c>
      <c r="AJ392" s="4">
        <v>39158.9</v>
      </c>
      <c r="AK392" s="4">
        <v>0</v>
      </c>
      <c r="AL392" s="4">
        <v>0</v>
      </c>
      <c r="AM392" s="4">
        <v>55000</v>
      </c>
      <c r="AN392" s="4">
        <v>218104</v>
      </c>
      <c r="AO392" s="4">
        <v>0</v>
      </c>
      <c r="AP392" s="4">
        <v>218104</v>
      </c>
      <c r="AQ392" t="str">
        <f>VLOOKUP(N392,'[1]전체(5)'!$N:$AR,30,0)</f>
        <v>스토리위즈</v>
      </c>
      <c r="AR392" t="str">
        <f>VLOOKUP($N392,'[1]전체(5)'!$N:$AR,31,0)</f>
        <v>김정률</v>
      </c>
    </row>
    <row r="393" spans="1:44" x14ac:dyDescent="0.4">
      <c r="A393" s="3" t="s">
        <v>42</v>
      </c>
      <c r="B393" s="3" t="s">
        <v>43</v>
      </c>
      <c r="C393" s="3" t="s">
        <v>44</v>
      </c>
      <c r="D393" s="3" t="s">
        <v>45</v>
      </c>
      <c r="E393" s="3"/>
      <c r="F393" s="3" t="s">
        <v>46</v>
      </c>
      <c r="G393" s="3" t="s">
        <v>47</v>
      </c>
      <c r="H393" s="3" t="s">
        <v>48</v>
      </c>
      <c r="I393" s="3" t="s">
        <v>49</v>
      </c>
      <c r="J393" s="3">
        <v>48674463</v>
      </c>
      <c r="K393" s="3" t="s">
        <v>169</v>
      </c>
      <c r="L393" s="3"/>
      <c r="M393" s="3"/>
      <c r="N393" s="3" t="s">
        <v>70</v>
      </c>
      <c r="O393" s="3" t="s">
        <v>52</v>
      </c>
      <c r="P393" s="3">
        <v>0.7</v>
      </c>
      <c r="Q393" s="3">
        <v>0.6</v>
      </c>
      <c r="R393" s="4" t="s">
        <v>53</v>
      </c>
      <c r="S393" s="4">
        <v>18000</v>
      </c>
      <c r="T393" s="4">
        <v>150400</v>
      </c>
      <c r="U393" s="4">
        <v>140200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10200</v>
      </c>
      <c r="AD393" s="4">
        <v>150400</v>
      </c>
      <c r="AE393" s="4">
        <v>140200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10200</v>
      </c>
      <c r="AN393" s="4">
        <v>105280</v>
      </c>
      <c r="AO393" s="4">
        <v>0</v>
      </c>
      <c r="AP393" s="4">
        <v>105280</v>
      </c>
      <c r="AQ393" t="str">
        <f>VLOOKUP(N393,'[1]전체(5)'!$N:$AR,30,0)</f>
        <v>스토리위즈</v>
      </c>
      <c r="AR393" t="str">
        <f>VLOOKUP($N393,'[1]전체(5)'!$N:$AR,31,0)</f>
        <v>김정률</v>
      </c>
    </row>
    <row r="394" spans="1:44" x14ac:dyDescent="0.4">
      <c r="A394" s="3" t="s">
        <v>42</v>
      </c>
      <c r="B394" s="3" t="s">
        <v>43</v>
      </c>
      <c r="C394" s="3" t="s">
        <v>44</v>
      </c>
      <c r="D394" s="3" t="s">
        <v>45</v>
      </c>
      <c r="E394" s="3"/>
      <c r="F394" s="3" t="s">
        <v>46</v>
      </c>
      <c r="G394" s="3" t="s">
        <v>47</v>
      </c>
      <c r="H394" s="3" t="s">
        <v>48</v>
      </c>
      <c r="I394" s="3" t="s">
        <v>49</v>
      </c>
      <c r="J394" s="3">
        <v>52184827</v>
      </c>
      <c r="K394" s="3" t="s">
        <v>130</v>
      </c>
      <c r="L394" s="3"/>
      <c r="M394" s="3"/>
      <c r="N394" s="3" t="s">
        <v>78</v>
      </c>
      <c r="O394" s="3" t="s">
        <v>52</v>
      </c>
      <c r="P394" s="3">
        <v>0.7</v>
      </c>
      <c r="Q394" s="3">
        <v>0.6</v>
      </c>
      <c r="R394" s="4" t="s">
        <v>56</v>
      </c>
      <c r="S394" s="4">
        <v>100</v>
      </c>
      <c r="T394" s="4">
        <v>17700</v>
      </c>
      <c r="U394" s="4">
        <v>15600</v>
      </c>
      <c r="V394" s="4">
        <v>0</v>
      </c>
      <c r="W394" s="4">
        <v>0</v>
      </c>
      <c r="X394" s="4">
        <v>0</v>
      </c>
      <c r="Y394" s="4">
        <v>0</v>
      </c>
      <c r="Z394" s="4">
        <v>300</v>
      </c>
      <c r="AA394" s="4">
        <v>0</v>
      </c>
      <c r="AB394" s="4">
        <v>0</v>
      </c>
      <c r="AC394" s="4">
        <v>1800</v>
      </c>
      <c r="AD394" s="4">
        <v>17730</v>
      </c>
      <c r="AE394" s="4">
        <v>15600</v>
      </c>
      <c r="AF394" s="4">
        <v>0</v>
      </c>
      <c r="AG394" s="4">
        <v>0</v>
      </c>
      <c r="AH394" s="4">
        <v>0</v>
      </c>
      <c r="AI394" s="4">
        <v>0</v>
      </c>
      <c r="AJ394" s="4">
        <v>330</v>
      </c>
      <c r="AK394" s="4">
        <v>0</v>
      </c>
      <c r="AL394" s="4">
        <v>0</v>
      </c>
      <c r="AM394" s="4">
        <v>1800</v>
      </c>
      <c r="AN394" s="4">
        <v>12378</v>
      </c>
      <c r="AO394" s="4">
        <v>0</v>
      </c>
      <c r="AP394" s="4">
        <v>12378</v>
      </c>
      <c r="AQ394" t="str">
        <f>VLOOKUP(N394,'[1]전체(5)'!$N:$AR,30,0)</f>
        <v>스토리위즈</v>
      </c>
      <c r="AR394" t="str">
        <f>VLOOKUP($N394,'[1]전체(5)'!$N:$AR,31,0)</f>
        <v>셔틀</v>
      </c>
    </row>
    <row r="395" spans="1:44" x14ac:dyDescent="0.4">
      <c r="A395" s="3" t="s">
        <v>42</v>
      </c>
      <c r="B395" s="3" t="s">
        <v>43</v>
      </c>
      <c r="C395" s="3" t="s">
        <v>44</v>
      </c>
      <c r="D395" s="3" t="s">
        <v>45</v>
      </c>
      <c r="E395" s="3"/>
      <c r="F395" s="3" t="s">
        <v>46</v>
      </c>
      <c r="G395" s="3" t="s">
        <v>47</v>
      </c>
      <c r="H395" s="3" t="s">
        <v>48</v>
      </c>
      <c r="I395" s="3" t="s">
        <v>49</v>
      </c>
      <c r="J395" s="3">
        <v>52184827</v>
      </c>
      <c r="K395" s="3" t="s">
        <v>130</v>
      </c>
      <c r="L395" s="3"/>
      <c r="M395" s="3"/>
      <c r="N395" s="3" t="s">
        <v>78</v>
      </c>
      <c r="O395" s="3" t="s">
        <v>52</v>
      </c>
      <c r="P395" s="3">
        <v>0.7</v>
      </c>
      <c r="Q395" s="3">
        <v>0.6</v>
      </c>
      <c r="R395" s="4" t="s">
        <v>53</v>
      </c>
      <c r="S395" s="4">
        <v>900</v>
      </c>
      <c r="T395" s="4">
        <v>9000</v>
      </c>
      <c r="U395" s="4">
        <v>8700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300</v>
      </c>
      <c r="AD395" s="4">
        <v>9000</v>
      </c>
      <c r="AE395" s="4">
        <v>8700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300</v>
      </c>
      <c r="AN395" s="4">
        <v>6300</v>
      </c>
      <c r="AO395" s="4">
        <v>0</v>
      </c>
      <c r="AP395" s="4">
        <v>6300</v>
      </c>
      <c r="AQ395" t="str">
        <f>VLOOKUP(N395,'[1]전체(5)'!$N:$AR,30,0)</f>
        <v>스토리위즈</v>
      </c>
      <c r="AR395" t="str">
        <f>VLOOKUP($N395,'[1]전체(5)'!$N:$AR,31,0)</f>
        <v>셔틀</v>
      </c>
    </row>
    <row r="396" spans="1:44" x14ac:dyDescent="0.4">
      <c r="A396" s="3" t="s">
        <v>42</v>
      </c>
      <c r="B396" s="3" t="s">
        <v>43</v>
      </c>
      <c r="C396" s="3" t="s">
        <v>44</v>
      </c>
      <c r="D396" s="3" t="s">
        <v>45</v>
      </c>
      <c r="E396" s="3"/>
      <c r="F396" s="3" t="s">
        <v>46</v>
      </c>
      <c r="G396" s="3" t="s">
        <v>47</v>
      </c>
      <c r="H396" s="3" t="s">
        <v>48</v>
      </c>
      <c r="I396" s="3" t="s">
        <v>49</v>
      </c>
      <c r="J396" s="3">
        <v>56490774</v>
      </c>
      <c r="K396" s="3" t="s">
        <v>86</v>
      </c>
      <c r="L396" s="3"/>
      <c r="M396" s="3"/>
      <c r="N396" s="3" t="s">
        <v>87</v>
      </c>
      <c r="O396" s="3" t="s">
        <v>52</v>
      </c>
      <c r="P396" s="3">
        <v>0.7</v>
      </c>
      <c r="Q396" s="3">
        <v>0.6</v>
      </c>
      <c r="R396" s="4" t="s">
        <v>74</v>
      </c>
      <c r="S396" s="4">
        <v>900</v>
      </c>
      <c r="T396" s="4">
        <v>10800</v>
      </c>
      <c r="U396" s="4">
        <v>10600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200</v>
      </c>
      <c r="AD396" s="4">
        <v>10800</v>
      </c>
      <c r="AE396" s="4">
        <v>10600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200</v>
      </c>
      <c r="AN396" s="4">
        <v>7560</v>
      </c>
      <c r="AO396" s="4">
        <v>0</v>
      </c>
      <c r="AP396" s="4">
        <v>7560</v>
      </c>
      <c r="AQ396" t="str">
        <f>VLOOKUP(N396,'[1]전체(5)'!$N:$AR,30,0)</f>
        <v>스토리위즈</v>
      </c>
      <c r="AR396" t="str">
        <f>VLOOKUP($N396,'[1]전체(5)'!$N:$AR,31,0)</f>
        <v>권용찬</v>
      </c>
    </row>
    <row r="397" spans="1:44" x14ac:dyDescent="0.4">
      <c r="A397" s="3" t="s">
        <v>42</v>
      </c>
      <c r="B397" s="3" t="s">
        <v>43</v>
      </c>
      <c r="C397" s="3" t="s">
        <v>44</v>
      </c>
      <c r="D397" s="3" t="s">
        <v>45</v>
      </c>
      <c r="E397" s="3"/>
      <c r="F397" s="3" t="s">
        <v>46</v>
      </c>
      <c r="G397" s="3" t="s">
        <v>47</v>
      </c>
      <c r="H397" s="3" t="s">
        <v>48</v>
      </c>
      <c r="I397" s="3" t="s">
        <v>49</v>
      </c>
      <c r="J397" s="3">
        <v>46745670</v>
      </c>
      <c r="K397" s="3" t="s">
        <v>251</v>
      </c>
      <c r="L397" s="3"/>
      <c r="M397" s="3"/>
      <c r="N397" s="3" t="s">
        <v>70</v>
      </c>
      <c r="O397" s="3" t="s">
        <v>52</v>
      </c>
      <c r="P397" s="3">
        <v>0.7</v>
      </c>
      <c r="Q397" s="3">
        <v>0.6</v>
      </c>
      <c r="R397" s="4" t="s">
        <v>56</v>
      </c>
      <c r="S397" s="4">
        <v>100</v>
      </c>
      <c r="T397" s="4">
        <v>57300</v>
      </c>
      <c r="U397" s="4">
        <v>11500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45800</v>
      </c>
      <c r="AD397" s="4">
        <v>57300</v>
      </c>
      <c r="AE397" s="4">
        <v>11500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45800</v>
      </c>
      <c r="AN397" s="4">
        <v>40110</v>
      </c>
      <c r="AO397" s="4">
        <v>0</v>
      </c>
      <c r="AP397" s="4">
        <v>40110</v>
      </c>
      <c r="AQ397" t="str">
        <f>VLOOKUP(N397,'[1]전체(5)'!$N:$AR,30,0)</f>
        <v>스토리위즈</v>
      </c>
      <c r="AR397" t="str">
        <f>VLOOKUP($N397,'[1]전체(5)'!$N:$AR,31,0)</f>
        <v>김정률</v>
      </c>
    </row>
    <row r="398" spans="1:44" x14ac:dyDescent="0.4">
      <c r="A398" s="3" t="s">
        <v>42</v>
      </c>
      <c r="B398" s="3" t="s">
        <v>43</v>
      </c>
      <c r="C398" s="3" t="s">
        <v>44</v>
      </c>
      <c r="D398" s="3" t="s">
        <v>45</v>
      </c>
      <c r="E398" s="3"/>
      <c r="F398" s="3" t="s">
        <v>46</v>
      </c>
      <c r="G398" s="3" t="s">
        <v>47</v>
      </c>
      <c r="H398" s="3" t="s">
        <v>48</v>
      </c>
      <c r="I398" s="3" t="s">
        <v>49</v>
      </c>
      <c r="J398" s="3">
        <v>52184827</v>
      </c>
      <c r="K398" s="3" t="s">
        <v>130</v>
      </c>
      <c r="L398" s="3"/>
      <c r="M398" s="3"/>
      <c r="N398" s="3" t="s">
        <v>78</v>
      </c>
      <c r="O398" s="3" t="s">
        <v>52</v>
      </c>
      <c r="P398" s="3">
        <v>0.7</v>
      </c>
      <c r="Q398" s="3">
        <v>0.6</v>
      </c>
      <c r="R398" s="4" t="s">
        <v>53</v>
      </c>
      <c r="S398" s="4">
        <v>1800</v>
      </c>
      <c r="T398" s="4">
        <v>9000</v>
      </c>
      <c r="U398" s="4">
        <v>7800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1200</v>
      </c>
      <c r="AD398" s="4">
        <v>9000</v>
      </c>
      <c r="AE398" s="4">
        <v>7800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1200</v>
      </c>
      <c r="AN398" s="4">
        <v>6300</v>
      </c>
      <c r="AO398" s="4">
        <v>0</v>
      </c>
      <c r="AP398" s="4">
        <v>6300</v>
      </c>
      <c r="AQ398" t="str">
        <f>VLOOKUP(N398,'[1]전체(5)'!$N:$AR,30,0)</f>
        <v>스토리위즈</v>
      </c>
      <c r="AR398" t="str">
        <f>VLOOKUP($N398,'[1]전체(5)'!$N:$AR,31,0)</f>
        <v>셔틀</v>
      </c>
    </row>
    <row r="399" spans="1:44" x14ac:dyDescent="0.4">
      <c r="A399" s="3" t="s">
        <v>42</v>
      </c>
      <c r="B399" s="3" t="s">
        <v>43</v>
      </c>
      <c r="C399" s="3" t="s">
        <v>44</v>
      </c>
      <c r="D399" s="3" t="s">
        <v>45</v>
      </c>
      <c r="E399" s="3"/>
      <c r="F399" s="3" t="s">
        <v>46</v>
      </c>
      <c r="G399" s="3" t="s">
        <v>47</v>
      </c>
      <c r="H399" s="3" t="s">
        <v>48</v>
      </c>
      <c r="I399" s="3" t="s">
        <v>49</v>
      </c>
      <c r="J399" s="3">
        <v>56490774</v>
      </c>
      <c r="K399" s="3" t="s">
        <v>86</v>
      </c>
      <c r="L399" s="3"/>
      <c r="M399" s="3"/>
      <c r="N399" s="3" t="s">
        <v>87</v>
      </c>
      <c r="O399" s="3" t="s">
        <v>52</v>
      </c>
      <c r="P399" s="3">
        <v>0.7</v>
      </c>
      <c r="Q399" s="3">
        <v>0.6</v>
      </c>
      <c r="R399" s="4" t="s">
        <v>110</v>
      </c>
      <c r="S399" s="4">
        <v>5400</v>
      </c>
      <c r="T399" s="4">
        <v>10800</v>
      </c>
      <c r="U399" s="4">
        <v>10800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10800</v>
      </c>
      <c r="AE399" s="4">
        <v>10800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7560</v>
      </c>
      <c r="AO399" s="4">
        <v>0</v>
      </c>
      <c r="AP399" s="4">
        <v>7560</v>
      </c>
      <c r="AQ399" t="str">
        <f>VLOOKUP(N399,'[1]전체(5)'!$N:$AR,30,0)</f>
        <v>스토리위즈</v>
      </c>
      <c r="AR399" t="str">
        <f>VLOOKUP($N399,'[1]전체(5)'!$N:$AR,31,0)</f>
        <v>권용찬</v>
      </c>
    </row>
    <row r="400" spans="1:44" x14ac:dyDescent="0.4">
      <c r="A400" s="3" t="s">
        <v>42</v>
      </c>
      <c r="B400" s="3" t="s">
        <v>43</v>
      </c>
      <c r="C400" s="3" t="s">
        <v>44</v>
      </c>
      <c r="D400" s="3" t="s">
        <v>45</v>
      </c>
      <c r="E400" s="3"/>
      <c r="F400" s="3" t="s">
        <v>46</v>
      </c>
      <c r="G400" s="3" t="s">
        <v>47</v>
      </c>
      <c r="H400" s="3" t="s">
        <v>48</v>
      </c>
      <c r="I400" s="3" t="s">
        <v>49</v>
      </c>
      <c r="J400" s="3">
        <v>46745670</v>
      </c>
      <c r="K400" s="3" t="s">
        <v>251</v>
      </c>
      <c r="L400" s="3"/>
      <c r="M400" s="3"/>
      <c r="N400" s="3" t="s">
        <v>70</v>
      </c>
      <c r="O400" s="3" t="s">
        <v>52</v>
      </c>
      <c r="P400" s="3">
        <v>0.7</v>
      </c>
      <c r="Q400" s="3">
        <v>0.6</v>
      </c>
      <c r="R400" s="4" t="s">
        <v>53</v>
      </c>
      <c r="S400" s="4">
        <v>2300</v>
      </c>
      <c r="T400" s="4">
        <v>82800</v>
      </c>
      <c r="U400" s="4">
        <v>76800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6000</v>
      </c>
      <c r="AD400" s="4">
        <v>82800</v>
      </c>
      <c r="AE400" s="4">
        <v>76800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6000</v>
      </c>
      <c r="AN400" s="4">
        <v>57960</v>
      </c>
      <c r="AO400" s="4">
        <v>0</v>
      </c>
      <c r="AP400" s="4">
        <v>57960</v>
      </c>
      <c r="AQ400" t="str">
        <f>VLOOKUP(N400,'[1]전체(5)'!$N:$AR,30,0)</f>
        <v>스토리위즈</v>
      </c>
      <c r="AR400" t="str">
        <f>VLOOKUP($N400,'[1]전체(5)'!$N:$AR,31,0)</f>
        <v>김정률</v>
      </c>
    </row>
    <row r="401" spans="1:44" x14ac:dyDescent="0.4">
      <c r="A401" s="3" t="s">
        <v>42</v>
      </c>
      <c r="B401" s="3" t="s">
        <v>43</v>
      </c>
      <c r="C401" s="3" t="s">
        <v>44</v>
      </c>
      <c r="D401" s="3" t="s">
        <v>45</v>
      </c>
      <c r="E401" s="3"/>
      <c r="F401" s="3" t="s">
        <v>46</v>
      </c>
      <c r="G401" s="3" t="s">
        <v>47</v>
      </c>
      <c r="H401" s="3" t="s">
        <v>48</v>
      </c>
      <c r="I401" s="3" t="s">
        <v>49</v>
      </c>
      <c r="J401" s="3">
        <v>52184827</v>
      </c>
      <c r="K401" s="3" t="s">
        <v>130</v>
      </c>
      <c r="L401" s="3"/>
      <c r="M401" s="3"/>
      <c r="N401" s="3" t="s">
        <v>78</v>
      </c>
      <c r="O401" s="3" t="s">
        <v>52</v>
      </c>
      <c r="P401" s="3">
        <v>0.7</v>
      </c>
      <c r="Q401" s="3">
        <v>0.6</v>
      </c>
      <c r="R401" s="4" t="s">
        <v>53</v>
      </c>
      <c r="S401" s="4">
        <v>3600</v>
      </c>
      <c r="T401" s="4">
        <v>9800</v>
      </c>
      <c r="U401" s="4">
        <v>6800</v>
      </c>
      <c r="V401" s="4">
        <v>0</v>
      </c>
      <c r="W401" s="4">
        <v>0</v>
      </c>
      <c r="X401" s="4">
        <v>0</v>
      </c>
      <c r="Y401" s="4">
        <v>-800</v>
      </c>
      <c r="Z401" s="4">
        <v>0</v>
      </c>
      <c r="AA401" s="4">
        <v>0</v>
      </c>
      <c r="AB401" s="4">
        <v>0</v>
      </c>
      <c r="AC401" s="4">
        <v>3800</v>
      </c>
      <c r="AD401" s="4">
        <v>9640</v>
      </c>
      <c r="AE401" s="4">
        <v>6800</v>
      </c>
      <c r="AF401" s="4">
        <v>0</v>
      </c>
      <c r="AG401" s="4">
        <v>0</v>
      </c>
      <c r="AH401" s="4">
        <v>0</v>
      </c>
      <c r="AI401" s="4">
        <v>-960</v>
      </c>
      <c r="AJ401" s="4">
        <v>0</v>
      </c>
      <c r="AK401" s="4">
        <v>0</v>
      </c>
      <c r="AL401" s="4">
        <v>0</v>
      </c>
      <c r="AM401" s="4">
        <v>3800</v>
      </c>
      <c r="AN401" s="4">
        <v>6844</v>
      </c>
      <c r="AO401" s="4">
        <v>0</v>
      </c>
      <c r="AP401" s="4">
        <v>6844</v>
      </c>
      <c r="AQ401" t="str">
        <f>VLOOKUP(N401,'[1]전체(5)'!$N:$AR,30,0)</f>
        <v>스토리위즈</v>
      </c>
      <c r="AR401" t="str">
        <f>VLOOKUP($N401,'[1]전체(5)'!$N:$AR,31,0)</f>
        <v>셔틀</v>
      </c>
    </row>
    <row r="402" spans="1:44" x14ac:dyDescent="0.4">
      <c r="A402" s="3" t="s">
        <v>42</v>
      </c>
      <c r="B402" s="3" t="s">
        <v>43</v>
      </c>
      <c r="C402" s="3" t="s">
        <v>44</v>
      </c>
      <c r="D402" s="3" t="s">
        <v>45</v>
      </c>
      <c r="E402" s="3"/>
      <c r="F402" s="3" t="s">
        <v>46</v>
      </c>
      <c r="G402" s="3" t="s">
        <v>47</v>
      </c>
      <c r="H402" s="3" t="s">
        <v>48</v>
      </c>
      <c r="I402" s="3" t="s">
        <v>49</v>
      </c>
      <c r="J402" s="3">
        <v>56491053</v>
      </c>
      <c r="K402" s="3" t="s">
        <v>91</v>
      </c>
      <c r="L402" s="3"/>
      <c r="M402" s="3"/>
      <c r="N402" s="3" t="s">
        <v>87</v>
      </c>
      <c r="O402" s="3" t="s">
        <v>52</v>
      </c>
      <c r="P402" s="3">
        <v>0.7</v>
      </c>
      <c r="Q402" s="3">
        <v>0.6</v>
      </c>
      <c r="R402" s="4" t="s">
        <v>56</v>
      </c>
      <c r="S402" s="4">
        <v>3200</v>
      </c>
      <c r="T402" s="4">
        <v>9600</v>
      </c>
      <c r="U402" s="4">
        <v>9600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9600</v>
      </c>
      <c r="AE402" s="4">
        <v>9600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6720</v>
      </c>
      <c r="AO402" s="4">
        <v>0</v>
      </c>
      <c r="AP402" s="4">
        <v>6720</v>
      </c>
      <c r="AQ402" t="str">
        <f>VLOOKUP(N402,'[1]전체(5)'!$N:$AR,30,0)</f>
        <v>스토리위즈</v>
      </c>
      <c r="AR402" t="str">
        <f>VLOOKUP($N402,'[1]전체(5)'!$N:$AR,31,0)</f>
        <v>권용찬</v>
      </c>
    </row>
    <row r="403" spans="1:44" x14ac:dyDescent="0.4">
      <c r="A403" s="3" t="s">
        <v>42</v>
      </c>
      <c r="B403" s="3" t="s">
        <v>43</v>
      </c>
      <c r="C403" s="3" t="s">
        <v>44</v>
      </c>
      <c r="D403" s="3" t="s">
        <v>45</v>
      </c>
      <c r="E403" s="3"/>
      <c r="F403" s="3" t="s">
        <v>46</v>
      </c>
      <c r="G403" s="3" t="s">
        <v>47</v>
      </c>
      <c r="H403" s="3" t="s">
        <v>48</v>
      </c>
      <c r="I403" s="3" t="s">
        <v>49</v>
      </c>
      <c r="J403" s="3">
        <v>56647195</v>
      </c>
      <c r="K403" s="3" t="s">
        <v>94</v>
      </c>
      <c r="L403" s="3"/>
      <c r="M403" s="3"/>
      <c r="N403" s="3" t="s">
        <v>70</v>
      </c>
      <c r="O403" s="3" t="s">
        <v>52</v>
      </c>
      <c r="P403" s="3">
        <v>0.7</v>
      </c>
      <c r="Q403" s="3">
        <v>0.6</v>
      </c>
      <c r="R403" s="4" t="s">
        <v>56</v>
      </c>
      <c r="S403" s="4">
        <v>3200</v>
      </c>
      <c r="T403" s="4">
        <v>16000</v>
      </c>
      <c r="U403" s="4">
        <v>16000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16000</v>
      </c>
      <c r="AE403" s="4">
        <v>16000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11200</v>
      </c>
      <c r="AO403" s="4">
        <v>0</v>
      </c>
      <c r="AP403" s="4">
        <v>11200</v>
      </c>
      <c r="AQ403" t="str">
        <f>VLOOKUP(N403,'[1]전체(5)'!$N:$AR,30,0)</f>
        <v>스토리위즈</v>
      </c>
      <c r="AR403" t="str">
        <f>VLOOKUP($N403,'[1]전체(5)'!$N:$AR,31,0)</f>
        <v>김정률</v>
      </c>
    </row>
    <row r="404" spans="1:44" x14ac:dyDescent="0.4">
      <c r="A404" s="3" t="s">
        <v>42</v>
      </c>
      <c r="B404" s="3" t="s">
        <v>43</v>
      </c>
      <c r="C404" s="3" t="s">
        <v>44</v>
      </c>
      <c r="D404" s="3" t="s">
        <v>45</v>
      </c>
      <c r="E404" s="3"/>
      <c r="F404" s="3" t="s">
        <v>46</v>
      </c>
      <c r="G404" s="3" t="s">
        <v>47</v>
      </c>
      <c r="H404" s="3" t="s">
        <v>48</v>
      </c>
      <c r="I404" s="3" t="s">
        <v>49</v>
      </c>
      <c r="J404" s="3">
        <v>46745670</v>
      </c>
      <c r="K404" s="3" t="s">
        <v>251</v>
      </c>
      <c r="L404" s="3"/>
      <c r="M404" s="3"/>
      <c r="N404" s="3" t="s">
        <v>70</v>
      </c>
      <c r="O404" s="3" t="s">
        <v>52</v>
      </c>
      <c r="P404" s="3">
        <v>0.7</v>
      </c>
      <c r="Q404" s="3">
        <v>0.6</v>
      </c>
      <c r="R404" s="4" t="s">
        <v>53</v>
      </c>
      <c r="S404" s="4">
        <v>4500</v>
      </c>
      <c r="T404" s="4">
        <v>20300</v>
      </c>
      <c r="U404" s="4">
        <v>20300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20300</v>
      </c>
      <c r="AE404" s="4">
        <v>20300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14210</v>
      </c>
      <c r="AO404" s="4">
        <v>0</v>
      </c>
      <c r="AP404" s="4">
        <v>14210</v>
      </c>
      <c r="AQ404" t="str">
        <f>VLOOKUP(N404,'[1]전체(5)'!$N:$AR,30,0)</f>
        <v>스토리위즈</v>
      </c>
      <c r="AR404" t="str">
        <f>VLOOKUP($N404,'[1]전체(5)'!$N:$AR,31,0)</f>
        <v>김정률</v>
      </c>
    </row>
    <row r="405" spans="1:44" x14ac:dyDescent="0.4">
      <c r="A405" s="3" t="s">
        <v>42</v>
      </c>
      <c r="B405" s="3" t="s">
        <v>43</v>
      </c>
      <c r="C405" s="3" t="s">
        <v>44</v>
      </c>
      <c r="D405" s="3" t="s">
        <v>45</v>
      </c>
      <c r="E405" s="3"/>
      <c r="F405" s="3" t="s">
        <v>46</v>
      </c>
      <c r="G405" s="3" t="s">
        <v>47</v>
      </c>
      <c r="H405" s="3" t="s">
        <v>48</v>
      </c>
      <c r="I405" s="3" t="s">
        <v>49</v>
      </c>
      <c r="J405" s="3">
        <v>56491053</v>
      </c>
      <c r="K405" s="3" t="s">
        <v>91</v>
      </c>
      <c r="L405" s="3"/>
      <c r="M405" s="3"/>
      <c r="N405" s="3" t="s">
        <v>87</v>
      </c>
      <c r="O405" s="3" t="s">
        <v>52</v>
      </c>
      <c r="P405" s="3">
        <v>0.7</v>
      </c>
      <c r="Q405" s="3">
        <v>0.6</v>
      </c>
      <c r="R405" s="4" t="s">
        <v>74</v>
      </c>
      <c r="S405" s="4">
        <v>900</v>
      </c>
      <c r="T405" s="4">
        <v>53100</v>
      </c>
      <c r="U405" s="4">
        <v>45900</v>
      </c>
      <c r="V405" s="4">
        <v>0</v>
      </c>
      <c r="W405" s="4">
        <v>0</v>
      </c>
      <c r="X405" s="4">
        <v>0</v>
      </c>
      <c r="Y405" s="4">
        <v>0</v>
      </c>
      <c r="Z405" s="4">
        <v>5400</v>
      </c>
      <c r="AA405" s="4">
        <v>0</v>
      </c>
      <c r="AB405" s="4">
        <v>0</v>
      </c>
      <c r="AC405" s="4">
        <v>1800</v>
      </c>
      <c r="AD405" s="4">
        <v>53640</v>
      </c>
      <c r="AE405" s="4">
        <v>45900</v>
      </c>
      <c r="AF405" s="4">
        <v>0</v>
      </c>
      <c r="AG405" s="4">
        <v>0</v>
      </c>
      <c r="AH405" s="4">
        <v>0</v>
      </c>
      <c r="AI405" s="4">
        <v>0</v>
      </c>
      <c r="AJ405" s="4">
        <v>5940</v>
      </c>
      <c r="AK405" s="4">
        <v>0</v>
      </c>
      <c r="AL405" s="4">
        <v>0</v>
      </c>
      <c r="AM405" s="4">
        <v>1800</v>
      </c>
      <c r="AN405" s="4">
        <v>36954</v>
      </c>
      <c r="AO405" s="4">
        <v>0</v>
      </c>
      <c r="AP405" s="4">
        <v>36954</v>
      </c>
      <c r="AQ405" t="str">
        <f>VLOOKUP(N405,'[1]전체(5)'!$N:$AR,30,0)</f>
        <v>스토리위즈</v>
      </c>
      <c r="AR405" t="str">
        <f>VLOOKUP($N405,'[1]전체(5)'!$N:$AR,31,0)</f>
        <v>권용찬</v>
      </c>
    </row>
    <row r="406" spans="1:44" x14ac:dyDescent="0.4">
      <c r="A406" s="3" t="s">
        <v>42</v>
      </c>
      <c r="B406" s="3" t="s">
        <v>43</v>
      </c>
      <c r="C406" s="3" t="s">
        <v>44</v>
      </c>
      <c r="D406" s="3" t="s">
        <v>45</v>
      </c>
      <c r="E406" s="3"/>
      <c r="F406" s="3" t="s">
        <v>46</v>
      </c>
      <c r="G406" s="3" t="s">
        <v>47</v>
      </c>
      <c r="H406" s="3" t="s">
        <v>48</v>
      </c>
      <c r="I406" s="3" t="s">
        <v>49</v>
      </c>
      <c r="J406" s="3">
        <v>56647195</v>
      </c>
      <c r="K406" s="3" t="s">
        <v>94</v>
      </c>
      <c r="L406" s="3"/>
      <c r="M406" s="3"/>
      <c r="N406" s="3" t="s">
        <v>70</v>
      </c>
      <c r="O406" s="3" t="s">
        <v>52</v>
      </c>
      <c r="P406" s="3">
        <v>0.7</v>
      </c>
      <c r="Q406" s="3">
        <v>0.6</v>
      </c>
      <c r="R406" s="4" t="s">
        <v>74</v>
      </c>
      <c r="S406" s="4">
        <v>900</v>
      </c>
      <c r="T406" s="4">
        <v>17100</v>
      </c>
      <c r="U406" s="4">
        <v>6700</v>
      </c>
      <c r="V406" s="4">
        <v>0</v>
      </c>
      <c r="W406" s="4">
        <v>0</v>
      </c>
      <c r="X406" s="4">
        <v>0</v>
      </c>
      <c r="Y406" s="4">
        <v>900</v>
      </c>
      <c r="Z406" s="4">
        <v>0</v>
      </c>
      <c r="AA406" s="4">
        <v>0</v>
      </c>
      <c r="AB406" s="4">
        <v>0</v>
      </c>
      <c r="AC406" s="4">
        <v>9500</v>
      </c>
      <c r="AD406" s="4">
        <v>17280</v>
      </c>
      <c r="AE406" s="4">
        <v>6700</v>
      </c>
      <c r="AF406" s="4">
        <v>0</v>
      </c>
      <c r="AG406" s="4">
        <v>0</v>
      </c>
      <c r="AH406" s="4">
        <v>0</v>
      </c>
      <c r="AI406" s="4">
        <v>1080</v>
      </c>
      <c r="AJ406" s="4">
        <v>0</v>
      </c>
      <c r="AK406" s="4">
        <v>0</v>
      </c>
      <c r="AL406" s="4">
        <v>0</v>
      </c>
      <c r="AM406" s="4">
        <v>9500</v>
      </c>
      <c r="AN406" s="4">
        <v>11988</v>
      </c>
      <c r="AO406" s="4">
        <v>0</v>
      </c>
      <c r="AP406" s="4">
        <v>11988</v>
      </c>
      <c r="AQ406" t="str">
        <f>VLOOKUP(N406,'[1]전체(5)'!$N:$AR,30,0)</f>
        <v>스토리위즈</v>
      </c>
      <c r="AR406" t="str">
        <f>VLOOKUP($N406,'[1]전체(5)'!$N:$AR,31,0)</f>
        <v>김정률</v>
      </c>
    </row>
    <row r="407" spans="1:44" x14ac:dyDescent="0.4">
      <c r="A407" s="3" t="s">
        <v>42</v>
      </c>
      <c r="B407" s="3" t="s">
        <v>43</v>
      </c>
      <c r="C407" s="3" t="s">
        <v>44</v>
      </c>
      <c r="D407" s="3" t="s">
        <v>45</v>
      </c>
      <c r="E407" s="3"/>
      <c r="F407" s="3" t="s">
        <v>46</v>
      </c>
      <c r="G407" s="3" t="s">
        <v>47</v>
      </c>
      <c r="H407" s="3" t="s">
        <v>48</v>
      </c>
      <c r="I407" s="3" t="s">
        <v>49</v>
      </c>
      <c r="J407" s="3">
        <v>46745670</v>
      </c>
      <c r="K407" s="3" t="s">
        <v>251</v>
      </c>
      <c r="L407" s="3"/>
      <c r="M407" s="3"/>
      <c r="N407" s="3" t="s">
        <v>70</v>
      </c>
      <c r="O407" s="3" t="s">
        <v>52</v>
      </c>
      <c r="P407" s="3">
        <v>0.7</v>
      </c>
      <c r="Q407" s="3">
        <v>0.6</v>
      </c>
      <c r="R407" s="4" t="s">
        <v>53</v>
      </c>
      <c r="S407" s="4">
        <v>9000</v>
      </c>
      <c r="T407" s="4">
        <v>117000</v>
      </c>
      <c r="U407" s="4">
        <v>117000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117000</v>
      </c>
      <c r="AE407" s="4">
        <v>117000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81900</v>
      </c>
      <c r="AO407" s="4">
        <v>0</v>
      </c>
      <c r="AP407" s="4">
        <v>81900</v>
      </c>
      <c r="AQ407" t="str">
        <f>VLOOKUP(N407,'[1]전체(5)'!$N:$AR,30,0)</f>
        <v>스토리위즈</v>
      </c>
      <c r="AR407" t="str">
        <f>VLOOKUP($N407,'[1]전체(5)'!$N:$AR,31,0)</f>
        <v>김정률</v>
      </c>
    </row>
    <row r="408" spans="1:44" x14ac:dyDescent="0.4">
      <c r="A408" s="3" t="s">
        <v>42</v>
      </c>
      <c r="B408" s="3" t="s">
        <v>43</v>
      </c>
      <c r="C408" s="3" t="s">
        <v>44</v>
      </c>
      <c r="D408" s="3" t="s">
        <v>45</v>
      </c>
      <c r="E408" s="3"/>
      <c r="F408" s="3" t="s">
        <v>46</v>
      </c>
      <c r="G408" s="3" t="s">
        <v>47</v>
      </c>
      <c r="H408" s="3" t="s">
        <v>48</v>
      </c>
      <c r="I408" s="3" t="s">
        <v>49</v>
      </c>
      <c r="J408" s="3">
        <v>56647215</v>
      </c>
      <c r="K408" s="3" t="s">
        <v>96</v>
      </c>
      <c r="L408" s="3"/>
      <c r="M408" s="3"/>
      <c r="N408" s="3" t="s">
        <v>70</v>
      </c>
      <c r="O408" s="3" t="s">
        <v>52</v>
      </c>
      <c r="P408" s="3">
        <v>0.7</v>
      </c>
      <c r="Q408" s="3">
        <v>0.6</v>
      </c>
      <c r="R408" s="4" t="s">
        <v>56</v>
      </c>
      <c r="S408" s="4">
        <v>3200</v>
      </c>
      <c r="T408" s="4">
        <v>19200</v>
      </c>
      <c r="U408" s="4">
        <v>4600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14600</v>
      </c>
      <c r="AD408" s="4">
        <v>19200</v>
      </c>
      <c r="AE408" s="4">
        <v>4600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14600</v>
      </c>
      <c r="AN408" s="4">
        <v>13440</v>
      </c>
      <c r="AO408" s="4">
        <v>0</v>
      </c>
      <c r="AP408" s="4">
        <v>13440</v>
      </c>
      <c r="AQ408" t="str">
        <f>VLOOKUP(N408,'[1]전체(5)'!$N:$AR,30,0)</f>
        <v>스토리위즈</v>
      </c>
      <c r="AR408" t="str">
        <f>VLOOKUP($N408,'[1]전체(5)'!$N:$AR,31,0)</f>
        <v>김정률</v>
      </c>
    </row>
    <row r="409" spans="1:44" x14ac:dyDescent="0.4">
      <c r="A409" s="3" t="s">
        <v>42</v>
      </c>
      <c r="B409" s="3" t="s">
        <v>43</v>
      </c>
      <c r="C409" s="3" t="s">
        <v>44</v>
      </c>
      <c r="D409" s="3" t="s">
        <v>45</v>
      </c>
      <c r="E409" s="3"/>
      <c r="F409" s="3" t="s">
        <v>46</v>
      </c>
      <c r="G409" s="3" t="s">
        <v>47</v>
      </c>
      <c r="H409" s="3" t="s">
        <v>48</v>
      </c>
      <c r="I409" s="3" t="s">
        <v>49</v>
      </c>
      <c r="J409" s="3">
        <v>53581070</v>
      </c>
      <c r="K409" s="3" t="s">
        <v>208</v>
      </c>
      <c r="L409" s="3"/>
      <c r="M409" s="3"/>
      <c r="N409" s="3" t="s">
        <v>165</v>
      </c>
      <c r="O409" s="3" t="s">
        <v>52</v>
      </c>
      <c r="P409" s="3">
        <v>0.7</v>
      </c>
      <c r="Q409" s="3">
        <v>0.6</v>
      </c>
      <c r="R409" s="4" t="s">
        <v>56</v>
      </c>
      <c r="S409" s="4">
        <v>100</v>
      </c>
      <c r="T409" s="4">
        <v>700</v>
      </c>
      <c r="U409" s="4">
        <v>600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100</v>
      </c>
      <c r="AD409" s="4">
        <v>700</v>
      </c>
      <c r="AE409" s="4">
        <v>600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100</v>
      </c>
      <c r="AN409" s="4">
        <v>490</v>
      </c>
      <c r="AO409" s="4">
        <v>0</v>
      </c>
      <c r="AP409" s="4">
        <v>490</v>
      </c>
      <c r="AQ409" t="str">
        <f>VLOOKUP(N409,'[1]전체(5)'!$N:$AR,30,0)</f>
        <v>스토리위즈</v>
      </c>
      <c r="AR409" t="str">
        <f>VLOOKUP($N409,'[1]전체(5)'!$N:$AR,31,0)</f>
        <v>아이리스</v>
      </c>
    </row>
    <row r="410" spans="1:44" x14ac:dyDescent="0.4">
      <c r="A410" s="3" t="s">
        <v>42</v>
      </c>
      <c r="B410" s="3" t="s">
        <v>43</v>
      </c>
      <c r="C410" s="3" t="s">
        <v>44</v>
      </c>
      <c r="D410" s="3" t="s">
        <v>45</v>
      </c>
      <c r="E410" s="3"/>
      <c r="F410" s="3" t="s">
        <v>46</v>
      </c>
      <c r="G410" s="3" t="s">
        <v>47</v>
      </c>
      <c r="H410" s="3" t="s">
        <v>48</v>
      </c>
      <c r="I410" s="3" t="s">
        <v>49</v>
      </c>
      <c r="J410" s="3">
        <v>55255916</v>
      </c>
      <c r="K410" s="3" t="s">
        <v>81</v>
      </c>
      <c r="L410" s="3"/>
      <c r="M410" s="3"/>
      <c r="N410" s="3" t="s">
        <v>60</v>
      </c>
      <c r="O410" s="3" t="s">
        <v>52</v>
      </c>
      <c r="P410" s="3">
        <v>0.7</v>
      </c>
      <c r="Q410" s="3">
        <v>0.6</v>
      </c>
      <c r="R410" s="4" t="s">
        <v>56</v>
      </c>
      <c r="S410" s="4">
        <v>100</v>
      </c>
      <c r="T410" s="4">
        <v>900</v>
      </c>
      <c r="U410" s="4">
        <v>300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600</v>
      </c>
      <c r="AD410" s="4">
        <v>900</v>
      </c>
      <c r="AE410" s="4">
        <v>300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600</v>
      </c>
      <c r="AN410" s="4">
        <v>630</v>
      </c>
      <c r="AO410" s="4">
        <v>0</v>
      </c>
      <c r="AP410" s="4">
        <v>630</v>
      </c>
      <c r="AQ410" t="str">
        <f>VLOOKUP(N410,'[1]전체(5)'!$N:$AR,30,0)</f>
        <v>스토리위즈</v>
      </c>
      <c r="AR410" t="str">
        <f>VLOOKUP($N410,'[1]전체(5)'!$N:$AR,31,0)</f>
        <v>주이서</v>
      </c>
    </row>
    <row r="411" spans="1:44" x14ac:dyDescent="0.4">
      <c r="A411" s="3" t="s">
        <v>42</v>
      </c>
      <c r="B411" s="3" t="s">
        <v>43</v>
      </c>
      <c r="C411" s="3" t="s">
        <v>44</v>
      </c>
      <c r="D411" s="3" t="s">
        <v>45</v>
      </c>
      <c r="E411" s="3"/>
      <c r="F411" s="3" t="s">
        <v>46</v>
      </c>
      <c r="G411" s="3" t="s">
        <v>47</v>
      </c>
      <c r="H411" s="3" t="s">
        <v>48</v>
      </c>
      <c r="I411" s="3" t="s">
        <v>49</v>
      </c>
      <c r="J411" s="3">
        <v>56647215</v>
      </c>
      <c r="K411" s="3" t="s">
        <v>96</v>
      </c>
      <c r="L411" s="3"/>
      <c r="M411" s="3"/>
      <c r="N411" s="3" t="s">
        <v>70</v>
      </c>
      <c r="O411" s="3" t="s">
        <v>52</v>
      </c>
      <c r="P411" s="3">
        <v>0.7</v>
      </c>
      <c r="Q411" s="3">
        <v>0.6</v>
      </c>
      <c r="R411" s="4" t="s">
        <v>74</v>
      </c>
      <c r="S411" s="4">
        <v>900</v>
      </c>
      <c r="T411" s="4">
        <v>58500</v>
      </c>
      <c r="U411" s="4">
        <v>44100</v>
      </c>
      <c r="V411" s="4">
        <v>0</v>
      </c>
      <c r="W411" s="4">
        <v>0</v>
      </c>
      <c r="X411" s="4">
        <v>0</v>
      </c>
      <c r="Y411" s="4">
        <v>0</v>
      </c>
      <c r="Z411" s="4">
        <v>9900</v>
      </c>
      <c r="AA411" s="4">
        <v>0</v>
      </c>
      <c r="AB411" s="4">
        <v>0</v>
      </c>
      <c r="AC411" s="4">
        <v>4500</v>
      </c>
      <c r="AD411" s="4">
        <v>59490</v>
      </c>
      <c r="AE411" s="4">
        <v>44100</v>
      </c>
      <c r="AF411" s="4">
        <v>0</v>
      </c>
      <c r="AG411" s="4">
        <v>0</v>
      </c>
      <c r="AH411" s="4">
        <v>0</v>
      </c>
      <c r="AI411" s="4">
        <v>0</v>
      </c>
      <c r="AJ411" s="4">
        <v>10890</v>
      </c>
      <c r="AK411" s="4">
        <v>0</v>
      </c>
      <c r="AL411" s="4">
        <v>0</v>
      </c>
      <c r="AM411" s="4">
        <v>4500</v>
      </c>
      <c r="AN411" s="4">
        <v>40554</v>
      </c>
      <c r="AO411" s="4">
        <v>0</v>
      </c>
      <c r="AP411" s="4">
        <v>40554</v>
      </c>
      <c r="AQ411" t="str">
        <f>VLOOKUP(N411,'[1]전체(5)'!$N:$AR,30,0)</f>
        <v>스토리위즈</v>
      </c>
      <c r="AR411" t="str">
        <f>VLOOKUP($N411,'[1]전체(5)'!$N:$AR,31,0)</f>
        <v>김정률</v>
      </c>
    </row>
    <row r="412" spans="1:44" x14ac:dyDescent="0.4">
      <c r="A412" s="3" t="s">
        <v>42</v>
      </c>
      <c r="B412" s="3" t="s">
        <v>43</v>
      </c>
      <c r="C412" s="3" t="s">
        <v>44</v>
      </c>
      <c r="D412" s="3" t="s">
        <v>45</v>
      </c>
      <c r="E412" s="3"/>
      <c r="F412" s="3" t="s">
        <v>46</v>
      </c>
      <c r="G412" s="3" t="s">
        <v>47</v>
      </c>
      <c r="H412" s="3" t="s">
        <v>48</v>
      </c>
      <c r="I412" s="3" t="s">
        <v>49</v>
      </c>
      <c r="J412" s="3">
        <v>46747961</v>
      </c>
      <c r="K412" s="3" t="s">
        <v>252</v>
      </c>
      <c r="L412" s="3"/>
      <c r="M412" s="3"/>
      <c r="N412" s="3" t="s">
        <v>70</v>
      </c>
      <c r="O412" s="3" t="s">
        <v>52</v>
      </c>
      <c r="P412" s="3">
        <v>0.7</v>
      </c>
      <c r="Q412" s="3">
        <v>0.6</v>
      </c>
      <c r="R412" s="4" t="s">
        <v>56</v>
      </c>
      <c r="S412" s="4">
        <v>100</v>
      </c>
      <c r="T412" s="4">
        <v>27500</v>
      </c>
      <c r="U412" s="4">
        <v>3600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23900</v>
      </c>
      <c r="AD412" s="4">
        <v>27500</v>
      </c>
      <c r="AE412" s="4">
        <v>3600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23900</v>
      </c>
      <c r="AN412" s="4">
        <v>19250</v>
      </c>
      <c r="AO412" s="4">
        <v>0</v>
      </c>
      <c r="AP412" s="4">
        <v>19250</v>
      </c>
      <c r="AQ412" t="str">
        <f>VLOOKUP(N412,'[1]전체(5)'!$N:$AR,30,0)</f>
        <v>스토리위즈</v>
      </c>
      <c r="AR412" t="str">
        <f>VLOOKUP($N412,'[1]전체(5)'!$N:$AR,31,0)</f>
        <v>김정률</v>
      </c>
    </row>
    <row r="413" spans="1:44" x14ac:dyDescent="0.4">
      <c r="A413" s="3" t="s">
        <v>42</v>
      </c>
      <c r="B413" s="3" t="s">
        <v>43</v>
      </c>
      <c r="C413" s="3" t="s">
        <v>44</v>
      </c>
      <c r="D413" s="3" t="s">
        <v>45</v>
      </c>
      <c r="E413" s="3"/>
      <c r="F413" s="3" t="s">
        <v>46</v>
      </c>
      <c r="G413" s="3" t="s">
        <v>47</v>
      </c>
      <c r="H413" s="3" t="s">
        <v>48</v>
      </c>
      <c r="I413" s="3" t="s">
        <v>49</v>
      </c>
      <c r="J413" s="3">
        <v>52056362</v>
      </c>
      <c r="K413" s="3" t="s">
        <v>153</v>
      </c>
      <c r="L413" s="3"/>
      <c r="M413" s="3"/>
      <c r="N413" s="3" t="s">
        <v>154</v>
      </c>
      <c r="O413" s="3" t="s">
        <v>52</v>
      </c>
      <c r="P413" s="3">
        <v>0.7</v>
      </c>
      <c r="Q413" s="3">
        <v>0.6</v>
      </c>
      <c r="R413" s="4" t="s">
        <v>56</v>
      </c>
      <c r="S413" s="4">
        <v>100</v>
      </c>
      <c r="T413" s="4">
        <v>14300</v>
      </c>
      <c r="U413" s="4">
        <v>11900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2400</v>
      </c>
      <c r="AD413" s="4">
        <v>14300</v>
      </c>
      <c r="AE413" s="4">
        <v>11900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2400</v>
      </c>
      <c r="AN413" s="4">
        <v>10010</v>
      </c>
      <c r="AO413" s="4">
        <v>0</v>
      </c>
      <c r="AP413" s="4">
        <v>10010</v>
      </c>
      <c r="AQ413" t="str">
        <f>VLOOKUP(N413,'[1]전체(5)'!$N:$AR,30,0)</f>
        <v>스토리위즈</v>
      </c>
      <c r="AR413" t="str">
        <f>VLOOKUP($N413,'[1]전체(5)'!$N:$AR,31,0)</f>
        <v>모리미</v>
      </c>
    </row>
    <row r="414" spans="1:44" x14ac:dyDescent="0.4">
      <c r="A414" s="3" t="s">
        <v>42</v>
      </c>
      <c r="B414" s="3" t="s">
        <v>43</v>
      </c>
      <c r="C414" s="3" t="s">
        <v>44</v>
      </c>
      <c r="D414" s="3" t="s">
        <v>45</v>
      </c>
      <c r="E414" s="3"/>
      <c r="F414" s="3" t="s">
        <v>46</v>
      </c>
      <c r="G414" s="3" t="s">
        <v>47</v>
      </c>
      <c r="H414" s="3" t="s">
        <v>48</v>
      </c>
      <c r="I414" s="3" t="s">
        <v>49</v>
      </c>
      <c r="J414" s="3">
        <v>53581070</v>
      </c>
      <c r="K414" s="3" t="s">
        <v>208</v>
      </c>
      <c r="L414" s="3"/>
      <c r="M414" s="3"/>
      <c r="N414" s="3" t="s">
        <v>165</v>
      </c>
      <c r="O414" s="3" t="s">
        <v>52</v>
      </c>
      <c r="P414" s="3">
        <v>0.7</v>
      </c>
      <c r="Q414" s="3">
        <v>0.6</v>
      </c>
      <c r="R414" s="4" t="s">
        <v>53</v>
      </c>
      <c r="S414" s="4">
        <v>900</v>
      </c>
      <c r="T414" s="4">
        <v>900</v>
      </c>
      <c r="U414" s="4">
        <v>900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900</v>
      </c>
      <c r="AE414" s="4">
        <v>900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630</v>
      </c>
      <c r="AO414" s="4">
        <v>0</v>
      </c>
      <c r="AP414" s="4">
        <v>630</v>
      </c>
      <c r="AQ414" t="str">
        <f>VLOOKUP(N414,'[1]전체(5)'!$N:$AR,30,0)</f>
        <v>스토리위즈</v>
      </c>
      <c r="AR414" t="str">
        <f>VLOOKUP($N414,'[1]전체(5)'!$N:$AR,31,0)</f>
        <v>아이리스</v>
      </c>
    </row>
    <row r="415" spans="1:44" x14ac:dyDescent="0.4">
      <c r="A415" s="3" t="s">
        <v>42</v>
      </c>
      <c r="B415" s="3" t="s">
        <v>43</v>
      </c>
      <c r="C415" s="3" t="s">
        <v>44</v>
      </c>
      <c r="D415" s="3" t="s">
        <v>45</v>
      </c>
      <c r="E415" s="3"/>
      <c r="F415" s="3" t="s">
        <v>46</v>
      </c>
      <c r="G415" s="3" t="s">
        <v>47</v>
      </c>
      <c r="H415" s="3" t="s">
        <v>48</v>
      </c>
      <c r="I415" s="3" t="s">
        <v>49</v>
      </c>
      <c r="J415" s="3">
        <v>55255916</v>
      </c>
      <c r="K415" s="3" t="s">
        <v>81</v>
      </c>
      <c r="L415" s="3"/>
      <c r="M415" s="3"/>
      <c r="N415" s="3" t="s">
        <v>60</v>
      </c>
      <c r="O415" s="3" t="s">
        <v>52</v>
      </c>
      <c r="P415" s="3">
        <v>0.7</v>
      </c>
      <c r="Q415" s="3">
        <v>0.6</v>
      </c>
      <c r="R415" s="4" t="s">
        <v>53</v>
      </c>
      <c r="S415" s="4">
        <v>900</v>
      </c>
      <c r="T415" s="4">
        <v>900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900</v>
      </c>
      <c r="AD415" s="4">
        <v>900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900</v>
      </c>
      <c r="AN415" s="4">
        <v>630</v>
      </c>
      <c r="AO415" s="4">
        <v>0</v>
      </c>
      <c r="AP415" s="4">
        <v>630</v>
      </c>
      <c r="AQ415" t="str">
        <f>VLOOKUP(N415,'[1]전체(5)'!$N:$AR,30,0)</f>
        <v>스토리위즈</v>
      </c>
      <c r="AR415" t="str">
        <f>VLOOKUP($N415,'[1]전체(5)'!$N:$AR,31,0)</f>
        <v>주이서</v>
      </c>
    </row>
    <row r="416" spans="1:44" x14ac:dyDescent="0.4">
      <c r="A416" s="3" t="s">
        <v>42</v>
      </c>
      <c r="B416" s="3" t="s">
        <v>43</v>
      </c>
      <c r="C416" s="3" t="s">
        <v>44</v>
      </c>
      <c r="D416" s="3" t="s">
        <v>45</v>
      </c>
      <c r="E416" s="3"/>
      <c r="F416" s="3" t="s">
        <v>46</v>
      </c>
      <c r="G416" s="3" t="s">
        <v>47</v>
      </c>
      <c r="H416" s="3" t="s">
        <v>48</v>
      </c>
      <c r="I416" s="3" t="s">
        <v>49</v>
      </c>
      <c r="J416" s="3">
        <v>55733642</v>
      </c>
      <c r="K416" s="3" t="s">
        <v>100</v>
      </c>
      <c r="L416" s="3"/>
      <c r="M416" s="3"/>
      <c r="N416" s="3" t="s">
        <v>101</v>
      </c>
      <c r="O416" s="3" t="s">
        <v>52</v>
      </c>
      <c r="P416" s="3">
        <v>0.7</v>
      </c>
      <c r="Q416" s="3">
        <v>0.6</v>
      </c>
      <c r="R416" s="4" t="s">
        <v>56</v>
      </c>
      <c r="S416" s="4">
        <v>100</v>
      </c>
      <c r="T416" s="4">
        <v>100</v>
      </c>
      <c r="U416" s="4">
        <v>100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100</v>
      </c>
      <c r="AE416" s="4">
        <v>100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70</v>
      </c>
      <c r="AO416" s="4">
        <v>0</v>
      </c>
      <c r="AP416" s="4">
        <v>70</v>
      </c>
      <c r="AQ416" t="str">
        <f>VLOOKUP(N416,'[1]전체(5)'!$N:$AR,30,0)</f>
        <v>스토리위즈</v>
      </c>
      <c r="AR416" t="str">
        <f>VLOOKUP($N416,'[1]전체(5)'!$N:$AR,31,0)</f>
        <v>모리미J</v>
      </c>
    </row>
    <row r="417" spans="1:44" x14ac:dyDescent="0.4">
      <c r="A417" s="3" t="s">
        <v>42</v>
      </c>
      <c r="B417" s="3" t="s">
        <v>43</v>
      </c>
      <c r="C417" s="3" t="s">
        <v>44</v>
      </c>
      <c r="D417" s="3" t="s">
        <v>45</v>
      </c>
      <c r="E417" s="3"/>
      <c r="F417" s="3" t="s">
        <v>46</v>
      </c>
      <c r="G417" s="3" t="s">
        <v>47</v>
      </c>
      <c r="H417" s="3" t="s">
        <v>48</v>
      </c>
      <c r="I417" s="3" t="s">
        <v>49</v>
      </c>
      <c r="J417" s="3">
        <v>56647215</v>
      </c>
      <c r="K417" s="3" t="s">
        <v>96</v>
      </c>
      <c r="L417" s="3"/>
      <c r="M417" s="3"/>
      <c r="N417" s="3" t="s">
        <v>70</v>
      </c>
      <c r="O417" s="3" t="s">
        <v>52</v>
      </c>
      <c r="P417" s="3">
        <v>0.7</v>
      </c>
      <c r="Q417" s="3">
        <v>0.6</v>
      </c>
      <c r="R417" s="4" t="s">
        <v>110</v>
      </c>
      <c r="S417" s="4">
        <v>10800</v>
      </c>
      <c r="T417" s="4">
        <v>1800</v>
      </c>
      <c r="U417" s="4">
        <v>1800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1800</v>
      </c>
      <c r="AE417" s="4">
        <v>1800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1260</v>
      </c>
      <c r="AO417" s="4">
        <v>0</v>
      </c>
      <c r="AP417" s="4">
        <v>1260</v>
      </c>
      <c r="AQ417" t="str">
        <f>VLOOKUP(N417,'[1]전체(5)'!$N:$AR,30,0)</f>
        <v>스토리위즈</v>
      </c>
      <c r="AR417" t="str">
        <f>VLOOKUP($N417,'[1]전체(5)'!$N:$AR,31,0)</f>
        <v>김정률</v>
      </c>
    </row>
    <row r="418" spans="1:44" x14ac:dyDescent="0.4">
      <c r="A418" s="3" t="s">
        <v>42</v>
      </c>
      <c r="B418" s="3" t="s">
        <v>43</v>
      </c>
      <c r="C418" s="3" t="s">
        <v>44</v>
      </c>
      <c r="D418" s="3" t="s">
        <v>45</v>
      </c>
      <c r="E418" s="3"/>
      <c r="F418" s="3" t="s">
        <v>46</v>
      </c>
      <c r="G418" s="3" t="s">
        <v>47</v>
      </c>
      <c r="H418" s="3" t="s">
        <v>48</v>
      </c>
      <c r="I418" s="3" t="s">
        <v>49</v>
      </c>
      <c r="J418" s="3">
        <v>46747961</v>
      </c>
      <c r="K418" s="3" t="s">
        <v>252</v>
      </c>
      <c r="L418" s="3"/>
      <c r="M418" s="3"/>
      <c r="N418" s="3" t="s">
        <v>70</v>
      </c>
      <c r="O418" s="3" t="s">
        <v>52</v>
      </c>
      <c r="P418" s="3">
        <v>0.7</v>
      </c>
      <c r="Q418" s="3">
        <v>0.6</v>
      </c>
      <c r="R418" s="4" t="s">
        <v>53</v>
      </c>
      <c r="S418" s="4">
        <v>2300</v>
      </c>
      <c r="T418" s="4">
        <v>20700</v>
      </c>
      <c r="U418" s="4">
        <v>14600</v>
      </c>
      <c r="V418" s="4">
        <v>0</v>
      </c>
      <c r="W418" s="4">
        <v>0</v>
      </c>
      <c r="X418" s="4">
        <v>0</v>
      </c>
      <c r="Y418" s="4">
        <v>0</v>
      </c>
      <c r="Z418" s="4">
        <v>2300</v>
      </c>
      <c r="AA418" s="4">
        <v>0</v>
      </c>
      <c r="AB418" s="4">
        <v>0</v>
      </c>
      <c r="AC418" s="4">
        <v>3800</v>
      </c>
      <c r="AD418" s="4">
        <v>20930</v>
      </c>
      <c r="AE418" s="4">
        <v>14600</v>
      </c>
      <c r="AF418" s="4">
        <v>0</v>
      </c>
      <c r="AG418" s="4">
        <v>0</v>
      </c>
      <c r="AH418" s="4">
        <v>0</v>
      </c>
      <c r="AI418" s="4">
        <v>0</v>
      </c>
      <c r="AJ418" s="4">
        <v>2530</v>
      </c>
      <c r="AK418" s="4">
        <v>0</v>
      </c>
      <c r="AL418" s="4">
        <v>0</v>
      </c>
      <c r="AM418" s="4">
        <v>3800</v>
      </c>
      <c r="AN418" s="4">
        <v>14398</v>
      </c>
      <c r="AO418" s="4">
        <v>0</v>
      </c>
      <c r="AP418" s="4">
        <v>14398</v>
      </c>
      <c r="AQ418" t="str">
        <f>VLOOKUP(N418,'[1]전체(5)'!$N:$AR,30,0)</f>
        <v>스토리위즈</v>
      </c>
      <c r="AR418" t="str">
        <f>VLOOKUP($N418,'[1]전체(5)'!$N:$AR,31,0)</f>
        <v>김정률</v>
      </c>
    </row>
    <row r="419" spans="1:44" x14ac:dyDescent="0.4">
      <c r="A419" s="3" t="s">
        <v>42</v>
      </c>
      <c r="B419" s="3" t="s">
        <v>43</v>
      </c>
      <c r="C419" s="3" t="s">
        <v>44</v>
      </c>
      <c r="D419" s="3" t="s">
        <v>45</v>
      </c>
      <c r="E419" s="3"/>
      <c r="F419" s="3" t="s">
        <v>46</v>
      </c>
      <c r="G419" s="3" t="s">
        <v>47</v>
      </c>
      <c r="H419" s="3" t="s">
        <v>48</v>
      </c>
      <c r="I419" s="3" t="s">
        <v>49</v>
      </c>
      <c r="J419" s="3">
        <v>52056362</v>
      </c>
      <c r="K419" s="3" t="s">
        <v>153</v>
      </c>
      <c r="L419" s="3"/>
      <c r="M419" s="3"/>
      <c r="N419" s="3" t="s">
        <v>154</v>
      </c>
      <c r="O419" s="3" t="s">
        <v>52</v>
      </c>
      <c r="P419" s="3">
        <v>0.7</v>
      </c>
      <c r="Q419" s="3">
        <v>0.6</v>
      </c>
      <c r="R419" s="4" t="s">
        <v>53</v>
      </c>
      <c r="S419" s="4">
        <v>900</v>
      </c>
      <c r="T419" s="4">
        <v>9900</v>
      </c>
      <c r="U419" s="4">
        <v>8800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1100</v>
      </c>
      <c r="AD419" s="4">
        <v>9900</v>
      </c>
      <c r="AE419" s="4">
        <v>8800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1100</v>
      </c>
      <c r="AN419" s="4">
        <v>6930</v>
      </c>
      <c r="AO419" s="4">
        <v>0</v>
      </c>
      <c r="AP419" s="4">
        <v>6930</v>
      </c>
      <c r="AQ419" t="str">
        <f>VLOOKUP(N419,'[1]전체(5)'!$N:$AR,30,0)</f>
        <v>스토리위즈</v>
      </c>
      <c r="AR419" t="str">
        <f>VLOOKUP($N419,'[1]전체(5)'!$N:$AR,31,0)</f>
        <v>모리미</v>
      </c>
    </row>
    <row r="420" spans="1:44" x14ac:dyDescent="0.4">
      <c r="A420" s="3" t="s">
        <v>42</v>
      </c>
      <c r="B420" s="3" t="s">
        <v>43</v>
      </c>
      <c r="C420" s="3" t="s">
        <v>44</v>
      </c>
      <c r="D420" s="3" t="s">
        <v>45</v>
      </c>
      <c r="E420" s="3"/>
      <c r="F420" s="3" t="s">
        <v>46</v>
      </c>
      <c r="G420" s="3" t="s">
        <v>47</v>
      </c>
      <c r="H420" s="3" t="s">
        <v>48</v>
      </c>
      <c r="I420" s="3" t="s">
        <v>49</v>
      </c>
      <c r="J420" s="3">
        <v>53581070</v>
      </c>
      <c r="K420" s="3" t="s">
        <v>208</v>
      </c>
      <c r="L420" s="3"/>
      <c r="M420" s="3"/>
      <c r="N420" s="3" t="s">
        <v>165</v>
      </c>
      <c r="O420" s="3" t="s">
        <v>52</v>
      </c>
      <c r="P420" s="3">
        <v>0.7</v>
      </c>
      <c r="Q420" s="3">
        <v>0.6</v>
      </c>
      <c r="R420" s="4" t="s">
        <v>53</v>
      </c>
      <c r="S420" s="4">
        <v>2700</v>
      </c>
      <c r="T420" s="4">
        <v>2700</v>
      </c>
      <c r="U420" s="4">
        <v>2600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100</v>
      </c>
      <c r="AD420" s="4">
        <v>2700</v>
      </c>
      <c r="AE420" s="4">
        <v>2600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100</v>
      </c>
      <c r="AN420" s="4">
        <v>1890</v>
      </c>
      <c r="AO420" s="4">
        <v>0</v>
      </c>
      <c r="AP420" s="4">
        <v>1890</v>
      </c>
      <c r="AQ420" t="str">
        <f>VLOOKUP(N420,'[1]전체(5)'!$N:$AR,30,0)</f>
        <v>스토리위즈</v>
      </c>
      <c r="AR420" t="str">
        <f>VLOOKUP($N420,'[1]전체(5)'!$N:$AR,31,0)</f>
        <v>아이리스</v>
      </c>
    </row>
    <row r="421" spans="1:44" x14ac:dyDescent="0.4">
      <c r="A421" s="3" t="s">
        <v>42</v>
      </c>
      <c r="B421" s="3" t="s">
        <v>43</v>
      </c>
      <c r="C421" s="3" t="s">
        <v>44</v>
      </c>
      <c r="D421" s="3" t="s">
        <v>45</v>
      </c>
      <c r="E421" s="3"/>
      <c r="F421" s="3" t="s">
        <v>46</v>
      </c>
      <c r="G421" s="3" t="s">
        <v>47</v>
      </c>
      <c r="H421" s="3" t="s">
        <v>48</v>
      </c>
      <c r="I421" s="3" t="s">
        <v>49</v>
      </c>
      <c r="J421" s="3">
        <v>55255916</v>
      </c>
      <c r="K421" s="3" t="s">
        <v>81</v>
      </c>
      <c r="L421" s="3"/>
      <c r="M421" s="3"/>
      <c r="N421" s="3" t="s">
        <v>60</v>
      </c>
      <c r="O421" s="3" t="s">
        <v>52</v>
      </c>
      <c r="P421" s="3">
        <v>0.7</v>
      </c>
      <c r="Q421" s="3">
        <v>0.6</v>
      </c>
      <c r="R421" s="4" t="s">
        <v>53</v>
      </c>
      <c r="S421" s="4">
        <v>4500</v>
      </c>
      <c r="T421" s="4">
        <v>4500</v>
      </c>
      <c r="U421" s="4">
        <v>2760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1740</v>
      </c>
      <c r="AD421" s="4">
        <v>4500</v>
      </c>
      <c r="AE421" s="4">
        <v>2760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1740</v>
      </c>
      <c r="AN421" s="4">
        <v>3150</v>
      </c>
      <c r="AO421" s="4">
        <v>0</v>
      </c>
      <c r="AP421" s="4">
        <v>3150</v>
      </c>
      <c r="AQ421" t="str">
        <f>VLOOKUP(N421,'[1]전체(5)'!$N:$AR,30,0)</f>
        <v>스토리위즈</v>
      </c>
      <c r="AR421" t="str">
        <f>VLOOKUP($N421,'[1]전체(5)'!$N:$AR,31,0)</f>
        <v>주이서</v>
      </c>
    </row>
    <row r="422" spans="1:44" x14ac:dyDescent="0.4">
      <c r="A422" s="3" t="s">
        <v>42</v>
      </c>
      <c r="B422" s="3" t="s">
        <v>43</v>
      </c>
      <c r="C422" s="3" t="s">
        <v>44</v>
      </c>
      <c r="D422" s="3" t="s">
        <v>45</v>
      </c>
      <c r="E422" s="3"/>
      <c r="F422" s="3" t="s">
        <v>46</v>
      </c>
      <c r="G422" s="3" t="s">
        <v>47</v>
      </c>
      <c r="H422" s="3" t="s">
        <v>48</v>
      </c>
      <c r="I422" s="3" t="s">
        <v>49</v>
      </c>
      <c r="J422" s="3">
        <v>55733642</v>
      </c>
      <c r="K422" s="3" t="s">
        <v>100</v>
      </c>
      <c r="L422" s="3"/>
      <c r="M422" s="3"/>
      <c r="N422" s="3" t="s">
        <v>101</v>
      </c>
      <c r="O422" s="3" t="s">
        <v>52</v>
      </c>
      <c r="P422" s="3">
        <v>0.7</v>
      </c>
      <c r="Q422" s="3">
        <v>0.6</v>
      </c>
      <c r="R422" s="4" t="s">
        <v>53</v>
      </c>
      <c r="S422" s="4">
        <v>900</v>
      </c>
      <c r="T422" s="4">
        <v>1800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1800</v>
      </c>
      <c r="AD422" s="4">
        <v>1800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1800</v>
      </c>
      <c r="AN422" s="4">
        <v>1260</v>
      </c>
      <c r="AO422" s="4">
        <v>0</v>
      </c>
      <c r="AP422" s="4">
        <v>1260</v>
      </c>
      <c r="AQ422" t="str">
        <f>VLOOKUP(N422,'[1]전체(5)'!$N:$AR,30,0)</f>
        <v>스토리위즈</v>
      </c>
      <c r="AR422" t="str">
        <f>VLOOKUP($N422,'[1]전체(5)'!$N:$AR,31,0)</f>
        <v>모리미J</v>
      </c>
    </row>
    <row r="423" spans="1:44" x14ac:dyDescent="0.4">
      <c r="A423" s="3" t="s">
        <v>42</v>
      </c>
      <c r="B423" s="3" t="s">
        <v>43</v>
      </c>
      <c r="C423" s="3" t="s">
        <v>44</v>
      </c>
      <c r="D423" s="3" t="s">
        <v>45</v>
      </c>
      <c r="E423" s="3"/>
      <c r="F423" s="3" t="s">
        <v>46</v>
      </c>
      <c r="G423" s="3" t="s">
        <v>47</v>
      </c>
      <c r="H423" s="3" t="s">
        <v>48</v>
      </c>
      <c r="I423" s="3" t="s">
        <v>49</v>
      </c>
      <c r="J423" s="3">
        <v>56647300</v>
      </c>
      <c r="K423" s="3" t="s">
        <v>99</v>
      </c>
      <c r="L423" s="3"/>
      <c r="M423" s="3"/>
      <c r="N423" s="3" t="s">
        <v>70</v>
      </c>
      <c r="O423" s="3" t="s">
        <v>52</v>
      </c>
      <c r="P423" s="3">
        <v>0.7</v>
      </c>
      <c r="Q423" s="3">
        <v>0.6</v>
      </c>
      <c r="R423" s="4" t="s">
        <v>74</v>
      </c>
      <c r="S423" s="4">
        <v>900</v>
      </c>
      <c r="T423" s="4">
        <v>100800</v>
      </c>
      <c r="U423" s="4">
        <v>80280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20520</v>
      </c>
      <c r="AD423" s="4">
        <v>100800</v>
      </c>
      <c r="AE423" s="4">
        <v>80280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20520</v>
      </c>
      <c r="AN423" s="4">
        <v>70560</v>
      </c>
      <c r="AO423" s="4">
        <v>0</v>
      </c>
      <c r="AP423" s="4">
        <v>70560</v>
      </c>
      <c r="AQ423" t="str">
        <f>VLOOKUP(N423,'[1]전체(5)'!$N:$AR,30,0)</f>
        <v>스토리위즈</v>
      </c>
      <c r="AR423" t="str">
        <f>VLOOKUP($N423,'[1]전체(5)'!$N:$AR,31,0)</f>
        <v>김정률</v>
      </c>
    </row>
    <row r="424" spans="1:44" x14ac:dyDescent="0.4">
      <c r="A424" s="3" t="s">
        <v>42</v>
      </c>
      <c r="B424" s="3" t="s">
        <v>43</v>
      </c>
      <c r="C424" s="3" t="s">
        <v>44</v>
      </c>
      <c r="D424" s="3" t="s">
        <v>45</v>
      </c>
      <c r="E424" s="3"/>
      <c r="F424" s="3" t="s">
        <v>46</v>
      </c>
      <c r="G424" s="3" t="s">
        <v>47</v>
      </c>
      <c r="H424" s="3" t="s">
        <v>48</v>
      </c>
      <c r="I424" s="3" t="s">
        <v>49</v>
      </c>
      <c r="J424" s="3">
        <v>46747961</v>
      </c>
      <c r="K424" s="3" t="s">
        <v>252</v>
      </c>
      <c r="L424" s="3"/>
      <c r="M424" s="3"/>
      <c r="N424" s="3" t="s">
        <v>70</v>
      </c>
      <c r="O424" s="3" t="s">
        <v>52</v>
      </c>
      <c r="P424" s="3">
        <v>0.7</v>
      </c>
      <c r="Q424" s="3">
        <v>0.6</v>
      </c>
      <c r="R424" s="4" t="s">
        <v>53</v>
      </c>
      <c r="S424" s="4">
        <v>4500</v>
      </c>
      <c r="T424" s="4">
        <v>84100</v>
      </c>
      <c r="U424" s="4">
        <v>78100</v>
      </c>
      <c r="V424" s="4">
        <v>0</v>
      </c>
      <c r="W424" s="4">
        <v>0</v>
      </c>
      <c r="X424" s="4">
        <v>0</v>
      </c>
      <c r="Y424" s="4">
        <v>0</v>
      </c>
      <c r="Z424" s="4">
        <v>4500</v>
      </c>
      <c r="AA424" s="4">
        <v>0</v>
      </c>
      <c r="AB424" s="4">
        <v>0</v>
      </c>
      <c r="AC424" s="4">
        <v>1500</v>
      </c>
      <c r="AD424" s="4">
        <v>84550</v>
      </c>
      <c r="AE424" s="4">
        <v>78100</v>
      </c>
      <c r="AF424" s="4">
        <v>0</v>
      </c>
      <c r="AG424" s="4">
        <v>0</v>
      </c>
      <c r="AH424" s="4">
        <v>0</v>
      </c>
      <c r="AI424" s="4">
        <v>0</v>
      </c>
      <c r="AJ424" s="4">
        <v>4950</v>
      </c>
      <c r="AK424" s="4">
        <v>0</v>
      </c>
      <c r="AL424" s="4">
        <v>0</v>
      </c>
      <c r="AM424" s="4">
        <v>1500</v>
      </c>
      <c r="AN424" s="4">
        <v>58690</v>
      </c>
      <c r="AO424" s="4">
        <v>0</v>
      </c>
      <c r="AP424" s="4">
        <v>58690</v>
      </c>
      <c r="AQ424" t="str">
        <f>VLOOKUP(N424,'[1]전체(5)'!$N:$AR,30,0)</f>
        <v>스토리위즈</v>
      </c>
      <c r="AR424" t="str">
        <f>VLOOKUP($N424,'[1]전체(5)'!$N:$AR,31,0)</f>
        <v>김정률</v>
      </c>
    </row>
    <row r="425" spans="1:44" x14ac:dyDescent="0.4">
      <c r="A425" s="3" t="s">
        <v>42</v>
      </c>
      <c r="B425" s="3" t="s">
        <v>43</v>
      </c>
      <c r="C425" s="3" t="s">
        <v>44</v>
      </c>
      <c r="D425" s="3" t="s">
        <v>45</v>
      </c>
      <c r="E425" s="3"/>
      <c r="F425" s="3" t="s">
        <v>46</v>
      </c>
      <c r="G425" s="3" t="s">
        <v>47</v>
      </c>
      <c r="H425" s="3" t="s">
        <v>48</v>
      </c>
      <c r="I425" s="3" t="s">
        <v>49</v>
      </c>
      <c r="J425" s="3">
        <v>52056362</v>
      </c>
      <c r="K425" s="3" t="s">
        <v>153</v>
      </c>
      <c r="L425" s="3"/>
      <c r="M425" s="3"/>
      <c r="N425" s="3" t="s">
        <v>154</v>
      </c>
      <c r="O425" s="3" t="s">
        <v>52</v>
      </c>
      <c r="P425" s="3">
        <v>0.7</v>
      </c>
      <c r="Q425" s="3">
        <v>0.6</v>
      </c>
      <c r="R425" s="4" t="s">
        <v>53</v>
      </c>
      <c r="S425" s="4">
        <v>2700</v>
      </c>
      <c r="T425" s="4">
        <v>10800</v>
      </c>
      <c r="U425" s="4">
        <v>10300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500</v>
      </c>
      <c r="AD425" s="4">
        <v>10800</v>
      </c>
      <c r="AE425" s="4">
        <v>10300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500</v>
      </c>
      <c r="AN425" s="4">
        <v>7560</v>
      </c>
      <c r="AO425" s="4">
        <v>0</v>
      </c>
      <c r="AP425" s="4">
        <v>7560</v>
      </c>
      <c r="AQ425" t="str">
        <f>VLOOKUP(N425,'[1]전체(5)'!$N:$AR,30,0)</f>
        <v>스토리위즈</v>
      </c>
      <c r="AR425" t="str">
        <f>VLOOKUP($N425,'[1]전체(5)'!$N:$AR,31,0)</f>
        <v>모리미</v>
      </c>
    </row>
    <row r="426" spans="1:44" x14ac:dyDescent="0.4">
      <c r="A426" s="3" t="s">
        <v>42</v>
      </c>
      <c r="B426" s="3" t="s">
        <v>43</v>
      </c>
      <c r="C426" s="3" t="s">
        <v>44</v>
      </c>
      <c r="D426" s="3" t="s">
        <v>45</v>
      </c>
      <c r="E426" s="3"/>
      <c r="F426" s="3" t="s">
        <v>46</v>
      </c>
      <c r="G426" s="3" t="s">
        <v>47</v>
      </c>
      <c r="H426" s="3" t="s">
        <v>48</v>
      </c>
      <c r="I426" s="3" t="s">
        <v>49</v>
      </c>
      <c r="J426" s="3">
        <v>54136112</v>
      </c>
      <c r="K426" s="3" t="s">
        <v>216</v>
      </c>
      <c r="L426" s="3"/>
      <c r="M426" s="3"/>
      <c r="N426" s="3" t="s">
        <v>187</v>
      </c>
      <c r="O426" s="3" t="s">
        <v>52</v>
      </c>
      <c r="P426" s="3">
        <v>0.7</v>
      </c>
      <c r="Q426" s="3">
        <v>0.6</v>
      </c>
      <c r="R426" s="4" t="s">
        <v>56</v>
      </c>
      <c r="S426" s="4">
        <v>100</v>
      </c>
      <c r="T426" s="4">
        <v>600</v>
      </c>
      <c r="U426" s="4">
        <v>600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600</v>
      </c>
      <c r="AE426" s="4">
        <v>600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420</v>
      </c>
      <c r="AO426" s="4">
        <v>0</v>
      </c>
      <c r="AP426" s="4">
        <v>420</v>
      </c>
      <c r="AQ426" t="str">
        <f>VLOOKUP(N426,'[1]전체(5)'!$N:$AR,30,0)</f>
        <v>스토리위즈</v>
      </c>
      <c r="AR426" t="str">
        <f>VLOOKUP($N426,'[1]전체(5)'!$N:$AR,31,0)</f>
        <v>차홍주</v>
      </c>
    </row>
    <row r="427" spans="1:44" x14ac:dyDescent="0.4">
      <c r="A427" s="3" t="s">
        <v>42</v>
      </c>
      <c r="B427" s="3" t="s">
        <v>43</v>
      </c>
      <c r="C427" s="3" t="s">
        <v>44</v>
      </c>
      <c r="D427" s="3" t="s">
        <v>45</v>
      </c>
      <c r="E427" s="3"/>
      <c r="F427" s="3" t="s">
        <v>46</v>
      </c>
      <c r="G427" s="3" t="s">
        <v>47</v>
      </c>
      <c r="H427" s="3" t="s">
        <v>48</v>
      </c>
      <c r="I427" s="3" t="s">
        <v>49</v>
      </c>
      <c r="J427" s="3">
        <v>55733642</v>
      </c>
      <c r="K427" s="3" t="s">
        <v>100</v>
      </c>
      <c r="L427" s="3"/>
      <c r="M427" s="3"/>
      <c r="N427" s="3" t="s">
        <v>101</v>
      </c>
      <c r="O427" s="3" t="s">
        <v>52</v>
      </c>
      <c r="P427" s="3">
        <v>0.7</v>
      </c>
      <c r="Q427" s="3">
        <v>0.6</v>
      </c>
      <c r="R427" s="4" t="s">
        <v>53</v>
      </c>
      <c r="S427" s="4">
        <v>4500</v>
      </c>
      <c r="T427" s="4">
        <v>14500</v>
      </c>
      <c r="U427" s="4">
        <v>12800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1700</v>
      </c>
      <c r="AD427" s="4">
        <v>14500</v>
      </c>
      <c r="AE427" s="4">
        <v>12800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1700</v>
      </c>
      <c r="AN427" s="4">
        <v>10150</v>
      </c>
      <c r="AO427" s="4">
        <v>0</v>
      </c>
      <c r="AP427" s="4">
        <v>10150</v>
      </c>
      <c r="AQ427" t="str">
        <f>VLOOKUP(N427,'[1]전체(5)'!$N:$AR,30,0)</f>
        <v>스토리위즈</v>
      </c>
      <c r="AR427" t="str">
        <f>VLOOKUP($N427,'[1]전체(5)'!$N:$AR,31,0)</f>
        <v>모리미J</v>
      </c>
    </row>
    <row r="428" spans="1:44" x14ac:dyDescent="0.4">
      <c r="A428" s="3" t="s">
        <v>42</v>
      </c>
      <c r="B428" s="3" t="s">
        <v>43</v>
      </c>
      <c r="C428" s="3" t="s">
        <v>44</v>
      </c>
      <c r="D428" s="3" t="s">
        <v>45</v>
      </c>
      <c r="E428" s="3"/>
      <c r="F428" s="3" t="s">
        <v>46</v>
      </c>
      <c r="G428" s="3" t="s">
        <v>47</v>
      </c>
      <c r="H428" s="3" t="s">
        <v>48</v>
      </c>
      <c r="I428" s="3" t="s">
        <v>49</v>
      </c>
      <c r="J428" s="3">
        <v>56767208</v>
      </c>
      <c r="K428" s="3" t="s">
        <v>107</v>
      </c>
      <c r="L428" s="3"/>
      <c r="M428" s="3"/>
      <c r="N428" s="3" t="s">
        <v>87</v>
      </c>
      <c r="O428" s="3" t="s">
        <v>52</v>
      </c>
      <c r="P428" s="3">
        <v>0.7</v>
      </c>
      <c r="Q428" s="3">
        <v>0.6</v>
      </c>
      <c r="R428" s="4" t="s">
        <v>56</v>
      </c>
      <c r="S428" s="4">
        <v>3200</v>
      </c>
      <c r="T428" s="4">
        <v>22400</v>
      </c>
      <c r="U428" s="4">
        <v>19200</v>
      </c>
      <c r="V428" s="4">
        <v>0</v>
      </c>
      <c r="W428" s="4">
        <v>0</v>
      </c>
      <c r="X428" s="4">
        <v>0</v>
      </c>
      <c r="Y428" s="4">
        <v>1350</v>
      </c>
      <c r="Z428" s="4">
        <v>1850</v>
      </c>
      <c r="AA428" s="4">
        <v>0</v>
      </c>
      <c r="AB428" s="4">
        <v>0</v>
      </c>
      <c r="AC428" s="4">
        <v>0</v>
      </c>
      <c r="AD428" s="4">
        <v>22855</v>
      </c>
      <c r="AE428" s="4">
        <v>19200</v>
      </c>
      <c r="AF428" s="4">
        <v>0</v>
      </c>
      <c r="AG428" s="4">
        <v>0</v>
      </c>
      <c r="AH428" s="4">
        <v>0</v>
      </c>
      <c r="AI428" s="4">
        <v>1620</v>
      </c>
      <c r="AJ428" s="4">
        <v>2035</v>
      </c>
      <c r="AK428" s="4">
        <v>0</v>
      </c>
      <c r="AL428" s="4">
        <v>0</v>
      </c>
      <c r="AM428" s="4">
        <v>0</v>
      </c>
      <c r="AN428" s="4">
        <v>15633</v>
      </c>
      <c r="AO428" s="4">
        <v>0</v>
      </c>
      <c r="AP428" s="4">
        <v>15633</v>
      </c>
      <c r="AQ428" t="str">
        <f>VLOOKUP(N428,'[1]전체(5)'!$N:$AR,30,0)</f>
        <v>스토리위즈</v>
      </c>
      <c r="AR428" t="str">
        <f>VLOOKUP($N428,'[1]전체(5)'!$N:$AR,31,0)</f>
        <v>권용찬</v>
      </c>
    </row>
    <row r="429" spans="1:44" x14ac:dyDescent="0.4">
      <c r="A429" s="3" t="s">
        <v>42</v>
      </c>
      <c r="B429" s="3" t="s">
        <v>43</v>
      </c>
      <c r="C429" s="3" t="s">
        <v>44</v>
      </c>
      <c r="D429" s="3" t="s">
        <v>45</v>
      </c>
      <c r="E429" s="3"/>
      <c r="F429" s="3" t="s">
        <v>46</v>
      </c>
      <c r="G429" s="3" t="s">
        <v>47</v>
      </c>
      <c r="H429" s="3" t="s">
        <v>48</v>
      </c>
      <c r="I429" s="3" t="s">
        <v>49</v>
      </c>
      <c r="J429" s="3">
        <v>46747961</v>
      </c>
      <c r="K429" s="3" t="s">
        <v>252</v>
      </c>
      <c r="L429" s="3"/>
      <c r="M429" s="3"/>
      <c r="N429" s="3" t="s">
        <v>70</v>
      </c>
      <c r="O429" s="3" t="s">
        <v>52</v>
      </c>
      <c r="P429" s="3">
        <v>0.7</v>
      </c>
      <c r="Q429" s="3">
        <v>0.6</v>
      </c>
      <c r="R429" s="4" t="s">
        <v>53</v>
      </c>
      <c r="S429" s="4">
        <v>9000</v>
      </c>
      <c r="T429" s="4">
        <v>90000</v>
      </c>
      <c r="U429" s="4">
        <v>72000</v>
      </c>
      <c r="V429" s="4">
        <v>0</v>
      </c>
      <c r="W429" s="4">
        <v>0</v>
      </c>
      <c r="X429" s="4">
        <v>0</v>
      </c>
      <c r="Y429" s="4">
        <v>0</v>
      </c>
      <c r="Z429" s="4">
        <v>18000</v>
      </c>
      <c r="AA429" s="4">
        <v>0</v>
      </c>
      <c r="AB429" s="4">
        <v>0</v>
      </c>
      <c r="AC429" s="4">
        <v>0</v>
      </c>
      <c r="AD429" s="4">
        <v>91800</v>
      </c>
      <c r="AE429" s="4">
        <v>72000</v>
      </c>
      <c r="AF429" s="4">
        <v>0</v>
      </c>
      <c r="AG429" s="4">
        <v>0</v>
      </c>
      <c r="AH429" s="4">
        <v>0</v>
      </c>
      <c r="AI429" s="4">
        <v>0</v>
      </c>
      <c r="AJ429" s="4">
        <v>19800</v>
      </c>
      <c r="AK429" s="4">
        <v>0</v>
      </c>
      <c r="AL429" s="4">
        <v>0</v>
      </c>
      <c r="AM429" s="4">
        <v>0</v>
      </c>
      <c r="AN429" s="4">
        <v>62280</v>
      </c>
      <c r="AO429" s="4">
        <v>0</v>
      </c>
      <c r="AP429" s="4">
        <v>62280</v>
      </c>
      <c r="AQ429" t="str">
        <f>VLOOKUP(N429,'[1]전체(5)'!$N:$AR,30,0)</f>
        <v>스토리위즈</v>
      </c>
      <c r="AR429" t="str">
        <f>VLOOKUP($N429,'[1]전체(5)'!$N:$AR,31,0)</f>
        <v>김정률</v>
      </c>
    </row>
    <row r="430" spans="1:44" x14ac:dyDescent="0.4">
      <c r="A430" s="3" t="s">
        <v>42</v>
      </c>
      <c r="B430" s="3" t="s">
        <v>43</v>
      </c>
      <c r="C430" s="3" t="s">
        <v>44</v>
      </c>
      <c r="D430" s="3" t="s">
        <v>45</v>
      </c>
      <c r="E430" s="3"/>
      <c r="F430" s="3" t="s">
        <v>46</v>
      </c>
      <c r="G430" s="3" t="s">
        <v>47</v>
      </c>
      <c r="H430" s="3" t="s">
        <v>48</v>
      </c>
      <c r="I430" s="3" t="s">
        <v>49</v>
      </c>
      <c r="J430" s="3">
        <v>52056362</v>
      </c>
      <c r="K430" s="3" t="s">
        <v>153</v>
      </c>
      <c r="L430" s="3"/>
      <c r="M430" s="3"/>
      <c r="N430" s="3" t="s">
        <v>154</v>
      </c>
      <c r="O430" s="3" t="s">
        <v>52</v>
      </c>
      <c r="P430" s="3">
        <v>0.7</v>
      </c>
      <c r="Q430" s="3">
        <v>0.6</v>
      </c>
      <c r="R430" s="4" t="s">
        <v>53</v>
      </c>
      <c r="S430" s="4">
        <v>5400</v>
      </c>
      <c r="T430" s="4">
        <v>16200</v>
      </c>
      <c r="U430" s="4">
        <v>16200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16200</v>
      </c>
      <c r="AE430" s="4">
        <v>16200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11340</v>
      </c>
      <c r="AO430" s="4">
        <v>0</v>
      </c>
      <c r="AP430" s="4">
        <v>11340</v>
      </c>
      <c r="AQ430" t="str">
        <f>VLOOKUP(N430,'[1]전체(5)'!$N:$AR,30,0)</f>
        <v>스토리위즈</v>
      </c>
      <c r="AR430" t="str">
        <f>VLOOKUP($N430,'[1]전체(5)'!$N:$AR,31,0)</f>
        <v>모리미</v>
      </c>
    </row>
    <row r="431" spans="1:44" x14ac:dyDescent="0.4">
      <c r="A431" s="3" t="s">
        <v>42</v>
      </c>
      <c r="B431" s="3" t="s">
        <v>43</v>
      </c>
      <c r="C431" s="3" t="s">
        <v>44</v>
      </c>
      <c r="D431" s="3" t="s">
        <v>45</v>
      </c>
      <c r="E431" s="3"/>
      <c r="F431" s="3" t="s">
        <v>46</v>
      </c>
      <c r="G431" s="3" t="s">
        <v>47</v>
      </c>
      <c r="H431" s="3" t="s">
        <v>48</v>
      </c>
      <c r="I431" s="3" t="s">
        <v>49</v>
      </c>
      <c r="J431" s="3">
        <v>54136112</v>
      </c>
      <c r="K431" s="3" t="s">
        <v>216</v>
      </c>
      <c r="L431" s="3"/>
      <c r="M431" s="3"/>
      <c r="N431" s="3" t="s">
        <v>187</v>
      </c>
      <c r="O431" s="3" t="s">
        <v>52</v>
      </c>
      <c r="P431" s="3">
        <v>0.7</v>
      </c>
      <c r="Q431" s="3">
        <v>0.6</v>
      </c>
      <c r="R431" s="4" t="s">
        <v>53</v>
      </c>
      <c r="S431" s="4">
        <v>2700</v>
      </c>
      <c r="T431" s="4">
        <v>2700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2700</v>
      </c>
      <c r="AD431" s="4">
        <v>2700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2700</v>
      </c>
      <c r="AN431" s="4">
        <v>1890</v>
      </c>
      <c r="AO431" s="4">
        <v>0</v>
      </c>
      <c r="AP431" s="4">
        <v>1890</v>
      </c>
      <c r="AQ431" t="str">
        <f>VLOOKUP(N431,'[1]전체(5)'!$N:$AR,30,0)</f>
        <v>스토리위즈</v>
      </c>
      <c r="AR431" t="str">
        <f>VLOOKUP($N431,'[1]전체(5)'!$N:$AR,31,0)</f>
        <v>차홍주</v>
      </c>
    </row>
    <row r="432" spans="1:44" x14ac:dyDescent="0.4">
      <c r="A432" s="3" t="s">
        <v>42</v>
      </c>
      <c r="B432" s="3" t="s">
        <v>43</v>
      </c>
      <c r="C432" s="3" t="s">
        <v>44</v>
      </c>
      <c r="D432" s="3" t="s">
        <v>45</v>
      </c>
      <c r="E432" s="3"/>
      <c r="F432" s="3" t="s">
        <v>46</v>
      </c>
      <c r="G432" s="3" t="s">
        <v>47</v>
      </c>
      <c r="H432" s="3" t="s">
        <v>48</v>
      </c>
      <c r="I432" s="3" t="s">
        <v>49</v>
      </c>
      <c r="J432" s="3">
        <v>52056660</v>
      </c>
      <c r="K432" s="3" t="s">
        <v>268</v>
      </c>
      <c r="L432" s="3"/>
      <c r="M432" s="3"/>
      <c r="N432" s="3" t="s">
        <v>269</v>
      </c>
      <c r="O432" s="3" t="s">
        <v>52</v>
      </c>
      <c r="P432" s="3">
        <v>0.7</v>
      </c>
      <c r="Q432" s="3">
        <v>0.6</v>
      </c>
      <c r="R432" s="4" t="s">
        <v>56</v>
      </c>
      <c r="S432" s="4">
        <v>100</v>
      </c>
      <c r="T432" s="4">
        <v>700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700</v>
      </c>
      <c r="AD432" s="4">
        <v>700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700</v>
      </c>
      <c r="AN432" s="4">
        <v>490</v>
      </c>
      <c r="AO432" s="4">
        <v>0</v>
      </c>
      <c r="AP432" s="4">
        <v>490</v>
      </c>
      <c r="AQ432" t="str">
        <f>VLOOKUP(N432,'[1]전체(5)'!$N:$AR,30,0)</f>
        <v>스토리위즈</v>
      </c>
      <c r="AR432" t="str">
        <f>VLOOKUP($N432,'[1]전체(5)'!$N:$AR,31,0)</f>
        <v>디버스 대도서관</v>
      </c>
    </row>
    <row r="433" spans="1:44" x14ac:dyDescent="0.4">
      <c r="A433" s="3" t="s">
        <v>42</v>
      </c>
      <c r="B433" s="3" t="s">
        <v>43</v>
      </c>
      <c r="C433" s="3" t="s">
        <v>44</v>
      </c>
      <c r="D433" s="3" t="s">
        <v>45</v>
      </c>
      <c r="E433" s="3"/>
      <c r="F433" s="3" t="s">
        <v>46</v>
      </c>
      <c r="G433" s="3" t="s">
        <v>47</v>
      </c>
      <c r="H433" s="3" t="s">
        <v>48</v>
      </c>
      <c r="I433" s="3" t="s">
        <v>49</v>
      </c>
      <c r="J433" s="3">
        <v>56767721</v>
      </c>
      <c r="K433" s="3" t="s">
        <v>270</v>
      </c>
      <c r="L433" s="3"/>
      <c r="M433" s="3"/>
      <c r="N433" s="3" t="s">
        <v>93</v>
      </c>
      <c r="O433" s="3" t="s">
        <v>52</v>
      </c>
      <c r="P433" s="3">
        <v>0.7</v>
      </c>
      <c r="Q433" s="3">
        <v>0.6</v>
      </c>
      <c r="R433" s="4" t="s">
        <v>56</v>
      </c>
      <c r="S433" s="4">
        <v>3200</v>
      </c>
      <c r="T433" s="4">
        <v>3200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3200</v>
      </c>
      <c r="AD433" s="4">
        <v>3200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3200</v>
      </c>
      <c r="AN433" s="4">
        <v>2240</v>
      </c>
      <c r="AO433" s="4">
        <v>0</v>
      </c>
      <c r="AP433" s="4">
        <v>2240</v>
      </c>
      <c r="AQ433" t="str">
        <f>VLOOKUP(N433,'[1]전체(5)'!$N:$AR,30,0)</f>
        <v>스토리위즈</v>
      </c>
      <c r="AR433" t="str">
        <f>VLOOKUP($N433,'[1]전체(5)'!$N:$AR,31,0)</f>
        <v>청빙</v>
      </c>
    </row>
    <row r="434" spans="1:44" x14ac:dyDescent="0.4">
      <c r="AP434" s="5">
        <f>SUM(AP2:AP433)</f>
        <v>10130635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R52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4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24.0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56650112</v>
      </c>
      <c r="K2" s="3" t="s">
        <v>108</v>
      </c>
      <c r="L2" s="3"/>
      <c r="M2" s="3"/>
      <c r="N2" s="3" t="s">
        <v>70</v>
      </c>
      <c r="O2" s="3" t="s">
        <v>52</v>
      </c>
      <c r="P2" s="3">
        <v>0.7</v>
      </c>
      <c r="Q2" s="3">
        <v>0.6</v>
      </c>
      <c r="R2" s="4" t="s">
        <v>56</v>
      </c>
      <c r="S2" s="4">
        <v>3200</v>
      </c>
      <c r="T2" s="4">
        <v>60800</v>
      </c>
      <c r="U2" s="4">
        <v>60700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100</v>
      </c>
      <c r="AD2" s="4">
        <v>60800</v>
      </c>
      <c r="AE2" s="4">
        <v>60700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100</v>
      </c>
      <c r="AN2" s="4">
        <v>42560</v>
      </c>
      <c r="AO2" s="4">
        <v>0</v>
      </c>
      <c r="AP2" s="4">
        <v>42560</v>
      </c>
      <c r="AQ2" t="s">
        <v>45</v>
      </c>
      <c r="AR2" t="s">
        <v>70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56650112</v>
      </c>
      <c r="K3" s="3" t="s">
        <v>108</v>
      </c>
      <c r="L3" s="3"/>
      <c r="M3" s="3"/>
      <c r="N3" s="3" t="s">
        <v>70</v>
      </c>
      <c r="O3" s="3" t="s">
        <v>52</v>
      </c>
      <c r="P3" s="3">
        <v>0.7</v>
      </c>
      <c r="Q3" s="3">
        <v>0.6</v>
      </c>
      <c r="R3" s="4" t="s">
        <v>74</v>
      </c>
      <c r="S3" s="4">
        <v>900</v>
      </c>
      <c r="T3" s="4">
        <v>99900</v>
      </c>
      <c r="U3" s="4">
        <v>67300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32600</v>
      </c>
      <c r="AD3" s="4">
        <v>99900</v>
      </c>
      <c r="AE3" s="4">
        <v>67300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32600</v>
      </c>
      <c r="AN3" s="4">
        <v>69930</v>
      </c>
      <c r="AO3" s="4">
        <v>0</v>
      </c>
      <c r="AP3" s="4">
        <v>69930</v>
      </c>
      <c r="AQ3" t="s">
        <v>45</v>
      </c>
      <c r="AR3" t="s">
        <v>70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56650112</v>
      </c>
      <c r="K4" s="3" t="s">
        <v>108</v>
      </c>
      <c r="L4" s="3"/>
      <c r="M4" s="3"/>
      <c r="N4" s="3" t="s">
        <v>70</v>
      </c>
      <c r="O4" s="3" t="s">
        <v>52</v>
      </c>
      <c r="P4" s="3">
        <v>0.7</v>
      </c>
      <c r="Q4" s="3">
        <v>0.6</v>
      </c>
      <c r="R4" s="4" t="s">
        <v>110</v>
      </c>
      <c r="S4" s="4">
        <v>15300</v>
      </c>
      <c r="T4" s="4">
        <v>15300</v>
      </c>
      <c r="U4" s="4">
        <v>15300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15300</v>
      </c>
      <c r="AE4" s="4">
        <v>15300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10710</v>
      </c>
      <c r="AO4" s="4">
        <v>0</v>
      </c>
      <c r="AP4" s="4">
        <v>10710</v>
      </c>
      <c r="AQ4" t="s">
        <v>45</v>
      </c>
      <c r="AR4" t="s">
        <v>70</v>
      </c>
    </row>
    <row r="5" spans="1:44" x14ac:dyDescent="0.4">
      <c r="A5" s="3" t="s">
        <v>42</v>
      </c>
      <c r="B5" s="3" t="s">
        <v>43</v>
      </c>
      <c r="C5" s="3" t="s">
        <v>44</v>
      </c>
      <c r="D5" s="3" t="s">
        <v>45</v>
      </c>
      <c r="E5" s="3"/>
      <c r="F5" s="3" t="s">
        <v>46</v>
      </c>
      <c r="G5" s="3" t="s">
        <v>47</v>
      </c>
      <c r="H5" s="3" t="s">
        <v>48</v>
      </c>
      <c r="I5" s="3" t="s">
        <v>49</v>
      </c>
      <c r="J5" s="3">
        <v>47628195</v>
      </c>
      <c r="K5" s="3" t="s">
        <v>69</v>
      </c>
      <c r="L5" s="3"/>
      <c r="M5" s="3"/>
      <c r="N5" s="3" t="s">
        <v>70</v>
      </c>
      <c r="O5" s="3" t="s">
        <v>52</v>
      </c>
      <c r="P5" s="3">
        <v>0.7</v>
      </c>
      <c r="Q5" s="3">
        <v>0.6</v>
      </c>
      <c r="R5" s="4" t="s">
        <v>56</v>
      </c>
      <c r="S5" s="4">
        <v>100</v>
      </c>
      <c r="T5" s="4">
        <v>27500</v>
      </c>
      <c r="U5" s="4">
        <v>11200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16300</v>
      </c>
      <c r="AD5" s="4">
        <v>27500</v>
      </c>
      <c r="AE5" s="4">
        <v>11200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16300</v>
      </c>
      <c r="AN5" s="4">
        <v>19250</v>
      </c>
      <c r="AO5" s="4">
        <v>0</v>
      </c>
      <c r="AP5" s="4">
        <v>19250</v>
      </c>
      <c r="AQ5" t="s">
        <v>45</v>
      </c>
      <c r="AR5" t="s">
        <v>70</v>
      </c>
    </row>
    <row r="6" spans="1:44" x14ac:dyDescent="0.4">
      <c r="A6" s="3" t="s">
        <v>42</v>
      </c>
      <c r="B6" s="3" t="s">
        <v>43</v>
      </c>
      <c r="C6" s="3" t="s">
        <v>44</v>
      </c>
      <c r="D6" s="3" t="s">
        <v>45</v>
      </c>
      <c r="E6" s="3"/>
      <c r="F6" s="3" t="s">
        <v>46</v>
      </c>
      <c r="G6" s="3" t="s">
        <v>47</v>
      </c>
      <c r="H6" s="3" t="s">
        <v>48</v>
      </c>
      <c r="I6" s="3" t="s">
        <v>49</v>
      </c>
      <c r="J6" s="3">
        <v>47628195</v>
      </c>
      <c r="K6" s="3" t="s">
        <v>69</v>
      </c>
      <c r="L6" s="3"/>
      <c r="M6" s="3"/>
      <c r="N6" s="3" t="s">
        <v>70</v>
      </c>
      <c r="O6" s="3" t="s">
        <v>52</v>
      </c>
      <c r="P6" s="3">
        <v>0.7</v>
      </c>
      <c r="Q6" s="3">
        <v>0.6</v>
      </c>
      <c r="R6" s="4" t="s">
        <v>53</v>
      </c>
      <c r="S6" s="4">
        <v>2300</v>
      </c>
      <c r="T6" s="4">
        <v>30400</v>
      </c>
      <c r="U6" s="4">
        <v>25800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4600</v>
      </c>
      <c r="AD6" s="4">
        <v>30400</v>
      </c>
      <c r="AE6" s="4">
        <v>25800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4600</v>
      </c>
      <c r="AN6" s="4">
        <v>21280</v>
      </c>
      <c r="AO6" s="4">
        <v>0</v>
      </c>
      <c r="AP6" s="4">
        <v>21280</v>
      </c>
      <c r="AQ6" t="s">
        <v>45</v>
      </c>
      <c r="AR6" t="s">
        <v>70</v>
      </c>
    </row>
    <row r="7" spans="1:44" x14ac:dyDescent="0.4">
      <c r="A7" s="3" t="s">
        <v>42</v>
      </c>
      <c r="B7" s="3" t="s">
        <v>43</v>
      </c>
      <c r="C7" s="3" t="s">
        <v>44</v>
      </c>
      <c r="D7" s="3" t="s">
        <v>45</v>
      </c>
      <c r="E7" s="3"/>
      <c r="F7" s="3" t="s">
        <v>46</v>
      </c>
      <c r="G7" s="3" t="s">
        <v>47</v>
      </c>
      <c r="H7" s="3" t="s">
        <v>48</v>
      </c>
      <c r="I7" s="3" t="s">
        <v>49</v>
      </c>
      <c r="J7" s="3">
        <v>47628195</v>
      </c>
      <c r="K7" s="3" t="s">
        <v>69</v>
      </c>
      <c r="L7" s="3"/>
      <c r="M7" s="3"/>
      <c r="N7" s="3" t="s">
        <v>70</v>
      </c>
      <c r="O7" s="3" t="s">
        <v>52</v>
      </c>
      <c r="P7" s="3">
        <v>0.7</v>
      </c>
      <c r="Q7" s="3">
        <v>0.6</v>
      </c>
      <c r="R7" s="4" t="s">
        <v>53</v>
      </c>
      <c r="S7" s="4">
        <v>4500</v>
      </c>
      <c r="T7" s="4">
        <v>13500</v>
      </c>
      <c r="U7" s="4">
        <v>13500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13500</v>
      </c>
      <c r="AE7" s="4">
        <v>13500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9450</v>
      </c>
      <c r="AO7" s="4">
        <v>0</v>
      </c>
      <c r="AP7" s="4">
        <v>9450</v>
      </c>
      <c r="AQ7" t="s">
        <v>45</v>
      </c>
      <c r="AR7" t="s">
        <v>70</v>
      </c>
    </row>
    <row r="8" spans="1:44" x14ac:dyDescent="0.4">
      <c r="A8" s="3" t="s">
        <v>42</v>
      </c>
      <c r="B8" s="3" t="s">
        <v>43</v>
      </c>
      <c r="C8" s="3" t="s">
        <v>44</v>
      </c>
      <c r="D8" s="3" t="s">
        <v>45</v>
      </c>
      <c r="E8" s="3"/>
      <c r="F8" s="3" t="s">
        <v>46</v>
      </c>
      <c r="G8" s="3" t="s">
        <v>47</v>
      </c>
      <c r="H8" s="3" t="s">
        <v>48</v>
      </c>
      <c r="I8" s="3" t="s">
        <v>49</v>
      </c>
      <c r="J8" s="3">
        <v>47628195</v>
      </c>
      <c r="K8" s="3" t="s">
        <v>69</v>
      </c>
      <c r="L8" s="3"/>
      <c r="M8" s="3"/>
      <c r="N8" s="3" t="s">
        <v>70</v>
      </c>
      <c r="O8" s="3" t="s">
        <v>52</v>
      </c>
      <c r="P8" s="3">
        <v>0.7</v>
      </c>
      <c r="Q8" s="3">
        <v>0.6</v>
      </c>
      <c r="R8" s="4" t="s">
        <v>53</v>
      </c>
      <c r="S8" s="4">
        <v>9000</v>
      </c>
      <c r="T8" s="4">
        <v>59400</v>
      </c>
      <c r="U8" s="4">
        <v>58400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1000</v>
      </c>
      <c r="AD8" s="4">
        <v>59400</v>
      </c>
      <c r="AE8" s="4">
        <v>58400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1000</v>
      </c>
      <c r="AN8" s="4">
        <v>41580</v>
      </c>
      <c r="AO8" s="4">
        <v>0</v>
      </c>
      <c r="AP8" s="4">
        <v>41580</v>
      </c>
      <c r="AQ8" t="s">
        <v>45</v>
      </c>
      <c r="AR8" t="s">
        <v>70</v>
      </c>
    </row>
    <row r="9" spans="1:44" x14ac:dyDescent="0.4">
      <c r="A9" s="3" t="s">
        <v>42</v>
      </c>
      <c r="B9" s="3" t="s">
        <v>43</v>
      </c>
      <c r="C9" s="3" t="s">
        <v>44</v>
      </c>
      <c r="D9" s="3" t="s">
        <v>45</v>
      </c>
      <c r="E9" s="3"/>
      <c r="F9" s="3" t="s">
        <v>46</v>
      </c>
      <c r="G9" s="3" t="s">
        <v>47</v>
      </c>
      <c r="H9" s="3" t="s">
        <v>48</v>
      </c>
      <c r="I9" s="3" t="s">
        <v>49</v>
      </c>
      <c r="J9" s="3">
        <v>46416390</v>
      </c>
      <c r="K9" s="3" t="s">
        <v>117</v>
      </c>
      <c r="L9" s="3"/>
      <c r="M9" s="3"/>
      <c r="N9" s="3" t="s">
        <v>70</v>
      </c>
      <c r="O9" s="3" t="s">
        <v>52</v>
      </c>
      <c r="P9" s="3">
        <v>0.7</v>
      </c>
      <c r="Q9" s="3">
        <v>0.6</v>
      </c>
      <c r="R9" s="4" t="s">
        <v>56</v>
      </c>
      <c r="S9" s="4">
        <v>100</v>
      </c>
      <c r="T9" s="4">
        <v>6500</v>
      </c>
      <c r="U9" s="4">
        <v>500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6000</v>
      </c>
      <c r="AD9" s="4">
        <v>6500</v>
      </c>
      <c r="AE9" s="4">
        <v>500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6000</v>
      </c>
      <c r="AN9" s="4">
        <v>4550</v>
      </c>
      <c r="AO9" s="4">
        <v>0</v>
      </c>
      <c r="AP9" s="4">
        <v>4550</v>
      </c>
      <c r="AQ9" t="s">
        <v>45</v>
      </c>
      <c r="AR9" t="s">
        <v>70</v>
      </c>
    </row>
    <row r="10" spans="1:44" x14ac:dyDescent="0.4">
      <c r="A10" s="3" t="s">
        <v>42</v>
      </c>
      <c r="B10" s="3" t="s">
        <v>43</v>
      </c>
      <c r="C10" s="3" t="s">
        <v>44</v>
      </c>
      <c r="D10" s="3" t="s">
        <v>45</v>
      </c>
      <c r="E10" s="3"/>
      <c r="F10" s="3" t="s">
        <v>46</v>
      </c>
      <c r="G10" s="3" t="s">
        <v>47</v>
      </c>
      <c r="H10" s="3" t="s">
        <v>48</v>
      </c>
      <c r="I10" s="3" t="s">
        <v>49</v>
      </c>
      <c r="J10" s="3">
        <v>46416390</v>
      </c>
      <c r="K10" s="3" t="s">
        <v>117</v>
      </c>
      <c r="L10" s="3"/>
      <c r="M10" s="3"/>
      <c r="N10" s="3" t="s">
        <v>70</v>
      </c>
      <c r="O10" s="3" t="s">
        <v>52</v>
      </c>
      <c r="P10" s="3">
        <v>0.7</v>
      </c>
      <c r="Q10" s="3">
        <v>0.6</v>
      </c>
      <c r="R10" s="4" t="s">
        <v>53</v>
      </c>
      <c r="S10" s="4">
        <v>2700</v>
      </c>
      <c r="T10" s="4">
        <v>23200</v>
      </c>
      <c r="U10" s="4">
        <v>23200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23200</v>
      </c>
      <c r="AE10" s="4">
        <v>23200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16240</v>
      </c>
      <c r="AO10" s="4">
        <v>0</v>
      </c>
      <c r="AP10" s="4">
        <v>16240</v>
      </c>
      <c r="AQ10" t="s">
        <v>45</v>
      </c>
      <c r="AR10" t="s">
        <v>70</v>
      </c>
    </row>
    <row r="11" spans="1:44" x14ac:dyDescent="0.4">
      <c r="A11" s="3" t="s">
        <v>42</v>
      </c>
      <c r="B11" s="3" t="s">
        <v>43</v>
      </c>
      <c r="C11" s="3" t="s">
        <v>44</v>
      </c>
      <c r="D11" s="3" t="s">
        <v>45</v>
      </c>
      <c r="E11" s="3"/>
      <c r="F11" s="3" t="s">
        <v>46</v>
      </c>
      <c r="G11" s="3" t="s">
        <v>47</v>
      </c>
      <c r="H11" s="3" t="s">
        <v>48</v>
      </c>
      <c r="I11" s="3" t="s">
        <v>49</v>
      </c>
      <c r="J11" s="3">
        <v>46416390</v>
      </c>
      <c r="K11" s="3" t="s">
        <v>117</v>
      </c>
      <c r="L11" s="3"/>
      <c r="M11" s="3"/>
      <c r="N11" s="3" t="s">
        <v>70</v>
      </c>
      <c r="O11" s="3" t="s">
        <v>52</v>
      </c>
      <c r="P11" s="3">
        <v>0.7</v>
      </c>
      <c r="Q11" s="3">
        <v>0.6</v>
      </c>
      <c r="R11" s="4" t="s">
        <v>53</v>
      </c>
      <c r="S11" s="4">
        <v>9000</v>
      </c>
      <c r="T11" s="4">
        <v>5700</v>
      </c>
      <c r="U11" s="4">
        <v>9000</v>
      </c>
      <c r="V11" s="4">
        <v>0</v>
      </c>
      <c r="W11" s="4">
        <v>0</v>
      </c>
      <c r="X11" s="4">
        <v>0</v>
      </c>
      <c r="Y11" s="4">
        <v>-3300</v>
      </c>
      <c r="Z11" s="4">
        <v>0</v>
      </c>
      <c r="AA11" s="4">
        <v>0</v>
      </c>
      <c r="AB11" s="4">
        <v>0</v>
      </c>
      <c r="AC11" s="4">
        <v>0</v>
      </c>
      <c r="AD11" s="4">
        <v>5040</v>
      </c>
      <c r="AE11" s="4">
        <v>9000</v>
      </c>
      <c r="AF11" s="4">
        <v>0</v>
      </c>
      <c r="AG11" s="4">
        <v>0</v>
      </c>
      <c r="AH11" s="4">
        <v>0</v>
      </c>
      <c r="AI11" s="4">
        <v>-3960</v>
      </c>
      <c r="AJ11" s="4">
        <v>0</v>
      </c>
      <c r="AK11" s="4">
        <v>0</v>
      </c>
      <c r="AL11" s="4">
        <v>0</v>
      </c>
      <c r="AM11" s="4">
        <v>0</v>
      </c>
      <c r="AN11" s="4">
        <v>3924</v>
      </c>
      <c r="AO11" s="4">
        <v>0</v>
      </c>
      <c r="AP11" s="4">
        <v>3924</v>
      </c>
      <c r="AQ11" t="s">
        <v>45</v>
      </c>
      <c r="AR11" t="s">
        <v>70</v>
      </c>
    </row>
    <row r="12" spans="1:44" x14ac:dyDescent="0.4">
      <c r="A12" s="3" t="s">
        <v>42</v>
      </c>
      <c r="B12" s="3" t="s">
        <v>43</v>
      </c>
      <c r="C12" s="3" t="s">
        <v>44</v>
      </c>
      <c r="D12" s="3" t="s">
        <v>45</v>
      </c>
      <c r="E12" s="3"/>
      <c r="F12" s="3" t="s">
        <v>46</v>
      </c>
      <c r="G12" s="3" t="s">
        <v>47</v>
      </c>
      <c r="H12" s="3" t="s">
        <v>48</v>
      </c>
      <c r="I12" s="3" t="s">
        <v>49</v>
      </c>
      <c r="J12" s="3">
        <v>46929860</v>
      </c>
      <c r="K12" s="3" t="s">
        <v>146</v>
      </c>
      <c r="L12" s="3"/>
      <c r="M12" s="3"/>
      <c r="N12" s="3" t="s">
        <v>70</v>
      </c>
      <c r="O12" s="3" t="s">
        <v>52</v>
      </c>
      <c r="P12" s="3">
        <v>0.7</v>
      </c>
      <c r="Q12" s="3">
        <v>0.6</v>
      </c>
      <c r="R12" s="4" t="s">
        <v>56</v>
      </c>
      <c r="S12" s="4">
        <v>100</v>
      </c>
      <c r="T12" s="4">
        <v>103800</v>
      </c>
      <c r="U12" s="4">
        <v>45500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58300</v>
      </c>
      <c r="AD12" s="4">
        <v>103800</v>
      </c>
      <c r="AE12" s="4">
        <v>45500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58300</v>
      </c>
      <c r="AN12" s="4">
        <v>72660</v>
      </c>
      <c r="AO12" s="4">
        <v>0</v>
      </c>
      <c r="AP12" s="4">
        <v>72660</v>
      </c>
      <c r="AQ12" t="s">
        <v>45</v>
      </c>
      <c r="AR12" t="s">
        <v>70</v>
      </c>
    </row>
    <row r="13" spans="1:44" x14ac:dyDescent="0.4">
      <c r="A13" s="3" t="s">
        <v>42</v>
      </c>
      <c r="B13" s="3" t="s">
        <v>43</v>
      </c>
      <c r="C13" s="3" t="s">
        <v>44</v>
      </c>
      <c r="D13" s="3" t="s">
        <v>45</v>
      </c>
      <c r="E13" s="3"/>
      <c r="F13" s="3" t="s">
        <v>46</v>
      </c>
      <c r="G13" s="3" t="s">
        <v>47</v>
      </c>
      <c r="H13" s="3" t="s">
        <v>48</v>
      </c>
      <c r="I13" s="3" t="s">
        <v>49</v>
      </c>
      <c r="J13" s="3">
        <v>46929860</v>
      </c>
      <c r="K13" s="3" t="s">
        <v>146</v>
      </c>
      <c r="L13" s="3"/>
      <c r="M13" s="3"/>
      <c r="N13" s="3" t="s">
        <v>70</v>
      </c>
      <c r="O13" s="3" t="s">
        <v>52</v>
      </c>
      <c r="P13" s="3">
        <v>0.7</v>
      </c>
      <c r="Q13" s="3">
        <v>0.6</v>
      </c>
      <c r="R13" s="4" t="s">
        <v>53</v>
      </c>
      <c r="S13" s="4">
        <v>2300</v>
      </c>
      <c r="T13" s="4">
        <v>92000</v>
      </c>
      <c r="U13" s="4">
        <v>83700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8300</v>
      </c>
      <c r="AD13" s="4">
        <v>92000</v>
      </c>
      <c r="AE13" s="4">
        <v>83700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8300</v>
      </c>
      <c r="AN13" s="4">
        <v>64400</v>
      </c>
      <c r="AO13" s="4">
        <v>0</v>
      </c>
      <c r="AP13" s="4">
        <v>64400</v>
      </c>
      <c r="AQ13" t="s">
        <v>45</v>
      </c>
      <c r="AR13" t="s">
        <v>70</v>
      </c>
    </row>
    <row r="14" spans="1:44" x14ac:dyDescent="0.4">
      <c r="A14" s="3" t="s">
        <v>42</v>
      </c>
      <c r="B14" s="3" t="s">
        <v>43</v>
      </c>
      <c r="C14" s="3" t="s">
        <v>44</v>
      </c>
      <c r="D14" s="3" t="s">
        <v>45</v>
      </c>
      <c r="E14" s="3"/>
      <c r="F14" s="3" t="s">
        <v>46</v>
      </c>
      <c r="G14" s="3" t="s">
        <v>47</v>
      </c>
      <c r="H14" s="3" t="s">
        <v>48</v>
      </c>
      <c r="I14" s="3" t="s">
        <v>49</v>
      </c>
      <c r="J14" s="3">
        <v>46929860</v>
      </c>
      <c r="K14" s="3" t="s">
        <v>146</v>
      </c>
      <c r="L14" s="3"/>
      <c r="M14" s="3"/>
      <c r="N14" s="3" t="s">
        <v>70</v>
      </c>
      <c r="O14" s="3" t="s">
        <v>52</v>
      </c>
      <c r="P14" s="3">
        <v>0.7</v>
      </c>
      <c r="Q14" s="3">
        <v>0.6</v>
      </c>
      <c r="R14" s="4" t="s">
        <v>53</v>
      </c>
      <c r="S14" s="4">
        <v>4500</v>
      </c>
      <c r="T14" s="4">
        <v>67500</v>
      </c>
      <c r="U14" s="4">
        <v>54800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12700</v>
      </c>
      <c r="AD14" s="4">
        <v>67500</v>
      </c>
      <c r="AE14" s="4">
        <v>54800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12700</v>
      </c>
      <c r="AN14" s="4">
        <v>47250</v>
      </c>
      <c r="AO14" s="4">
        <v>0</v>
      </c>
      <c r="AP14" s="4">
        <v>47250</v>
      </c>
      <c r="AQ14" t="s">
        <v>45</v>
      </c>
      <c r="AR14" t="s">
        <v>70</v>
      </c>
    </row>
    <row r="15" spans="1:44" x14ac:dyDescent="0.4">
      <c r="A15" s="3" t="s">
        <v>42</v>
      </c>
      <c r="B15" s="3" t="s">
        <v>43</v>
      </c>
      <c r="C15" s="3" t="s">
        <v>44</v>
      </c>
      <c r="D15" s="3" t="s">
        <v>45</v>
      </c>
      <c r="E15" s="3"/>
      <c r="F15" s="3" t="s">
        <v>46</v>
      </c>
      <c r="G15" s="3" t="s">
        <v>47</v>
      </c>
      <c r="H15" s="3" t="s">
        <v>48</v>
      </c>
      <c r="I15" s="3" t="s">
        <v>49</v>
      </c>
      <c r="J15" s="3">
        <v>46929860</v>
      </c>
      <c r="K15" s="3" t="s">
        <v>146</v>
      </c>
      <c r="L15" s="3"/>
      <c r="M15" s="3"/>
      <c r="N15" s="3" t="s">
        <v>70</v>
      </c>
      <c r="O15" s="3" t="s">
        <v>52</v>
      </c>
      <c r="P15" s="3">
        <v>0.7</v>
      </c>
      <c r="Q15" s="3">
        <v>0.6</v>
      </c>
      <c r="R15" s="4" t="s">
        <v>53</v>
      </c>
      <c r="S15" s="4">
        <v>9000</v>
      </c>
      <c r="T15" s="4">
        <v>135000</v>
      </c>
      <c r="U15" s="4">
        <v>100200</v>
      </c>
      <c r="V15" s="4">
        <v>0</v>
      </c>
      <c r="W15" s="4">
        <v>0</v>
      </c>
      <c r="X15" s="4">
        <v>0</v>
      </c>
      <c r="Y15" s="4">
        <v>0</v>
      </c>
      <c r="Z15" s="4">
        <v>9000</v>
      </c>
      <c r="AA15" s="4">
        <v>0</v>
      </c>
      <c r="AB15" s="4">
        <v>0</v>
      </c>
      <c r="AC15" s="4">
        <v>25800</v>
      </c>
      <c r="AD15" s="4">
        <v>135900</v>
      </c>
      <c r="AE15" s="4">
        <v>100200</v>
      </c>
      <c r="AF15" s="4">
        <v>0</v>
      </c>
      <c r="AG15" s="4">
        <v>0</v>
      </c>
      <c r="AH15" s="4">
        <v>0</v>
      </c>
      <c r="AI15" s="4">
        <v>0</v>
      </c>
      <c r="AJ15" s="4">
        <v>9900</v>
      </c>
      <c r="AK15" s="4">
        <v>0</v>
      </c>
      <c r="AL15" s="4">
        <v>0</v>
      </c>
      <c r="AM15" s="4">
        <v>25800</v>
      </c>
      <c r="AN15" s="4">
        <v>94140</v>
      </c>
      <c r="AO15" s="4">
        <v>0</v>
      </c>
      <c r="AP15" s="4">
        <v>94140</v>
      </c>
      <c r="AQ15" t="s">
        <v>45</v>
      </c>
      <c r="AR15" t="s">
        <v>70</v>
      </c>
    </row>
    <row r="16" spans="1:44" x14ac:dyDescent="0.4">
      <c r="A16" s="3" t="s">
        <v>42</v>
      </c>
      <c r="B16" s="3" t="s">
        <v>43</v>
      </c>
      <c r="C16" s="3" t="s">
        <v>44</v>
      </c>
      <c r="D16" s="3" t="s">
        <v>45</v>
      </c>
      <c r="E16" s="3"/>
      <c r="F16" s="3" t="s">
        <v>46</v>
      </c>
      <c r="G16" s="3" t="s">
        <v>47</v>
      </c>
      <c r="H16" s="3" t="s">
        <v>48</v>
      </c>
      <c r="I16" s="3" t="s">
        <v>49</v>
      </c>
      <c r="J16" s="3">
        <v>55983703</v>
      </c>
      <c r="K16" s="3" t="s">
        <v>204</v>
      </c>
      <c r="L16" s="3"/>
      <c r="M16" s="3"/>
      <c r="N16" s="3" t="s">
        <v>70</v>
      </c>
      <c r="O16" s="3" t="s">
        <v>52</v>
      </c>
      <c r="P16" s="3">
        <v>0.7</v>
      </c>
      <c r="Q16" s="3">
        <v>0.6</v>
      </c>
      <c r="R16" s="4" t="s">
        <v>56</v>
      </c>
      <c r="S16" s="4">
        <v>3200</v>
      </c>
      <c r="T16" s="4">
        <v>246400</v>
      </c>
      <c r="U16" s="4">
        <v>120600</v>
      </c>
      <c r="V16" s="4">
        <v>0</v>
      </c>
      <c r="W16" s="4">
        <v>0</v>
      </c>
      <c r="X16" s="4">
        <v>0</v>
      </c>
      <c r="Y16" s="4">
        <v>0</v>
      </c>
      <c r="Z16" s="4">
        <v>74600</v>
      </c>
      <c r="AA16" s="4">
        <v>0</v>
      </c>
      <c r="AB16" s="4">
        <v>0</v>
      </c>
      <c r="AC16" s="4">
        <v>51200</v>
      </c>
      <c r="AD16" s="4">
        <v>253860</v>
      </c>
      <c r="AE16" s="4">
        <v>120600</v>
      </c>
      <c r="AF16" s="4">
        <v>0</v>
      </c>
      <c r="AG16" s="4">
        <v>0</v>
      </c>
      <c r="AH16" s="4">
        <v>0</v>
      </c>
      <c r="AI16" s="4">
        <v>0</v>
      </c>
      <c r="AJ16" s="4">
        <v>82060</v>
      </c>
      <c r="AK16" s="4">
        <v>0</v>
      </c>
      <c r="AL16" s="4">
        <v>0</v>
      </c>
      <c r="AM16" s="4">
        <v>51200</v>
      </c>
      <c r="AN16" s="4">
        <v>169496</v>
      </c>
      <c r="AO16" s="4">
        <v>0</v>
      </c>
      <c r="AP16" s="4">
        <v>169496</v>
      </c>
      <c r="AQ16" t="s">
        <v>45</v>
      </c>
      <c r="AR16" t="s">
        <v>70</v>
      </c>
    </row>
    <row r="17" spans="1:44" x14ac:dyDescent="0.4">
      <c r="A17" s="3" t="s">
        <v>42</v>
      </c>
      <c r="B17" s="3" t="s">
        <v>43</v>
      </c>
      <c r="C17" s="3" t="s">
        <v>44</v>
      </c>
      <c r="D17" s="3" t="s">
        <v>45</v>
      </c>
      <c r="E17" s="3"/>
      <c r="F17" s="3" t="s">
        <v>46</v>
      </c>
      <c r="G17" s="3" t="s">
        <v>47</v>
      </c>
      <c r="H17" s="3" t="s">
        <v>48</v>
      </c>
      <c r="I17" s="3" t="s">
        <v>49</v>
      </c>
      <c r="J17" s="3">
        <v>56520642</v>
      </c>
      <c r="K17" s="3" t="s">
        <v>221</v>
      </c>
      <c r="L17" s="3"/>
      <c r="M17" s="3"/>
      <c r="N17" s="3" t="s">
        <v>70</v>
      </c>
      <c r="O17" s="3" t="s">
        <v>52</v>
      </c>
      <c r="P17" s="3">
        <v>0.7</v>
      </c>
      <c r="Q17" s="3">
        <v>0.6</v>
      </c>
      <c r="R17" s="4" t="s">
        <v>56</v>
      </c>
      <c r="S17" s="4">
        <v>3200</v>
      </c>
      <c r="T17" s="4">
        <v>35200</v>
      </c>
      <c r="U17" s="4">
        <v>21400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13800</v>
      </c>
      <c r="AD17" s="4">
        <v>35200</v>
      </c>
      <c r="AE17" s="4">
        <v>21400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13800</v>
      </c>
      <c r="AN17" s="4">
        <v>24640</v>
      </c>
      <c r="AO17" s="4">
        <v>0</v>
      </c>
      <c r="AP17" s="4">
        <v>24640</v>
      </c>
      <c r="AQ17" t="s">
        <v>45</v>
      </c>
      <c r="AR17" t="s">
        <v>70</v>
      </c>
    </row>
    <row r="18" spans="1:44" x14ac:dyDescent="0.4">
      <c r="A18" s="3" t="s">
        <v>42</v>
      </c>
      <c r="B18" s="3" t="s">
        <v>43</v>
      </c>
      <c r="C18" s="3" t="s">
        <v>44</v>
      </c>
      <c r="D18" s="3" t="s">
        <v>45</v>
      </c>
      <c r="E18" s="3"/>
      <c r="F18" s="3" t="s">
        <v>46</v>
      </c>
      <c r="G18" s="3" t="s">
        <v>47</v>
      </c>
      <c r="H18" s="3" t="s">
        <v>48</v>
      </c>
      <c r="I18" s="3" t="s">
        <v>49</v>
      </c>
      <c r="J18" s="3">
        <v>56520642</v>
      </c>
      <c r="K18" s="3" t="s">
        <v>221</v>
      </c>
      <c r="L18" s="3"/>
      <c r="M18" s="3"/>
      <c r="N18" s="3" t="s">
        <v>70</v>
      </c>
      <c r="O18" s="3" t="s">
        <v>52</v>
      </c>
      <c r="P18" s="3">
        <v>0.7</v>
      </c>
      <c r="Q18" s="3">
        <v>0.6</v>
      </c>
      <c r="R18" s="4" t="s">
        <v>74</v>
      </c>
      <c r="S18" s="4">
        <v>900</v>
      </c>
      <c r="T18" s="4">
        <v>35100</v>
      </c>
      <c r="U18" s="4">
        <v>30900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4200</v>
      </c>
      <c r="AD18" s="4">
        <v>35100</v>
      </c>
      <c r="AE18" s="4">
        <v>30900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4200</v>
      </c>
      <c r="AN18" s="4">
        <v>24570</v>
      </c>
      <c r="AO18" s="4">
        <v>0</v>
      </c>
      <c r="AP18" s="4">
        <v>24570</v>
      </c>
      <c r="AQ18" t="s">
        <v>45</v>
      </c>
      <c r="AR18" t="s">
        <v>70</v>
      </c>
    </row>
    <row r="19" spans="1:44" x14ac:dyDescent="0.4">
      <c r="A19" s="3" t="s">
        <v>42</v>
      </c>
      <c r="B19" s="3" t="s">
        <v>43</v>
      </c>
      <c r="C19" s="3" t="s">
        <v>44</v>
      </c>
      <c r="D19" s="3" t="s">
        <v>45</v>
      </c>
      <c r="E19" s="3"/>
      <c r="F19" s="3" t="s">
        <v>46</v>
      </c>
      <c r="G19" s="3" t="s">
        <v>47</v>
      </c>
      <c r="H19" s="3" t="s">
        <v>48</v>
      </c>
      <c r="I19" s="3" t="s">
        <v>49</v>
      </c>
      <c r="J19" s="3">
        <v>56520642</v>
      </c>
      <c r="K19" s="3" t="s">
        <v>221</v>
      </c>
      <c r="L19" s="3"/>
      <c r="M19" s="3"/>
      <c r="N19" s="3" t="s">
        <v>70</v>
      </c>
      <c r="O19" s="3" t="s">
        <v>52</v>
      </c>
      <c r="P19" s="3">
        <v>0.7</v>
      </c>
      <c r="Q19" s="3">
        <v>0.6</v>
      </c>
      <c r="R19" s="4" t="s">
        <v>110</v>
      </c>
      <c r="S19" s="4">
        <v>8100</v>
      </c>
      <c r="T19" s="4">
        <v>8100</v>
      </c>
      <c r="U19" s="4">
        <v>8100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8100</v>
      </c>
      <c r="AE19" s="4">
        <v>8100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5670</v>
      </c>
      <c r="AO19" s="4">
        <v>0</v>
      </c>
      <c r="AP19" s="4">
        <v>5670</v>
      </c>
      <c r="AQ19" t="s">
        <v>45</v>
      </c>
      <c r="AR19" t="s">
        <v>70</v>
      </c>
    </row>
    <row r="20" spans="1:44" x14ac:dyDescent="0.4">
      <c r="A20" s="3" t="s">
        <v>42</v>
      </c>
      <c r="B20" s="3" t="s">
        <v>43</v>
      </c>
      <c r="C20" s="3" t="s">
        <v>44</v>
      </c>
      <c r="D20" s="3" t="s">
        <v>45</v>
      </c>
      <c r="E20" s="3"/>
      <c r="F20" s="3" t="s">
        <v>46</v>
      </c>
      <c r="G20" s="3" t="s">
        <v>47</v>
      </c>
      <c r="H20" s="3" t="s">
        <v>48</v>
      </c>
      <c r="I20" s="3" t="s">
        <v>49</v>
      </c>
      <c r="J20" s="3">
        <v>46730490</v>
      </c>
      <c r="K20" s="3" t="s">
        <v>218</v>
      </c>
      <c r="L20" s="3"/>
      <c r="M20" s="3"/>
      <c r="N20" s="3" t="s">
        <v>70</v>
      </c>
      <c r="O20" s="3" t="s">
        <v>52</v>
      </c>
      <c r="P20" s="3">
        <v>0.7</v>
      </c>
      <c r="Q20" s="3">
        <v>0.6</v>
      </c>
      <c r="R20" s="4" t="s">
        <v>56</v>
      </c>
      <c r="S20" s="4">
        <v>100</v>
      </c>
      <c r="T20" s="4">
        <v>65200</v>
      </c>
      <c r="U20" s="4">
        <v>9000</v>
      </c>
      <c r="V20" s="4">
        <v>0</v>
      </c>
      <c r="W20" s="4">
        <v>0</v>
      </c>
      <c r="X20" s="4">
        <v>0</v>
      </c>
      <c r="Y20" s="4">
        <v>1100</v>
      </c>
      <c r="Z20" s="4">
        <v>2800</v>
      </c>
      <c r="AA20" s="4">
        <v>0</v>
      </c>
      <c r="AB20" s="4">
        <v>0</v>
      </c>
      <c r="AC20" s="4">
        <v>52300</v>
      </c>
      <c r="AD20" s="4">
        <v>65700</v>
      </c>
      <c r="AE20" s="4">
        <v>9000</v>
      </c>
      <c r="AF20" s="4">
        <v>0</v>
      </c>
      <c r="AG20" s="4">
        <v>0</v>
      </c>
      <c r="AH20" s="4">
        <v>0</v>
      </c>
      <c r="AI20" s="4">
        <v>1320</v>
      </c>
      <c r="AJ20" s="4">
        <v>3080</v>
      </c>
      <c r="AK20" s="4">
        <v>0</v>
      </c>
      <c r="AL20" s="4">
        <v>0</v>
      </c>
      <c r="AM20" s="4">
        <v>52300</v>
      </c>
      <c r="AN20" s="4">
        <v>45550</v>
      </c>
      <c r="AO20" s="4">
        <v>0</v>
      </c>
      <c r="AP20" s="4">
        <v>45550</v>
      </c>
      <c r="AQ20" t="s">
        <v>45</v>
      </c>
      <c r="AR20" t="s">
        <v>70</v>
      </c>
    </row>
    <row r="21" spans="1:44" x14ac:dyDescent="0.4">
      <c r="A21" s="3" t="s">
        <v>42</v>
      </c>
      <c r="B21" s="3" t="s">
        <v>43</v>
      </c>
      <c r="C21" s="3" t="s">
        <v>44</v>
      </c>
      <c r="D21" s="3" t="s">
        <v>45</v>
      </c>
      <c r="E21" s="3"/>
      <c r="F21" s="3" t="s">
        <v>46</v>
      </c>
      <c r="G21" s="3" t="s">
        <v>47</v>
      </c>
      <c r="H21" s="3" t="s">
        <v>48</v>
      </c>
      <c r="I21" s="3" t="s">
        <v>49</v>
      </c>
      <c r="J21" s="3">
        <v>46730490</v>
      </c>
      <c r="K21" s="3" t="s">
        <v>218</v>
      </c>
      <c r="L21" s="3"/>
      <c r="M21" s="3"/>
      <c r="N21" s="3" t="s">
        <v>70</v>
      </c>
      <c r="O21" s="3" t="s">
        <v>52</v>
      </c>
      <c r="P21" s="3">
        <v>0.7</v>
      </c>
      <c r="Q21" s="3">
        <v>0.6</v>
      </c>
      <c r="R21" s="4" t="s">
        <v>53</v>
      </c>
      <c r="S21" s="4">
        <v>2300</v>
      </c>
      <c r="T21" s="4">
        <v>80500</v>
      </c>
      <c r="U21" s="4">
        <v>70900</v>
      </c>
      <c r="V21" s="4">
        <v>0</v>
      </c>
      <c r="W21" s="4">
        <v>0</v>
      </c>
      <c r="X21" s="4">
        <v>0</v>
      </c>
      <c r="Y21" s="4">
        <v>4600</v>
      </c>
      <c r="Z21" s="4">
        <v>0</v>
      </c>
      <c r="AA21" s="4">
        <v>0</v>
      </c>
      <c r="AB21" s="4">
        <v>0</v>
      </c>
      <c r="AC21" s="4">
        <v>5000</v>
      </c>
      <c r="AD21" s="4">
        <v>81420</v>
      </c>
      <c r="AE21" s="4">
        <v>70900</v>
      </c>
      <c r="AF21" s="4">
        <v>0</v>
      </c>
      <c r="AG21" s="4">
        <v>0</v>
      </c>
      <c r="AH21" s="4">
        <v>0</v>
      </c>
      <c r="AI21" s="4">
        <v>5520</v>
      </c>
      <c r="AJ21" s="4">
        <v>0</v>
      </c>
      <c r="AK21" s="4">
        <v>0</v>
      </c>
      <c r="AL21" s="4">
        <v>0</v>
      </c>
      <c r="AM21" s="4">
        <v>5000</v>
      </c>
      <c r="AN21" s="4">
        <v>56442</v>
      </c>
      <c r="AO21" s="4">
        <v>0</v>
      </c>
      <c r="AP21" s="4">
        <v>56442</v>
      </c>
      <c r="AQ21" t="s">
        <v>45</v>
      </c>
      <c r="AR21" t="s">
        <v>70</v>
      </c>
    </row>
    <row r="22" spans="1:44" x14ac:dyDescent="0.4">
      <c r="A22" s="3" t="s">
        <v>42</v>
      </c>
      <c r="B22" s="3" t="s">
        <v>43</v>
      </c>
      <c r="C22" s="3" t="s">
        <v>44</v>
      </c>
      <c r="D22" s="3" t="s">
        <v>45</v>
      </c>
      <c r="E22" s="3"/>
      <c r="F22" s="3" t="s">
        <v>46</v>
      </c>
      <c r="G22" s="3" t="s">
        <v>47</v>
      </c>
      <c r="H22" s="3" t="s">
        <v>48</v>
      </c>
      <c r="I22" s="3" t="s">
        <v>49</v>
      </c>
      <c r="J22" s="3">
        <v>46730490</v>
      </c>
      <c r="K22" s="3" t="s">
        <v>218</v>
      </c>
      <c r="L22" s="3"/>
      <c r="M22" s="3"/>
      <c r="N22" s="3" t="s">
        <v>70</v>
      </c>
      <c r="O22" s="3" t="s">
        <v>52</v>
      </c>
      <c r="P22" s="3">
        <v>0.7</v>
      </c>
      <c r="Q22" s="3">
        <v>0.6</v>
      </c>
      <c r="R22" s="4" t="s">
        <v>53</v>
      </c>
      <c r="S22" s="4">
        <v>9000</v>
      </c>
      <c r="T22" s="4">
        <v>189000</v>
      </c>
      <c r="U22" s="4">
        <v>121100</v>
      </c>
      <c r="V22" s="4">
        <v>0</v>
      </c>
      <c r="W22" s="4">
        <v>0</v>
      </c>
      <c r="X22" s="4">
        <v>0</v>
      </c>
      <c r="Y22" s="4">
        <v>0</v>
      </c>
      <c r="Z22" s="4">
        <v>45000</v>
      </c>
      <c r="AA22" s="4">
        <v>0</v>
      </c>
      <c r="AB22" s="4">
        <v>0</v>
      </c>
      <c r="AC22" s="4">
        <v>22900</v>
      </c>
      <c r="AD22" s="4">
        <v>193500</v>
      </c>
      <c r="AE22" s="4">
        <v>121100</v>
      </c>
      <c r="AF22" s="4">
        <v>0</v>
      </c>
      <c r="AG22" s="4">
        <v>0</v>
      </c>
      <c r="AH22" s="4">
        <v>0</v>
      </c>
      <c r="AI22" s="4">
        <v>0</v>
      </c>
      <c r="AJ22" s="4">
        <v>49500</v>
      </c>
      <c r="AK22" s="4">
        <v>0</v>
      </c>
      <c r="AL22" s="4">
        <v>0</v>
      </c>
      <c r="AM22" s="4">
        <v>22900</v>
      </c>
      <c r="AN22" s="4">
        <v>130500</v>
      </c>
      <c r="AO22" s="4">
        <v>0</v>
      </c>
      <c r="AP22" s="4">
        <v>130500</v>
      </c>
      <c r="AQ22" t="s">
        <v>45</v>
      </c>
      <c r="AR22" t="s">
        <v>70</v>
      </c>
    </row>
    <row r="23" spans="1:44" x14ac:dyDescent="0.4">
      <c r="A23" s="3" t="s">
        <v>42</v>
      </c>
      <c r="B23" s="3" t="s">
        <v>43</v>
      </c>
      <c r="C23" s="3" t="s">
        <v>44</v>
      </c>
      <c r="D23" s="3" t="s">
        <v>45</v>
      </c>
      <c r="E23" s="3"/>
      <c r="F23" s="3" t="s">
        <v>46</v>
      </c>
      <c r="G23" s="3" t="s">
        <v>47</v>
      </c>
      <c r="H23" s="3" t="s">
        <v>48</v>
      </c>
      <c r="I23" s="3" t="s">
        <v>49</v>
      </c>
      <c r="J23" s="3">
        <v>46730490</v>
      </c>
      <c r="K23" s="3" t="s">
        <v>218</v>
      </c>
      <c r="L23" s="3"/>
      <c r="M23" s="3"/>
      <c r="N23" s="3" t="s">
        <v>70</v>
      </c>
      <c r="O23" s="3" t="s">
        <v>52</v>
      </c>
      <c r="P23" s="3">
        <v>0.7</v>
      </c>
      <c r="Q23" s="3">
        <v>0.6</v>
      </c>
      <c r="R23" s="4" t="s">
        <v>53</v>
      </c>
      <c r="S23" s="4">
        <v>27000</v>
      </c>
      <c r="T23" s="4">
        <v>-19200</v>
      </c>
      <c r="U23" s="4">
        <v>-19200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-19200</v>
      </c>
      <c r="AE23" s="4">
        <v>-19200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-13440</v>
      </c>
      <c r="AO23" s="4">
        <v>0</v>
      </c>
      <c r="AP23" s="4">
        <v>-13440</v>
      </c>
      <c r="AQ23" t="s">
        <v>45</v>
      </c>
      <c r="AR23" t="s">
        <v>70</v>
      </c>
    </row>
    <row r="24" spans="1:44" x14ac:dyDescent="0.4">
      <c r="A24" s="3" t="s">
        <v>42</v>
      </c>
      <c r="B24" s="3" t="s">
        <v>43</v>
      </c>
      <c r="C24" s="3" t="s">
        <v>44</v>
      </c>
      <c r="D24" s="3" t="s">
        <v>45</v>
      </c>
      <c r="E24" s="3"/>
      <c r="F24" s="3" t="s">
        <v>46</v>
      </c>
      <c r="G24" s="3" t="s">
        <v>47</v>
      </c>
      <c r="H24" s="3" t="s">
        <v>48</v>
      </c>
      <c r="I24" s="3" t="s">
        <v>49</v>
      </c>
      <c r="J24" s="3">
        <v>46730594</v>
      </c>
      <c r="K24" s="3" t="s">
        <v>231</v>
      </c>
      <c r="L24" s="3"/>
      <c r="M24" s="3"/>
      <c r="N24" s="3" t="s">
        <v>70</v>
      </c>
      <c r="O24" s="3" t="s">
        <v>52</v>
      </c>
      <c r="P24" s="3">
        <v>0.7</v>
      </c>
      <c r="Q24" s="3">
        <v>0.6</v>
      </c>
      <c r="R24" s="4" t="s">
        <v>56</v>
      </c>
      <c r="S24" s="4">
        <v>100</v>
      </c>
      <c r="T24" s="4">
        <v>16600</v>
      </c>
      <c r="U24" s="4">
        <v>4300</v>
      </c>
      <c r="V24" s="4">
        <v>0</v>
      </c>
      <c r="W24" s="4">
        <v>0</v>
      </c>
      <c r="X24" s="4">
        <v>0</v>
      </c>
      <c r="Y24" s="4">
        <v>200</v>
      </c>
      <c r="Z24" s="4">
        <v>2300</v>
      </c>
      <c r="AA24" s="4">
        <v>0</v>
      </c>
      <c r="AB24" s="4">
        <v>0</v>
      </c>
      <c r="AC24" s="4">
        <v>9800</v>
      </c>
      <c r="AD24" s="4">
        <v>16870</v>
      </c>
      <c r="AE24" s="4">
        <v>4300</v>
      </c>
      <c r="AF24" s="4">
        <v>0</v>
      </c>
      <c r="AG24" s="4">
        <v>0</v>
      </c>
      <c r="AH24" s="4">
        <v>0</v>
      </c>
      <c r="AI24" s="4">
        <v>240</v>
      </c>
      <c r="AJ24" s="4">
        <v>2530</v>
      </c>
      <c r="AK24" s="4">
        <v>0</v>
      </c>
      <c r="AL24" s="4">
        <v>0</v>
      </c>
      <c r="AM24" s="4">
        <v>9800</v>
      </c>
      <c r="AN24" s="4">
        <v>11532</v>
      </c>
      <c r="AO24" s="4">
        <v>0</v>
      </c>
      <c r="AP24" s="4">
        <v>11532</v>
      </c>
      <c r="AQ24" t="s">
        <v>45</v>
      </c>
      <c r="AR24" t="s">
        <v>70</v>
      </c>
    </row>
    <row r="25" spans="1:44" x14ac:dyDescent="0.4">
      <c r="A25" s="3" t="s">
        <v>42</v>
      </c>
      <c r="B25" s="3" t="s">
        <v>43</v>
      </c>
      <c r="C25" s="3" t="s">
        <v>44</v>
      </c>
      <c r="D25" s="3" t="s">
        <v>45</v>
      </c>
      <c r="E25" s="3"/>
      <c r="F25" s="3" t="s">
        <v>46</v>
      </c>
      <c r="G25" s="3" t="s">
        <v>47</v>
      </c>
      <c r="H25" s="3" t="s">
        <v>48</v>
      </c>
      <c r="I25" s="3" t="s">
        <v>49</v>
      </c>
      <c r="J25" s="3">
        <v>46730594</v>
      </c>
      <c r="K25" s="3" t="s">
        <v>231</v>
      </c>
      <c r="L25" s="3"/>
      <c r="M25" s="3"/>
      <c r="N25" s="3" t="s">
        <v>70</v>
      </c>
      <c r="O25" s="3" t="s">
        <v>52</v>
      </c>
      <c r="P25" s="3">
        <v>0.7</v>
      </c>
      <c r="Q25" s="3">
        <v>0.6</v>
      </c>
      <c r="R25" s="4" t="s">
        <v>53</v>
      </c>
      <c r="S25" s="4">
        <v>2300</v>
      </c>
      <c r="T25" s="4">
        <v>23000</v>
      </c>
      <c r="U25" s="4">
        <v>11500</v>
      </c>
      <c r="V25" s="4">
        <v>0</v>
      </c>
      <c r="W25" s="4">
        <v>0</v>
      </c>
      <c r="X25" s="4">
        <v>0</v>
      </c>
      <c r="Y25" s="4">
        <v>4600</v>
      </c>
      <c r="Z25" s="4">
        <v>6900</v>
      </c>
      <c r="AA25" s="4">
        <v>0</v>
      </c>
      <c r="AB25" s="4">
        <v>0</v>
      </c>
      <c r="AC25" s="4">
        <v>0</v>
      </c>
      <c r="AD25" s="4">
        <v>24610</v>
      </c>
      <c r="AE25" s="4">
        <v>11500</v>
      </c>
      <c r="AF25" s="4">
        <v>0</v>
      </c>
      <c r="AG25" s="4">
        <v>0</v>
      </c>
      <c r="AH25" s="4">
        <v>0</v>
      </c>
      <c r="AI25" s="4">
        <v>5520</v>
      </c>
      <c r="AJ25" s="4">
        <v>7590</v>
      </c>
      <c r="AK25" s="4">
        <v>0</v>
      </c>
      <c r="AL25" s="4">
        <v>0</v>
      </c>
      <c r="AM25" s="4">
        <v>0</v>
      </c>
      <c r="AN25" s="4">
        <v>15916</v>
      </c>
      <c r="AO25" s="4">
        <v>0</v>
      </c>
      <c r="AP25" s="4">
        <v>15916</v>
      </c>
      <c r="AQ25" t="s">
        <v>45</v>
      </c>
      <c r="AR25" t="s">
        <v>70</v>
      </c>
    </row>
    <row r="26" spans="1:44" x14ac:dyDescent="0.4">
      <c r="A26" s="3" t="s">
        <v>42</v>
      </c>
      <c r="B26" s="3" t="s">
        <v>43</v>
      </c>
      <c r="C26" s="3" t="s">
        <v>44</v>
      </c>
      <c r="D26" s="3" t="s">
        <v>45</v>
      </c>
      <c r="E26" s="3"/>
      <c r="F26" s="3" t="s">
        <v>46</v>
      </c>
      <c r="G26" s="3" t="s">
        <v>47</v>
      </c>
      <c r="H26" s="3" t="s">
        <v>48</v>
      </c>
      <c r="I26" s="3" t="s">
        <v>49</v>
      </c>
      <c r="J26" s="3">
        <v>46730594</v>
      </c>
      <c r="K26" s="3" t="s">
        <v>231</v>
      </c>
      <c r="L26" s="3"/>
      <c r="M26" s="3"/>
      <c r="N26" s="3" t="s">
        <v>70</v>
      </c>
      <c r="O26" s="3" t="s">
        <v>52</v>
      </c>
      <c r="P26" s="3">
        <v>0.7</v>
      </c>
      <c r="Q26" s="3">
        <v>0.6</v>
      </c>
      <c r="R26" s="4" t="s">
        <v>53</v>
      </c>
      <c r="S26" s="4">
        <v>9000</v>
      </c>
      <c r="T26" s="4">
        <v>36000</v>
      </c>
      <c r="U26" s="4">
        <v>26980</v>
      </c>
      <c r="V26" s="4">
        <v>0</v>
      </c>
      <c r="W26" s="4">
        <v>0</v>
      </c>
      <c r="X26" s="4">
        <v>0</v>
      </c>
      <c r="Y26" s="4">
        <v>0</v>
      </c>
      <c r="Z26" s="4">
        <v>9000</v>
      </c>
      <c r="AA26" s="4">
        <v>0</v>
      </c>
      <c r="AB26" s="4">
        <v>0</v>
      </c>
      <c r="AC26" s="4">
        <v>20</v>
      </c>
      <c r="AD26" s="4">
        <v>36900</v>
      </c>
      <c r="AE26" s="4">
        <v>26980</v>
      </c>
      <c r="AF26" s="4">
        <v>0</v>
      </c>
      <c r="AG26" s="4">
        <v>0</v>
      </c>
      <c r="AH26" s="4">
        <v>0</v>
      </c>
      <c r="AI26" s="4">
        <v>0</v>
      </c>
      <c r="AJ26" s="4">
        <v>9900</v>
      </c>
      <c r="AK26" s="4">
        <v>0</v>
      </c>
      <c r="AL26" s="4">
        <v>0</v>
      </c>
      <c r="AM26" s="4">
        <v>20</v>
      </c>
      <c r="AN26" s="4">
        <v>24840</v>
      </c>
      <c r="AO26" s="4">
        <v>0</v>
      </c>
      <c r="AP26" s="4">
        <v>24840</v>
      </c>
      <c r="AQ26" t="s">
        <v>45</v>
      </c>
      <c r="AR26" t="s">
        <v>70</v>
      </c>
    </row>
    <row r="27" spans="1:44" x14ac:dyDescent="0.4">
      <c r="A27" s="3" t="s">
        <v>42</v>
      </c>
      <c r="B27" s="3" t="s">
        <v>43</v>
      </c>
      <c r="C27" s="3" t="s">
        <v>44</v>
      </c>
      <c r="D27" s="3" t="s">
        <v>45</v>
      </c>
      <c r="E27" s="3"/>
      <c r="F27" s="3" t="s">
        <v>46</v>
      </c>
      <c r="G27" s="3" t="s">
        <v>47</v>
      </c>
      <c r="H27" s="3" t="s">
        <v>48</v>
      </c>
      <c r="I27" s="3" t="s">
        <v>49</v>
      </c>
      <c r="J27" s="3">
        <v>46736064</v>
      </c>
      <c r="K27" s="3" t="s">
        <v>238</v>
      </c>
      <c r="L27" s="3"/>
      <c r="M27" s="3"/>
      <c r="N27" s="3" t="s">
        <v>70</v>
      </c>
      <c r="O27" s="3" t="s">
        <v>52</v>
      </c>
      <c r="P27" s="3">
        <v>0.7</v>
      </c>
      <c r="Q27" s="3">
        <v>0.6</v>
      </c>
      <c r="R27" s="4" t="s">
        <v>56</v>
      </c>
      <c r="S27" s="4">
        <v>100</v>
      </c>
      <c r="T27" s="4">
        <v>64900</v>
      </c>
      <c r="U27" s="4">
        <v>3800</v>
      </c>
      <c r="V27" s="4">
        <v>0</v>
      </c>
      <c r="W27" s="4">
        <v>0</v>
      </c>
      <c r="X27" s="4">
        <v>0</v>
      </c>
      <c r="Y27" s="4">
        <v>300</v>
      </c>
      <c r="Z27" s="4">
        <v>0</v>
      </c>
      <c r="AA27" s="4">
        <v>0</v>
      </c>
      <c r="AB27" s="4">
        <v>0</v>
      </c>
      <c r="AC27" s="4">
        <v>60800</v>
      </c>
      <c r="AD27" s="4">
        <v>64960</v>
      </c>
      <c r="AE27" s="4">
        <v>3800</v>
      </c>
      <c r="AF27" s="4">
        <v>0</v>
      </c>
      <c r="AG27" s="4">
        <v>0</v>
      </c>
      <c r="AH27" s="4">
        <v>0</v>
      </c>
      <c r="AI27" s="4">
        <v>360</v>
      </c>
      <c r="AJ27" s="4">
        <v>0</v>
      </c>
      <c r="AK27" s="4">
        <v>0</v>
      </c>
      <c r="AL27" s="4">
        <v>0</v>
      </c>
      <c r="AM27" s="4">
        <v>60800</v>
      </c>
      <c r="AN27" s="4">
        <v>45436</v>
      </c>
      <c r="AO27" s="4">
        <v>0</v>
      </c>
      <c r="AP27" s="4">
        <v>45436</v>
      </c>
      <c r="AQ27" t="s">
        <v>45</v>
      </c>
      <c r="AR27" t="s">
        <v>70</v>
      </c>
    </row>
    <row r="28" spans="1:44" x14ac:dyDescent="0.4">
      <c r="A28" s="3" t="s">
        <v>42</v>
      </c>
      <c r="B28" s="3" t="s">
        <v>43</v>
      </c>
      <c r="C28" s="3" t="s">
        <v>44</v>
      </c>
      <c r="D28" s="3" t="s">
        <v>45</v>
      </c>
      <c r="E28" s="3"/>
      <c r="F28" s="3" t="s">
        <v>46</v>
      </c>
      <c r="G28" s="3" t="s">
        <v>47</v>
      </c>
      <c r="H28" s="3" t="s">
        <v>48</v>
      </c>
      <c r="I28" s="3" t="s">
        <v>49</v>
      </c>
      <c r="J28" s="3">
        <v>56540488</v>
      </c>
      <c r="K28" s="3" t="s">
        <v>71</v>
      </c>
      <c r="L28" s="3"/>
      <c r="M28" s="3"/>
      <c r="N28" s="3" t="s">
        <v>70</v>
      </c>
      <c r="O28" s="3" t="s">
        <v>52</v>
      </c>
      <c r="P28" s="3">
        <v>0.7</v>
      </c>
      <c r="Q28" s="3">
        <v>0.6</v>
      </c>
      <c r="R28" s="4" t="s">
        <v>74</v>
      </c>
      <c r="S28" s="4">
        <v>900</v>
      </c>
      <c r="T28" s="4">
        <v>44100</v>
      </c>
      <c r="U28" s="4">
        <v>32900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11200</v>
      </c>
      <c r="AD28" s="4">
        <v>44100</v>
      </c>
      <c r="AE28" s="4">
        <v>32900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11200</v>
      </c>
      <c r="AN28" s="4">
        <v>30870</v>
      </c>
      <c r="AO28" s="4">
        <v>0</v>
      </c>
      <c r="AP28" s="4">
        <v>30870</v>
      </c>
      <c r="AQ28" t="s">
        <v>45</v>
      </c>
      <c r="AR28" t="s">
        <v>70</v>
      </c>
    </row>
    <row r="29" spans="1:44" x14ac:dyDescent="0.4">
      <c r="A29" s="3" t="s">
        <v>42</v>
      </c>
      <c r="B29" s="3" t="s">
        <v>43</v>
      </c>
      <c r="C29" s="3" t="s">
        <v>44</v>
      </c>
      <c r="D29" s="3" t="s">
        <v>45</v>
      </c>
      <c r="E29" s="3"/>
      <c r="F29" s="3" t="s">
        <v>46</v>
      </c>
      <c r="G29" s="3" t="s">
        <v>47</v>
      </c>
      <c r="H29" s="3" t="s">
        <v>48</v>
      </c>
      <c r="I29" s="3" t="s">
        <v>49</v>
      </c>
      <c r="J29" s="3">
        <v>46736064</v>
      </c>
      <c r="K29" s="3" t="s">
        <v>238</v>
      </c>
      <c r="L29" s="3"/>
      <c r="M29" s="3"/>
      <c r="N29" s="3" t="s">
        <v>70</v>
      </c>
      <c r="O29" s="3" t="s">
        <v>52</v>
      </c>
      <c r="P29" s="3">
        <v>0.7</v>
      </c>
      <c r="Q29" s="3">
        <v>0.6</v>
      </c>
      <c r="R29" s="4" t="s">
        <v>53</v>
      </c>
      <c r="S29" s="4">
        <v>2200</v>
      </c>
      <c r="T29" s="4">
        <v>59400</v>
      </c>
      <c r="U29" s="4">
        <v>46290</v>
      </c>
      <c r="V29" s="4">
        <v>0</v>
      </c>
      <c r="W29" s="4">
        <v>0</v>
      </c>
      <c r="X29" s="4">
        <v>0</v>
      </c>
      <c r="Y29" s="4">
        <v>0</v>
      </c>
      <c r="Z29" s="4">
        <v>6600</v>
      </c>
      <c r="AA29" s="4">
        <v>0</v>
      </c>
      <c r="AB29" s="4">
        <v>0</v>
      </c>
      <c r="AC29" s="4">
        <v>6510</v>
      </c>
      <c r="AD29" s="4">
        <v>60060</v>
      </c>
      <c r="AE29" s="4">
        <v>46290</v>
      </c>
      <c r="AF29" s="4">
        <v>0</v>
      </c>
      <c r="AG29" s="4">
        <v>0</v>
      </c>
      <c r="AH29" s="4">
        <v>0</v>
      </c>
      <c r="AI29" s="4">
        <v>0</v>
      </c>
      <c r="AJ29" s="4">
        <v>7260</v>
      </c>
      <c r="AK29" s="4">
        <v>0</v>
      </c>
      <c r="AL29" s="4">
        <v>0</v>
      </c>
      <c r="AM29" s="4">
        <v>6510</v>
      </c>
      <c r="AN29" s="4">
        <v>41316</v>
      </c>
      <c r="AO29" s="4">
        <v>0</v>
      </c>
      <c r="AP29" s="4">
        <v>41316</v>
      </c>
      <c r="AQ29" t="s">
        <v>45</v>
      </c>
      <c r="AR29" t="s">
        <v>70</v>
      </c>
    </row>
    <row r="30" spans="1:44" x14ac:dyDescent="0.4">
      <c r="A30" s="3" t="s">
        <v>42</v>
      </c>
      <c r="B30" s="3" t="s">
        <v>43</v>
      </c>
      <c r="C30" s="3" t="s">
        <v>44</v>
      </c>
      <c r="D30" s="3" t="s">
        <v>45</v>
      </c>
      <c r="E30" s="3"/>
      <c r="F30" s="3" t="s">
        <v>46</v>
      </c>
      <c r="G30" s="3" t="s">
        <v>47</v>
      </c>
      <c r="H30" s="3" t="s">
        <v>48</v>
      </c>
      <c r="I30" s="3" t="s">
        <v>49</v>
      </c>
      <c r="J30" s="3">
        <v>46736064</v>
      </c>
      <c r="K30" s="3" t="s">
        <v>238</v>
      </c>
      <c r="L30" s="3"/>
      <c r="M30" s="3"/>
      <c r="N30" s="3" t="s">
        <v>70</v>
      </c>
      <c r="O30" s="3" t="s">
        <v>52</v>
      </c>
      <c r="P30" s="3">
        <v>0.7</v>
      </c>
      <c r="Q30" s="3">
        <v>0.6</v>
      </c>
      <c r="R30" s="4" t="s">
        <v>53</v>
      </c>
      <c r="S30" s="4">
        <v>7000</v>
      </c>
      <c r="T30" s="4">
        <v>70000</v>
      </c>
      <c r="U30" s="4">
        <v>41300</v>
      </c>
      <c r="V30" s="4">
        <v>0</v>
      </c>
      <c r="W30" s="4">
        <v>0</v>
      </c>
      <c r="X30" s="4">
        <v>0</v>
      </c>
      <c r="Y30" s="4">
        <v>8700</v>
      </c>
      <c r="Z30" s="4">
        <v>19300</v>
      </c>
      <c r="AA30" s="4">
        <v>0</v>
      </c>
      <c r="AB30" s="4">
        <v>0</v>
      </c>
      <c r="AC30" s="4">
        <v>700</v>
      </c>
      <c r="AD30" s="4">
        <v>73670</v>
      </c>
      <c r="AE30" s="4">
        <v>41300</v>
      </c>
      <c r="AF30" s="4">
        <v>0</v>
      </c>
      <c r="AG30" s="4">
        <v>0</v>
      </c>
      <c r="AH30" s="4">
        <v>0</v>
      </c>
      <c r="AI30" s="4">
        <v>10440</v>
      </c>
      <c r="AJ30" s="4">
        <v>21230</v>
      </c>
      <c r="AK30" s="4">
        <v>0</v>
      </c>
      <c r="AL30" s="4">
        <v>0</v>
      </c>
      <c r="AM30" s="4">
        <v>700</v>
      </c>
      <c r="AN30" s="4">
        <v>48402</v>
      </c>
      <c r="AO30" s="4">
        <v>0</v>
      </c>
      <c r="AP30" s="4">
        <v>48402</v>
      </c>
      <c r="AQ30" t="s">
        <v>45</v>
      </c>
      <c r="AR30" t="s">
        <v>70</v>
      </c>
    </row>
    <row r="31" spans="1:44" x14ac:dyDescent="0.4">
      <c r="A31" s="3" t="s">
        <v>42</v>
      </c>
      <c r="B31" s="3" t="s">
        <v>43</v>
      </c>
      <c r="C31" s="3" t="s">
        <v>44</v>
      </c>
      <c r="D31" s="3" t="s">
        <v>45</v>
      </c>
      <c r="E31" s="3"/>
      <c r="F31" s="3" t="s">
        <v>46</v>
      </c>
      <c r="G31" s="3" t="s">
        <v>47</v>
      </c>
      <c r="H31" s="3" t="s">
        <v>48</v>
      </c>
      <c r="I31" s="3" t="s">
        <v>49</v>
      </c>
      <c r="J31" s="3">
        <v>46742689</v>
      </c>
      <c r="K31" s="3" t="s">
        <v>242</v>
      </c>
      <c r="L31" s="3"/>
      <c r="M31" s="3"/>
      <c r="N31" s="3" t="s">
        <v>70</v>
      </c>
      <c r="O31" s="3" t="s">
        <v>52</v>
      </c>
      <c r="P31" s="3">
        <v>0.7</v>
      </c>
      <c r="Q31" s="3">
        <v>0.6</v>
      </c>
      <c r="R31" s="4" t="s">
        <v>56</v>
      </c>
      <c r="S31" s="4">
        <v>100</v>
      </c>
      <c r="T31" s="4">
        <v>43100</v>
      </c>
      <c r="U31" s="4">
        <v>4600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38500</v>
      </c>
      <c r="AD31" s="4">
        <v>43100</v>
      </c>
      <c r="AE31" s="4">
        <v>4600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38500</v>
      </c>
      <c r="AN31" s="4">
        <v>30170</v>
      </c>
      <c r="AO31" s="4">
        <v>0</v>
      </c>
      <c r="AP31" s="4">
        <v>30170</v>
      </c>
      <c r="AQ31" t="s">
        <v>45</v>
      </c>
      <c r="AR31" t="s">
        <v>70</v>
      </c>
    </row>
    <row r="32" spans="1:44" x14ac:dyDescent="0.4">
      <c r="A32" s="3" t="s">
        <v>42</v>
      </c>
      <c r="B32" s="3" t="s">
        <v>43</v>
      </c>
      <c r="C32" s="3" t="s">
        <v>44</v>
      </c>
      <c r="D32" s="3" t="s">
        <v>45</v>
      </c>
      <c r="E32" s="3"/>
      <c r="F32" s="3" t="s">
        <v>46</v>
      </c>
      <c r="G32" s="3" t="s">
        <v>47</v>
      </c>
      <c r="H32" s="3" t="s">
        <v>48</v>
      </c>
      <c r="I32" s="3" t="s">
        <v>49</v>
      </c>
      <c r="J32" s="3">
        <v>46742689</v>
      </c>
      <c r="K32" s="3" t="s">
        <v>242</v>
      </c>
      <c r="L32" s="3"/>
      <c r="M32" s="3"/>
      <c r="N32" s="3" t="s">
        <v>70</v>
      </c>
      <c r="O32" s="3" t="s">
        <v>52</v>
      </c>
      <c r="P32" s="3">
        <v>0.7</v>
      </c>
      <c r="Q32" s="3">
        <v>0.6</v>
      </c>
      <c r="R32" s="4" t="s">
        <v>53</v>
      </c>
      <c r="S32" s="4">
        <v>2300</v>
      </c>
      <c r="T32" s="4">
        <v>11500</v>
      </c>
      <c r="U32" s="4">
        <v>6200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5300</v>
      </c>
      <c r="AD32" s="4">
        <v>11500</v>
      </c>
      <c r="AE32" s="4">
        <v>6200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5300</v>
      </c>
      <c r="AN32" s="4">
        <v>8050</v>
      </c>
      <c r="AO32" s="4">
        <v>0</v>
      </c>
      <c r="AP32" s="4">
        <v>8050</v>
      </c>
      <c r="AQ32" t="s">
        <v>45</v>
      </c>
      <c r="AR32" t="s">
        <v>70</v>
      </c>
    </row>
    <row r="33" spans="1:44" x14ac:dyDescent="0.4">
      <c r="A33" s="3" t="s">
        <v>42</v>
      </c>
      <c r="B33" s="3" t="s">
        <v>43</v>
      </c>
      <c r="C33" s="3" t="s">
        <v>44</v>
      </c>
      <c r="D33" s="3" t="s">
        <v>45</v>
      </c>
      <c r="E33" s="3"/>
      <c r="F33" s="3" t="s">
        <v>46</v>
      </c>
      <c r="G33" s="3" t="s">
        <v>47</v>
      </c>
      <c r="H33" s="3" t="s">
        <v>48</v>
      </c>
      <c r="I33" s="3" t="s">
        <v>49</v>
      </c>
      <c r="J33" s="3">
        <v>48674463</v>
      </c>
      <c r="K33" s="3" t="s">
        <v>169</v>
      </c>
      <c r="L33" s="3"/>
      <c r="M33" s="3"/>
      <c r="N33" s="3" t="s">
        <v>70</v>
      </c>
      <c r="O33" s="3" t="s">
        <v>52</v>
      </c>
      <c r="P33" s="3">
        <v>0.7</v>
      </c>
      <c r="Q33" s="3">
        <v>0.6</v>
      </c>
      <c r="R33" s="4" t="s">
        <v>56</v>
      </c>
      <c r="S33" s="4">
        <v>100</v>
      </c>
      <c r="T33" s="4">
        <v>222900</v>
      </c>
      <c r="U33" s="4">
        <v>38500</v>
      </c>
      <c r="V33" s="4">
        <v>0</v>
      </c>
      <c r="W33" s="4">
        <v>0</v>
      </c>
      <c r="X33" s="4">
        <v>0</v>
      </c>
      <c r="Y33" s="4">
        <v>400</v>
      </c>
      <c r="Z33" s="4">
        <v>1500</v>
      </c>
      <c r="AA33" s="4">
        <v>0</v>
      </c>
      <c r="AB33" s="4">
        <v>0</v>
      </c>
      <c r="AC33" s="4">
        <v>182500</v>
      </c>
      <c r="AD33" s="4">
        <v>223130</v>
      </c>
      <c r="AE33" s="4">
        <v>38500</v>
      </c>
      <c r="AF33" s="4">
        <v>0</v>
      </c>
      <c r="AG33" s="4">
        <v>0</v>
      </c>
      <c r="AH33" s="4">
        <v>0</v>
      </c>
      <c r="AI33" s="4">
        <v>480</v>
      </c>
      <c r="AJ33" s="4">
        <v>1650</v>
      </c>
      <c r="AK33" s="4">
        <v>0</v>
      </c>
      <c r="AL33" s="4">
        <v>0</v>
      </c>
      <c r="AM33" s="4">
        <v>182500</v>
      </c>
      <c r="AN33" s="4">
        <v>155978</v>
      </c>
      <c r="AO33" s="4">
        <v>0</v>
      </c>
      <c r="AP33" s="4">
        <v>155978</v>
      </c>
      <c r="AQ33" t="s">
        <v>45</v>
      </c>
      <c r="AR33" t="s">
        <v>70</v>
      </c>
    </row>
    <row r="34" spans="1:44" x14ac:dyDescent="0.4">
      <c r="A34" s="3" t="s">
        <v>42</v>
      </c>
      <c r="B34" s="3" t="s">
        <v>43</v>
      </c>
      <c r="C34" s="3" t="s">
        <v>44</v>
      </c>
      <c r="D34" s="3" t="s">
        <v>45</v>
      </c>
      <c r="E34" s="3"/>
      <c r="F34" s="3" t="s">
        <v>46</v>
      </c>
      <c r="G34" s="3" t="s">
        <v>47</v>
      </c>
      <c r="H34" s="3" t="s">
        <v>48</v>
      </c>
      <c r="I34" s="3" t="s">
        <v>49</v>
      </c>
      <c r="J34" s="3">
        <v>46742689</v>
      </c>
      <c r="K34" s="3" t="s">
        <v>242</v>
      </c>
      <c r="L34" s="3"/>
      <c r="M34" s="3"/>
      <c r="N34" s="3" t="s">
        <v>70</v>
      </c>
      <c r="O34" s="3" t="s">
        <v>52</v>
      </c>
      <c r="P34" s="3">
        <v>0.7</v>
      </c>
      <c r="Q34" s="3">
        <v>0.6</v>
      </c>
      <c r="R34" s="4" t="s">
        <v>53</v>
      </c>
      <c r="S34" s="4">
        <v>4500</v>
      </c>
      <c r="T34" s="4">
        <v>31500</v>
      </c>
      <c r="U34" s="4">
        <v>29800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1700</v>
      </c>
      <c r="AD34" s="4">
        <v>31500</v>
      </c>
      <c r="AE34" s="4">
        <v>29800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1700</v>
      </c>
      <c r="AN34" s="4">
        <v>22050</v>
      </c>
      <c r="AO34" s="4">
        <v>0</v>
      </c>
      <c r="AP34" s="4">
        <v>22050</v>
      </c>
      <c r="AQ34" t="s">
        <v>45</v>
      </c>
      <c r="AR34" t="s">
        <v>70</v>
      </c>
    </row>
    <row r="35" spans="1:44" x14ac:dyDescent="0.4">
      <c r="A35" s="3" t="s">
        <v>42</v>
      </c>
      <c r="B35" s="3" t="s">
        <v>43</v>
      </c>
      <c r="C35" s="3" t="s">
        <v>44</v>
      </c>
      <c r="D35" s="3" t="s">
        <v>45</v>
      </c>
      <c r="E35" s="3"/>
      <c r="F35" s="3" t="s">
        <v>46</v>
      </c>
      <c r="G35" s="3" t="s">
        <v>47</v>
      </c>
      <c r="H35" s="3" t="s">
        <v>48</v>
      </c>
      <c r="I35" s="3" t="s">
        <v>49</v>
      </c>
      <c r="J35" s="3">
        <v>48674463</v>
      </c>
      <c r="K35" s="3" t="s">
        <v>169</v>
      </c>
      <c r="L35" s="3"/>
      <c r="M35" s="3"/>
      <c r="N35" s="3" t="s">
        <v>70</v>
      </c>
      <c r="O35" s="3" t="s">
        <v>52</v>
      </c>
      <c r="P35" s="3">
        <v>0.7</v>
      </c>
      <c r="Q35" s="3">
        <v>0.6</v>
      </c>
      <c r="R35" s="4" t="s">
        <v>53</v>
      </c>
      <c r="S35" s="4">
        <v>2300</v>
      </c>
      <c r="T35" s="4">
        <v>347300</v>
      </c>
      <c r="U35" s="4">
        <v>290580</v>
      </c>
      <c r="V35" s="4">
        <v>0</v>
      </c>
      <c r="W35" s="4">
        <v>0</v>
      </c>
      <c r="X35" s="4">
        <v>0</v>
      </c>
      <c r="Y35" s="4">
        <v>4100</v>
      </c>
      <c r="Z35" s="4">
        <v>0</v>
      </c>
      <c r="AA35" s="4">
        <v>0</v>
      </c>
      <c r="AB35" s="4">
        <v>0</v>
      </c>
      <c r="AC35" s="4">
        <v>52620</v>
      </c>
      <c r="AD35" s="4">
        <v>348120</v>
      </c>
      <c r="AE35" s="4">
        <v>290580</v>
      </c>
      <c r="AF35" s="4">
        <v>0</v>
      </c>
      <c r="AG35" s="4">
        <v>0</v>
      </c>
      <c r="AH35" s="4">
        <v>0</v>
      </c>
      <c r="AI35" s="4">
        <v>4920</v>
      </c>
      <c r="AJ35" s="4">
        <v>0</v>
      </c>
      <c r="AK35" s="4">
        <v>0</v>
      </c>
      <c r="AL35" s="4">
        <v>0</v>
      </c>
      <c r="AM35" s="4">
        <v>52620</v>
      </c>
      <c r="AN35" s="4">
        <v>243192</v>
      </c>
      <c r="AO35" s="4">
        <v>0</v>
      </c>
      <c r="AP35" s="4">
        <v>243192</v>
      </c>
      <c r="AQ35" t="s">
        <v>45</v>
      </c>
      <c r="AR35" t="s">
        <v>70</v>
      </c>
    </row>
    <row r="36" spans="1:44" x14ac:dyDescent="0.4">
      <c r="A36" s="3" t="s">
        <v>42</v>
      </c>
      <c r="B36" s="3" t="s">
        <v>43</v>
      </c>
      <c r="C36" s="3" t="s">
        <v>44</v>
      </c>
      <c r="D36" s="3" t="s">
        <v>45</v>
      </c>
      <c r="E36" s="3"/>
      <c r="F36" s="3" t="s">
        <v>46</v>
      </c>
      <c r="G36" s="3" t="s">
        <v>47</v>
      </c>
      <c r="H36" s="3" t="s">
        <v>48</v>
      </c>
      <c r="I36" s="3" t="s">
        <v>49</v>
      </c>
      <c r="J36" s="3">
        <v>46742689</v>
      </c>
      <c r="K36" s="3" t="s">
        <v>242</v>
      </c>
      <c r="L36" s="3"/>
      <c r="M36" s="3"/>
      <c r="N36" s="3" t="s">
        <v>70</v>
      </c>
      <c r="O36" s="3" t="s">
        <v>52</v>
      </c>
      <c r="P36" s="3">
        <v>0.7</v>
      </c>
      <c r="Q36" s="3">
        <v>0.6</v>
      </c>
      <c r="R36" s="4" t="s">
        <v>53</v>
      </c>
      <c r="S36" s="4">
        <v>9000</v>
      </c>
      <c r="T36" s="4">
        <v>72000</v>
      </c>
      <c r="U36" s="4">
        <v>71460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540</v>
      </c>
      <c r="AD36" s="4">
        <v>72000</v>
      </c>
      <c r="AE36" s="4">
        <v>71460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540</v>
      </c>
      <c r="AN36" s="4">
        <v>50400</v>
      </c>
      <c r="AO36" s="4">
        <v>0</v>
      </c>
      <c r="AP36" s="4">
        <v>50400</v>
      </c>
      <c r="AQ36" t="s">
        <v>45</v>
      </c>
      <c r="AR36" t="s">
        <v>70</v>
      </c>
    </row>
    <row r="37" spans="1:44" x14ac:dyDescent="0.4">
      <c r="A37" s="3" t="s">
        <v>42</v>
      </c>
      <c r="B37" s="3" t="s">
        <v>43</v>
      </c>
      <c r="C37" s="3" t="s">
        <v>44</v>
      </c>
      <c r="D37" s="3" t="s">
        <v>45</v>
      </c>
      <c r="E37" s="3"/>
      <c r="F37" s="3" t="s">
        <v>46</v>
      </c>
      <c r="G37" s="3" t="s">
        <v>47</v>
      </c>
      <c r="H37" s="3" t="s">
        <v>48</v>
      </c>
      <c r="I37" s="3" t="s">
        <v>49</v>
      </c>
      <c r="J37" s="3">
        <v>48674463</v>
      </c>
      <c r="K37" s="3" t="s">
        <v>169</v>
      </c>
      <c r="L37" s="3"/>
      <c r="M37" s="3"/>
      <c r="N37" s="3" t="s">
        <v>70</v>
      </c>
      <c r="O37" s="3" t="s">
        <v>52</v>
      </c>
      <c r="P37" s="3">
        <v>0.7</v>
      </c>
      <c r="Q37" s="3">
        <v>0.6</v>
      </c>
      <c r="R37" s="4" t="s">
        <v>53</v>
      </c>
      <c r="S37" s="4">
        <v>9000</v>
      </c>
      <c r="T37" s="4">
        <v>313600</v>
      </c>
      <c r="U37" s="4">
        <v>222600</v>
      </c>
      <c r="V37" s="4">
        <v>0</v>
      </c>
      <c r="W37" s="4">
        <v>0</v>
      </c>
      <c r="X37" s="4">
        <v>0</v>
      </c>
      <c r="Y37" s="4">
        <v>401</v>
      </c>
      <c r="Z37" s="4">
        <v>35599</v>
      </c>
      <c r="AA37" s="4">
        <v>0</v>
      </c>
      <c r="AB37" s="4">
        <v>0</v>
      </c>
      <c r="AC37" s="4">
        <v>55000</v>
      </c>
      <c r="AD37" s="4">
        <v>317240.09999999998</v>
      </c>
      <c r="AE37" s="4">
        <v>222600</v>
      </c>
      <c r="AF37" s="4">
        <v>0</v>
      </c>
      <c r="AG37" s="4">
        <v>0</v>
      </c>
      <c r="AH37" s="4">
        <v>0</v>
      </c>
      <c r="AI37" s="4">
        <v>481.2</v>
      </c>
      <c r="AJ37" s="4">
        <v>39158.9</v>
      </c>
      <c r="AK37" s="4">
        <v>0</v>
      </c>
      <c r="AL37" s="4">
        <v>0</v>
      </c>
      <c r="AM37" s="4">
        <v>55000</v>
      </c>
      <c r="AN37" s="4">
        <v>218104</v>
      </c>
      <c r="AO37" s="4">
        <v>0</v>
      </c>
      <c r="AP37" s="4">
        <v>218104</v>
      </c>
      <c r="AQ37" t="s">
        <v>45</v>
      </c>
      <c r="AR37" t="s">
        <v>70</v>
      </c>
    </row>
    <row r="38" spans="1:44" x14ac:dyDescent="0.4">
      <c r="A38" s="3" t="s">
        <v>42</v>
      </c>
      <c r="B38" s="3" t="s">
        <v>43</v>
      </c>
      <c r="C38" s="3" t="s">
        <v>44</v>
      </c>
      <c r="D38" s="3" t="s">
        <v>45</v>
      </c>
      <c r="E38" s="3"/>
      <c r="F38" s="3" t="s">
        <v>46</v>
      </c>
      <c r="G38" s="3" t="s">
        <v>47</v>
      </c>
      <c r="H38" s="3" t="s">
        <v>48</v>
      </c>
      <c r="I38" s="3" t="s">
        <v>49</v>
      </c>
      <c r="J38" s="3">
        <v>48674463</v>
      </c>
      <c r="K38" s="3" t="s">
        <v>169</v>
      </c>
      <c r="L38" s="3"/>
      <c r="M38" s="3"/>
      <c r="N38" s="3" t="s">
        <v>70</v>
      </c>
      <c r="O38" s="3" t="s">
        <v>52</v>
      </c>
      <c r="P38" s="3">
        <v>0.7</v>
      </c>
      <c r="Q38" s="3">
        <v>0.6</v>
      </c>
      <c r="R38" s="4" t="s">
        <v>53</v>
      </c>
      <c r="S38" s="4">
        <v>18000</v>
      </c>
      <c r="T38" s="4">
        <v>150400</v>
      </c>
      <c r="U38" s="4">
        <v>140200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10200</v>
      </c>
      <c r="AD38" s="4">
        <v>150400</v>
      </c>
      <c r="AE38" s="4">
        <v>140200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10200</v>
      </c>
      <c r="AN38" s="4">
        <v>105280</v>
      </c>
      <c r="AO38" s="4">
        <v>0</v>
      </c>
      <c r="AP38" s="4">
        <v>105280</v>
      </c>
      <c r="AQ38" t="s">
        <v>45</v>
      </c>
      <c r="AR38" t="s">
        <v>70</v>
      </c>
    </row>
    <row r="39" spans="1:44" x14ac:dyDescent="0.4">
      <c r="A39" s="3" t="s">
        <v>42</v>
      </c>
      <c r="B39" s="3" t="s">
        <v>43</v>
      </c>
      <c r="C39" s="3" t="s">
        <v>44</v>
      </c>
      <c r="D39" s="3" t="s">
        <v>45</v>
      </c>
      <c r="E39" s="3"/>
      <c r="F39" s="3" t="s">
        <v>46</v>
      </c>
      <c r="G39" s="3" t="s">
        <v>47</v>
      </c>
      <c r="H39" s="3" t="s">
        <v>48</v>
      </c>
      <c r="I39" s="3" t="s">
        <v>49</v>
      </c>
      <c r="J39" s="3">
        <v>46745670</v>
      </c>
      <c r="K39" s="3" t="s">
        <v>251</v>
      </c>
      <c r="L39" s="3"/>
      <c r="M39" s="3"/>
      <c r="N39" s="3" t="s">
        <v>70</v>
      </c>
      <c r="O39" s="3" t="s">
        <v>52</v>
      </c>
      <c r="P39" s="3">
        <v>0.7</v>
      </c>
      <c r="Q39" s="3">
        <v>0.6</v>
      </c>
      <c r="R39" s="4" t="s">
        <v>56</v>
      </c>
      <c r="S39" s="4">
        <v>100</v>
      </c>
      <c r="T39" s="4">
        <v>57300</v>
      </c>
      <c r="U39" s="4">
        <v>11500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45800</v>
      </c>
      <c r="AD39" s="4">
        <v>57300</v>
      </c>
      <c r="AE39" s="4">
        <v>11500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45800</v>
      </c>
      <c r="AN39" s="4">
        <v>40110</v>
      </c>
      <c r="AO39" s="4">
        <v>0</v>
      </c>
      <c r="AP39" s="4">
        <v>40110</v>
      </c>
      <c r="AQ39" t="s">
        <v>45</v>
      </c>
      <c r="AR39" t="s">
        <v>70</v>
      </c>
    </row>
    <row r="40" spans="1:44" x14ac:dyDescent="0.4">
      <c r="A40" s="3" t="s">
        <v>42</v>
      </c>
      <c r="B40" s="3" t="s">
        <v>43</v>
      </c>
      <c r="C40" s="3" t="s">
        <v>44</v>
      </c>
      <c r="D40" s="3" t="s">
        <v>45</v>
      </c>
      <c r="E40" s="3"/>
      <c r="F40" s="3" t="s">
        <v>46</v>
      </c>
      <c r="G40" s="3" t="s">
        <v>47</v>
      </c>
      <c r="H40" s="3" t="s">
        <v>48</v>
      </c>
      <c r="I40" s="3" t="s">
        <v>49</v>
      </c>
      <c r="J40" s="3">
        <v>46745670</v>
      </c>
      <c r="K40" s="3" t="s">
        <v>251</v>
      </c>
      <c r="L40" s="3"/>
      <c r="M40" s="3"/>
      <c r="N40" s="3" t="s">
        <v>70</v>
      </c>
      <c r="O40" s="3" t="s">
        <v>52</v>
      </c>
      <c r="P40" s="3">
        <v>0.7</v>
      </c>
      <c r="Q40" s="3">
        <v>0.6</v>
      </c>
      <c r="R40" s="4" t="s">
        <v>53</v>
      </c>
      <c r="S40" s="4">
        <v>2300</v>
      </c>
      <c r="T40" s="4">
        <v>82800</v>
      </c>
      <c r="U40" s="4">
        <v>76800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6000</v>
      </c>
      <c r="AD40" s="4">
        <v>82800</v>
      </c>
      <c r="AE40" s="4">
        <v>76800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6000</v>
      </c>
      <c r="AN40" s="4">
        <v>57960</v>
      </c>
      <c r="AO40" s="4">
        <v>0</v>
      </c>
      <c r="AP40" s="4">
        <v>57960</v>
      </c>
      <c r="AQ40" t="s">
        <v>45</v>
      </c>
      <c r="AR40" t="s">
        <v>70</v>
      </c>
    </row>
    <row r="41" spans="1:44" x14ac:dyDescent="0.4">
      <c r="A41" s="3" t="s">
        <v>42</v>
      </c>
      <c r="B41" s="3" t="s">
        <v>43</v>
      </c>
      <c r="C41" s="3" t="s">
        <v>44</v>
      </c>
      <c r="D41" s="3" t="s">
        <v>45</v>
      </c>
      <c r="E41" s="3"/>
      <c r="F41" s="3" t="s">
        <v>46</v>
      </c>
      <c r="G41" s="3" t="s">
        <v>47</v>
      </c>
      <c r="H41" s="3" t="s">
        <v>48</v>
      </c>
      <c r="I41" s="3" t="s">
        <v>49</v>
      </c>
      <c r="J41" s="3">
        <v>56647195</v>
      </c>
      <c r="K41" s="3" t="s">
        <v>94</v>
      </c>
      <c r="L41" s="3"/>
      <c r="M41" s="3"/>
      <c r="N41" s="3" t="s">
        <v>70</v>
      </c>
      <c r="O41" s="3" t="s">
        <v>52</v>
      </c>
      <c r="P41" s="3">
        <v>0.7</v>
      </c>
      <c r="Q41" s="3">
        <v>0.6</v>
      </c>
      <c r="R41" s="4" t="s">
        <v>56</v>
      </c>
      <c r="S41" s="4">
        <v>3200</v>
      </c>
      <c r="T41" s="4">
        <v>16000</v>
      </c>
      <c r="U41" s="4">
        <v>16000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16000</v>
      </c>
      <c r="AE41" s="4">
        <v>16000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11200</v>
      </c>
      <c r="AO41" s="4">
        <v>0</v>
      </c>
      <c r="AP41" s="4">
        <v>11200</v>
      </c>
      <c r="AQ41" t="s">
        <v>45</v>
      </c>
      <c r="AR41" t="s">
        <v>70</v>
      </c>
    </row>
    <row r="42" spans="1:44" x14ac:dyDescent="0.4">
      <c r="A42" s="3" t="s">
        <v>42</v>
      </c>
      <c r="B42" s="3" t="s">
        <v>43</v>
      </c>
      <c r="C42" s="3" t="s">
        <v>44</v>
      </c>
      <c r="D42" s="3" t="s">
        <v>45</v>
      </c>
      <c r="E42" s="3"/>
      <c r="F42" s="3" t="s">
        <v>46</v>
      </c>
      <c r="G42" s="3" t="s">
        <v>47</v>
      </c>
      <c r="H42" s="3" t="s">
        <v>48</v>
      </c>
      <c r="I42" s="3" t="s">
        <v>49</v>
      </c>
      <c r="J42" s="3">
        <v>46745670</v>
      </c>
      <c r="K42" s="3" t="s">
        <v>251</v>
      </c>
      <c r="L42" s="3"/>
      <c r="M42" s="3"/>
      <c r="N42" s="3" t="s">
        <v>70</v>
      </c>
      <c r="O42" s="3" t="s">
        <v>52</v>
      </c>
      <c r="P42" s="3">
        <v>0.7</v>
      </c>
      <c r="Q42" s="3">
        <v>0.6</v>
      </c>
      <c r="R42" s="4" t="s">
        <v>53</v>
      </c>
      <c r="S42" s="4">
        <v>4500</v>
      </c>
      <c r="T42" s="4">
        <v>20300</v>
      </c>
      <c r="U42" s="4">
        <v>20300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20300</v>
      </c>
      <c r="AE42" s="4">
        <v>20300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14210</v>
      </c>
      <c r="AO42" s="4">
        <v>0</v>
      </c>
      <c r="AP42" s="4">
        <v>14210</v>
      </c>
      <c r="AQ42" t="s">
        <v>45</v>
      </c>
      <c r="AR42" t="s">
        <v>70</v>
      </c>
    </row>
    <row r="43" spans="1:44" x14ac:dyDescent="0.4">
      <c r="A43" s="3" t="s">
        <v>42</v>
      </c>
      <c r="B43" s="3" t="s">
        <v>43</v>
      </c>
      <c r="C43" s="3" t="s">
        <v>44</v>
      </c>
      <c r="D43" s="3" t="s">
        <v>45</v>
      </c>
      <c r="E43" s="3"/>
      <c r="F43" s="3" t="s">
        <v>46</v>
      </c>
      <c r="G43" s="3" t="s">
        <v>47</v>
      </c>
      <c r="H43" s="3" t="s">
        <v>48</v>
      </c>
      <c r="I43" s="3" t="s">
        <v>49</v>
      </c>
      <c r="J43" s="3">
        <v>56647195</v>
      </c>
      <c r="K43" s="3" t="s">
        <v>94</v>
      </c>
      <c r="L43" s="3"/>
      <c r="M43" s="3"/>
      <c r="N43" s="3" t="s">
        <v>70</v>
      </c>
      <c r="O43" s="3" t="s">
        <v>52</v>
      </c>
      <c r="P43" s="3">
        <v>0.7</v>
      </c>
      <c r="Q43" s="3">
        <v>0.6</v>
      </c>
      <c r="R43" s="4" t="s">
        <v>74</v>
      </c>
      <c r="S43" s="4">
        <v>900</v>
      </c>
      <c r="T43" s="4">
        <v>17100</v>
      </c>
      <c r="U43" s="4">
        <v>6700</v>
      </c>
      <c r="V43" s="4">
        <v>0</v>
      </c>
      <c r="W43" s="4">
        <v>0</v>
      </c>
      <c r="X43" s="4">
        <v>0</v>
      </c>
      <c r="Y43" s="4">
        <v>900</v>
      </c>
      <c r="Z43" s="4">
        <v>0</v>
      </c>
      <c r="AA43" s="4">
        <v>0</v>
      </c>
      <c r="AB43" s="4">
        <v>0</v>
      </c>
      <c r="AC43" s="4">
        <v>9500</v>
      </c>
      <c r="AD43" s="4">
        <v>17280</v>
      </c>
      <c r="AE43" s="4">
        <v>6700</v>
      </c>
      <c r="AF43" s="4">
        <v>0</v>
      </c>
      <c r="AG43" s="4">
        <v>0</v>
      </c>
      <c r="AH43" s="4">
        <v>0</v>
      </c>
      <c r="AI43" s="4">
        <v>1080</v>
      </c>
      <c r="AJ43" s="4">
        <v>0</v>
      </c>
      <c r="AK43" s="4">
        <v>0</v>
      </c>
      <c r="AL43" s="4">
        <v>0</v>
      </c>
      <c r="AM43" s="4">
        <v>9500</v>
      </c>
      <c r="AN43" s="4">
        <v>11988</v>
      </c>
      <c r="AO43" s="4">
        <v>0</v>
      </c>
      <c r="AP43" s="4">
        <v>11988</v>
      </c>
      <c r="AQ43" t="s">
        <v>45</v>
      </c>
      <c r="AR43" t="s">
        <v>70</v>
      </c>
    </row>
    <row r="44" spans="1:44" x14ac:dyDescent="0.4">
      <c r="A44" s="3" t="s">
        <v>42</v>
      </c>
      <c r="B44" s="3" t="s">
        <v>43</v>
      </c>
      <c r="C44" s="3" t="s">
        <v>44</v>
      </c>
      <c r="D44" s="3" t="s">
        <v>45</v>
      </c>
      <c r="E44" s="3"/>
      <c r="F44" s="3" t="s">
        <v>46</v>
      </c>
      <c r="G44" s="3" t="s">
        <v>47</v>
      </c>
      <c r="H44" s="3" t="s">
        <v>48</v>
      </c>
      <c r="I44" s="3" t="s">
        <v>49</v>
      </c>
      <c r="J44" s="3">
        <v>46745670</v>
      </c>
      <c r="K44" s="3" t="s">
        <v>251</v>
      </c>
      <c r="L44" s="3"/>
      <c r="M44" s="3"/>
      <c r="N44" s="3" t="s">
        <v>70</v>
      </c>
      <c r="O44" s="3" t="s">
        <v>52</v>
      </c>
      <c r="P44" s="3">
        <v>0.7</v>
      </c>
      <c r="Q44" s="3">
        <v>0.6</v>
      </c>
      <c r="R44" s="4" t="s">
        <v>53</v>
      </c>
      <c r="S44" s="4">
        <v>9000</v>
      </c>
      <c r="T44" s="4">
        <v>117000</v>
      </c>
      <c r="U44" s="4">
        <v>117000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117000</v>
      </c>
      <c r="AE44" s="4">
        <v>117000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81900</v>
      </c>
      <c r="AO44" s="4">
        <v>0</v>
      </c>
      <c r="AP44" s="4">
        <v>81900</v>
      </c>
      <c r="AQ44" t="s">
        <v>45</v>
      </c>
      <c r="AR44" t="s">
        <v>70</v>
      </c>
    </row>
    <row r="45" spans="1:44" x14ac:dyDescent="0.4">
      <c r="A45" s="3" t="s">
        <v>42</v>
      </c>
      <c r="B45" s="3" t="s">
        <v>43</v>
      </c>
      <c r="C45" s="3" t="s">
        <v>44</v>
      </c>
      <c r="D45" s="3" t="s">
        <v>45</v>
      </c>
      <c r="E45" s="3"/>
      <c r="F45" s="3" t="s">
        <v>46</v>
      </c>
      <c r="G45" s="3" t="s">
        <v>47</v>
      </c>
      <c r="H45" s="3" t="s">
        <v>48</v>
      </c>
      <c r="I45" s="3" t="s">
        <v>49</v>
      </c>
      <c r="J45" s="3">
        <v>56647215</v>
      </c>
      <c r="K45" s="3" t="s">
        <v>96</v>
      </c>
      <c r="L45" s="3"/>
      <c r="M45" s="3"/>
      <c r="N45" s="3" t="s">
        <v>70</v>
      </c>
      <c r="O45" s="3" t="s">
        <v>52</v>
      </c>
      <c r="P45" s="3">
        <v>0.7</v>
      </c>
      <c r="Q45" s="3">
        <v>0.6</v>
      </c>
      <c r="R45" s="4" t="s">
        <v>56</v>
      </c>
      <c r="S45" s="4">
        <v>3200</v>
      </c>
      <c r="T45" s="4">
        <v>19200</v>
      </c>
      <c r="U45" s="4">
        <v>4600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14600</v>
      </c>
      <c r="AD45" s="4">
        <v>19200</v>
      </c>
      <c r="AE45" s="4">
        <v>4600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14600</v>
      </c>
      <c r="AN45" s="4">
        <v>13440</v>
      </c>
      <c r="AO45" s="4">
        <v>0</v>
      </c>
      <c r="AP45" s="4">
        <v>13440</v>
      </c>
      <c r="AQ45" t="s">
        <v>45</v>
      </c>
      <c r="AR45" t="s">
        <v>70</v>
      </c>
    </row>
    <row r="46" spans="1:44" x14ac:dyDescent="0.4">
      <c r="A46" s="3" t="s">
        <v>42</v>
      </c>
      <c r="B46" s="3" t="s">
        <v>43</v>
      </c>
      <c r="C46" s="3" t="s">
        <v>44</v>
      </c>
      <c r="D46" s="3" t="s">
        <v>45</v>
      </c>
      <c r="E46" s="3"/>
      <c r="F46" s="3" t="s">
        <v>46</v>
      </c>
      <c r="G46" s="3" t="s">
        <v>47</v>
      </c>
      <c r="H46" s="3" t="s">
        <v>48</v>
      </c>
      <c r="I46" s="3" t="s">
        <v>49</v>
      </c>
      <c r="J46" s="3">
        <v>56647215</v>
      </c>
      <c r="K46" s="3" t="s">
        <v>96</v>
      </c>
      <c r="L46" s="3"/>
      <c r="M46" s="3"/>
      <c r="N46" s="3" t="s">
        <v>70</v>
      </c>
      <c r="O46" s="3" t="s">
        <v>52</v>
      </c>
      <c r="P46" s="3">
        <v>0.7</v>
      </c>
      <c r="Q46" s="3">
        <v>0.6</v>
      </c>
      <c r="R46" s="4" t="s">
        <v>74</v>
      </c>
      <c r="S46" s="4">
        <v>900</v>
      </c>
      <c r="T46" s="4">
        <v>58500</v>
      </c>
      <c r="U46" s="4">
        <v>44100</v>
      </c>
      <c r="V46" s="4">
        <v>0</v>
      </c>
      <c r="W46" s="4">
        <v>0</v>
      </c>
      <c r="X46" s="4">
        <v>0</v>
      </c>
      <c r="Y46" s="4">
        <v>0</v>
      </c>
      <c r="Z46" s="4">
        <v>9900</v>
      </c>
      <c r="AA46" s="4">
        <v>0</v>
      </c>
      <c r="AB46" s="4">
        <v>0</v>
      </c>
      <c r="AC46" s="4">
        <v>4500</v>
      </c>
      <c r="AD46" s="4">
        <v>59490</v>
      </c>
      <c r="AE46" s="4">
        <v>44100</v>
      </c>
      <c r="AF46" s="4">
        <v>0</v>
      </c>
      <c r="AG46" s="4">
        <v>0</v>
      </c>
      <c r="AH46" s="4">
        <v>0</v>
      </c>
      <c r="AI46" s="4">
        <v>0</v>
      </c>
      <c r="AJ46" s="4">
        <v>10890</v>
      </c>
      <c r="AK46" s="4">
        <v>0</v>
      </c>
      <c r="AL46" s="4">
        <v>0</v>
      </c>
      <c r="AM46" s="4">
        <v>4500</v>
      </c>
      <c r="AN46" s="4">
        <v>40554</v>
      </c>
      <c r="AO46" s="4">
        <v>0</v>
      </c>
      <c r="AP46" s="4">
        <v>40554</v>
      </c>
      <c r="AQ46" t="s">
        <v>45</v>
      </c>
      <c r="AR46" t="s">
        <v>70</v>
      </c>
    </row>
    <row r="47" spans="1:44" x14ac:dyDescent="0.4">
      <c r="A47" s="3" t="s">
        <v>42</v>
      </c>
      <c r="B47" s="3" t="s">
        <v>43</v>
      </c>
      <c r="C47" s="3" t="s">
        <v>44</v>
      </c>
      <c r="D47" s="3" t="s">
        <v>45</v>
      </c>
      <c r="E47" s="3"/>
      <c r="F47" s="3" t="s">
        <v>46</v>
      </c>
      <c r="G47" s="3" t="s">
        <v>47</v>
      </c>
      <c r="H47" s="3" t="s">
        <v>48</v>
      </c>
      <c r="I47" s="3" t="s">
        <v>49</v>
      </c>
      <c r="J47" s="3">
        <v>46747961</v>
      </c>
      <c r="K47" s="3" t="s">
        <v>252</v>
      </c>
      <c r="L47" s="3"/>
      <c r="M47" s="3"/>
      <c r="N47" s="3" t="s">
        <v>70</v>
      </c>
      <c r="O47" s="3" t="s">
        <v>52</v>
      </c>
      <c r="P47" s="3">
        <v>0.7</v>
      </c>
      <c r="Q47" s="3">
        <v>0.6</v>
      </c>
      <c r="R47" s="4" t="s">
        <v>56</v>
      </c>
      <c r="S47" s="4">
        <v>100</v>
      </c>
      <c r="T47" s="4">
        <v>27500</v>
      </c>
      <c r="U47" s="4">
        <v>3600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23900</v>
      </c>
      <c r="AD47" s="4">
        <v>27500</v>
      </c>
      <c r="AE47" s="4">
        <v>3600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23900</v>
      </c>
      <c r="AN47" s="4">
        <v>19250</v>
      </c>
      <c r="AO47" s="4">
        <v>0</v>
      </c>
      <c r="AP47" s="4">
        <v>19250</v>
      </c>
      <c r="AQ47" t="s">
        <v>45</v>
      </c>
      <c r="AR47" t="s">
        <v>70</v>
      </c>
    </row>
    <row r="48" spans="1:44" x14ac:dyDescent="0.4">
      <c r="A48" s="3" t="s">
        <v>42</v>
      </c>
      <c r="B48" s="3" t="s">
        <v>43</v>
      </c>
      <c r="C48" s="3" t="s">
        <v>44</v>
      </c>
      <c r="D48" s="3" t="s">
        <v>45</v>
      </c>
      <c r="E48" s="3"/>
      <c r="F48" s="3" t="s">
        <v>46</v>
      </c>
      <c r="G48" s="3" t="s">
        <v>47</v>
      </c>
      <c r="H48" s="3" t="s">
        <v>48</v>
      </c>
      <c r="I48" s="3" t="s">
        <v>49</v>
      </c>
      <c r="J48" s="3">
        <v>56647215</v>
      </c>
      <c r="K48" s="3" t="s">
        <v>96</v>
      </c>
      <c r="L48" s="3"/>
      <c r="M48" s="3"/>
      <c r="N48" s="3" t="s">
        <v>70</v>
      </c>
      <c r="O48" s="3" t="s">
        <v>52</v>
      </c>
      <c r="P48" s="3">
        <v>0.7</v>
      </c>
      <c r="Q48" s="3">
        <v>0.6</v>
      </c>
      <c r="R48" s="4" t="s">
        <v>110</v>
      </c>
      <c r="S48" s="4">
        <v>10800</v>
      </c>
      <c r="T48" s="4">
        <v>1800</v>
      </c>
      <c r="U48" s="4">
        <v>1800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1800</v>
      </c>
      <c r="AE48" s="4">
        <v>1800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1260</v>
      </c>
      <c r="AO48" s="4">
        <v>0</v>
      </c>
      <c r="AP48" s="4">
        <v>1260</v>
      </c>
      <c r="AQ48" t="s">
        <v>45</v>
      </c>
      <c r="AR48" t="s">
        <v>70</v>
      </c>
    </row>
    <row r="49" spans="1:44" x14ac:dyDescent="0.4">
      <c r="A49" s="3" t="s">
        <v>42</v>
      </c>
      <c r="B49" s="3" t="s">
        <v>43</v>
      </c>
      <c r="C49" s="3" t="s">
        <v>44</v>
      </c>
      <c r="D49" s="3" t="s">
        <v>45</v>
      </c>
      <c r="E49" s="3"/>
      <c r="F49" s="3" t="s">
        <v>46</v>
      </c>
      <c r="G49" s="3" t="s">
        <v>47</v>
      </c>
      <c r="H49" s="3" t="s">
        <v>48</v>
      </c>
      <c r="I49" s="3" t="s">
        <v>49</v>
      </c>
      <c r="J49" s="3">
        <v>46747961</v>
      </c>
      <c r="K49" s="3" t="s">
        <v>252</v>
      </c>
      <c r="L49" s="3"/>
      <c r="M49" s="3"/>
      <c r="N49" s="3" t="s">
        <v>70</v>
      </c>
      <c r="O49" s="3" t="s">
        <v>52</v>
      </c>
      <c r="P49" s="3">
        <v>0.7</v>
      </c>
      <c r="Q49" s="3">
        <v>0.6</v>
      </c>
      <c r="R49" s="4" t="s">
        <v>53</v>
      </c>
      <c r="S49" s="4">
        <v>2300</v>
      </c>
      <c r="T49" s="4">
        <v>20700</v>
      </c>
      <c r="U49" s="4">
        <v>14600</v>
      </c>
      <c r="V49" s="4">
        <v>0</v>
      </c>
      <c r="W49" s="4">
        <v>0</v>
      </c>
      <c r="X49" s="4">
        <v>0</v>
      </c>
      <c r="Y49" s="4">
        <v>0</v>
      </c>
      <c r="Z49" s="4">
        <v>2300</v>
      </c>
      <c r="AA49" s="4">
        <v>0</v>
      </c>
      <c r="AB49" s="4">
        <v>0</v>
      </c>
      <c r="AC49" s="4">
        <v>3800</v>
      </c>
      <c r="AD49" s="4">
        <v>20930</v>
      </c>
      <c r="AE49" s="4">
        <v>14600</v>
      </c>
      <c r="AF49" s="4">
        <v>0</v>
      </c>
      <c r="AG49" s="4">
        <v>0</v>
      </c>
      <c r="AH49" s="4">
        <v>0</v>
      </c>
      <c r="AI49" s="4">
        <v>0</v>
      </c>
      <c r="AJ49" s="4">
        <v>2530</v>
      </c>
      <c r="AK49" s="4">
        <v>0</v>
      </c>
      <c r="AL49" s="4">
        <v>0</v>
      </c>
      <c r="AM49" s="4">
        <v>3800</v>
      </c>
      <c r="AN49" s="4">
        <v>14398</v>
      </c>
      <c r="AO49" s="4">
        <v>0</v>
      </c>
      <c r="AP49" s="4">
        <v>14398</v>
      </c>
      <c r="AQ49" t="s">
        <v>45</v>
      </c>
      <c r="AR49" t="s">
        <v>70</v>
      </c>
    </row>
    <row r="50" spans="1:44" x14ac:dyDescent="0.4">
      <c r="A50" s="3" t="s">
        <v>42</v>
      </c>
      <c r="B50" s="3" t="s">
        <v>43</v>
      </c>
      <c r="C50" s="3" t="s">
        <v>44</v>
      </c>
      <c r="D50" s="3" t="s">
        <v>45</v>
      </c>
      <c r="E50" s="3"/>
      <c r="F50" s="3" t="s">
        <v>46</v>
      </c>
      <c r="G50" s="3" t="s">
        <v>47</v>
      </c>
      <c r="H50" s="3" t="s">
        <v>48</v>
      </c>
      <c r="I50" s="3" t="s">
        <v>49</v>
      </c>
      <c r="J50" s="3">
        <v>56647300</v>
      </c>
      <c r="K50" s="3" t="s">
        <v>99</v>
      </c>
      <c r="L50" s="3"/>
      <c r="M50" s="3"/>
      <c r="N50" s="3" t="s">
        <v>70</v>
      </c>
      <c r="O50" s="3" t="s">
        <v>52</v>
      </c>
      <c r="P50" s="3">
        <v>0.7</v>
      </c>
      <c r="Q50" s="3">
        <v>0.6</v>
      </c>
      <c r="R50" s="4" t="s">
        <v>74</v>
      </c>
      <c r="S50" s="4">
        <v>900</v>
      </c>
      <c r="T50" s="4">
        <v>100800</v>
      </c>
      <c r="U50" s="4">
        <v>80280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20520</v>
      </c>
      <c r="AD50" s="4">
        <v>100800</v>
      </c>
      <c r="AE50" s="4">
        <v>80280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20520</v>
      </c>
      <c r="AN50" s="4">
        <v>70560</v>
      </c>
      <c r="AO50" s="4">
        <v>0</v>
      </c>
      <c r="AP50" s="4">
        <v>70560</v>
      </c>
      <c r="AQ50" t="s">
        <v>45</v>
      </c>
      <c r="AR50" t="s">
        <v>70</v>
      </c>
    </row>
    <row r="51" spans="1:44" x14ac:dyDescent="0.4">
      <c r="A51" s="3" t="s">
        <v>42</v>
      </c>
      <c r="B51" s="3" t="s">
        <v>43</v>
      </c>
      <c r="C51" s="3" t="s">
        <v>44</v>
      </c>
      <c r="D51" s="3" t="s">
        <v>45</v>
      </c>
      <c r="E51" s="3"/>
      <c r="F51" s="3" t="s">
        <v>46</v>
      </c>
      <c r="G51" s="3" t="s">
        <v>47</v>
      </c>
      <c r="H51" s="3" t="s">
        <v>48</v>
      </c>
      <c r="I51" s="3" t="s">
        <v>49</v>
      </c>
      <c r="J51" s="3">
        <v>46747961</v>
      </c>
      <c r="K51" s="3" t="s">
        <v>252</v>
      </c>
      <c r="L51" s="3"/>
      <c r="M51" s="3"/>
      <c r="N51" s="3" t="s">
        <v>70</v>
      </c>
      <c r="O51" s="3" t="s">
        <v>52</v>
      </c>
      <c r="P51" s="3">
        <v>0.7</v>
      </c>
      <c r="Q51" s="3">
        <v>0.6</v>
      </c>
      <c r="R51" s="4" t="s">
        <v>53</v>
      </c>
      <c r="S51" s="4">
        <v>4500</v>
      </c>
      <c r="T51" s="4">
        <v>84100</v>
      </c>
      <c r="U51" s="4">
        <v>78100</v>
      </c>
      <c r="V51" s="4">
        <v>0</v>
      </c>
      <c r="W51" s="4">
        <v>0</v>
      </c>
      <c r="X51" s="4">
        <v>0</v>
      </c>
      <c r="Y51" s="4">
        <v>0</v>
      </c>
      <c r="Z51" s="4">
        <v>4500</v>
      </c>
      <c r="AA51" s="4">
        <v>0</v>
      </c>
      <c r="AB51" s="4">
        <v>0</v>
      </c>
      <c r="AC51" s="4">
        <v>1500</v>
      </c>
      <c r="AD51" s="4">
        <v>84550</v>
      </c>
      <c r="AE51" s="4">
        <v>78100</v>
      </c>
      <c r="AF51" s="4">
        <v>0</v>
      </c>
      <c r="AG51" s="4">
        <v>0</v>
      </c>
      <c r="AH51" s="4">
        <v>0</v>
      </c>
      <c r="AI51" s="4">
        <v>0</v>
      </c>
      <c r="AJ51" s="4">
        <v>4950</v>
      </c>
      <c r="AK51" s="4">
        <v>0</v>
      </c>
      <c r="AL51" s="4">
        <v>0</v>
      </c>
      <c r="AM51" s="4">
        <v>1500</v>
      </c>
      <c r="AN51" s="4">
        <v>58690</v>
      </c>
      <c r="AO51" s="4">
        <v>0</v>
      </c>
      <c r="AP51" s="4">
        <v>58690</v>
      </c>
      <c r="AQ51" t="s">
        <v>45</v>
      </c>
      <c r="AR51" t="s">
        <v>70</v>
      </c>
    </row>
    <row r="52" spans="1:44" x14ac:dyDescent="0.4">
      <c r="A52" s="3" t="s">
        <v>42</v>
      </c>
      <c r="B52" s="3" t="s">
        <v>43</v>
      </c>
      <c r="C52" s="3" t="s">
        <v>44</v>
      </c>
      <c r="D52" s="3" t="s">
        <v>45</v>
      </c>
      <c r="E52" s="3"/>
      <c r="F52" s="3" t="s">
        <v>46</v>
      </c>
      <c r="G52" s="3" t="s">
        <v>47</v>
      </c>
      <c r="H52" s="3" t="s">
        <v>48</v>
      </c>
      <c r="I52" s="3" t="s">
        <v>49</v>
      </c>
      <c r="J52" s="3">
        <v>46747961</v>
      </c>
      <c r="K52" s="3" t="s">
        <v>252</v>
      </c>
      <c r="L52" s="3"/>
      <c r="M52" s="3"/>
      <c r="N52" s="3" t="s">
        <v>70</v>
      </c>
      <c r="O52" s="3" t="s">
        <v>52</v>
      </c>
      <c r="P52" s="3">
        <v>0.7</v>
      </c>
      <c r="Q52" s="3">
        <v>0.6</v>
      </c>
      <c r="R52" s="4" t="s">
        <v>53</v>
      </c>
      <c r="S52" s="4">
        <v>9000</v>
      </c>
      <c r="T52" s="4">
        <v>90000</v>
      </c>
      <c r="U52" s="4">
        <v>72000</v>
      </c>
      <c r="V52" s="4">
        <v>0</v>
      </c>
      <c r="W52" s="4">
        <v>0</v>
      </c>
      <c r="X52" s="4">
        <v>0</v>
      </c>
      <c r="Y52" s="4">
        <v>0</v>
      </c>
      <c r="Z52" s="4">
        <v>18000</v>
      </c>
      <c r="AA52" s="4">
        <v>0</v>
      </c>
      <c r="AB52" s="4">
        <v>0</v>
      </c>
      <c r="AC52" s="4">
        <v>0</v>
      </c>
      <c r="AD52" s="4">
        <v>91800</v>
      </c>
      <c r="AE52" s="4">
        <v>72000</v>
      </c>
      <c r="AF52" s="4">
        <v>0</v>
      </c>
      <c r="AG52" s="4">
        <v>0</v>
      </c>
      <c r="AH52" s="4">
        <v>0</v>
      </c>
      <c r="AI52" s="4">
        <v>0</v>
      </c>
      <c r="AJ52" s="4">
        <v>19800</v>
      </c>
      <c r="AK52" s="4">
        <v>0</v>
      </c>
      <c r="AL52" s="4">
        <v>0</v>
      </c>
      <c r="AM52" s="4">
        <v>0</v>
      </c>
      <c r="AN52" s="4">
        <v>62280</v>
      </c>
      <c r="AO52" s="4">
        <v>0</v>
      </c>
      <c r="AP52" s="4">
        <v>62280</v>
      </c>
      <c r="AQ52" t="s">
        <v>45</v>
      </c>
      <c r="AR52" t="s">
        <v>70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R6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4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56704413</v>
      </c>
      <c r="K2" s="3" t="s">
        <v>105</v>
      </c>
      <c r="L2" s="3"/>
      <c r="M2" s="3"/>
      <c r="N2" s="3" t="s">
        <v>106</v>
      </c>
      <c r="O2" s="3" t="s">
        <v>52</v>
      </c>
      <c r="P2" s="3">
        <v>0.7</v>
      </c>
      <c r="Q2" s="3">
        <v>0.6</v>
      </c>
      <c r="R2" s="4" t="s">
        <v>56</v>
      </c>
      <c r="S2" s="4">
        <v>3200</v>
      </c>
      <c r="T2" s="4">
        <v>19200</v>
      </c>
      <c r="U2" s="4">
        <v>19200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19200</v>
      </c>
      <c r="AE2" s="4">
        <v>19200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13440</v>
      </c>
      <c r="AO2" s="4">
        <v>0</v>
      </c>
      <c r="AP2" s="4">
        <v>13440</v>
      </c>
      <c r="AQ2" t="s">
        <v>45</v>
      </c>
      <c r="AR2" t="s">
        <v>106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52578810</v>
      </c>
      <c r="K3" s="3" t="s">
        <v>188</v>
      </c>
      <c r="L3" s="3"/>
      <c r="M3" s="3"/>
      <c r="N3" s="3" t="s">
        <v>106</v>
      </c>
      <c r="O3" s="3" t="s">
        <v>52</v>
      </c>
      <c r="P3" s="3">
        <v>0.7</v>
      </c>
      <c r="Q3" s="3">
        <v>0.6</v>
      </c>
      <c r="R3" s="4" t="s">
        <v>56</v>
      </c>
      <c r="S3" s="4">
        <v>100</v>
      </c>
      <c r="T3" s="4">
        <v>49900</v>
      </c>
      <c r="U3" s="4">
        <v>25600</v>
      </c>
      <c r="V3" s="4">
        <v>0</v>
      </c>
      <c r="W3" s="4">
        <v>0</v>
      </c>
      <c r="X3" s="4">
        <v>0</v>
      </c>
      <c r="Y3" s="4">
        <v>1000</v>
      </c>
      <c r="Z3" s="4">
        <v>4500</v>
      </c>
      <c r="AA3" s="4">
        <v>0</v>
      </c>
      <c r="AB3" s="4">
        <v>0</v>
      </c>
      <c r="AC3" s="4">
        <v>18800</v>
      </c>
      <c r="AD3" s="4">
        <v>50550</v>
      </c>
      <c r="AE3" s="4">
        <v>25600</v>
      </c>
      <c r="AF3" s="4">
        <v>0</v>
      </c>
      <c r="AG3" s="4">
        <v>0</v>
      </c>
      <c r="AH3" s="4">
        <v>0</v>
      </c>
      <c r="AI3" s="4">
        <v>1200</v>
      </c>
      <c r="AJ3" s="4">
        <v>4950</v>
      </c>
      <c r="AK3" s="4">
        <v>0</v>
      </c>
      <c r="AL3" s="4">
        <v>0</v>
      </c>
      <c r="AM3" s="4">
        <v>18800</v>
      </c>
      <c r="AN3" s="4">
        <v>34770</v>
      </c>
      <c r="AO3" s="4">
        <v>0</v>
      </c>
      <c r="AP3" s="4">
        <v>34770</v>
      </c>
      <c r="AQ3" t="s">
        <v>45</v>
      </c>
      <c r="AR3" t="s">
        <v>106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52578810</v>
      </c>
      <c r="K4" s="3" t="s">
        <v>188</v>
      </c>
      <c r="L4" s="3"/>
      <c r="M4" s="3"/>
      <c r="N4" s="3" t="s">
        <v>106</v>
      </c>
      <c r="O4" s="3" t="s">
        <v>52</v>
      </c>
      <c r="P4" s="3">
        <v>0.7</v>
      </c>
      <c r="Q4" s="3">
        <v>0.6</v>
      </c>
      <c r="R4" s="4" t="s">
        <v>53</v>
      </c>
      <c r="S4" s="4">
        <v>2700</v>
      </c>
      <c r="T4" s="4">
        <v>104600</v>
      </c>
      <c r="U4" s="4">
        <v>83700</v>
      </c>
      <c r="V4" s="4">
        <v>0</v>
      </c>
      <c r="W4" s="4">
        <v>0</v>
      </c>
      <c r="X4" s="4">
        <v>0</v>
      </c>
      <c r="Y4" s="4">
        <v>0</v>
      </c>
      <c r="Z4" s="4">
        <v>11000</v>
      </c>
      <c r="AA4" s="4">
        <v>0</v>
      </c>
      <c r="AB4" s="4">
        <v>0</v>
      </c>
      <c r="AC4" s="4">
        <v>9900</v>
      </c>
      <c r="AD4" s="4">
        <v>105700</v>
      </c>
      <c r="AE4" s="4">
        <v>83700</v>
      </c>
      <c r="AF4" s="4">
        <v>0</v>
      </c>
      <c r="AG4" s="4">
        <v>0</v>
      </c>
      <c r="AH4" s="4">
        <v>0</v>
      </c>
      <c r="AI4" s="4">
        <v>0</v>
      </c>
      <c r="AJ4" s="4">
        <v>12100</v>
      </c>
      <c r="AK4" s="4">
        <v>0</v>
      </c>
      <c r="AL4" s="4">
        <v>0</v>
      </c>
      <c r="AM4" s="4">
        <v>9900</v>
      </c>
      <c r="AN4" s="4">
        <v>72780</v>
      </c>
      <c r="AO4" s="4">
        <v>0</v>
      </c>
      <c r="AP4" s="4">
        <v>72780</v>
      </c>
      <c r="AQ4" t="s">
        <v>45</v>
      </c>
      <c r="AR4" t="s">
        <v>106</v>
      </c>
    </row>
    <row r="5" spans="1:44" x14ac:dyDescent="0.4">
      <c r="A5" s="3" t="s">
        <v>42</v>
      </c>
      <c r="B5" s="3" t="s">
        <v>43</v>
      </c>
      <c r="C5" s="3" t="s">
        <v>44</v>
      </c>
      <c r="D5" s="3" t="s">
        <v>45</v>
      </c>
      <c r="E5" s="3"/>
      <c r="F5" s="3" t="s">
        <v>46</v>
      </c>
      <c r="G5" s="3" t="s">
        <v>47</v>
      </c>
      <c r="H5" s="3" t="s">
        <v>48</v>
      </c>
      <c r="I5" s="3" t="s">
        <v>49</v>
      </c>
      <c r="J5" s="3">
        <v>52578810</v>
      </c>
      <c r="K5" s="3" t="s">
        <v>188</v>
      </c>
      <c r="L5" s="3"/>
      <c r="M5" s="3"/>
      <c r="N5" s="3" t="s">
        <v>106</v>
      </c>
      <c r="O5" s="3" t="s">
        <v>52</v>
      </c>
      <c r="P5" s="3">
        <v>0.7</v>
      </c>
      <c r="Q5" s="3">
        <v>0.6</v>
      </c>
      <c r="R5" s="4" t="s">
        <v>53</v>
      </c>
      <c r="S5" s="4">
        <v>4500</v>
      </c>
      <c r="T5" s="4">
        <v>67500</v>
      </c>
      <c r="U5" s="4">
        <v>58500</v>
      </c>
      <c r="V5" s="4">
        <v>0</v>
      </c>
      <c r="W5" s="4">
        <v>0</v>
      </c>
      <c r="X5" s="4">
        <v>0</v>
      </c>
      <c r="Y5" s="4">
        <v>0</v>
      </c>
      <c r="Z5" s="4">
        <v>9000</v>
      </c>
      <c r="AA5" s="4">
        <v>0</v>
      </c>
      <c r="AB5" s="4">
        <v>0</v>
      </c>
      <c r="AC5" s="4">
        <v>0</v>
      </c>
      <c r="AD5" s="4">
        <v>68400</v>
      </c>
      <c r="AE5" s="4">
        <v>58500</v>
      </c>
      <c r="AF5" s="4">
        <v>0</v>
      </c>
      <c r="AG5" s="4">
        <v>0</v>
      </c>
      <c r="AH5" s="4">
        <v>0</v>
      </c>
      <c r="AI5" s="4">
        <v>0</v>
      </c>
      <c r="AJ5" s="4">
        <v>9900</v>
      </c>
      <c r="AK5" s="4">
        <v>0</v>
      </c>
      <c r="AL5" s="4">
        <v>0</v>
      </c>
      <c r="AM5" s="4">
        <v>0</v>
      </c>
      <c r="AN5" s="4">
        <v>46890</v>
      </c>
      <c r="AO5" s="4">
        <v>0</v>
      </c>
      <c r="AP5" s="4">
        <v>46890</v>
      </c>
      <c r="AQ5" t="s">
        <v>45</v>
      </c>
      <c r="AR5" t="s">
        <v>106</v>
      </c>
    </row>
    <row r="6" spans="1:44" x14ac:dyDescent="0.4">
      <c r="A6" s="3" t="s">
        <v>42</v>
      </c>
      <c r="B6" s="3" t="s">
        <v>43</v>
      </c>
      <c r="C6" s="3" t="s">
        <v>44</v>
      </c>
      <c r="D6" s="3" t="s">
        <v>45</v>
      </c>
      <c r="E6" s="3"/>
      <c r="F6" s="3" t="s">
        <v>46</v>
      </c>
      <c r="G6" s="3" t="s">
        <v>47</v>
      </c>
      <c r="H6" s="3" t="s">
        <v>48</v>
      </c>
      <c r="I6" s="3" t="s">
        <v>49</v>
      </c>
      <c r="J6" s="3">
        <v>52578810</v>
      </c>
      <c r="K6" s="3" t="s">
        <v>188</v>
      </c>
      <c r="L6" s="3"/>
      <c r="M6" s="3"/>
      <c r="N6" s="3" t="s">
        <v>106</v>
      </c>
      <c r="O6" s="3" t="s">
        <v>52</v>
      </c>
      <c r="P6" s="3">
        <v>0.7</v>
      </c>
      <c r="Q6" s="3">
        <v>0.6</v>
      </c>
      <c r="R6" s="4" t="s">
        <v>53</v>
      </c>
      <c r="S6" s="4">
        <v>6300</v>
      </c>
      <c r="T6" s="4">
        <v>142500</v>
      </c>
      <c r="U6" s="4">
        <v>113200</v>
      </c>
      <c r="V6" s="4">
        <v>0</v>
      </c>
      <c r="W6" s="4">
        <v>0</v>
      </c>
      <c r="X6" s="4">
        <v>0</v>
      </c>
      <c r="Y6" s="4">
        <v>0</v>
      </c>
      <c r="Z6" s="4">
        <v>25200</v>
      </c>
      <c r="AA6" s="4">
        <v>0</v>
      </c>
      <c r="AB6" s="4">
        <v>0</v>
      </c>
      <c r="AC6" s="4">
        <v>4100</v>
      </c>
      <c r="AD6" s="4">
        <v>145020</v>
      </c>
      <c r="AE6" s="4">
        <v>113200</v>
      </c>
      <c r="AF6" s="4">
        <v>0</v>
      </c>
      <c r="AG6" s="4">
        <v>0</v>
      </c>
      <c r="AH6" s="4">
        <v>0</v>
      </c>
      <c r="AI6" s="4">
        <v>0</v>
      </c>
      <c r="AJ6" s="4">
        <v>27720</v>
      </c>
      <c r="AK6" s="4">
        <v>0</v>
      </c>
      <c r="AL6" s="4">
        <v>0</v>
      </c>
      <c r="AM6" s="4">
        <v>4100</v>
      </c>
      <c r="AN6" s="4">
        <v>98742</v>
      </c>
      <c r="AO6" s="4">
        <v>0</v>
      </c>
      <c r="AP6" s="4">
        <v>98742</v>
      </c>
      <c r="AQ6" t="s">
        <v>45</v>
      </c>
      <c r="AR6" t="s">
        <v>106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R8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5.3984375" bestFit="1" customWidth="1"/>
    <col min="12" max="12" width="21.5" bestFit="1" customWidth="1"/>
    <col min="13" max="13" width="6.796875" bestFit="1" customWidth="1"/>
    <col min="14" max="14" width="30.69921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58455258</v>
      </c>
      <c r="K2" s="3" t="s">
        <v>82</v>
      </c>
      <c r="L2" s="3"/>
      <c r="M2" s="3"/>
      <c r="N2" s="3" t="s">
        <v>83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57800</v>
      </c>
      <c r="U2" s="4">
        <v>3900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53900</v>
      </c>
      <c r="AD2" s="4">
        <v>57800</v>
      </c>
      <c r="AE2" s="4">
        <v>3900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53900</v>
      </c>
      <c r="AN2" s="4">
        <v>40460</v>
      </c>
      <c r="AO2" s="4">
        <v>0</v>
      </c>
      <c r="AP2" s="4">
        <v>40460</v>
      </c>
      <c r="AQ2" t="s">
        <v>45</v>
      </c>
      <c r="AR2" t="s">
        <v>273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58455258</v>
      </c>
      <c r="K3" s="3" t="s">
        <v>82</v>
      </c>
      <c r="L3" s="3"/>
      <c r="M3" s="3"/>
      <c r="N3" s="3" t="s">
        <v>83</v>
      </c>
      <c r="O3" s="3" t="s">
        <v>52</v>
      </c>
      <c r="P3" s="3">
        <v>0.7</v>
      </c>
      <c r="Q3" s="3">
        <v>0.6</v>
      </c>
      <c r="R3" s="4" t="s">
        <v>53</v>
      </c>
      <c r="S3" s="4">
        <v>900</v>
      </c>
      <c r="T3" s="4">
        <v>17100</v>
      </c>
      <c r="U3" s="4">
        <v>5900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11200</v>
      </c>
      <c r="AD3" s="4">
        <v>17100</v>
      </c>
      <c r="AE3" s="4">
        <v>5900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11200</v>
      </c>
      <c r="AN3" s="4">
        <v>11970</v>
      </c>
      <c r="AO3" s="4">
        <v>0</v>
      </c>
      <c r="AP3" s="4">
        <v>11970</v>
      </c>
      <c r="AQ3" t="s">
        <v>45</v>
      </c>
      <c r="AR3" t="s">
        <v>273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58455258</v>
      </c>
      <c r="K4" s="3" t="s">
        <v>82</v>
      </c>
      <c r="L4" s="3"/>
      <c r="M4" s="3"/>
      <c r="N4" s="3" t="s">
        <v>83</v>
      </c>
      <c r="O4" s="3" t="s">
        <v>52</v>
      </c>
      <c r="P4" s="3">
        <v>0.7</v>
      </c>
      <c r="Q4" s="3">
        <v>0.6</v>
      </c>
      <c r="R4" s="4" t="s">
        <v>53</v>
      </c>
      <c r="S4" s="4">
        <v>1800</v>
      </c>
      <c r="T4" s="4">
        <v>65000</v>
      </c>
      <c r="U4" s="4">
        <v>35000</v>
      </c>
      <c r="V4" s="4">
        <v>0</v>
      </c>
      <c r="W4" s="4">
        <v>0</v>
      </c>
      <c r="X4" s="4">
        <v>0</v>
      </c>
      <c r="Y4" s="4">
        <v>0</v>
      </c>
      <c r="Z4" s="4">
        <v>3600</v>
      </c>
      <c r="AA4" s="4">
        <v>0</v>
      </c>
      <c r="AB4" s="4">
        <v>0</v>
      </c>
      <c r="AC4" s="4">
        <v>26400</v>
      </c>
      <c r="AD4" s="4">
        <v>65360</v>
      </c>
      <c r="AE4" s="4">
        <v>35000</v>
      </c>
      <c r="AF4" s="4">
        <v>0</v>
      </c>
      <c r="AG4" s="4">
        <v>0</v>
      </c>
      <c r="AH4" s="4">
        <v>0</v>
      </c>
      <c r="AI4" s="4">
        <v>0</v>
      </c>
      <c r="AJ4" s="4">
        <v>3960</v>
      </c>
      <c r="AK4" s="4">
        <v>0</v>
      </c>
      <c r="AL4" s="4">
        <v>0</v>
      </c>
      <c r="AM4" s="4">
        <v>26400</v>
      </c>
      <c r="AN4" s="4">
        <v>45356</v>
      </c>
      <c r="AO4" s="4">
        <v>0</v>
      </c>
      <c r="AP4" s="4">
        <v>45356</v>
      </c>
      <c r="AQ4" t="s">
        <v>45</v>
      </c>
      <c r="AR4" t="s">
        <v>273</v>
      </c>
    </row>
    <row r="5" spans="1:44" x14ac:dyDescent="0.4">
      <c r="A5" s="3" t="s">
        <v>42</v>
      </c>
      <c r="B5" s="3" t="s">
        <v>43</v>
      </c>
      <c r="C5" s="3" t="s">
        <v>44</v>
      </c>
      <c r="D5" s="3" t="s">
        <v>45</v>
      </c>
      <c r="E5" s="3"/>
      <c r="F5" s="3" t="s">
        <v>46</v>
      </c>
      <c r="G5" s="3" t="s">
        <v>47</v>
      </c>
      <c r="H5" s="3" t="s">
        <v>48</v>
      </c>
      <c r="I5" s="3" t="s">
        <v>49</v>
      </c>
      <c r="J5" s="3">
        <v>58263440</v>
      </c>
      <c r="K5" s="3" t="s">
        <v>88</v>
      </c>
      <c r="L5" s="3"/>
      <c r="M5" s="3"/>
      <c r="N5" s="3" t="s">
        <v>89</v>
      </c>
      <c r="O5" s="3" t="s">
        <v>52</v>
      </c>
      <c r="P5" s="3">
        <v>0.7</v>
      </c>
      <c r="Q5" s="3">
        <v>0.6</v>
      </c>
      <c r="R5" s="4" t="s">
        <v>56</v>
      </c>
      <c r="S5" s="4">
        <v>100</v>
      </c>
      <c r="T5" s="4">
        <v>16000</v>
      </c>
      <c r="U5" s="4">
        <v>2200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13800</v>
      </c>
      <c r="AD5" s="4">
        <v>16000</v>
      </c>
      <c r="AE5" s="4">
        <v>2200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13800</v>
      </c>
      <c r="AN5" s="4">
        <v>11200</v>
      </c>
      <c r="AO5" s="4">
        <v>0</v>
      </c>
      <c r="AP5" s="4">
        <v>11200</v>
      </c>
      <c r="AQ5" t="s">
        <v>45</v>
      </c>
      <c r="AR5" t="s">
        <v>273</v>
      </c>
    </row>
    <row r="6" spans="1:44" x14ac:dyDescent="0.4">
      <c r="A6" s="3" t="s">
        <v>42</v>
      </c>
      <c r="B6" s="3" t="s">
        <v>43</v>
      </c>
      <c r="C6" s="3" t="s">
        <v>44</v>
      </c>
      <c r="D6" s="3" t="s">
        <v>45</v>
      </c>
      <c r="E6" s="3"/>
      <c r="F6" s="3" t="s">
        <v>46</v>
      </c>
      <c r="G6" s="3" t="s">
        <v>47</v>
      </c>
      <c r="H6" s="3" t="s">
        <v>48</v>
      </c>
      <c r="I6" s="3" t="s">
        <v>49</v>
      </c>
      <c r="J6" s="3">
        <v>58263440</v>
      </c>
      <c r="K6" s="3" t="s">
        <v>88</v>
      </c>
      <c r="L6" s="3"/>
      <c r="M6" s="3"/>
      <c r="N6" s="3" t="s">
        <v>89</v>
      </c>
      <c r="O6" s="3" t="s">
        <v>52</v>
      </c>
      <c r="P6" s="3">
        <v>0.7</v>
      </c>
      <c r="Q6" s="3">
        <v>0.6</v>
      </c>
      <c r="R6" s="4" t="s">
        <v>53</v>
      </c>
      <c r="S6" s="4">
        <v>4500</v>
      </c>
      <c r="T6" s="4">
        <v>4500</v>
      </c>
      <c r="U6" s="4">
        <v>4500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4500</v>
      </c>
      <c r="AE6" s="4">
        <v>4500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3150</v>
      </c>
      <c r="AO6" s="4">
        <v>0</v>
      </c>
      <c r="AP6" s="4">
        <v>3150</v>
      </c>
      <c r="AQ6" t="s">
        <v>45</v>
      </c>
      <c r="AR6" t="s">
        <v>273</v>
      </c>
    </row>
    <row r="7" spans="1:44" x14ac:dyDescent="0.4">
      <c r="A7" s="3" t="s">
        <v>42</v>
      </c>
      <c r="B7" s="3" t="s">
        <v>43</v>
      </c>
      <c r="C7" s="3" t="s">
        <v>44</v>
      </c>
      <c r="D7" s="3" t="s">
        <v>45</v>
      </c>
      <c r="E7" s="3"/>
      <c r="F7" s="3" t="s">
        <v>46</v>
      </c>
      <c r="G7" s="3" t="s">
        <v>47</v>
      </c>
      <c r="H7" s="3" t="s">
        <v>48</v>
      </c>
      <c r="I7" s="3" t="s">
        <v>49</v>
      </c>
      <c r="J7" s="3">
        <v>58263440</v>
      </c>
      <c r="K7" s="3" t="s">
        <v>88</v>
      </c>
      <c r="L7" s="3"/>
      <c r="M7" s="3"/>
      <c r="N7" s="3" t="s">
        <v>89</v>
      </c>
      <c r="O7" s="3" t="s">
        <v>52</v>
      </c>
      <c r="P7" s="3">
        <v>0.7</v>
      </c>
      <c r="Q7" s="3">
        <v>0.6</v>
      </c>
      <c r="R7" s="4" t="s">
        <v>53</v>
      </c>
      <c r="S7" s="4">
        <v>9000</v>
      </c>
      <c r="T7" s="4">
        <v>9000</v>
      </c>
      <c r="U7" s="4">
        <v>9000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9000</v>
      </c>
      <c r="AE7" s="4">
        <v>9000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6300</v>
      </c>
      <c r="AO7" s="4">
        <v>0</v>
      </c>
      <c r="AP7" s="4">
        <v>6300</v>
      </c>
      <c r="AQ7" t="s">
        <v>45</v>
      </c>
      <c r="AR7" t="s">
        <v>273</v>
      </c>
    </row>
    <row r="8" spans="1:44" x14ac:dyDescent="0.4">
      <c r="A8" s="3" t="s">
        <v>42</v>
      </c>
      <c r="B8" s="3" t="s">
        <v>43</v>
      </c>
      <c r="C8" s="3" t="s">
        <v>44</v>
      </c>
      <c r="D8" s="3" t="s">
        <v>45</v>
      </c>
      <c r="E8" s="3"/>
      <c r="F8" s="3" t="s">
        <v>46</v>
      </c>
      <c r="G8" s="3" t="s">
        <v>47</v>
      </c>
      <c r="H8" s="3" t="s">
        <v>48</v>
      </c>
      <c r="I8" s="3" t="s">
        <v>49</v>
      </c>
      <c r="J8" s="3">
        <v>58325594</v>
      </c>
      <c r="K8" s="3" t="s">
        <v>142</v>
      </c>
      <c r="L8" s="3"/>
      <c r="M8" s="3"/>
      <c r="N8" s="3" t="s">
        <v>143</v>
      </c>
      <c r="O8" s="3" t="s">
        <v>52</v>
      </c>
      <c r="P8" s="3">
        <v>0.7</v>
      </c>
      <c r="Q8" s="3">
        <v>0.6</v>
      </c>
      <c r="R8" s="4" t="s">
        <v>56</v>
      </c>
      <c r="S8" s="4">
        <v>100</v>
      </c>
      <c r="T8" s="4">
        <v>300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300</v>
      </c>
      <c r="AD8" s="4">
        <v>300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300</v>
      </c>
      <c r="AN8" s="4">
        <v>210</v>
      </c>
      <c r="AO8" s="4">
        <v>0</v>
      </c>
      <c r="AP8" s="4">
        <v>210</v>
      </c>
      <c r="AQ8" t="s">
        <v>45</v>
      </c>
      <c r="AR8" t="s">
        <v>273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R23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9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24.0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49890949</v>
      </c>
      <c r="K2" s="3" t="s">
        <v>63</v>
      </c>
      <c r="L2" s="3"/>
      <c r="M2" s="3"/>
      <c r="N2" s="3" t="s">
        <v>64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18400</v>
      </c>
      <c r="U2" s="4">
        <v>4900</v>
      </c>
      <c r="V2" s="4">
        <v>0</v>
      </c>
      <c r="W2" s="4">
        <v>0</v>
      </c>
      <c r="X2" s="4">
        <v>0</v>
      </c>
      <c r="Y2" s="4">
        <v>0</v>
      </c>
      <c r="Z2" s="4">
        <v>3100</v>
      </c>
      <c r="AA2" s="4">
        <v>0</v>
      </c>
      <c r="AB2" s="4">
        <v>0</v>
      </c>
      <c r="AC2" s="4">
        <v>10400</v>
      </c>
      <c r="AD2" s="4">
        <v>18710</v>
      </c>
      <c r="AE2" s="4">
        <v>4900</v>
      </c>
      <c r="AF2" s="4">
        <v>0</v>
      </c>
      <c r="AG2" s="4">
        <v>0</v>
      </c>
      <c r="AH2" s="4">
        <v>0</v>
      </c>
      <c r="AI2" s="4">
        <v>0</v>
      </c>
      <c r="AJ2" s="4">
        <v>3410</v>
      </c>
      <c r="AK2" s="4">
        <v>0</v>
      </c>
      <c r="AL2" s="4">
        <v>0</v>
      </c>
      <c r="AM2" s="4">
        <v>10400</v>
      </c>
      <c r="AN2" s="4">
        <v>12756</v>
      </c>
      <c r="AO2" s="4">
        <v>0</v>
      </c>
      <c r="AP2" s="4">
        <v>12756</v>
      </c>
      <c r="AQ2" t="s">
        <v>45</v>
      </c>
      <c r="AR2" t="s">
        <v>64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49890949</v>
      </c>
      <c r="K3" s="3" t="s">
        <v>63</v>
      </c>
      <c r="L3" s="3"/>
      <c r="M3" s="3"/>
      <c r="N3" s="3" t="s">
        <v>64</v>
      </c>
      <c r="O3" s="3" t="s">
        <v>52</v>
      </c>
      <c r="P3" s="3">
        <v>0.7</v>
      </c>
      <c r="Q3" s="3">
        <v>0.6</v>
      </c>
      <c r="R3" s="4" t="s">
        <v>53</v>
      </c>
      <c r="S3" s="4">
        <v>2700</v>
      </c>
      <c r="T3" s="4">
        <v>18900</v>
      </c>
      <c r="U3" s="4">
        <v>18700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200</v>
      </c>
      <c r="AD3" s="4">
        <v>18900</v>
      </c>
      <c r="AE3" s="4">
        <v>18700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200</v>
      </c>
      <c r="AN3" s="4">
        <v>13230</v>
      </c>
      <c r="AO3" s="4">
        <v>0</v>
      </c>
      <c r="AP3" s="4">
        <v>13230</v>
      </c>
      <c r="AQ3" t="s">
        <v>45</v>
      </c>
      <c r="AR3" t="s">
        <v>64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49890949</v>
      </c>
      <c r="K4" s="3" t="s">
        <v>63</v>
      </c>
      <c r="L4" s="3"/>
      <c r="M4" s="3"/>
      <c r="N4" s="3" t="s">
        <v>64</v>
      </c>
      <c r="O4" s="3" t="s">
        <v>52</v>
      </c>
      <c r="P4" s="3">
        <v>0.7</v>
      </c>
      <c r="Q4" s="3">
        <v>0.6</v>
      </c>
      <c r="R4" s="4" t="s">
        <v>53</v>
      </c>
      <c r="S4" s="4">
        <v>4500</v>
      </c>
      <c r="T4" s="4">
        <v>1800</v>
      </c>
      <c r="U4" s="4">
        <v>1800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1800</v>
      </c>
      <c r="AE4" s="4">
        <v>1800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1260</v>
      </c>
      <c r="AO4" s="4">
        <v>0</v>
      </c>
      <c r="AP4" s="4">
        <v>1260</v>
      </c>
      <c r="AQ4" t="s">
        <v>45</v>
      </c>
      <c r="AR4" t="s">
        <v>64</v>
      </c>
    </row>
    <row r="5" spans="1:44" x14ac:dyDescent="0.4">
      <c r="A5" s="3" t="s">
        <v>42</v>
      </c>
      <c r="B5" s="3" t="s">
        <v>43</v>
      </c>
      <c r="C5" s="3" t="s">
        <v>44</v>
      </c>
      <c r="D5" s="3" t="s">
        <v>45</v>
      </c>
      <c r="E5" s="3"/>
      <c r="F5" s="3" t="s">
        <v>46</v>
      </c>
      <c r="G5" s="3" t="s">
        <v>47</v>
      </c>
      <c r="H5" s="3" t="s">
        <v>48</v>
      </c>
      <c r="I5" s="3" t="s">
        <v>49</v>
      </c>
      <c r="J5" s="3">
        <v>49890949</v>
      </c>
      <c r="K5" s="3" t="s">
        <v>63</v>
      </c>
      <c r="L5" s="3"/>
      <c r="M5" s="3"/>
      <c r="N5" s="3" t="s">
        <v>64</v>
      </c>
      <c r="O5" s="3" t="s">
        <v>52</v>
      </c>
      <c r="P5" s="3">
        <v>0.7</v>
      </c>
      <c r="Q5" s="3">
        <v>0.6</v>
      </c>
      <c r="R5" s="4" t="s">
        <v>53</v>
      </c>
      <c r="S5" s="4">
        <v>9000</v>
      </c>
      <c r="T5" s="4">
        <v>-8200</v>
      </c>
      <c r="U5" s="4">
        <v>-8200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-8200</v>
      </c>
      <c r="AE5" s="4">
        <v>-8200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-5740</v>
      </c>
      <c r="AO5" s="4">
        <v>0</v>
      </c>
      <c r="AP5" s="4">
        <v>-5740</v>
      </c>
      <c r="AQ5" t="s">
        <v>45</v>
      </c>
      <c r="AR5" t="s">
        <v>64</v>
      </c>
    </row>
    <row r="6" spans="1:44" x14ac:dyDescent="0.4">
      <c r="A6" s="3" t="s">
        <v>42</v>
      </c>
      <c r="B6" s="3" t="s">
        <v>43</v>
      </c>
      <c r="C6" s="3" t="s">
        <v>44</v>
      </c>
      <c r="D6" s="3" t="s">
        <v>45</v>
      </c>
      <c r="E6" s="3"/>
      <c r="F6" s="3" t="s">
        <v>46</v>
      </c>
      <c r="G6" s="3" t="s">
        <v>47</v>
      </c>
      <c r="H6" s="3" t="s">
        <v>48</v>
      </c>
      <c r="I6" s="3" t="s">
        <v>49</v>
      </c>
      <c r="J6" s="3">
        <v>56156528</v>
      </c>
      <c r="K6" s="3" t="s">
        <v>111</v>
      </c>
      <c r="L6" s="3"/>
      <c r="M6" s="3"/>
      <c r="N6" s="3" t="s">
        <v>64</v>
      </c>
      <c r="O6" s="3" t="s">
        <v>52</v>
      </c>
      <c r="P6" s="3">
        <v>0.7</v>
      </c>
      <c r="Q6" s="3">
        <v>0.6</v>
      </c>
      <c r="R6" s="4" t="s">
        <v>56</v>
      </c>
      <c r="S6" s="4">
        <v>100</v>
      </c>
      <c r="T6" s="4">
        <v>2400</v>
      </c>
      <c r="U6" s="4">
        <v>2400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2400</v>
      </c>
      <c r="AE6" s="4">
        <v>2400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1680</v>
      </c>
      <c r="AO6" s="4">
        <v>0</v>
      </c>
      <c r="AP6" s="4">
        <v>1680</v>
      </c>
      <c r="AQ6" t="s">
        <v>45</v>
      </c>
      <c r="AR6" t="s">
        <v>64</v>
      </c>
    </row>
    <row r="7" spans="1:44" x14ac:dyDescent="0.4">
      <c r="A7" s="3" t="s">
        <v>42</v>
      </c>
      <c r="B7" s="3" t="s">
        <v>43</v>
      </c>
      <c r="C7" s="3" t="s">
        <v>44</v>
      </c>
      <c r="D7" s="3" t="s">
        <v>45</v>
      </c>
      <c r="E7" s="3"/>
      <c r="F7" s="3" t="s">
        <v>46</v>
      </c>
      <c r="G7" s="3" t="s">
        <v>47</v>
      </c>
      <c r="H7" s="3" t="s">
        <v>48</v>
      </c>
      <c r="I7" s="3" t="s">
        <v>49</v>
      </c>
      <c r="J7" s="3">
        <v>56156528</v>
      </c>
      <c r="K7" s="3" t="s">
        <v>111</v>
      </c>
      <c r="L7" s="3"/>
      <c r="M7" s="3"/>
      <c r="N7" s="3" t="s">
        <v>64</v>
      </c>
      <c r="O7" s="3" t="s">
        <v>52</v>
      </c>
      <c r="P7" s="3">
        <v>0.7</v>
      </c>
      <c r="Q7" s="3">
        <v>0.6</v>
      </c>
      <c r="R7" s="4" t="s">
        <v>53</v>
      </c>
      <c r="S7" s="4">
        <v>2400</v>
      </c>
      <c r="T7" s="4">
        <v>14400</v>
      </c>
      <c r="U7" s="4">
        <v>6700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7700</v>
      </c>
      <c r="AD7" s="4">
        <v>14400</v>
      </c>
      <c r="AE7" s="4">
        <v>6700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7700</v>
      </c>
      <c r="AN7" s="4">
        <v>10080</v>
      </c>
      <c r="AO7" s="4">
        <v>0</v>
      </c>
      <c r="AP7" s="4">
        <v>10080</v>
      </c>
      <c r="AQ7" t="s">
        <v>45</v>
      </c>
      <c r="AR7" t="s">
        <v>64</v>
      </c>
    </row>
    <row r="8" spans="1:44" x14ac:dyDescent="0.4">
      <c r="A8" s="3" t="s">
        <v>42</v>
      </c>
      <c r="B8" s="3" t="s">
        <v>43</v>
      </c>
      <c r="C8" s="3" t="s">
        <v>44</v>
      </c>
      <c r="D8" s="3" t="s">
        <v>45</v>
      </c>
      <c r="E8" s="3"/>
      <c r="F8" s="3" t="s">
        <v>46</v>
      </c>
      <c r="G8" s="3" t="s">
        <v>47</v>
      </c>
      <c r="H8" s="3" t="s">
        <v>48</v>
      </c>
      <c r="I8" s="3" t="s">
        <v>49</v>
      </c>
      <c r="J8" s="3">
        <v>56652328</v>
      </c>
      <c r="K8" s="3" t="s">
        <v>135</v>
      </c>
      <c r="L8" s="3"/>
      <c r="M8" s="3"/>
      <c r="N8" s="3" t="s">
        <v>64</v>
      </c>
      <c r="O8" s="3" t="s">
        <v>52</v>
      </c>
      <c r="P8" s="3">
        <v>0.7</v>
      </c>
      <c r="Q8" s="3">
        <v>0.6</v>
      </c>
      <c r="R8" s="4" t="s">
        <v>74</v>
      </c>
      <c r="S8" s="4">
        <v>900</v>
      </c>
      <c r="T8" s="4">
        <v>12600</v>
      </c>
      <c r="U8" s="4">
        <v>7210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5390</v>
      </c>
      <c r="AD8" s="4">
        <v>12600</v>
      </c>
      <c r="AE8" s="4">
        <v>7210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5390</v>
      </c>
      <c r="AN8" s="4">
        <v>8820</v>
      </c>
      <c r="AO8" s="4">
        <v>0</v>
      </c>
      <c r="AP8" s="4">
        <v>8820</v>
      </c>
      <c r="AQ8" t="s">
        <v>45</v>
      </c>
      <c r="AR8" t="s">
        <v>64</v>
      </c>
    </row>
    <row r="9" spans="1:44" x14ac:dyDescent="0.4">
      <c r="A9" s="3" t="s">
        <v>42</v>
      </c>
      <c r="B9" s="3" t="s">
        <v>43</v>
      </c>
      <c r="C9" s="3" t="s">
        <v>44</v>
      </c>
      <c r="D9" s="3" t="s">
        <v>45</v>
      </c>
      <c r="E9" s="3"/>
      <c r="F9" s="3" t="s">
        <v>46</v>
      </c>
      <c r="G9" s="3" t="s">
        <v>47</v>
      </c>
      <c r="H9" s="3" t="s">
        <v>48</v>
      </c>
      <c r="I9" s="3" t="s">
        <v>49</v>
      </c>
      <c r="J9" s="3">
        <v>56652561</v>
      </c>
      <c r="K9" s="3" t="s">
        <v>136</v>
      </c>
      <c r="L9" s="3"/>
      <c r="M9" s="3"/>
      <c r="N9" s="3" t="s">
        <v>64</v>
      </c>
      <c r="O9" s="3" t="s">
        <v>52</v>
      </c>
      <c r="P9" s="3">
        <v>0.7</v>
      </c>
      <c r="Q9" s="3">
        <v>0.6</v>
      </c>
      <c r="R9" s="4" t="s">
        <v>56</v>
      </c>
      <c r="S9" s="4">
        <v>3200</v>
      </c>
      <c r="T9" s="4">
        <v>32000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32000</v>
      </c>
      <c r="AD9" s="4">
        <v>32000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32000</v>
      </c>
      <c r="AN9" s="4">
        <v>22400</v>
      </c>
      <c r="AO9" s="4">
        <v>0</v>
      </c>
      <c r="AP9" s="4">
        <v>22400</v>
      </c>
      <c r="AQ9" t="s">
        <v>45</v>
      </c>
      <c r="AR9" t="s">
        <v>64</v>
      </c>
    </row>
    <row r="10" spans="1:44" x14ac:dyDescent="0.4">
      <c r="A10" s="3" t="s">
        <v>42</v>
      </c>
      <c r="B10" s="3" t="s">
        <v>43</v>
      </c>
      <c r="C10" s="3" t="s">
        <v>44</v>
      </c>
      <c r="D10" s="3" t="s">
        <v>45</v>
      </c>
      <c r="E10" s="3"/>
      <c r="F10" s="3" t="s">
        <v>46</v>
      </c>
      <c r="G10" s="3" t="s">
        <v>47</v>
      </c>
      <c r="H10" s="3" t="s">
        <v>48</v>
      </c>
      <c r="I10" s="3" t="s">
        <v>49</v>
      </c>
      <c r="J10" s="3">
        <v>56652561</v>
      </c>
      <c r="K10" s="3" t="s">
        <v>136</v>
      </c>
      <c r="L10" s="3"/>
      <c r="M10" s="3"/>
      <c r="N10" s="3" t="s">
        <v>64</v>
      </c>
      <c r="O10" s="3" t="s">
        <v>52</v>
      </c>
      <c r="P10" s="3">
        <v>0.7</v>
      </c>
      <c r="Q10" s="3">
        <v>0.6</v>
      </c>
      <c r="R10" s="4" t="s">
        <v>74</v>
      </c>
      <c r="S10" s="4">
        <v>900</v>
      </c>
      <c r="T10" s="4">
        <v>1800</v>
      </c>
      <c r="U10" s="4">
        <v>1800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1800</v>
      </c>
      <c r="AE10" s="4">
        <v>1800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1260</v>
      </c>
      <c r="AO10" s="4">
        <v>0</v>
      </c>
      <c r="AP10" s="4">
        <v>1260</v>
      </c>
      <c r="AQ10" t="s">
        <v>45</v>
      </c>
      <c r="AR10" t="s">
        <v>64</v>
      </c>
    </row>
    <row r="11" spans="1:44" x14ac:dyDescent="0.4">
      <c r="A11" s="3" t="s">
        <v>42</v>
      </c>
      <c r="B11" s="3" t="s">
        <v>43</v>
      </c>
      <c r="C11" s="3" t="s">
        <v>44</v>
      </c>
      <c r="D11" s="3" t="s">
        <v>45</v>
      </c>
      <c r="E11" s="3"/>
      <c r="F11" s="3" t="s">
        <v>46</v>
      </c>
      <c r="G11" s="3" t="s">
        <v>47</v>
      </c>
      <c r="H11" s="3" t="s">
        <v>48</v>
      </c>
      <c r="I11" s="3" t="s">
        <v>49</v>
      </c>
      <c r="J11" s="3">
        <v>56652633</v>
      </c>
      <c r="K11" s="3" t="s">
        <v>256</v>
      </c>
      <c r="L11" s="3"/>
      <c r="M11" s="3"/>
      <c r="N11" s="3" t="s">
        <v>64</v>
      </c>
      <c r="O11" s="3" t="s">
        <v>52</v>
      </c>
      <c r="P11" s="3">
        <v>0.7</v>
      </c>
      <c r="Q11" s="3">
        <v>0.6</v>
      </c>
      <c r="R11" s="4" t="s">
        <v>56</v>
      </c>
      <c r="S11" s="4">
        <v>3200</v>
      </c>
      <c r="T11" s="4">
        <v>32000</v>
      </c>
      <c r="U11" s="4">
        <v>28500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3500</v>
      </c>
      <c r="AD11" s="4">
        <v>32000</v>
      </c>
      <c r="AE11" s="4">
        <v>28500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3500</v>
      </c>
      <c r="AN11" s="4">
        <v>22400</v>
      </c>
      <c r="AO11" s="4">
        <v>0</v>
      </c>
      <c r="AP11" s="4">
        <v>22400</v>
      </c>
      <c r="AQ11" t="s">
        <v>45</v>
      </c>
      <c r="AR11" t="s">
        <v>64</v>
      </c>
    </row>
    <row r="12" spans="1:44" x14ac:dyDescent="0.4">
      <c r="A12" s="3" t="s">
        <v>42</v>
      </c>
      <c r="B12" s="3" t="s">
        <v>43</v>
      </c>
      <c r="C12" s="3" t="s">
        <v>44</v>
      </c>
      <c r="D12" s="3" t="s">
        <v>45</v>
      </c>
      <c r="E12" s="3"/>
      <c r="F12" s="3" t="s">
        <v>46</v>
      </c>
      <c r="G12" s="3" t="s">
        <v>47</v>
      </c>
      <c r="H12" s="3" t="s">
        <v>48</v>
      </c>
      <c r="I12" s="3" t="s">
        <v>49</v>
      </c>
      <c r="J12" s="3">
        <v>56652730</v>
      </c>
      <c r="K12" s="3" t="s">
        <v>137</v>
      </c>
      <c r="L12" s="3"/>
      <c r="M12" s="3"/>
      <c r="N12" s="3" t="s">
        <v>64</v>
      </c>
      <c r="O12" s="3" t="s">
        <v>52</v>
      </c>
      <c r="P12" s="3">
        <v>0.7</v>
      </c>
      <c r="Q12" s="3">
        <v>0.6</v>
      </c>
      <c r="R12" s="4" t="s">
        <v>74</v>
      </c>
      <c r="S12" s="4">
        <v>900</v>
      </c>
      <c r="T12" s="4">
        <v>47700</v>
      </c>
      <c r="U12" s="4">
        <v>29000</v>
      </c>
      <c r="V12" s="4">
        <v>0</v>
      </c>
      <c r="W12" s="4">
        <v>0</v>
      </c>
      <c r="X12" s="4">
        <v>0</v>
      </c>
      <c r="Y12" s="4">
        <v>0</v>
      </c>
      <c r="Z12" s="4">
        <v>2700</v>
      </c>
      <c r="AA12" s="4">
        <v>0</v>
      </c>
      <c r="AB12" s="4">
        <v>0</v>
      </c>
      <c r="AC12" s="4">
        <v>16000</v>
      </c>
      <c r="AD12" s="4">
        <v>47970</v>
      </c>
      <c r="AE12" s="4">
        <v>29000</v>
      </c>
      <c r="AF12" s="4">
        <v>0</v>
      </c>
      <c r="AG12" s="4">
        <v>0</v>
      </c>
      <c r="AH12" s="4">
        <v>0</v>
      </c>
      <c r="AI12" s="4">
        <v>0</v>
      </c>
      <c r="AJ12" s="4">
        <v>2970</v>
      </c>
      <c r="AK12" s="4">
        <v>0</v>
      </c>
      <c r="AL12" s="4">
        <v>0</v>
      </c>
      <c r="AM12" s="4">
        <v>16000</v>
      </c>
      <c r="AN12" s="4">
        <v>33282</v>
      </c>
      <c r="AO12" s="4">
        <v>0</v>
      </c>
      <c r="AP12" s="4">
        <v>33282</v>
      </c>
      <c r="AQ12" t="s">
        <v>45</v>
      </c>
      <c r="AR12" t="s">
        <v>64</v>
      </c>
    </row>
    <row r="13" spans="1:44" x14ac:dyDescent="0.4">
      <c r="A13" s="3" t="s">
        <v>42</v>
      </c>
      <c r="B13" s="3" t="s">
        <v>43</v>
      </c>
      <c r="C13" s="3" t="s">
        <v>44</v>
      </c>
      <c r="D13" s="3" t="s">
        <v>45</v>
      </c>
      <c r="E13" s="3"/>
      <c r="F13" s="3" t="s">
        <v>46</v>
      </c>
      <c r="G13" s="3" t="s">
        <v>47</v>
      </c>
      <c r="H13" s="3" t="s">
        <v>48</v>
      </c>
      <c r="I13" s="3" t="s">
        <v>49</v>
      </c>
      <c r="J13" s="3">
        <v>56652730</v>
      </c>
      <c r="K13" s="3" t="s">
        <v>137</v>
      </c>
      <c r="L13" s="3"/>
      <c r="M13" s="3"/>
      <c r="N13" s="3" t="s">
        <v>64</v>
      </c>
      <c r="O13" s="3" t="s">
        <v>52</v>
      </c>
      <c r="P13" s="3">
        <v>0.7</v>
      </c>
      <c r="Q13" s="3">
        <v>0.6</v>
      </c>
      <c r="R13" s="4" t="s">
        <v>110</v>
      </c>
      <c r="S13" s="4">
        <v>8100</v>
      </c>
      <c r="T13" s="4">
        <v>8100</v>
      </c>
      <c r="U13" s="4">
        <v>7200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900</v>
      </c>
      <c r="AD13" s="4">
        <v>8100</v>
      </c>
      <c r="AE13" s="4">
        <v>7200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900</v>
      </c>
      <c r="AN13" s="4">
        <v>5670</v>
      </c>
      <c r="AO13" s="4">
        <v>0</v>
      </c>
      <c r="AP13" s="4">
        <v>5670</v>
      </c>
      <c r="AQ13" t="s">
        <v>45</v>
      </c>
      <c r="AR13" t="s">
        <v>64</v>
      </c>
    </row>
    <row r="14" spans="1:44" x14ac:dyDescent="0.4">
      <c r="A14" s="3" t="s">
        <v>42</v>
      </c>
      <c r="B14" s="3" t="s">
        <v>43</v>
      </c>
      <c r="C14" s="3" t="s">
        <v>44</v>
      </c>
      <c r="D14" s="3" t="s">
        <v>45</v>
      </c>
      <c r="E14" s="3"/>
      <c r="F14" s="3" t="s">
        <v>46</v>
      </c>
      <c r="G14" s="3" t="s">
        <v>47</v>
      </c>
      <c r="H14" s="3" t="s">
        <v>48</v>
      </c>
      <c r="I14" s="3" t="s">
        <v>49</v>
      </c>
      <c r="J14" s="3">
        <v>47428724</v>
      </c>
      <c r="K14" s="3" t="s">
        <v>116</v>
      </c>
      <c r="L14" s="3"/>
      <c r="M14" s="3"/>
      <c r="N14" s="3" t="s">
        <v>64</v>
      </c>
      <c r="O14" s="3" t="s">
        <v>52</v>
      </c>
      <c r="P14" s="3">
        <v>0.7</v>
      </c>
      <c r="Q14" s="3">
        <v>0.6</v>
      </c>
      <c r="R14" s="4" t="s">
        <v>56</v>
      </c>
      <c r="S14" s="4">
        <v>100</v>
      </c>
      <c r="T14" s="4">
        <v>300</v>
      </c>
      <c r="U14" s="4">
        <v>100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200</v>
      </c>
      <c r="AD14" s="4">
        <v>300</v>
      </c>
      <c r="AE14" s="4">
        <v>100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200</v>
      </c>
      <c r="AN14" s="4">
        <v>210</v>
      </c>
      <c r="AO14" s="4">
        <v>0</v>
      </c>
      <c r="AP14" s="4">
        <v>210</v>
      </c>
      <c r="AQ14" t="s">
        <v>45</v>
      </c>
      <c r="AR14" t="s">
        <v>64</v>
      </c>
    </row>
    <row r="15" spans="1:44" x14ac:dyDescent="0.4">
      <c r="A15" s="3" t="s">
        <v>42</v>
      </c>
      <c r="B15" s="3" t="s">
        <v>43</v>
      </c>
      <c r="C15" s="3" t="s">
        <v>44</v>
      </c>
      <c r="D15" s="3" t="s">
        <v>45</v>
      </c>
      <c r="E15" s="3"/>
      <c r="F15" s="3" t="s">
        <v>46</v>
      </c>
      <c r="G15" s="3" t="s">
        <v>47</v>
      </c>
      <c r="H15" s="3" t="s">
        <v>48</v>
      </c>
      <c r="I15" s="3" t="s">
        <v>49</v>
      </c>
      <c r="J15" s="3">
        <v>47428724</v>
      </c>
      <c r="K15" s="3" t="s">
        <v>116</v>
      </c>
      <c r="L15" s="3"/>
      <c r="M15" s="3"/>
      <c r="N15" s="3" t="s">
        <v>64</v>
      </c>
      <c r="O15" s="3" t="s">
        <v>52</v>
      </c>
      <c r="P15" s="3">
        <v>0.7</v>
      </c>
      <c r="Q15" s="3">
        <v>0.6</v>
      </c>
      <c r="R15" s="4" t="s">
        <v>53</v>
      </c>
      <c r="S15" s="4">
        <v>9000</v>
      </c>
      <c r="T15" s="4">
        <v>9000</v>
      </c>
      <c r="U15" s="4">
        <v>9000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9000</v>
      </c>
      <c r="AE15" s="4">
        <v>9000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6300</v>
      </c>
      <c r="AO15" s="4">
        <v>0</v>
      </c>
      <c r="AP15" s="4">
        <v>6300</v>
      </c>
      <c r="AQ15" t="s">
        <v>45</v>
      </c>
      <c r="AR15" t="s">
        <v>64</v>
      </c>
    </row>
    <row r="16" spans="1:44" x14ac:dyDescent="0.4">
      <c r="A16" s="3" t="s">
        <v>42</v>
      </c>
      <c r="B16" s="3" t="s">
        <v>43</v>
      </c>
      <c r="C16" s="3" t="s">
        <v>44</v>
      </c>
      <c r="D16" s="3" t="s">
        <v>45</v>
      </c>
      <c r="E16" s="3"/>
      <c r="F16" s="3" t="s">
        <v>46</v>
      </c>
      <c r="G16" s="3" t="s">
        <v>47</v>
      </c>
      <c r="H16" s="3" t="s">
        <v>48</v>
      </c>
      <c r="I16" s="3" t="s">
        <v>49</v>
      </c>
      <c r="J16" s="3">
        <v>47913458</v>
      </c>
      <c r="K16" s="3" t="s">
        <v>160</v>
      </c>
      <c r="L16" s="3"/>
      <c r="M16" s="3"/>
      <c r="N16" s="3" t="s">
        <v>64</v>
      </c>
      <c r="O16" s="3" t="s">
        <v>52</v>
      </c>
      <c r="P16" s="3">
        <v>0.7</v>
      </c>
      <c r="Q16" s="3">
        <v>0.6</v>
      </c>
      <c r="R16" s="4" t="s">
        <v>56</v>
      </c>
      <c r="S16" s="4">
        <v>100</v>
      </c>
      <c r="T16" s="4">
        <v>30500</v>
      </c>
      <c r="U16" s="4">
        <v>14400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16100</v>
      </c>
      <c r="AD16" s="4">
        <v>30500</v>
      </c>
      <c r="AE16" s="4">
        <v>14400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16100</v>
      </c>
      <c r="AN16" s="4">
        <v>21350</v>
      </c>
      <c r="AO16" s="4">
        <v>0</v>
      </c>
      <c r="AP16" s="4">
        <v>21350</v>
      </c>
      <c r="AQ16" t="s">
        <v>45</v>
      </c>
      <c r="AR16" t="s">
        <v>64</v>
      </c>
    </row>
    <row r="17" spans="1:44" x14ac:dyDescent="0.4">
      <c r="A17" s="3" t="s">
        <v>42</v>
      </c>
      <c r="B17" s="3" t="s">
        <v>43</v>
      </c>
      <c r="C17" s="3" t="s">
        <v>44</v>
      </c>
      <c r="D17" s="3" t="s">
        <v>45</v>
      </c>
      <c r="E17" s="3"/>
      <c r="F17" s="3" t="s">
        <v>46</v>
      </c>
      <c r="G17" s="3" t="s">
        <v>47</v>
      </c>
      <c r="H17" s="3" t="s">
        <v>48</v>
      </c>
      <c r="I17" s="3" t="s">
        <v>49</v>
      </c>
      <c r="J17" s="3">
        <v>47913458</v>
      </c>
      <c r="K17" s="3" t="s">
        <v>160</v>
      </c>
      <c r="L17" s="3"/>
      <c r="M17" s="3"/>
      <c r="N17" s="3" t="s">
        <v>64</v>
      </c>
      <c r="O17" s="3" t="s">
        <v>52</v>
      </c>
      <c r="P17" s="3">
        <v>0.7</v>
      </c>
      <c r="Q17" s="3">
        <v>0.6</v>
      </c>
      <c r="R17" s="4" t="s">
        <v>53</v>
      </c>
      <c r="S17" s="4">
        <v>2300</v>
      </c>
      <c r="T17" s="4">
        <v>25600</v>
      </c>
      <c r="U17" s="4">
        <v>25200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400</v>
      </c>
      <c r="AD17" s="4">
        <v>25600</v>
      </c>
      <c r="AE17" s="4">
        <v>25200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400</v>
      </c>
      <c r="AN17" s="4">
        <v>17920</v>
      </c>
      <c r="AO17" s="4">
        <v>0</v>
      </c>
      <c r="AP17" s="4">
        <v>17920</v>
      </c>
      <c r="AQ17" t="s">
        <v>45</v>
      </c>
      <c r="AR17" t="s">
        <v>64</v>
      </c>
    </row>
    <row r="18" spans="1:44" x14ac:dyDescent="0.4">
      <c r="A18" s="3" t="s">
        <v>42</v>
      </c>
      <c r="B18" s="3" t="s">
        <v>43</v>
      </c>
      <c r="C18" s="3" t="s">
        <v>44</v>
      </c>
      <c r="D18" s="3" t="s">
        <v>45</v>
      </c>
      <c r="E18" s="3"/>
      <c r="F18" s="3" t="s">
        <v>46</v>
      </c>
      <c r="G18" s="3" t="s">
        <v>47</v>
      </c>
      <c r="H18" s="3" t="s">
        <v>48</v>
      </c>
      <c r="I18" s="3" t="s">
        <v>49</v>
      </c>
      <c r="J18" s="3">
        <v>47913458</v>
      </c>
      <c r="K18" s="3" t="s">
        <v>160</v>
      </c>
      <c r="L18" s="3"/>
      <c r="M18" s="3"/>
      <c r="N18" s="3" t="s">
        <v>64</v>
      </c>
      <c r="O18" s="3" t="s">
        <v>52</v>
      </c>
      <c r="P18" s="3">
        <v>0.7</v>
      </c>
      <c r="Q18" s="3">
        <v>0.6</v>
      </c>
      <c r="R18" s="4" t="s">
        <v>53</v>
      </c>
      <c r="S18" s="4">
        <v>4500</v>
      </c>
      <c r="T18" s="4">
        <v>5500</v>
      </c>
      <c r="U18" s="4">
        <v>5500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5500</v>
      </c>
      <c r="AE18" s="4">
        <v>5500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3850</v>
      </c>
      <c r="AO18" s="4">
        <v>0</v>
      </c>
      <c r="AP18" s="4">
        <v>3850</v>
      </c>
      <c r="AQ18" t="s">
        <v>45</v>
      </c>
      <c r="AR18" t="s">
        <v>64</v>
      </c>
    </row>
    <row r="19" spans="1:44" x14ac:dyDescent="0.4">
      <c r="A19" s="3" t="s">
        <v>42</v>
      </c>
      <c r="B19" s="3" t="s">
        <v>43</v>
      </c>
      <c r="C19" s="3" t="s">
        <v>44</v>
      </c>
      <c r="D19" s="3" t="s">
        <v>45</v>
      </c>
      <c r="E19" s="3"/>
      <c r="F19" s="3" t="s">
        <v>46</v>
      </c>
      <c r="G19" s="3" t="s">
        <v>47</v>
      </c>
      <c r="H19" s="3" t="s">
        <v>48</v>
      </c>
      <c r="I19" s="3" t="s">
        <v>49</v>
      </c>
      <c r="J19" s="3">
        <v>47913458</v>
      </c>
      <c r="K19" s="3" t="s">
        <v>160</v>
      </c>
      <c r="L19" s="3"/>
      <c r="M19" s="3"/>
      <c r="N19" s="3" t="s">
        <v>64</v>
      </c>
      <c r="O19" s="3" t="s">
        <v>52</v>
      </c>
      <c r="P19" s="3">
        <v>0.7</v>
      </c>
      <c r="Q19" s="3">
        <v>0.6</v>
      </c>
      <c r="R19" s="4" t="s">
        <v>53</v>
      </c>
      <c r="S19" s="4">
        <v>9000</v>
      </c>
      <c r="T19" s="4">
        <v>9000</v>
      </c>
      <c r="U19" s="4">
        <v>9000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9000</v>
      </c>
      <c r="AE19" s="4">
        <v>9000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6300</v>
      </c>
      <c r="AO19" s="4">
        <v>0</v>
      </c>
      <c r="AP19" s="4">
        <v>6300</v>
      </c>
      <c r="AQ19" t="s">
        <v>45</v>
      </c>
      <c r="AR19" t="s">
        <v>64</v>
      </c>
    </row>
    <row r="20" spans="1:44" x14ac:dyDescent="0.4">
      <c r="A20" s="3" t="s">
        <v>42</v>
      </c>
      <c r="B20" s="3" t="s">
        <v>43</v>
      </c>
      <c r="C20" s="3" t="s">
        <v>44</v>
      </c>
      <c r="D20" s="3" t="s">
        <v>45</v>
      </c>
      <c r="E20" s="3"/>
      <c r="F20" s="3" t="s">
        <v>46</v>
      </c>
      <c r="G20" s="3" t="s">
        <v>47</v>
      </c>
      <c r="H20" s="3" t="s">
        <v>48</v>
      </c>
      <c r="I20" s="3" t="s">
        <v>49</v>
      </c>
      <c r="J20" s="3">
        <v>49197281</v>
      </c>
      <c r="K20" s="3" t="s">
        <v>184</v>
      </c>
      <c r="L20" s="3"/>
      <c r="M20" s="3"/>
      <c r="N20" s="3" t="s">
        <v>64</v>
      </c>
      <c r="O20" s="3" t="s">
        <v>52</v>
      </c>
      <c r="P20" s="3">
        <v>0.7</v>
      </c>
      <c r="Q20" s="3">
        <v>0.6</v>
      </c>
      <c r="R20" s="4" t="s">
        <v>56</v>
      </c>
      <c r="S20" s="4">
        <v>100</v>
      </c>
      <c r="T20" s="4">
        <v>7100</v>
      </c>
      <c r="U20" s="4">
        <v>2000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5100</v>
      </c>
      <c r="AD20" s="4">
        <v>7100</v>
      </c>
      <c r="AE20" s="4">
        <v>2000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5100</v>
      </c>
      <c r="AN20" s="4">
        <v>4970</v>
      </c>
      <c r="AO20" s="4">
        <v>0</v>
      </c>
      <c r="AP20" s="4">
        <v>4970</v>
      </c>
      <c r="AQ20" t="s">
        <v>45</v>
      </c>
      <c r="AR20" t="s">
        <v>64</v>
      </c>
    </row>
    <row r="21" spans="1:44" x14ac:dyDescent="0.4">
      <c r="A21" s="3" t="s">
        <v>42</v>
      </c>
      <c r="B21" s="3" t="s">
        <v>43</v>
      </c>
      <c r="C21" s="3" t="s">
        <v>44</v>
      </c>
      <c r="D21" s="3" t="s">
        <v>45</v>
      </c>
      <c r="E21" s="3"/>
      <c r="F21" s="3" t="s">
        <v>46</v>
      </c>
      <c r="G21" s="3" t="s">
        <v>47</v>
      </c>
      <c r="H21" s="3" t="s">
        <v>48</v>
      </c>
      <c r="I21" s="3" t="s">
        <v>49</v>
      </c>
      <c r="J21" s="3">
        <v>49197281</v>
      </c>
      <c r="K21" s="3" t="s">
        <v>184</v>
      </c>
      <c r="L21" s="3"/>
      <c r="M21" s="3"/>
      <c r="N21" s="3" t="s">
        <v>64</v>
      </c>
      <c r="O21" s="3" t="s">
        <v>52</v>
      </c>
      <c r="P21" s="3">
        <v>0.7</v>
      </c>
      <c r="Q21" s="3">
        <v>0.6</v>
      </c>
      <c r="R21" s="4" t="s">
        <v>53</v>
      </c>
      <c r="S21" s="4">
        <v>2700</v>
      </c>
      <c r="T21" s="4">
        <v>4200</v>
      </c>
      <c r="U21" s="4">
        <v>3400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800</v>
      </c>
      <c r="AD21" s="4">
        <v>4200</v>
      </c>
      <c r="AE21" s="4">
        <v>3400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800</v>
      </c>
      <c r="AN21" s="4">
        <v>2940</v>
      </c>
      <c r="AO21" s="4">
        <v>0</v>
      </c>
      <c r="AP21" s="4">
        <v>2940</v>
      </c>
      <c r="AQ21" t="s">
        <v>45</v>
      </c>
      <c r="AR21" t="s">
        <v>64</v>
      </c>
    </row>
    <row r="22" spans="1:44" x14ac:dyDescent="0.4">
      <c r="A22" s="3" t="s">
        <v>42</v>
      </c>
      <c r="B22" s="3" t="s">
        <v>43</v>
      </c>
      <c r="C22" s="3" t="s">
        <v>44</v>
      </c>
      <c r="D22" s="3" t="s">
        <v>45</v>
      </c>
      <c r="E22" s="3"/>
      <c r="F22" s="3" t="s">
        <v>46</v>
      </c>
      <c r="G22" s="3" t="s">
        <v>47</v>
      </c>
      <c r="H22" s="3" t="s">
        <v>48</v>
      </c>
      <c r="I22" s="3" t="s">
        <v>49</v>
      </c>
      <c r="J22" s="3">
        <v>49197281</v>
      </c>
      <c r="K22" s="3" t="s">
        <v>184</v>
      </c>
      <c r="L22" s="3"/>
      <c r="M22" s="3"/>
      <c r="N22" s="3" t="s">
        <v>64</v>
      </c>
      <c r="O22" s="3" t="s">
        <v>52</v>
      </c>
      <c r="P22" s="3">
        <v>0.7</v>
      </c>
      <c r="Q22" s="3">
        <v>0.6</v>
      </c>
      <c r="R22" s="4" t="s">
        <v>53</v>
      </c>
      <c r="S22" s="4">
        <v>4500</v>
      </c>
      <c r="T22" s="4">
        <v>13500</v>
      </c>
      <c r="U22" s="4">
        <v>13300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200</v>
      </c>
      <c r="AD22" s="4">
        <v>13500</v>
      </c>
      <c r="AE22" s="4">
        <v>13300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200</v>
      </c>
      <c r="AN22" s="4">
        <v>9450</v>
      </c>
      <c r="AO22" s="4">
        <v>0</v>
      </c>
      <c r="AP22" s="4">
        <v>9450</v>
      </c>
      <c r="AQ22" t="s">
        <v>45</v>
      </c>
      <c r="AR22" t="s">
        <v>64</v>
      </c>
    </row>
    <row r="23" spans="1:44" x14ac:dyDescent="0.4">
      <c r="A23" s="3" t="s">
        <v>42</v>
      </c>
      <c r="B23" s="3" t="s">
        <v>43</v>
      </c>
      <c r="C23" s="3" t="s">
        <v>44</v>
      </c>
      <c r="D23" s="3" t="s">
        <v>45</v>
      </c>
      <c r="E23" s="3"/>
      <c r="F23" s="3" t="s">
        <v>46</v>
      </c>
      <c r="G23" s="3" t="s">
        <v>47</v>
      </c>
      <c r="H23" s="3" t="s">
        <v>48</v>
      </c>
      <c r="I23" s="3" t="s">
        <v>49</v>
      </c>
      <c r="J23" s="3">
        <v>49197281</v>
      </c>
      <c r="K23" s="3" t="s">
        <v>184</v>
      </c>
      <c r="L23" s="3"/>
      <c r="M23" s="3"/>
      <c r="N23" s="3" t="s">
        <v>64</v>
      </c>
      <c r="O23" s="3" t="s">
        <v>52</v>
      </c>
      <c r="P23" s="3">
        <v>0.7</v>
      </c>
      <c r="Q23" s="3">
        <v>0.6</v>
      </c>
      <c r="R23" s="4" t="s">
        <v>53</v>
      </c>
      <c r="S23" s="4">
        <v>9000</v>
      </c>
      <c r="T23" s="4">
        <v>9000</v>
      </c>
      <c r="U23" s="4">
        <v>9000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9000</v>
      </c>
      <c r="AE23" s="4">
        <v>9000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6300</v>
      </c>
      <c r="AO23" s="4">
        <v>0</v>
      </c>
      <c r="AP23" s="4">
        <v>6300</v>
      </c>
      <c r="AQ23" t="s">
        <v>45</v>
      </c>
      <c r="AR23" t="s">
        <v>64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R47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5.6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24.0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48470737</v>
      </c>
      <c r="K2" s="3" t="s">
        <v>222</v>
      </c>
      <c r="L2" s="3"/>
      <c r="M2" s="3"/>
      <c r="N2" s="3" t="s">
        <v>87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100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100</v>
      </c>
      <c r="AD2" s="4">
        <v>100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100</v>
      </c>
      <c r="AN2" s="4">
        <v>70</v>
      </c>
      <c r="AO2" s="4">
        <v>0</v>
      </c>
      <c r="AP2" s="4">
        <v>70</v>
      </c>
      <c r="AQ2" t="s">
        <v>45</v>
      </c>
      <c r="AR2" t="s">
        <v>87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48470737</v>
      </c>
      <c r="K3" s="3" t="s">
        <v>222</v>
      </c>
      <c r="L3" s="3"/>
      <c r="M3" s="3"/>
      <c r="N3" s="3" t="s">
        <v>87</v>
      </c>
      <c r="O3" s="3" t="s">
        <v>52</v>
      </c>
      <c r="P3" s="3">
        <v>0.7</v>
      </c>
      <c r="Q3" s="3">
        <v>0.6</v>
      </c>
      <c r="R3" s="4" t="s">
        <v>53</v>
      </c>
      <c r="S3" s="4">
        <v>2300</v>
      </c>
      <c r="T3" s="4">
        <v>2300</v>
      </c>
      <c r="U3" s="4">
        <v>1800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500</v>
      </c>
      <c r="AD3" s="4">
        <v>2300</v>
      </c>
      <c r="AE3" s="4">
        <v>1800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500</v>
      </c>
      <c r="AN3" s="4">
        <v>1610</v>
      </c>
      <c r="AO3" s="4">
        <v>0</v>
      </c>
      <c r="AP3" s="4">
        <v>1610</v>
      </c>
      <c r="AQ3" t="s">
        <v>45</v>
      </c>
      <c r="AR3" t="s">
        <v>87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48470737</v>
      </c>
      <c r="K4" s="3" t="s">
        <v>222</v>
      </c>
      <c r="L4" s="3"/>
      <c r="M4" s="3"/>
      <c r="N4" s="3" t="s">
        <v>87</v>
      </c>
      <c r="O4" s="3" t="s">
        <v>52</v>
      </c>
      <c r="P4" s="3">
        <v>0.7</v>
      </c>
      <c r="Q4" s="3">
        <v>0.6</v>
      </c>
      <c r="R4" s="4" t="s">
        <v>53</v>
      </c>
      <c r="S4" s="4">
        <v>6800</v>
      </c>
      <c r="T4" s="4">
        <v>13600</v>
      </c>
      <c r="U4" s="4">
        <v>13600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13600</v>
      </c>
      <c r="AE4" s="4">
        <v>13600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9520</v>
      </c>
      <c r="AO4" s="4">
        <v>0</v>
      </c>
      <c r="AP4" s="4">
        <v>9520</v>
      </c>
      <c r="AQ4" t="s">
        <v>45</v>
      </c>
      <c r="AR4" t="s">
        <v>87</v>
      </c>
    </row>
    <row r="5" spans="1:44" x14ac:dyDescent="0.4">
      <c r="A5" s="3" t="s">
        <v>42</v>
      </c>
      <c r="B5" s="3" t="s">
        <v>43</v>
      </c>
      <c r="C5" s="3" t="s">
        <v>44</v>
      </c>
      <c r="D5" s="3" t="s">
        <v>45</v>
      </c>
      <c r="E5" s="3"/>
      <c r="F5" s="3" t="s">
        <v>46</v>
      </c>
      <c r="G5" s="3" t="s">
        <v>47</v>
      </c>
      <c r="H5" s="3" t="s">
        <v>48</v>
      </c>
      <c r="I5" s="3" t="s">
        <v>49</v>
      </c>
      <c r="J5" s="3">
        <v>51532839</v>
      </c>
      <c r="K5" s="3" t="s">
        <v>159</v>
      </c>
      <c r="L5" s="3"/>
      <c r="M5" s="3"/>
      <c r="N5" s="3" t="s">
        <v>87</v>
      </c>
      <c r="O5" s="3" t="s">
        <v>52</v>
      </c>
      <c r="P5" s="3">
        <v>0.7</v>
      </c>
      <c r="Q5" s="3">
        <v>0.6</v>
      </c>
      <c r="R5" s="4" t="s">
        <v>56</v>
      </c>
      <c r="S5" s="4">
        <v>100</v>
      </c>
      <c r="T5" s="4">
        <v>112900</v>
      </c>
      <c r="U5" s="4">
        <v>103480</v>
      </c>
      <c r="V5" s="4">
        <v>0</v>
      </c>
      <c r="W5" s="4">
        <v>0</v>
      </c>
      <c r="X5" s="4">
        <v>0</v>
      </c>
      <c r="Y5" s="4">
        <v>0</v>
      </c>
      <c r="Z5" s="4">
        <v>500</v>
      </c>
      <c r="AA5" s="4">
        <v>0</v>
      </c>
      <c r="AB5" s="4">
        <v>0</v>
      </c>
      <c r="AC5" s="4">
        <v>8920</v>
      </c>
      <c r="AD5" s="4">
        <v>112950</v>
      </c>
      <c r="AE5" s="4">
        <v>103480</v>
      </c>
      <c r="AF5" s="4">
        <v>0</v>
      </c>
      <c r="AG5" s="4">
        <v>0</v>
      </c>
      <c r="AH5" s="4">
        <v>0</v>
      </c>
      <c r="AI5" s="4">
        <v>0</v>
      </c>
      <c r="AJ5" s="4">
        <v>550</v>
      </c>
      <c r="AK5" s="4">
        <v>0</v>
      </c>
      <c r="AL5" s="4">
        <v>0</v>
      </c>
      <c r="AM5" s="4">
        <v>8920</v>
      </c>
      <c r="AN5" s="4">
        <v>79010</v>
      </c>
      <c r="AO5" s="4">
        <v>0</v>
      </c>
      <c r="AP5" s="4">
        <v>79010</v>
      </c>
      <c r="AQ5" t="s">
        <v>45</v>
      </c>
      <c r="AR5" t="s">
        <v>87</v>
      </c>
    </row>
    <row r="6" spans="1:44" x14ac:dyDescent="0.4">
      <c r="A6" s="3" t="s">
        <v>42</v>
      </c>
      <c r="B6" s="3" t="s">
        <v>43</v>
      </c>
      <c r="C6" s="3" t="s">
        <v>44</v>
      </c>
      <c r="D6" s="3" t="s">
        <v>45</v>
      </c>
      <c r="E6" s="3"/>
      <c r="F6" s="3" t="s">
        <v>46</v>
      </c>
      <c r="G6" s="3" t="s">
        <v>47</v>
      </c>
      <c r="H6" s="3" t="s">
        <v>48</v>
      </c>
      <c r="I6" s="3" t="s">
        <v>49</v>
      </c>
      <c r="J6" s="3">
        <v>51532839</v>
      </c>
      <c r="K6" s="3" t="s">
        <v>159</v>
      </c>
      <c r="L6" s="3"/>
      <c r="M6" s="3"/>
      <c r="N6" s="3" t="s">
        <v>87</v>
      </c>
      <c r="O6" s="3" t="s">
        <v>52</v>
      </c>
      <c r="P6" s="3">
        <v>0.7</v>
      </c>
      <c r="Q6" s="3">
        <v>0.6</v>
      </c>
      <c r="R6" s="4" t="s">
        <v>53</v>
      </c>
      <c r="S6" s="4">
        <v>2700</v>
      </c>
      <c r="T6" s="4">
        <v>183900</v>
      </c>
      <c r="U6" s="4">
        <v>166700</v>
      </c>
      <c r="V6" s="4">
        <v>0</v>
      </c>
      <c r="W6" s="4">
        <v>0</v>
      </c>
      <c r="X6" s="4">
        <v>0</v>
      </c>
      <c r="Y6" s="4">
        <v>0</v>
      </c>
      <c r="Z6" s="4">
        <v>5400</v>
      </c>
      <c r="AA6" s="4">
        <v>0</v>
      </c>
      <c r="AB6" s="4">
        <v>0</v>
      </c>
      <c r="AC6" s="4">
        <v>11800</v>
      </c>
      <c r="AD6" s="4">
        <v>184440</v>
      </c>
      <c r="AE6" s="4">
        <v>166700</v>
      </c>
      <c r="AF6" s="4">
        <v>0</v>
      </c>
      <c r="AG6" s="4">
        <v>0</v>
      </c>
      <c r="AH6" s="4">
        <v>0</v>
      </c>
      <c r="AI6" s="4">
        <v>0</v>
      </c>
      <c r="AJ6" s="4">
        <v>5940</v>
      </c>
      <c r="AK6" s="4">
        <v>0</v>
      </c>
      <c r="AL6" s="4">
        <v>0</v>
      </c>
      <c r="AM6" s="4">
        <v>11800</v>
      </c>
      <c r="AN6" s="4">
        <v>128514</v>
      </c>
      <c r="AO6" s="4">
        <v>0</v>
      </c>
      <c r="AP6" s="4">
        <v>128514</v>
      </c>
      <c r="AQ6" t="s">
        <v>45</v>
      </c>
      <c r="AR6" t="s">
        <v>87</v>
      </c>
    </row>
    <row r="7" spans="1:44" x14ac:dyDescent="0.4">
      <c r="A7" s="3" t="s">
        <v>42</v>
      </c>
      <c r="B7" s="3" t="s">
        <v>43</v>
      </c>
      <c r="C7" s="3" t="s">
        <v>44</v>
      </c>
      <c r="D7" s="3" t="s">
        <v>45</v>
      </c>
      <c r="E7" s="3"/>
      <c r="F7" s="3" t="s">
        <v>46</v>
      </c>
      <c r="G7" s="3" t="s">
        <v>47</v>
      </c>
      <c r="H7" s="3" t="s">
        <v>48</v>
      </c>
      <c r="I7" s="3" t="s">
        <v>49</v>
      </c>
      <c r="J7" s="3">
        <v>51532839</v>
      </c>
      <c r="K7" s="3" t="s">
        <v>159</v>
      </c>
      <c r="L7" s="3"/>
      <c r="M7" s="3"/>
      <c r="N7" s="3" t="s">
        <v>87</v>
      </c>
      <c r="O7" s="3" t="s">
        <v>52</v>
      </c>
      <c r="P7" s="3">
        <v>0.7</v>
      </c>
      <c r="Q7" s="3">
        <v>0.6</v>
      </c>
      <c r="R7" s="4" t="s">
        <v>53</v>
      </c>
      <c r="S7" s="4">
        <v>4500</v>
      </c>
      <c r="T7" s="4">
        <v>91600</v>
      </c>
      <c r="U7" s="4">
        <v>91600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91600</v>
      </c>
      <c r="AE7" s="4">
        <v>91600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64120</v>
      </c>
      <c r="AO7" s="4">
        <v>0</v>
      </c>
      <c r="AP7" s="4">
        <v>64120</v>
      </c>
      <c r="AQ7" t="s">
        <v>45</v>
      </c>
      <c r="AR7" t="s">
        <v>87</v>
      </c>
    </row>
    <row r="8" spans="1:44" x14ac:dyDescent="0.4">
      <c r="A8" s="3" t="s">
        <v>42</v>
      </c>
      <c r="B8" s="3" t="s">
        <v>43</v>
      </c>
      <c r="C8" s="3" t="s">
        <v>44</v>
      </c>
      <c r="D8" s="3" t="s">
        <v>45</v>
      </c>
      <c r="E8" s="3"/>
      <c r="F8" s="3" t="s">
        <v>46</v>
      </c>
      <c r="G8" s="3" t="s">
        <v>47</v>
      </c>
      <c r="H8" s="3" t="s">
        <v>48</v>
      </c>
      <c r="I8" s="3" t="s">
        <v>49</v>
      </c>
      <c r="J8" s="3">
        <v>51532839</v>
      </c>
      <c r="K8" s="3" t="s">
        <v>159</v>
      </c>
      <c r="L8" s="3"/>
      <c r="M8" s="3"/>
      <c r="N8" s="3" t="s">
        <v>87</v>
      </c>
      <c r="O8" s="3" t="s">
        <v>52</v>
      </c>
      <c r="P8" s="3">
        <v>0.7</v>
      </c>
      <c r="Q8" s="3">
        <v>0.6</v>
      </c>
      <c r="R8" s="4" t="s">
        <v>53</v>
      </c>
      <c r="S8" s="4">
        <v>9000</v>
      </c>
      <c r="T8" s="4">
        <v>92700</v>
      </c>
      <c r="U8" s="4">
        <v>72900</v>
      </c>
      <c r="V8" s="4">
        <v>0</v>
      </c>
      <c r="W8" s="4">
        <v>0</v>
      </c>
      <c r="X8" s="4">
        <v>0</v>
      </c>
      <c r="Y8" s="4">
        <v>0</v>
      </c>
      <c r="Z8" s="4">
        <v>17800</v>
      </c>
      <c r="AA8" s="4">
        <v>0</v>
      </c>
      <c r="AB8" s="4">
        <v>0</v>
      </c>
      <c r="AC8" s="4">
        <v>2000</v>
      </c>
      <c r="AD8" s="4">
        <v>94480</v>
      </c>
      <c r="AE8" s="4">
        <v>72900</v>
      </c>
      <c r="AF8" s="4">
        <v>0</v>
      </c>
      <c r="AG8" s="4">
        <v>0</v>
      </c>
      <c r="AH8" s="4">
        <v>0</v>
      </c>
      <c r="AI8" s="4">
        <v>0</v>
      </c>
      <c r="AJ8" s="4">
        <v>19580</v>
      </c>
      <c r="AK8" s="4">
        <v>0</v>
      </c>
      <c r="AL8" s="4">
        <v>0</v>
      </c>
      <c r="AM8" s="4">
        <v>2000</v>
      </c>
      <c r="AN8" s="4">
        <v>64178</v>
      </c>
      <c r="AO8" s="4">
        <v>0</v>
      </c>
      <c r="AP8" s="4">
        <v>64178</v>
      </c>
      <c r="AQ8" t="s">
        <v>45</v>
      </c>
      <c r="AR8" t="s">
        <v>87</v>
      </c>
    </row>
    <row r="9" spans="1:44" x14ac:dyDescent="0.4">
      <c r="A9" s="3" t="s">
        <v>42</v>
      </c>
      <c r="B9" s="3" t="s">
        <v>43</v>
      </c>
      <c r="C9" s="3" t="s">
        <v>44</v>
      </c>
      <c r="D9" s="3" t="s">
        <v>45</v>
      </c>
      <c r="E9" s="3"/>
      <c r="F9" s="3" t="s">
        <v>46</v>
      </c>
      <c r="G9" s="3" t="s">
        <v>47</v>
      </c>
      <c r="H9" s="3" t="s">
        <v>48</v>
      </c>
      <c r="I9" s="3" t="s">
        <v>49</v>
      </c>
      <c r="J9" s="3">
        <v>56498463</v>
      </c>
      <c r="K9" s="3" t="s">
        <v>139</v>
      </c>
      <c r="L9" s="3"/>
      <c r="M9" s="3"/>
      <c r="N9" s="3" t="s">
        <v>87</v>
      </c>
      <c r="O9" s="3" t="s">
        <v>52</v>
      </c>
      <c r="P9" s="3">
        <v>0.7</v>
      </c>
      <c r="Q9" s="3">
        <v>0.6</v>
      </c>
      <c r="R9" s="4" t="s">
        <v>74</v>
      </c>
      <c r="S9" s="4">
        <v>900</v>
      </c>
      <c r="T9" s="4">
        <v>4500</v>
      </c>
      <c r="U9" s="4">
        <v>4500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4500</v>
      </c>
      <c r="AE9" s="4">
        <v>4500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3150</v>
      </c>
      <c r="AO9" s="4">
        <v>0</v>
      </c>
      <c r="AP9" s="4">
        <v>3150</v>
      </c>
      <c r="AQ9" t="s">
        <v>45</v>
      </c>
      <c r="AR9" t="s">
        <v>87</v>
      </c>
    </row>
    <row r="10" spans="1:44" x14ac:dyDescent="0.4">
      <c r="A10" s="3" t="s">
        <v>42</v>
      </c>
      <c r="B10" s="3" t="s">
        <v>43</v>
      </c>
      <c r="C10" s="3" t="s">
        <v>44</v>
      </c>
      <c r="D10" s="3" t="s">
        <v>45</v>
      </c>
      <c r="E10" s="3"/>
      <c r="F10" s="3" t="s">
        <v>46</v>
      </c>
      <c r="G10" s="3" t="s">
        <v>47</v>
      </c>
      <c r="H10" s="3" t="s">
        <v>48</v>
      </c>
      <c r="I10" s="3" t="s">
        <v>49</v>
      </c>
      <c r="J10" s="3">
        <v>48260131</v>
      </c>
      <c r="K10" s="3" t="s">
        <v>258</v>
      </c>
      <c r="L10" s="3"/>
      <c r="M10" s="3"/>
      <c r="N10" s="3" t="s">
        <v>87</v>
      </c>
      <c r="O10" s="3" t="s">
        <v>52</v>
      </c>
      <c r="P10" s="3">
        <v>0.7</v>
      </c>
      <c r="Q10" s="3">
        <v>0.6</v>
      </c>
      <c r="R10" s="4" t="s">
        <v>56</v>
      </c>
      <c r="S10" s="4">
        <v>100</v>
      </c>
      <c r="T10" s="4">
        <v>21100</v>
      </c>
      <c r="U10" s="4">
        <v>20100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1000</v>
      </c>
      <c r="AD10" s="4">
        <v>21100</v>
      </c>
      <c r="AE10" s="4">
        <v>20100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1000</v>
      </c>
      <c r="AN10" s="4">
        <v>14770</v>
      </c>
      <c r="AO10" s="4">
        <v>0</v>
      </c>
      <c r="AP10" s="4">
        <v>14770</v>
      </c>
      <c r="AQ10" t="s">
        <v>45</v>
      </c>
      <c r="AR10" t="s">
        <v>87</v>
      </c>
    </row>
    <row r="11" spans="1:44" x14ac:dyDescent="0.4">
      <c r="A11" s="3" t="s">
        <v>42</v>
      </c>
      <c r="B11" s="3" t="s">
        <v>43</v>
      </c>
      <c r="C11" s="3" t="s">
        <v>44</v>
      </c>
      <c r="D11" s="3" t="s">
        <v>45</v>
      </c>
      <c r="E11" s="3"/>
      <c r="F11" s="3" t="s">
        <v>46</v>
      </c>
      <c r="G11" s="3" t="s">
        <v>47</v>
      </c>
      <c r="H11" s="3" t="s">
        <v>48</v>
      </c>
      <c r="I11" s="3" t="s">
        <v>49</v>
      </c>
      <c r="J11" s="3">
        <v>48260131</v>
      </c>
      <c r="K11" s="3" t="s">
        <v>258</v>
      </c>
      <c r="L11" s="3"/>
      <c r="M11" s="3"/>
      <c r="N11" s="3" t="s">
        <v>87</v>
      </c>
      <c r="O11" s="3" t="s">
        <v>52</v>
      </c>
      <c r="P11" s="3">
        <v>0.7</v>
      </c>
      <c r="Q11" s="3">
        <v>0.6</v>
      </c>
      <c r="R11" s="4" t="s">
        <v>53</v>
      </c>
      <c r="S11" s="4">
        <v>2300</v>
      </c>
      <c r="T11" s="4">
        <v>9200</v>
      </c>
      <c r="U11" s="4">
        <v>8900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300</v>
      </c>
      <c r="AD11" s="4">
        <v>9200</v>
      </c>
      <c r="AE11" s="4">
        <v>8900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300</v>
      </c>
      <c r="AN11" s="4">
        <v>6440</v>
      </c>
      <c r="AO11" s="4">
        <v>0</v>
      </c>
      <c r="AP11" s="4">
        <v>6440</v>
      </c>
      <c r="AQ11" t="s">
        <v>45</v>
      </c>
      <c r="AR11" t="s">
        <v>87</v>
      </c>
    </row>
    <row r="12" spans="1:44" x14ac:dyDescent="0.4">
      <c r="A12" s="3" t="s">
        <v>42</v>
      </c>
      <c r="B12" s="3" t="s">
        <v>43</v>
      </c>
      <c r="C12" s="3" t="s">
        <v>44</v>
      </c>
      <c r="D12" s="3" t="s">
        <v>45</v>
      </c>
      <c r="E12" s="3"/>
      <c r="F12" s="3" t="s">
        <v>46</v>
      </c>
      <c r="G12" s="3" t="s">
        <v>47</v>
      </c>
      <c r="H12" s="3" t="s">
        <v>48</v>
      </c>
      <c r="I12" s="3" t="s">
        <v>49</v>
      </c>
      <c r="J12" s="3">
        <v>53440726</v>
      </c>
      <c r="K12" s="3" t="s">
        <v>226</v>
      </c>
      <c r="L12" s="3"/>
      <c r="M12" s="3"/>
      <c r="N12" s="3" t="s">
        <v>87</v>
      </c>
      <c r="O12" s="3" t="s">
        <v>52</v>
      </c>
      <c r="P12" s="3">
        <v>0.7</v>
      </c>
      <c r="Q12" s="3">
        <v>0.6</v>
      </c>
      <c r="R12" s="4" t="s">
        <v>56</v>
      </c>
      <c r="S12" s="4">
        <v>100</v>
      </c>
      <c r="T12" s="4">
        <v>229300</v>
      </c>
      <c r="U12" s="4">
        <v>135400</v>
      </c>
      <c r="V12" s="4">
        <v>0</v>
      </c>
      <c r="W12" s="4">
        <v>0</v>
      </c>
      <c r="X12" s="4">
        <v>0</v>
      </c>
      <c r="Y12" s="4">
        <v>100</v>
      </c>
      <c r="Z12" s="4">
        <v>4700</v>
      </c>
      <c r="AA12" s="4">
        <v>0</v>
      </c>
      <c r="AB12" s="4">
        <v>0</v>
      </c>
      <c r="AC12" s="4">
        <v>89100</v>
      </c>
      <c r="AD12" s="4">
        <v>229790</v>
      </c>
      <c r="AE12" s="4">
        <v>135400</v>
      </c>
      <c r="AF12" s="4">
        <v>0</v>
      </c>
      <c r="AG12" s="4">
        <v>0</v>
      </c>
      <c r="AH12" s="4">
        <v>0</v>
      </c>
      <c r="AI12" s="4">
        <v>120</v>
      </c>
      <c r="AJ12" s="4">
        <v>5170</v>
      </c>
      <c r="AK12" s="4">
        <v>0</v>
      </c>
      <c r="AL12" s="4">
        <v>0</v>
      </c>
      <c r="AM12" s="4">
        <v>89100</v>
      </c>
      <c r="AN12" s="4">
        <v>160324</v>
      </c>
      <c r="AO12" s="4">
        <v>0</v>
      </c>
      <c r="AP12" s="4">
        <v>160324</v>
      </c>
      <c r="AQ12" t="s">
        <v>45</v>
      </c>
      <c r="AR12" t="s">
        <v>87</v>
      </c>
    </row>
    <row r="13" spans="1:44" x14ac:dyDescent="0.4">
      <c r="A13" s="3" t="s">
        <v>42</v>
      </c>
      <c r="B13" s="3" t="s">
        <v>43</v>
      </c>
      <c r="C13" s="3" t="s">
        <v>44</v>
      </c>
      <c r="D13" s="3" t="s">
        <v>45</v>
      </c>
      <c r="E13" s="3"/>
      <c r="F13" s="3" t="s">
        <v>46</v>
      </c>
      <c r="G13" s="3" t="s">
        <v>47</v>
      </c>
      <c r="H13" s="3" t="s">
        <v>48</v>
      </c>
      <c r="I13" s="3" t="s">
        <v>49</v>
      </c>
      <c r="J13" s="3">
        <v>53440726</v>
      </c>
      <c r="K13" s="3" t="s">
        <v>226</v>
      </c>
      <c r="L13" s="3"/>
      <c r="M13" s="3"/>
      <c r="N13" s="3" t="s">
        <v>87</v>
      </c>
      <c r="O13" s="3" t="s">
        <v>52</v>
      </c>
      <c r="P13" s="3">
        <v>0.7</v>
      </c>
      <c r="Q13" s="3">
        <v>0.6</v>
      </c>
      <c r="R13" s="4" t="s">
        <v>53</v>
      </c>
      <c r="S13" s="4">
        <v>2700</v>
      </c>
      <c r="T13" s="4">
        <v>300600</v>
      </c>
      <c r="U13" s="4">
        <v>249360</v>
      </c>
      <c r="V13" s="4">
        <v>0</v>
      </c>
      <c r="W13" s="4">
        <v>0</v>
      </c>
      <c r="X13" s="4">
        <v>0</v>
      </c>
      <c r="Y13" s="4">
        <v>0</v>
      </c>
      <c r="Z13" s="4">
        <v>13500</v>
      </c>
      <c r="AA13" s="4">
        <v>0</v>
      </c>
      <c r="AB13" s="4">
        <v>0</v>
      </c>
      <c r="AC13" s="4">
        <v>37740</v>
      </c>
      <c r="AD13" s="4">
        <v>301950</v>
      </c>
      <c r="AE13" s="4">
        <v>249360</v>
      </c>
      <c r="AF13" s="4">
        <v>0</v>
      </c>
      <c r="AG13" s="4">
        <v>0</v>
      </c>
      <c r="AH13" s="4">
        <v>0</v>
      </c>
      <c r="AI13" s="4">
        <v>0</v>
      </c>
      <c r="AJ13" s="4">
        <v>14850</v>
      </c>
      <c r="AK13" s="4">
        <v>0</v>
      </c>
      <c r="AL13" s="4">
        <v>0</v>
      </c>
      <c r="AM13" s="4">
        <v>37740</v>
      </c>
      <c r="AN13" s="4">
        <v>209880</v>
      </c>
      <c r="AO13" s="4">
        <v>0</v>
      </c>
      <c r="AP13" s="4">
        <v>209880</v>
      </c>
      <c r="AQ13" t="s">
        <v>45</v>
      </c>
      <c r="AR13" t="s">
        <v>87</v>
      </c>
    </row>
    <row r="14" spans="1:44" x14ac:dyDescent="0.4">
      <c r="A14" s="3" t="s">
        <v>42</v>
      </c>
      <c r="B14" s="3" t="s">
        <v>43</v>
      </c>
      <c r="C14" s="3" t="s">
        <v>44</v>
      </c>
      <c r="D14" s="3" t="s">
        <v>45</v>
      </c>
      <c r="E14" s="3"/>
      <c r="F14" s="3" t="s">
        <v>46</v>
      </c>
      <c r="G14" s="3" t="s">
        <v>47</v>
      </c>
      <c r="H14" s="3" t="s">
        <v>48</v>
      </c>
      <c r="I14" s="3" t="s">
        <v>49</v>
      </c>
      <c r="J14" s="3">
        <v>53440726</v>
      </c>
      <c r="K14" s="3" t="s">
        <v>226</v>
      </c>
      <c r="L14" s="3"/>
      <c r="M14" s="3"/>
      <c r="N14" s="3" t="s">
        <v>87</v>
      </c>
      <c r="O14" s="3" t="s">
        <v>52</v>
      </c>
      <c r="P14" s="3">
        <v>0.7</v>
      </c>
      <c r="Q14" s="3">
        <v>0.6</v>
      </c>
      <c r="R14" s="4" t="s">
        <v>53</v>
      </c>
      <c r="S14" s="4">
        <v>4500</v>
      </c>
      <c r="T14" s="4">
        <v>214100</v>
      </c>
      <c r="U14" s="4">
        <v>185080</v>
      </c>
      <c r="V14" s="4">
        <v>0</v>
      </c>
      <c r="W14" s="4">
        <v>0</v>
      </c>
      <c r="X14" s="4">
        <v>0</v>
      </c>
      <c r="Y14" s="4">
        <v>0</v>
      </c>
      <c r="Z14" s="4">
        <v>9000</v>
      </c>
      <c r="AA14" s="4">
        <v>0</v>
      </c>
      <c r="AB14" s="4">
        <v>0</v>
      </c>
      <c r="AC14" s="4">
        <v>20020</v>
      </c>
      <c r="AD14" s="4">
        <v>215000</v>
      </c>
      <c r="AE14" s="4">
        <v>185080</v>
      </c>
      <c r="AF14" s="4">
        <v>0</v>
      </c>
      <c r="AG14" s="4">
        <v>0</v>
      </c>
      <c r="AH14" s="4">
        <v>0</v>
      </c>
      <c r="AI14" s="4">
        <v>0</v>
      </c>
      <c r="AJ14" s="4">
        <v>9900</v>
      </c>
      <c r="AK14" s="4">
        <v>0</v>
      </c>
      <c r="AL14" s="4">
        <v>0</v>
      </c>
      <c r="AM14" s="4">
        <v>20020</v>
      </c>
      <c r="AN14" s="4">
        <v>149510</v>
      </c>
      <c r="AO14" s="4">
        <v>0</v>
      </c>
      <c r="AP14" s="4">
        <v>149510</v>
      </c>
      <c r="AQ14" t="s">
        <v>45</v>
      </c>
      <c r="AR14" t="s">
        <v>87</v>
      </c>
    </row>
    <row r="15" spans="1:44" x14ac:dyDescent="0.4">
      <c r="A15" s="3" t="s">
        <v>42</v>
      </c>
      <c r="B15" s="3" t="s">
        <v>43</v>
      </c>
      <c r="C15" s="3" t="s">
        <v>44</v>
      </c>
      <c r="D15" s="3" t="s">
        <v>45</v>
      </c>
      <c r="E15" s="3"/>
      <c r="F15" s="3" t="s">
        <v>46</v>
      </c>
      <c r="G15" s="3" t="s">
        <v>47</v>
      </c>
      <c r="H15" s="3" t="s">
        <v>48</v>
      </c>
      <c r="I15" s="3" t="s">
        <v>49</v>
      </c>
      <c r="J15" s="3">
        <v>53440726</v>
      </c>
      <c r="K15" s="3" t="s">
        <v>226</v>
      </c>
      <c r="L15" s="3"/>
      <c r="M15" s="3"/>
      <c r="N15" s="3" t="s">
        <v>87</v>
      </c>
      <c r="O15" s="3" t="s">
        <v>52</v>
      </c>
      <c r="P15" s="3">
        <v>0.7</v>
      </c>
      <c r="Q15" s="3">
        <v>0.6</v>
      </c>
      <c r="R15" s="4" t="s">
        <v>53</v>
      </c>
      <c r="S15" s="4">
        <v>9000</v>
      </c>
      <c r="T15" s="4">
        <v>180000</v>
      </c>
      <c r="U15" s="4">
        <v>169700</v>
      </c>
      <c r="V15" s="4">
        <v>0</v>
      </c>
      <c r="W15" s="4">
        <v>0</v>
      </c>
      <c r="X15" s="4">
        <v>0</v>
      </c>
      <c r="Y15" s="4">
        <v>0</v>
      </c>
      <c r="Z15" s="4">
        <v>9500</v>
      </c>
      <c r="AA15" s="4">
        <v>0</v>
      </c>
      <c r="AB15" s="4">
        <v>0</v>
      </c>
      <c r="AC15" s="4">
        <v>800</v>
      </c>
      <c r="AD15" s="4">
        <v>180950</v>
      </c>
      <c r="AE15" s="4">
        <v>169700</v>
      </c>
      <c r="AF15" s="4">
        <v>0</v>
      </c>
      <c r="AG15" s="4">
        <v>0</v>
      </c>
      <c r="AH15" s="4">
        <v>0</v>
      </c>
      <c r="AI15" s="4">
        <v>0</v>
      </c>
      <c r="AJ15" s="4">
        <v>10450</v>
      </c>
      <c r="AK15" s="4">
        <v>0</v>
      </c>
      <c r="AL15" s="4">
        <v>0</v>
      </c>
      <c r="AM15" s="4">
        <v>800</v>
      </c>
      <c r="AN15" s="4">
        <v>125620</v>
      </c>
      <c r="AO15" s="4">
        <v>0</v>
      </c>
      <c r="AP15" s="4">
        <v>125620</v>
      </c>
      <c r="AQ15" t="s">
        <v>45</v>
      </c>
      <c r="AR15" t="s">
        <v>87</v>
      </c>
    </row>
    <row r="16" spans="1:44" x14ac:dyDescent="0.4">
      <c r="A16" s="3" t="s">
        <v>42</v>
      </c>
      <c r="B16" s="3" t="s">
        <v>43</v>
      </c>
      <c r="C16" s="3" t="s">
        <v>44</v>
      </c>
      <c r="D16" s="3" t="s">
        <v>45</v>
      </c>
      <c r="E16" s="3"/>
      <c r="F16" s="3" t="s">
        <v>46</v>
      </c>
      <c r="G16" s="3" t="s">
        <v>47</v>
      </c>
      <c r="H16" s="3" t="s">
        <v>48</v>
      </c>
      <c r="I16" s="3" t="s">
        <v>49</v>
      </c>
      <c r="J16" s="3">
        <v>56395974</v>
      </c>
      <c r="K16" s="3" t="s">
        <v>185</v>
      </c>
      <c r="L16" s="3"/>
      <c r="M16" s="3"/>
      <c r="N16" s="3" t="s">
        <v>87</v>
      </c>
      <c r="O16" s="3" t="s">
        <v>52</v>
      </c>
      <c r="P16" s="3">
        <v>0.7</v>
      </c>
      <c r="Q16" s="3">
        <v>0.6</v>
      </c>
      <c r="R16" s="4" t="s">
        <v>74</v>
      </c>
      <c r="S16" s="4">
        <v>900</v>
      </c>
      <c r="T16" s="4">
        <v>2700</v>
      </c>
      <c r="U16" s="4">
        <v>2700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2700</v>
      </c>
      <c r="AE16" s="4">
        <v>2700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1890</v>
      </c>
      <c r="AO16" s="4">
        <v>0</v>
      </c>
      <c r="AP16" s="4">
        <v>1890</v>
      </c>
      <c r="AQ16" t="s">
        <v>45</v>
      </c>
      <c r="AR16" t="s">
        <v>87</v>
      </c>
    </row>
    <row r="17" spans="1:44" x14ac:dyDescent="0.4">
      <c r="A17" s="3" t="s">
        <v>42</v>
      </c>
      <c r="B17" s="3" t="s">
        <v>43</v>
      </c>
      <c r="C17" s="3" t="s">
        <v>44</v>
      </c>
      <c r="D17" s="3" t="s">
        <v>45</v>
      </c>
      <c r="E17" s="3"/>
      <c r="F17" s="3" t="s">
        <v>46</v>
      </c>
      <c r="G17" s="3" t="s">
        <v>47</v>
      </c>
      <c r="H17" s="3" t="s">
        <v>48</v>
      </c>
      <c r="I17" s="3" t="s">
        <v>49</v>
      </c>
      <c r="J17" s="3">
        <v>56396525</v>
      </c>
      <c r="K17" s="3" t="s">
        <v>191</v>
      </c>
      <c r="L17" s="3"/>
      <c r="M17" s="3"/>
      <c r="N17" s="3" t="s">
        <v>87</v>
      </c>
      <c r="O17" s="3" t="s">
        <v>52</v>
      </c>
      <c r="P17" s="3">
        <v>0.7</v>
      </c>
      <c r="Q17" s="3">
        <v>0.6</v>
      </c>
      <c r="R17" s="4" t="s">
        <v>74</v>
      </c>
      <c r="S17" s="4">
        <v>900</v>
      </c>
      <c r="T17" s="4">
        <v>3600</v>
      </c>
      <c r="U17" s="4">
        <v>2400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1200</v>
      </c>
      <c r="AD17" s="4">
        <v>3600</v>
      </c>
      <c r="AE17" s="4">
        <v>2400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1200</v>
      </c>
      <c r="AN17" s="4">
        <v>2520</v>
      </c>
      <c r="AO17" s="4">
        <v>0</v>
      </c>
      <c r="AP17" s="4">
        <v>2520</v>
      </c>
      <c r="AQ17" t="s">
        <v>45</v>
      </c>
      <c r="AR17" t="s">
        <v>87</v>
      </c>
    </row>
    <row r="18" spans="1:44" x14ac:dyDescent="0.4">
      <c r="A18" s="3" t="s">
        <v>42</v>
      </c>
      <c r="B18" s="3" t="s">
        <v>43</v>
      </c>
      <c r="C18" s="3" t="s">
        <v>44</v>
      </c>
      <c r="D18" s="3" t="s">
        <v>45</v>
      </c>
      <c r="E18" s="3"/>
      <c r="F18" s="3" t="s">
        <v>46</v>
      </c>
      <c r="G18" s="3" t="s">
        <v>47</v>
      </c>
      <c r="H18" s="3" t="s">
        <v>48</v>
      </c>
      <c r="I18" s="3" t="s">
        <v>49</v>
      </c>
      <c r="J18" s="3">
        <v>56397340</v>
      </c>
      <c r="K18" s="3" t="s">
        <v>194</v>
      </c>
      <c r="L18" s="3"/>
      <c r="M18" s="3"/>
      <c r="N18" s="3" t="s">
        <v>87</v>
      </c>
      <c r="O18" s="3" t="s">
        <v>52</v>
      </c>
      <c r="P18" s="3">
        <v>0.7</v>
      </c>
      <c r="Q18" s="3">
        <v>0.6</v>
      </c>
      <c r="R18" s="4" t="s">
        <v>74</v>
      </c>
      <c r="S18" s="4">
        <v>900</v>
      </c>
      <c r="T18" s="4">
        <v>2700</v>
      </c>
      <c r="U18" s="4">
        <v>900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1800</v>
      </c>
      <c r="AD18" s="4">
        <v>2700</v>
      </c>
      <c r="AE18" s="4">
        <v>900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1800</v>
      </c>
      <c r="AN18" s="4">
        <v>1890</v>
      </c>
      <c r="AO18" s="4">
        <v>0</v>
      </c>
      <c r="AP18" s="4">
        <v>1890</v>
      </c>
      <c r="AQ18" t="s">
        <v>45</v>
      </c>
      <c r="AR18" t="s">
        <v>87</v>
      </c>
    </row>
    <row r="19" spans="1:44" x14ac:dyDescent="0.4">
      <c r="A19" s="3" t="s">
        <v>42</v>
      </c>
      <c r="B19" s="3" t="s">
        <v>43</v>
      </c>
      <c r="C19" s="3" t="s">
        <v>44</v>
      </c>
      <c r="D19" s="3" t="s">
        <v>45</v>
      </c>
      <c r="E19" s="3"/>
      <c r="F19" s="3" t="s">
        <v>46</v>
      </c>
      <c r="G19" s="3" t="s">
        <v>47</v>
      </c>
      <c r="H19" s="3" t="s">
        <v>48</v>
      </c>
      <c r="I19" s="3" t="s">
        <v>49</v>
      </c>
      <c r="J19" s="3">
        <v>56397797</v>
      </c>
      <c r="K19" s="3" t="s">
        <v>196</v>
      </c>
      <c r="L19" s="3"/>
      <c r="M19" s="3"/>
      <c r="N19" s="3" t="s">
        <v>87</v>
      </c>
      <c r="O19" s="3" t="s">
        <v>52</v>
      </c>
      <c r="P19" s="3">
        <v>0.7</v>
      </c>
      <c r="Q19" s="3">
        <v>0.6</v>
      </c>
      <c r="R19" s="4" t="s">
        <v>56</v>
      </c>
      <c r="S19" s="4">
        <v>3200</v>
      </c>
      <c r="T19" s="4">
        <v>22400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22400</v>
      </c>
      <c r="AD19" s="4">
        <v>22400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22400</v>
      </c>
      <c r="AN19" s="4">
        <v>15680</v>
      </c>
      <c r="AO19" s="4">
        <v>0</v>
      </c>
      <c r="AP19" s="4">
        <v>15680</v>
      </c>
      <c r="AQ19" t="s">
        <v>45</v>
      </c>
      <c r="AR19" t="s">
        <v>87</v>
      </c>
    </row>
    <row r="20" spans="1:44" x14ac:dyDescent="0.4">
      <c r="A20" s="3" t="s">
        <v>42</v>
      </c>
      <c r="B20" s="3" t="s">
        <v>43</v>
      </c>
      <c r="C20" s="3" t="s">
        <v>44</v>
      </c>
      <c r="D20" s="3" t="s">
        <v>45</v>
      </c>
      <c r="E20" s="3"/>
      <c r="F20" s="3" t="s">
        <v>46</v>
      </c>
      <c r="G20" s="3" t="s">
        <v>47</v>
      </c>
      <c r="H20" s="3" t="s">
        <v>48</v>
      </c>
      <c r="I20" s="3" t="s">
        <v>49</v>
      </c>
      <c r="J20" s="3">
        <v>56397797</v>
      </c>
      <c r="K20" s="3" t="s">
        <v>196</v>
      </c>
      <c r="L20" s="3"/>
      <c r="M20" s="3"/>
      <c r="N20" s="3" t="s">
        <v>87</v>
      </c>
      <c r="O20" s="3" t="s">
        <v>52</v>
      </c>
      <c r="P20" s="3">
        <v>0.7</v>
      </c>
      <c r="Q20" s="3">
        <v>0.6</v>
      </c>
      <c r="R20" s="4" t="s">
        <v>74</v>
      </c>
      <c r="S20" s="4">
        <v>900</v>
      </c>
      <c r="T20" s="4">
        <v>13500</v>
      </c>
      <c r="U20" s="4">
        <v>12700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800</v>
      </c>
      <c r="AD20" s="4">
        <v>13500</v>
      </c>
      <c r="AE20" s="4">
        <v>12700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800</v>
      </c>
      <c r="AN20" s="4">
        <v>9450</v>
      </c>
      <c r="AO20" s="4">
        <v>0</v>
      </c>
      <c r="AP20" s="4">
        <v>9450</v>
      </c>
      <c r="AQ20" t="s">
        <v>45</v>
      </c>
      <c r="AR20" t="s">
        <v>87</v>
      </c>
    </row>
    <row r="21" spans="1:44" x14ac:dyDescent="0.4">
      <c r="A21" s="3" t="s">
        <v>42</v>
      </c>
      <c r="B21" s="3" t="s">
        <v>43</v>
      </c>
      <c r="C21" s="3" t="s">
        <v>44</v>
      </c>
      <c r="D21" s="3" t="s">
        <v>45</v>
      </c>
      <c r="E21" s="3"/>
      <c r="F21" s="3" t="s">
        <v>46</v>
      </c>
      <c r="G21" s="3" t="s">
        <v>47</v>
      </c>
      <c r="H21" s="3" t="s">
        <v>48</v>
      </c>
      <c r="I21" s="3" t="s">
        <v>49</v>
      </c>
      <c r="J21" s="3">
        <v>49044877</v>
      </c>
      <c r="K21" s="3" t="s">
        <v>262</v>
      </c>
      <c r="L21" s="3"/>
      <c r="M21" s="3"/>
      <c r="N21" s="3" t="s">
        <v>87</v>
      </c>
      <c r="O21" s="3" t="s">
        <v>52</v>
      </c>
      <c r="P21" s="3">
        <v>0.7</v>
      </c>
      <c r="Q21" s="3">
        <v>0.6</v>
      </c>
      <c r="R21" s="4" t="s">
        <v>56</v>
      </c>
      <c r="S21" s="4">
        <v>100</v>
      </c>
      <c r="T21" s="4">
        <v>200</v>
      </c>
      <c r="U21" s="4">
        <v>200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200</v>
      </c>
      <c r="AE21" s="4">
        <v>200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140</v>
      </c>
      <c r="AO21" s="4">
        <v>0</v>
      </c>
      <c r="AP21" s="4">
        <v>140</v>
      </c>
      <c r="AQ21" t="s">
        <v>45</v>
      </c>
      <c r="AR21" t="s">
        <v>87</v>
      </c>
    </row>
    <row r="22" spans="1:44" x14ac:dyDescent="0.4">
      <c r="A22" s="3" t="s">
        <v>42</v>
      </c>
      <c r="B22" s="3" t="s">
        <v>43</v>
      </c>
      <c r="C22" s="3" t="s">
        <v>44</v>
      </c>
      <c r="D22" s="3" t="s">
        <v>45</v>
      </c>
      <c r="E22" s="3"/>
      <c r="F22" s="3" t="s">
        <v>46</v>
      </c>
      <c r="G22" s="3" t="s">
        <v>47</v>
      </c>
      <c r="H22" s="3" t="s">
        <v>48</v>
      </c>
      <c r="I22" s="3" t="s">
        <v>49</v>
      </c>
      <c r="J22" s="3">
        <v>48649629</v>
      </c>
      <c r="K22" s="3" t="s">
        <v>98</v>
      </c>
      <c r="L22" s="3"/>
      <c r="M22" s="3"/>
      <c r="N22" s="3" t="s">
        <v>87</v>
      </c>
      <c r="O22" s="3" t="s">
        <v>52</v>
      </c>
      <c r="P22" s="3">
        <v>0.7</v>
      </c>
      <c r="Q22" s="3">
        <v>0.6</v>
      </c>
      <c r="R22" s="4" t="s">
        <v>56</v>
      </c>
      <c r="S22" s="4">
        <v>100</v>
      </c>
      <c r="T22" s="4">
        <v>1900</v>
      </c>
      <c r="U22" s="4">
        <v>1000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900</v>
      </c>
      <c r="AD22" s="4">
        <v>1900</v>
      </c>
      <c r="AE22" s="4">
        <v>1000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900</v>
      </c>
      <c r="AN22" s="4">
        <v>1330</v>
      </c>
      <c r="AO22" s="4">
        <v>0</v>
      </c>
      <c r="AP22" s="4">
        <v>1330</v>
      </c>
      <c r="AQ22" t="s">
        <v>45</v>
      </c>
      <c r="AR22" t="s">
        <v>87</v>
      </c>
    </row>
    <row r="23" spans="1:44" x14ac:dyDescent="0.4">
      <c r="A23" s="3" t="s">
        <v>42</v>
      </c>
      <c r="B23" s="3" t="s">
        <v>43</v>
      </c>
      <c r="C23" s="3" t="s">
        <v>44</v>
      </c>
      <c r="D23" s="3" t="s">
        <v>45</v>
      </c>
      <c r="E23" s="3"/>
      <c r="F23" s="3" t="s">
        <v>46</v>
      </c>
      <c r="G23" s="3" t="s">
        <v>47</v>
      </c>
      <c r="H23" s="3" t="s">
        <v>48</v>
      </c>
      <c r="I23" s="3" t="s">
        <v>49</v>
      </c>
      <c r="J23" s="3">
        <v>49053889</v>
      </c>
      <c r="K23" s="3" t="s">
        <v>148</v>
      </c>
      <c r="L23" s="3"/>
      <c r="M23" s="3"/>
      <c r="N23" s="3" t="s">
        <v>87</v>
      </c>
      <c r="O23" s="3" t="s">
        <v>52</v>
      </c>
      <c r="P23" s="3">
        <v>0.7</v>
      </c>
      <c r="Q23" s="3">
        <v>0.6</v>
      </c>
      <c r="R23" s="4" t="s">
        <v>56</v>
      </c>
      <c r="S23" s="4">
        <v>100</v>
      </c>
      <c r="T23" s="4">
        <v>13500</v>
      </c>
      <c r="U23" s="4">
        <v>2700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10800</v>
      </c>
      <c r="AD23" s="4">
        <v>13500</v>
      </c>
      <c r="AE23" s="4">
        <v>2700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10800</v>
      </c>
      <c r="AN23" s="4">
        <v>9450</v>
      </c>
      <c r="AO23" s="4">
        <v>0</v>
      </c>
      <c r="AP23" s="4">
        <v>9450</v>
      </c>
      <c r="AQ23" t="s">
        <v>45</v>
      </c>
      <c r="AR23" t="s">
        <v>87</v>
      </c>
    </row>
    <row r="24" spans="1:44" x14ac:dyDescent="0.4">
      <c r="A24" s="3" t="s">
        <v>42</v>
      </c>
      <c r="B24" s="3" t="s">
        <v>43</v>
      </c>
      <c r="C24" s="3" t="s">
        <v>44</v>
      </c>
      <c r="D24" s="3" t="s">
        <v>45</v>
      </c>
      <c r="E24" s="3"/>
      <c r="F24" s="3" t="s">
        <v>46</v>
      </c>
      <c r="G24" s="3" t="s">
        <v>47</v>
      </c>
      <c r="H24" s="3" t="s">
        <v>48</v>
      </c>
      <c r="I24" s="3" t="s">
        <v>49</v>
      </c>
      <c r="J24" s="3">
        <v>49053889</v>
      </c>
      <c r="K24" s="3" t="s">
        <v>148</v>
      </c>
      <c r="L24" s="3"/>
      <c r="M24" s="3"/>
      <c r="N24" s="3" t="s">
        <v>87</v>
      </c>
      <c r="O24" s="3" t="s">
        <v>52</v>
      </c>
      <c r="P24" s="3">
        <v>0.7</v>
      </c>
      <c r="Q24" s="3">
        <v>0.6</v>
      </c>
      <c r="R24" s="4" t="s">
        <v>53</v>
      </c>
      <c r="S24" s="4">
        <v>6800</v>
      </c>
      <c r="T24" s="4">
        <v>6800</v>
      </c>
      <c r="U24" s="4">
        <v>6800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6800</v>
      </c>
      <c r="AE24" s="4">
        <v>6800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4760</v>
      </c>
      <c r="AO24" s="4">
        <v>0</v>
      </c>
      <c r="AP24" s="4">
        <v>4760</v>
      </c>
      <c r="AQ24" t="s">
        <v>45</v>
      </c>
      <c r="AR24" t="s">
        <v>87</v>
      </c>
    </row>
    <row r="25" spans="1:44" x14ac:dyDescent="0.4">
      <c r="A25" s="3" t="s">
        <v>42</v>
      </c>
      <c r="B25" s="3" t="s">
        <v>43</v>
      </c>
      <c r="C25" s="3" t="s">
        <v>44</v>
      </c>
      <c r="D25" s="3" t="s">
        <v>45</v>
      </c>
      <c r="E25" s="3"/>
      <c r="F25" s="3" t="s">
        <v>46</v>
      </c>
      <c r="G25" s="3" t="s">
        <v>47</v>
      </c>
      <c r="H25" s="3" t="s">
        <v>48</v>
      </c>
      <c r="I25" s="3" t="s">
        <v>49</v>
      </c>
      <c r="J25" s="3">
        <v>48378982</v>
      </c>
      <c r="K25" s="3" t="s">
        <v>152</v>
      </c>
      <c r="L25" s="3"/>
      <c r="M25" s="3"/>
      <c r="N25" s="3" t="s">
        <v>87</v>
      </c>
      <c r="O25" s="3" t="s">
        <v>52</v>
      </c>
      <c r="P25" s="3">
        <v>0.7</v>
      </c>
      <c r="Q25" s="3">
        <v>0.6</v>
      </c>
      <c r="R25" s="4" t="s">
        <v>56</v>
      </c>
      <c r="S25" s="4">
        <v>100</v>
      </c>
      <c r="T25" s="4">
        <v>25400</v>
      </c>
      <c r="U25" s="4">
        <v>9000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16400</v>
      </c>
      <c r="AD25" s="4">
        <v>25400</v>
      </c>
      <c r="AE25" s="4">
        <v>9000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16400</v>
      </c>
      <c r="AN25" s="4">
        <v>17780</v>
      </c>
      <c r="AO25" s="4">
        <v>0</v>
      </c>
      <c r="AP25" s="4">
        <v>17780</v>
      </c>
      <c r="AQ25" t="s">
        <v>45</v>
      </c>
      <c r="AR25" t="s">
        <v>87</v>
      </c>
    </row>
    <row r="26" spans="1:44" x14ac:dyDescent="0.4">
      <c r="A26" s="3" t="s">
        <v>42</v>
      </c>
      <c r="B26" s="3" t="s">
        <v>43</v>
      </c>
      <c r="C26" s="3" t="s">
        <v>44</v>
      </c>
      <c r="D26" s="3" t="s">
        <v>45</v>
      </c>
      <c r="E26" s="3"/>
      <c r="F26" s="3" t="s">
        <v>46</v>
      </c>
      <c r="G26" s="3" t="s">
        <v>47</v>
      </c>
      <c r="H26" s="3" t="s">
        <v>48</v>
      </c>
      <c r="I26" s="3" t="s">
        <v>49</v>
      </c>
      <c r="J26" s="3">
        <v>48378982</v>
      </c>
      <c r="K26" s="3" t="s">
        <v>152</v>
      </c>
      <c r="L26" s="3"/>
      <c r="M26" s="3"/>
      <c r="N26" s="3" t="s">
        <v>87</v>
      </c>
      <c r="O26" s="3" t="s">
        <v>52</v>
      </c>
      <c r="P26" s="3">
        <v>0.7</v>
      </c>
      <c r="Q26" s="3">
        <v>0.6</v>
      </c>
      <c r="R26" s="4" t="s">
        <v>53</v>
      </c>
      <c r="S26" s="4">
        <v>2300</v>
      </c>
      <c r="T26" s="4">
        <v>5400</v>
      </c>
      <c r="U26" s="4">
        <v>5600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-200</v>
      </c>
      <c r="AD26" s="4">
        <v>5400</v>
      </c>
      <c r="AE26" s="4">
        <v>5600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-200</v>
      </c>
      <c r="AN26" s="4">
        <v>3780</v>
      </c>
      <c r="AO26" s="4">
        <v>0</v>
      </c>
      <c r="AP26" s="4">
        <v>3780</v>
      </c>
      <c r="AQ26" t="s">
        <v>45</v>
      </c>
      <c r="AR26" t="s">
        <v>87</v>
      </c>
    </row>
    <row r="27" spans="1:44" x14ac:dyDescent="0.4">
      <c r="A27" s="3" t="s">
        <v>42</v>
      </c>
      <c r="B27" s="3" t="s">
        <v>43</v>
      </c>
      <c r="C27" s="3" t="s">
        <v>44</v>
      </c>
      <c r="D27" s="3" t="s">
        <v>45</v>
      </c>
      <c r="E27" s="3"/>
      <c r="F27" s="3" t="s">
        <v>46</v>
      </c>
      <c r="G27" s="3" t="s">
        <v>47</v>
      </c>
      <c r="H27" s="3" t="s">
        <v>48</v>
      </c>
      <c r="I27" s="3" t="s">
        <v>49</v>
      </c>
      <c r="J27" s="3">
        <v>48378982</v>
      </c>
      <c r="K27" s="3" t="s">
        <v>152</v>
      </c>
      <c r="L27" s="3"/>
      <c r="M27" s="3"/>
      <c r="N27" s="3" t="s">
        <v>87</v>
      </c>
      <c r="O27" s="3" t="s">
        <v>52</v>
      </c>
      <c r="P27" s="3">
        <v>0.7</v>
      </c>
      <c r="Q27" s="3">
        <v>0.6</v>
      </c>
      <c r="R27" s="4" t="s">
        <v>53</v>
      </c>
      <c r="S27" s="4">
        <v>6800</v>
      </c>
      <c r="T27" s="4">
        <v>-5300</v>
      </c>
      <c r="U27" s="4">
        <v>-5300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-5300</v>
      </c>
      <c r="AE27" s="4">
        <v>-5300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-3710</v>
      </c>
      <c r="AO27" s="4">
        <v>0</v>
      </c>
      <c r="AP27" s="4">
        <v>-3710</v>
      </c>
      <c r="AQ27" t="s">
        <v>45</v>
      </c>
      <c r="AR27" t="s">
        <v>87</v>
      </c>
    </row>
    <row r="28" spans="1:44" x14ac:dyDescent="0.4">
      <c r="A28" s="3" t="s">
        <v>42</v>
      </c>
      <c r="B28" s="3" t="s">
        <v>43</v>
      </c>
      <c r="C28" s="3" t="s">
        <v>44</v>
      </c>
      <c r="D28" s="3" t="s">
        <v>45</v>
      </c>
      <c r="E28" s="3"/>
      <c r="F28" s="3" t="s">
        <v>46</v>
      </c>
      <c r="G28" s="3" t="s">
        <v>47</v>
      </c>
      <c r="H28" s="3" t="s">
        <v>48</v>
      </c>
      <c r="I28" s="3" t="s">
        <v>49</v>
      </c>
      <c r="J28" s="3">
        <v>48378982</v>
      </c>
      <c r="K28" s="3" t="s">
        <v>152</v>
      </c>
      <c r="L28" s="3"/>
      <c r="M28" s="3"/>
      <c r="N28" s="3" t="s">
        <v>87</v>
      </c>
      <c r="O28" s="3" t="s">
        <v>52</v>
      </c>
      <c r="P28" s="3">
        <v>0.7</v>
      </c>
      <c r="Q28" s="3">
        <v>0.6</v>
      </c>
      <c r="R28" s="4" t="s">
        <v>53</v>
      </c>
      <c r="S28" s="4">
        <v>13500</v>
      </c>
      <c r="T28" s="4">
        <v>22400</v>
      </c>
      <c r="U28" s="4">
        <v>22400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22400</v>
      </c>
      <c r="AE28" s="4">
        <v>22400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15680</v>
      </c>
      <c r="AO28" s="4">
        <v>0</v>
      </c>
      <c r="AP28" s="4">
        <v>15680</v>
      </c>
      <c r="AQ28" t="s">
        <v>45</v>
      </c>
      <c r="AR28" t="s">
        <v>87</v>
      </c>
    </row>
    <row r="29" spans="1:44" x14ac:dyDescent="0.4">
      <c r="A29" s="3" t="s">
        <v>42</v>
      </c>
      <c r="B29" s="3" t="s">
        <v>43</v>
      </c>
      <c r="C29" s="3" t="s">
        <v>44</v>
      </c>
      <c r="D29" s="3" t="s">
        <v>45</v>
      </c>
      <c r="E29" s="3"/>
      <c r="F29" s="3" t="s">
        <v>46</v>
      </c>
      <c r="G29" s="3" t="s">
        <v>47</v>
      </c>
      <c r="H29" s="3" t="s">
        <v>48</v>
      </c>
      <c r="I29" s="3" t="s">
        <v>49</v>
      </c>
      <c r="J29" s="3">
        <v>48381559</v>
      </c>
      <c r="K29" s="3" t="s">
        <v>163</v>
      </c>
      <c r="L29" s="3"/>
      <c r="M29" s="3"/>
      <c r="N29" s="3" t="s">
        <v>87</v>
      </c>
      <c r="O29" s="3" t="s">
        <v>52</v>
      </c>
      <c r="P29" s="3">
        <v>0.7</v>
      </c>
      <c r="Q29" s="3">
        <v>0.6</v>
      </c>
      <c r="R29" s="4" t="s">
        <v>56</v>
      </c>
      <c r="S29" s="4">
        <v>100</v>
      </c>
      <c r="T29" s="4">
        <v>3100</v>
      </c>
      <c r="U29" s="4">
        <v>600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2500</v>
      </c>
      <c r="AD29" s="4">
        <v>3100</v>
      </c>
      <c r="AE29" s="4">
        <v>600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2500</v>
      </c>
      <c r="AN29" s="4">
        <v>2170</v>
      </c>
      <c r="AO29" s="4">
        <v>0</v>
      </c>
      <c r="AP29" s="4">
        <v>2170</v>
      </c>
      <c r="AQ29" t="s">
        <v>45</v>
      </c>
      <c r="AR29" t="s">
        <v>87</v>
      </c>
    </row>
    <row r="30" spans="1:44" x14ac:dyDescent="0.4">
      <c r="A30" s="3" t="s">
        <v>42</v>
      </c>
      <c r="B30" s="3" t="s">
        <v>43</v>
      </c>
      <c r="C30" s="3" t="s">
        <v>44</v>
      </c>
      <c r="D30" s="3" t="s">
        <v>45</v>
      </c>
      <c r="E30" s="3"/>
      <c r="F30" s="3" t="s">
        <v>46</v>
      </c>
      <c r="G30" s="3" t="s">
        <v>47</v>
      </c>
      <c r="H30" s="3" t="s">
        <v>48</v>
      </c>
      <c r="I30" s="3" t="s">
        <v>49</v>
      </c>
      <c r="J30" s="3">
        <v>48381559</v>
      </c>
      <c r="K30" s="3" t="s">
        <v>163</v>
      </c>
      <c r="L30" s="3"/>
      <c r="M30" s="3"/>
      <c r="N30" s="3" t="s">
        <v>87</v>
      </c>
      <c r="O30" s="3" t="s">
        <v>52</v>
      </c>
      <c r="P30" s="3">
        <v>0.7</v>
      </c>
      <c r="Q30" s="3">
        <v>0.6</v>
      </c>
      <c r="R30" s="4" t="s">
        <v>53</v>
      </c>
      <c r="S30" s="4">
        <v>2300</v>
      </c>
      <c r="T30" s="4">
        <v>4600</v>
      </c>
      <c r="U30" s="4">
        <v>4600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4600</v>
      </c>
      <c r="AE30" s="4">
        <v>4600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3220</v>
      </c>
      <c r="AO30" s="4">
        <v>0</v>
      </c>
      <c r="AP30" s="4">
        <v>3220</v>
      </c>
      <c r="AQ30" t="s">
        <v>45</v>
      </c>
      <c r="AR30" t="s">
        <v>87</v>
      </c>
    </row>
    <row r="31" spans="1:44" x14ac:dyDescent="0.4">
      <c r="A31" s="3" t="s">
        <v>42</v>
      </c>
      <c r="B31" s="3" t="s">
        <v>43</v>
      </c>
      <c r="C31" s="3" t="s">
        <v>44</v>
      </c>
      <c r="D31" s="3" t="s">
        <v>45</v>
      </c>
      <c r="E31" s="3"/>
      <c r="F31" s="3" t="s">
        <v>46</v>
      </c>
      <c r="G31" s="3" t="s">
        <v>47</v>
      </c>
      <c r="H31" s="3" t="s">
        <v>48</v>
      </c>
      <c r="I31" s="3" t="s">
        <v>49</v>
      </c>
      <c r="J31" s="3">
        <v>48381559</v>
      </c>
      <c r="K31" s="3" t="s">
        <v>163</v>
      </c>
      <c r="L31" s="3"/>
      <c r="M31" s="3"/>
      <c r="N31" s="3" t="s">
        <v>87</v>
      </c>
      <c r="O31" s="3" t="s">
        <v>52</v>
      </c>
      <c r="P31" s="3">
        <v>0.7</v>
      </c>
      <c r="Q31" s="3">
        <v>0.6</v>
      </c>
      <c r="R31" s="4" t="s">
        <v>53</v>
      </c>
      <c r="S31" s="4">
        <v>6800</v>
      </c>
      <c r="T31" s="4">
        <v>6800</v>
      </c>
      <c r="U31" s="4">
        <v>6800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6800</v>
      </c>
      <c r="AE31" s="4">
        <v>6800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4760</v>
      </c>
      <c r="AO31" s="4">
        <v>0</v>
      </c>
      <c r="AP31" s="4">
        <v>4760</v>
      </c>
      <c r="AQ31" t="s">
        <v>45</v>
      </c>
      <c r="AR31" t="s">
        <v>87</v>
      </c>
    </row>
    <row r="32" spans="1:44" x14ac:dyDescent="0.4">
      <c r="A32" s="3" t="s">
        <v>42</v>
      </c>
      <c r="B32" s="3" t="s">
        <v>43</v>
      </c>
      <c r="C32" s="3" t="s">
        <v>44</v>
      </c>
      <c r="D32" s="3" t="s">
        <v>45</v>
      </c>
      <c r="E32" s="3"/>
      <c r="F32" s="3" t="s">
        <v>46</v>
      </c>
      <c r="G32" s="3" t="s">
        <v>47</v>
      </c>
      <c r="H32" s="3" t="s">
        <v>48</v>
      </c>
      <c r="I32" s="3" t="s">
        <v>49</v>
      </c>
      <c r="J32" s="3">
        <v>48388365</v>
      </c>
      <c r="K32" s="3" t="s">
        <v>174</v>
      </c>
      <c r="L32" s="3"/>
      <c r="M32" s="3"/>
      <c r="N32" s="3" t="s">
        <v>87</v>
      </c>
      <c r="O32" s="3" t="s">
        <v>52</v>
      </c>
      <c r="P32" s="3">
        <v>0.7</v>
      </c>
      <c r="Q32" s="3">
        <v>0.6</v>
      </c>
      <c r="R32" s="4" t="s">
        <v>56</v>
      </c>
      <c r="S32" s="4">
        <v>100</v>
      </c>
      <c r="T32" s="4">
        <v>2700</v>
      </c>
      <c r="U32" s="4">
        <v>1400</v>
      </c>
      <c r="V32" s="4">
        <v>0</v>
      </c>
      <c r="W32" s="4">
        <v>0</v>
      </c>
      <c r="X32" s="4">
        <v>0</v>
      </c>
      <c r="Y32" s="4">
        <v>0</v>
      </c>
      <c r="Z32" s="4">
        <v>1000</v>
      </c>
      <c r="AA32" s="4">
        <v>0</v>
      </c>
      <c r="AB32" s="4">
        <v>0</v>
      </c>
      <c r="AC32" s="4">
        <v>300</v>
      </c>
      <c r="AD32" s="4">
        <v>2800</v>
      </c>
      <c r="AE32" s="4">
        <v>1400</v>
      </c>
      <c r="AF32" s="4">
        <v>0</v>
      </c>
      <c r="AG32" s="4">
        <v>0</v>
      </c>
      <c r="AH32" s="4">
        <v>0</v>
      </c>
      <c r="AI32" s="4">
        <v>0</v>
      </c>
      <c r="AJ32" s="4">
        <v>1100</v>
      </c>
      <c r="AK32" s="4">
        <v>0</v>
      </c>
      <c r="AL32" s="4">
        <v>0</v>
      </c>
      <c r="AM32" s="4">
        <v>300</v>
      </c>
      <c r="AN32" s="4">
        <v>1850</v>
      </c>
      <c r="AO32" s="4">
        <v>0</v>
      </c>
      <c r="AP32" s="4">
        <v>1850</v>
      </c>
      <c r="AQ32" t="s">
        <v>45</v>
      </c>
      <c r="AR32" t="s">
        <v>87</v>
      </c>
    </row>
    <row r="33" spans="1:44" x14ac:dyDescent="0.4">
      <c r="A33" s="3" t="s">
        <v>42</v>
      </c>
      <c r="B33" s="3" t="s">
        <v>43</v>
      </c>
      <c r="C33" s="3" t="s">
        <v>44</v>
      </c>
      <c r="D33" s="3" t="s">
        <v>45</v>
      </c>
      <c r="E33" s="3"/>
      <c r="F33" s="3" t="s">
        <v>46</v>
      </c>
      <c r="G33" s="3" t="s">
        <v>47</v>
      </c>
      <c r="H33" s="3" t="s">
        <v>48</v>
      </c>
      <c r="I33" s="3" t="s">
        <v>49</v>
      </c>
      <c r="J33" s="3">
        <v>48388365</v>
      </c>
      <c r="K33" s="3" t="s">
        <v>174</v>
      </c>
      <c r="L33" s="3"/>
      <c r="M33" s="3"/>
      <c r="N33" s="3" t="s">
        <v>87</v>
      </c>
      <c r="O33" s="3" t="s">
        <v>52</v>
      </c>
      <c r="P33" s="3">
        <v>0.7</v>
      </c>
      <c r="Q33" s="3">
        <v>0.6</v>
      </c>
      <c r="R33" s="4" t="s">
        <v>53</v>
      </c>
      <c r="S33" s="4">
        <v>2700</v>
      </c>
      <c r="T33" s="4">
        <v>19600</v>
      </c>
      <c r="U33" s="4">
        <v>19400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200</v>
      </c>
      <c r="AD33" s="4">
        <v>19600</v>
      </c>
      <c r="AE33" s="4">
        <v>19400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200</v>
      </c>
      <c r="AN33" s="4">
        <v>13720</v>
      </c>
      <c r="AO33" s="4">
        <v>0</v>
      </c>
      <c r="AP33" s="4">
        <v>13720</v>
      </c>
      <c r="AQ33" t="s">
        <v>45</v>
      </c>
      <c r="AR33" t="s">
        <v>87</v>
      </c>
    </row>
    <row r="34" spans="1:44" x14ac:dyDescent="0.4">
      <c r="A34" s="3" t="s">
        <v>42</v>
      </c>
      <c r="B34" s="3" t="s">
        <v>43</v>
      </c>
      <c r="C34" s="3" t="s">
        <v>44</v>
      </c>
      <c r="D34" s="3" t="s">
        <v>45</v>
      </c>
      <c r="E34" s="3"/>
      <c r="F34" s="3" t="s">
        <v>46</v>
      </c>
      <c r="G34" s="3" t="s">
        <v>47</v>
      </c>
      <c r="H34" s="3" t="s">
        <v>48</v>
      </c>
      <c r="I34" s="3" t="s">
        <v>49</v>
      </c>
      <c r="J34" s="3">
        <v>48448655</v>
      </c>
      <c r="K34" s="3" t="s">
        <v>172</v>
      </c>
      <c r="L34" s="3"/>
      <c r="M34" s="3"/>
      <c r="N34" s="3" t="s">
        <v>87</v>
      </c>
      <c r="O34" s="3" t="s">
        <v>52</v>
      </c>
      <c r="P34" s="3">
        <v>0.7</v>
      </c>
      <c r="Q34" s="3">
        <v>0.6</v>
      </c>
      <c r="R34" s="4" t="s">
        <v>56</v>
      </c>
      <c r="S34" s="4">
        <v>100</v>
      </c>
      <c r="T34" s="4">
        <v>10300</v>
      </c>
      <c r="U34" s="4">
        <v>6200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4100</v>
      </c>
      <c r="AD34" s="4">
        <v>10300</v>
      </c>
      <c r="AE34" s="4">
        <v>6200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4100</v>
      </c>
      <c r="AN34" s="4">
        <v>7210</v>
      </c>
      <c r="AO34" s="4">
        <v>0</v>
      </c>
      <c r="AP34" s="4">
        <v>7210</v>
      </c>
      <c r="AQ34" t="s">
        <v>45</v>
      </c>
      <c r="AR34" t="s">
        <v>87</v>
      </c>
    </row>
    <row r="35" spans="1:44" x14ac:dyDescent="0.4">
      <c r="A35" s="3" t="s">
        <v>42</v>
      </c>
      <c r="B35" s="3" t="s">
        <v>43</v>
      </c>
      <c r="C35" s="3" t="s">
        <v>44</v>
      </c>
      <c r="D35" s="3" t="s">
        <v>45</v>
      </c>
      <c r="E35" s="3"/>
      <c r="F35" s="3" t="s">
        <v>46</v>
      </c>
      <c r="G35" s="3" t="s">
        <v>47</v>
      </c>
      <c r="H35" s="3" t="s">
        <v>48</v>
      </c>
      <c r="I35" s="3" t="s">
        <v>49</v>
      </c>
      <c r="J35" s="3">
        <v>48388365</v>
      </c>
      <c r="K35" s="3" t="s">
        <v>174</v>
      </c>
      <c r="L35" s="3"/>
      <c r="M35" s="3"/>
      <c r="N35" s="3" t="s">
        <v>87</v>
      </c>
      <c r="O35" s="3" t="s">
        <v>52</v>
      </c>
      <c r="P35" s="3">
        <v>0.7</v>
      </c>
      <c r="Q35" s="3">
        <v>0.6</v>
      </c>
      <c r="R35" s="4" t="s">
        <v>53</v>
      </c>
      <c r="S35" s="4">
        <v>4500</v>
      </c>
      <c r="T35" s="4">
        <v>13500</v>
      </c>
      <c r="U35" s="4">
        <v>8500</v>
      </c>
      <c r="V35" s="4">
        <v>0</v>
      </c>
      <c r="W35" s="4">
        <v>0</v>
      </c>
      <c r="X35" s="4">
        <v>0</v>
      </c>
      <c r="Y35" s="4">
        <v>0</v>
      </c>
      <c r="Z35" s="4">
        <v>4500</v>
      </c>
      <c r="AA35" s="4">
        <v>0</v>
      </c>
      <c r="AB35" s="4">
        <v>0</v>
      </c>
      <c r="AC35" s="4">
        <v>500</v>
      </c>
      <c r="AD35" s="4">
        <v>13950</v>
      </c>
      <c r="AE35" s="4">
        <v>8500</v>
      </c>
      <c r="AF35" s="4">
        <v>0</v>
      </c>
      <c r="AG35" s="4">
        <v>0</v>
      </c>
      <c r="AH35" s="4">
        <v>0</v>
      </c>
      <c r="AI35" s="4">
        <v>0</v>
      </c>
      <c r="AJ35" s="4">
        <v>4950</v>
      </c>
      <c r="AK35" s="4">
        <v>0</v>
      </c>
      <c r="AL35" s="4">
        <v>0</v>
      </c>
      <c r="AM35" s="4">
        <v>500</v>
      </c>
      <c r="AN35" s="4">
        <v>9270</v>
      </c>
      <c r="AO35" s="4">
        <v>0</v>
      </c>
      <c r="AP35" s="4">
        <v>9270</v>
      </c>
      <c r="AQ35" t="s">
        <v>45</v>
      </c>
      <c r="AR35" t="s">
        <v>87</v>
      </c>
    </row>
    <row r="36" spans="1:44" x14ac:dyDescent="0.4">
      <c r="A36" s="3" t="s">
        <v>42</v>
      </c>
      <c r="B36" s="3" t="s">
        <v>43</v>
      </c>
      <c r="C36" s="3" t="s">
        <v>44</v>
      </c>
      <c r="D36" s="3" t="s">
        <v>45</v>
      </c>
      <c r="E36" s="3"/>
      <c r="F36" s="3" t="s">
        <v>46</v>
      </c>
      <c r="G36" s="3" t="s">
        <v>47</v>
      </c>
      <c r="H36" s="3" t="s">
        <v>48</v>
      </c>
      <c r="I36" s="3" t="s">
        <v>49</v>
      </c>
      <c r="J36" s="3">
        <v>48448655</v>
      </c>
      <c r="K36" s="3" t="s">
        <v>172</v>
      </c>
      <c r="L36" s="3"/>
      <c r="M36" s="3"/>
      <c r="N36" s="3" t="s">
        <v>87</v>
      </c>
      <c r="O36" s="3" t="s">
        <v>52</v>
      </c>
      <c r="P36" s="3">
        <v>0.7</v>
      </c>
      <c r="Q36" s="3">
        <v>0.6</v>
      </c>
      <c r="R36" s="4" t="s">
        <v>53</v>
      </c>
      <c r="S36" s="4">
        <v>2300</v>
      </c>
      <c r="T36" s="4">
        <v>46000</v>
      </c>
      <c r="U36" s="4">
        <v>43200</v>
      </c>
      <c r="V36" s="4">
        <v>0</v>
      </c>
      <c r="W36" s="4">
        <v>0</v>
      </c>
      <c r="X36" s="4">
        <v>0</v>
      </c>
      <c r="Y36" s="4">
        <v>2300</v>
      </c>
      <c r="Z36" s="4">
        <v>0</v>
      </c>
      <c r="AA36" s="4">
        <v>0</v>
      </c>
      <c r="AB36" s="4">
        <v>0</v>
      </c>
      <c r="AC36" s="4">
        <v>500</v>
      </c>
      <c r="AD36" s="4">
        <v>46460</v>
      </c>
      <c r="AE36" s="4">
        <v>43200</v>
      </c>
      <c r="AF36" s="4">
        <v>0</v>
      </c>
      <c r="AG36" s="4">
        <v>0</v>
      </c>
      <c r="AH36" s="4">
        <v>0</v>
      </c>
      <c r="AI36" s="4">
        <v>2760</v>
      </c>
      <c r="AJ36" s="4">
        <v>0</v>
      </c>
      <c r="AK36" s="4">
        <v>0</v>
      </c>
      <c r="AL36" s="4">
        <v>0</v>
      </c>
      <c r="AM36" s="4">
        <v>500</v>
      </c>
      <c r="AN36" s="4">
        <v>32246</v>
      </c>
      <c r="AO36" s="4">
        <v>0</v>
      </c>
      <c r="AP36" s="4">
        <v>32246</v>
      </c>
      <c r="AQ36" t="s">
        <v>45</v>
      </c>
      <c r="AR36" t="s">
        <v>87</v>
      </c>
    </row>
    <row r="37" spans="1:44" x14ac:dyDescent="0.4">
      <c r="A37" s="3" t="s">
        <v>42</v>
      </c>
      <c r="B37" s="3" t="s">
        <v>43</v>
      </c>
      <c r="C37" s="3" t="s">
        <v>44</v>
      </c>
      <c r="D37" s="3" t="s">
        <v>45</v>
      </c>
      <c r="E37" s="3"/>
      <c r="F37" s="3" t="s">
        <v>46</v>
      </c>
      <c r="G37" s="3" t="s">
        <v>47</v>
      </c>
      <c r="H37" s="3" t="s">
        <v>48</v>
      </c>
      <c r="I37" s="3" t="s">
        <v>49</v>
      </c>
      <c r="J37" s="3">
        <v>48388365</v>
      </c>
      <c r="K37" s="3" t="s">
        <v>174</v>
      </c>
      <c r="L37" s="3"/>
      <c r="M37" s="3"/>
      <c r="N37" s="3" t="s">
        <v>87</v>
      </c>
      <c r="O37" s="3" t="s">
        <v>52</v>
      </c>
      <c r="P37" s="3">
        <v>0.7</v>
      </c>
      <c r="Q37" s="3">
        <v>0.6</v>
      </c>
      <c r="R37" s="4" t="s">
        <v>53</v>
      </c>
      <c r="S37" s="4">
        <v>9000</v>
      </c>
      <c r="T37" s="4">
        <v>19400</v>
      </c>
      <c r="U37" s="4">
        <v>9900</v>
      </c>
      <c r="V37" s="4">
        <v>0</v>
      </c>
      <c r="W37" s="4">
        <v>0</v>
      </c>
      <c r="X37" s="4">
        <v>0</v>
      </c>
      <c r="Y37" s="4">
        <v>0</v>
      </c>
      <c r="Z37" s="4">
        <v>9000</v>
      </c>
      <c r="AA37" s="4">
        <v>0</v>
      </c>
      <c r="AB37" s="4">
        <v>0</v>
      </c>
      <c r="AC37" s="4">
        <v>500</v>
      </c>
      <c r="AD37" s="4">
        <v>20300</v>
      </c>
      <c r="AE37" s="4">
        <v>9900</v>
      </c>
      <c r="AF37" s="4">
        <v>0</v>
      </c>
      <c r="AG37" s="4">
        <v>0</v>
      </c>
      <c r="AH37" s="4">
        <v>0</v>
      </c>
      <c r="AI37" s="4">
        <v>0</v>
      </c>
      <c r="AJ37" s="4">
        <v>9900</v>
      </c>
      <c r="AK37" s="4">
        <v>0</v>
      </c>
      <c r="AL37" s="4">
        <v>0</v>
      </c>
      <c r="AM37" s="4">
        <v>500</v>
      </c>
      <c r="AN37" s="4">
        <v>13220</v>
      </c>
      <c r="AO37" s="4">
        <v>0</v>
      </c>
      <c r="AP37" s="4">
        <v>13220</v>
      </c>
      <c r="AQ37" t="s">
        <v>45</v>
      </c>
      <c r="AR37" t="s">
        <v>87</v>
      </c>
    </row>
    <row r="38" spans="1:44" x14ac:dyDescent="0.4">
      <c r="A38" s="3" t="s">
        <v>42</v>
      </c>
      <c r="B38" s="3" t="s">
        <v>43</v>
      </c>
      <c r="C38" s="3" t="s">
        <v>44</v>
      </c>
      <c r="D38" s="3" t="s">
        <v>45</v>
      </c>
      <c r="E38" s="3"/>
      <c r="F38" s="3" t="s">
        <v>46</v>
      </c>
      <c r="G38" s="3" t="s">
        <v>47</v>
      </c>
      <c r="H38" s="3" t="s">
        <v>48</v>
      </c>
      <c r="I38" s="3" t="s">
        <v>49</v>
      </c>
      <c r="J38" s="3">
        <v>48448655</v>
      </c>
      <c r="K38" s="3" t="s">
        <v>172</v>
      </c>
      <c r="L38" s="3"/>
      <c r="M38" s="3"/>
      <c r="N38" s="3" t="s">
        <v>87</v>
      </c>
      <c r="O38" s="3" t="s">
        <v>52</v>
      </c>
      <c r="P38" s="3">
        <v>0.7</v>
      </c>
      <c r="Q38" s="3">
        <v>0.6</v>
      </c>
      <c r="R38" s="4" t="s">
        <v>53</v>
      </c>
      <c r="S38" s="4">
        <v>9100</v>
      </c>
      <c r="T38" s="4">
        <v>9100</v>
      </c>
      <c r="U38" s="4">
        <v>0</v>
      </c>
      <c r="V38" s="4">
        <v>0</v>
      </c>
      <c r="W38" s="4">
        <v>0</v>
      </c>
      <c r="X38" s="4">
        <v>0</v>
      </c>
      <c r="Y38" s="4">
        <v>9100</v>
      </c>
      <c r="Z38" s="4">
        <v>0</v>
      </c>
      <c r="AA38" s="4">
        <v>0</v>
      </c>
      <c r="AB38" s="4">
        <v>0</v>
      </c>
      <c r="AC38" s="4">
        <v>0</v>
      </c>
      <c r="AD38" s="4">
        <v>10920</v>
      </c>
      <c r="AE38" s="4">
        <v>0</v>
      </c>
      <c r="AF38" s="4">
        <v>0</v>
      </c>
      <c r="AG38" s="4">
        <v>0</v>
      </c>
      <c r="AH38" s="4">
        <v>0</v>
      </c>
      <c r="AI38" s="4">
        <v>10920</v>
      </c>
      <c r="AJ38" s="4">
        <v>0</v>
      </c>
      <c r="AK38" s="4">
        <v>0</v>
      </c>
      <c r="AL38" s="4">
        <v>0</v>
      </c>
      <c r="AM38" s="4">
        <v>0</v>
      </c>
      <c r="AN38" s="4">
        <v>6552</v>
      </c>
      <c r="AO38" s="4">
        <v>0</v>
      </c>
      <c r="AP38" s="4">
        <v>6552</v>
      </c>
      <c r="AQ38" t="s">
        <v>45</v>
      </c>
      <c r="AR38" t="s">
        <v>87</v>
      </c>
    </row>
    <row r="39" spans="1:44" x14ac:dyDescent="0.4">
      <c r="A39" s="3" t="s">
        <v>42</v>
      </c>
      <c r="B39" s="3" t="s">
        <v>43</v>
      </c>
      <c r="C39" s="3" t="s">
        <v>44</v>
      </c>
      <c r="D39" s="3" t="s">
        <v>45</v>
      </c>
      <c r="E39" s="3"/>
      <c r="F39" s="3" t="s">
        <v>46</v>
      </c>
      <c r="G39" s="3" t="s">
        <v>47</v>
      </c>
      <c r="H39" s="3" t="s">
        <v>48</v>
      </c>
      <c r="I39" s="3" t="s">
        <v>49</v>
      </c>
      <c r="J39" s="3">
        <v>48448655</v>
      </c>
      <c r="K39" s="3" t="s">
        <v>172</v>
      </c>
      <c r="L39" s="3"/>
      <c r="M39" s="3"/>
      <c r="N39" s="3" t="s">
        <v>87</v>
      </c>
      <c r="O39" s="3" t="s">
        <v>52</v>
      </c>
      <c r="P39" s="3">
        <v>0.7</v>
      </c>
      <c r="Q39" s="3">
        <v>0.6</v>
      </c>
      <c r="R39" s="4" t="s">
        <v>53</v>
      </c>
      <c r="S39" s="4">
        <v>24800</v>
      </c>
      <c r="T39" s="4">
        <v>6100</v>
      </c>
      <c r="U39" s="4">
        <v>6100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6100</v>
      </c>
      <c r="AE39" s="4">
        <v>6100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4270</v>
      </c>
      <c r="AO39" s="4">
        <v>0</v>
      </c>
      <c r="AP39" s="4">
        <v>4270</v>
      </c>
      <c r="AQ39" t="s">
        <v>45</v>
      </c>
      <c r="AR39" t="s">
        <v>87</v>
      </c>
    </row>
    <row r="40" spans="1:44" x14ac:dyDescent="0.4">
      <c r="A40" s="3" t="s">
        <v>42</v>
      </c>
      <c r="B40" s="3" t="s">
        <v>43</v>
      </c>
      <c r="C40" s="3" t="s">
        <v>44</v>
      </c>
      <c r="D40" s="3" t="s">
        <v>45</v>
      </c>
      <c r="E40" s="3"/>
      <c r="F40" s="3" t="s">
        <v>46</v>
      </c>
      <c r="G40" s="3" t="s">
        <v>47</v>
      </c>
      <c r="H40" s="3" t="s">
        <v>48</v>
      </c>
      <c r="I40" s="3" t="s">
        <v>49</v>
      </c>
      <c r="J40" s="3">
        <v>56482095</v>
      </c>
      <c r="K40" s="3" t="s">
        <v>246</v>
      </c>
      <c r="L40" s="3"/>
      <c r="M40" s="3"/>
      <c r="N40" s="3" t="s">
        <v>87</v>
      </c>
      <c r="O40" s="3" t="s">
        <v>52</v>
      </c>
      <c r="P40" s="3">
        <v>0.7</v>
      </c>
      <c r="Q40" s="3">
        <v>0.6</v>
      </c>
      <c r="R40" s="4" t="s">
        <v>74</v>
      </c>
      <c r="S40" s="4">
        <v>900</v>
      </c>
      <c r="T40" s="4">
        <v>18900</v>
      </c>
      <c r="U40" s="4">
        <v>17100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1800</v>
      </c>
      <c r="AD40" s="4">
        <v>18900</v>
      </c>
      <c r="AE40" s="4">
        <v>17100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1800</v>
      </c>
      <c r="AN40" s="4">
        <v>13230</v>
      </c>
      <c r="AO40" s="4">
        <v>0</v>
      </c>
      <c r="AP40" s="4">
        <v>13230</v>
      </c>
      <c r="AQ40" t="s">
        <v>45</v>
      </c>
      <c r="AR40" t="s">
        <v>87</v>
      </c>
    </row>
    <row r="41" spans="1:44" x14ac:dyDescent="0.4">
      <c r="A41" s="3" t="s">
        <v>42</v>
      </c>
      <c r="B41" s="3" t="s">
        <v>43</v>
      </c>
      <c r="C41" s="3" t="s">
        <v>44</v>
      </c>
      <c r="D41" s="3" t="s">
        <v>45</v>
      </c>
      <c r="E41" s="3"/>
      <c r="F41" s="3" t="s">
        <v>46</v>
      </c>
      <c r="G41" s="3" t="s">
        <v>47</v>
      </c>
      <c r="H41" s="3" t="s">
        <v>48</v>
      </c>
      <c r="I41" s="3" t="s">
        <v>49</v>
      </c>
      <c r="J41" s="3">
        <v>56482156</v>
      </c>
      <c r="K41" s="3" t="s">
        <v>247</v>
      </c>
      <c r="L41" s="3"/>
      <c r="M41" s="3"/>
      <c r="N41" s="3" t="s">
        <v>87</v>
      </c>
      <c r="O41" s="3" t="s">
        <v>52</v>
      </c>
      <c r="P41" s="3">
        <v>0.7</v>
      </c>
      <c r="Q41" s="3">
        <v>0.6</v>
      </c>
      <c r="R41" s="4" t="s">
        <v>74</v>
      </c>
      <c r="S41" s="4">
        <v>900</v>
      </c>
      <c r="T41" s="4">
        <v>21600</v>
      </c>
      <c r="U41" s="4">
        <v>21500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100</v>
      </c>
      <c r="AD41" s="4">
        <v>21600</v>
      </c>
      <c r="AE41" s="4">
        <v>21500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100</v>
      </c>
      <c r="AN41" s="4">
        <v>15120</v>
      </c>
      <c r="AO41" s="4">
        <v>0</v>
      </c>
      <c r="AP41" s="4">
        <v>15120</v>
      </c>
      <c r="AQ41" t="s">
        <v>45</v>
      </c>
      <c r="AR41" t="s">
        <v>87</v>
      </c>
    </row>
    <row r="42" spans="1:44" x14ac:dyDescent="0.4">
      <c r="A42" s="3" t="s">
        <v>42</v>
      </c>
      <c r="B42" s="3" t="s">
        <v>43</v>
      </c>
      <c r="C42" s="3" t="s">
        <v>44</v>
      </c>
      <c r="D42" s="3" t="s">
        <v>45</v>
      </c>
      <c r="E42" s="3"/>
      <c r="F42" s="3" t="s">
        <v>46</v>
      </c>
      <c r="G42" s="3" t="s">
        <v>47</v>
      </c>
      <c r="H42" s="3" t="s">
        <v>48</v>
      </c>
      <c r="I42" s="3" t="s">
        <v>49</v>
      </c>
      <c r="J42" s="3">
        <v>56482370</v>
      </c>
      <c r="K42" s="3" t="s">
        <v>250</v>
      </c>
      <c r="L42" s="3"/>
      <c r="M42" s="3"/>
      <c r="N42" s="3" t="s">
        <v>87</v>
      </c>
      <c r="O42" s="3" t="s">
        <v>52</v>
      </c>
      <c r="P42" s="3">
        <v>0.7</v>
      </c>
      <c r="Q42" s="3">
        <v>0.6</v>
      </c>
      <c r="R42" s="4" t="s">
        <v>74</v>
      </c>
      <c r="S42" s="4">
        <v>900</v>
      </c>
      <c r="T42" s="4">
        <v>17100</v>
      </c>
      <c r="U42" s="4">
        <v>15300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1800</v>
      </c>
      <c r="AD42" s="4">
        <v>17100</v>
      </c>
      <c r="AE42" s="4">
        <v>15300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1800</v>
      </c>
      <c r="AN42" s="4">
        <v>11970</v>
      </c>
      <c r="AO42" s="4">
        <v>0</v>
      </c>
      <c r="AP42" s="4">
        <v>11970</v>
      </c>
      <c r="AQ42" t="s">
        <v>45</v>
      </c>
      <c r="AR42" t="s">
        <v>87</v>
      </c>
    </row>
    <row r="43" spans="1:44" x14ac:dyDescent="0.4">
      <c r="A43" s="3" t="s">
        <v>42</v>
      </c>
      <c r="B43" s="3" t="s">
        <v>43</v>
      </c>
      <c r="C43" s="3" t="s">
        <v>44</v>
      </c>
      <c r="D43" s="3" t="s">
        <v>45</v>
      </c>
      <c r="E43" s="3"/>
      <c r="F43" s="3" t="s">
        <v>46</v>
      </c>
      <c r="G43" s="3" t="s">
        <v>47</v>
      </c>
      <c r="H43" s="3" t="s">
        <v>48</v>
      </c>
      <c r="I43" s="3" t="s">
        <v>49</v>
      </c>
      <c r="J43" s="3">
        <v>56490774</v>
      </c>
      <c r="K43" s="3" t="s">
        <v>86</v>
      </c>
      <c r="L43" s="3"/>
      <c r="M43" s="3"/>
      <c r="N43" s="3" t="s">
        <v>87</v>
      </c>
      <c r="O43" s="3" t="s">
        <v>52</v>
      </c>
      <c r="P43" s="3">
        <v>0.7</v>
      </c>
      <c r="Q43" s="3">
        <v>0.6</v>
      </c>
      <c r="R43" s="4" t="s">
        <v>74</v>
      </c>
      <c r="S43" s="4">
        <v>900</v>
      </c>
      <c r="T43" s="4">
        <v>10800</v>
      </c>
      <c r="U43" s="4">
        <v>10600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200</v>
      </c>
      <c r="AD43" s="4">
        <v>10800</v>
      </c>
      <c r="AE43" s="4">
        <v>10600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200</v>
      </c>
      <c r="AN43" s="4">
        <v>7560</v>
      </c>
      <c r="AO43" s="4">
        <v>0</v>
      </c>
      <c r="AP43" s="4">
        <v>7560</v>
      </c>
      <c r="AQ43" t="s">
        <v>45</v>
      </c>
      <c r="AR43" t="s">
        <v>87</v>
      </c>
    </row>
    <row r="44" spans="1:44" x14ac:dyDescent="0.4">
      <c r="A44" s="3" t="s">
        <v>42</v>
      </c>
      <c r="B44" s="3" t="s">
        <v>43</v>
      </c>
      <c r="C44" s="3" t="s">
        <v>44</v>
      </c>
      <c r="D44" s="3" t="s">
        <v>45</v>
      </c>
      <c r="E44" s="3"/>
      <c r="F44" s="3" t="s">
        <v>46</v>
      </c>
      <c r="G44" s="3" t="s">
        <v>47</v>
      </c>
      <c r="H44" s="3" t="s">
        <v>48</v>
      </c>
      <c r="I44" s="3" t="s">
        <v>49</v>
      </c>
      <c r="J44" s="3">
        <v>56490774</v>
      </c>
      <c r="K44" s="3" t="s">
        <v>86</v>
      </c>
      <c r="L44" s="3"/>
      <c r="M44" s="3"/>
      <c r="N44" s="3" t="s">
        <v>87</v>
      </c>
      <c r="O44" s="3" t="s">
        <v>52</v>
      </c>
      <c r="P44" s="3">
        <v>0.7</v>
      </c>
      <c r="Q44" s="3">
        <v>0.6</v>
      </c>
      <c r="R44" s="4" t="s">
        <v>110</v>
      </c>
      <c r="S44" s="4">
        <v>5400</v>
      </c>
      <c r="T44" s="4">
        <v>10800</v>
      </c>
      <c r="U44" s="4">
        <v>10800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10800</v>
      </c>
      <c r="AE44" s="4">
        <v>10800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7560</v>
      </c>
      <c r="AO44" s="4">
        <v>0</v>
      </c>
      <c r="AP44" s="4">
        <v>7560</v>
      </c>
      <c r="AQ44" t="s">
        <v>45</v>
      </c>
      <c r="AR44" t="s">
        <v>87</v>
      </c>
    </row>
    <row r="45" spans="1:44" x14ac:dyDescent="0.4">
      <c r="A45" s="3" t="s">
        <v>42</v>
      </c>
      <c r="B45" s="3" t="s">
        <v>43</v>
      </c>
      <c r="C45" s="3" t="s">
        <v>44</v>
      </c>
      <c r="D45" s="3" t="s">
        <v>45</v>
      </c>
      <c r="E45" s="3"/>
      <c r="F45" s="3" t="s">
        <v>46</v>
      </c>
      <c r="G45" s="3" t="s">
        <v>47</v>
      </c>
      <c r="H45" s="3" t="s">
        <v>48</v>
      </c>
      <c r="I45" s="3" t="s">
        <v>49</v>
      </c>
      <c r="J45" s="3">
        <v>56491053</v>
      </c>
      <c r="K45" s="3" t="s">
        <v>91</v>
      </c>
      <c r="L45" s="3"/>
      <c r="M45" s="3"/>
      <c r="N45" s="3" t="s">
        <v>87</v>
      </c>
      <c r="O45" s="3" t="s">
        <v>52</v>
      </c>
      <c r="P45" s="3">
        <v>0.7</v>
      </c>
      <c r="Q45" s="3">
        <v>0.6</v>
      </c>
      <c r="R45" s="4" t="s">
        <v>56</v>
      </c>
      <c r="S45" s="4">
        <v>3200</v>
      </c>
      <c r="T45" s="4">
        <v>9600</v>
      </c>
      <c r="U45" s="4">
        <v>9600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9600</v>
      </c>
      <c r="AE45" s="4">
        <v>9600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6720</v>
      </c>
      <c r="AO45" s="4">
        <v>0</v>
      </c>
      <c r="AP45" s="4">
        <v>6720</v>
      </c>
      <c r="AQ45" t="s">
        <v>45</v>
      </c>
      <c r="AR45" t="s">
        <v>87</v>
      </c>
    </row>
    <row r="46" spans="1:44" x14ac:dyDescent="0.4">
      <c r="A46" s="3" t="s">
        <v>42</v>
      </c>
      <c r="B46" s="3" t="s">
        <v>43</v>
      </c>
      <c r="C46" s="3" t="s">
        <v>44</v>
      </c>
      <c r="D46" s="3" t="s">
        <v>45</v>
      </c>
      <c r="E46" s="3"/>
      <c r="F46" s="3" t="s">
        <v>46</v>
      </c>
      <c r="G46" s="3" t="s">
        <v>47</v>
      </c>
      <c r="H46" s="3" t="s">
        <v>48</v>
      </c>
      <c r="I46" s="3" t="s">
        <v>49</v>
      </c>
      <c r="J46" s="3">
        <v>56491053</v>
      </c>
      <c r="K46" s="3" t="s">
        <v>91</v>
      </c>
      <c r="L46" s="3"/>
      <c r="M46" s="3"/>
      <c r="N46" s="3" t="s">
        <v>87</v>
      </c>
      <c r="O46" s="3" t="s">
        <v>52</v>
      </c>
      <c r="P46" s="3">
        <v>0.7</v>
      </c>
      <c r="Q46" s="3">
        <v>0.6</v>
      </c>
      <c r="R46" s="4" t="s">
        <v>74</v>
      </c>
      <c r="S46" s="4">
        <v>900</v>
      </c>
      <c r="T46" s="4">
        <v>53100</v>
      </c>
      <c r="U46" s="4">
        <v>45900</v>
      </c>
      <c r="V46" s="4">
        <v>0</v>
      </c>
      <c r="W46" s="4">
        <v>0</v>
      </c>
      <c r="X46" s="4">
        <v>0</v>
      </c>
      <c r="Y46" s="4">
        <v>0</v>
      </c>
      <c r="Z46" s="4">
        <v>5400</v>
      </c>
      <c r="AA46" s="4">
        <v>0</v>
      </c>
      <c r="AB46" s="4">
        <v>0</v>
      </c>
      <c r="AC46" s="4">
        <v>1800</v>
      </c>
      <c r="AD46" s="4">
        <v>53640</v>
      </c>
      <c r="AE46" s="4">
        <v>45900</v>
      </c>
      <c r="AF46" s="4">
        <v>0</v>
      </c>
      <c r="AG46" s="4">
        <v>0</v>
      </c>
      <c r="AH46" s="4">
        <v>0</v>
      </c>
      <c r="AI46" s="4">
        <v>0</v>
      </c>
      <c r="AJ46" s="4">
        <v>5940</v>
      </c>
      <c r="AK46" s="4">
        <v>0</v>
      </c>
      <c r="AL46" s="4">
        <v>0</v>
      </c>
      <c r="AM46" s="4">
        <v>1800</v>
      </c>
      <c r="AN46" s="4">
        <v>36954</v>
      </c>
      <c r="AO46" s="4">
        <v>0</v>
      </c>
      <c r="AP46" s="4">
        <v>36954</v>
      </c>
      <c r="AQ46" t="s">
        <v>45</v>
      </c>
      <c r="AR46" t="s">
        <v>87</v>
      </c>
    </row>
    <row r="47" spans="1:44" x14ac:dyDescent="0.4">
      <c r="A47" s="3" t="s">
        <v>42</v>
      </c>
      <c r="B47" s="3" t="s">
        <v>43</v>
      </c>
      <c r="C47" s="3" t="s">
        <v>44</v>
      </c>
      <c r="D47" s="3" t="s">
        <v>45</v>
      </c>
      <c r="E47" s="3"/>
      <c r="F47" s="3" t="s">
        <v>46</v>
      </c>
      <c r="G47" s="3" t="s">
        <v>47</v>
      </c>
      <c r="H47" s="3" t="s">
        <v>48</v>
      </c>
      <c r="I47" s="3" t="s">
        <v>49</v>
      </c>
      <c r="J47" s="3">
        <v>56767208</v>
      </c>
      <c r="K47" s="3" t="s">
        <v>107</v>
      </c>
      <c r="L47" s="3"/>
      <c r="M47" s="3"/>
      <c r="N47" s="3" t="s">
        <v>87</v>
      </c>
      <c r="O47" s="3" t="s">
        <v>52</v>
      </c>
      <c r="P47" s="3">
        <v>0.7</v>
      </c>
      <c r="Q47" s="3">
        <v>0.6</v>
      </c>
      <c r="R47" s="4" t="s">
        <v>56</v>
      </c>
      <c r="S47" s="4">
        <v>3200</v>
      </c>
      <c r="T47" s="4">
        <v>22400</v>
      </c>
      <c r="U47" s="4">
        <v>19200</v>
      </c>
      <c r="V47" s="4">
        <v>0</v>
      </c>
      <c r="W47" s="4">
        <v>0</v>
      </c>
      <c r="X47" s="4">
        <v>0</v>
      </c>
      <c r="Y47" s="4">
        <v>1350</v>
      </c>
      <c r="Z47" s="4">
        <v>1850</v>
      </c>
      <c r="AA47" s="4">
        <v>0</v>
      </c>
      <c r="AB47" s="4">
        <v>0</v>
      </c>
      <c r="AC47" s="4">
        <v>0</v>
      </c>
      <c r="AD47" s="4">
        <v>22855</v>
      </c>
      <c r="AE47" s="4">
        <v>19200</v>
      </c>
      <c r="AF47" s="4">
        <v>0</v>
      </c>
      <c r="AG47" s="4">
        <v>0</v>
      </c>
      <c r="AH47" s="4">
        <v>0</v>
      </c>
      <c r="AI47" s="4">
        <v>1620</v>
      </c>
      <c r="AJ47" s="4">
        <v>2035</v>
      </c>
      <c r="AK47" s="4">
        <v>0</v>
      </c>
      <c r="AL47" s="4">
        <v>0</v>
      </c>
      <c r="AM47" s="4">
        <v>0</v>
      </c>
      <c r="AN47" s="4">
        <v>15633</v>
      </c>
      <c r="AO47" s="4">
        <v>0</v>
      </c>
      <c r="AP47" s="4">
        <v>15633</v>
      </c>
      <c r="AQ47" t="s">
        <v>45</v>
      </c>
      <c r="AR47" t="s">
        <v>87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R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4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56327895</v>
      </c>
      <c r="K2" s="3" t="s">
        <v>112</v>
      </c>
      <c r="L2" s="3"/>
      <c r="M2" s="3"/>
      <c r="N2" s="3" t="s">
        <v>113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551100</v>
      </c>
      <c r="U2" s="4">
        <v>144320</v>
      </c>
      <c r="V2" s="4">
        <v>0</v>
      </c>
      <c r="W2" s="4">
        <v>0</v>
      </c>
      <c r="X2" s="4">
        <v>0</v>
      </c>
      <c r="Y2" s="4">
        <v>3100</v>
      </c>
      <c r="Z2" s="4">
        <v>2100</v>
      </c>
      <c r="AA2" s="4">
        <v>0</v>
      </c>
      <c r="AB2" s="4">
        <v>0</v>
      </c>
      <c r="AC2" s="4">
        <v>401580</v>
      </c>
      <c r="AD2" s="4">
        <v>551930</v>
      </c>
      <c r="AE2" s="4">
        <v>144320</v>
      </c>
      <c r="AF2" s="4">
        <v>0</v>
      </c>
      <c r="AG2" s="4">
        <v>0</v>
      </c>
      <c r="AH2" s="4">
        <v>0</v>
      </c>
      <c r="AI2" s="4">
        <v>3720</v>
      </c>
      <c r="AJ2" s="4">
        <v>2310</v>
      </c>
      <c r="AK2" s="4">
        <v>0</v>
      </c>
      <c r="AL2" s="4">
        <v>0</v>
      </c>
      <c r="AM2" s="4">
        <v>401580</v>
      </c>
      <c r="AN2" s="4">
        <v>385748</v>
      </c>
      <c r="AO2" s="4">
        <v>0</v>
      </c>
      <c r="AP2" s="4">
        <v>385748</v>
      </c>
      <c r="AQ2" t="s">
        <v>45</v>
      </c>
      <c r="AR2" t="s">
        <v>113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56327895</v>
      </c>
      <c r="K3" s="3" t="s">
        <v>112</v>
      </c>
      <c r="L3" s="3"/>
      <c r="M3" s="3"/>
      <c r="N3" s="3" t="s">
        <v>113</v>
      </c>
      <c r="O3" s="3" t="s">
        <v>52</v>
      </c>
      <c r="P3" s="3">
        <v>0.7</v>
      </c>
      <c r="Q3" s="3">
        <v>0.6</v>
      </c>
      <c r="R3" s="4" t="s">
        <v>53</v>
      </c>
      <c r="S3" s="4">
        <v>2400</v>
      </c>
      <c r="T3" s="4">
        <v>376100</v>
      </c>
      <c r="U3" s="4">
        <v>252040</v>
      </c>
      <c r="V3" s="4">
        <v>0</v>
      </c>
      <c r="W3" s="4">
        <v>0</v>
      </c>
      <c r="X3" s="4">
        <v>0</v>
      </c>
      <c r="Y3" s="4">
        <v>0</v>
      </c>
      <c r="Z3" s="4">
        <v>19200</v>
      </c>
      <c r="AA3" s="4">
        <v>0</v>
      </c>
      <c r="AB3" s="4">
        <v>0</v>
      </c>
      <c r="AC3" s="4">
        <v>104860</v>
      </c>
      <c r="AD3" s="4">
        <v>378020</v>
      </c>
      <c r="AE3" s="4">
        <v>252040</v>
      </c>
      <c r="AF3" s="4">
        <v>0</v>
      </c>
      <c r="AG3" s="4">
        <v>0</v>
      </c>
      <c r="AH3" s="4">
        <v>0</v>
      </c>
      <c r="AI3" s="4">
        <v>0</v>
      </c>
      <c r="AJ3" s="4">
        <v>21120</v>
      </c>
      <c r="AK3" s="4">
        <v>0</v>
      </c>
      <c r="AL3" s="4">
        <v>0</v>
      </c>
      <c r="AM3" s="4">
        <v>104860</v>
      </c>
      <c r="AN3" s="4">
        <v>262502</v>
      </c>
      <c r="AO3" s="4">
        <v>0</v>
      </c>
      <c r="AP3" s="4">
        <v>262502</v>
      </c>
      <c r="AQ3" t="s">
        <v>45</v>
      </c>
      <c r="AR3" t="s">
        <v>113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56327895</v>
      </c>
      <c r="K4" s="3" t="s">
        <v>112</v>
      </c>
      <c r="L4" s="3"/>
      <c r="M4" s="3"/>
      <c r="N4" s="3" t="s">
        <v>113</v>
      </c>
      <c r="O4" s="3" t="s">
        <v>52</v>
      </c>
      <c r="P4" s="3">
        <v>0.7</v>
      </c>
      <c r="Q4" s="3">
        <v>0.6</v>
      </c>
      <c r="R4" s="4" t="s">
        <v>53</v>
      </c>
      <c r="S4" s="4">
        <v>5000</v>
      </c>
      <c r="T4" s="4">
        <v>205200</v>
      </c>
      <c r="U4" s="4">
        <v>157300</v>
      </c>
      <c r="V4" s="4">
        <v>0</v>
      </c>
      <c r="W4" s="4">
        <v>0</v>
      </c>
      <c r="X4" s="4">
        <v>0</v>
      </c>
      <c r="Y4" s="4">
        <v>-2300</v>
      </c>
      <c r="Z4" s="4">
        <v>7100</v>
      </c>
      <c r="AA4" s="4">
        <v>0</v>
      </c>
      <c r="AB4" s="4">
        <v>0</v>
      </c>
      <c r="AC4" s="4">
        <v>43100</v>
      </c>
      <c r="AD4" s="4">
        <v>205450</v>
      </c>
      <c r="AE4" s="4">
        <v>157300</v>
      </c>
      <c r="AF4" s="4">
        <v>0</v>
      </c>
      <c r="AG4" s="4">
        <v>0</v>
      </c>
      <c r="AH4" s="4">
        <v>0</v>
      </c>
      <c r="AI4" s="4">
        <v>-2760</v>
      </c>
      <c r="AJ4" s="4">
        <v>7810</v>
      </c>
      <c r="AK4" s="4">
        <v>0</v>
      </c>
      <c r="AL4" s="4">
        <v>0</v>
      </c>
      <c r="AM4" s="4">
        <v>43100</v>
      </c>
      <c r="AN4" s="4">
        <v>143310</v>
      </c>
      <c r="AO4" s="4">
        <v>0</v>
      </c>
      <c r="AP4" s="4">
        <v>143310</v>
      </c>
      <c r="AQ4" t="s">
        <v>45</v>
      </c>
      <c r="AR4" t="s">
        <v>113</v>
      </c>
    </row>
    <row r="5" spans="1:44" x14ac:dyDescent="0.4">
      <c r="A5" s="3" t="s">
        <v>42</v>
      </c>
      <c r="B5" s="3" t="s">
        <v>43</v>
      </c>
      <c r="C5" s="3" t="s">
        <v>44</v>
      </c>
      <c r="D5" s="3" t="s">
        <v>45</v>
      </c>
      <c r="E5" s="3"/>
      <c r="F5" s="3" t="s">
        <v>46</v>
      </c>
      <c r="G5" s="3" t="s">
        <v>47</v>
      </c>
      <c r="H5" s="3" t="s">
        <v>48</v>
      </c>
      <c r="I5" s="3" t="s">
        <v>49</v>
      </c>
      <c r="J5" s="3">
        <v>56327895</v>
      </c>
      <c r="K5" s="3" t="s">
        <v>112</v>
      </c>
      <c r="L5" s="3"/>
      <c r="M5" s="3"/>
      <c r="N5" s="3" t="s">
        <v>113</v>
      </c>
      <c r="O5" s="3" t="s">
        <v>52</v>
      </c>
      <c r="P5" s="3">
        <v>0.7</v>
      </c>
      <c r="Q5" s="3">
        <v>0.6</v>
      </c>
      <c r="R5" s="4" t="s">
        <v>53</v>
      </c>
      <c r="S5" s="4">
        <v>10000</v>
      </c>
      <c r="T5" s="4">
        <v>415500</v>
      </c>
      <c r="U5" s="4">
        <v>409810</v>
      </c>
      <c r="V5" s="4">
        <v>0</v>
      </c>
      <c r="W5" s="4">
        <v>0</v>
      </c>
      <c r="X5" s="4">
        <v>0</v>
      </c>
      <c r="Y5" s="4">
        <v>0</v>
      </c>
      <c r="Z5" s="4">
        <v>-22600</v>
      </c>
      <c r="AA5" s="4">
        <v>0</v>
      </c>
      <c r="AB5" s="4">
        <v>0</v>
      </c>
      <c r="AC5" s="4">
        <v>28290</v>
      </c>
      <c r="AD5" s="4">
        <v>413240</v>
      </c>
      <c r="AE5" s="4">
        <v>409810</v>
      </c>
      <c r="AF5" s="4">
        <v>0</v>
      </c>
      <c r="AG5" s="4">
        <v>0</v>
      </c>
      <c r="AH5" s="4">
        <v>0</v>
      </c>
      <c r="AI5" s="4">
        <v>0</v>
      </c>
      <c r="AJ5" s="4">
        <v>-24860</v>
      </c>
      <c r="AK5" s="4">
        <v>0</v>
      </c>
      <c r="AL5" s="4">
        <v>0</v>
      </c>
      <c r="AM5" s="4">
        <v>28290</v>
      </c>
      <c r="AN5" s="4">
        <v>291754</v>
      </c>
      <c r="AO5" s="4">
        <v>0</v>
      </c>
      <c r="AP5" s="4">
        <v>291754</v>
      </c>
      <c r="AQ5" t="s">
        <v>45</v>
      </c>
      <c r="AR5" t="s">
        <v>113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R3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2.59765625" bestFit="1" customWidth="1"/>
    <col min="12" max="12" width="21.5" bestFit="1" customWidth="1"/>
    <col min="13" max="13" width="6.796875" bestFit="1" customWidth="1"/>
    <col min="14" max="14" width="10.39843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4" width="10.398437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55574977</v>
      </c>
      <c r="K2" s="3" t="s">
        <v>84</v>
      </c>
      <c r="L2" s="3"/>
      <c r="M2" s="3"/>
      <c r="N2" s="3" t="s">
        <v>85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500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500</v>
      </c>
      <c r="AD2" s="4">
        <v>500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500</v>
      </c>
      <c r="AN2" s="4">
        <v>350</v>
      </c>
      <c r="AO2" s="4">
        <v>0</v>
      </c>
      <c r="AP2" s="4">
        <v>350</v>
      </c>
      <c r="AQ2" t="s">
        <v>45</v>
      </c>
      <c r="AR2" t="s">
        <v>85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55574977</v>
      </c>
      <c r="K3" s="3" t="s">
        <v>84</v>
      </c>
      <c r="L3" s="3"/>
      <c r="M3" s="3"/>
      <c r="N3" s="3" t="s">
        <v>85</v>
      </c>
      <c r="O3" s="3" t="s">
        <v>52</v>
      </c>
      <c r="P3" s="3">
        <v>0.7</v>
      </c>
      <c r="Q3" s="3">
        <v>0.6</v>
      </c>
      <c r="R3" s="4" t="s">
        <v>53</v>
      </c>
      <c r="S3" s="4">
        <v>900</v>
      </c>
      <c r="T3" s="4">
        <v>2700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2700</v>
      </c>
      <c r="AD3" s="4">
        <v>2700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2700</v>
      </c>
      <c r="AN3" s="4">
        <v>1890</v>
      </c>
      <c r="AO3" s="4">
        <v>0</v>
      </c>
      <c r="AP3" s="4">
        <v>1890</v>
      </c>
      <c r="AQ3" t="s">
        <v>45</v>
      </c>
      <c r="AR3" t="s">
        <v>85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R27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30.8984375" bestFit="1" customWidth="1"/>
    <col min="12" max="12" width="21.5" bestFit="1" customWidth="1"/>
    <col min="13" max="13" width="6.796875" bestFit="1" customWidth="1"/>
    <col min="14" max="14" width="8.5976562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8.5976562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51191772</v>
      </c>
      <c r="K2" s="3" t="s">
        <v>118</v>
      </c>
      <c r="L2" s="3"/>
      <c r="M2" s="3"/>
      <c r="N2" s="3" t="s">
        <v>76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9200</v>
      </c>
      <c r="U2" s="4">
        <v>2600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6600</v>
      </c>
      <c r="AD2" s="4">
        <v>9200</v>
      </c>
      <c r="AE2" s="4">
        <v>2600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6600</v>
      </c>
      <c r="AN2" s="4">
        <v>6440</v>
      </c>
      <c r="AO2" s="4">
        <v>0</v>
      </c>
      <c r="AP2" s="4">
        <v>6440</v>
      </c>
      <c r="AQ2" t="s">
        <v>45</v>
      </c>
      <c r="AR2" t="s">
        <v>76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51191772</v>
      </c>
      <c r="K3" s="3" t="s">
        <v>118</v>
      </c>
      <c r="L3" s="3"/>
      <c r="M3" s="3"/>
      <c r="N3" s="3" t="s">
        <v>76</v>
      </c>
      <c r="O3" s="3" t="s">
        <v>52</v>
      </c>
      <c r="P3" s="3">
        <v>0.7</v>
      </c>
      <c r="Q3" s="3">
        <v>0.6</v>
      </c>
      <c r="R3" s="4" t="s">
        <v>53</v>
      </c>
      <c r="S3" s="4">
        <v>3800</v>
      </c>
      <c r="T3" s="4">
        <v>-3000</v>
      </c>
      <c r="U3" s="4">
        <v>-3000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-3000</v>
      </c>
      <c r="AE3" s="4">
        <v>-3000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-2100</v>
      </c>
      <c r="AO3" s="4">
        <v>0</v>
      </c>
      <c r="AP3" s="4">
        <v>-2100</v>
      </c>
      <c r="AQ3" t="s">
        <v>45</v>
      </c>
      <c r="AR3" t="s">
        <v>76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52927609</v>
      </c>
      <c r="K4" s="3" t="s">
        <v>151</v>
      </c>
      <c r="L4" s="3"/>
      <c r="M4" s="3"/>
      <c r="N4" s="3" t="s">
        <v>76</v>
      </c>
      <c r="O4" s="3" t="s">
        <v>52</v>
      </c>
      <c r="P4" s="3">
        <v>0.7</v>
      </c>
      <c r="Q4" s="3">
        <v>0.6</v>
      </c>
      <c r="R4" s="4" t="s">
        <v>56</v>
      </c>
      <c r="S4" s="4">
        <v>100</v>
      </c>
      <c r="T4" s="4">
        <v>5500</v>
      </c>
      <c r="U4" s="4">
        <v>1500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4000</v>
      </c>
      <c r="AD4" s="4">
        <v>5500</v>
      </c>
      <c r="AE4" s="4">
        <v>1500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4000</v>
      </c>
      <c r="AN4" s="4">
        <v>3850</v>
      </c>
      <c r="AO4" s="4">
        <v>0</v>
      </c>
      <c r="AP4" s="4">
        <v>3850</v>
      </c>
      <c r="AQ4" t="s">
        <v>45</v>
      </c>
      <c r="AR4" t="s">
        <v>76</v>
      </c>
    </row>
    <row r="5" spans="1:44" x14ac:dyDescent="0.4">
      <c r="A5" s="3" t="s">
        <v>42</v>
      </c>
      <c r="B5" s="3" t="s">
        <v>43</v>
      </c>
      <c r="C5" s="3" t="s">
        <v>44</v>
      </c>
      <c r="D5" s="3" t="s">
        <v>45</v>
      </c>
      <c r="E5" s="3"/>
      <c r="F5" s="3" t="s">
        <v>46</v>
      </c>
      <c r="G5" s="3" t="s">
        <v>47</v>
      </c>
      <c r="H5" s="3" t="s">
        <v>48</v>
      </c>
      <c r="I5" s="3" t="s">
        <v>49</v>
      </c>
      <c r="J5" s="3">
        <v>52927609</v>
      </c>
      <c r="K5" s="3" t="s">
        <v>151</v>
      </c>
      <c r="L5" s="3"/>
      <c r="M5" s="3"/>
      <c r="N5" s="3" t="s">
        <v>76</v>
      </c>
      <c r="O5" s="3" t="s">
        <v>52</v>
      </c>
      <c r="P5" s="3">
        <v>0.7</v>
      </c>
      <c r="Q5" s="3">
        <v>0.6</v>
      </c>
      <c r="R5" s="4" t="s">
        <v>53</v>
      </c>
      <c r="S5" s="4">
        <v>3600</v>
      </c>
      <c r="T5" s="4">
        <v>3600</v>
      </c>
      <c r="U5" s="4">
        <v>3600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3600</v>
      </c>
      <c r="AE5" s="4">
        <v>3600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2520</v>
      </c>
      <c r="AO5" s="4">
        <v>0</v>
      </c>
      <c r="AP5" s="4">
        <v>2520</v>
      </c>
      <c r="AQ5" t="s">
        <v>45</v>
      </c>
      <c r="AR5" t="s">
        <v>76</v>
      </c>
    </row>
    <row r="6" spans="1:44" x14ac:dyDescent="0.4">
      <c r="A6" s="3" t="s">
        <v>42</v>
      </c>
      <c r="B6" s="3" t="s">
        <v>43</v>
      </c>
      <c r="C6" s="3" t="s">
        <v>44</v>
      </c>
      <c r="D6" s="3" t="s">
        <v>45</v>
      </c>
      <c r="E6" s="3"/>
      <c r="F6" s="3" t="s">
        <v>46</v>
      </c>
      <c r="G6" s="3" t="s">
        <v>47</v>
      </c>
      <c r="H6" s="3" t="s">
        <v>48</v>
      </c>
      <c r="I6" s="3" t="s">
        <v>49</v>
      </c>
      <c r="J6" s="3">
        <v>52929090</v>
      </c>
      <c r="K6" s="3" t="s">
        <v>155</v>
      </c>
      <c r="L6" s="3"/>
      <c r="M6" s="3"/>
      <c r="N6" s="3" t="s">
        <v>76</v>
      </c>
      <c r="O6" s="3" t="s">
        <v>52</v>
      </c>
      <c r="P6" s="3">
        <v>0.7</v>
      </c>
      <c r="Q6" s="3">
        <v>0.6</v>
      </c>
      <c r="R6" s="4" t="s">
        <v>56</v>
      </c>
      <c r="S6" s="4">
        <v>100</v>
      </c>
      <c r="T6" s="4">
        <v>4900</v>
      </c>
      <c r="U6" s="4">
        <v>2200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2700</v>
      </c>
      <c r="AD6" s="4">
        <v>4900</v>
      </c>
      <c r="AE6" s="4">
        <v>2200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2700</v>
      </c>
      <c r="AN6" s="4">
        <v>3430</v>
      </c>
      <c r="AO6" s="4">
        <v>0</v>
      </c>
      <c r="AP6" s="4">
        <v>3430</v>
      </c>
      <c r="AQ6" t="s">
        <v>45</v>
      </c>
      <c r="AR6" t="s">
        <v>76</v>
      </c>
    </row>
    <row r="7" spans="1:44" x14ac:dyDescent="0.4">
      <c r="A7" s="3" t="s">
        <v>42</v>
      </c>
      <c r="B7" s="3" t="s">
        <v>43</v>
      </c>
      <c r="C7" s="3" t="s">
        <v>44</v>
      </c>
      <c r="D7" s="3" t="s">
        <v>45</v>
      </c>
      <c r="E7" s="3"/>
      <c r="F7" s="3" t="s">
        <v>46</v>
      </c>
      <c r="G7" s="3" t="s">
        <v>47</v>
      </c>
      <c r="H7" s="3" t="s">
        <v>48</v>
      </c>
      <c r="I7" s="3" t="s">
        <v>49</v>
      </c>
      <c r="J7" s="3">
        <v>52929090</v>
      </c>
      <c r="K7" s="3" t="s">
        <v>155</v>
      </c>
      <c r="L7" s="3"/>
      <c r="M7" s="3"/>
      <c r="N7" s="3" t="s">
        <v>76</v>
      </c>
      <c r="O7" s="3" t="s">
        <v>52</v>
      </c>
      <c r="P7" s="3">
        <v>0.7</v>
      </c>
      <c r="Q7" s="3">
        <v>0.6</v>
      </c>
      <c r="R7" s="4" t="s">
        <v>53</v>
      </c>
      <c r="S7" s="4">
        <v>900</v>
      </c>
      <c r="T7" s="4">
        <v>3600</v>
      </c>
      <c r="U7" s="4">
        <v>2700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900</v>
      </c>
      <c r="AD7" s="4">
        <v>3600</v>
      </c>
      <c r="AE7" s="4">
        <v>2700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900</v>
      </c>
      <c r="AN7" s="4">
        <v>2520</v>
      </c>
      <c r="AO7" s="4">
        <v>0</v>
      </c>
      <c r="AP7" s="4">
        <v>2520</v>
      </c>
      <c r="AQ7" t="s">
        <v>45</v>
      </c>
      <c r="AR7" t="s">
        <v>76</v>
      </c>
    </row>
    <row r="8" spans="1:44" x14ac:dyDescent="0.4">
      <c r="A8" s="3" t="s">
        <v>42</v>
      </c>
      <c r="B8" s="3" t="s">
        <v>43</v>
      </c>
      <c r="C8" s="3" t="s">
        <v>44</v>
      </c>
      <c r="D8" s="3" t="s">
        <v>45</v>
      </c>
      <c r="E8" s="3"/>
      <c r="F8" s="3" t="s">
        <v>46</v>
      </c>
      <c r="G8" s="3" t="s">
        <v>47</v>
      </c>
      <c r="H8" s="3" t="s">
        <v>48</v>
      </c>
      <c r="I8" s="3" t="s">
        <v>49</v>
      </c>
      <c r="J8" s="3">
        <v>52929090</v>
      </c>
      <c r="K8" s="3" t="s">
        <v>155</v>
      </c>
      <c r="L8" s="3"/>
      <c r="M8" s="3"/>
      <c r="N8" s="3" t="s">
        <v>76</v>
      </c>
      <c r="O8" s="3" t="s">
        <v>52</v>
      </c>
      <c r="P8" s="3">
        <v>0.7</v>
      </c>
      <c r="Q8" s="3">
        <v>0.6</v>
      </c>
      <c r="R8" s="4" t="s">
        <v>53</v>
      </c>
      <c r="S8" s="4">
        <v>2700</v>
      </c>
      <c r="T8" s="4">
        <v>2700</v>
      </c>
      <c r="U8" s="4">
        <v>2700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2700</v>
      </c>
      <c r="AE8" s="4">
        <v>2700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1890</v>
      </c>
      <c r="AO8" s="4">
        <v>0</v>
      </c>
      <c r="AP8" s="4">
        <v>1890</v>
      </c>
      <c r="AQ8" t="s">
        <v>45</v>
      </c>
      <c r="AR8" t="s">
        <v>76</v>
      </c>
    </row>
    <row r="9" spans="1:44" x14ac:dyDescent="0.4">
      <c r="A9" s="3" t="s">
        <v>42</v>
      </c>
      <c r="B9" s="3" t="s">
        <v>43</v>
      </c>
      <c r="C9" s="3" t="s">
        <v>44</v>
      </c>
      <c r="D9" s="3" t="s">
        <v>45</v>
      </c>
      <c r="E9" s="3"/>
      <c r="F9" s="3" t="s">
        <v>46</v>
      </c>
      <c r="G9" s="3" t="s">
        <v>47</v>
      </c>
      <c r="H9" s="3" t="s">
        <v>48</v>
      </c>
      <c r="I9" s="3" t="s">
        <v>49</v>
      </c>
      <c r="J9" s="3">
        <v>55547802</v>
      </c>
      <c r="K9" s="3" t="s">
        <v>147</v>
      </c>
      <c r="L9" s="3"/>
      <c r="M9" s="3"/>
      <c r="N9" s="3" t="s">
        <v>76</v>
      </c>
      <c r="O9" s="3" t="s">
        <v>52</v>
      </c>
      <c r="P9" s="3">
        <v>0.7</v>
      </c>
      <c r="Q9" s="3">
        <v>0.6</v>
      </c>
      <c r="R9" s="4" t="s">
        <v>56</v>
      </c>
      <c r="S9" s="4">
        <v>100</v>
      </c>
      <c r="T9" s="4">
        <v>1400</v>
      </c>
      <c r="U9" s="4">
        <v>900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500</v>
      </c>
      <c r="AD9" s="4">
        <v>1400</v>
      </c>
      <c r="AE9" s="4">
        <v>900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500</v>
      </c>
      <c r="AN9" s="4">
        <v>980</v>
      </c>
      <c r="AO9" s="4">
        <v>0</v>
      </c>
      <c r="AP9" s="4">
        <v>980</v>
      </c>
      <c r="AQ9" t="s">
        <v>45</v>
      </c>
      <c r="AR9" t="s">
        <v>76</v>
      </c>
    </row>
    <row r="10" spans="1:44" x14ac:dyDescent="0.4">
      <c r="A10" s="3" t="s">
        <v>42</v>
      </c>
      <c r="B10" s="3" t="s">
        <v>43</v>
      </c>
      <c r="C10" s="3" t="s">
        <v>44</v>
      </c>
      <c r="D10" s="3" t="s">
        <v>45</v>
      </c>
      <c r="E10" s="3"/>
      <c r="F10" s="3" t="s">
        <v>46</v>
      </c>
      <c r="G10" s="3" t="s">
        <v>47</v>
      </c>
      <c r="H10" s="3" t="s">
        <v>48</v>
      </c>
      <c r="I10" s="3" t="s">
        <v>49</v>
      </c>
      <c r="J10" s="3">
        <v>55907805</v>
      </c>
      <c r="K10" s="3" t="s">
        <v>176</v>
      </c>
      <c r="L10" s="3"/>
      <c r="M10" s="3"/>
      <c r="N10" s="3" t="s">
        <v>76</v>
      </c>
      <c r="O10" s="3" t="s">
        <v>52</v>
      </c>
      <c r="P10" s="3">
        <v>0.7</v>
      </c>
      <c r="Q10" s="3">
        <v>0.6</v>
      </c>
      <c r="R10" s="4" t="s">
        <v>56</v>
      </c>
      <c r="S10" s="4">
        <v>100</v>
      </c>
      <c r="T10" s="4">
        <v>1300</v>
      </c>
      <c r="U10" s="4">
        <v>1100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200</v>
      </c>
      <c r="AD10" s="4">
        <v>1300</v>
      </c>
      <c r="AE10" s="4">
        <v>1100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200</v>
      </c>
      <c r="AN10" s="4">
        <v>910</v>
      </c>
      <c r="AO10" s="4">
        <v>0</v>
      </c>
      <c r="AP10" s="4">
        <v>910</v>
      </c>
      <c r="AQ10" t="s">
        <v>45</v>
      </c>
      <c r="AR10" t="s">
        <v>76</v>
      </c>
    </row>
    <row r="11" spans="1:44" x14ac:dyDescent="0.4">
      <c r="A11" s="3" t="s">
        <v>42</v>
      </c>
      <c r="B11" s="3" t="s">
        <v>43</v>
      </c>
      <c r="C11" s="3" t="s">
        <v>44</v>
      </c>
      <c r="D11" s="3" t="s">
        <v>45</v>
      </c>
      <c r="E11" s="3"/>
      <c r="F11" s="3" t="s">
        <v>46</v>
      </c>
      <c r="G11" s="3" t="s">
        <v>47</v>
      </c>
      <c r="H11" s="3" t="s">
        <v>48</v>
      </c>
      <c r="I11" s="3" t="s">
        <v>49</v>
      </c>
      <c r="J11" s="3">
        <v>55907805</v>
      </c>
      <c r="K11" s="3" t="s">
        <v>176</v>
      </c>
      <c r="L11" s="3"/>
      <c r="M11" s="3"/>
      <c r="N11" s="3" t="s">
        <v>76</v>
      </c>
      <c r="O11" s="3" t="s">
        <v>52</v>
      </c>
      <c r="P11" s="3">
        <v>0.7</v>
      </c>
      <c r="Q11" s="3">
        <v>0.6</v>
      </c>
      <c r="R11" s="4" t="s">
        <v>53</v>
      </c>
      <c r="S11" s="4">
        <v>900</v>
      </c>
      <c r="T11" s="4">
        <v>1800</v>
      </c>
      <c r="U11" s="4">
        <v>1800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1800</v>
      </c>
      <c r="AE11" s="4">
        <v>1800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1260</v>
      </c>
      <c r="AO11" s="4">
        <v>0</v>
      </c>
      <c r="AP11" s="4">
        <v>1260</v>
      </c>
      <c r="AQ11" t="s">
        <v>45</v>
      </c>
      <c r="AR11" t="s">
        <v>76</v>
      </c>
    </row>
    <row r="12" spans="1:44" x14ac:dyDescent="0.4">
      <c r="A12" s="3" t="s">
        <v>42</v>
      </c>
      <c r="B12" s="3" t="s">
        <v>43</v>
      </c>
      <c r="C12" s="3" t="s">
        <v>44</v>
      </c>
      <c r="D12" s="3" t="s">
        <v>45</v>
      </c>
      <c r="E12" s="3"/>
      <c r="F12" s="3" t="s">
        <v>46</v>
      </c>
      <c r="G12" s="3" t="s">
        <v>47</v>
      </c>
      <c r="H12" s="3" t="s">
        <v>48</v>
      </c>
      <c r="I12" s="3" t="s">
        <v>49</v>
      </c>
      <c r="J12" s="3">
        <v>55907805</v>
      </c>
      <c r="K12" s="3" t="s">
        <v>176</v>
      </c>
      <c r="L12" s="3"/>
      <c r="M12" s="3"/>
      <c r="N12" s="3" t="s">
        <v>76</v>
      </c>
      <c r="O12" s="3" t="s">
        <v>52</v>
      </c>
      <c r="P12" s="3">
        <v>0.7</v>
      </c>
      <c r="Q12" s="3">
        <v>0.6</v>
      </c>
      <c r="R12" s="4" t="s">
        <v>53</v>
      </c>
      <c r="S12" s="4">
        <v>1800</v>
      </c>
      <c r="T12" s="4">
        <v>1800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1800</v>
      </c>
      <c r="AD12" s="4">
        <v>1800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1800</v>
      </c>
      <c r="AN12" s="4">
        <v>1260</v>
      </c>
      <c r="AO12" s="4">
        <v>0</v>
      </c>
      <c r="AP12" s="4">
        <v>1260</v>
      </c>
      <c r="AQ12" t="s">
        <v>45</v>
      </c>
      <c r="AR12" t="s">
        <v>76</v>
      </c>
    </row>
    <row r="13" spans="1:44" x14ac:dyDescent="0.4">
      <c r="A13" s="3" t="s">
        <v>42</v>
      </c>
      <c r="B13" s="3" t="s">
        <v>43</v>
      </c>
      <c r="C13" s="3" t="s">
        <v>44</v>
      </c>
      <c r="D13" s="3" t="s">
        <v>45</v>
      </c>
      <c r="E13" s="3"/>
      <c r="F13" s="3" t="s">
        <v>46</v>
      </c>
      <c r="G13" s="3" t="s">
        <v>47</v>
      </c>
      <c r="H13" s="3" t="s">
        <v>48</v>
      </c>
      <c r="I13" s="3" t="s">
        <v>49</v>
      </c>
      <c r="J13" s="3">
        <v>52883338</v>
      </c>
      <c r="K13" s="3" t="s">
        <v>219</v>
      </c>
      <c r="L13" s="3"/>
      <c r="M13" s="3"/>
      <c r="N13" s="3" t="s">
        <v>76</v>
      </c>
      <c r="O13" s="3" t="s">
        <v>52</v>
      </c>
      <c r="P13" s="3">
        <v>0.7</v>
      </c>
      <c r="Q13" s="3">
        <v>0.6</v>
      </c>
      <c r="R13" s="4" t="s">
        <v>56</v>
      </c>
      <c r="S13" s="4">
        <v>100</v>
      </c>
      <c r="T13" s="4">
        <v>800</v>
      </c>
      <c r="U13" s="4">
        <v>250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550</v>
      </c>
      <c r="AD13" s="4">
        <v>800</v>
      </c>
      <c r="AE13" s="4">
        <v>250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550</v>
      </c>
      <c r="AN13" s="4">
        <v>560</v>
      </c>
      <c r="AO13" s="4">
        <v>0</v>
      </c>
      <c r="AP13" s="4">
        <v>560</v>
      </c>
      <c r="AQ13" t="s">
        <v>45</v>
      </c>
      <c r="AR13" t="s">
        <v>76</v>
      </c>
    </row>
    <row r="14" spans="1:44" x14ac:dyDescent="0.4">
      <c r="A14" s="3" t="s">
        <v>42</v>
      </c>
      <c r="B14" s="3" t="s">
        <v>43</v>
      </c>
      <c r="C14" s="3" t="s">
        <v>44</v>
      </c>
      <c r="D14" s="3" t="s">
        <v>45</v>
      </c>
      <c r="E14" s="3"/>
      <c r="F14" s="3" t="s">
        <v>46</v>
      </c>
      <c r="G14" s="3" t="s">
        <v>47</v>
      </c>
      <c r="H14" s="3" t="s">
        <v>48</v>
      </c>
      <c r="I14" s="3" t="s">
        <v>49</v>
      </c>
      <c r="J14" s="3">
        <v>52883338</v>
      </c>
      <c r="K14" s="3" t="s">
        <v>219</v>
      </c>
      <c r="L14" s="3"/>
      <c r="M14" s="3"/>
      <c r="N14" s="3" t="s">
        <v>76</v>
      </c>
      <c r="O14" s="3" t="s">
        <v>52</v>
      </c>
      <c r="P14" s="3">
        <v>0.7</v>
      </c>
      <c r="Q14" s="3">
        <v>0.6</v>
      </c>
      <c r="R14" s="4" t="s">
        <v>53</v>
      </c>
      <c r="S14" s="4">
        <v>2700</v>
      </c>
      <c r="T14" s="4">
        <v>-1400</v>
      </c>
      <c r="U14" s="4">
        <v>-1400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-1400</v>
      </c>
      <c r="AE14" s="4">
        <v>-1400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-980</v>
      </c>
      <c r="AO14" s="4">
        <v>0</v>
      </c>
      <c r="AP14" s="4">
        <v>-980</v>
      </c>
      <c r="AQ14" t="s">
        <v>45</v>
      </c>
      <c r="AR14" t="s">
        <v>76</v>
      </c>
    </row>
    <row r="15" spans="1:44" x14ac:dyDescent="0.4">
      <c r="A15" s="3" t="s">
        <v>42</v>
      </c>
      <c r="B15" s="3" t="s">
        <v>43</v>
      </c>
      <c r="C15" s="3" t="s">
        <v>44</v>
      </c>
      <c r="D15" s="3" t="s">
        <v>45</v>
      </c>
      <c r="E15" s="3"/>
      <c r="F15" s="3" t="s">
        <v>46</v>
      </c>
      <c r="G15" s="3" t="s">
        <v>47</v>
      </c>
      <c r="H15" s="3" t="s">
        <v>48</v>
      </c>
      <c r="I15" s="3" t="s">
        <v>49</v>
      </c>
      <c r="J15" s="3">
        <v>56673870</v>
      </c>
      <c r="K15" s="3" t="s">
        <v>211</v>
      </c>
      <c r="L15" s="3"/>
      <c r="M15" s="3"/>
      <c r="N15" s="3" t="s">
        <v>76</v>
      </c>
      <c r="O15" s="3" t="s">
        <v>52</v>
      </c>
      <c r="P15" s="3">
        <v>0.7</v>
      </c>
      <c r="Q15" s="3">
        <v>0.6</v>
      </c>
      <c r="R15" s="4" t="s">
        <v>56</v>
      </c>
      <c r="S15" s="4">
        <v>100</v>
      </c>
      <c r="T15" s="4">
        <v>13200</v>
      </c>
      <c r="U15" s="4">
        <v>4500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8700</v>
      </c>
      <c r="AD15" s="4">
        <v>13200</v>
      </c>
      <c r="AE15" s="4">
        <v>4500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8700</v>
      </c>
      <c r="AN15" s="4">
        <v>9240</v>
      </c>
      <c r="AO15" s="4">
        <v>0</v>
      </c>
      <c r="AP15" s="4">
        <v>9240</v>
      </c>
      <c r="AQ15" t="s">
        <v>45</v>
      </c>
      <c r="AR15" t="s">
        <v>76</v>
      </c>
    </row>
    <row r="16" spans="1:44" x14ac:dyDescent="0.4">
      <c r="A16" s="3" t="s">
        <v>42</v>
      </c>
      <c r="B16" s="3" t="s">
        <v>43</v>
      </c>
      <c r="C16" s="3" t="s">
        <v>44</v>
      </c>
      <c r="D16" s="3" t="s">
        <v>45</v>
      </c>
      <c r="E16" s="3"/>
      <c r="F16" s="3" t="s">
        <v>46</v>
      </c>
      <c r="G16" s="3" t="s">
        <v>47</v>
      </c>
      <c r="H16" s="3" t="s">
        <v>48</v>
      </c>
      <c r="I16" s="3" t="s">
        <v>49</v>
      </c>
      <c r="J16" s="3">
        <v>56673870</v>
      </c>
      <c r="K16" s="3" t="s">
        <v>211</v>
      </c>
      <c r="L16" s="3"/>
      <c r="M16" s="3"/>
      <c r="N16" s="3" t="s">
        <v>76</v>
      </c>
      <c r="O16" s="3" t="s">
        <v>52</v>
      </c>
      <c r="P16" s="3">
        <v>0.7</v>
      </c>
      <c r="Q16" s="3">
        <v>0.6</v>
      </c>
      <c r="R16" s="4" t="s">
        <v>53</v>
      </c>
      <c r="S16" s="4">
        <v>900</v>
      </c>
      <c r="T16" s="4">
        <v>5400</v>
      </c>
      <c r="U16" s="4">
        <v>3600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1800</v>
      </c>
      <c r="AD16" s="4">
        <v>5400</v>
      </c>
      <c r="AE16" s="4">
        <v>3600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1800</v>
      </c>
      <c r="AN16" s="4">
        <v>3780</v>
      </c>
      <c r="AO16" s="4">
        <v>0</v>
      </c>
      <c r="AP16" s="4">
        <v>3780</v>
      </c>
      <c r="AQ16" t="s">
        <v>45</v>
      </c>
      <c r="AR16" t="s">
        <v>76</v>
      </c>
    </row>
    <row r="17" spans="1:44" x14ac:dyDescent="0.4">
      <c r="A17" s="3" t="s">
        <v>42</v>
      </c>
      <c r="B17" s="3" t="s">
        <v>43</v>
      </c>
      <c r="C17" s="3" t="s">
        <v>44</v>
      </c>
      <c r="D17" s="3" t="s">
        <v>45</v>
      </c>
      <c r="E17" s="3"/>
      <c r="F17" s="3" t="s">
        <v>46</v>
      </c>
      <c r="G17" s="3" t="s">
        <v>47</v>
      </c>
      <c r="H17" s="3" t="s">
        <v>48</v>
      </c>
      <c r="I17" s="3" t="s">
        <v>49</v>
      </c>
      <c r="J17" s="3">
        <v>54903992</v>
      </c>
      <c r="K17" s="3" t="s">
        <v>195</v>
      </c>
      <c r="L17" s="3"/>
      <c r="M17" s="3"/>
      <c r="N17" s="3" t="s">
        <v>76</v>
      </c>
      <c r="O17" s="3" t="s">
        <v>52</v>
      </c>
      <c r="P17" s="3">
        <v>0.7</v>
      </c>
      <c r="Q17" s="3">
        <v>0.6</v>
      </c>
      <c r="R17" s="4" t="s">
        <v>56</v>
      </c>
      <c r="S17" s="4">
        <v>100</v>
      </c>
      <c r="T17" s="4">
        <v>13300</v>
      </c>
      <c r="U17" s="4">
        <v>9000</v>
      </c>
      <c r="V17" s="4">
        <v>0</v>
      </c>
      <c r="W17" s="4">
        <v>0</v>
      </c>
      <c r="X17" s="4">
        <v>0</v>
      </c>
      <c r="Y17" s="4">
        <v>1900</v>
      </c>
      <c r="Z17" s="4">
        <v>0</v>
      </c>
      <c r="AA17" s="4">
        <v>0</v>
      </c>
      <c r="AB17" s="4">
        <v>0</v>
      </c>
      <c r="AC17" s="4">
        <v>2400</v>
      </c>
      <c r="AD17" s="4">
        <v>13680</v>
      </c>
      <c r="AE17" s="4">
        <v>9000</v>
      </c>
      <c r="AF17" s="4">
        <v>0</v>
      </c>
      <c r="AG17" s="4">
        <v>0</v>
      </c>
      <c r="AH17" s="4">
        <v>0</v>
      </c>
      <c r="AI17" s="4">
        <v>2280</v>
      </c>
      <c r="AJ17" s="4">
        <v>0</v>
      </c>
      <c r="AK17" s="4">
        <v>0</v>
      </c>
      <c r="AL17" s="4">
        <v>0</v>
      </c>
      <c r="AM17" s="4">
        <v>2400</v>
      </c>
      <c r="AN17" s="4">
        <v>9348</v>
      </c>
      <c r="AO17" s="4">
        <v>0</v>
      </c>
      <c r="AP17" s="4">
        <v>9348</v>
      </c>
      <c r="AQ17" t="s">
        <v>45</v>
      </c>
      <c r="AR17" t="s">
        <v>76</v>
      </c>
    </row>
    <row r="18" spans="1:44" x14ac:dyDescent="0.4">
      <c r="A18" s="3" t="s">
        <v>42</v>
      </c>
      <c r="B18" s="3" t="s">
        <v>43</v>
      </c>
      <c r="C18" s="3" t="s">
        <v>44</v>
      </c>
      <c r="D18" s="3" t="s">
        <v>45</v>
      </c>
      <c r="E18" s="3"/>
      <c r="F18" s="3" t="s">
        <v>46</v>
      </c>
      <c r="G18" s="3" t="s">
        <v>47</v>
      </c>
      <c r="H18" s="3" t="s">
        <v>48</v>
      </c>
      <c r="I18" s="3" t="s">
        <v>49</v>
      </c>
      <c r="J18" s="3">
        <v>54903992</v>
      </c>
      <c r="K18" s="3" t="s">
        <v>195</v>
      </c>
      <c r="L18" s="3"/>
      <c r="M18" s="3"/>
      <c r="N18" s="3" t="s">
        <v>76</v>
      </c>
      <c r="O18" s="3" t="s">
        <v>52</v>
      </c>
      <c r="P18" s="3">
        <v>0.7</v>
      </c>
      <c r="Q18" s="3">
        <v>0.6</v>
      </c>
      <c r="R18" s="4" t="s">
        <v>53</v>
      </c>
      <c r="S18" s="4">
        <v>900</v>
      </c>
      <c r="T18" s="4">
        <v>3600</v>
      </c>
      <c r="U18" s="4">
        <v>2200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1400</v>
      </c>
      <c r="AD18" s="4">
        <v>3600</v>
      </c>
      <c r="AE18" s="4">
        <v>2200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1400</v>
      </c>
      <c r="AN18" s="4">
        <v>2520</v>
      </c>
      <c r="AO18" s="4">
        <v>0</v>
      </c>
      <c r="AP18" s="4">
        <v>2520</v>
      </c>
      <c r="AQ18" t="s">
        <v>45</v>
      </c>
      <c r="AR18" t="s">
        <v>76</v>
      </c>
    </row>
    <row r="19" spans="1:44" x14ac:dyDescent="0.4">
      <c r="A19" s="3" t="s">
        <v>42</v>
      </c>
      <c r="B19" s="3" t="s">
        <v>43</v>
      </c>
      <c r="C19" s="3" t="s">
        <v>44</v>
      </c>
      <c r="D19" s="3" t="s">
        <v>45</v>
      </c>
      <c r="E19" s="3"/>
      <c r="F19" s="3" t="s">
        <v>46</v>
      </c>
      <c r="G19" s="3" t="s">
        <v>47</v>
      </c>
      <c r="H19" s="3" t="s">
        <v>48</v>
      </c>
      <c r="I19" s="3" t="s">
        <v>49</v>
      </c>
      <c r="J19" s="3">
        <v>54903992</v>
      </c>
      <c r="K19" s="3" t="s">
        <v>195</v>
      </c>
      <c r="L19" s="3"/>
      <c r="M19" s="3"/>
      <c r="N19" s="3" t="s">
        <v>76</v>
      </c>
      <c r="O19" s="3" t="s">
        <v>52</v>
      </c>
      <c r="P19" s="3">
        <v>0.7</v>
      </c>
      <c r="Q19" s="3">
        <v>0.6</v>
      </c>
      <c r="R19" s="4" t="s">
        <v>53</v>
      </c>
      <c r="S19" s="4">
        <v>2700</v>
      </c>
      <c r="T19" s="4">
        <v>5400</v>
      </c>
      <c r="U19" s="4">
        <v>5400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5400</v>
      </c>
      <c r="AE19" s="4">
        <v>5400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3780</v>
      </c>
      <c r="AO19" s="4">
        <v>0</v>
      </c>
      <c r="AP19" s="4">
        <v>3780</v>
      </c>
      <c r="AQ19" t="s">
        <v>45</v>
      </c>
      <c r="AR19" t="s">
        <v>76</v>
      </c>
    </row>
    <row r="20" spans="1:44" x14ac:dyDescent="0.4">
      <c r="A20" s="3" t="s">
        <v>42</v>
      </c>
      <c r="B20" s="3" t="s">
        <v>43</v>
      </c>
      <c r="C20" s="3" t="s">
        <v>44</v>
      </c>
      <c r="D20" s="3" t="s">
        <v>45</v>
      </c>
      <c r="E20" s="3"/>
      <c r="F20" s="3" t="s">
        <v>46</v>
      </c>
      <c r="G20" s="3" t="s">
        <v>47</v>
      </c>
      <c r="H20" s="3" t="s">
        <v>48</v>
      </c>
      <c r="I20" s="3" t="s">
        <v>49</v>
      </c>
      <c r="J20" s="3">
        <v>54903992</v>
      </c>
      <c r="K20" s="3" t="s">
        <v>195</v>
      </c>
      <c r="L20" s="3"/>
      <c r="M20" s="3"/>
      <c r="N20" s="3" t="s">
        <v>76</v>
      </c>
      <c r="O20" s="3" t="s">
        <v>52</v>
      </c>
      <c r="P20" s="3">
        <v>0.7</v>
      </c>
      <c r="Q20" s="3">
        <v>0.6</v>
      </c>
      <c r="R20" s="4" t="s">
        <v>53</v>
      </c>
      <c r="S20" s="4">
        <v>4500</v>
      </c>
      <c r="T20" s="4">
        <v>9000</v>
      </c>
      <c r="U20" s="4">
        <v>9000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9000</v>
      </c>
      <c r="AE20" s="4">
        <v>9000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6300</v>
      </c>
      <c r="AO20" s="4">
        <v>0</v>
      </c>
      <c r="AP20" s="4">
        <v>6300</v>
      </c>
      <c r="AQ20" t="s">
        <v>45</v>
      </c>
      <c r="AR20" t="s">
        <v>76</v>
      </c>
    </row>
    <row r="21" spans="1:44" x14ac:dyDescent="0.4">
      <c r="A21" s="3" t="s">
        <v>42</v>
      </c>
      <c r="B21" s="3" t="s">
        <v>43</v>
      </c>
      <c r="C21" s="3" t="s">
        <v>44</v>
      </c>
      <c r="D21" s="3" t="s">
        <v>45</v>
      </c>
      <c r="E21" s="3"/>
      <c r="F21" s="3" t="s">
        <v>46</v>
      </c>
      <c r="G21" s="3" t="s">
        <v>47</v>
      </c>
      <c r="H21" s="3" t="s">
        <v>48</v>
      </c>
      <c r="I21" s="3" t="s">
        <v>49</v>
      </c>
      <c r="J21" s="3">
        <v>55182836</v>
      </c>
      <c r="K21" s="3" t="s">
        <v>225</v>
      </c>
      <c r="L21" s="3"/>
      <c r="M21" s="3"/>
      <c r="N21" s="3" t="s">
        <v>76</v>
      </c>
      <c r="O21" s="3" t="s">
        <v>52</v>
      </c>
      <c r="P21" s="3">
        <v>0.7</v>
      </c>
      <c r="Q21" s="3">
        <v>0.6</v>
      </c>
      <c r="R21" s="4" t="s">
        <v>56</v>
      </c>
      <c r="S21" s="4">
        <v>100</v>
      </c>
      <c r="T21" s="4">
        <v>12700</v>
      </c>
      <c r="U21" s="4">
        <v>2000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10700</v>
      </c>
      <c r="AD21" s="4">
        <v>12700</v>
      </c>
      <c r="AE21" s="4">
        <v>2000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10700</v>
      </c>
      <c r="AN21" s="4">
        <v>8890</v>
      </c>
      <c r="AO21" s="4">
        <v>0</v>
      </c>
      <c r="AP21" s="4">
        <v>8890</v>
      </c>
      <c r="AQ21" t="s">
        <v>45</v>
      </c>
      <c r="AR21" t="s">
        <v>76</v>
      </c>
    </row>
    <row r="22" spans="1:44" x14ac:dyDescent="0.4">
      <c r="A22" s="3" t="s">
        <v>42</v>
      </c>
      <c r="B22" s="3" t="s">
        <v>43</v>
      </c>
      <c r="C22" s="3" t="s">
        <v>44</v>
      </c>
      <c r="D22" s="3" t="s">
        <v>45</v>
      </c>
      <c r="E22" s="3"/>
      <c r="F22" s="3" t="s">
        <v>46</v>
      </c>
      <c r="G22" s="3" t="s">
        <v>47</v>
      </c>
      <c r="H22" s="3" t="s">
        <v>48</v>
      </c>
      <c r="I22" s="3" t="s">
        <v>49</v>
      </c>
      <c r="J22" s="3">
        <v>55182836</v>
      </c>
      <c r="K22" s="3" t="s">
        <v>225</v>
      </c>
      <c r="L22" s="3"/>
      <c r="M22" s="3"/>
      <c r="N22" s="3" t="s">
        <v>76</v>
      </c>
      <c r="O22" s="3" t="s">
        <v>52</v>
      </c>
      <c r="P22" s="3">
        <v>0.7</v>
      </c>
      <c r="Q22" s="3">
        <v>0.6</v>
      </c>
      <c r="R22" s="4" t="s">
        <v>53</v>
      </c>
      <c r="S22" s="4">
        <v>900</v>
      </c>
      <c r="T22" s="4">
        <v>12600</v>
      </c>
      <c r="U22" s="4">
        <v>4450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8150</v>
      </c>
      <c r="AD22" s="4">
        <v>12600</v>
      </c>
      <c r="AE22" s="4">
        <v>4450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8150</v>
      </c>
      <c r="AN22" s="4">
        <v>8820</v>
      </c>
      <c r="AO22" s="4">
        <v>0</v>
      </c>
      <c r="AP22" s="4">
        <v>8820</v>
      </c>
      <c r="AQ22" t="s">
        <v>45</v>
      </c>
      <c r="AR22" t="s">
        <v>76</v>
      </c>
    </row>
    <row r="23" spans="1:44" x14ac:dyDescent="0.4">
      <c r="A23" s="3" t="s">
        <v>42</v>
      </c>
      <c r="B23" s="3" t="s">
        <v>43</v>
      </c>
      <c r="C23" s="3" t="s">
        <v>44</v>
      </c>
      <c r="D23" s="3" t="s">
        <v>45</v>
      </c>
      <c r="E23" s="3"/>
      <c r="F23" s="3" t="s">
        <v>46</v>
      </c>
      <c r="G23" s="3" t="s">
        <v>47</v>
      </c>
      <c r="H23" s="3" t="s">
        <v>48</v>
      </c>
      <c r="I23" s="3" t="s">
        <v>49</v>
      </c>
      <c r="J23" s="3">
        <v>55182836</v>
      </c>
      <c r="K23" s="3" t="s">
        <v>225</v>
      </c>
      <c r="L23" s="3"/>
      <c r="M23" s="3"/>
      <c r="N23" s="3" t="s">
        <v>76</v>
      </c>
      <c r="O23" s="3" t="s">
        <v>52</v>
      </c>
      <c r="P23" s="3">
        <v>0.7</v>
      </c>
      <c r="Q23" s="3">
        <v>0.6</v>
      </c>
      <c r="R23" s="4" t="s">
        <v>53</v>
      </c>
      <c r="S23" s="4">
        <v>1800</v>
      </c>
      <c r="T23" s="4">
        <v>1800</v>
      </c>
      <c r="U23" s="4">
        <v>1800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1800</v>
      </c>
      <c r="AE23" s="4">
        <v>1800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1260</v>
      </c>
      <c r="AO23" s="4">
        <v>0</v>
      </c>
      <c r="AP23" s="4">
        <v>1260</v>
      </c>
      <c r="AQ23" t="s">
        <v>45</v>
      </c>
      <c r="AR23" t="s">
        <v>76</v>
      </c>
    </row>
    <row r="24" spans="1:44" x14ac:dyDescent="0.4">
      <c r="A24" s="3" t="s">
        <v>42</v>
      </c>
      <c r="B24" s="3" t="s">
        <v>43</v>
      </c>
      <c r="C24" s="3" t="s">
        <v>44</v>
      </c>
      <c r="D24" s="3" t="s">
        <v>45</v>
      </c>
      <c r="E24" s="3"/>
      <c r="F24" s="3" t="s">
        <v>46</v>
      </c>
      <c r="G24" s="3" t="s">
        <v>47</v>
      </c>
      <c r="H24" s="3" t="s">
        <v>48</v>
      </c>
      <c r="I24" s="3" t="s">
        <v>49</v>
      </c>
      <c r="J24" s="3">
        <v>55182836</v>
      </c>
      <c r="K24" s="3" t="s">
        <v>225</v>
      </c>
      <c r="L24" s="3"/>
      <c r="M24" s="3"/>
      <c r="N24" s="3" t="s">
        <v>76</v>
      </c>
      <c r="O24" s="3" t="s">
        <v>52</v>
      </c>
      <c r="P24" s="3">
        <v>0.7</v>
      </c>
      <c r="Q24" s="3">
        <v>0.6</v>
      </c>
      <c r="R24" s="4" t="s">
        <v>53</v>
      </c>
      <c r="S24" s="4">
        <v>2700</v>
      </c>
      <c r="T24" s="4">
        <v>13500</v>
      </c>
      <c r="U24" s="4">
        <v>8100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5400</v>
      </c>
      <c r="AD24" s="4">
        <v>13500</v>
      </c>
      <c r="AE24" s="4">
        <v>8100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5400</v>
      </c>
      <c r="AN24" s="4">
        <v>9450</v>
      </c>
      <c r="AO24" s="4">
        <v>0</v>
      </c>
      <c r="AP24" s="4">
        <v>9450</v>
      </c>
      <c r="AQ24" t="s">
        <v>45</v>
      </c>
      <c r="AR24" t="s">
        <v>76</v>
      </c>
    </row>
    <row r="25" spans="1:44" x14ac:dyDescent="0.4">
      <c r="A25" s="3" t="s">
        <v>42</v>
      </c>
      <c r="B25" s="3" t="s">
        <v>43</v>
      </c>
      <c r="C25" s="3" t="s">
        <v>44</v>
      </c>
      <c r="D25" s="3" t="s">
        <v>45</v>
      </c>
      <c r="E25" s="3"/>
      <c r="F25" s="3" t="s">
        <v>46</v>
      </c>
      <c r="G25" s="3" t="s">
        <v>47</v>
      </c>
      <c r="H25" s="3" t="s">
        <v>48</v>
      </c>
      <c r="I25" s="3" t="s">
        <v>49</v>
      </c>
      <c r="J25" s="3">
        <v>56641966</v>
      </c>
      <c r="K25" s="3" t="s">
        <v>75</v>
      </c>
      <c r="L25" s="3"/>
      <c r="M25" s="3"/>
      <c r="N25" s="3" t="s">
        <v>76</v>
      </c>
      <c r="O25" s="3" t="s">
        <v>52</v>
      </c>
      <c r="P25" s="3">
        <v>0.7</v>
      </c>
      <c r="Q25" s="3">
        <v>0.6</v>
      </c>
      <c r="R25" s="4" t="s">
        <v>56</v>
      </c>
      <c r="S25" s="4">
        <v>100</v>
      </c>
      <c r="T25" s="4">
        <v>4000</v>
      </c>
      <c r="U25" s="4">
        <v>1000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3000</v>
      </c>
      <c r="AD25" s="4">
        <v>4000</v>
      </c>
      <c r="AE25" s="4">
        <v>1000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3000</v>
      </c>
      <c r="AN25" s="4">
        <v>2800</v>
      </c>
      <c r="AO25" s="4">
        <v>0</v>
      </c>
      <c r="AP25" s="4">
        <v>2800</v>
      </c>
      <c r="AQ25" t="s">
        <v>45</v>
      </c>
      <c r="AR25" t="s">
        <v>76</v>
      </c>
    </row>
    <row r="26" spans="1:44" x14ac:dyDescent="0.4">
      <c r="A26" s="3" t="s">
        <v>42</v>
      </c>
      <c r="B26" s="3" t="s">
        <v>43</v>
      </c>
      <c r="C26" s="3" t="s">
        <v>44</v>
      </c>
      <c r="D26" s="3" t="s">
        <v>45</v>
      </c>
      <c r="E26" s="3"/>
      <c r="F26" s="3" t="s">
        <v>46</v>
      </c>
      <c r="G26" s="3" t="s">
        <v>47</v>
      </c>
      <c r="H26" s="3" t="s">
        <v>48</v>
      </c>
      <c r="I26" s="3" t="s">
        <v>49</v>
      </c>
      <c r="J26" s="3">
        <v>56641966</v>
      </c>
      <c r="K26" s="3" t="s">
        <v>75</v>
      </c>
      <c r="L26" s="3"/>
      <c r="M26" s="3"/>
      <c r="N26" s="3" t="s">
        <v>76</v>
      </c>
      <c r="O26" s="3" t="s">
        <v>52</v>
      </c>
      <c r="P26" s="3">
        <v>0.7</v>
      </c>
      <c r="Q26" s="3">
        <v>0.6</v>
      </c>
      <c r="R26" s="4" t="s">
        <v>53</v>
      </c>
      <c r="S26" s="4">
        <v>900</v>
      </c>
      <c r="T26" s="4">
        <v>3600</v>
      </c>
      <c r="U26" s="4">
        <v>2700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900</v>
      </c>
      <c r="AD26" s="4">
        <v>3600</v>
      </c>
      <c r="AE26" s="4">
        <v>2700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900</v>
      </c>
      <c r="AN26" s="4">
        <v>2520</v>
      </c>
      <c r="AO26" s="4">
        <v>0</v>
      </c>
      <c r="AP26" s="4">
        <v>2520</v>
      </c>
      <c r="AQ26" t="s">
        <v>45</v>
      </c>
      <c r="AR26" t="s">
        <v>76</v>
      </c>
    </row>
    <row r="27" spans="1:44" x14ac:dyDescent="0.4">
      <c r="A27" s="3" t="s">
        <v>42</v>
      </c>
      <c r="B27" s="3" t="s">
        <v>43</v>
      </c>
      <c r="C27" s="3" t="s">
        <v>44</v>
      </c>
      <c r="D27" s="3" t="s">
        <v>45</v>
      </c>
      <c r="E27" s="3"/>
      <c r="F27" s="3" t="s">
        <v>46</v>
      </c>
      <c r="G27" s="3" t="s">
        <v>47</v>
      </c>
      <c r="H27" s="3" t="s">
        <v>48</v>
      </c>
      <c r="I27" s="3" t="s">
        <v>49</v>
      </c>
      <c r="J27" s="3">
        <v>56641966</v>
      </c>
      <c r="K27" s="3" t="s">
        <v>75</v>
      </c>
      <c r="L27" s="3"/>
      <c r="M27" s="3"/>
      <c r="N27" s="3" t="s">
        <v>76</v>
      </c>
      <c r="O27" s="3" t="s">
        <v>52</v>
      </c>
      <c r="P27" s="3">
        <v>0.7</v>
      </c>
      <c r="Q27" s="3">
        <v>0.6</v>
      </c>
      <c r="R27" s="4" t="s">
        <v>53</v>
      </c>
      <c r="S27" s="4">
        <v>2700</v>
      </c>
      <c r="T27" s="4">
        <v>2700</v>
      </c>
      <c r="U27" s="4">
        <v>2700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2700</v>
      </c>
      <c r="AE27" s="4">
        <v>2700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1890</v>
      </c>
      <c r="AO27" s="4">
        <v>0</v>
      </c>
      <c r="AP27" s="4">
        <v>1890</v>
      </c>
      <c r="AQ27" t="s">
        <v>45</v>
      </c>
      <c r="AR27" t="s">
        <v>76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R18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6.796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56329616</v>
      </c>
      <c r="K2" s="3" t="s">
        <v>121</v>
      </c>
      <c r="L2" s="3"/>
      <c r="M2" s="3"/>
      <c r="N2" s="3" t="s">
        <v>60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8800</v>
      </c>
      <c r="U2" s="4">
        <v>1500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7300</v>
      </c>
      <c r="AD2" s="4">
        <v>8800</v>
      </c>
      <c r="AE2" s="4">
        <v>1500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7300</v>
      </c>
      <c r="AN2" s="4">
        <v>6160</v>
      </c>
      <c r="AO2" s="4">
        <v>0</v>
      </c>
      <c r="AP2" s="4">
        <v>6160</v>
      </c>
      <c r="AQ2" t="s">
        <v>45</v>
      </c>
      <c r="AR2" t="s">
        <v>60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56329616</v>
      </c>
      <c r="K3" s="3" t="s">
        <v>121</v>
      </c>
      <c r="L3" s="3"/>
      <c r="M3" s="3"/>
      <c r="N3" s="3" t="s">
        <v>60</v>
      </c>
      <c r="O3" s="3" t="s">
        <v>52</v>
      </c>
      <c r="P3" s="3">
        <v>0.7</v>
      </c>
      <c r="Q3" s="3">
        <v>0.6</v>
      </c>
      <c r="R3" s="4" t="s">
        <v>53</v>
      </c>
      <c r="S3" s="4">
        <v>900</v>
      </c>
      <c r="T3" s="4">
        <v>9500</v>
      </c>
      <c r="U3" s="4">
        <v>4500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5000</v>
      </c>
      <c r="AD3" s="4">
        <v>9500</v>
      </c>
      <c r="AE3" s="4">
        <v>4500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5000</v>
      </c>
      <c r="AN3" s="4">
        <v>6650</v>
      </c>
      <c r="AO3" s="4">
        <v>0</v>
      </c>
      <c r="AP3" s="4">
        <v>6650</v>
      </c>
      <c r="AQ3" t="s">
        <v>45</v>
      </c>
      <c r="AR3" t="s">
        <v>60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56329616</v>
      </c>
      <c r="K4" s="3" t="s">
        <v>121</v>
      </c>
      <c r="L4" s="3"/>
      <c r="M4" s="3"/>
      <c r="N4" s="3" t="s">
        <v>60</v>
      </c>
      <c r="O4" s="3" t="s">
        <v>52</v>
      </c>
      <c r="P4" s="3">
        <v>0.7</v>
      </c>
      <c r="Q4" s="3">
        <v>0.6</v>
      </c>
      <c r="R4" s="4" t="s">
        <v>53</v>
      </c>
      <c r="S4" s="4">
        <v>2700</v>
      </c>
      <c r="T4" s="4">
        <v>2700</v>
      </c>
      <c r="U4" s="4">
        <v>2700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2700</v>
      </c>
      <c r="AE4" s="4">
        <v>2700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1890</v>
      </c>
      <c r="AO4" s="4">
        <v>0</v>
      </c>
      <c r="AP4" s="4">
        <v>1890</v>
      </c>
      <c r="AQ4" t="s">
        <v>45</v>
      </c>
      <c r="AR4" t="s">
        <v>60</v>
      </c>
    </row>
    <row r="5" spans="1:44" x14ac:dyDescent="0.4">
      <c r="A5" s="3" t="s">
        <v>42</v>
      </c>
      <c r="B5" s="3" t="s">
        <v>43</v>
      </c>
      <c r="C5" s="3" t="s">
        <v>44</v>
      </c>
      <c r="D5" s="3" t="s">
        <v>45</v>
      </c>
      <c r="E5" s="3"/>
      <c r="F5" s="3" t="s">
        <v>46</v>
      </c>
      <c r="G5" s="3" t="s">
        <v>47</v>
      </c>
      <c r="H5" s="3" t="s">
        <v>48</v>
      </c>
      <c r="I5" s="3" t="s">
        <v>49</v>
      </c>
      <c r="J5" s="3">
        <v>56329616</v>
      </c>
      <c r="K5" s="3" t="s">
        <v>121</v>
      </c>
      <c r="L5" s="3"/>
      <c r="M5" s="3"/>
      <c r="N5" s="3" t="s">
        <v>60</v>
      </c>
      <c r="O5" s="3" t="s">
        <v>52</v>
      </c>
      <c r="P5" s="3">
        <v>0.7</v>
      </c>
      <c r="Q5" s="3">
        <v>0.6</v>
      </c>
      <c r="R5" s="4" t="s">
        <v>53</v>
      </c>
      <c r="S5" s="4">
        <v>4500</v>
      </c>
      <c r="T5" s="4">
        <v>4500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4500</v>
      </c>
      <c r="AD5" s="4">
        <v>4500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4500</v>
      </c>
      <c r="AN5" s="4">
        <v>3150</v>
      </c>
      <c r="AO5" s="4">
        <v>0</v>
      </c>
      <c r="AP5" s="4">
        <v>3150</v>
      </c>
      <c r="AQ5" t="s">
        <v>45</v>
      </c>
      <c r="AR5" t="s">
        <v>60</v>
      </c>
    </row>
    <row r="6" spans="1:44" x14ac:dyDescent="0.4">
      <c r="A6" s="3" t="s">
        <v>42</v>
      </c>
      <c r="B6" s="3" t="s">
        <v>43</v>
      </c>
      <c r="C6" s="3" t="s">
        <v>44</v>
      </c>
      <c r="D6" s="3" t="s">
        <v>45</v>
      </c>
      <c r="E6" s="3"/>
      <c r="F6" s="3" t="s">
        <v>46</v>
      </c>
      <c r="G6" s="3" t="s">
        <v>47</v>
      </c>
      <c r="H6" s="3" t="s">
        <v>48</v>
      </c>
      <c r="I6" s="3" t="s">
        <v>49</v>
      </c>
      <c r="J6" s="3">
        <v>53824704</v>
      </c>
      <c r="K6" s="3" t="s">
        <v>59</v>
      </c>
      <c r="L6" s="3"/>
      <c r="M6" s="3"/>
      <c r="N6" s="3" t="s">
        <v>60</v>
      </c>
      <c r="O6" s="3" t="s">
        <v>52</v>
      </c>
      <c r="P6" s="3">
        <v>0.7</v>
      </c>
      <c r="Q6" s="3">
        <v>0.6</v>
      </c>
      <c r="R6" s="4" t="s">
        <v>56</v>
      </c>
      <c r="S6" s="4">
        <v>100</v>
      </c>
      <c r="T6" s="4">
        <v>1700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1700</v>
      </c>
      <c r="AD6" s="4">
        <v>1700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1700</v>
      </c>
      <c r="AN6" s="4">
        <v>1190</v>
      </c>
      <c r="AO6" s="4">
        <v>0</v>
      </c>
      <c r="AP6" s="4">
        <v>1190</v>
      </c>
      <c r="AQ6" t="s">
        <v>45</v>
      </c>
      <c r="AR6" t="s">
        <v>60</v>
      </c>
    </row>
    <row r="7" spans="1:44" x14ac:dyDescent="0.4">
      <c r="A7" s="3" t="s">
        <v>42</v>
      </c>
      <c r="B7" s="3" t="s">
        <v>43</v>
      </c>
      <c r="C7" s="3" t="s">
        <v>44</v>
      </c>
      <c r="D7" s="3" t="s">
        <v>45</v>
      </c>
      <c r="E7" s="3"/>
      <c r="F7" s="3" t="s">
        <v>46</v>
      </c>
      <c r="G7" s="3" t="s">
        <v>47</v>
      </c>
      <c r="H7" s="3" t="s">
        <v>48</v>
      </c>
      <c r="I7" s="3" t="s">
        <v>49</v>
      </c>
      <c r="J7" s="3">
        <v>53824704</v>
      </c>
      <c r="K7" s="3" t="s">
        <v>59</v>
      </c>
      <c r="L7" s="3"/>
      <c r="M7" s="3"/>
      <c r="N7" s="3" t="s">
        <v>60</v>
      </c>
      <c r="O7" s="3" t="s">
        <v>52</v>
      </c>
      <c r="P7" s="3">
        <v>0.7</v>
      </c>
      <c r="Q7" s="3">
        <v>0.6</v>
      </c>
      <c r="R7" s="4" t="s">
        <v>53</v>
      </c>
      <c r="S7" s="4">
        <v>900</v>
      </c>
      <c r="T7" s="4">
        <v>1800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1800</v>
      </c>
      <c r="AD7" s="4">
        <v>1800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1800</v>
      </c>
      <c r="AN7" s="4">
        <v>1260</v>
      </c>
      <c r="AO7" s="4">
        <v>0</v>
      </c>
      <c r="AP7" s="4">
        <v>1260</v>
      </c>
      <c r="AQ7" t="s">
        <v>45</v>
      </c>
      <c r="AR7" t="s">
        <v>60</v>
      </c>
    </row>
    <row r="8" spans="1:44" x14ac:dyDescent="0.4">
      <c r="A8" s="3" t="s">
        <v>42</v>
      </c>
      <c r="B8" s="3" t="s">
        <v>43</v>
      </c>
      <c r="C8" s="3" t="s">
        <v>44</v>
      </c>
      <c r="D8" s="3" t="s">
        <v>45</v>
      </c>
      <c r="E8" s="3"/>
      <c r="F8" s="3" t="s">
        <v>46</v>
      </c>
      <c r="G8" s="3" t="s">
        <v>47</v>
      </c>
      <c r="H8" s="3" t="s">
        <v>48</v>
      </c>
      <c r="I8" s="3" t="s">
        <v>49</v>
      </c>
      <c r="J8" s="3">
        <v>51792527</v>
      </c>
      <c r="K8" s="3" t="s">
        <v>215</v>
      </c>
      <c r="L8" s="3"/>
      <c r="M8" s="3"/>
      <c r="N8" s="3" t="s">
        <v>60</v>
      </c>
      <c r="O8" s="3" t="s">
        <v>52</v>
      </c>
      <c r="P8" s="3">
        <v>0.7</v>
      </c>
      <c r="Q8" s="3">
        <v>0.6</v>
      </c>
      <c r="R8" s="4" t="s">
        <v>56</v>
      </c>
      <c r="S8" s="4">
        <v>100</v>
      </c>
      <c r="T8" s="4">
        <v>12400</v>
      </c>
      <c r="U8" s="4">
        <v>7400</v>
      </c>
      <c r="V8" s="4">
        <v>0</v>
      </c>
      <c r="W8" s="4">
        <v>0</v>
      </c>
      <c r="X8" s="4">
        <v>0</v>
      </c>
      <c r="Y8" s="4">
        <v>0</v>
      </c>
      <c r="Z8" s="4">
        <v>400</v>
      </c>
      <c r="AA8" s="4">
        <v>0</v>
      </c>
      <c r="AB8" s="4">
        <v>0</v>
      </c>
      <c r="AC8" s="4">
        <v>4600</v>
      </c>
      <c r="AD8" s="4">
        <v>12440</v>
      </c>
      <c r="AE8" s="4">
        <v>7400</v>
      </c>
      <c r="AF8" s="4">
        <v>0</v>
      </c>
      <c r="AG8" s="4">
        <v>0</v>
      </c>
      <c r="AH8" s="4">
        <v>0</v>
      </c>
      <c r="AI8" s="4">
        <v>0</v>
      </c>
      <c r="AJ8" s="4">
        <v>440</v>
      </c>
      <c r="AK8" s="4">
        <v>0</v>
      </c>
      <c r="AL8" s="4">
        <v>0</v>
      </c>
      <c r="AM8" s="4">
        <v>4600</v>
      </c>
      <c r="AN8" s="4">
        <v>8664</v>
      </c>
      <c r="AO8" s="4">
        <v>0</v>
      </c>
      <c r="AP8" s="4">
        <v>8664</v>
      </c>
      <c r="AQ8" t="s">
        <v>45</v>
      </c>
      <c r="AR8" t="s">
        <v>60</v>
      </c>
    </row>
    <row r="9" spans="1:44" x14ac:dyDescent="0.4">
      <c r="A9" s="3" t="s">
        <v>42</v>
      </c>
      <c r="B9" s="3" t="s">
        <v>43</v>
      </c>
      <c r="C9" s="3" t="s">
        <v>44</v>
      </c>
      <c r="D9" s="3" t="s">
        <v>45</v>
      </c>
      <c r="E9" s="3"/>
      <c r="F9" s="3" t="s">
        <v>46</v>
      </c>
      <c r="G9" s="3" t="s">
        <v>47</v>
      </c>
      <c r="H9" s="3" t="s">
        <v>48</v>
      </c>
      <c r="I9" s="3" t="s">
        <v>49</v>
      </c>
      <c r="J9" s="3">
        <v>51792527</v>
      </c>
      <c r="K9" s="3" t="s">
        <v>215</v>
      </c>
      <c r="L9" s="3"/>
      <c r="M9" s="3"/>
      <c r="N9" s="3" t="s">
        <v>60</v>
      </c>
      <c r="O9" s="3" t="s">
        <v>52</v>
      </c>
      <c r="P9" s="3">
        <v>0.7</v>
      </c>
      <c r="Q9" s="3">
        <v>0.6</v>
      </c>
      <c r="R9" s="4" t="s">
        <v>53</v>
      </c>
      <c r="S9" s="4">
        <v>1400</v>
      </c>
      <c r="T9" s="4">
        <v>19600</v>
      </c>
      <c r="U9" s="4">
        <v>7000</v>
      </c>
      <c r="V9" s="4">
        <v>0</v>
      </c>
      <c r="W9" s="4">
        <v>0</v>
      </c>
      <c r="X9" s="4">
        <v>0</v>
      </c>
      <c r="Y9" s="4">
        <v>0</v>
      </c>
      <c r="Z9" s="4">
        <v>4200</v>
      </c>
      <c r="AA9" s="4">
        <v>0</v>
      </c>
      <c r="AB9" s="4">
        <v>0</v>
      </c>
      <c r="AC9" s="4">
        <v>8400</v>
      </c>
      <c r="AD9" s="4">
        <v>20020</v>
      </c>
      <c r="AE9" s="4">
        <v>7000</v>
      </c>
      <c r="AF9" s="4">
        <v>0</v>
      </c>
      <c r="AG9" s="4">
        <v>0</v>
      </c>
      <c r="AH9" s="4">
        <v>0</v>
      </c>
      <c r="AI9" s="4">
        <v>0</v>
      </c>
      <c r="AJ9" s="4">
        <v>4620</v>
      </c>
      <c r="AK9" s="4">
        <v>0</v>
      </c>
      <c r="AL9" s="4">
        <v>0</v>
      </c>
      <c r="AM9" s="4">
        <v>8400</v>
      </c>
      <c r="AN9" s="4">
        <v>13552</v>
      </c>
      <c r="AO9" s="4">
        <v>0</v>
      </c>
      <c r="AP9" s="4">
        <v>13552</v>
      </c>
      <c r="AQ9" t="s">
        <v>45</v>
      </c>
      <c r="AR9" t="s">
        <v>60</v>
      </c>
    </row>
    <row r="10" spans="1:44" x14ac:dyDescent="0.4">
      <c r="A10" s="3" t="s">
        <v>42</v>
      </c>
      <c r="B10" s="3" t="s">
        <v>43</v>
      </c>
      <c r="C10" s="3" t="s">
        <v>44</v>
      </c>
      <c r="D10" s="3" t="s">
        <v>45</v>
      </c>
      <c r="E10" s="3"/>
      <c r="F10" s="3" t="s">
        <v>46</v>
      </c>
      <c r="G10" s="3" t="s">
        <v>47</v>
      </c>
      <c r="H10" s="3" t="s">
        <v>48</v>
      </c>
      <c r="I10" s="3" t="s">
        <v>49</v>
      </c>
      <c r="J10" s="3">
        <v>51792527</v>
      </c>
      <c r="K10" s="3" t="s">
        <v>215</v>
      </c>
      <c r="L10" s="3"/>
      <c r="M10" s="3"/>
      <c r="N10" s="3" t="s">
        <v>60</v>
      </c>
      <c r="O10" s="3" t="s">
        <v>52</v>
      </c>
      <c r="P10" s="3">
        <v>0.7</v>
      </c>
      <c r="Q10" s="3">
        <v>0.6</v>
      </c>
      <c r="R10" s="4" t="s">
        <v>53</v>
      </c>
      <c r="S10" s="4">
        <v>4000</v>
      </c>
      <c r="T10" s="4">
        <v>13500</v>
      </c>
      <c r="U10" s="4">
        <v>11800</v>
      </c>
      <c r="V10" s="4">
        <v>0</v>
      </c>
      <c r="W10" s="4">
        <v>0</v>
      </c>
      <c r="X10" s="4">
        <v>0</v>
      </c>
      <c r="Y10" s="4">
        <v>0</v>
      </c>
      <c r="Z10" s="4">
        <v>1700</v>
      </c>
      <c r="AA10" s="4">
        <v>0</v>
      </c>
      <c r="AB10" s="4">
        <v>0</v>
      </c>
      <c r="AC10" s="4">
        <v>0</v>
      </c>
      <c r="AD10" s="4">
        <v>13670</v>
      </c>
      <c r="AE10" s="4">
        <v>11800</v>
      </c>
      <c r="AF10" s="4">
        <v>0</v>
      </c>
      <c r="AG10" s="4">
        <v>0</v>
      </c>
      <c r="AH10" s="4">
        <v>0</v>
      </c>
      <c r="AI10" s="4">
        <v>0</v>
      </c>
      <c r="AJ10" s="4">
        <v>1870</v>
      </c>
      <c r="AK10" s="4">
        <v>0</v>
      </c>
      <c r="AL10" s="4">
        <v>0</v>
      </c>
      <c r="AM10" s="4">
        <v>0</v>
      </c>
      <c r="AN10" s="4">
        <v>9382</v>
      </c>
      <c r="AO10" s="4">
        <v>0</v>
      </c>
      <c r="AP10" s="4">
        <v>9382</v>
      </c>
      <c r="AQ10" t="s">
        <v>45</v>
      </c>
      <c r="AR10" t="s">
        <v>60</v>
      </c>
    </row>
    <row r="11" spans="1:44" x14ac:dyDescent="0.4">
      <c r="A11" s="3" t="s">
        <v>42</v>
      </c>
      <c r="B11" s="3" t="s">
        <v>43</v>
      </c>
      <c r="C11" s="3" t="s">
        <v>44</v>
      </c>
      <c r="D11" s="3" t="s">
        <v>45</v>
      </c>
      <c r="E11" s="3"/>
      <c r="F11" s="3" t="s">
        <v>46</v>
      </c>
      <c r="G11" s="3" t="s">
        <v>47</v>
      </c>
      <c r="H11" s="3" t="s">
        <v>48</v>
      </c>
      <c r="I11" s="3" t="s">
        <v>49</v>
      </c>
      <c r="J11" s="3">
        <v>51738051</v>
      </c>
      <c r="K11" s="3" t="s">
        <v>239</v>
      </c>
      <c r="L11" s="3"/>
      <c r="M11" s="3"/>
      <c r="N11" s="3" t="s">
        <v>60</v>
      </c>
      <c r="O11" s="3" t="s">
        <v>52</v>
      </c>
      <c r="P11" s="3">
        <v>0.7</v>
      </c>
      <c r="Q11" s="3">
        <v>0.6</v>
      </c>
      <c r="R11" s="4" t="s">
        <v>56</v>
      </c>
      <c r="S11" s="4">
        <v>100</v>
      </c>
      <c r="T11" s="4">
        <v>200</v>
      </c>
      <c r="U11" s="4">
        <v>200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200</v>
      </c>
      <c r="AE11" s="4">
        <v>200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140</v>
      </c>
      <c r="AO11" s="4">
        <v>0</v>
      </c>
      <c r="AP11" s="4">
        <v>140</v>
      </c>
      <c r="AQ11" t="s">
        <v>45</v>
      </c>
      <c r="AR11" t="s">
        <v>60</v>
      </c>
    </row>
    <row r="12" spans="1:44" x14ac:dyDescent="0.4">
      <c r="A12" s="3" t="s">
        <v>42</v>
      </c>
      <c r="B12" s="3" t="s">
        <v>43</v>
      </c>
      <c r="C12" s="3" t="s">
        <v>44</v>
      </c>
      <c r="D12" s="3" t="s">
        <v>45</v>
      </c>
      <c r="E12" s="3"/>
      <c r="F12" s="3" t="s">
        <v>46</v>
      </c>
      <c r="G12" s="3" t="s">
        <v>47</v>
      </c>
      <c r="H12" s="3" t="s">
        <v>48</v>
      </c>
      <c r="I12" s="3" t="s">
        <v>49</v>
      </c>
      <c r="J12" s="3">
        <v>51945813</v>
      </c>
      <c r="K12" s="3" t="s">
        <v>138</v>
      </c>
      <c r="L12" s="3"/>
      <c r="M12" s="3"/>
      <c r="N12" s="3" t="s">
        <v>60</v>
      </c>
      <c r="O12" s="3" t="s">
        <v>52</v>
      </c>
      <c r="P12" s="3">
        <v>0.7</v>
      </c>
      <c r="Q12" s="3">
        <v>0.6</v>
      </c>
      <c r="R12" s="4" t="s">
        <v>56</v>
      </c>
      <c r="S12" s="4">
        <v>100</v>
      </c>
      <c r="T12" s="4">
        <v>7400</v>
      </c>
      <c r="U12" s="4">
        <v>2200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5200</v>
      </c>
      <c r="AD12" s="4">
        <v>7400</v>
      </c>
      <c r="AE12" s="4">
        <v>2200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5200</v>
      </c>
      <c r="AN12" s="4">
        <v>5180</v>
      </c>
      <c r="AO12" s="4">
        <v>0</v>
      </c>
      <c r="AP12" s="4">
        <v>5180</v>
      </c>
      <c r="AQ12" t="s">
        <v>45</v>
      </c>
      <c r="AR12" t="s">
        <v>60</v>
      </c>
    </row>
    <row r="13" spans="1:44" x14ac:dyDescent="0.4">
      <c r="A13" s="3" t="s">
        <v>42</v>
      </c>
      <c r="B13" s="3" t="s">
        <v>43</v>
      </c>
      <c r="C13" s="3" t="s">
        <v>44</v>
      </c>
      <c r="D13" s="3" t="s">
        <v>45</v>
      </c>
      <c r="E13" s="3"/>
      <c r="F13" s="3" t="s">
        <v>46</v>
      </c>
      <c r="G13" s="3" t="s">
        <v>47</v>
      </c>
      <c r="H13" s="3" t="s">
        <v>48</v>
      </c>
      <c r="I13" s="3" t="s">
        <v>49</v>
      </c>
      <c r="J13" s="3">
        <v>51945813</v>
      </c>
      <c r="K13" s="3" t="s">
        <v>138</v>
      </c>
      <c r="L13" s="3"/>
      <c r="M13" s="3"/>
      <c r="N13" s="3" t="s">
        <v>60</v>
      </c>
      <c r="O13" s="3" t="s">
        <v>52</v>
      </c>
      <c r="P13" s="3">
        <v>0.7</v>
      </c>
      <c r="Q13" s="3">
        <v>0.6</v>
      </c>
      <c r="R13" s="4" t="s">
        <v>53</v>
      </c>
      <c r="S13" s="4">
        <v>900</v>
      </c>
      <c r="T13" s="4">
        <v>6300</v>
      </c>
      <c r="U13" s="4">
        <v>3600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2700</v>
      </c>
      <c r="AD13" s="4">
        <v>6300</v>
      </c>
      <c r="AE13" s="4">
        <v>3600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2700</v>
      </c>
      <c r="AN13" s="4">
        <v>4410</v>
      </c>
      <c r="AO13" s="4">
        <v>0</v>
      </c>
      <c r="AP13" s="4">
        <v>4410</v>
      </c>
      <c r="AQ13" t="s">
        <v>45</v>
      </c>
      <c r="AR13" t="s">
        <v>60</v>
      </c>
    </row>
    <row r="14" spans="1:44" x14ac:dyDescent="0.4">
      <c r="A14" s="3" t="s">
        <v>42</v>
      </c>
      <c r="B14" s="3" t="s">
        <v>43</v>
      </c>
      <c r="C14" s="3" t="s">
        <v>44</v>
      </c>
      <c r="D14" s="3" t="s">
        <v>45</v>
      </c>
      <c r="E14" s="3"/>
      <c r="F14" s="3" t="s">
        <v>46</v>
      </c>
      <c r="G14" s="3" t="s">
        <v>47</v>
      </c>
      <c r="H14" s="3" t="s">
        <v>48</v>
      </c>
      <c r="I14" s="3" t="s">
        <v>49</v>
      </c>
      <c r="J14" s="3">
        <v>51945813</v>
      </c>
      <c r="K14" s="3" t="s">
        <v>138</v>
      </c>
      <c r="L14" s="3"/>
      <c r="M14" s="3"/>
      <c r="N14" s="3" t="s">
        <v>60</v>
      </c>
      <c r="O14" s="3" t="s">
        <v>52</v>
      </c>
      <c r="P14" s="3">
        <v>0.7</v>
      </c>
      <c r="Q14" s="3">
        <v>0.6</v>
      </c>
      <c r="R14" s="4" t="s">
        <v>53</v>
      </c>
      <c r="S14" s="4">
        <v>1800</v>
      </c>
      <c r="T14" s="4">
        <v>2500</v>
      </c>
      <c r="U14" s="4">
        <v>700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1800</v>
      </c>
      <c r="AD14" s="4">
        <v>2500</v>
      </c>
      <c r="AE14" s="4">
        <v>700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1800</v>
      </c>
      <c r="AN14" s="4">
        <v>1750</v>
      </c>
      <c r="AO14" s="4">
        <v>0</v>
      </c>
      <c r="AP14" s="4">
        <v>1750</v>
      </c>
      <c r="AQ14" t="s">
        <v>45</v>
      </c>
      <c r="AR14" t="s">
        <v>60</v>
      </c>
    </row>
    <row r="15" spans="1:44" x14ac:dyDescent="0.4">
      <c r="A15" s="3" t="s">
        <v>42</v>
      </c>
      <c r="B15" s="3" t="s">
        <v>43</v>
      </c>
      <c r="C15" s="3" t="s">
        <v>44</v>
      </c>
      <c r="D15" s="3" t="s">
        <v>45</v>
      </c>
      <c r="E15" s="3"/>
      <c r="F15" s="3" t="s">
        <v>46</v>
      </c>
      <c r="G15" s="3" t="s">
        <v>47</v>
      </c>
      <c r="H15" s="3" t="s">
        <v>48</v>
      </c>
      <c r="I15" s="3" t="s">
        <v>49</v>
      </c>
      <c r="J15" s="3">
        <v>51945813</v>
      </c>
      <c r="K15" s="3" t="s">
        <v>138</v>
      </c>
      <c r="L15" s="3"/>
      <c r="M15" s="3"/>
      <c r="N15" s="3" t="s">
        <v>60</v>
      </c>
      <c r="O15" s="3" t="s">
        <v>52</v>
      </c>
      <c r="P15" s="3">
        <v>0.7</v>
      </c>
      <c r="Q15" s="3">
        <v>0.6</v>
      </c>
      <c r="R15" s="4" t="s">
        <v>53</v>
      </c>
      <c r="S15" s="4">
        <v>4500</v>
      </c>
      <c r="T15" s="4">
        <v>4500</v>
      </c>
      <c r="U15" s="4">
        <v>4500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4500</v>
      </c>
      <c r="AE15" s="4">
        <v>4500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3150</v>
      </c>
      <c r="AO15" s="4">
        <v>0</v>
      </c>
      <c r="AP15" s="4">
        <v>3150</v>
      </c>
      <c r="AQ15" t="s">
        <v>45</v>
      </c>
      <c r="AR15" t="s">
        <v>60</v>
      </c>
    </row>
    <row r="16" spans="1:44" x14ac:dyDescent="0.4">
      <c r="A16" s="3" t="s">
        <v>42</v>
      </c>
      <c r="B16" s="3" t="s">
        <v>43</v>
      </c>
      <c r="C16" s="3" t="s">
        <v>44</v>
      </c>
      <c r="D16" s="3" t="s">
        <v>45</v>
      </c>
      <c r="E16" s="3"/>
      <c r="F16" s="3" t="s">
        <v>46</v>
      </c>
      <c r="G16" s="3" t="s">
        <v>47</v>
      </c>
      <c r="H16" s="3" t="s">
        <v>48</v>
      </c>
      <c r="I16" s="3" t="s">
        <v>49</v>
      </c>
      <c r="J16" s="3">
        <v>55255916</v>
      </c>
      <c r="K16" s="3" t="s">
        <v>81</v>
      </c>
      <c r="L16" s="3"/>
      <c r="M16" s="3"/>
      <c r="N16" s="3" t="s">
        <v>60</v>
      </c>
      <c r="O16" s="3" t="s">
        <v>52</v>
      </c>
      <c r="P16" s="3">
        <v>0.7</v>
      </c>
      <c r="Q16" s="3">
        <v>0.6</v>
      </c>
      <c r="R16" s="4" t="s">
        <v>56</v>
      </c>
      <c r="S16" s="4">
        <v>100</v>
      </c>
      <c r="T16" s="4">
        <v>900</v>
      </c>
      <c r="U16" s="4">
        <v>300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600</v>
      </c>
      <c r="AD16" s="4">
        <v>900</v>
      </c>
      <c r="AE16" s="4">
        <v>300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600</v>
      </c>
      <c r="AN16" s="4">
        <v>630</v>
      </c>
      <c r="AO16" s="4">
        <v>0</v>
      </c>
      <c r="AP16" s="4">
        <v>630</v>
      </c>
      <c r="AQ16" t="s">
        <v>45</v>
      </c>
      <c r="AR16" t="s">
        <v>60</v>
      </c>
    </row>
    <row r="17" spans="1:44" x14ac:dyDescent="0.4">
      <c r="A17" s="3" t="s">
        <v>42</v>
      </c>
      <c r="B17" s="3" t="s">
        <v>43</v>
      </c>
      <c r="C17" s="3" t="s">
        <v>44</v>
      </c>
      <c r="D17" s="3" t="s">
        <v>45</v>
      </c>
      <c r="E17" s="3"/>
      <c r="F17" s="3" t="s">
        <v>46</v>
      </c>
      <c r="G17" s="3" t="s">
        <v>47</v>
      </c>
      <c r="H17" s="3" t="s">
        <v>48</v>
      </c>
      <c r="I17" s="3" t="s">
        <v>49</v>
      </c>
      <c r="J17" s="3">
        <v>55255916</v>
      </c>
      <c r="K17" s="3" t="s">
        <v>81</v>
      </c>
      <c r="L17" s="3"/>
      <c r="M17" s="3"/>
      <c r="N17" s="3" t="s">
        <v>60</v>
      </c>
      <c r="O17" s="3" t="s">
        <v>52</v>
      </c>
      <c r="P17" s="3">
        <v>0.7</v>
      </c>
      <c r="Q17" s="3">
        <v>0.6</v>
      </c>
      <c r="R17" s="4" t="s">
        <v>53</v>
      </c>
      <c r="S17" s="4">
        <v>900</v>
      </c>
      <c r="T17" s="4">
        <v>900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900</v>
      </c>
      <c r="AD17" s="4">
        <v>900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900</v>
      </c>
      <c r="AN17" s="4">
        <v>630</v>
      </c>
      <c r="AO17" s="4">
        <v>0</v>
      </c>
      <c r="AP17" s="4">
        <v>630</v>
      </c>
      <c r="AQ17" t="s">
        <v>45</v>
      </c>
      <c r="AR17" t="s">
        <v>60</v>
      </c>
    </row>
    <row r="18" spans="1:44" x14ac:dyDescent="0.4">
      <c r="A18" s="3" t="s">
        <v>42</v>
      </c>
      <c r="B18" s="3" t="s">
        <v>43</v>
      </c>
      <c r="C18" s="3" t="s">
        <v>44</v>
      </c>
      <c r="D18" s="3" t="s">
        <v>45</v>
      </c>
      <c r="E18" s="3"/>
      <c r="F18" s="3" t="s">
        <v>46</v>
      </c>
      <c r="G18" s="3" t="s">
        <v>47</v>
      </c>
      <c r="H18" s="3" t="s">
        <v>48</v>
      </c>
      <c r="I18" s="3" t="s">
        <v>49</v>
      </c>
      <c r="J18" s="3">
        <v>55255916</v>
      </c>
      <c r="K18" s="3" t="s">
        <v>81</v>
      </c>
      <c r="L18" s="3"/>
      <c r="M18" s="3"/>
      <c r="N18" s="3" t="s">
        <v>60</v>
      </c>
      <c r="O18" s="3" t="s">
        <v>52</v>
      </c>
      <c r="P18" s="3">
        <v>0.7</v>
      </c>
      <c r="Q18" s="3">
        <v>0.6</v>
      </c>
      <c r="R18" s="4" t="s">
        <v>53</v>
      </c>
      <c r="S18" s="4">
        <v>4500</v>
      </c>
      <c r="T18" s="4">
        <v>4500</v>
      </c>
      <c r="U18" s="4">
        <v>2760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1740</v>
      </c>
      <c r="AD18" s="4">
        <v>4500</v>
      </c>
      <c r="AE18" s="4">
        <v>2760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1740</v>
      </c>
      <c r="AN18" s="4">
        <v>3150</v>
      </c>
      <c r="AO18" s="4">
        <v>0</v>
      </c>
      <c r="AP18" s="4">
        <v>3150</v>
      </c>
      <c r="AQ18" t="s">
        <v>45</v>
      </c>
      <c r="AR18" t="s">
        <v>60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R13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5.8984375" bestFit="1" customWidth="1"/>
    <col min="12" max="12" width="21.5" bestFit="1" customWidth="1"/>
    <col min="13" max="13" width="6.796875" bestFit="1" customWidth="1"/>
    <col min="14" max="14" width="8.5976562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8.5976562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56774286</v>
      </c>
      <c r="K2" s="3" t="s">
        <v>131</v>
      </c>
      <c r="L2" s="3"/>
      <c r="M2" s="3"/>
      <c r="N2" s="3" t="s">
        <v>132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105500</v>
      </c>
      <c r="U2" s="4">
        <v>62240</v>
      </c>
      <c r="V2" s="4">
        <v>0</v>
      </c>
      <c r="W2" s="4">
        <v>0</v>
      </c>
      <c r="X2" s="4">
        <v>0</v>
      </c>
      <c r="Y2" s="4">
        <v>580</v>
      </c>
      <c r="Z2" s="4">
        <v>11300</v>
      </c>
      <c r="AA2" s="4">
        <v>0</v>
      </c>
      <c r="AB2" s="4">
        <v>0</v>
      </c>
      <c r="AC2" s="4">
        <v>31380</v>
      </c>
      <c r="AD2" s="4">
        <v>106746</v>
      </c>
      <c r="AE2" s="4">
        <v>62240</v>
      </c>
      <c r="AF2" s="4">
        <v>0</v>
      </c>
      <c r="AG2" s="4">
        <v>0</v>
      </c>
      <c r="AH2" s="4">
        <v>0</v>
      </c>
      <c r="AI2" s="4">
        <v>696</v>
      </c>
      <c r="AJ2" s="4">
        <v>12430</v>
      </c>
      <c r="AK2" s="4">
        <v>0</v>
      </c>
      <c r="AL2" s="4">
        <v>0</v>
      </c>
      <c r="AM2" s="4">
        <v>31380</v>
      </c>
      <c r="AN2" s="4">
        <v>73410</v>
      </c>
      <c r="AO2" s="4">
        <v>0</v>
      </c>
      <c r="AP2" s="4">
        <v>73410</v>
      </c>
      <c r="AQ2" t="s">
        <v>45</v>
      </c>
      <c r="AR2" t="s">
        <v>132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56774286</v>
      </c>
      <c r="K3" s="3" t="s">
        <v>131</v>
      </c>
      <c r="L3" s="3"/>
      <c r="M3" s="3"/>
      <c r="N3" s="3" t="s">
        <v>132</v>
      </c>
      <c r="O3" s="3" t="s">
        <v>52</v>
      </c>
      <c r="P3" s="3">
        <v>0.7</v>
      </c>
      <c r="Q3" s="3">
        <v>0.6</v>
      </c>
      <c r="R3" s="4" t="s">
        <v>53</v>
      </c>
      <c r="S3" s="4">
        <v>900</v>
      </c>
      <c r="T3" s="4">
        <v>122000</v>
      </c>
      <c r="U3" s="4">
        <v>86080</v>
      </c>
      <c r="V3" s="4">
        <v>0</v>
      </c>
      <c r="W3" s="4">
        <v>0</v>
      </c>
      <c r="X3" s="4">
        <v>0</v>
      </c>
      <c r="Y3" s="4">
        <v>820</v>
      </c>
      <c r="Z3" s="4">
        <v>9900</v>
      </c>
      <c r="AA3" s="4">
        <v>0</v>
      </c>
      <c r="AB3" s="4">
        <v>0</v>
      </c>
      <c r="AC3" s="4">
        <v>25200</v>
      </c>
      <c r="AD3" s="4">
        <v>123154</v>
      </c>
      <c r="AE3" s="4">
        <v>86080</v>
      </c>
      <c r="AF3" s="4">
        <v>0</v>
      </c>
      <c r="AG3" s="4">
        <v>0</v>
      </c>
      <c r="AH3" s="4">
        <v>0</v>
      </c>
      <c r="AI3" s="4">
        <v>984</v>
      </c>
      <c r="AJ3" s="4">
        <v>10890</v>
      </c>
      <c r="AK3" s="4">
        <v>0</v>
      </c>
      <c r="AL3" s="4">
        <v>0</v>
      </c>
      <c r="AM3" s="4">
        <v>25200</v>
      </c>
      <c r="AN3" s="4">
        <v>85020</v>
      </c>
      <c r="AO3" s="4">
        <v>0</v>
      </c>
      <c r="AP3" s="4">
        <v>85020</v>
      </c>
      <c r="AQ3" t="s">
        <v>45</v>
      </c>
      <c r="AR3" t="s">
        <v>132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56774286</v>
      </c>
      <c r="K4" s="3" t="s">
        <v>131</v>
      </c>
      <c r="L4" s="3"/>
      <c r="M4" s="3"/>
      <c r="N4" s="3" t="s">
        <v>132</v>
      </c>
      <c r="O4" s="3" t="s">
        <v>52</v>
      </c>
      <c r="P4" s="3">
        <v>0.7</v>
      </c>
      <c r="Q4" s="3">
        <v>0.6</v>
      </c>
      <c r="R4" s="4" t="s">
        <v>53</v>
      </c>
      <c r="S4" s="4">
        <v>2700</v>
      </c>
      <c r="T4" s="4">
        <v>77200</v>
      </c>
      <c r="U4" s="4">
        <v>69200</v>
      </c>
      <c r="V4" s="4">
        <v>0</v>
      </c>
      <c r="W4" s="4">
        <v>0</v>
      </c>
      <c r="X4" s="4">
        <v>0</v>
      </c>
      <c r="Y4" s="4">
        <v>0</v>
      </c>
      <c r="Z4" s="4">
        <v>4300</v>
      </c>
      <c r="AA4" s="4">
        <v>0</v>
      </c>
      <c r="AB4" s="4">
        <v>0</v>
      </c>
      <c r="AC4" s="4">
        <v>3700</v>
      </c>
      <c r="AD4" s="4">
        <v>77630</v>
      </c>
      <c r="AE4" s="4">
        <v>69200</v>
      </c>
      <c r="AF4" s="4">
        <v>0</v>
      </c>
      <c r="AG4" s="4">
        <v>0</v>
      </c>
      <c r="AH4" s="4">
        <v>0</v>
      </c>
      <c r="AI4" s="4">
        <v>0</v>
      </c>
      <c r="AJ4" s="4">
        <v>4730</v>
      </c>
      <c r="AK4" s="4">
        <v>0</v>
      </c>
      <c r="AL4" s="4">
        <v>0</v>
      </c>
      <c r="AM4" s="4">
        <v>3700</v>
      </c>
      <c r="AN4" s="4">
        <v>53868</v>
      </c>
      <c r="AO4" s="4">
        <v>0</v>
      </c>
      <c r="AP4" s="4">
        <v>53868</v>
      </c>
      <c r="AQ4" t="s">
        <v>45</v>
      </c>
      <c r="AR4" t="s">
        <v>132</v>
      </c>
    </row>
    <row r="5" spans="1:44" x14ac:dyDescent="0.4">
      <c r="A5" s="3" t="s">
        <v>42</v>
      </c>
      <c r="B5" s="3" t="s">
        <v>43</v>
      </c>
      <c r="C5" s="3" t="s">
        <v>44</v>
      </c>
      <c r="D5" s="3" t="s">
        <v>45</v>
      </c>
      <c r="E5" s="3"/>
      <c r="F5" s="3" t="s">
        <v>46</v>
      </c>
      <c r="G5" s="3" t="s">
        <v>47</v>
      </c>
      <c r="H5" s="3" t="s">
        <v>48</v>
      </c>
      <c r="I5" s="3" t="s">
        <v>49</v>
      </c>
      <c r="J5" s="3">
        <v>56774286</v>
      </c>
      <c r="K5" s="3" t="s">
        <v>131</v>
      </c>
      <c r="L5" s="3"/>
      <c r="M5" s="3"/>
      <c r="N5" s="3" t="s">
        <v>132</v>
      </c>
      <c r="O5" s="3" t="s">
        <v>52</v>
      </c>
      <c r="P5" s="3">
        <v>0.7</v>
      </c>
      <c r="Q5" s="3">
        <v>0.6</v>
      </c>
      <c r="R5" s="4" t="s">
        <v>53</v>
      </c>
      <c r="S5" s="4">
        <v>4500</v>
      </c>
      <c r="T5" s="4">
        <v>195200</v>
      </c>
      <c r="U5" s="4">
        <v>157800</v>
      </c>
      <c r="V5" s="4">
        <v>0</v>
      </c>
      <c r="W5" s="4">
        <v>0</v>
      </c>
      <c r="X5" s="4">
        <v>0</v>
      </c>
      <c r="Y5" s="4">
        <v>0</v>
      </c>
      <c r="Z5" s="4">
        <v>31400</v>
      </c>
      <c r="AA5" s="4">
        <v>0</v>
      </c>
      <c r="AB5" s="4">
        <v>0</v>
      </c>
      <c r="AC5" s="4">
        <v>6000</v>
      </c>
      <c r="AD5" s="4">
        <v>198340</v>
      </c>
      <c r="AE5" s="4">
        <v>157800</v>
      </c>
      <c r="AF5" s="4">
        <v>0</v>
      </c>
      <c r="AG5" s="4">
        <v>0</v>
      </c>
      <c r="AH5" s="4">
        <v>0</v>
      </c>
      <c r="AI5" s="4">
        <v>0</v>
      </c>
      <c r="AJ5" s="4">
        <v>34540</v>
      </c>
      <c r="AK5" s="4">
        <v>0</v>
      </c>
      <c r="AL5" s="4">
        <v>0</v>
      </c>
      <c r="AM5" s="4">
        <v>6000</v>
      </c>
      <c r="AN5" s="4">
        <v>135384</v>
      </c>
      <c r="AO5" s="4">
        <v>0</v>
      </c>
      <c r="AP5" s="4">
        <v>135384</v>
      </c>
      <c r="AQ5" t="s">
        <v>45</v>
      </c>
      <c r="AR5" t="s">
        <v>132</v>
      </c>
    </row>
    <row r="6" spans="1:44" x14ac:dyDescent="0.4">
      <c r="A6" s="3" t="s">
        <v>42</v>
      </c>
      <c r="B6" s="3" t="s">
        <v>43</v>
      </c>
      <c r="C6" s="3" t="s">
        <v>44</v>
      </c>
      <c r="D6" s="3" t="s">
        <v>45</v>
      </c>
      <c r="E6" s="3"/>
      <c r="F6" s="3" t="s">
        <v>46</v>
      </c>
      <c r="G6" s="3" t="s">
        <v>47</v>
      </c>
      <c r="H6" s="3" t="s">
        <v>48</v>
      </c>
      <c r="I6" s="3" t="s">
        <v>49</v>
      </c>
      <c r="J6" s="3">
        <v>54383153</v>
      </c>
      <c r="K6" s="3" t="s">
        <v>141</v>
      </c>
      <c r="L6" s="3"/>
      <c r="M6" s="3"/>
      <c r="N6" s="3" t="s">
        <v>132</v>
      </c>
      <c r="O6" s="3" t="s">
        <v>52</v>
      </c>
      <c r="P6" s="3">
        <v>0.7</v>
      </c>
      <c r="Q6" s="3">
        <v>0.6</v>
      </c>
      <c r="R6" s="4" t="s">
        <v>56</v>
      </c>
      <c r="S6" s="4">
        <v>100</v>
      </c>
      <c r="T6" s="4">
        <v>11700</v>
      </c>
      <c r="U6" s="4">
        <v>9100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2600</v>
      </c>
      <c r="AD6" s="4">
        <v>11700</v>
      </c>
      <c r="AE6" s="4">
        <v>9100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2600</v>
      </c>
      <c r="AN6" s="4">
        <v>8190</v>
      </c>
      <c r="AO6" s="4">
        <v>0</v>
      </c>
      <c r="AP6" s="4">
        <v>8190</v>
      </c>
      <c r="AQ6" t="s">
        <v>45</v>
      </c>
      <c r="AR6" t="s">
        <v>132</v>
      </c>
    </row>
    <row r="7" spans="1:44" x14ac:dyDescent="0.4">
      <c r="A7" s="3" t="s">
        <v>42</v>
      </c>
      <c r="B7" s="3" t="s">
        <v>43</v>
      </c>
      <c r="C7" s="3" t="s">
        <v>44</v>
      </c>
      <c r="D7" s="3" t="s">
        <v>45</v>
      </c>
      <c r="E7" s="3"/>
      <c r="F7" s="3" t="s">
        <v>46</v>
      </c>
      <c r="G7" s="3" t="s">
        <v>47</v>
      </c>
      <c r="H7" s="3" t="s">
        <v>48</v>
      </c>
      <c r="I7" s="3" t="s">
        <v>49</v>
      </c>
      <c r="J7" s="3">
        <v>54383153</v>
      </c>
      <c r="K7" s="3" t="s">
        <v>141</v>
      </c>
      <c r="L7" s="3"/>
      <c r="M7" s="3"/>
      <c r="N7" s="3" t="s">
        <v>132</v>
      </c>
      <c r="O7" s="3" t="s">
        <v>52</v>
      </c>
      <c r="P7" s="3">
        <v>0.7</v>
      </c>
      <c r="Q7" s="3">
        <v>0.6</v>
      </c>
      <c r="R7" s="4" t="s">
        <v>53</v>
      </c>
      <c r="S7" s="4">
        <v>900</v>
      </c>
      <c r="T7" s="4">
        <v>11900</v>
      </c>
      <c r="U7" s="4">
        <v>9480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2420</v>
      </c>
      <c r="AD7" s="4">
        <v>11900</v>
      </c>
      <c r="AE7" s="4">
        <v>9480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2420</v>
      </c>
      <c r="AN7" s="4">
        <v>8330</v>
      </c>
      <c r="AO7" s="4">
        <v>0</v>
      </c>
      <c r="AP7" s="4">
        <v>8330</v>
      </c>
      <c r="AQ7" t="s">
        <v>45</v>
      </c>
      <c r="AR7" t="s">
        <v>132</v>
      </c>
    </row>
    <row r="8" spans="1:44" x14ac:dyDescent="0.4">
      <c r="A8" s="3" t="s">
        <v>42</v>
      </c>
      <c r="B8" s="3" t="s">
        <v>43</v>
      </c>
      <c r="C8" s="3" t="s">
        <v>44</v>
      </c>
      <c r="D8" s="3" t="s">
        <v>45</v>
      </c>
      <c r="E8" s="3"/>
      <c r="F8" s="3" t="s">
        <v>46</v>
      </c>
      <c r="G8" s="3" t="s">
        <v>47</v>
      </c>
      <c r="H8" s="3" t="s">
        <v>48</v>
      </c>
      <c r="I8" s="3" t="s">
        <v>49</v>
      </c>
      <c r="J8" s="3">
        <v>54383153</v>
      </c>
      <c r="K8" s="3" t="s">
        <v>141</v>
      </c>
      <c r="L8" s="3"/>
      <c r="M8" s="3"/>
      <c r="N8" s="3" t="s">
        <v>132</v>
      </c>
      <c r="O8" s="3" t="s">
        <v>52</v>
      </c>
      <c r="P8" s="3">
        <v>0.7</v>
      </c>
      <c r="Q8" s="3">
        <v>0.6</v>
      </c>
      <c r="R8" s="4" t="s">
        <v>53</v>
      </c>
      <c r="S8" s="4">
        <v>2700</v>
      </c>
      <c r="T8" s="4">
        <v>8100</v>
      </c>
      <c r="U8" s="4">
        <v>8100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8100</v>
      </c>
      <c r="AE8" s="4">
        <v>8100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5670</v>
      </c>
      <c r="AO8" s="4">
        <v>0</v>
      </c>
      <c r="AP8" s="4">
        <v>5670</v>
      </c>
      <c r="AQ8" t="s">
        <v>45</v>
      </c>
      <c r="AR8" t="s">
        <v>132</v>
      </c>
    </row>
    <row r="9" spans="1:44" x14ac:dyDescent="0.4">
      <c r="A9" s="3" t="s">
        <v>42</v>
      </c>
      <c r="B9" s="3" t="s">
        <v>43</v>
      </c>
      <c r="C9" s="3" t="s">
        <v>44</v>
      </c>
      <c r="D9" s="3" t="s">
        <v>45</v>
      </c>
      <c r="E9" s="3"/>
      <c r="F9" s="3" t="s">
        <v>46</v>
      </c>
      <c r="G9" s="3" t="s">
        <v>47</v>
      </c>
      <c r="H9" s="3" t="s">
        <v>48</v>
      </c>
      <c r="I9" s="3" t="s">
        <v>49</v>
      </c>
      <c r="J9" s="3">
        <v>54383153</v>
      </c>
      <c r="K9" s="3" t="s">
        <v>141</v>
      </c>
      <c r="L9" s="3"/>
      <c r="M9" s="3"/>
      <c r="N9" s="3" t="s">
        <v>132</v>
      </c>
      <c r="O9" s="3" t="s">
        <v>52</v>
      </c>
      <c r="P9" s="3">
        <v>0.7</v>
      </c>
      <c r="Q9" s="3">
        <v>0.6</v>
      </c>
      <c r="R9" s="4" t="s">
        <v>53</v>
      </c>
      <c r="S9" s="4">
        <v>4500</v>
      </c>
      <c r="T9" s="4">
        <v>20100</v>
      </c>
      <c r="U9" s="4">
        <v>20100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20100</v>
      </c>
      <c r="AE9" s="4">
        <v>20100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14070</v>
      </c>
      <c r="AO9" s="4">
        <v>0</v>
      </c>
      <c r="AP9" s="4">
        <v>14070</v>
      </c>
      <c r="AQ9" t="s">
        <v>45</v>
      </c>
      <c r="AR9" t="s">
        <v>132</v>
      </c>
    </row>
    <row r="10" spans="1:44" x14ac:dyDescent="0.4">
      <c r="A10" s="3" t="s">
        <v>42</v>
      </c>
      <c r="B10" s="3" t="s">
        <v>43</v>
      </c>
      <c r="C10" s="3" t="s">
        <v>44</v>
      </c>
      <c r="D10" s="3" t="s">
        <v>45</v>
      </c>
      <c r="E10" s="3"/>
      <c r="F10" s="3" t="s">
        <v>46</v>
      </c>
      <c r="G10" s="3" t="s">
        <v>47</v>
      </c>
      <c r="H10" s="3" t="s">
        <v>48</v>
      </c>
      <c r="I10" s="3" t="s">
        <v>49</v>
      </c>
      <c r="J10" s="3">
        <v>53472058</v>
      </c>
      <c r="K10" s="3" t="s">
        <v>150</v>
      </c>
      <c r="L10" s="3"/>
      <c r="M10" s="3"/>
      <c r="N10" s="3" t="s">
        <v>132</v>
      </c>
      <c r="O10" s="3" t="s">
        <v>52</v>
      </c>
      <c r="P10" s="3">
        <v>0.7</v>
      </c>
      <c r="Q10" s="3">
        <v>0.6</v>
      </c>
      <c r="R10" s="4" t="s">
        <v>56</v>
      </c>
      <c r="S10" s="4">
        <v>100</v>
      </c>
      <c r="T10" s="4">
        <v>8000</v>
      </c>
      <c r="U10" s="4">
        <v>5800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2200</v>
      </c>
      <c r="AD10" s="4">
        <v>8000</v>
      </c>
      <c r="AE10" s="4">
        <v>5800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2200</v>
      </c>
      <c r="AN10" s="4">
        <v>5600</v>
      </c>
      <c r="AO10" s="4">
        <v>0</v>
      </c>
      <c r="AP10" s="4">
        <v>5600</v>
      </c>
      <c r="AQ10" t="s">
        <v>45</v>
      </c>
      <c r="AR10" t="s">
        <v>132</v>
      </c>
    </row>
    <row r="11" spans="1:44" x14ac:dyDescent="0.4">
      <c r="A11" s="3" t="s">
        <v>42</v>
      </c>
      <c r="B11" s="3" t="s">
        <v>43</v>
      </c>
      <c r="C11" s="3" t="s">
        <v>44</v>
      </c>
      <c r="D11" s="3" t="s">
        <v>45</v>
      </c>
      <c r="E11" s="3"/>
      <c r="F11" s="3" t="s">
        <v>46</v>
      </c>
      <c r="G11" s="3" t="s">
        <v>47</v>
      </c>
      <c r="H11" s="3" t="s">
        <v>48</v>
      </c>
      <c r="I11" s="3" t="s">
        <v>49</v>
      </c>
      <c r="J11" s="3">
        <v>53472058</v>
      </c>
      <c r="K11" s="3" t="s">
        <v>150</v>
      </c>
      <c r="L11" s="3"/>
      <c r="M11" s="3"/>
      <c r="N11" s="3" t="s">
        <v>132</v>
      </c>
      <c r="O11" s="3" t="s">
        <v>52</v>
      </c>
      <c r="P11" s="3">
        <v>0.7</v>
      </c>
      <c r="Q11" s="3">
        <v>0.6</v>
      </c>
      <c r="R11" s="4" t="s">
        <v>53</v>
      </c>
      <c r="S11" s="4">
        <v>900</v>
      </c>
      <c r="T11" s="4">
        <v>10800</v>
      </c>
      <c r="U11" s="4">
        <v>6380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4420</v>
      </c>
      <c r="AD11" s="4">
        <v>10800</v>
      </c>
      <c r="AE11" s="4">
        <v>6380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4420</v>
      </c>
      <c r="AN11" s="4">
        <v>7560</v>
      </c>
      <c r="AO11" s="4">
        <v>0</v>
      </c>
      <c r="AP11" s="4">
        <v>7560</v>
      </c>
      <c r="AQ11" t="s">
        <v>45</v>
      </c>
      <c r="AR11" t="s">
        <v>132</v>
      </c>
    </row>
    <row r="12" spans="1:44" x14ac:dyDescent="0.4">
      <c r="A12" s="3" t="s">
        <v>42</v>
      </c>
      <c r="B12" s="3" t="s">
        <v>43</v>
      </c>
      <c r="C12" s="3" t="s">
        <v>44</v>
      </c>
      <c r="D12" s="3" t="s">
        <v>45</v>
      </c>
      <c r="E12" s="3"/>
      <c r="F12" s="3" t="s">
        <v>46</v>
      </c>
      <c r="G12" s="3" t="s">
        <v>47</v>
      </c>
      <c r="H12" s="3" t="s">
        <v>48</v>
      </c>
      <c r="I12" s="3" t="s">
        <v>49</v>
      </c>
      <c r="J12" s="3">
        <v>53472058</v>
      </c>
      <c r="K12" s="3" t="s">
        <v>150</v>
      </c>
      <c r="L12" s="3"/>
      <c r="M12" s="3"/>
      <c r="N12" s="3" t="s">
        <v>132</v>
      </c>
      <c r="O12" s="3" t="s">
        <v>52</v>
      </c>
      <c r="P12" s="3">
        <v>0.7</v>
      </c>
      <c r="Q12" s="3">
        <v>0.6</v>
      </c>
      <c r="R12" s="4" t="s">
        <v>53</v>
      </c>
      <c r="S12" s="4">
        <v>2700</v>
      </c>
      <c r="T12" s="4">
        <v>15200</v>
      </c>
      <c r="U12" s="4">
        <v>14500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700</v>
      </c>
      <c r="AD12" s="4">
        <v>15200</v>
      </c>
      <c r="AE12" s="4">
        <v>14500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700</v>
      </c>
      <c r="AN12" s="4">
        <v>10640</v>
      </c>
      <c r="AO12" s="4">
        <v>0</v>
      </c>
      <c r="AP12" s="4">
        <v>10640</v>
      </c>
      <c r="AQ12" t="s">
        <v>45</v>
      </c>
      <c r="AR12" t="s">
        <v>132</v>
      </c>
    </row>
    <row r="13" spans="1:44" x14ac:dyDescent="0.4">
      <c r="A13" s="3" t="s">
        <v>42</v>
      </c>
      <c r="B13" s="3" t="s">
        <v>43</v>
      </c>
      <c r="C13" s="3" t="s">
        <v>44</v>
      </c>
      <c r="D13" s="3" t="s">
        <v>45</v>
      </c>
      <c r="E13" s="3"/>
      <c r="F13" s="3" t="s">
        <v>46</v>
      </c>
      <c r="G13" s="3" t="s">
        <v>47</v>
      </c>
      <c r="H13" s="3" t="s">
        <v>48</v>
      </c>
      <c r="I13" s="3" t="s">
        <v>49</v>
      </c>
      <c r="J13" s="3">
        <v>53472058</v>
      </c>
      <c r="K13" s="3" t="s">
        <v>150</v>
      </c>
      <c r="L13" s="3"/>
      <c r="M13" s="3"/>
      <c r="N13" s="3" t="s">
        <v>132</v>
      </c>
      <c r="O13" s="3" t="s">
        <v>52</v>
      </c>
      <c r="P13" s="3">
        <v>0.7</v>
      </c>
      <c r="Q13" s="3">
        <v>0.6</v>
      </c>
      <c r="R13" s="4" t="s">
        <v>53</v>
      </c>
      <c r="S13" s="4">
        <v>4500</v>
      </c>
      <c r="T13" s="4">
        <v>9000</v>
      </c>
      <c r="U13" s="4">
        <v>9000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9000</v>
      </c>
      <c r="AE13" s="4">
        <v>9000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6300</v>
      </c>
      <c r="AO13" s="4">
        <v>0</v>
      </c>
      <c r="AP13" s="4">
        <v>6300</v>
      </c>
      <c r="AQ13" t="s">
        <v>45</v>
      </c>
      <c r="AR13" t="s">
        <v>132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R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7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57849384</v>
      </c>
      <c r="K2" s="3" t="s">
        <v>122</v>
      </c>
      <c r="L2" s="3"/>
      <c r="M2" s="3"/>
      <c r="N2" s="3" t="s">
        <v>123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10800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10800</v>
      </c>
      <c r="AD2" s="4">
        <v>10800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10800</v>
      </c>
      <c r="AN2" s="4">
        <v>7560</v>
      </c>
      <c r="AO2" s="4">
        <v>0</v>
      </c>
      <c r="AP2" s="4">
        <v>7560</v>
      </c>
      <c r="AQ2" t="s">
        <v>45</v>
      </c>
      <c r="AR2" t="s">
        <v>123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57849384</v>
      </c>
      <c r="K3" s="3" t="s">
        <v>122</v>
      </c>
      <c r="L3" s="3"/>
      <c r="M3" s="3"/>
      <c r="N3" s="3" t="s">
        <v>123</v>
      </c>
      <c r="O3" s="3" t="s">
        <v>52</v>
      </c>
      <c r="P3" s="3">
        <v>0.7</v>
      </c>
      <c r="Q3" s="3">
        <v>0.6</v>
      </c>
      <c r="R3" s="4" t="s">
        <v>53</v>
      </c>
      <c r="S3" s="4">
        <v>900</v>
      </c>
      <c r="T3" s="4">
        <v>7200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7200</v>
      </c>
      <c r="AD3" s="4">
        <v>7200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7200</v>
      </c>
      <c r="AN3" s="4">
        <v>5040</v>
      </c>
      <c r="AO3" s="4">
        <v>0</v>
      </c>
      <c r="AP3" s="4">
        <v>5040</v>
      </c>
      <c r="AQ3" t="s">
        <v>45</v>
      </c>
      <c r="AR3" t="s">
        <v>123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57849384</v>
      </c>
      <c r="K4" s="3" t="s">
        <v>122</v>
      </c>
      <c r="L4" s="3"/>
      <c r="M4" s="3"/>
      <c r="N4" s="3" t="s">
        <v>123</v>
      </c>
      <c r="O4" s="3" t="s">
        <v>52</v>
      </c>
      <c r="P4" s="3">
        <v>0.7</v>
      </c>
      <c r="Q4" s="3">
        <v>0.6</v>
      </c>
      <c r="R4" s="4" t="s">
        <v>53</v>
      </c>
      <c r="S4" s="4">
        <v>2700</v>
      </c>
      <c r="T4" s="4">
        <v>2700</v>
      </c>
      <c r="U4" s="4">
        <v>2700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2700</v>
      </c>
      <c r="AE4" s="4">
        <v>2700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1890</v>
      </c>
      <c r="AO4" s="4">
        <v>0</v>
      </c>
      <c r="AP4" s="4">
        <v>1890</v>
      </c>
      <c r="AQ4" t="s">
        <v>45</v>
      </c>
      <c r="AR4" t="s">
        <v>123</v>
      </c>
    </row>
    <row r="5" spans="1:44" x14ac:dyDescent="0.4">
      <c r="A5" s="3" t="s">
        <v>42</v>
      </c>
      <c r="B5" s="3" t="s">
        <v>43</v>
      </c>
      <c r="C5" s="3" t="s">
        <v>44</v>
      </c>
      <c r="D5" s="3" t="s">
        <v>45</v>
      </c>
      <c r="E5" s="3"/>
      <c r="F5" s="3" t="s">
        <v>46</v>
      </c>
      <c r="G5" s="3" t="s">
        <v>47</v>
      </c>
      <c r="H5" s="3" t="s">
        <v>48</v>
      </c>
      <c r="I5" s="3" t="s">
        <v>49</v>
      </c>
      <c r="J5" s="3">
        <v>57849384</v>
      </c>
      <c r="K5" s="3" t="s">
        <v>122</v>
      </c>
      <c r="L5" s="3"/>
      <c r="M5" s="3"/>
      <c r="N5" s="3" t="s">
        <v>123</v>
      </c>
      <c r="O5" s="3" t="s">
        <v>52</v>
      </c>
      <c r="P5" s="3">
        <v>0.7</v>
      </c>
      <c r="Q5" s="3">
        <v>0.6</v>
      </c>
      <c r="R5" s="4" t="s">
        <v>53</v>
      </c>
      <c r="S5" s="4">
        <v>4500</v>
      </c>
      <c r="T5" s="4">
        <v>4500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4500</v>
      </c>
      <c r="AD5" s="4">
        <v>4500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4500</v>
      </c>
      <c r="AN5" s="4">
        <v>3150</v>
      </c>
      <c r="AO5" s="4">
        <v>0</v>
      </c>
      <c r="AP5" s="4">
        <v>3150</v>
      </c>
      <c r="AQ5" t="s">
        <v>45</v>
      </c>
      <c r="AR5" t="s">
        <v>123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R4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3.3984375" bestFit="1" customWidth="1"/>
    <col min="12" max="12" width="21.5" bestFit="1" customWidth="1"/>
    <col min="13" max="13" width="6.796875" bestFit="1" customWidth="1"/>
    <col min="14" max="14" width="10.69921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10.6992187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56440493</v>
      </c>
      <c r="K2" s="3" t="s">
        <v>124</v>
      </c>
      <c r="L2" s="3"/>
      <c r="M2" s="3"/>
      <c r="N2" s="3" t="s">
        <v>125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10000</v>
      </c>
      <c r="U2" s="4">
        <v>1600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8400</v>
      </c>
      <c r="AD2" s="4">
        <v>10000</v>
      </c>
      <c r="AE2" s="4">
        <v>1600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8400</v>
      </c>
      <c r="AN2" s="4">
        <v>7000</v>
      </c>
      <c r="AO2" s="4">
        <v>0</v>
      </c>
      <c r="AP2" s="4">
        <v>7000</v>
      </c>
      <c r="AQ2" t="s">
        <v>45</v>
      </c>
      <c r="AR2" t="s">
        <v>125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56440493</v>
      </c>
      <c r="K3" s="3" t="s">
        <v>124</v>
      </c>
      <c r="L3" s="3"/>
      <c r="M3" s="3"/>
      <c r="N3" s="3" t="s">
        <v>125</v>
      </c>
      <c r="O3" s="3" t="s">
        <v>52</v>
      </c>
      <c r="P3" s="3">
        <v>0.7</v>
      </c>
      <c r="Q3" s="3">
        <v>0.6</v>
      </c>
      <c r="R3" s="4" t="s">
        <v>53</v>
      </c>
      <c r="S3" s="4">
        <v>900</v>
      </c>
      <c r="T3" s="4">
        <v>6000</v>
      </c>
      <c r="U3" s="4">
        <v>700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5300</v>
      </c>
      <c r="AD3" s="4">
        <v>6000</v>
      </c>
      <c r="AE3" s="4">
        <v>700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5300</v>
      </c>
      <c r="AN3" s="4">
        <v>4200</v>
      </c>
      <c r="AO3" s="4">
        <v>0</v>
      </c>
      <c r="AP3" s="4">
        <v>4200</v>
      </c>
      <c r="AQ3" t="s">
        <v>45</v>
      </c>
      <c r="AR3" t="s">
        <v>125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56440493</v>
      </c>
      <c r="K4" s="3" t="s">
        <v>124</v>
      </c>
      <c r="L4" s="3"/>
      <c r="M4" s="3"/>
      <c r="N4" s="3" t="s">
        <v>125</v>
      </c>
      <c r="O4" s="3" t="s">
        <v>52</v>
      </c>
      <c r="P4" s="3">
        <v>0.7</v>
      </c>
      <c r="Q4" s="3">
        <v>0.6</v>
      </c>
      <c r="R4" s="4" t="s">
        <v>53</v>
      </c>
      <c r="S4" s="4">
        <v>2700</v>
      </c>
      <c r="T4" s="4">
        <v>9600</v>
      </c>
      <c r="U4" s="4">
        <v>6900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2700</v>
      </c>
      <c r="AD4" s="4">
        <v>9600</v>
      </c>
      <c r="AE4" s="4">
        <v>6900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2700</v>
      </c>
      <c r="AN4" s="4">
        <v>6720</v>
      </c>
      <c r="AO4" s="4">
        <v>0</v>
      </c>
      <c r="AP4" s="4">
        <v>6720</v>
      </c>
      <c r="AQ4" t="s">
        <v>45</v>
      </c>
      <c r="AR4" t="s">
        <v>125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R17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5.6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52013921</v>
      </c>
      <c r="K2" s="3" t="s">
        <v>197</v>
      </c>
      <c r="L2" s="3"/>
      <c r="M2" s="3"/>
      <c r="N2" s="3" t="s">
        <v>55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14100</v>
      </c>
      <c r="U2" s="4">
        <v>12100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2000</v>
      </c>
      <c r="AD2" s="4">
        <v>14100</v>
      </c>
      <c r="AE2" s="4">
        <v>12100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2000</v>
      </c>
      <c r="AN2" s="4">
        <v>9870</v>
      </c>
      <c r="AO2" s="4">
        <v>0</v>
      </c>
      <c r="AP2" s="4">
        <v>9870</v>
      </c>
      <c r="AQ2" t="s">
        <v>45</v>
      </c>
      <c r="AR2" t="s">
        <v>55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52013921</v>
      </c>
      <c r="K3" s="3" t="s">
        <v>197</v>
      </c>
      <c r="L3" s="3"/>
      <c r="M3" s="3"/>
      <c r="N3" s="3" t="s">
        <v>55</v>
      </c>
      <c r="O3" s="3" t="s">
        <v>52</v>
      </c>
      <c r="P3" s="3">
        <v>0.7</v>
      </c>
      <c r="Q3" s="3">
        <v>0.6</v>
      </c>
      <c r="R3" s="4" t="s">
        <v>53</v>
      </c>
      <c r="S3" s="4">
        <v>900</v>
      </c>
      <c r="T3" s="4">
        <v>12500</v>
      </c>
      <c r="U3" s="4">
        <v>10600</v>
      </c>
      <c r="V3" s="4">
        <v>0</v>
      </c>
      <c r="W3" s="4">
        <v>0</v>
      </c>
      <c r="X3" s="4">
        <v>0</v>
      </c>
      <c r="Y3" s="4">
        <v>0</v>
      </c>
      <c r="Z3" s="4">
        <v>1800</v>
      </c>
      <c r="AA3" s="4">
        <v>0</v>
      </c>
      <c r="AB3" s="4">
        <v>0</v>
      </c>
      <c r="AC3" s="4">
        <v>100</v>
      </c>
      <c r="AD3" s="4">
        <v>12680</v>
      </c>
      <c r="AE3" s="4">
        <v>10600</v>
      </c>
      <c r="AF3" s="4">
        <v>0</v>
      </c>
      <c r="AG3" s="4">
        <v>0</v>
      </c>
      <c r="AH3" s="4">
        <v>0</v>
      </c>
      <c r="AI3" s="4">
        <v>0</v>
      </c>
      <c r="AJ3" s="4">
        <v>1980</v>
      </c>
      <c r="AK3" s="4">
        <v>0</v>
      </c>
      <c r="AL3" s="4">
        <v>0</v>
      </c>
      <c r="AM3" s="4">
        <v>100</v>
      </c>
      <c r="AN3" s="4">
        <v>8678</v>
      </c>
      <c r="AO3" s="4">
        <v>0</v>
      </c>
      <c r="AP3" s="4">
        <v>8678</v>
      </c>
      <c r="AQ3" t="s">
        <v>45</v>
      </c>
      <c r="AR3" t="s">
        <v>55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52013921</v>
      </c>
      <c r="K4" s="3" t="s">
        <v>197</v>
      </c>
      <c r="L4" s="3"/>
      <c r="M4" s="3"/>
      <c r="N4" s="3" t="s">
        <v>55</v>
      </c>
      <c r="O4" s="3" t="s">
        <v>52</v>
      </c>
      <c r="P4" s="3">
        <v>0.7</v>
      </c>
      <c r="Q4" s="3">
        <v>0.6</v>
      </c>
      <c r="R4" s="4" t="s">
        <v>53</v>
      </c>
      <c r="S4" s="4">
        <v>2700</v>
      </c>
      <c r="T4" s="4">
        <v>10400</v>
      </c>
      <c r="U4" s="4">
        <v>5800</v>
      </c>
      <c r="V4" s="4">
        <v>0</v>
      </c>
      <c r="W4" s="4">
        <v>0</v>
      </c>
      <c r="X4" s="4">
        <v>0</v>
      </c>
      <c r="Y4" s="4">
        <v>2700</v>
      </c>
      <c r="Z4" s="4">
        <v>400</v>
      </c>
      <c r="AA4" s="4">
        <v>0</v>
      </c>
      <c r="AB4" s="4">
        <v>0</v>
      </c>
      <c r="AC4" s="4">
        <v>1500</v>
      </c>
      <c r="AD4" s="4">
        <v>10980</v>
      </c>
      <c r="AE4" s="4">
        <v>5800</v>
      </c>
      <c r="AF4" s="4">
        <v>0</v>
      </c>
      <c r="AG4" s="4">
        <v>0</v>
      </c>
      <c r="AH4" s="4">
        <v>0</v>
      </c>
      <c r="AI4" s="4">
        <v>3240</v>
      </c>
      <c r="AJ4" s="4">
        <v>440</v>
      </c>
      <c r="AK4" s="4">
        <v>0</v>
      </c>
      <c r="AL4" s="4">
        <v>0</v>
      </c>
      <c r="AM4" s="4">
        <v>1500</v>
      </c>
      <c r="AN4" s="4">
        <v>7318</v>
      </c>
      <c r="AO4" s="4">
        <v>0</v>
      </c>
      <c r="AP4" s="4">
        <v>7318</v>
      </c>
      <c r="AQ4" t="s">
        <v>45</v>
      </c>
      <c r="AR4" t="s">
        <v>55</v>
      </c>
    </row>
    <row r="5" spans="1:44" x14ac:dyDescent="0.4">
      <c r="A5" s="3" t="s">
        <v>42</v>
      </c>
      <c r="B5" s="3" t="s">
        <v>43</v>
      </c>
      <c r="C5" s="3" t="s">
        <v>44</v>
      </c>
      <c r="D5" s="3" t="s">
        <v>45</v>
      </c>
      <c r="E5" s="3"/>
      <c r="F5" s="3" t="s">
        <v>46</v>
      </c>
      <c r="G5" s="3" t="s">
        <v>47</v>
      </c>
      <c r="H5" s="3" t="s">
        <v>48</v>
      </c>
      <c r="I5" s="3" t="s">
        <v>49</v>
      </c>
      <c r="J5" s="3">
        <v>52013921</v>
      </c>
      <c r="K5" s="3" t="s">
        <v>197</v>
      </c>
      <c r="L5" s="3"/>
      <c r="M5" s="3"/>
      <c r="N5" s="3" t="s">
        <v>55</v>
      </c>
      <c r="O5" s="3" t="s">
        <v>52</v>
      </c>
      <c r="P5" s="3">
        <v>0.7</v>
      </c>
      <c r="Q5" s="3">
        <v>0.6</v>
      </c>
      <c r="R5" s="4" t="s">
        <v>53</v>
      </c>
      <c r="S5" s="4">
        <v>4500</v>
      </c>
      <c r="T5" s="4">
        <v>6600</v>
      </c>
      <c r="U5" s="4">
        <v>6300</v>
      </c>
      <c r="V5" s="4">
        <v>0</v>
      </c>
      <c r="W5" s="4">
        <v>0</v>
      </c>
      <c r="X5" s="4">
        <v>0</v>
      </c>
      <c r="Y5" s="4">
        <v>-2600</v>
      </c>
      <c r="Z5" s="4">
        <v>0</v>
      </c>
      <c r="AA5" s="4">
        <v>0</v>
      </c>
      <c r="AB5" s="4">
        <v>0</v>
      </c>
      <c r="AC5" s="4">
        <v>2900</v>
      </c>
      <c r="AD5" s="4">
        <v>6080</v>
      </c>
      <c r="AE5" s="4">
        <v>6300</v>
      </c>
      <c r="AF5" s="4">
        <v>0</v>
      </c>
      <c r="AG5" s="4">
        <v>0</v>
      </c>
      <c r="AH5" s="4">
        <v>0</v>
      </c>
      <c r="AI5" s="4">
        <v>-3120</v>
      </c>
      <c r="AJ5" s="4">
        <v>0</v>
      </c>
      <c r="AK5" s="4">
        <v>0</v>
      </c>
      <c r="AL5" s="4">
        <v>0</v>
      </c>
      <c r="AM5" s="4">
        <v>2900</v>
      </c>
      <c r="AN5" s="4">
        <v>4568</v>
      </c>
      <c r="AO5" s="4">
        <v>0</v>
      </c>
      <c r="AP5" s="4">
        <v>4568</v>
      </c>
      <c r="AQ5" t="s">
        <v>45</v>
      </c>
      <c r="AR5" t="s">
        <v>55</v>
      </c>
    </row>
    <row r="6" spans="1:44" x14ac:dyDescent="0.4">
      <c r="A6" s="3" t="s">
        <v>42</v>
      </c>
      <c r="B6" s="3" t="s">
        <v>43</v>
      </c>
      <c r="C6" s="3" t="s">
        <v>44</v>
      </c>
      <c r="D6" s="3" t="s">
        <v>45</v>
      </c>
      <c r="E6" s="3"/>
      <c r="F6" s="3" t="s">
        <v>46</v>
      </c>
      <c r="G6" s="3" t="s">
        <v>47</v>
      </c>
      <c r="H6" s="3" t="s">
        <v>48</v>
      </c>
      <c r="I6" s="3" t="s">
        <v>49</v>
      </c>
      <c r="J6" s="3">
        <v>54886637</v>
      </c>
      <c r="K6" s="3" t="s">
        <v>109</v>
      </c>
      <c r="L6" s="3"/>
      <c r="M6" s="3"/>
      <c r="N6" s="3" t="s">
        <v>55</v>
      </c>
      <c r="O6" s="3" t="s">
        <v>52</v>
      </c>
      <c r="P6" s="3">
        <v>0.7</v>
      </c>
      <c r="Q6" s="3">
        <v>0.6</v>
      </c>
      <c r="R6" s="4" t="s">
        <v>56</v>
      </c>
      <c r="S6" s="4">
        <v>100</v>
      </c>
      <c r="T6" s="4">
        <v>25200</v>
      </c>
      <c r="U6" s="4">
        <v>15400</v>
      </c>
      <c r="V6" s="4">
        <v>0</v>
      </c>
      <c r="W6" s="4">
        <v>0</v>
      </c>
      <c r="X6" s="4">
        <v>0</v>
      </c>
      <c r="Y6" s="4">
        <v>0</v>
      </c>
      <c r="Z6" s="4">
        <v>700</v>
      </c>
      <c r="AA6" s="4">
        <v>0</v>
      </c>
      <c r="AB6" s="4">
        <v>0</v>
      </c>
      <c r="AC6" s="4">
        <v>9100</v>
      </c>
      <c r="AD6" s="4">
        <v>25270</v>
      </c>
      <c r="AE6" s="4">
        <v>15400</v>
      </c>
      <c r="AF6" s="4">
        <v>0</v>
      </c>
      <c r="AG6" s="4">
        <v>0</v>
      </c>
      <c r="AH6" s="4">
        <v>0</v>
      </c>
      <c r="AI6" s="4">
        <v>0</v>
      </c>
      <c r="AJ6" s="4">
        <v>770</v>
      </c>
      <c r="AK6" s="4">
        <v>0</v>
      </c>
      <c r="AL6" s="4">
        <v>0</v>
      </c>
      <c r="AM6" s="4">
        <v>9100</v>
      </c>
      <c r="AN6" s="4">
        <v>17612</v>
      </c>
      <c r="AO6" s="4">
        <v>0</v>
      </c>
      <c r="AP6" s="4">
        <v>17612</v>
      </c>
      <c r="AQ6" t="s">
        <v>45</v>
      </c>
      <c r="AR6" t="s">
        <v>55</v>
      </c>
    </row>
    <row r="7" spans="1:44" x14ac:dyDescent="0.4">
      <c r="A7" s="3" t="s">
        <v>42</v>
      </c>
      <c r="B7" s="3" t="s">
        <v>43</v>
      </c>
      <c r="C7" s="3" t="s">
        <v>44</v>
      </c>
      <c r="D7" s="3" t="s">
        <v>45</v>
      </c>
      <c r="E7" s="3"/>
      <c r="F7" s="3" t="s">
        <v>46</v>
      </c>
      <c r="G7" s="3" t="s">
        <v>47</v>
      </c>
      <c r="H7" s="3" t="s">
        <v>48</v>
      </c>
      <c r="I7" s="3" t="s">
        <v>49</v>
      </c>
      <c r="J7" s="3">
        <v>54886637</v>
      </c>
      <c r="K7" s="3" t="s">
        <v>109</v>
      </c>
      <c r="L7" s="3"/>
      <c r="M7" s="3"/>
      <c r="N7" s="3" t="s">
        <v>55</v>
      </c>
      <c r="O7" s="3" t="s">
        <v>52</v>
      </c>
      <c r="P7" s="3">
        <v>0.7</v>
      </c>
      <c r="Q7" s="3">
        <v>0.6</v>
      </c>
      <c r="R7" s="4" t="s">
        <v>53</v>
      </c>
      <c r="S7" s="4">
        <v>900</v>
      </c>
      <c r="T7" s="4">
        <v>40200</v>
      </c>
      <c r="U7" s="4">
        <v>29300</v>
      </c>
      <c r="V7" s="4">
        <v>0</v>
      </c>
      <c r="W7" s="4">
        <v>0</v>
      </c>
      <c r="X7" s="4">
        <v>0</v>
      </c>
      <c r="Y7" s="4">
        <v>0</v>
      </c>
      <c r="Z7" s="4">
        <v>1900</v>
      </c>
      <c r="AA7" s="4">
        <v>0</v>
      </c>
      <c r="AB7" s="4">
        <v>0</v>
      </c>
      <c r="AC7" s="4">
        <v>9000</v>
      </c>
      <c r="AD7" s="4">
        <v>40390</v>
      </c>
      <c r="AE7" s="4">
        <v>29300</v>
      </c>
      <c r="AF7" s="4">
        <v>0</v>
      </c>
      <c r="AG7" s="4">
        <v>0</v>
      </c>
      <c r="AH7" s="4">
        <v>0</v>
      </c>
      <c r="AI7" s="4">
        <v>0</v>
      </c>
      <c r="AJ7" s="4">
        <v>2090</v>
      </c>
      <c r="AK7" s="4">
        <v>0</v>
      </c>
      <c r="AL7" s="4">
        <v>0</v>
      </c>
      <c r="AM7" s="4">
        <v>9000</v>
      </c>
      <c r="AN7" s="4">
        <v>28064</v>
      </c>
      <c r="AO7" s="4">
        <v>0</v>
      </c>
      <c r="AP7" s="4">
        <v>28064</v>
      </c>
      <c r="AQ7" t="s">
        <v>45</v>
      </c>
      <c r="AR7" t="s">
        <v>55</v>
      </c>
    </row>
    <row r="8" spans="1:44" x14ac:dyDescent="0.4">
      <c r="A8" s="3" t="s">
        <v>42</v>
      </c>
      <c r="B8" s="3" t="s">
        <v>43</v>
      </c>
      <c r="C8" s="3" t="s">
        <v>44</v>
      </c>
      <c r="D8" s="3" t="s">
        <v>45</v>
      </c>
      <c r="E8" s="3"/>
      <c r="F8" s="3" t="s">
        <v>46</v>
      </c>
      <c r="G8" s="3" t="s">
        <v>47</v>
      </c>
      <c r="H8" s="3" t="s">
        <v>48</v>
      </c>
      <c r="I8" s="3" t="s">
        <v>49</v>
      </c>
      <c r="J8" s="3">
        <v>54886637</v>
      </c>
      <c r="K8" s="3" t="s">
        <v>109</v>
      </c>
      <c r="L8" s="3"/>
      <c r="M8" s="3"/>
      <c r="N8" s="3" t="s">
        <v>55</v>
      </c>
      <c r="O8" s="3" t="s">
        <v>52</v>
      </c>
      <c r="P8" s="3">
        <v>0.7</v>
      </c>
      <c r="Q8" s="3">
        <v>0.6</v>
      </c>
      <c r="R8" s="4" t="s">
        <v>53</v>
      </c>
      <c r="S8" s="4">
        <v>3600</v>
      </c>
      <c r="T8" s="4">
        <v>7200</v>
      </c>
      <c r="U8" s="4">
        <v>3600</v>
      </c>
      <c r="V8" s="4">
        <v>0</v>
      </c>
      <c r="W8" s="4">
        <v>0</v>
      </c>
      <c r="X8" s="4">
        <v>0</v>
      </c>
      <c r="Y8" s="4">
        <v>0</v>
      </c>
      <c r="Z8" s="4">
        <v>3600</v>
      </c>
      <c r="AA8" s="4">
        <v>0</v>
      </c>
      <c r="AB8" s="4">
        <v>0</v>
      </c>
      <c r="AC8" s="4">
        <v>0</v>
      </c>
      <c r="AD8" s="4">
        <v>7560</v>
      </c>
      <c r="AE8" s="4">
        <v>3600</v>
      </c>
      <c r="AF8" s="4">
        <v>0</v>
      </c>
      <c r="AG8" s="4">
        <v>0</v>
      </c>
      <c r="AH8" s="4">
        <v>0</v>
      </c>
      <c r="AI8" s="4">
        <v>0</v>
      </c>
      <c r="AJ8" s="4">
        <v>3960</v>
      </c>
      <c r="AK8" s="4">
        <v>0</v>
      </c>
      <c r="AL8" s="4">
        <v>0</v>
      </c>
      <c r="AM8" s="4">
        <v>0</v>
      </c>
      <c r="AN8" s="4">
        <v>4896</v>
      </c>
      <c r="AO8" s="4">
        <v>0</v>
      </c>
      <c r="AP8" s="4">
        <v>4896</v>
      </c>
      <c r="AQ8" t="s">
        <v>45</v>
      </c>
      <c r="AR8" t="s">
        <v>55</v>
      </c>
    </row>
    <row r="9" spans="1:44" x14ac:dyDescent="0.4">
      <c r="A9" s="3" t="s">
        <v>42</v>
      </c>
      <c r="B9" s="3" t="s">
        <v>43</v>
      </c>
      <c r="C9" s="3" t="s">
        <v>44</v>
      </c>
      <c r="D9" s="3" t="s">
        <v>45</v>
      </c>
      <c r="E9" s="3"/>
      <c r="F9" s="3" t="s">
        <v>46</v>
      </c>
      <c r="G9" s="3" t="s">
        <v>47</v>
      </c>
      <c r="H9" s="3" t="s">
        <v>48</v>
      </c>
      <c r="I9" s="3" t="s">
        <v>49</v>
      </c>
      <c r="J9" s="3">
        <v>54886637</v>
      </c>
      <c r="K9" s="3" t="s">
        <v>109</v>
      </c>
      <c r="L9" s="3"/>
      <c r="M9" s="3"/>
      <c r="N9" s="3" t="s">
        <v>55</v>
      </c>
      <c r="O9" s="3" t="s">
        <v>52</v>
      </c>
      <c r="P9" s="3">
        <v>0.7</v>
      </c>
      <c r="Q9" s="3">
        <v>0.6</v>
      </c>
      <c r="R9" s="4" t="s">
        <v>53</v>
      </c>
      <c r="S9" s="4">
        <v>6300</v>
      </c>
      <c r="T9" s="4">
        <v>25200</v>
      </c>
      <c r="U9" s="4">
        <v>25200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25200</v>
      </c>
      <c r="AE9" s="4">
        <v>25200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17640</v>
      </c>
      <c r="AO9" s="4">
        <v>0</v>
      </c>
      <c r="AP9" s="4">
        <v>17640</v>
      </c>
      <c r="AQ9" t="s">
        <v>45</v>
      </c>
      <c r="AR9" t="s">
        <v>55</v>
      </c>
    </row>
    <row r="10" spans="1:44" x14ac:dyDescent="0.4">
      <c r="A10" s="3" t="s">
        <v>42</v>
      </c>
      <c r="B10" s="3" t="s">
        <v>43</v>
      </c>
      <c r="C10" s="3" t="s">
        <v>44</v>
      </c>
      <c r="D10" s="3" t="s">
        <v>45</v>
      </c>
      <c r="E10" s="3"/>
      <c r="F10" s="3" t="s">
        <v>46</v>
      </c>
      <c r="G10" s="3" t="s">
        <v>47</v>
      </c>
      <c r="H10" s="3" t="s">
        <v>48</v>
      </c>
      <c r="I10" s="3" t="s">
        <v>49</v>
      </c>
      <c r="J10" s="3">
        <v>55222371</v>
      </c>
      <c r="K10" s="3" t="s">
        <v>173</v>
      </c>
      <c r="L10" s="3"/>
      <c r="M10" s="3"/>
      <c r="N10" s="3" t="s">
        <v>55</v>
      </c>
      <c r="O10" s="3" t="s">
        <v>52</v>
      </c>
      <c r="P10" s="3">
        <v>0.7</v>
      </c>
      <c r="Q10" s="3">
        <v>0.6</v>
      </c>
      <c r="R10" s="4" t="s">
        <v>56</v>
      </c>
      <c r="S10" s="4">
        <v>100</v>
      </c>
      <c r="T10" s="4">
        <v>5700</v>
      </c>
      <c r="U10" s="4">
        <v>4800</v>
      </c>
      <c r="V10" s="4">
        <v>0</v>
      </c>
      <c r="W10" s="4">
        <v>0</v>
      </c>
      <c r="X10" s="4">
        <v>0</v>
      </c>
      <c r="Y10" s="4">
        <v>300</v>
      </c>
      <c r="Z10" s="4">
        <v>0</v>
      </c>
      <c r="AA10" s="4">
        <v>0</v>
      </c>
      <c r="AB10" s="4">
        <v>0</v>
      </c>
      <c r="AC10" s="4">
        <v>600</v>
      </c>
      <c r="AD10" s="4">
        <v>5760</v>
      </c>
      <c r="AE10" s="4">
        <v>4800</v>
      </c>
      <c r="AF10" s="4">
        <v>0</v>
      </c>
      <c r="AG10" s="4">
        <v>0</v>
      </c>
      <c r="AH10" s="4">
        <v>0</v>
      </c>
      <c r="AI10" s="4">
        <v>360</v>
      </c>
      <c r="AJ10" s="4">
        <v>0</v>
      </c>
      <c r="AK10" s="4">
        <v>0</v>
      </c>
      <c r="AL10" s="4">
        <v>0</v>
      </c>
      <c r="AM10" s="4">
        <v>600</v>
      </c>
      <c r="AN10" s="4">
        <v>3996</v>
      </c>
      <c r="AO10" s="4">
        <v>0</v>
      </c>
      <c r="AP10" s="4">
        <v>3996</v>
      </c>
      <c r="AQ10" t="s">
        <v>45</v>
      </c>
      <c r="AR10" t="s">
        <v>55</v>
      </c>
    </row>
    <row r="11" spans="1:44" x14ac:dyDescent="0.4">
      <c r="A11" s="3" t="s">
        <v>42</v>
      </c>
      <c r="B11" s="3" t="s">
        <v>43</v>
      </c>
      <c r="C11" s="3" t="s">
        <v>44</v>
      </c>
      <c r="D11" s="3" t="s">
        <v>45</v>
      </c>
      <c r="E11" s="3"/>
      <c r="F11" s="3" t="s">
        <v>46</v>
      </c>
      <c r="G11" s="3" t="s">
        <v>47</v>
      </c>
      <c r="H11" s="3" t="s">
        <v>48</v>
      </c>
      <c r="I11" s="3" t="s">
        <v>49</v>
      </c>
      <c r="J11" s="3">
        <v>55222371</v>
      </c>
      <c r="K11" s="3" t="s">
        <v>173</v>
      </c>
      <c r="L11" s="3"/>
      <c r="M11" s="3"/>
      <c r="N11" s="3" t="s">
        <v>55</v>
      </c>
      <c r="O11" s="3" t="s">
        <v>52</v>
      </c>
      <c r="P11" s="3">
        <v>0.7</v>
      </c>
      <c r="Q11" s="3">
        <v>0.6</v>
      </c>
      <c r="R11" s="4" t="s">
        <v>53</v>
      </c>
      <c r="S11" s="4">
        <v>900</v>
      </c>
      <c r="T11" s="4">
        <v>17100</v>
      </c>
      <c r="U11" s="4">
        <v>17100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17100</v>
      </c>
      <c r="AE11" s="4">
        <v>17100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11970</v>
      </c>
      <c r="AO11" s="4">
        <v>0</v>
      </c>
      <c r="AP11" s="4">
        <v>11970</v>
      </c>
      <c r="AQ11" t="s">
        <v>45</v>
      </c>
      <c r="AR11" t="s">
        <v>55</v>
      </c>
    </row>
    <row r="12" spans="1:44" x14ac:dyDescent="0.4">
      <c r="A12" s="3" t="s">
        <v>42</v>
      </c>
      <c r="B12" s="3" t="s">
        <v>43</v>
      </c>
      <c r="C12" s="3" t="s">
        <v>44</v>
      </c>
      <c r="D12" s="3" t="s">
        <v>45</v>
      </c>
      <c r="E12" s="3"/>
      <c r="F12" s="3" t="s">
        <v>46</v>
      </c>
      <c r="G12" s="3" t="s">
        <v>47</v>
      </c>
      <c r="H12" s="3" t="s">
        <v>48</v>
      </c>
      <c r="I12" s="3" t="s">
        <v>49</v>
      </c>
      <c r="J12" s="3">
        <v>55222371</v>
      </c>
      <c r="K12" s="3" t="s">
        <v>173</v>
      </c>
      <c r="L12" s="3"/>
      <c r="M12" s="3"/>
      <c r="N12" s="3" t="s">
        <v>55</v>
      </c>
      <c r="O12" s="3" t="s">
        <v>52</v>
      </c>
      <c r="P12" s="3">
        <v>0.7</v>
      </c>
      <c r="Q12" s="3">
        <v>0.6</v>
      </c>
      <c r="R12" s="4" t="s">
        <v>53</v>
      </c>
      <c r="S12" s="4">
        <v>2700</v>
      </c>
      <c r="T12" s="4">
        <v>13500</v>
      </c>
      <c r="U12" s="4">
        <v>13200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300</v>
      </c>
      <c r="AD12" s="4">
        <v>13500</v>
      </c>
      <c r="AE12" s="4">
        <v>13200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300</v>
      </c>
      <c r="AN12" s="4">
        <v>9450</v>
      </c>
      <c r="AO12" s="4">
        <v>0</v>
      </c>
      <c r="AP12" s="4">
        <v>9450</v>
      </c>
      <c r="AQ12" t="s">
        <v>45</v>
      </c>
      <c r="AR12" t="s">
        <v>55</v>
      </c>
    </row>
    <row r="13" spans="1:44" x14ac:dyDescent="0.4">
      <c r="A13" s="3" t="s">
        <v>42</v>
      </c>
      <c r="B13" s="3" t="s">
        <v>43</v>
      </c>
      <c r="C13" s="3" t="s">
        <v>44</v>
      </c>
      <c r="D13" s="3" t="s">
        <v>45</v>
      </c>
      <c r="E13" s="3"/>
      <c r="F13" s="3" t="s">
        <v>46</v>
      </c>
      <c r="G13" s="3" t="s">
        <v>47</v>
      </c>
      <c r="H13" s="3" t="s">
        <v>48</v>
      </c>
      <c r="I13" s="3" t="s">
        <v>49</v>
      </c>
      <c r="J13" s="3">
        <v>55222371</v>
      </c>
      <c r="K13" s="3" t="s">
        <v>173</v>
      </c>
      <c r="L13" s="3"/>
      <c r="M13" s="3"/>
      <c r="N13" s="3" t="s">
        <v>55</v>
      </c>
      <c r="O13" s="3" t="s">
        <v>52</v>
      </c>
      <c r="P13" s="3">
        <v>0.7</v>
      </c>
      <c r="Q13" s="3">
        <v>0.6</v>
      </c>
      <c r="R13" s="4" t="s">
        <v>53</v>
      </c>
      <c r="S13" s="4">
        <v>4500</v>
      </c>
      <c r="T13" s="4">
        <v>9000</v>
      </c>
      <c r="U13" s="4">
        <v>9000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9000</v>
      </c>
      <c r="AE13" s="4">
        <v>9000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6300</v>
      </c>
      <c r="AO13" s="4">
        <v>0</v>
      </c>
      <c r="AP13" s="4">
        <v>6300</v>
      </c>
      <c r="AQ13" t="s">
        <v>45</v>
      </c>
      <c r="AR13" t="s">
        <v>55</v>
      </c>
    </row>
    <row r="14" spans="1:44" x14ac:dyDescent="0.4">
      <c r="A14" s="3" t="s">
        <v>42</v>
      </c>
      <c r="B14" s="3" t="s">
        <v>43</v>
      </c>
      <c r="C14" s="3" t="s">
        <v>44</v>
      </c>
      <c r="D14" s="3" t="s">
        <v>45</v>
      </c>
      <c r="E14" s="3"/>
      <c r="F14" s="3" t="s">
        <v>46</v>
      </c>
      <c r="G14" s="3" t="s">
        <v>47</v>
      </c>
      <c r="H14" s="3" t="s">
        <v>48</v>
      </c>
      <c r="I14" s="3" t="s">
        <v>49</v>
      </c>
      <c r="J14" s="3">
        <v>55669749</v>
      </c>
      <c r="K14" s="3" t="s">
        <v>54</v>
      </c>
      <c r="L14" s="3"/>
      <c r="M14" s="3"/>
      <c r="N14" s="3" t="s">
        <v>55</v>
      </c>
      <c r="O14" s="3" t="s">
        <v>52</v>
      </c>
      <c r="P14" s="3">
        <v>0.7</v>
      </c>
      <c r="Q14" s="3">
        <v>0.6</v>
      </c>
      <c r="R14" s="4" t="s">
        <v>56</v>
      </c>
      <c r="S14" s="4">
        <v>100</v>
      </c>
      <c r="T14" s="4">
        <v>5700</v>
      </c>
      <c r="U14" s="4">
        <v>3260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2440</v>
      </c>
      <c r="AD14" s="4">
        <v>5700</v>
      </c>
      <c r="AE14" s="4">
        <v>3260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2440</v>
      </c>
      <c r="AN14" s="4">
        <v>3990</v>
      </c>
      <c r="AO14" s="4">
        <v>0</v>
      </c>
      <c r="AP14" s="4">
        <v>3990</v>
      </c>
      <c r="AQ14" t="s">
        <v>45</v>
      </c>
      <c r="AR14" t="s">
        <v>55</v>
      </c>
    </row>
    <row r="15" spans="1:44" x14ac:dyDescent="0.4">
      <c r="A15" s="3" t="s">
        <v>42</v>
      </c>
      <c r="B15" s="3" t="s">
        <v>43</v>
      </c>
      <c r="C15" s="3" t="s">
        <v>44</v>
      </c>
      <c r="D15" s="3" t="s">
        <v>45</v>
      </c>
      <c r="E15" s="3"/>
      <c r="F15" s="3" t="s">
        <v>46</v>
      </c>
      <c r="G15" s="3" t="s">
        <v>47</v>
      </c>
      <c r="H15" s="3" t="s">
        <v>48</v>
      </c>
      <c r="I15" s="3" t="s">
        <v>49</v>
      </c>
      <c r="J15" s="3">
        <v>55669749</v>
      </c>
      <c r="K15" s="3" t="s">
        <v>54</v>
      </c>
      <c r="L15" s="3"/>
      <c r="M15" s="3"/>
      <c r="N15" s="3" t="s">
        <v>55</v>
      </c>
      <c r="O15" s="3" t="s">
        <v>52</v>
      </c>
      <c r="P15" s="3">
        <v>0.7</v>
      </c>
      <c r="Q15" s="3">
        <v>0.6</v>
      </c>
      <c r="R15" s="4" t="s">
        <v>53</v>
      </c>
      <c r="S15" s="4">
        <v>900</v>
      </c>
      <c r="T15" s="4">
        <v>11700</v>
      </c>
      <c r="U15" s="4">
        <v>9900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1800</v>
      </c>
      <c r="AD15" s="4">
        <v>11700</v>
      </c>
      <c r="AE15" s="4">
        <v>9900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1800</v>
      </c>
      <c r="AN15" s="4">
        <v>8190</v>
      </c>
      <c r="AO15" s="4">
        <v>0</v>
      </c>
      <c r="AP15" s="4">
        <v>8190</v>
      </c>
      <c r="AQ15" t="s">
        <v>45</v>
      </c>
      <c r="AR15" t="s">
        <v>55</v>
      </c>
    </row>
    <row r="16" spans="1:44" x14ac:dyDescent="0.4">
      <c r="A16" s="3" t="s">
        <v>42</v>
      </c>
      <c r="B16" s="3" t="s">
        <v>43</v>
      </c>
      <c r="C16" s="3" t="s">
        <v>44</v>
      </c>
      <c r="D16" s="3" t="s">
        <v>45</v>
      </c>
      <c r="E16" s="3"/>
      <c r="F16" s="3" t="s">
        <v>46</v>
      </c>
      <c r="G16" s="3" t="s">
        <v>47</v>
      </c>
      <c r="H16" s="3" t="s">
        <v>48</v>
      </c>
      <c r="I16" s="3" t="s">
        <v>49</v>
      </c>
      <c r="J16" s="3">
        <v>55669749</v>
      </c>
      <c r="K16" s="3" t="s">
        <v>54</v>
      </c>
      <c r="L16" s="3"/>
      <c r="M16" s="3"/>
      <c r="N16" s="3" t="s">
        <v>55</v>
      </c>
      <c r="O16" s="3" t="s">
        <v>52</v>
      </c>
      <c r="P16" s="3">
        <v>0.7</v>
      </c>
      <c r="Q16" s="3">
        <v>0.6</v>
      </c>
      <c r="R16" s="4" t="s">
        <v>53</v>
      </c>
      <c r="S16" s="4">
        <v>1800</v>
      </c>
      <c r="T16" s="4">
        <v>10800</v>
      </c>
      <c r="U16" s="4">
        <v>7600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3200</v>
      </c>
      <c r="AD16" s="4">
        <v>10800</v>
      </c>
      <c r="AE16" s="4">
        <v>7600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3200</v>
      </c>
      <c r="AN16" s="4">
        <v>7560</v>
      </c>
      <c r="AO16" s="4">
        <v>0</v>
      </c>
      <c r="AP16" s="4">
        <v>7560</v>
      </c>
      <c r="AQ16" t="s">
        <v>45</v>
      </c>
      <c r="AR16" t="s">
        <v>55</v>
      </c>
    </row>
    <row r="17" spans="1:44" x14ac:dyDescent="0.4">
      <c r="A17" s="3" t="s">
        <v>42</v>
      </c>
      <c r="B17" s="3" t="s">
        <v>43</v>
      </c>
      <c r="C17" s="3" t="s">
        <v>44</v>
      </c>
      <c r="D17" s="3" t="s">
        <v>45</v>
      </c>
      <c r="E17" s="3"/>
      <c r="F17" s="3" t="s">
        <v>46</v>
      </c>
      <c r="G17" s="3" t="s">
        <v>47</v>
      </c>
      <c r="H17" s="3" t="s">
        <v>48</v>
      </c>
      <c r="I17" s="3" t="s">
        <v>49</v>
      </c>
      <c r="J17" s="3">
        <v>55669749</v>
      </c>
      <c r="K17" s="3" t="s">
        <v>54</v>
      </c>
      <c r="L17" s="3"/>
      <c r="M17" s="3"/>
      <c r="N17" s="3" t="s">
        <v>55</v>
      </c>
      <c r="O17" s="3" t="s">
        <v>52</v>
      </c>
      <c r="P17" s="3">
        <v>0.7</v>
      </c>
      <c r="Q17" s="3">
        <v>0.6</v>
      </c>
      <c r="R17" s="4" t="s">
        <v>53</v>
      </c>
      <c r="S17" s="4">
        <v>2700</v>
      </c>
      <c r="T17" s="4">
        <v>23800</v>
      </c>
      <c r="U17" s="4">
        <v>19600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4200</v>
      </c>
      <c r="AD17" s="4">
        <v>23800</v>
      </c>
      <c r="AE17" s="4">
        <v>19600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4200</v>
      </c>
      <c r="AN17" s="4">
        <v>16660</v>
      </c>
      <c r="AO17" s="4">
        <v>0</v>
      </c>
      <c r="AP17" s="4">
        <v>16660</v>
      </c>
      <c r="AQ17" t="s">
        <v>45</v>
      </c>
      <c r="AR17" t="s">
        <v>55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R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59413255</v>
      </c>
      <c r="K2" s="3" t="s">
        <v>254</v>
      </c>
      <c r="L2" s="3"/>
      <c r="M2" s="3"/>
      <c r="N2" s="3" t="s">
        <v>255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213800</v>
      </c>
      <c r="U2" s="4">
        <v>134900</v>
      </c>
      <c r="V2" s="4">
        <v>0</v>
      </c>
      <c r="W2" s="4">
        <v>0</v>
      </c>
      <c r="X2" s="4">
        <v>0</v>
      </c>
      <c r="Y2" s="4">
        <v>2900</v>
      </c>
      <c r="Z2" s="4">
        <v>4300</v>
      </c>
      <c r="AA2" s="4">
        <v>0</v>
      </c>
      <c r="AB2" s="4">
        <v>0</v>
      </c>
      <c r="AC2" s="4">
        <v>71700</v>
      </c>
      <c r="AD2" s="4">
        <v>214810</v>
      </c>
      <c r="AE2" s="4">
        <v>134900</v>
      </c>
      <c r="AF2" s="4">
        <v>0</v>
      </c>
      <c r="AG2" s="4">
        <v>0</v>
      </c>
      <c r="AH2" s="4">
        <v>0</v>
      </c>
      <c r="AI2" s="4">
        <v>3480</v>
      </c>
      <c r="AJ2" s="4">
        <v>4730</v>
      </c>
      <c r="AK2" s="4">
        <v>0</v>
      </c>
      <c r="AL2" s="4">
        <v>0</v>
      </c>
      <c r="AM2" s="4">
        <v>71700</v>
      </c>
      <c r="AN2" s="4">
        <v>149546</v>
      </c>
      <c r="AO2" s="4">
        <v>0</v>
      </c>
      <c r="AP2" s="4">
        <v>149546</v>
      </c>
      <c r="AQ2" t="s">
        <v>45</v>
      </c>
      <c r="AR2" t="s">
        <v>255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59413255</v>
      </c>
      <c r="K3" s="3" t="s">
        <v>254</v>
      </c>
      <c r="L3" s="3"/>
      <c r="M3" s="3"/>
      <c r="N3" s="3" t="s">
        <v>255</v>
      </c>
      <c r="O3" s="3" t="s">
        <v>52</v>
      </c>
      <c r="P3" s="3">
        <v>0.7</v>
      </c>
      <c r="Q3" s="3">
        <v>0.6</v>
      </c>
      <c r="R3" s="4" t="s">
        <v>53</v>
      </c>
      <c r="S3" s="4">
        <v>1900</v>
      </c>
      <c r="T3" s="4">
        <v>313500</v>
      </c>
      <c r="U3" s="4">
        <v>265000</v>
      </c>
      <c r="V3" s="4">
        <v>0</v>
      </c>
      <c r="W3" s="4">
        <v>0</v>
      </c>
      <c r="X3" s="4">
        <v>0</v>
      </c>
      <c r="Y3" s="4">
        <v>7000</v>
      </c>
      <c r="Z3" s="4">
        <v>10700</v>
      </c>
      <c r="AA3" s="4">
        <v>0</v>
      </c>
      <c r="AB3" s="4">
        <v>0</v>
      </c>
      <c r="AC3" s="4">
        <v>30800</v>
      </c>
      <c r="AD3" s="4">
        <v>315970</v>
      </c>
      <c r="AE3" s="4">
        <v>265000</v>
      </c>
      <c r="AF3" s="4">
        <v>0</v>
      </c>
      <c r="AG3" s="4">
        <v>0</v>
      </c>
      <c r="AH3" s="4">
        <v>0</v>
      </c>
      <c r="AI3" s="4">
        <v>8400</v>
      </c>
      <c r="AJ3" s="4">
        <v>11770</v>
      </c>
      <c r="AK3" s="4">
        <v>0</v>
      </c>
      <c r="AL3" s="4">
        <v>0</v>
      </c>
      <c r="AM3" s="4">
        <v>30800</v>
      </c>
      <c r="AN3" s="4">
        <v>219162</v>
      </c>
      <c r="AO3" s="4">
        <v>0</v>
      </c>
      <c r="AP3" s="4">
        <v>219162</v>
      </c>
      <c r="AQ3" t="s">
        <v>45</v>
      </c>
      <c r="AR3" t="s">
        <v>255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59413255</v>
      </c>
      <c r="K4" s="3" t="s">
        <v>254</v>
      </c>
      <c r="L4" s="3"/>
      <c r="M4" s="3"/>
      <c r="N4" s="3" t="s">
        <v>255</v>
      </c>
      <c r="O4" s="3" t="s">
        <v>52</v>
      </c>
      <c r="P4" s="3">
        <v>0.7</v>
      </c>
      <c r="Q4" s="3">
        <v>0.6</v>
      </c>
      <c r="R4" s="4" t="s">
        <v>53</v>
      </c>
      <c r="S4" s="4">
        <v>3700</v>
      </c>
      <c r="T4" s="4">
        <v>152100</v>
      </c>
      <c r="U4" s="4">
        <v>131100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21000</v>
      </c>
      <c r="AD4" s="4">
        <v>152100</v>
      </c>
      <c r="AE4" s="4">
        <v>131100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21000</v>
      </c>
      <c r="AN4" s="4">
        <v>106470</v>
      </c>
      <c r="AO4" s="4">
        <v>0</v>
      </c>
      <c r="AP4" s="4">
        <v>106470</v>
      </c>
      <c r="AQ4" t="s">
        <v>45</v>
      </c>
      <c r="AR4" t="s">
        <v>255</v>
      </c>
    </row>
    <row r="5" spans="1:44" x14ac:dyDescent="0.4">
      <c r="A5" s="3" t="s">
        <v>42</v>
      </c>
      <c r="B5" s="3" t="s">
        <v>43</v>
      </c>
      <c r="C5" s="3" t="s">
        <v>44</v>
      </c>
      <c r="D5" s="3" t="s">
        <v>45</v>
      </c>
      <c r="E5" s="3"/>
      <c r="F5" s="3" t="s">
        <v>46</v>
      </c>
      <c r="G5" s="3" t="s">
        <v>47</v>
      </c>
      <c r="H5" s="3" t="s">
        <v>48</v>
      </c>
      <c r="I5" s="3" t="s">
        <v>49</v>
      </c>
      <c r="J5" s="3">
        <v>59413255</v>
      </c>
      <c r="K5" s="3" t="s">
        <v>254</v>
      </c>
      <c r="L5" s="3"/>
      <c r="M5" s="3"/>
      <c r="N5" s="3" t="s">
        <v>255</v>
      </c>
      <c r="O5" s="3" t="s">
        <v>52</v>
      </c>
      <c r="P5" s="3">
        <v>0.7</v>
      </c>
      <c r="Q5" s="3">
        <v>0.6</v>
      </c>
      <c r="R5" s="4" t="s">
        <v>53</v>
      </c>
      <c r="S5" s="4">
        <v>7200</v>
      </c>
      <c r="T5" s="4">
        <v>89700</v>
      </c>
      <c r="U5" s="4">
        <v>67700</v>
      </c>
      <c r="V5" s="4">
        <v>0</v>
      </c>
      <c r="W5" s="4">
        <v>0</v>
      </c>
      <c r="X5" s="4">
        <v>0</v>
      </c>
      <c r="Y5" s="4">
        <v>0</v>
      </c>
      <c r="Z5" s="4">
        <v>14400</v>
      </c>
      <c r="AA5" s="4">
        <v>0</v>
      </c>
      <c r="AB5" s="4">
        <v>0</v>
      </c>
      <c r="AC5" s="4">
        <v>7600</v>
      </c>
      <c r="AD5" s="4">
        <v>91140</v>
      </c>
      <c r="AE5" s="4">
        <v>67700</v>
      </c>
      <c r="AF5" s="4">
        <v>0</v>
      </c>
      <c r="AG5" s="4">
        <v>0</v>
      </c>
      <c r="AH5" s="4">
        <v>0</v>
      </c>
      <c r="AI5" s="4">
        <v>0</v>
      </c>
      <c r="AJ5" s="4">
        <v>15840</v>
      </c>
      <c r="AK5" s="4">
        <v>0</v>
      </c>
      <c r="AL5" s="4">
        <v>0</v>
      </c>
      <c r="AM5" s="4">
        <v>7600</v>
      </c>
      <c r="AN5" s="4">
        <v>62214</v>
      </c>
      <c r="AO5" s="4">
        <v>0</v>
      </c>
      <c r="AP5" s="4">
        <v>62214</v>
      </c>
      <c r="AQ5" t="s">
        <v>45</v>
      </c>
      <c r="AR5" t="s">
        <v>255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R12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5.1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24.0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56652170</v>
      </c>
      <c r="K2" s="3" t="s">
        <v>133</v>
      </c>
      <c r="L2" s="3"/>
      <c r="M2" s="3"/>
      <c r="N2" s="3" t="s">
        <v>115</v>
      </c>
      <c r="O2" s="3" t="s">
        <v>52</v>
      </c>
      <c r="P2" s="3">
        <v>0.7</v>
      </c>
      <c r="Q2" s="3">
        <v>0.6</v>
      </c>
      <c r="R2" s="4" t="s">
        <v>74</v>
      </c>
      <c r="S2" s="4">
        <v>900</v>
      </c>
      <c r="T2" s="4">
        <v>38700</v>
      </c>
      <c r="U2" s="4">
        <v>27000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11700</v>
      </c>
      <c r="AD2" s="4">
        <v>38700</v>
      </c>
      <c r="AE2" s="4">
        <v>27000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11700</v>
      </c>
      <c r="AN2" s="4">
        <v>27090</v>
      </c>
      <c r="AO2" s="4">
        <v>0</v>
      </c>
      <c r="AP2" s="4">
        <v>27090</v>
      </c>
      <c r="AQ2" t="s">
        <v>45</v>
      </c>
      <c r="AR2" t="s">
        <v>115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56652170</v>
      </c>
      <c r="K3" s="3" t="s">
        <v>133</v>
      </c>
      <c r="L3" s="3"/>
      <c r="M3" s="3"/>
      <c r="N3" s="3" t="s">
        <v>115</v>
      </c>
      <c r="O3" s="3" t="s">
        <v>52</v>
      </c>
      <c r="P3" s="3">
        <v>0.7</v>
      </c>
      <c r="Q3" s="3">
        <v>0.6</v>
      </c>
      <c r="R3" s="4" t="s">
        <v>110</v>
      </c>
      <c r="S3" s="4">
        <v>13500</v>
      </c>
      <c r="T3" s="4">
        <v>13500</v>
      </c>
      <c r="U3" s="4">
        <v>13500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13500</v>
      </c>
      <c r="AE3" s="4">
        <v>13500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9450</v>
      </c>
      <c r="AO3" s="4">
        <v>0</v>
      </c>
      <c r="AP3" s="4">
        <v>9450</v>
      </c>
      <c r="AQ3" t="s">
        <v>45</v>
      </c>
      <c r="AR3" t="s">
        <v>115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56652271</v>
      </c>
      <c r="K4" s="3" t="s">
        <v>134</v>
      </c>
      <c r="L4" s="3"/>
      <c r="M4" s="3"/>
      <c r="N4" s="3" t="s">
        <v>115</v>
      </c>
      <c r="O4" s="3" t="s">
        <v>52</v>
      </c>
      <c r="P4" s="3">
        <v>0.7</v>
      </c>
      <c r="Q4" s="3">
        <v>0.6</v>
      </c>
      <c r="R4" s="4" t="s">
        <v>56</v>
      </c>
      <c r="S4" s="4">
        <v>3200</v>
      </c>
      <c r="T4" s="4">
        <v>48000</v>
      </c>
      <c r="U4" s="4">
        <v>46000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2000</v>
      </c>
      <c r="AD4" s="4">
        <v>48000</v>
      </c>
      <c r="AE4" s="4">
        <v>46000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2000</v>
      </c>
      <c r="AN4" s="4">
        <v>33600</v>
      </c>
      <c r="AO4" s="4">
        <v>0</v>
      </c>
      <c r="AP4" s="4">
        <v>33600</v>
      </c>
      <c r="AQ4" t="s">
        <v>45</v>
      </c>
      <c r="AR4" t="s">
        <v>115</v>
      </c>
    </row>
    <row r="5" spans="1:44" x14ac:dyDescent="0.4">
      <c r="A5" s="3" t="s">
        <v>42</v>
      </c>
      <c r="B5" s="3" t="s">
        <v>43</v>
      </c>
      <c r="C5" s="3" t="s">
        <v>44</v>
      </c>
      <c r="D5" s="3" t="s">
        <v>45</v>
      </c>
      <c r="E5" s="3"/>
      <c r="F5" s="3" t="s">
        <v>46</v>
      </c>
      <c r="G5" s="3" t="s">
        <v>47</v>
      </c>
      <c r="H5" s="3" t="s">
        <v>48</v>
      </c>
      <c r="I5" s="3" t="s">
        <v>49</v>
      </c>
      <c r="J5" s="3">
        <v>48041933</v>
      </c>
      <c r="K5" s="3" t="s">
        <v>114</v>
      </c>
      <c r="L5" s="3"/>
      <c r="M5" s="3"/>
      <c r="N5" s="3" t="s">
        <v>115</v>
      </c>
      <c r="O5" s="3" t="s">
        <v>52</v>
      </c>
      <c r="P5" s="3">
        <v>0.7</v>
      </c>
      <c r="Q5" s="3">
        <v>0.6</v>
      </c>
      <c r="R5" s="4" t="s">
        <v>56</v>
      </c>
      <c r="S5" s="4">
        <v>100</v>
      </c>
      <c r="T5" s="4">
        <v>87400</v>
      </c>
      <c r="U5" s="4">
        <v>26300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61100</v>
      </c>
      <c r="AD5" s="4">
        <v>87400</v>
      </c>
      <c r="AE5" s="4">
        <v>26300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61100</v>
      </c>
      <c r="AN5" s="4">
        <v>61180</v>
      </c>
      <c r="AO5" s="4">
        <v>0</v>
      </c>
      <c r="AP5" s="4">
        <v>61180</v>
      </c>
      <c r="AQ5" t="s">
        <v>45</v>
      </c>
      <c r="AR5" t="s">
        <v>115</v>
      </c>
    </row>
    <row r="6" spans="1:44" x14ac:dyDescent="0.4">
      <c r="A6" s="3" t="s">
        <v>42</v>
      </c>
      <c r="B6" s="3" t="s">
        <v>43</v>
      </c>
      <c r="C6" s="3" t="s">
        <v>44</v>
      </c>
      <c r="D6" s="3" t="s">
        <v>45</v>
      </c>
      <c r="E6" s="3"/>
      <c r="F6" s="3" t="s">
        <v>46</v>
      </c>
      <c r="G6" s="3" t="s">
        <v>47</v>
      </c>
      <c r="H6" s="3" t="s">
        <v>48</v>
      </c>
      <c r="I6" s="3" t="s">
        <v>49</v>
      </c>
      <c r="J6" s="3">
        <v>48041933</v>
      </c>
      <c r="K6" s="3" t="s">
        <v>114</v>
      </c>
      <c r="L6" s="3"/>
      <c r="M6" s="3"/>
      <c r="N6" s="3" t="s">
        <v>115</v>
      </c>
      <c r="O6" s="3" t="s">
        <v>52</v>
      </c>
      <c r="P6" s="3">
        <v>0.7</v>
      </c>
      <c r="Q6" s="3">
        <v>0.6</v>
      </c>
      <c r="R6" s="4" t="s">
        <v>53</v>
      </c>
      <c r="S6" s="4">
        <v>2300</v>
      </c>
      <c r="T6" s="4">
        <v>86100</v>
      </c>
      <c r="U6" s="4">
        <v>53940</v>
      </c>
      <c r="V6" s="4">
        <v>0</v>
      </c>
      <c r="W6" s="4">
        <v>0</v>
      </c>
      <c r="X6" s="4">
        <v>0</v>
      </c>
      <c r="Y6" s="4">
        <v>0</v>
      </c>
      <c r="Z6" s="4">
        <v>600</v>
      </c>
      <c r="AA6" s="4">
        <v>0</v>
      </c>
      <c r="AB6" s="4">
        <v>0</v>
      </c>
      <c r="AC6" s="4">
        <v>31560</v>
      </c>
      <c r="AD6" s="4">
        <v>86160</v>
      </c>
      <c r="AE6" s="4">
        <v>53940</v>
      </c>
      <c r="AF6" s="4">
        <v>0</v>
      </c>
      <c r="AG6" s="4">
        <v>0</v>
      </c>
      <c r="AH6" s="4">
        <v>0</v>
      </c>
      <c r="AI6" s="4">
        <v>0</v>
      </c>
      <c r="AJ6" s="4">
        <v>660</v>
      </c>
      <c r="AK6" s="4">
        <v>0</v>
      </c>
      <c r="AL6" s="4">
        <v>0</v>
      </c>
      <c r="AM6" s="4">
        <v>31560</v>
      </c>
      <c r="AN6" s="4">
        <v>60246</v>
      </c>
      <c r="AO6" s="4">
        <v>0</v>
      </c>
      <c r="AP6" s="4">
        <v>60246</v>
      </c>
      <c r="AQ6" t="s">
        <v>45</v>
      </c>
      <c r="AR6" t="s">
        <v>115</v>
      </c>
    </row>
    <row r="7" spans="1:44" x14ac:dyDescent="0.4">
      <c r="A7" s="3" t="s">
        <v>42</v>
      </c>
      <c r="B7" s="3" t="s">
        <v>43</v>
      </c>
      <c r="C7" s="3" t="s">
        <v>44</v>
      </c>
      <c r="D7" s="3" t="s">
        <v>45</v>
      </c>
      <c r="E7" s="3"/>
      <c r="F7" s="3" t="s">
        <v>46</v>
      </c>
      <c r="G7" s="3" t="s">
        <v>47</v>
      </c>
      <c r="H7" s="3" t="s">
        <v>48</v>
      </c>
      <c r="I7" s="3" t="s">
        <v>49</v>
      </c>
      <c r="J7" s="3">
        <v>48041933</v>
      </c>
      <c r="K7" s="3" t="s">
        <v>114</v>
      </c>
      <c r="L7" s="3"/>
      <c r="M7" s="3"/>
      <c r="N7" s="3" t="s">
        <v>115</v>
      </c>
      <c r="O7" s="3" t="s">
        <v>52</v>
      </c>
      <c r="P7" s="3">
        <v>0.7</v>
      </c>
      <c r="Q7" s="3">
        <v>0.6</v>
      </c>
      <c r="R7" s="4" t="s">
        <v>53</v>
      </c>
      <c r="S7" s="4">
        <v>6800</v>
      </c>
      <c r="T7" s="4">
        <v>58100</v>
      </c>
      <c r="U7" s="4">
        <v>57200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900</v>
      </c>
      <c r="AD7" s="4">
        <v>58100</v>
      </c>
      <c r="AE7" s="4">
        <v>57200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900</v>
      </c>
      <c r="AN7" s="4">
        <v>40670</v>
      </c>
      <c r="AO7" s="4">
        <v>0</v>
      </c>
      <c r="AP7" s="4">
        <v>40670</v>
      </c>
      <c r="AQ7" t="s">
        <v>45</v>
      </c>
      <c r="AR7" t="s">
        <v>115</v>
      </c>
    </row>
    <row r="8" spans="1:44" x14ac:dyDescent="0.4">
      <c r="A8" s="3" t="s">
        <v>42</v>
      </c>
      <c r="B8" s="3" t="s">
        <v>43</v>
      </c>
      <c r="C8" s="3" t="s">
        <v>44</v>
      </c>
      <c r="D8" s="3" t="s">
        <v>45</v>
      </c>
      <c r="E8" s="3"/>
      <c r="F8" s="3" t="s">
        <v>46</v>
      </c>
      <c r="G8" s="3" t="s">
        <v>47</v>
      </c>
      <c r="H8" s="3" t="s">
        <v>48</v>
      </c>
      <c r="I8" s="3" t="s">
        <v>49</v>
      </c>
      <c r="J8" s="3">
        <v>48041933</v>
      </c>
      <c r="K8" s="3" t="s">
        <v>114</v>
      </c>
      <c r="L8" s="3"/>
      <c r="M8" s="3"/>
      <c r="N8" s="3" t="s">
        <v>115</v>
      </c>
      <c r="O8" s="3" t="s">
        <v>52</v>
      </c>
      <c r="P8" s="3">
        <v>0.7</v>
      </c>
      <c r="Q8" s="3">
        <v>0.6</v>
      </c>
      <c r="R8" s="4" t="s">
        <v>53</v>
      </c>
      <c r="S8" s="4">
        <v>13500</v>
      </c>
      <c r="T8" s="4">
        <v>48900</v>
      </c>
      <c r="U8" s="4">
        <v>44800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4100</v>
      </c>
      <c r="AD8" s="4">
        <v>48900</v>
      </c>
      <c r="AE8" s="4">
        <v>44800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4100</v>
      </c>
      <c r="AN8" s="4">
        <v>34230</v>
      </c>
      <c r="AO8" s="4">
        <v>0</v>
      </c>
      <c r="AP8" s="4">
        <v>34230</v>
      </c>
      <c r="AQ8" t="s">
        <v>45</v>
      </c>
      <c r="AR8" t="s">
        <v>115</v>
      </c>
    </row>
    <row r="9" spans="1:44" x14ac:dyDescent="0.4">
      <c r="A9" s="3" t="s">
        <v>42</v>
      </c>
      <c r="B9" s="3" t="s">
        <v>43</v>
      </c>
      <c r="C9" s="3" t="s">
        <v>44</v>
      </c>
      <c r="D9" s="3" t="s">
        <v>45</v>
      </c>
      <c r="E9" s="3"/>
      <c r="F9" s="3" t="s">
        <v>46</v>
      </c>
      <c r="G9" s="3" t="s">
        <v>47</v>
      </c>
      <c r="H9" s="3" t="s">
        <v>48</v>
      </c>
      <c r="I9" s="3" t="s">
        <v>49</v>
      </c>
      <c r="J9" s="3">
        <v>49945284</v>
      </c>
      <c r="K9" s="3" t="s">
        <v>206</v>
      </c>
      <c r="L9" s="3"/>
      <c r="M9" s="3"/>
      <c r="N9" s="3" t="s">
        <v>115</v>
      </c>
      <c r="O9" s="3" t="s">
        <v>52</v>
      </c>
      <c r="P9" s="3">
        <v>0.7</v>
      </c>
      <c r="Q9" s="3">
        <v>0.6</v>
      </c>
      <c r="R9" s="4" t="s">
        <v>56</v>
      </c>
      <c r="S9" s="4">
        <v>100</v>
      </c>
      <c r="T9" s="4">
        <v>52100</v>
      </c>
      <c r="U9" s="4">
        <v>12600</v>
      </c>
      <c r="V9" s="4">
        <v>0</v>
      </c>
      <c r="W9" s="4">
        <v>0</v>
      </c>
      <c r="X9" s="4">
        <v>0</v>
      </c>
      <c r="Y9" s="4">
        <v>1500</v>
      </c>
      <c r="Z9" s="4">
        <v>100</v>
      </c>
      <c r="AA9" s="4">
        <v>0</v>
      </c>
      <c r="AB9" s="4">
        <v>0</v>
      </c>
      <c r="AC9" s="4">
        <v>37900</v>
      </c>
      <c r="AD9" s="4">
        <v>52410</v>
      </c>
      <c r="AE9" s="4">
        <v>12600</v>
      </c>
      <c r="AF9" s="4">
        <v>0</v>
      </c>
      <c r="AG9" s="4">
        <v>0</v>
      </c>
      <c r="AH9" s="4">
        <v>0</v>
      </c>
      <c r="AI9" s="4">
        <v>1800</v>
      </c>
      <c r="AJ9" s="4">
        <v>110</v>
      </c>
      <c r="AK9" s="4">
        <v>0</v>
      </c>
      <c r="AL9" s="4">
        <v>0</v>
      </c>
      <c r="AM9" s="4">
        <v>37900</v>
      </c>
      <c r="AN9" s="4">
        <v>36496</v>
      </c>
      <c r="AO9" s="4">
        <v>0</v>
      </c>
      <c r="AP9" s="4">
        <v>36496</v>
      </c>
      <c r="AQ9" t="s">
        <v>45</v>
      </c>
      <c r="AR9" t="s">
        <v>115</v>
      </c>
    </row>
    <row r="10" spans="1:44" x14ac:dyDescent="0.4">
      <c r="A10" s="3" t="s">
        <v>42</v>
      </c>
      <c r="B10" s="3" t="s">
        <v>43</v>
      </c>
      <c r="C10" s="3" t="s">
        <v>44</v>
      </c>
      <c r="D10" s="3" t="s">
        <v>45</v>
      </c>
      <c r="E10" s="3"/>
      <c r="F10" s="3" t="s">
        <v>46</v>
      </c>
      <c r="G10" s="3" t="s">
        <v>47</v>
      </c>
      <c r="H10" s="3" t="s">
        <v>48</v>
      </c>
      <c r="I10" s="3" t="s">
        <v>49</v>
      </c>
      <c r="J10" s="3">
        <v>49945284</v>
      </c>
      <c r="K10" s="3" t="s">
        <v>206</v>
      </c>
      <c r="L10" s="3"/>
      <c r="M10" s="3"/>
      <c r="N10" s="3" t="s">
        <v>115</v>
      </c>
      <c r="O10" s="3" t="s">
        <v>52</v>
      </c>
      <c r="P10" s="3">
        <v>0.7</v>
      </c>
      <c r="Q10" s="3">
        <v>0.6</v>
      </c>
      <c r="R10" s="4" t="s">
        <v>53</v>
      </c>
      <c r="S10" s="4">
        <v>2700</v>
      </c>
      <c r="T10" s="4">
        <v>32100</v>
      </c>
      <c r="U10" s="4">
        <v>17500</v>
      </c>
      <c r="V10" s="4">
        <v>0</v>
      </c>
      <c r="W10" s="4">
        <v>0</v>
      </c>
      <c r="X10" s="4">
        <v>0</v>
      </c>
      <c r="Y10" s="4">
        <v>2700</v>
      </c>
      <c r="Z10" s="4">
        <v>0</v>
      </c>
      <c r="AA10" s="4">
        <v>0</v>
      </c>
      <c r="AB10" s="4">
        <v>0</v>
      </c>
      <c r="AC10" s="4">
        <v>11900</v>
      </c>
      <c r="AD10" s="4">
        <v>32640</v>
      </c>
      <c r="AE10" s="4">
        <v>17500</v>
      </c>
      <c r="AF10" s="4">
        <v>0</v>
      </c>
      <c r="AG10" s="4">
        <v>0</v>
      </c>
      <c r="AH10" s="4">
        <v>0</v>
      </c>
      <c r="AI10" s="4">
        <v>3240</v>
      </c>
      <c r="AJ10" s="4">
        <v>0</v>
      </c>
      <c r="AK10" s="4">
        <v>0</v>
      </c>
      <c r="AL10" s="4">
        <v>0</v>
      </c>
      <c r="AM10" s="4">
        <v>11900</v>
      </c>
      <c r="AN10" s="4">
        <v>22524</v>
      </c>
      <c r="AO10" s="4">
        <v>0</v>
      </c>
      <c r="AP10" s="4">
        <v>22524</v>
      </c>
      <c r="AQ10" t="s">
        <v>45</v>
      </c>
      <c r="AR10" t="s">
        <v>115</v>
      </c>
    </row>
    <row r="11" spans="1:44" x14ac:dyDescent="0.4">
      <c r="A11" s="3" t="s">
        <v>42</v>
      </c>
      <c r="B11" s="3" t="s">
        <v>43</v>
      </c>
      <c r="C11" s="3" t="s">
        <v>44</v>
      </c>
      <c r="D11" s="3" t="s">
        <v>45</v>
      </c>
      <c r="E11" s="3"/>
      <c r="F11" s="3" t="s">
        <v>46</v>
      </c>
      <c r="G11" s="3" t="s">
        <v>47</v>
      </c>
      <c r="H11" s="3" t="s">
        <v>48</v>
      </c>
      <c r="I11" s="3" t="s">
        <v>49</v>
      </c>
      <c r="J11" s="3">
        <v>49945284</v>
      </c>
      <c r="K11" s="3" t="s">
        <v>206</v>
      </c>
      <c r="L11" s="3"/>
      <c r="M11" s="3"/>
      <c r="N11" s="3" t="s">
        <v>115</v>
      </c>
      <c r="O11" s="3" t="s">
        <v>52</v>
      </c>
      <c r="P11" s="3">
        <v>0.7</v>
      </c>
      <c r="Q11" s="3">
        <v>0.6</v>
      </c>
      <c r="R11" s="4" t="s">
        <v>53</v>
      </c>
      <c r="S11" s="4">
        <v>4500</v>
      </c>
      <c r="T11" s="4">
        <v>19000</v>
      </c>
      <c r="U11" s="4">
        <v>19200</v>
      </c>
      <c r="V11" s="4">
        <v>0</v>
      </c>
      <c r="W11" s="4">
        <v>0</v>
      </c>
      <c r="X11" s="4">
        <v>0</v>
      </c>
      <c r="Y11" s="4">
        <v>-200</v>
      </c>
      <c r="Z11" s="4">
        <v>0</v>
      </c>
      <c r="AA11" s="4">
        <v>0</v>
      </c>
      <c r="AB11" s="4">
        <v>0</v>
      </c>
      <c r="AC11" s="4">
        <v>0</v>
      </c>
      <c r="AD11" s="4">
        <v>18960</v>
      </c>
      <c r="AE11" s="4">
        <v>19200</v>
      </c>
      <c r="AF11" s="4">
        <v>0</v>
      </c>
      <c r="AG11" s="4">
        <v>0</v>
      </c>
      <c r="AH11" s="4">
        <v>0</v>
      </c>
      <c r="AI11" s="4">
        <v>-240</v>
      </c>
      <c r="AJ11" s="4">
        <v>0</v>
      </c>
      <c r="AK11" s="4">
        <v>0</v>
      </c>
      <c r="AL11" s="4">
        <v>0</v>
      </c>
      <c r="AM11" s="4">
        <v>0</v>
      </c>
      <c r="AN11" s="4">
        <v>13296</v>
      </c>
      <c r="AO11" s="4">
        <v>0</v>
      </c>
      <c r="AP11" s="4">
        <v>13296</v>
      </c>
      <c r="AQ11" t="s">
        <v>45</v>
      </c>
      <c r="AR11" t="s">
        <v>115</v>
      </c>
    </row>
    <row r="12" spans="1:44" x14ac:dyDescent="0.4">
      <c r="A12" s="3" t="s">
        <v>42</v>
      </c>
      <c r="B12" s="3" t="s">
        <v>43</v>
      </c>
      <c r="C12" s="3" t="s">
        <v>44</v>
      </c>
      <c r="D12" s="3" t="s">
        <v>45</v>
      </c>
      <c r="E12" s="3"/>
      <c r="F12" s="3" t="s">
        <v>46</v>
      </c>
      <c r="G12" s="3" t="s">
        <v>47</v>
      </c>
      <c r="H12" s="3" t="s">
        <v>48</v>
      </c>
      <c r="I12" s="3" t="s">
        <v>49</v>
      </c>
      <c r="J12" s="3">
        <v>49945284</v>
      </c>
      <c r="K12" s="3" t="s">
        <v>206</v>
      </c>
      <c r="L12" s="3"/>
      <c r="M12" s="3"/>
      <c r="N12" s="3" t="s">
        <v>115</v>
      </c>
      <c r="O12" s="3" t="s">
        <v>52</v>
      </c>
      <c r="P12" s="3">
        <v>0.7</v>
      </c>
      <c r="Q12" s="3">
        <v>0.6</v>
      </c>
      <c r="R12" s="4" t="s">
        <v>53</v>
      </c>
      <c r="S12" s="4">
        <v>9000</v>
      </c>
      <c r="T12" s="4">
        <v>135300</v>
      </c>
      <c r="U12" s="4">
        <v>107800</v>
      </c>
      <c r="V12" s="4">
        <v>0</v>
      </c>
      <c r="W12" s="4">
        <v>0</v>
      </c>
      <c r="X12" s="4">
        <v>-2200</v>
      </c>
      <c r="Y12" s="4">
        <v>27000</v>
      </c>
      <c r="Z12" s="4">
        <v>0</v>
      </c>
      <c r="AA12" s="4">
        <v>0</v>
      </c>
      <c r="AB12" s="4">
        <v>0</v>
      </c>
      <c r="AC12" s="4">
        <v>2700</v>
      </c>
      <c r="AD12" s="4">
        <v>139854.8278</v>
      </c>
      <c r="AE12" s="4">
        <v>107800</v>
      </c>
      <c r="AF12" s="4">
        <v>0</v>
      </c>
      <c r="AG12" s="4">
        <v>0</v>
      </c>
      <c r="AH12" s="4">
        <v>-3045.1722</v>
      </c>
      <c r="AI12" s="4">
        <v>32400</v>
      </c>
      <c r="AJ12" s="4">
        <v>0</v>
      </c>
      <c r="AK12" s="4">
        <v>0</v>
      </c>
      <c r="AL12" s="4">
        <v>0</v>
      </c>
      <c r="AM12" s="4">
        <v>2700</v>
      </c>
      <c r="AN12" s="4">
        <v>94963</v>
      </c>
      <c r="AO12" s="4">
        <v>0</v>
      </c>
      <c r="AP12" s="4">
        <v>94963</v>
      </c>
      <c r="AQ12" t="s">
        <v>45</v>
      </c>
      <c r="AR12" t="s">
        <v>115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R9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3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53823730</v>
      </c>
      <c r="K2" s="3" t="s">
        <v>50</v>
      </c>
      <c r="L2" s="3"/>
      <c r="M2" s="3"/>
      <c r="N2" s="3" t="s">
        <v>51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25400</v>
      </c>
      <c r="U2" s="4">
        <v>17300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8100</v>
      </c>
      <c r="AD2" s="4">
        <v>25400</v>
      </c>
      <c r="AE2" s="4">
        <v>17300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8100</v>
      </c>
      <c r="AN2" s="4">
        <v>17780</v>
      </c>
      <c r="AO2" s="4">
        <v>0</v>
      </c>
      <c r="AP2" s="4">
        <v>17780</v>
      </c>
      <c r="AQ2" t="s">
        <v>45</v>
      </c>
      <c r="AR2" t="s">
        <v>51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53823730</v>
      </c>
      <c r="K3" s="3" t="s">
        <v>50</v>
      </c>
      <c r="L3" s="3"/>
      <c r="M3" s="3"/>
      <c r="N3" s="3" t="s">
        <v>51</v>
      </c>
      <c r="O3" s="3" t="s">
        <v>52</v>
      </c>
      <c r="P3" s="3">
        <v>0.7</v>
      </c>
      <c r="Q3" s="3">
        <v>0.6</v>
      </c>
      <c r="R3" s="4" t="s">
        <v>53</v>
      </c>
      <c r="S3" s="4">
        <v>900</v>
      </c>
      <c r="T3" s="4">
        <v>27000</v>
      </c>
      <c r="U3" s="4">
        <v>21900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5100</v>
      </c>
      <c r="AD3" s="4">
        <v>27000</v>
      </c>
      <c r="AE3" s="4">
        <v>21900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5100</v>
      </c>
      <c r="AN3" s="4">
        <v>18900</v>
      </c>
      <c r="AO3" s="4">
        <v>0</v>
      </c>
      <c r="AP3" s="4">
        <v>18900</v>
      </c>
      <c r="AQ3" t="s">
        <v>45</v>
      </c>
      <c r="AR3" t="s">
        <v>51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53823730</v>
      </c>
      <c r="K4" s="3" t="s">
        <v>50</v>
      </c>
      <c r="L4" s="3"/>
      <c r="M4" s="3"/>
      <c r="N4" s="3" t="s">
        <v>51</v>
      </c>
      <c r="O4" s="3" t="s">
        <v>52</v>
      </c>
      <c r="P4" s="3">
        <v>0.7</v>
      </c>
      <c r="Q4" s="3">
        <v>0.6</v>
      </c>
      <c r="R4" s="4" t="s">
        <v>53</v>
      </c>
      <c r="S4" s="4">
        <v>1800</v>
      </c>
      <c r="T4" s="4">
        <v>5400</v>
      </c>
      <c r="U4" s="4">
        <v>4900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500</v>
      </c>
      <c r="AD4" s="4">
        <v>5400</v>
      </c>
      <c r="AE4" s="4">
        <v>4900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500</v>
      </c>
      <c r="AN4" s="4">
        <v>3780</v>
      </c>
      <c r="AO4" s="4">
        <v>0</v>
      </c>
      <c r="AP4" s="4">
        <v>3780</v>
      </c>
      <c r="AQ4" t="s">
        <v>45</v>
      </c>
      <c r="AR4" t="s">
        <v>51</v>
      </c>
    </row>
    <row r="5" spans="1:44" x14ac:dyDescent="0.4">
      <c r="A5" s="3" t="s">
        <v>42</v>
      </c>
      <c r="B5" s="3" t="s">
        <v>43</v>
      </c>
      <c r="C5" s="3" t="s">
        <v>44</v>
      </c>
      <c r="D5" s="3" t="s">
        <v>45</v>
      </c>
      <c r="E5" s="3"/>
      <c r="F5" s="3" t="s">
        <v>46</v>
      </c>
      <c r="G5" s="3" t="s">
        <v>47</v>
      </c>
      <c r="H5" s="3" t="s">
        <v>48</v>
      </c>
      <c r="I5" s="3" t="s">
        <v>49</v>
      </c>
      <c r="J5" s="3">
        <v>53823730</v>
      </c>
      <c r="K5" s="3" t="s">
        <v>50</v>
      </c>
      <c r="L5" s="3"/>
      <c r="M5" s="3"/>
      <c r="N5" s="3" t="s">
        <v>51</v>
      </c>
      <c r="O5" s="3" t="s">
        <v>52</v>
      </c>
      <c r="P5" s="3">
        <v>0.7</v>
      </c>
      <c r="Q5" s="3">
        <v>0.6</v>
      </c>
      <c r="R5" s="4" t="s">
        <v>53</v>
      </c>
      <c r="S5" s="4">
        <v>2700</v>
      </c>
      <c r="T5" s="4">
        <v>5300</v>
      </c>
      <c r="U5" s="4">
        <v>10800</v>
      </c>
      <c r="V5" s="4">
        <v>0</v>
      </c>
      <c r="W5" s="4">
        <v>0</v>
      </c>
      <c r="X5" s="4">
        <v>0</v>
      </c>
      <c r="Y5" s="4">
        <v>-5500</v>
      </c>
      <c r="Z5" s="4">
        <v>0</v>
      </c>
      <c r="AA5" s="4">
        <v>0</v>
      </c>
      <c r="AB5" s="4">
        <v>0</v>
      </c>
      <c r="AC5" s="4">
        <v>0</v>
      </c>
      <c r="AD5" s="4">
        <v>4200</v>
      </c>
      <c r="AE5" s="4">
        <v>10800</v>
      </c>
      <c r="AF5" s="4">
        <v>0</v>
      </c>
      <c r="AG5" s="4">
        <v>0</v>
      </c>
      <c r="AH5" s="4">
        <v>0</v>
      </c>
      <c r="AI5" s="4">
        <v>-6600</v>
      </c>
      <c r="AJ5" s="4">
        <v>0</v>
      </c>
      <c r="AK5" s="4">
        <v>0</v>
      </c>
      <c r="AL5" s="4">
        <v>0</v>
      </c>
      <c r="AM5" s="4">
        <v>0</v>
      </c>
      <c r="AN5" s="4">
        <v>3600</v>
      </c>
      <c r="AO5" s="4">
        <v>0</v>
      </c>
      <c r="AP5" s="4">
        <v>3600</v>
      </c>
      <c r="AQ5" t="s">
        <v>45</v>
      </c>
      <c r="AR5" t="s">
        <v>51</v>
      </c>
    </row>
    <row r="6" spans="1:44" x14ac:dyDescent="0.4">
      <c r="A6" s="3" t="s">
        <v>42</v>
      </c>
      <c r="B6" s="3" t="s">
        <v>43</v>
      </c>
      <c r="C6" s="3" t="s">
        <v>44</v>
      </c>
      <c r="D6" s="3" t="s">
        <v>45</v>
      </c>
      <c r="E6" s="3"/>
      <c r="F6" s="3" t="s">
        <v>46</v>
      </c>
      <c r="G6" s="3" t="s">
        <v>47</v>
      </c>
      <c r="H6" s="3" t="s">
        <v>48</v>
      </c>
      <c r="I6" s="3" t="s">
        <v>49</v>
      </c>
      <c r="J6" s="3">
        <v>55545653</v>
      </c>
      <c r="K6" s="3" t="s">
        <v>140</v>
      </c>
      <c r="L6" s="3"/>
      <c r="M6" s="3"/>
      <c r="N6" s="3" t="s">
        <v>51</v>
      </c>
      <c r="O6" s="3" t="s">
        <v>52</v>
      </c>
      <c r="P6" s="3">
        <v>0.7</v>
      </c>
      <c r="Q6" s="3">
        <v>0.6</v>
      </c>
      <c r="R6" s="4" t="s">
        <v>56</v>
      </c>
      <c r="S6" s="4">
        <v>100</v>
      </c>
      <c r="T6" s="4">
        <v>23800</v>
      </c>
      <c r="U6" s="4">
        <v>11300</v>
      </c>
      <c r="V6" s="4">
        <v>0</v>
      </c>
      <c r="W6" s="4">
        <v>0</v>
      </c>
      <c r="X6" s="4">
        <v>0</v>
      </c>
      <c r="Y6" s="4">
        <v>200</v>
      </c>
      <c r="Z6" s="4">
        <v>5100</v>
      </c>
      <c r="AA6" s="4">
        <v>0</v>
      </c>
      <c r="AB6" s="4">
        <v>0</v>
      </c>
      <c r="AC6" s="4">
        <v>7200</v>
      </c>
      <c r="AD6" s="4">
        <v>24350</v>
      </c>
      <c r="AE6" s="4">
        <v>11300</v>
      </c>
      <c r="AF6" s="4">
        <v>0</v>
      </c>
      <c r="AG6" s="4">
        <v>0</v>
      </c>
      <c r="AH6" s="4">
        <v>0</v>
      </c>
      <c r="AI6" s="4">
        <v>240</v>
      </c>
      <c r="AJ6" s="4">
        <v>5610</v>
      </c>
      <c r="AK6" s="4">
        <v>0</v>
      </c>
      <c r="AL6" s="4">
        <v>0</v>
      </c>
      <c r="AM6" s="4">
        <v>7200</v>
      </c>
      <c r="AN6" s="4">
        <v>16460</v>
      </c>
      <c r="AO6" s="4">
        <v>0</v>
      </c>
      <c r="AP6" s="4">
        <v>16460</v>
      </c>
      <c r="AQ6" t="s">
        <v>45</v>
      </c>
      <c r="AR6" t="s">
        <v>51</v>
      </c>
    </row>
    <row r="7" spans="1:44" x14ac:dyDescent="0.4">
      <c r="A7" s="3" t="s">
        <v>42</v>
      </c>
      <c r="B7" s="3" t="s">
        <v>43</v>
      </c>
      <c r="C7" s="3" t="s">
        <v>44</v>
      </c>
      <c r="D7" s="3" t="s">
        <v>45</v>
      </c>
      <c r="E7" s="3"/>
      <c r="F7" s="3" t="s">
        <v>46</v>
      </c>
      <c r="G7" s="3" t="s">
        <v>47</v>
      </c>
      <c r="H7" s="3" t="s">
        <v>48</v>
      </c>
      <c r="I7" s="3" t="s">
        <v>49</v>
      </c>
      <c r="J7" s="3">
        <v>55545653</v>
      </c>
      <c r="K7" s="3" t="s">
        <v>140</v>
      </c>
      <c r="L7" s="3"/>
      <c r="M7" s="3"/>
      <c r="N7" s="3" t="s">
        <v>51</v>
      </c>
      <c r="O7" s="3" t="s">
        <v>52</v>
      </c>
      <c r="P7" s="3">
        <v>0.7</v>
      </c>
      <c r="Q7" s="3">
        <v>0.6</v>
      </c>
      <c r="R7" s="4" t="s">
        <v>53</v>
      </c>
      <c r="S7" s="4">
        <v>900</v>
      </c>
      <c r="T7" s="4">
        <v>33000</v>
      </c>
      <c r="U7" s="4">
        <v>22200</v>
      </c>
      <c r="V7" s="4">
        <v>0</v>
      </c>
      <c r="W7" s="4">
        <v>0</v>
      </c>
      <c r="X7" s="4">
        <v>0</v>
      </c>
      <c r="Y7" s="4">
        <v>900</v>
      </c>
      <c r="Z7" s="4">
        <v>4900</v>
      </c>
      <c r="AA7" s="4">
        <v>0</v>
      </c>
      <c r="AB7" s="4">
        <v>0</v>
      </c>
      <c r="AC7" s="4">
        <v>5000</v>
      </c>
      <c r="AD7" s="4">
        <v>33670</v>
      </c>
      <c r="AE7" s="4">
        <v>22200</v>
      </c>
      <c r="AF7" s="4">
        <v>0</v>
      </c>
      <c r="AG7" s="4">
        <v>0</v>
      </c>
      <c r="AH7" s="4">
        <v>0</v>
      </c>
      <c r="AI7" s="4">
        <v>1080</v>
      </c>
      <c r="AJ7" s="4">
        <v>5390</v>
      </c>
      <c r="AK7" s="4">
        <v>0</v>
      </c>
      <c r="AL7" s="4">
        <v>0</v>
      </c>
      <c r="AM7" s="4">
        <v>5000</v>
      </c>
      <c r="AN7" s="4">
        <v>22922</v>
      </c>
      <c r="AO7" s="4">
        <v>0</v>
      </c>
      <c r="AP7" s="4">
        <v>22922</v>
      </c>
      <c r="AQ7" t="s">
        <v>45</v>
      </c>
      <c r="AR7" t="s">
        <v>51</v>
      </c>
    </row>
    <row r="8" spans="1:44" x14ac:dyDescent="0.4">
      <c r="A8" s="3" t="s">
        <v>42</v>
      </c>
      <c r="B8" s="3" t="s">
        <v>43</v>
      </c>
      <c r="C8" s="3" t="s">
        <v>44</v>
      </c>
      <c r="D8" s="3" t="s">
        <v>45</v>
      </c>
      <c r="E8" s="3"/>
      <c r="F8" s="3" t="s">
        <v>46</v>
      </c>
      <c r="G8" s="3" t="s">
        <v>47</v>
      </c>
      <c r="H8" s="3" t="s">
        <v>48</v>
      </c>
      <c r="I8" s="3" t="s">
        <v>49</v>
      </c>
      <c r="J8" s="3">
        <v>55545653</v>
      </c>
      <c r="K8" s="3" t="s">
        <v>140</v>
      </c>
      <c r="L8" s="3"/>
      <c r="M8" s="3"/>
      <c r="N8" s="3" t="s">
        <v>51</v>
      </c>
      <c r="O8" s="3" t="s">
        <v>52</v>
      </c>
      <c r="P8" s="3">
        <v>0.7</v>
      </c>
      <c r="Q8" s="3">
        <v>0.6</v>
      </c>
      <c r="R8" s="4" t="s">
        <v>53</v>
      </c>
      <c r="S8" s="4">
        <v>1800</v>
      </c>
      <c r="T8" s="4">
        <v>5400</v>
      </c>
      <c r="U8" s="4">
        <v>3600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1800</v>
      </c>
      <c r="AD8" s="4">
        <v>5400</v>
      </c>
      <c r="AE8" s="4">
        <v>3600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1800</v>
      </c>
      <c r="AN8" s="4">
        <v>3780</v>
      </c>
      <c r="AO8" s="4">
        <v>0</v>
      </c>
      <c r="AP8" s="4">
        <v>3780</v>
      </c>
      <c r="AQ8" t="s">
        <v>45</v>
      </c>
      <c r="AR8" t="s">
        <v>51</v>
      </c>
    </row>
    <row r="9" spans="1:44" x14ac:dyDescent="0.4">
      <c r="A9" s="3" t="s">
        <v>42</v>
      </c>
      <c r="B9" s="3" t="s">
        <v>43</v>
      </c>
      <c r="C9" s="3" t="s">
        <v>44</v>
      </c>
      <c r="D9" s="3" t="s">
        <v>45</v>
      </c>
      <c r="E9" s="3"/>
      <c r="F9" s="3" t="s">
        <v>46</v>
      </c>
      <c r="G9" s="3" t="s">
        <v>47</v>
      </c>
      <c r="H9" s="3" t="s">
        <v>48</v>
      </c>
      <c r="I9" s="3" t="s">
        <v>49</v>
      </c>
      <c r="J9" s="3">
        <v>55545653</v>
      </c>
      <c r="K9" s="3" t="s">
        <v>140</v>
      </c>
      <c r="L9" s="3"/>
      <c r="M9" s="3"/>
      <c r="N9" s="3" t="s">
        <v>51</v>
      </c>
      <c r="O9" s="3" t="s">
        <v>52</v>
      </c>
      <c r="P9" s="3">
        <v>0.7</v>
      </c>
      <c r="Q9" s="3">
        <v>0.6</v>
      </c>
      <c r="R9" s="4" t="s">
        <v>53</v>
      </c>
      <c r="S9" s="4">
        <v>2700</v>
      </c>
      <c r="T9" s="4">
        <v>21600</v>
      </c>
      <c r="U9" s="4">
        <v>21600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21600</v>
      </c>
      <c r="AE9" s="4">
        <v>21600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15120</v>
      </c>
      <c r="AO9" s="4">
        <v>0</v>
      </c>
      <c r="AP9" s="4">
        <v>15120</v>
      </c>
      <c r="AQ9" t="s">
        <v>45</v>
      </c>
      <c r="AR9" t="s">
        <v>51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R11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9.796875" bestFit="1" customWidth="1"/>
    <col min="12" max="12" width="21.5" bestFit="1" customWidth="1"/>
    <col min="13" max="13" width="6.796875" bestFit="1" customWidth="1"/>
    <col min="14" max="14" width="13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13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53879982</v>
      </c>
      <c r="K2" s="3" t="s">
        <v>61</v>
      </c>
      <c r="L2" s="3"/>
      <c r="M2" s="3"/>
      <c r="N2" s="3" t="s">
        <v>62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700</v>
      </c>
      <c r="U2" s="4">
        <v>600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100</v>
      </c>
      <c r="AD2" s="4">
        <v>700</v>
      </c>
      <c r="AE2" s="4">
        <v>600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100</v>
      </c>
      <c r="AN2" s="4">
        <v>490</v>
      </c>
      <c r="AO2" s="4">
        <v>0</v>
      </c>
      <c r="AP2" s="4">
        <v>490</v>
      </c>
      <c r="AQ2" t="s">
        <v>45</v>
      </c>
      <c r="AR2" t="s">
        <v>62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53879982</v>
      </c>
      <c r="K3" s="3" t="s">
        <v>61</v>
      </c>
      <c r="L3" s="3"/>
      <c r="M3" s="3"/>
      <c r="N3" s="3" t="s">
        <v>62</v>
      </c>
      <c r="O3" s="3" t="s">
        <v>52</v>
      </c>
      <c r="P3" s="3">
        <v>0.7</v>
      </c>
      <c r="Q3" s="3">
        <v>0.6</v>
      </c>
      <c r="R3" s="4" t="s">
        <v>53</v>
      </c>
      <c r="S3" s="4">
        <v>900</v>
      </c>
      <c r="T3" s="4">
        <v>1800</v>
      </c>
      <c r="U3" s="4">
        <v>1800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1800</v>
      </c>
      <c r="AE3" s="4">
        <v>1800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1260</v>
      </c>
      <c r="AO3" s="4">
        <v>0</v>
      </c>
      <c r="AP3" s="4">
        <v>1260</v>
      </c>
      <c r="AQ3" t="s">
        <v>45</v>
      </c>
      <c r="AR3" t="s">
        <v>62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54953980</v>
      </c>
      <c r="K4" s="3" t="s">
        <v>166</v>
      </c>
      <c r="L4" s="3"/>
      <c r="M4" s="3"/>
      <c r="N4" s="3" t="s">
        <v>62</v>
      </c>
      <c r="O4" s="3" t="s">
        <v>52</v>
      </c>
      <c r="P4" s="3">
        <v>0.7</v>
      </c>
      <c r="Q4" s="3">
        <v>0.6</v>
      </c>
      <c r="R4" s="4" t="s">
        <v>56</v>
      </c>
      <c r="S4" s="4">
        <v>100</v>
      </c>
      <c r="T4" s="4">
        <v>700</v>
      </c>
      <c r="U4" s="4">
        <v>700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700</v>
      </c>
      <c r="AE4" s="4">
        <v>700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490</v>
      </c>
      <c r="AO4" s="4">
        <v>0</v>
      </c>
      <c r="AP4" s="4">
        <v>490</v>
      </c>
      <c r="AQ4" t="s">
        <v>45</v>
      </c>
      <c r="AR4" t="s">
        <v>62</v>
      </c>
    </row>
    <row r="5" spans="1:44" x14ac:dyDescent="0.4">
      <c r="A5" s="3" t="s">
        <v>42</v>
      </c>
      <c r="B5" s="3" t="s">
        <v>43</v>
      </c>
      <c r="C5" s="3" t="s">
        <v>44</v>
      </c>
      <c r="D5" s="3" t="s">
        <v>45</v>
      </c>
      <c r="E5" s="3"/>
      <c r="F5" s="3" t="s">
        <v>46</v>
      </c>
      <c r="G5" s="3" t="s">
        <v>47</v>
      </c>
      <c r="H5" s="3" t="s">
        <v>48</v>
      </c>
      <c r="I5" s="3" t="s">
        <v>49</v>
      </c>
      <c r="J5" s="3">
        <v>56241498</v>
      </c>
      <c r="K5" s="3" t="s">
        <v>205</v>
      </c>
      <c r="L5" s="3"/>
      <c r="M5" s="3"/>
      <c r="N5" s="3" t="s">
        <v>62</v>
      </c>
      <c r="O5" s="3" t="s">
        <v>52</v>
      </c>
      <c r="P5" s="3">
        <v>0.7</v>
      </c>
      <c r="Q5" s="3">
        <v>0.6</v>
      </c>
      <c r="R5" s="4" t="s">
        <v>56</v>
      </c>
      <c r="S5" s="4">
        <v>100</v>
      </c>
      <c r="T5" s="4">
        <v>21600</v>
      </c>
      <c r="U5" s="4">
        <v>16700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4900</v>
      </c>
      <c r="AD5" s="4">
        <v>21600</v>
      </c>
      <c r="AE5" s="4">
        <v>16700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4900</v>
      </c>
      <c r="AN5" s="4">
        <v>15120</v>
      </c>
      <c r="AO5" s="4">
        <v>0</v>
      </c>
      <c r="AP5" s="4">
        <v>15120</v>
      </c>
      <c r="AQ5" t="s">
        <v>45</v>
      </c>
      <c r="AR5" t="s">
        <v>62</v>
      </c>
    </row>
    <row r="6" spans="1:44" x14ac:dyDescent="0.4">
      <c r="A6" s="3" t="s">
        <v>42</v>
      </c>
      <c r="B6" s="3" t="s">
        <v>43</v>
      </c>
      <c r="C6" s="3" t="s">
        <v>44</v>
      </c>
      <c r="D6" s="3" t="s">
        <v>45</v>
      </c>
      <c r="E6" s="3"/>
      <c r="F6" s="3" t="s">
        <v>46</v>
      </c>
      <c r="G6" s="3" t="s">
        <v>47</v>
      </c>
      <c r="H6" s="3" t="s">
        <v>48</v>
      </c>
      <c r="I6" s="3" t="s">
        <v>49</v>
      </c>
      <c r="J6" s="3">
        <v>56241498</v>
      </c>
      <c r="K6" s="3" t="s">
        <v>205</v>
      </c>
      <c r="L6" s="3"/>
      <c r="M6" s="3"/>
      <c r="N6" s="3" t="s">
        <v>62</v>
      </c>
      <c r="O6" s="3" t="s">
        <v>52</v>
      </c>
      <c r="P6" s="3">
        <v>0.7</v>
      </c>
      <c r="Q6" s="3">
        <v>0.6</v>
      </c>
      <c r="R6" s="4" t="s">
        <v>53</v>
      </c>
      <c r="S6" s="4">
        <v>900</v>
      </c>
      <c r="T6" s="4">
        <v>9100</v>
      </c>
      <c r="U6" s="4">
        <v>8100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1000</v>
      </c>
      <c r="AD6" s="4">
        <v>9100</v>
      </c>
      <c r="AE6" s="4">
        <v>8100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1000</v>
      </c>
      <c r="AN6" s="4">
        <v>6370</v>
      </c>
      <c r="AO6" s="4">
        <v>0</v>
      </c>
      <c r="AP6" s="4">
        <v>6370</v>
      </c>
      <c r="AQ6" t="s">
        <v>45</v>
      </c>
      <c r="AR6" t="s">
        <v>62</v>
      </c>
    </row>
    <row r="7" spans="1:44" x14ac:dyDescent="0.4">
      <c r="A7" s="3" t="s">
        <v>42</v>
      </c>
      <c r="B7" s="3" t="s">
        <v>43</v>
      </c>
      <c r="C7" s="3" t="s">
        <v>44</v>
      </c>
      <c r="D7" s="3" t="s">
        <v>45</v>
      </c>
      <c r="E7" s="3"/>
      <c r="F7" s="3" t="s">
        <v>46</v>
      </c>
      <c r="G7" s="3" t="s">
        <v>47</v>
      </c>
      <c r="H7" s="3" t="s">
        <v>48</v>
      </c>
      <c r="I7" s="3" t="s">
        <v>49</v>
      </c>
      <c r="J7" s="3">
        <v>56241498</v>
      </c>
      <c r="K7" s="3" t="s">
        <v>205</v>
      </c>
      <c r="L7" s="3"/>
      <c r="M7" s="3"/>
      <c r="N7" s="3" t="s">
        <v>62</v>
      </c>
      <c r="O7" s="3" t="s">
        <v>52</v>
      </c>
      <c r="P7" s="3">
        <v>0.7</v>
      </c>
      <c r="Q7" s="3">
        <v>0.6</v>
      </c>
      <c r="R7" s="4" t="s">
        <v>53</v>
      </c>
      <c r="S7" s="4">
        <v>2700</v>
      </c>
      <c r="T7" s="4">
        <v>16300</v>
      </c>
      <c r="U7" s="4">
        <v>15800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500</v>
      </c>
      <c r="AD7" s="4">
        <v>16300</v>
      </c>
      <c r="AE7" s="4">
        <v>15800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500</v>
      </c>
      <c r="AN7" s="4">
        <v>11410</v>
      </c>
      <c r="AO7" s="4">
        <v>0</v>
      </c>
      <c r="AP7" s="4">
        <v>11410</v>
      </c>
      <c r="AQ7" t="s">
        <v>45</v>
      </c>
      <c r="AR7" t="s">
        <v>62</v>
      </c>
    </row>
    <row r="8" spans="1:44" x14ac:dyDescent="0.4">
      <c r="A8" s="3" t="s">
        <v>42</v>
      </c>
      <c r="B8" s="3" t="s">
        <v>43</v>
      </c>
      <c r="C8" s="3" t="s">
        <v>44</v>
      </c>
      <c r="D8" s="3" t="s">
        <v>45</v>
      </c>
      <c r="E8" s="3"/>
      <c r="F8" s="3" t="s">
        <v>46</v>
      </c>
      <c r="G8" s="3" t="s">
        <v>47</v>
      </c>
      <c r="H8" s="3" t="s">
        <v>48</v>
      </c>
      <c r="I8" s="3" t="s">
        <v>49</v>
      </c>
      <c r="J8" s="3">
        <v>56241498</v>
      </c>
      <c r="K8" s="3" t="s">
        <v>205</v>
      </c>
      <c r="L8" s="3"/>
      <c r="M8" s="3"/>
      <c r="N8" s="3" t="s">
        <v>62</v>
      </c>
      <c r="O8" s="3" t="s">
        <v>52</v>
      </c>
      <c r="P8" s="3">
        <v>0.7</v>
      </c>
      <c r="Q8" s="3">
        <v>0.6</v>
      </c>
      <c r="R8" s="4" t="s">
        <v>53</v>
      </c>
      <c r="S8" s="4">
        <v>4500</v>
      </c>
      <c r="T8" s="4">
        <v>13500</v>
      </c>
      <c r="U8" s="4">
        <v>13500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13500</v>
      </c>
      <c r="AE8" s="4">
        <v>13500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9450</v>
      </c>
      <c r="AO8" s="4">
        <v>0</v>
      </c>
      <c r="AP8" s="4">
        <v>9450</v>
      </c>
      <c r="AQ8" t="s">
        <v>45</v>
      </c>
      <c r="AR8" t="s">
        <v>62</v>
      </c>
    </row>
    <row r="9" spans="1:44" x14ac:dyDescent="0.4">
      <c r="A9" s="3" t="s">
        <v>42</v>
      </c>
      <c r="B9" s="3" t="s">
        <v>43</v>
      </c>
      <c r="C9" s="3" t="s">
        <v>44</v>
      </c>
      <c r="D9" s="3" t="s">
        <v>45</v>
      </c>
      <c r="E9" s="3"/>
      <c r="F9" s="3" t="s">
        <v>46</v>
      </c>
      <c r="G9" s="3" t="s">
        <v>47</v>
      </c>
      <c r="H9" s="3" t="s">
        <v>48</v>
      </c>
      <c r="I9" s="3" t="s">
        <v>49</v>
      </c>
      <c r="J9" s="3">
        <v>54018328</v>
      </c>
      <c r="K9" s="3" t="s">
        <v>175</v>
      </c>
      <c r="L9" s="3"/>
      <c r="M9" s="3"/>
      <c r="N9" s="3" t="s">
        <v>62</v>
      </c>
      <c r="O9" s="3" t="s">
        <v>52</v>
      </c>
      <c r="P9" s="3">
        <v>0.7</v>
      </c>
      <c r="Q9" s="3">
        <v>0.6</v>
      </c>
      <c r="R9" s="4" t="s">
        <v>56</v>
      </c>
      <c r="S9" s="4">
        <v>100</v>
      </c>
      <c r="T9" s="4">
        <v>1900</v>
      </c>
      <c r="U9" s="4">
        <v>1000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900</v>
      </c>
      <c r="AD9" s="4">
        <v>1900</v>
      </c>
      <c r="AE9" s="4">
        <v>1000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900</v>
      </c>
      <c r="AN9" s="4">
        <v>1330</v>
      </c>
      <c r="AO9" s="4">
        <v>0</v>
      </c>
      <c r="AP9" s="4">
        <v>1330</v>
      </c>
      <c r="AQ9" t="s">
        <v>45</v>
      </c>
      <c r="AR9" t="s">
        <v>62</v>
      </c>
    </row>
    <row r="10" spans="1:44" x14ac:dyDescent="0.4">
      <c r="A10" s="3" t="s">
        <v>42</v>
      </c>
      <c r="B10" s="3" t="s">
        <v>43</v>
      </c>
      <c r="C10" s="3" t="s">
        <v>44</v>
      </c>
      <c r="D10" s="3" t="s">
        <v>45</v>
      </c>
      <c r="E10" s="3"/>
      <c r="F10" s="3" t="s">
        <v>46</v>
      </c>
      <c r="G10" s="3" t="s">
        <v>47</v>
      </c>
      <c r="H10" s="3" t="s">
        <v>48</v>
      </c>
      <c r="I10" s="3" t="s">
        <v>49</v>
      </c>
      <c r="J10" s="3">
        <v>54018328</v>
      </c>
      <c r="K10" s="3" t="s">
        <v>175</v>
      </c>
      <c r="L10" s="3"/>
      <c r="M10" s="3"/>
      <c r="N10" s="3" t="s">
        <v>62</v>
      </c>
      <c r="O10" s="3" t="s">
        <v>52</v>
      </c>
      <c r="P10" s="3">
        <v>0.7</v>
      </c>
      <c r="Q10" s="3">
        <v>0.6</v>
      </c>
      <c r="R10" s="4" t="s">
        <v>53</v>
      </c>
      <c r="S10" s="4">
        <v>900</v>
      </c>
      <c r="T10" s="4">
        <v>7700</v>
      </c>
      <c r="U10" s="4">
        <v>7200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500</v>
      </c>
      <c r="AD10" s="4">
        <v>7700</v>
      </c>
      <c r="AE10" s="4">
        <v>7200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500</v>
      </c>
      <c r="AN10" s="4">
        <v>5390</v>
      </c>
      <c r="AO10" s="4">
        <v>0</v>
      </c>
      <c r="AP10" s="4">
        <v>5390</v>
      </c>
      <c r="AQ10" t="s">
        <v>45</v>
      </c>
      <c r="AR10" t="s">
        <v>62</v>
      </c>
    </row>
    <row r="11" spans="1:44" x14ac:dyDescent="0.4">
      <c r="A11" s="3" t="s">
        <v>42</v>
      </c>
      <c r="B11" s="3" t="s">
        <v>43</v>
      </c>
      <c r="C11" s="3" t="s">
        <v>44</v>
      </c>
      <c r="D11" s="3" t="s">
        <v>45</v>
      </c>
      <c r="E11" s="3"/>
      <c r="F11" s="3" t="s">
        <v>46</v>
      </c>
      <c r="G11" s="3" t="s">
        <v>47</v>
      </c>
      <c r="H11" s="3" t="s">
        <v>48</v>
      </c>
      <c r="I11" s="3" t="s">
        <v>49</v>
      </c>
      <c r="J11" s="3">
        <v>54018328</v>
      </c>
      <c r="K11" s="3" t="s">
        <v>175</v>
      </c>
      <c r="L11" s="3"/>
      <c r="M11" s="3"/>
      <c r="N11" s="3" t="s">
        <v>62</v>
      </c>
      <c r="O11" s="3" t="s">
        <v>52</v>
      </c>
      <c r="P11" s="3">
        <v>0.7</v>
      </c>
      <c r="Q11" s="3">
        <v>0.6</v>
      </c>
      <c r="R11" s="4" t="s">
        <v>53</v>
      </c>
      <c r="S11" s="4">
        <v>7200</v>
      </c>
      <c r="T11" s="4">
        <v>5400</v>
      </c>
      <c r="U11" s="4">
        <v>5400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5400</v>
      </c>
      <c r="AE11" s="4">
        <v>5400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3780</v>
      </c>
      <c r="AO11" s="4">
        <v>0</v>
      </c>
      <c r="AP11" s="4">
        <v>3780</v>
      </c>
      <c r="AQ11" t="s">
        <v>45</v>
      </c>
      <c r="AR11" t="s">
        <v>62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R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5.1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56715232</v>
      </c>
      <c r="K2" s="3" t="s">
        <v>257</v>
      </c>
      <c r="L2" s="3"/>
      <c r="M2" s="3"/>
      <c r="N2" s="3" t="s">
        <v>235</v>
      </c>
      <c r="O2" s="3" t="s">
        <v>52</v>
      </c>
      <c r="P2" s="3">
        <v>0.7</v>
      </c>
      <c r="Q2" s="3">
        <v>0.6</v>
      </c>
      <c r="R2" s="4" t="s">
        <v>56</v>
      </c>
      <c r="S2" s="4">
        <v>400</v>
      </c>
      <c r="T2" s="4">
        <v>800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800</v>
      </c>
      <c r="AD2" s="4">
        <v>800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800</v>
      </c>
      <c r="AN2" s="4">
        <v>560</v>
      </c>
      <c r="AO2" s="4">
        <v>0</v>
      </c>
      <c r="AP2" s="4">
        <v>560</v>
      </c>
      <c r="AQ2" t="s">
        <v>45</v>
      </c>
      <c r="AR2" t="s">
        <v>235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52213219</v>
      </c>
      <c r="K3" s="3" t="s">
        <v>234</v>
      </c>
      <c r="L3" s="3"/>
      <c r="M3" s="3"/>
      <c r="N3" s="3" t="s">
        <v>235</v>
      </c>
      <c r="O3" s="3" t="s">
        <v>52</v>
      </c>
      <c r="P3" s="3">
        <v>0.7</v>
      </c>
      <c r="Q3" s="3">
        <v>0.6</v>
      </c>
      <c r="R3" s="4" t="s">
        <v>56</v>
      </c>
      <c r="S3" s="4">
        <v>100</v>
      </c>
      <c r="T3" s="4">
        <v>8300</v>
      </c>
      <c r="U3" s="4">
        <v>4700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3600</v>
      </c>
      <c r="AD3" s="4">
        <v>8300</v>
      </c>
      <c r="AE3" s="4">
        <v>4700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3600</v>
      </c>
      <c r="AN3" s="4">
        <v>5810</v>
      </c>
      <c r="AO3" s="4">
        <v>0</v>
      </c>
      <c r="AP3" s="4">
        <v>5810</v>
      </c>
      <c r="AQ3" t="s">
        <v>45</v>
      </c>
      <c r="AR3" t="s">
        <v>235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52213219</v>
      </c>
      <c r="K4" s="3" t="s">
        <v>234</v>
      </c>
      <c r="L4" s="3"/>
      <c r="M4" s="3"/>
      <c r="N4" s="3" t="s">
        <v>235</v>
      </c>
      <c r="O4" s="3" t="s">
        <v>52</v>
      </c>
      <c r="P4" s="3">
        <v>0.7</v>
      </c>
      <c r="Q4" s="3">
        <v>0.6</v>
      </c>
      <c r="R4" s="4" t="s">
        <v>53</v>
      </c>
      <c r="S4" s="4">
        <v>1800</v>
      </c>
      <c r="T4" s="4">
        <v>600</v>
      </c>
      <c r="U4" s="4">
        <v>600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600</v>
      </c>
      <c r="AE4" s="4">
        <v>600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420</v>
      </c>
      <c r="AO4" s="4">
        <v>0</v>
      </c>
      <c r="AP4" s="4">
        <v>420</v>
      </c>
      <c r="AQ4" t="s">
        <v>45</v>
      </c>
      <c r="AR4" t="s">
        <v>235</v>
      </c>
    </row>
    <row r="5" spans="1:44" x14ac:dyDescent="0.4">
      <c r="A5" s="3" t="s">
        <v>42</v>
      </c>
      <c r="B5" s="3" t="s">
        <v>43</v>
      </c>
      <c r="C5" s="3" t="s">
        <v>44</v>
      </c>
      <c r="D5" s="3" t="s">
        <v>45</v>
      </c>
      <c r="E5" s="3"/>
      <c r="F5" s="3" t="s">
        <v>46</v>
      </c>
      <c r="G5" s="3" t="s">
        <v>47</v>
      </c>
      <c r="H5" s="3" t="s">
        <v>48</v>
      </c>
      <c r="I5" s="3" t="s">
        <v>49</v>
      </c>
      <c r="J5" s="3">
        <v>52213219</v>
      </c>
      <c r="K5" s="3" t="s">
        <v>234</v>
      </c>
      <c r="L5" s="3"/>
      <c r="M5" s="3"/>
      <c r="N5" s="3" t="s">
        <v>235</v>
      </c>
      <c r="O5" s="3" t="s">
        <v>52</v>
      </c>
      <c r="P5" s="3">
        <v>0.7</v>
      </c>
      <c r="Q5" s="3">
        <v>0.6</v>
      </c>
      <c r="R5" s="4" t="s">
        <v>53</v>
      </c>
      <c r="S5" s="4">
        <v>6300</v>
      </c>
      <c r="T5" s="4">
        <v>3800</v>
      </c>
      <c r="U5" s="4">
        <v>6380</v>
      </c>
      <c r="V5" s="4">
        <v>0</v>
      </c>
      <c r="W5" s="4">
        <v>0</v>
      </c>
      <c r="X5" s="4">
        <v>0</v>
      </c>
      <c r="Y5" s="4">
        <v>-4000</v>
      </c>
      <c r="Z5" s="4">
        <v>0</v>
      </c>
      <c r="AA5" s="4">
        <v>0</v>
      </c>
      <c r="AB5" s="4">
        <v>0</v>
      </c>
      <c r="AC5" s="4">
        <v>1420</v>
      </c>
      <c r="AD5" s="4">
        <v>3000</v>
      </c>
      <c r="AE5" s="4">
        <v>6380</v>
      </c>
      <c r="AF5" s="4">
        <v>0</v>
      </c>
      <c r="AG5" s="4">
        <v>0</v>
      </c>
      <c r="AH5" s="4">
        <v>0</v>
      </c>
      <c r="AI5" s="4">
        <v>-4800</v>
      </c>
      <c r="AJ5" s="4">
        <v>0</v>
      </c>
      <c r="AK5" s="4">
        <v>0</v>
      </c>
      <c r="AL5" s="4">
        <v>0</v>
      </c>
      <c r="AM5" s="4">
        <v>1420</v>
      </c>
      <c r="AN5" s="4">
        <v>2580</v>
      </c>
      <c r="AO5" s="4">
        <v>0</v>
      </c>
      <c r="AP5" s="4">
        <v>2580</v>
      </c>
      <c r="AQ5" t="s">
        <v>45</v>
      </c>
      <c r="AR5" t="s">
        <v>235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R2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7.19921875" bestFit="1" customWidth="1"/>
    <col min="12" max="12" width="21.5" bestFit="1" customWidth="1"/>
    <col min="13" max="13" width="6.796875" bestFit="1" customWidth="1"/>
    <col min="14" max="14" width="8.59765625" bestFit="1" customWidth="1"/>
    <col min="15" max="15" width="10.796875" bestFit="1" customWidth="1"/>
    <col min="16" max="16" width="30" bestFit="1" customWidth="1"/>
    <col min="17" max="17" width="12.69921875" bestFit="1" customWidth="1"/>
    <col min="18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8.5976562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156</v>
      </c>
      <c r="J2" s="3">
        <v>57102911</v>
      </c>
      <c r="K2" s="3" t="s">
        <v>157</v>
      </c>
      <c r="L2" s="3"/>
      <c r="M2" s="3"/>
      <c r="N2" s="3" t="s">
        <v>158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2600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2600</v>
      </c>
      <c r="AD2" s="4">
        <v>2600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2600</v>
      </c>
      <c r="AN2" s="4">
        <v>1820</v>
      </c>
      <c r="AO2" s="4">
        <v>0</v>
      </c>
      <c r="AP2" s="4">
        <v>1820</v>
      </c>
      <c r="AQ2" t="s">
        <v>45</v>
      </c>
      <c r="AR2" t="s">
        <v>158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R4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30.39843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52414953</v>
      </c>
      <c r="K2" s="3" t="s">
        <v>167</v>
      </c>
      <c r="L2" s="3"/>
      <c r="M2" s="3"/>
      <c r="N2" s="3" t="s">
        <v>168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6000</v>
      </c>
      <c r="U2" s="4">
        <v>3400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2600</v>
      </c>
      <c r="AD2" s="4">
        <v>6000</v>
      </c>
      <c r="AE2" s="4">
        <v>3400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2600</v>
      </c>
      <c r="AN2" s="4">
        <v>4200</v>
      </c>
      <c r="AO2" s="4">
        <v>0</v>
      </c>
      <c r="AP2" s="4">
        <v>4200</v>
      </c>
      <c r="AQ2" t="s">
        <v>45</v>
      </c>
      <c r="AR2" t="s">
        <v>168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52414953</v>
      </c>
      <c r="K3" s="3" t="s">
        <v>167</v>
      </c>
      <c r="L3" s="3"/>
      <c r="M3" s="3"/>
      <c r="N3" s="3" t="s">
        <v>168</v>
      </c>
      <c r="O3" s="3" t="s">
        <v>52</v>
      </c>
      <c r="P3" s="3">
        <v>0.7</v>
      </c>
      <c r="Q3" s="3">
        <v>0.6</v>
      </c>
      <c r="R3" s="4" t="s">
        <v>53</v>
      </c>
      <c r="S3" s="4">
        <v>900</v>
      </c>
      <c r="T3" s="4">
        <v>11700</v>
      </c>
      <c r="U3" s="4">
        <v>7200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4500</v>
      </c>
      <c r="AD3" s="4">
        <v>11700</v>
      </c>
      <c r="AE3" s="4">
        <v>7200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4500</v>
      </c>
      <c r="AN3" s="4">
        <v>8190</v>
      </c>
      <c r="AO3" s="4">
        <v>0</v>
      </c>
      <c r="AP3" s="4">
        <v>8190</v>
      </c>
      <c r="AQ3" t="s">
        <v>45</v>
      </c>
      <c r="AR3" t="s">
        <v>168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52414953</v>
      </c>
      <c r="K4" s="3" t="s">
        <v>167</v>
      </c>
      <c r="L4" s="3"/>
      <c r="M4" s="3"/>
      <c r="N4" s="3" t="s">
        <v>168</v>
      </c>
      <c r="O4" s="3" t="s">
        <v>52</v>
      </c>
      <c r="P4" s="3">
        <v>0.7</v>
      </c>
      <c r="Q4" s="3">
        <v>0.6</v>
      </c>
      <c r="R4" s="4" t="s">
        <v>53</v>
      </c>
      <c r="S4" s="4">
        <v>2700</v>
      </c>
      <c r="T4" s="4">
        <v>2700</v>
      </c>
      <c r="U4" s="4">
        <v>2700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2700</v>
      </c>
      <c r="AE4" s="4">
        <v>2700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1890</v>
      </c>
      <c r="AO4" s="4">
        <v>0</v>
      </c>
      <c r="AP4" s="4">
        <v>1890</v>
      </c>
      <c r="AQ4" t="s">
        <v>45</v>
      </c>
      <c r="AR4" t="s">
        <v>168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R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2.39843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58010151</v>
      </c>
      <c r="K2" s="3" t="s">
        <v>126</v>
      </c>
      <c r="L2" s="3"/>
      <c r="M2" s="3"/>
      <c r="N2" s="3" t="s">
        <v>127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216700</v>
      </c>
      <c r="U2" s="4">
        <v>113210</v>
      </c>
      <c r="V2" s="4">
        <v>0</v>
      </c>
      <c r="W2" s="4">
        <v>0</v>
      </c>
      <c r="X2" s="4">
        <v>0</v>
      </c>
      <c r="Y2" s="4">
        <v>8430</v>
      </c>
      <c r="Z2" s="4">
        <v>2670</v>
      </c>
      <c r="AA2" s="4">
        <v>0</v>
      </c>
      <c r="AB2" s="4">
        <v>0</v>
      </c>
      <c r="AC2" s="4">
        <v>92390</v>
      </c>
      <c r="AD2" s="4">
        <v>218653</v>
      </c>
      <c r="AE2" s="4">
        <v>113210</v>
      </c>
      <c r="AF2" s="4">
        <v>0</v>
      </c>
      <c r="AG2" s="4">
        <v>0</v>
      </c>
      <c r="AH2" s="4">
        <v>0</v>
      </c>
      <c r="AI2" s="4">
        <v>10116</v>
      </c>
      <c r="AJ2" s="4">
        <v>2937</v>
      </c>
      <c r="AK2" s="4">
        <v>0</v>
      </c>
      <c r="AL2" s="4">
        <v>0</v>
      </c>
      <c r="AM2" s="4">
        <v>92390</v>
      </c>
      <c r="AN2" s="4">
        <v>151752</v>
      </c>
      <c r="AO2" s="4">
        <v>0</v>
      </c>
      <c r="AP2" s="4">
        <v>151752</v>
      </c>
      <c r="AQ2" t="s">
        <v>45</v>
      </c>
      <c r="AR2" t="s">
        <v>127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58010151</v>
      </c>
      <c r="K3" s="3" t="s">
        <v>126</v>
      </c>
      <c r="L3" s="3"/>
      <c r="M3" s="3"/>
      <c r="N3" s="3" t="s">
        <v>127</v>
      </c>
      <c r="O3" s="3" t="s">
        <v>52</v>
      </c>
      <c r="P3" s="3">
        <v>0.7</v>
      </c>
      <c r="Q3" s="3">
        <v>0.6</v>
      </c>
      <c r="R3" s="4" t="s">
        <v>53</v>
      </c>
      <c r="S3" s="4">
        <v>900</v>
      </c>
      <c r="T3" s="4">
        <v>162500</v>
      </c>
      <c r="U3" s="4">
        <v>95650</v>
      </c>
      <c r="V3" s="4">
        <v>0</v>
      </c>
      <c r="W3" s="4">
        <v>0</v>
      </c>
      <c r="X3" s="4">
        <v>0</v>
      </c>
      <c r="Y3" s="4">
        <v>0</v>
      </c>
      <c r="Z3" s="4">
        <v>4500</v>
      </c>
      <c r="AA3" s="4">
        <v>0</v>
      </c>
      <c r="AB3" s="4">
        <v>0</v>
      </c>
      <c r="AC3" s="4">
        <v>62350</v>
      </c>
      <c r="AD3" s="4">
        <v>162950</v>
      </c>
      <c r="AE3" s="4">
        <v>95650</v>
      </c>
      <c r="AF3" s="4">
        <v>0</v>
      </c>
      <c r="AG3" s="4">
        <v>0</v>
      </c>
      <c r="AH3" s="4">
        <v>0</v>
      </c>
      <c r="AI3" s="4">
        <v>0</v>
      </c>
      <c r="AJ3" s="4">
        <v>4950</v>
      </c>
      <c r="AK3" s="4">
        <v>0</v>
      </c>
      <c r="AL3" s="4">
        <v>0</v>
      </c>
      <c r="AM3" s="4">
        <v>62350</v>
      </c>
      <c r="AN3" s="4">
        <v>113570</v>
      </c>
      <c r="AO3" s="4">
        <v>0</v>
      </c>
      <c r="AP3" s="4">
        <v>113570</v>
      </c>
      <c r="AQ3" t="s">
        <v>45</v>
      </c>
      <c r="AR3" t="s">
        <v>127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58010151</v>
      </c>
      <c r="K4" s="3" t="s">
        <v>126</v>
      </c>
      <c r="L4" s="3"/>
      <c r="M4" s="3"/>
      <c r="N4" s="3" t="s">
        <v>127</v>
      </c>
      <c r="O4" s="3" t="s">
        <v>52</v>
      </c>
      <c r="P4" s="3">
        <v>0.7</v>
      </c>
      <c r="Q4" s="3">
        <v>0.6</v>
      </c>
      <c r="R4" s="4" t="s">
        <v>53</v>
      </c>
      <c r="S4" s="4">
        <v>2700</v>
      </c>
      <c r="T4" s="4">
        <v>51900</v>
      </c>
      <c r="U4" s="4">
        <v>40500</v>
      </c>
      <c r="V4" s="4">
        <v>0</v>
      </c>
      <c r="W4" s="4">
        <v>0</v>
      </c>
      <c r="X4" s="4">
        <v>0</v>
      </c>
      <c r="Y4" s="4">
        <v>0</v>
      </c>
      <c r="Z4" s="4">
        <v>5300</v>
      </c>
      <c r="AA4" s="4">
        <v>0</v>
      </c>
      <c r="AB4" s="4">
        <v>0</v>
      </c>
      <c r="AC4" s="4">
        <v>6100</v>
      </c>
      <c r="AD4" s="4">
        <v>52430</v>
      </c>
      <c r="AE4" s="4">
        <v>40500</v>
      </c>
      <c r="AF4" s="4">
        <v>0</v>
      </c>
      <c r="AG4" s="4">
        <v>0</v>
      </c>
      <c r="AH4" s="4">
        <v>0</v>
      </c>
      <c r="AI4" s="4">
        <v>0</v>
      </c>
      <c r="AJ4" s="4">
        <v>5830</v>
      </c>
      <c r="AK4" s="4">
        <v>0</v>
      </c>
      <c r="AL4" s="4">
        <v>0</v>
      </c>
      <c r="AM4" s="4">
        <v>6100</v>
      </c>
      <c r="AN4" s="4">
        <v>36118</v>
      </c>
      <c r="AO4" s="4">
        <v>0</v>
      </c>
      <c r="AP4" s="4">
        <v>36118</v>
      </c>
      <c r="AQ4" t="s">
        <v>45</v>
      </c>
      <c r="AR4" t="s">
        <v>127</v>
      </c>
    </row>
    <row r="5" spans="1:44" x14ac:dyDescent="0.4">
      <c r="A5" s="3" t="s">
        <v>42</v>
      </c>
      <c r="B5" s="3" t="s">
        <v>43</v>
      </c>
      <c r="C5" s="3" t="s">
        <v>44</v>
      </c>
      <c r="D5" s="3" t="s">
        <v>45</v>
      </c>
      <c r="E5" s="3"/>
      <c r="F5" s="3" t="s">
        <v>46</v>
      </c>
      <c r="G5" s="3" t="s">
        <v>47</v>
      </c>
      <c r="H5" s="3" t="s">
        <v>48</v>
      </c>
      <c r="I5" s="3" t="s">
        <v>49</v>
      </c>
      <c r="J5" s="3">
        <v>58010151</v>
      </c>
      <c r="K5" s="3" t="s">
        <v>126</v>
      </c>
      <c r="L5" s="3"/>
      <c r="M5" s="3"/>
      <c r="N5" s="3" t="s">
        <v>127</v>
      </c>
      <c r="O5" s="3" t="s">
        <v>52</v>
      </c>
      <c r="P5" s="3">
        <v>0.7</v>
      </c>
      <c r="Q5" s="3">
        <v>0.6</v>
      </c>
      <c r="R5" s="4" t="s">
        <v>53</v>
      </c>
      <c r="S5" s="4">
        <v>4500</v>
      </c>
      <c r="T5" s="4">
        <v>99000</v>
      </c>
      <c r="U5" s="4">
        <v>79000</v>
      </c>
      <c r="V5" s="4">
        <v>0</v>
      </c>
      <c r="W5" s="4">
        <v>0</v>
      </c>
      <c r="X5" s="4">
        <v>0</v>
      </c>
      <c r="Y5" s="4">
        <v>0</v>
      </c>
      <c r="Z5" s="4">
        <v>9000</v>
      </c>
      <c r="AA5" s="4">
        <v>0</v>
      </c>
      <c r="AB5" s="4">
        <v>0</v>
      </c>
      <c r="AC5" s="4">
        <v>11000</v>
      </c>
      <c r="AD5" s="4">
        <v>99900</v>
      </c>
      <c r="AE5" s="4">
        <v>79000</v>
      </c>
      <c r="AF5" s="4">
        <v>0</v>
      </c>
      <c r="AG5" s="4">
        <v>0</v>
      </c>
      <c r="AH5" s="4">
        <v>0</v>
      </c>
      <c r="AI5" s="4">
        <v>0</v>
      </c>
      <c r="AJ5" s="4">
        <v>9900</v>
      </c>
      <c r="AK5" s="4">
        <v>0</v>
      </c>
      <c r="AL5" s="4">
        <v>0</v>
      </c>
      <c r="AM5" s="4">
        <v>11000</v>
      </c>
      <c r="AN5" s="4">
        <v>68940</v>
      </c>
      <c r="AO5" s="4">
        <v>0</v>
      </c>
      <c r="AP5" s="4">
        <v>68940</v>
      </c>
      <c r="AQ5" t="s">
        <v>45</v>
      </c>
      <c r="AR5" t="s">
        <v>127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R34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56608498</v>
      </c>
      <c r="K2" s="3" t="s">
        <v>149</v>
      </c>
      <c r="L2" s="3"/>
      <c r="M2" s="3"/>
      <c r="N2" s="3" t="s">
        <v>73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8500</v>
      </c>
      <c r="U2" s="4">
        <v>4100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4400</v>
      </c>
      <c r="AD2" s="4">
        <v>8500</v>
      </c>
      <c r="AE2" s="4">
        <v>4100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4400</v>
      </c>
      <c r="AN2" s="4">
        <v>5950</v>
      </c>
      <c r="AO2" s="4">
        <v>0</v>
      </c>
      <c r="AP2" s="4">
        <v>5950</v>
      </c>
      <c r="AQ2" t="s">
        <v>45</v>
      </c>
      <c r="AR2" t="s">
        <v>73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56608498</v>
      </c>
      <c r="K3" s="3" t="s">
        <v>149</v>
      </c>
      <c r="L3" s="3"/>
      <c r="M3" s="3"/>
      <c r="N3" s="3" t="s">
        <v>73</v>
      </c>
      <c r="O3" s="3" t="s">
        <v>52</v>
      </c>
      <c r="P3" s="3">
        <v>0.7</v>
      </c>
      <c r="Q3" s="3">
        <v>0.6</v>
      </c>
      <c r="R3" s="4" t="s">
        <v>53</v>
      </c>
      <c r="S3" s="4">
        <v>900</v>
      </c>
      <c r="T3" s="4">
        <v>8600</v>
      </c>
      <c r="U3" s="4">
        <v>6300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2300</v>
      </c>
      <c r="AD3" s="4">
        <v>8600</v>
      </c>
      <c r="AE3" s="4">
        <v>6300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2300</v>
      </c>
      <c r="AN3" s="4">
        <v>6020</v>
      </c>
      <c r="AO3" s="4">
        <v>0</v>
      </c>
      <c r="AP3" s="4">
        <v>6020</v>
      </c>
      <c r="AQ3" t="s">
        <v>45</v>
      </c>
      <c r="AR3" t="s">
        <v>73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56608498</v>
      </c>
      <c r="K4" s="3" t="s">
        <v>149</v>
      </c>
      <c r="L4" s="3"/>
      <c r="M4" s="3"/>
      <c r="N4" s="3" t="s">
        <v>73</v>
      </c>
      <c r="O4" s="3" t="s">
        <v>52</v>
      </c>
      <c r="P4" s="3">
        <v>0.7</v>
      </c>
      <c r="Q4" s="3">
        <v>0.6</v>
      </c>
      <c r="R4" s="4" t="s">
        <v>53</v>
      </c>
      <c r="S4" s="4">
        <v>2700</v>
      </c>
      <c r="T4" s="4">
        <v>8100</v>
      </c>
      <c r="U4" s="4">
        <v>8100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8100</v>
      </c>
      <c r="AE4" s="4">
        <v>8100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5670</v>
      </c>
      <c r="AO4" s="4">
        <v>0</v>
      </c>
      <c r="AP4" s="4">
        <v>5670</v>
      </c>
      <c r="AQ4" t="s">
        <v>45</v>
      </c>
      <c r="AR4" t="s">
        <v>73</v>
      </c>
    </row>
    <row r="5" spans="1:44" x14ac:dyDescent="0.4">
      <c r="A5" s="3" t="s">
        <v>42</v>
      </c>
      <c r="B5" s="3" t="s">
        <v>43</v>
      </c>
      <c r="C5" s="3" t="s">
        <v>44</v>
      </c>
      <c r="D5" s="3" t="s">
        <v>45</v>
      </c>
      <c r="E5" s="3"/>
      <c r="F5" s="3" t="s">
        <v>46</v>
      </c>
      <c r="G5" s="3" t="s">
        <v>47</v>
      </c>
      <c r="H5" s="3" t="s">
        <v>48</v>
      </c>
      <c r="I5" s="3" t="s">
        <v>49</v>
      </c>
      <c r="J5" s="3">
        <v>56608498</v>
      </c>
      <c r="K5" s="3" t="s">
        <v>149</v>
      </c>
      <c r="L5" s="3"/>
      <c r="M5" s="3"/>
      <c r="N5" s="3" t="s">
        <v>73</v>
      </c>
      <c r="O5" s="3" t="s">
        <v>52</v>
      </c>
      <c r="P5" s="3">
        <v>0.7</v>
      </c>
      <c r="Q5" s="3">
        <v>0.6</v>
      </c>
      <c r="R5" s="4" t="s">
        <v>53</v>
      </c>
      <c r="S5" s="4">
        <v>4500</v>
      </c>
      <c r="T5" s="4">
        <v>13500</v>
      </c>
      <c r="U5" s="4">
        <v>11700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1800</v>
      </c>
      <c r="AD5" s="4">
        <v>13500</v>
      </c>
      <c r="AE5" s="4">
        <v>11700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1800</v>
      </c>
      <c r="AN5" s="4">
        <v>9450</v>
      </c>
      <c r="AO5" s="4">
        <v>0</v>
      </c>
      <c r="AP5" s="4">
        <v>9450</v>
      </c>
      <c r="AQ5" t="s">
        <v>45</v>
      </c>
      <c r="AR5" t="s">
        <v>73</v>
      </c>
    </row>
    <row r="6" spans="1:44" x14ac:dyDescent="0.4">
      <c r="A6" s="3" t="s">
        <v>42</v>
      </c>
      <c r="B6" s="3" t="s">
        <v>43</v>
      </c>
      <c r="C6" s="3" t="s">
        <v>44</v>
      </c>
      <c r="D6" s="3" t="s">
        <v>45</v>
      </c>
      <c r="E6" s="3"/>
      <c r="F6" s="3" t="s">
        <v>46</v>
      </c>
      <c r="G6" s="3" t="s">
        <v>47</v>
      </c>
      <c r="H6" s="3" t="s">
        <v>48</v>
      </c>
      <c r="I6" s="3" t="s">
        <v>49</v>
      </c>
      <c r="J6" s="3">
        <v>57657967</v>
      </c>
      <c r="K6" s="3" t="s">
        <v>183</v>
      </c>
      <c r="L6" s="3"/>
      <c r="M6" s="3"/>
      <c r="N6" s="3" t="s">
        <v>73</v>
      </c>
      <c r="O6" s="3" t="s">
        <v>52</v>
      </c>
      <c r="P6" s="3">
        <v>0.7</v>
      </c>
      <c r="Q6" s="3">
        <v>0.6</v>
      </c>
      <c r="R6" s="4" t="s">
        <v>56</v>
      </c>
      <c r="S6" s="4">
        <v>100</v>
      </c>
      <c r="T6" s="4">
        <v>4000</v>
      </c>
      <c r="U6" s="4">
        <v>1600</v>
      </c>
      <c r="V6" s="4">
        <v>0</v>
      </c>
      <c r="W6" s="4">
        <v>0</v>
      </c>
      <c r="X6" s="4">
        <v>0</v>
      </c>
      <c r="Y6" s="4">
        <v>0</v>
      </c>
      <c r="Z6" s="4">
        <v>400</v>
      </c>
      <c r="AA6" s="4">
        <v>0</v>
      </c>
      <c r="AB6" s="4">
        <v>0</v>
      </c>
      <c r="AC6" s="4">
        <v>2000</v>
      </c>
      <c r="AD6" s="4">
        <v>4040</v>
      </c>
      <c r="AE6" s="4">
        <v>1600</v>
      </c>
      <c r="AF6" s="4">
        <v>0</v>
      </c>
      <c r="AG6" s="4">
        <v>0</v>
      </c>
      <c r="AH6" s="4">
        <v>0</v>
      </c>
      <c r="AI6" s="4">
        <v>0</v>
      </c>
      <c r="AJ6" s="4">
        <v>440</v>
      </c>
      <c r="AK6" s="4">
        <v>0</v>
      </c>
      <c r="AL6" s="4">
        <v>0</v>
      </c>
      <c r="AM6" s="4">
        <v>2000</v>
      </c>
      <c r="AN6" s="4">
        <v>2784</v>
      </c>
      <c r="AO6" s="4">
        <v>0</v>
      </c>
      <c r="AP6" s="4">
        <v>2784</v>
      </c>
      <c r="AQ6" t="s">
        <v>45</v>
      </c>
      <c r="AR6" t="s">
        <v>73</v>
      </c>
    </row>
    <row r="7" spans="1:44" x14ac:dyDescent="0.4">
      <c r="A7" s="3" t="s">
        <v>42</v>
      </c>
      <c r="B7" s="3" t="s">
        <v>43</v>
      </c>
      <c r="C7" s="3" t="s">
        <v>44</v>
      </c>
      <c r="D7" s="3" t="s">
        <v>45</v>
      </c>
      <c r="E7" s="3"/>
      <c r="F7" s="3" t="s">
        <v>46</v>
      </c>
      <c r="G7" s="3" t="s">
        <v>47</v>
      </c>
      <c r="H7" s="3" t="s">
        <v>48</v>
      </c>
      <c r="I7" s="3" t="s">
        <v>49</v>
      </c>
      <c r="J7" s="3">
        <v>57657967</v>
      </c>
      <c r="K7" s="3" t="s">
        <v>183</v>
      </c>
      <c r="L7" s="3"/>
      <c r="M7" s="3"/>
      <c r="N7" s="3" t="s">
        <v>73</v>
      </c>
      <c r="O7" s="3" t="s">
        <v>52</v>
      </c>
      <c r="P7" s="3">
        <v>0.7</v>
      </c>
      <c r="Q7" s="3">
        <v>0.6</v>
      </c>
      <c r="R7" s="4" t="s">
        <v>53</v>
      </c>
      <c r="S7" s="4">
        <v>900</v>
      </c>
      <c r="T7" s="4">
        <v>14400</v>
      </c>
      <c r="U7" s="4">
        <v>10500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3900</v>
      </c>
      <c r="AD7" s="4">
        <v>14400</v>
      </c>
      <c r="AE7" s="4">
        <v>10500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3900</v>
      </c>
      <c r="AN7" s="4">
        <v>10080</v>
      </c>
      <c r="AO7" s="4">
        <v>0</v>
      </c>
      <c r="AP7" s="4">
        <v>10080</v>
      </c>
      <c r="AQ7" t="s">
        <v>45</v>
      </c>
      <c r="AR7" t="s">
        <v>73</v>
      </c>
    </row>
    <row r="8" spans="1:44" x14ac:dyDescent="0.4">
      <c r="A8" s="3" t="s">
        <v>42</v>
      </c>
      <c r="B8" s="3" t="s">
        <v>43</v>
      </c>
      <c r="C8" s="3" t="s">
        <v>44</v>
      </c>
      <c r="D8" s="3" t="s">
        <v>45</v>
      </c>
      <c r="E8" s="3"/>
      <c r="F8" s="3" t="s">
        <v>46</v>
      </c>
      <c r="G8" s="3" t="s">
        <v>47</v>
      </c>
      <c r="H8" s="3" t="s">
        <v>48</v>
      </c>
      <c r="I8" s="3" t="s">
        <v>49</v>
      </c>
      <c r="J8" s="3">
        <v>57657967</v>
      </c>
      <c r="K8" s="3" t="s">
        <v>183</v>
      </c>
      <c r="L8" s="3"/>
      <c r="M8" s="3"/>
      <c r="N8" s="3" t="s">
        <v>73</v>
      </c>
      <c r="O8" s="3" t="s">
        <v>52</v>
      </c>
      <c r="P8" s="3">
        <v>0.7</v>
      </c>
      <c r="Q8" s="3">
        <v>0.6</v>
      </c>
      <c r="R8" s="4" t="s">
        <v>53</v>
      </c>
      <c r="S8" s="4">
        <v>2700</v>
      </c>
      <c r="T8" s="4">
        <v>16200</v>
      </c>
      <c r="U8" s="4">
        <v>10800</v>
      </c>
      <c r="V8" s="4">
        <v>0</v>
      </c>
      <c r="W8" s="4">
        <v>0</v>
      </c>
      <c r="X8" s="4">
        <v>0</v>
      </c>
      <c r="Y8" s="4">
        <v>0</v>
      </c>
      <c r="Z8" s="4">
        <v>2700</v>
      </c>
      <c r="AA8" s="4">
        <v>0</v>
      </c>
      <c r="AB8" s="4">
        <v>0</v>
      </c>
      <c r="AC8" s="4">
        <v>2700</v>
      </c>
      <c r="AD8" s="4">
        <v>16470</v>
      </c>
      <c r="AE8" s="4">
        <v>10800</v>
      </c>
      <c r="AF8" s="4">
        <v>0</v>
      </c>
      <c r="AG8" s="4">
        <v>0</v>
      </c>
      <c r="AH8" s="4">
        <v>0</v>
      </c>
      <c r="AI8" s="4">
        <v>0</v>
      </c>
      <c r="AJ8" s="4">
        <v>2970</v>
      </c>
      <c r="AK8" s="4">
        <v>0</v>
      </c>
      <c r="AL8" s="4">
        <v>0</v>
      </c>
      <c r="AM8" s="4">
        <v>2700</v>
      </c>
      <c r="AN8" s="4">
        <v>11232</v>
      </c>
      <c r="AO8" s="4">
        <v>0</v>
      </c>
      <c r="AP8" s="4">
        <v>11232</v>
      </c>
      <c r="AQ8" t="s">
        <v>45</v>
      </c>
      <c r="AR8" t="s">
        <v>73</v>
      </c>
    </row>
    <row r="9" spans="1:44" x14ac:dyDescent="0.4">
      <c r="A9" s="3" t="s">
        <v>42</v>
      </c>
      <c r="B9" s="3" t="s">
        <v>43</v>
      </c>
      <c r="C9" s="3" t="s">
        <v>44</v>
      </c>
      <c r="D9" s="3" t="s">
        <v>45</v>
      </c>
      <c r="E9" s="3"/>
      <c r="F9" s="3" t="s">
        <v>46</v>
      </c>
      <c r="G9" s="3" t="s">
        <v>47</v>
      </c>
      <c r="H9" s="3" t="s">
        <v>48</v>
      </c>
      <c r="I9" s="3" t="s">
        <v>49</v>
      </c>
      <c r="J9" s="3">
        <v>57657967</v>
      </c>
      <c r="K9" s="3" t="s">
        <v>183</v>
      </c>
      <c r="L9" s="3"/>
      <c r="M9" s="3"/>
      <c r="N9" s="3" t="s">
        <v>73</v>
      </c>
      <c r="O9" s="3" t="s">
        <v>52</v>
      </c>
      <c r="P9" s="3">
        <v>0.7</v>
      </c>
      <c r="Q9" s="3">
        <v>0.6</v>
      </c>
      <c r="R9" s="4" t="s">
        <v>53</v>
      </c>
      <c r="S9" s="4">
        <v>4500</v>
      </c>
      <c r="T9" s="4">
        <v>11300</v>
      </c>
      <c r="U9" s="4">
        <v>2300</v>
      </c>
      <c r="V9" s="4">
        <v>0</v>
      </c>
      <c r="W9" s="4">
        <v>0</v>
      </c>
      <c r="X9" s="4">
        <v>0</v>
      </c>
      <c r="Y9" s="4">
        <v>0</v>
      </c>
      <c r="Z9" s="4">
        <v>4500</v>
      </c>
      <c r="AA9" s="4">
        <v>0</v>
      </c>
      <c r="AB9" s="4">
        <v>0</v>
      </c>
      <c r="AC9" s="4">
        <v>4500</v>
      </c>
      <c r="AD9" s="4">
        <v>11750</v>
      </c>
      <c r="AE9" s="4">
        <v>2300</v>
      </c>
      <c r="AF9" s="4">
        <v>0</v>
      </c>
      <c r="AG9" s="4">
        <v>0</v>
      </c>
      <c r="AH9" s="4">
        <v>0</v>
      </c>
      <c r="AI9" s="4">
        <v>0</v>
      </c>
      <c r="AJ9" s="4">
        <v>4950</v>
      </c>
      <c r="AK9" s="4">
        <v>0</v>
      </c>
      <c r="AL9" s="4">
        <v>0</v>
      </c>
      <c r="AM9" s="4">
        <v>4500</v>
      </c>
      <c r="AN9" s="4">
        <v>7730</v>
      </c>
      <c r="AO9" s="4">
        <v>0</v>
      </c>
      <c r="AP9" s="4">
        <v>7730</v>
      </c>
      <c r="AQ9" t="s">
        <v>45</v>
      </c>
      <c r="AR9" t="s">
        <v>73</v>
      </c>
    </row>
    <row r="10" spans="1:44" x14ac:dyDescent="0.4">
      <c r="A10" s="3" t="s">
        <v>42</v>
      </c>
      <c r="B10" s="3" t="s">
        <v>43</v>
      </c>
      <c r="C10" s="3" t="s">
        <v>44</v>
      </c>
      <c r="D10" s="3" t="s">
        <v>45</v>
      </c>
      <c r="E10" s="3"/>
      <c r="F10" s="3" t="s">
        <v>46</v>
      </c>
      <c r="G10" s="3" t="s">
        <v>47</v>
      </c>
      <c r="H10" s="3" t="s">
        <v>48</v>
      </c>
      <c r="I10" s="3" t="s">
        <v>49</v>
      </c>
      <c r="J10" s="3">
        <v>51981614</v>
      </c>
      <c r="K10" s="3" t="s">
        <v>72</v>
      </c>
      <c r="L10" s="3"/>
      <c r="M10" s="3"/>
      <c r="N10" s="3" t="s">
        <v>73</v>
      </c>
      <c r="O10" s="3" t="s">
        <v>52</v>
      </c>
      <c r="P10" s="3">
        <v>0.7</v>
      </c>
      <c r="Q10" s="3">
        <v>0.6</v>
      </c>
      <c r="R10" s="4" t="s">
        <v>56</v>
      </c>
      <c r="S10" s="4">
        <v>100</v>
      </c>
      <c r="T10" s="4">
        <v>2500</v>
      </c>
      <c r="U10" s="4">
        <v>2200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300</v>
      </c>
      <c r="AD10" s="4">
        <v>2500</v>
      </c>
      <c r="AE10" s="4">
        <v>2200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300</v>
      </c>
      <c r="AN10" s="4">
        <v>1750</v>
      </c>
      <c r="AO10" s="4">
        <v>0</v>
      </c>
      <c r="AP10" s="4">
        <v>1750</v>
      </c>
      <c r="AQ10" t="s">
        <v>45</v>
      </c>
      <c r="AR10" t="s">
        <v>73</v>
      </c>
    </row>
    <row r="11" spans="1:44" x14ac:dyDescent="0.4">
      <c r="A11" s="3" t="s">
        <v>42</v>
      </c>
      <c r="B11" s="3" t="s">
        <v>43</v>
      </c>
      <c r="C11" s="3" t="s">
        <v>44</v>
      </c>
      <c r="D11" s="3" t="s">
        <v>45</v>
      </c>
      <c r="E11" s="3"/>
      <c r="F11" s="3" t="s">
        <v>46</v>
      </c>
      <c r="G11" s="3" t="s">
        <v>47</v>
      </c>
      <c r="H11" s="3" t="s">
        <v>48</v>
      </c>
      <c r="I11" s="3" t="s">
        <v>49</v>
      </c>
      <c r="J11" s="3">
        <v>51981614</v>
      </c>
      <c r="K11" s="3" t="s">
        <v>72</v>
      </c>
      <c r="L11" s="3"/>
      <c r="M11" s="3"/>
      <c r="N11" s="3" t="s">
        <v>73</v>
      </c>
      <c r="O11" s="3" t="s">
        <v>52</v>
      </c>
      <c r="P11" s="3">
        <v>0.7</v>
      </c>
      <c r="Q11" s="3">
        <v>0.6</v>
      </c>
      <c r="R11" s="4" t="s">
        <v>53</v>
      </c>
      <c r="S11" s="4">
        <v>900</v>
      </c>
      <c r="T11" s="4">
        <v>500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500</v>
      </c>
      <c r="AD11" s="4">
        <v>500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500</v>
      </c>
      <c r="AN11" s="4">
        <v>350</v>
      </c>
      <c r="AO11" s="4">
        <v>0</v>
      </c>
      <c r="AP11" s="4">
        <v>350</v>
      </c>
      <c r="AQ11" t="s">
        <v>45</v>
      </c>
      <c r="AR11" t="s">
        <v>73</v>
      </c>
    </row>
    <row r="12" spans="1:44" x14ac:dyDescent="0.4">
      <c r="A12" s="3" t="s">
        <v>42</v>
      </c>
      <c r="B12" s="3" t="s">
        <v>43</v>
      </c>
      <c r="C12" s="3" t="s">
        <v>44</v>
      </c>
      <c r="D12" s="3" t="s">
        <v>45</v>
      </c>
      <c r="E12" s="3"/>
      <c r="F12" s="3" t="s">
        <v>46</v>
      </c>
      <c r="G12" s="3" t="s">
        <v>47</v>
      </c>
      <c r="H12" s="3" t="s">
        <v>48</v>
      </c>
      <c r="I12" s="3" t="s">
        <v>49</v>
      </c>
      <c r="J12" s="3">
        <v>51981614</v>
      </c>
      <c r="K12" s="3" t="s">
        <v>72</v>
      </c>
      <c r="L12" s="3"/>
      <c r="M12" s="3"/>
      <c r="N12" s="3" t="s">
        <v>73</v>
      </c>
      <c r="O12" s="3" t="s">
        <v>52</v>
      </c>
      <c r="P12" s="3">
        <v>0.7</v>
      </c>
      <c r="Q12" s="3">
        <v>0.6</v>
      </c>
      <c r="R12" s="4" t="s">
        <v>53</v>
      </c>
      <c r="S12" s="4">
        <v>2700</v>
      </c>
      <c r="T12" s="4">
        <v>2700</v>
      </c>
      <c r="U12" s="4">
        <v>2700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2700</v>
      </c>
      <c r="AE12" s="4">
        <v>2700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1890</v>
      </c>
      <c r="AO12" s="4">
        <v>0</v>
      </c>
      <c r="AP12" s="4">
        <v>1890</v>
      </c>
      <c r="AQ12" t="s">
        <v>45</v>
      </c>
      <c r="AR12" t="s">
        <v>73</v>
      </c>
    </row>
    <row r="13" spans="1:44" x14ac:dyDescent="0.4">
      <c r="A13" s="3" t="s">
        <v>42</v>
      </c>
      <c r="B13" s="3" t="s">
        <v>43</v>
      </c>
      <c r="C13" s="3" t="s">
        <v>44</v>
      </c>
      <c r="D13" s="3" t="s">
        <v>45</v>
      </c>
      <c r="E13" s="3"/>
      <c r="F13" s="3" t="s">
        <v>46</v>
      </c>
      <c r="G13" s="3" t="s">
        <v>47</v>
      </c>
      <c r="H13" s="3" t="s">
        <v>48</v>
      </c>
      <c r="I13" s="3" t="s">
        <v>49</v>
      </c>
      <c r="J13" s="3">
        <v>55288098</v>
      </c>
      <c r="K13" s="3" t="s">
        <v>193</v>
      </c>
      <c r="L13" s="3"/>
      <c r="M13" s="3"/>
      <c r="N13" s="3" t="s">
        <v>73</v>
      </c>
      <c r="O13" s="3" t="s">
        <v>52</v>
      </c>
      <c r="P13" s="3">
        <v>0.7</v>
      </c>
      <c r="Q13" s="3">
        <v>0.6</v>
      </c>
      <c r="R13" s="4" t="s">
        <v>56</v>
      </c>
      <c r="S13" s="4">
        <v>100</v>
      </c>
      <c r="T13" s="4">
        <v>2200</v>
      </c>
      <c r="U13" s="4">
        <v>1600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600</v>
      </c>
      <c r="AD13" s="4">
        <v>2200</v>
      </c>
      <c r="AE13" s="4">
        <v>1600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600</v>
      </c>
      <c r="AN13" s="4">
        <v>1540</v>
      </c>
      <c r="AO13" s="4">
        <v>0</v>
      </c>
      <c r="AP13" s="4">
        <v>1540</v>
      </c>
      <c r="AQ13" t="s">
        <v>45</v>
      </c>
      <c r="AR13" t="s">
        <v>73</v>
      </c>
    </row>
    <row r="14" spans="1:44" x14ac:dyDescent="0.4">
      <c r="A14" s="3" t="s">
        <v>42</v>
      </c>
      <c r="B14" s="3" t="s">
        <v>43</v>
      </c>
      <c r="C14" s="3" t="s">
        <v>44</v>
      </c>
      <c r="D14" s="3" t="s">
        <v>45</v>
      </c>
      <c r="E14" s="3"/>
      <c r="F14" s="3" t="s">
        <v>46</v>
      </c>
      <c r="G14" s="3" t="s">
        <v>47</v>
      </c>
      <c r="H14" s="3" t="s">
        <v>48</v>
      </c>
      <c r="I14" s="3" t="s">
        <v>49</v>
      </c>
      <c r="J14" s="3">
        <v>55288098</v>
      </c>
      <c r="K14" s="3" t="s">
        <v>193</v>
      </c>
      <c r="L14" s="3"/>
      <c r="M14" s="3"/>
      <c r="N14" s="3" t="s">
        <v>73</v>
      </c>
      <c r="O14" s="3" t="s">
        <v>52</v>
      </c>
      <c r="P14" s="3">
        <v>0.7</v>
      </c>
      <c r="Q14" s="3">
        <v>0.6</v>
      </c>
      <c r="R14" s="4" t="s">
        <v>53</v>
      </c>
      <c r="S14" s="4">
        <v>900</v>
      </c>
      <c r="T14" s="4">
        <v>6300</v>
      </c>
      <c r="U14" s="4">
        <v>900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5400</v>
      </c>
      <c r="AD14" s="4">
        <v>6300</v>
      </c>
      <c r="AE14" s="4">
        <v>900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5400</v>
      </c>
      <c r="AN14" s="4">
        <v>4410</v>
      </c>
      <c r="AO14" s="4">
        <v>0</v>
      </c>
      <c r="AP14" s="4">
        <v>4410</v>
      </c>
      <c r="AQ14" t="s">
        <v>45</v>
      </c>
      <c r="AR14" t="s">
        <v>73</v>
      </c>
    </row>
    <row r="15" spans="1:44" x14ac:dyDescent="0.4">
      <c r="A15" s="3" t="s">
        <v>42</v>
      </c>
      <c r="B15" s="3" t="s">
        <v>43</v>
      </c>
      <c r="C15" s="3" t="s">
        <v>44</v>
      </c>
      <c r="D15" s="3" t="s">
        <v>45</v>
      </c>
      <c r="E15" s="3"/>
      <c r="F15" s="3" t="s">
        <v>46</v>
      </c>
      <c r="G15" s="3" t="s">
        <v>47</v>
      </c>
      <c r="H15" s="3" t="s">
        <v>48</v>
      </c>
      <c r="I15" s="3" t="s">
        <v>49</v>
      </c>
      <c r="J15" s="3">
        <v>55288098</v>
      </c>
      <c r="K15" s="3" t="s">
        <v>193</v>
      </c>
      <c r="L15" s="3"/>
      <c r="M15" s="3"/>
      <c r="N15" s="3" t="s">
        <v>73</v>
      </c>
      <c r="O15" s="3" t="s">
        <v>52</v>
      </c>
      <c r="P15" s="3">
        <v>0.7</v>
      </c>
      <c r="Q15" s="3">
        <v>0.6</v>
      </c>
      <c r="R15" s="4" t="s">
        <v>53</v>
      </c>
      <c r="S15" s="4">
        <v>2700</v>
      </c>
      <c r="T15" s="4">
        <v>2700</v>
      </c>
      <c r="U15" s="4">
        <v>2200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500</v>
      </c>
      <c r="AD15" s="4">
        <v>2700</v>
      </c>
      <c r="AE15" s="4">
        <v>2200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500</v>
      </c>
      <c r="AN15" s="4">
        <v>1890</v>
      </c>
      <c r="AO15" s="4">
        <v>0</v>
      </c>
      <c r="AP15" s="4">
        <v>1890</v>
      </c>
      <c r="AQ15" t="s">
        <v>45</v>
      </c>
      <c r="AR15" t="s">
        <v>73</v>
      </c>
    </row>
    <row r="16" spans="1:44" x14ac:dyDescent="0.4">
      <c r="A16" s="3" t="s">
        <v>42</v>
      </c>
      <c r="B16" s="3" t="s">
        <v>43</v>
      </c>
      <c r="C16" s="3" t="s">
        <v>44</v>
      </c>
      <c r="D16" s="3" t="s">
        <v>45</v>
      </c>
      <c r="E16" s="3"/>
      <c r="F16" s="3" t="s">
        <v>46</v>
      </c>
      <c r="G16" s="3" t="s">
        <v>47</v>
      </c>
      <c r="H16" s="3" t="s">
        <v>48</v>
      </c>
      <c r="I16" s="3" t="s">
        <v>49</v>
      </c>
      <c r="J16" s="3">
        <v>55288098</v>
      </c>
      <c r="K16" s="3" t="s">
        <v>193</v>
      </c>
      <c r="L16" s="3"/>
      <c r="M16" s="3"/>
      <c r="N16" s="3" t="s">
        <v>73</v>
      </c>
      <c r="O16" s="3" t="s">
        <v>52</v>
      </c>
      <c r="P16" s="3">
        <v>0.7</v>
      </c>
      <c r="Q16" s="3">
        <v>0.6</v>
      </c>
      <c r="R16" s="4" t="s">
        <v>53</v>
      </c>
      <c r="S16" s="4">
        <v>4500</v>
      </c>
      <c r="T16" s="4">
        <v>4500</v>
      </c>
      <c r="U16" s="4">
        <v>4500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4500</v>
      </c>
      <c r="AE16" s="4">
        <v>4500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3150</v>
      </c>
      <c r="AO16" s="4">
        <v>0</v>
      </c>
      <c r="AP16" s="4">
        <v>3150</v>
      </c>
      <c r="AQ16" t="s">
        <v>45</v>
      </c>
      <c r="AR16" t="s">
        <v>73</v>
      </c>
    </row>
    <row r="17" spans="1:44" x14ac:dyDescent="0.4">
      <c r="A17" s="3" t="s">
        <v>42</v>
      </c>
      <c r="B17" s="3" t="s">
        <v>43</v>
      </c>
      <c r="C17" s="3" t="s">
        <v>44</v>
      </c>
      <c r="D17" s="3" t="s">
        <v>45</v>
      </c>
      <c r="E17" s="3"/>
      <c r="F17" s="3" t="s">
        <v>46</v>
      </c>
      <c r="G17" s="3" t="s">
        <v>47</v>
      </c>
      <c r="H17" s="3" t="s">
        <v>48</v>
      </c>
      <c r="I17" s="3" t="s">
        <v>49</v>
      </c>
      <c r="J17" s="3">
        <v>51984201</v>
      </c>
      <c r="K17" s="3" t="s">
        <v>97</v>
      </c>
      <c r="L17" s="3"/>
      <c r="M17" s="3"/>
      <c r="N17" s="3" t="s">
        <v>73</v>
      </c>
      <c r="O17" s="3" t="s">
        <v>52</v>
      </c>
      <c r="P17" s="3">
        <v>0.7</v>
      </c>
      <c r="Q17" s="3">
        <v>0.6</v>
      </c>
      <c r="R17" s="4" t="s">
        <v>56</v>
      </c>
      <c r="S17" s="4">
        <v>100</v>
      </c>
      <c r="T17" s="4">
        <v>2700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800</v>
      </c>
      <c r="AA17" s="4">
        <v>0</v>
      </c>
      <c r="AB17" s="4">
        <v>0</v>
      </c>
      <c r="AC17" s="4">
        <v>1900</v>
      </c>
      <c r="AD17" s="4">
        <v>2780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880</v>
      </c>
      <c r="AK17" s="4">
        <v>0</v>
      </c>
      <c r="AL17" s="4">
        <v>0</v>
      </c>
      <c r="AM17" s="4">
        <v>1900</v>
      </c>
      <c r="AN17" s="4">
        <v>1858</v>
      </c>
      <c r="AO17" s="4">
        <v>0</v>
      </c>
      <c r="AP17" s="4">
        <v>1858</v>
      </c>
      <c r="AQ17" t="s">
        <v>45</v>
      </c>
      <c r="AR17" t="s">
        <v>73</v>
      </c>
    </row>
    <row r="18" spans="1:44" x14ac:dyDescent="0.4">
      <c r="A18" s="3" t="s">
        <v>42</v>
      </c>
      <c r="B18" s="3" t="s">
        <v>43</v>
      </c>
      <c r="C18" s="3" t="s">
        <v>44</v>
      </c>
      <c r="D18" s="3" t="s">
        <v>45</v>
      </c>
      <c r="E18" s="3"/>
      <c r="F18" s="3" t="s">
        <v>46</v>
      </c>
      <c r="G18" s="3" t="s">
        <v>47</v>
      </c>
      <c r="H18" s="3" t="s">
        <v>48</v>
      </c>
      <c r="I18" s="3" t="s">
        <v>49</v>
      </c>
      <c r="J18" s="3">
        <v>51984201</v>
      </c>
      <c r="K18" s="3" t="s">
        <v>97</v>
      </c>
      <c r="L18" s="3"/>
      <c r="M18" s="3"/>
      <c r="N18" s="3" t="s">
        <v>73</v>
      </c>
      <c r="O18" s="3" t="s">
        <v>52</v>
      </c>
      <c r="P18" s="3">
        <v>0.7</v>
      </c>
      <c r="Q18" s="3">
        <v>0.6</v>
      </c>
      <c r="R18" s="4" t="s">
        <v>53</v>
      </c>
      <c r="S18" s="4">
        <v>900</v>
      </c>
      <c r="T18" s="4">
        <v>400</v>
      </c>
      <c r="U18" s="4">
        <v>-500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900</v>
      </c>
      <c r="AD18" s="4">
        <v>400</v>
      </c>
      <c r="AE18" s="4">
        <v>-500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900</v>
      </c>
      <c r="AN18" s="4">
        <v>280</v>
      </c>
      <c r="AO18" s="4">
        <v>0</v>
      </c>
      <c r="AP18" s="4">
        <v>280</v>
      </c>
      <c r="AQ18" t="s">
        <v>45</v>
      </c>
      <c r="AR18" t="s">
        <v>73</v>
      </c>
    </row>
    <row r="19" spans="1:44" x14ac:dyDescent="0.4">
      <c r="A19" s="3" t="s">
        <v>42</v>
      </c>
      <c r="B19" s="3" t="s">
        <v>43</v>
      </c>
      <c r="C19" s="3" t="s">
        <v>44</v>
      </c>
      <c r="D19" s="3" t="s">
        <v>45</v>
      </c>
      <c r="E19" s="3"/>
      <c r="F19" s="3" t="s">
        <v>46</v>
      </c>
      <c r="G19" s="3" t="s">
        <v>47</v>
      </c>
      <c r="H19" s="3" t="s">
        <v>48</v>
      </c>
      <c r="I19" s="3" t="s">
        <v>49</v>
      </c>
      <c r="J19" s="3">
        <v>51984201</v>
      </c>
      <c r="K19" s="3" t="s">
        <v>97</v>
      </c>
      <c r="L19" s="3"/>
      <c r="M19" s="3"/>
      <c r="N19" s="3" t="s">
        <v>73</v>
      </c>
      <c r="O19" s="3" t="s">
        <v>52</v>
      </c>
      <c r="P19" s="3">
        <v>0.7</v>
      </c>
      <c r="Q19" s="3">
        <v>0.6</v>
      </c>
      <c r="R19" s="4" t="s">
        <v>53</v>
      </c>
      <c r="S19" s="4">
        <v>1800</v>
      </c>
      <c r="T19" s="4">
        <v>1800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1800</v>
      </c>
      <c r="AD19" s="4">
        <v>1800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1800</v>
      </c>
      <c r="AN19" s="4">
        <v>1260</v>
      </c>
      <c r="AO19" s="4">
        <v>0</v>
      </c>
      <c r="AP19" s="4">
        <v>1260</v>
      </c>
      <c r="AQ19" t="s">
        <v>45</v>
      </c>
      <c r="AR19" t="s">
        <v>73</v>
      </c>
    </row>
    <row r="20" spans="1:44" x14ac:dyDescent="0.4">
      <c r="A20" s="3" t="s">
        <v>42</v>
      </c>
      <c r="B20" s="3" t="s">
        <v>43</v>
      </c>
      <c r="C20" s="3" t="s">
        <v>44</v>
      </c>
      <c r="D20" s="3" t="s">
        <v>45</v>
      </c>
      <c r="E20" s="3"/>
      <c r="F20" s="3" t="s">
        <v>46</v>
      </c>
      <c r="G20" s="3" t="s">
        <v>47</v>
      </c>
      <c r="H20" s="3" t="s">
        <v>48</v>
      </c>
      <c r="I20" s="3" t="s">
        <v>49</v>
      </c>
      <c r="J20" s="3">
        <v>51984201</v>
      </c>
      <c r="K20" s="3" t="s">
        <v>97</v>
      </c>
      <c r="L20" s="3"/>
      <c r="M20" s="3"/>
      <c r="N20" s="3" t="s">
        <v>73</v>
      </c>
      <c r="O20" s="3" t="s">
        <v>52</v>
      </c>
      <c r="P20" s="3">
        <v>0.7</v>
      </c>
      <c r="Q20" s="3">
        <v>0.6</v>
      </c>
      <c r="R20" s="4" t="s">
        <v>53</v>
      </c>
      <c r="S20" s="4">
        <v>2700</v>
      </c>
      <c r="T20" s="4">
        <v>5400</v>
      </c>
      <c r="U20" s="4">
        <v>500</v>
      </c>
      <c r="V20" s="4">
        <v>0</v>
      </c>
      <c r="W20" s="4">
        <v>0</v>
      </c>
      <c r="X20" s="4">
        <v>0</v>
      </c>
      <c r="Y20" s="4">
        <v>0</v>
      </c>
      <c r="Z20" s="4">
        <v>2700</v>
      </c>
      <c r="AA20" s="4">
        <v>0</v>
      </c>
      <c r="AB20" s="4">
        <v>0</v>
      </c>
      <c r="AC20" s="4">
        <v>2200</v>
      </c>
      <c r="AD20" s="4">
        <v>5670</v>
      </c>
      <c r="AE20" s="4">
        <v>500</v>
      </c>
      <c r="AF20" s="4">
        <v>0</v>
      </c>
      <c r="AG20" s="4">
        <v>0</v>
      </c>
      <c r="AH20" s="4">
        <v>0</v>
      </c>
      <c r="AI20" s="4">
        <v>0</v>
      </c>
      <c r="AJ20" s="4">
        <v>2970</v>
      </c>
      <c r="AK20" s="4">
        <v>0</v>
      </c>
      <c r="AL20" s="4">
        <v>0</v>
      </c>
      <c r="AM20" s="4">
        <v>2200</v>
      </c>
      <c r="AN20" s="4">
        <v>3672</v>
      </c>
      <c r="AO20" s="4">
        <v>0</v>
      </c>
      <c r="AP20" s="4">
        <v>3672</v>
      </c>
      <c r="AQ20" t="s">
        <v>45</v>
      </c>
      <c r="AR20" t="s">
        <v>73</v>
      </c>
    </row>
    <row r="21" spans="1:44" x14ac:dyDescent="0.4">
      <c r="A21" s="3" t="s">
        <v>42</v>
      </c>
      <c r="B21" s="3" t="s">
        <v>43</v>
      </c>
      <c r="C21" s="3" t="s">
        <v>44</v>
      </c>
      <c r="D21" s="3" t="s">
        <v>45</v>
      </c>
      <c r="E21" s="3"/>
      <c r="F21" s="3" t="s">
        <v>46</v>
      </c>
      <c r="G21" s="3" t="s">
        <v>47</v>
      </c>
      <c r="H21" s="3" t="s">
        <v>48</v>
      </c>
      <c r="I21" s="3" t="s">
        <v>49</v>
      </c>
      <c r="J21" s="3">
        <v>55019302</v>
      </c>
      <c r="K21" s="3" t="s">
        <v>214</v>
      </c>
      <c r="L21" s="3"/>
      <c r="M21" s="3"/>
      <c r="N21" s="3" t="s">
        <v>73</v>
      </c>
      <c r="O21" s="3" t="s">
        <v>52</v>
      </c>
      <c r="P21" s="3">
        <v>0.7</v>
      </c>
      <c r="Q21" s="3">
        <v>0.6</v>
      </c>
      <c r="R21" s="4" t="s">
        <v>56</v>
      </c>
      <c r="S21" s="4">
        <v>100</v>
      </c>
      <c r="T21" s="4">
        <v>6800</v>
      </c>
      <c r="U21" s="4">
        <v>4800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2000</v>
      </c>
      <c r="AD21" s="4">
        <v>6800</v>
      </c>
      <c r="AE21" s="4">
        <v>4800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2000</v>
      </c>
      <c r="AN21" s="4">
        <v>4760</v>
      </c>
      <c r="AO21" s="4">
        <v>0</v>
      </c>
      <c r="AP21" s="4">
        <v>4760</v>
      </c>
      <c r="AQ21" t="s">
        <v>45</v>
      </c>
      <c r="AR21" t="s">
        <v>73</v>
      </c>
    </row>
    <row r="22" spans="1:44" x14ac:dyDescent="0.4">
      <c r="A22" s="3" t="s">
        <v>42</v>
      </c>
      <c r="B22" s="3" t="s">
        <v>43</v>
      </c>
      <c r="C22" s="3" t="s">
        <v>44</v>
      </c>
      <c r="D22" s="3" t="s">
        <v>45</v>
      </c>
      <c r="E22" s="3"/>
      <c r="F22" s="3" t="s">
        <v>46</v>
      </c>
      <c r="G22" s="3" t="s">
        <v>47</v>
      </c>
      <c r="H22" s="3" t="s">
        <v>48</v>
      </c>
      <c r="I22" s="3" t="s">
        <v>49</v>
      </c>
      <c r="J22" s="3">
        <v>52488221</v>
      </c>
      <c r="K22" s="3" t="s">
        <v>253</v>
      </c>
      <c r="L22" s="3"/>
      <c r="M22" s="3"/>
      <c r="N22" s="3" t="s">
        <v>73</v>
      </c>
      <c r="O22" s="3" t="s">
        <v>52</v>
      </c>
      <c r="P22" s="3">
        <v>0.7</v>
      </c>
      <c r="Q22" s="3">
        <v>0.6</v>
      </c>
      <c r="R22" s="4" t="s">
        <v>56</v>
      </c>
      <c r="S22" s="4">
        <v>100</v>
      </c>
      <c r="T22" s="4">
        <v>1700</v>
      </c>
      <c r="U22" s="4">
        <v>900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800</v>
      </c>
      <c r="AD22" s="4">
        <v>1700</v>
      </c>
      <c r="AE22" s="4">
        <v>900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800</v>
      </c>
      <c r="AN22" s="4">
        <v>1190</v>
      </c>
      <c r="AO22" s="4">
        <v>0</v>
      </c>
      <c r="AP22" s="4">
        <v>1190</v>
      </c>
      <c r="AQ22" t="s">
        <v>45</v>
      </c>
      <c r="AR22" t="s">
        <v>73</v>
      </c>
    </row>
    <row r="23" spans="1:44" x14ac:dyDescent="0.4">
      <c r="A23" s="3" t="s">
        <v>42</v>
      </c>
      <c r="B23" s="3" t="s">
        <v>43</v>
      </c>
      <c r="C23" s="3" t="s">
        <v>44</v>
      </c>
      <c r="D23" s="3" t="s">
        <v>45</v>
      </c>
      <c r="E23" s="3"/>
      <c r="F23" s="3" t="s">
        <v>46</v>
      </c>
      <c r="G23" s="3" t="s">
        <v>47</v>
      </c>
      <c r="H23" s="3" t="s">
        <v>48</v>
      </c>
      <c r="I23" s="3" t="s">
        <v>49</v>
      </c>
      <c r="J23" s="3">
        <v>55019302</v>
      </c>
      <c r="K23" s="3" t="s">
        <v>214</v>
      </c>
      <c r="L23" s="3"/>
      <c r="M23" s="3"/>
      <c r="N23" s="3" t="s">
        <v>73</v>
      </c>
      <c r="O23" s="3" t="s">
        <v>52</v>
      </c>
      <c r="P23" s="3">
        <v>0.7</v>
      </c>
      <c r="Q23" s="3">
        <v>0.6</v>
      </c>
      <c r="R23" s="4" t="s">
        <v>53</v>
      </c>
      <c r="S23" s="4">
        <v>900</v>
      </c>
      <c r="T23" s="4">
        <v>900</v>
      </c>
      <c r="U23" s="4">
        <v>900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900</v>
      </c>
      <c r="AE23" s="4">
        <v>900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630</v>
      </c>
      <c r="AO23" s="4">
        <v>0</v>
      </c>
      <c r="AP23" s="4">
        <v>630</v>
      </c>
      <c r="AQ23" t="s">
        <v>45</v>
      </c>
      <c r="AR23" t="s">
        <v>73</v>
      </c>
    </row>
    <row r="24" spans="1:44" x14ac:dyDescent="0.4">
      <c r="A24" s="3" t="s">
        <v>42</v>
      </c>
      <c r="B24" s="3" t="s">
        <v>43</v>
      </c>
      <c r="C24" s="3" t="s">
        <v>44</v>
      </c>
      <c r="D24" s="3" t="s">
        <v>45</v>
      </c>
      <c r="E24" s="3"/>
      <c r="F24" s="3" t="s">
        <v>46</v>
      </c>
      <c r="G24" s="3" t="s">
        <v>47</v>
      </c>
      <c r="H24" s="3" t="s">
        <v>48</v>
      </c>
      <c r="I24" s="3" t="s">
        <v>49</v>
      </c>
      <c r="J24" s="3">
        <v>52488221</v>
      </c>
      <c r="K24" s="3" t="s">
        <v>253</v>
      </c>
      <c r="L24" s="3"/>
      <c r="M24" s="3"/>
      <c r="N24" s="3" t="s">
        <v>73</v>
      </c>
      <c r="O24" s="3" t="s">
        <v>52</v>
      </c>
      <c r="P24" s="3">
        <v>0.7</v>
      </c>
      <c r="Q24" s="3">
        <v>0.6</v>
      </c>
      <c r="R24" s="4" t="s">
        <v>53</v>
      </c>
      <c r="S24" s="4">
        <v>900</v>
      </c>
      <c r="T24" s="4">
        <v>2700</v>
      </c>
      <c r="U24" s="4">
        <v>2700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2700</v>
      </c>
      <c r="AE24" s="4">
        <v>2700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1890</v>
      </c>
      <c r="AO24" s="4">
        <v>0</v>
      </c>
      <c r="AP24" s="4">
        <v>1890</v>
      </c>
      <c r="AQ24" t="s">
        <v>45</v>
      </c>
      <c r="AR24" t="s">
        <v>73</v>
      </c>
    </row>
    <row r="25" spans="1:44" x14ac:dyDescent="0.4">
      <c r="A25" s="3" t="s">
        <v>42</v>
      </c>
      <c r="B25" s="3" t="s">
        <v>43</v>
      </c>
      <c r="C25" s="3" t="s">
        <v>44</v>
      </c>
      <c r="D25" s="3" t="s">
        <v>45</v>
      </c>
      <c r="E25" s="3"/>
      <c r="F25" s="3" t="s">
        <v>46</v>
      </c>
      <c r="G25" s="3" t="s">
        <v>47</v>
      </c>
      <c r="H25" s="3" t="s">
        <v>48</v>
      </c>
      <c r="I25" s="3" t="s">
        <v>49</v>
      </c>
      <c r="J25" s="3">
        <v>55019302</v>
      </c>
      <c r="K25" s="3" t="s">
        <v>214</v>
      </c>
      <c r="L25" s="3"/>
      <c r="M25" s="3"/>
      <c r="N25" s="3" t="s">
        <v>73</v>
      </c>
      <c r="O25" s="3" t="s">
        <v>52</v>
      </c>
      <c r="P25" s="3">
        <v>0.7</v>
      </c>
      <c r="Q25" s="3">
        <v>0.6</v>
      </c>
      <c r="R25" s="4" t="s">
        <v>53</v>
      </c>
      <c r="S25" s="4">
        <v>2700</v>
      </c>
      <c r="T25" s="4">
        <v>2700</v>
      </c>
      <c r="U25" s="4">
        <v>2700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2700</v>
      </c>
      <c r="AE25" s="4">
        <v>2700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1890</v>
      </c>
      <c r="AO25" s="4">
        <v>0</v>
      </c>
      <c r="AP25" s="4">
        <v>1890</v>
      </c>
      <c r="AQ25" t="s">
        <v>45</v>
      </c>
      <c r="AR25" t="s">
        <v>73</v>
      </c>
    </row>
    <row r="26" spans="1:44" x14ac:dyDescent="0.4">
      <c r="A26" s="3" t="s">
        <v>42</v>
      </c>
      <c r="B26" s="3" t="s">
        <v>43</v>
      </c>
      <c r="C26" s="3" t="s">
        <v>44</v>
      </c>
      <c r="D26" s="3" t="s">
        <v>45</v>
      </c>
      <c r="E26" s="3"/>
      <c r="F26" s="3" t="s">
        <v>46</v>
      </c>
      <c r="G26" s="3" t="s">
        <v>47</v>
      </c>
      <c r="H26" s="3" t="s">
        <v>48</v>
      </c>
      <c r="I26" s="3" t="s">
        <v>49</v>
      </c>
      <c r="J26" s="3">
        <v>55019302</v>
      </c>
      <c r="K26" s="3" t="s">
        <v>214</v>
      </c>
      <c r="L26" s="3"/>
      <c r="M26" s="3"/>
      <c r="N26" s="3" t="s">
        <v>73</v>
      </c>
      <c r="O26" s="3" t="s">
        <v>52</v>
      </c>
      <c r="P26" s="3">
        <v>0.7</v>
      </c>
      <c r="Q26" s="3">
        <v>0.6</v>
      </c>
      <c r="R26" s="4" t="s">
        <v>53</v>
      </c>
      <c r="S26" s="4">
        <v>4500</v>
      </c>
      <c r="T26" s="4">
        <v>9000</v>
      </c>
      <c r="U26" s="4">
        <v>9000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9000</v>
      </c>
      <c r="AE26" s="4">
        <v>9000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6300</v>
      </c>
      <c r="AO26" s="4">
        <v>0</v>
      </c>
      <c r="AP26" s="4">
        <v>6300</v>
      </c>
      <c r="AQ26" t="s">
        <v>45</v>
      </c>
      <c r="AR26" t="s">
        <v>73</v>
      </c>
    </row>
    <row r="27" spans="1:44" x14ac:dyDescent="0.4">
      <c r="A27" s="3" t="s">
        <v>42</v>
      </c>
      <c r="B27" s="3" t="s">
        <v>43</v>
      </c>
      <c r="C27" s="3" t="s">
        <v>44</v>
      </c>
      <c r="D27" s="3" t="s">
        <v>45</v>
      </c>
      <c r="E27" s="3"/>
      <c r="F27" s="3" t="s">
        <v>46</v>
      </c>
      <c r="G27" s="3" t="s">
        <v>47</v>
      </c>
      <c r="H27" s="3" t="s">
        <v>48</v>
      </c>
      <c r="I27" s="3" t="s">
        <v>49</v>
      </c>
      <c r="J27" s="3">
        <v>50924987</v>
      </c>
      <c r="K27" s="3" t="s">
        <v>245</v>
      </c>
      <c r="L27" s="3"/>
      <c r="M27" s="3"/>
      <c r="N27" s="3" t="s">
        <v>73</v>
      </c>
      <c r="O27" s="3" t="s">
        <v>52</v>
      </c>
      <c r="P27" s="3">
        <v>0.7</v>
      </c>
      <c r="Q27" s="3">
        <v>0.6</v>
      </c>
      <c r="R27" s="4" t="s">
        <v>56</v>
      </c>
      <c r="S27" s="4">
        <v>100</v>
      </c>
      <c r="T27" s="4">
        <v>6200</v>
      </c>
      <c r="U27" s="4">
        <v>4200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2000</v>
      </c>
      <c r="AD27" s="4">
        <v>6200</v>
      </c>
      <c r="AE27" s="4">
        <v>4200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2000</v>
      </c>
      <c r="AN27" s="4">
        <v>4340</v>
      </c>
      <c r="AO27" s="4">
        <v>0</v>
      </c>
      <c r="AP27" s="4">
        <v>4340</v>
      </c>
      <c r="AQ27" t="s">
        <v>45</v>
      </c>
      <c r="AR27" t="s">
        <v>73</v>
      </c>
    </row>
    <row r="28" spans="1:44" x14ac:dyDescent="0.4">
      <c r="A28" s="3" t="s">
        <v>42</v>
      </c>
      <c r="B28" s="3" t="s">
        <v>43</v>
      </c>
      <c r="C28" s="3" t="s">
        <v>44</v>
      </c>
      <c r="D28" s="3" t="s">
        <v>45</v>
      </c>
      <c r="E28" s="3"/>
      <c r="F28" s="3" t="s">
        <v>46</v>
      </c>
      <c r="G28" s="3" t="s">
        <v>47</v>
      </c>
      <c r="H28" s="3" t="s">
        <v>48</v>
      </c>
      <c r="I28" s="3" t="s">
        <v>49</v>
      </c>
      <c r="J28" s="3">
        <v>55182185</v>
      </c>
      <c r="K28" s="3" t="s">
        <v>220</v>
      </c>
      <c r="L28" s="3"/>
      <c r="M28" s="3"/>
      <c r="N28" s="3" t="s">
        <v>73</v>
      </c>
      <c r="O28" s="3" t="s">
        <v>52</v>
      </c>
      <c r="P28" s="3">
        <v>0.7</v>
      </c>
      <c r="Q28" s="3">
        <v>0.6</v>
      </c>
      <c r="R28" s="4" t="s">
        <v>56</v>
      </c>
      <c r="S28" s="4">
        <v>100</v>
      </c>
      <c r="T28" s="4">
        <v>3600</v>
      </c>
      <c r="U28" s="4">
        <v>3300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300</v>
      </c>
      <c r="AD28" s="4">
        <v>3600</v>
      </c>
      <c r="AE28" s="4">
        <v>3300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300</v>
      </c>
      <c r="AN28" s="4">
        <v>2520</v>
      </c>
      <c r="AO28" s="4">
        <v>0</v>
      </c>
      <c r="AP28" s="4">
        <v>2520</v>
      </c>
      <c r="AQ28" t="s">
        <v>45</v>
      </c>
      <c r="AR28" t="s">
        <v>73</v>
      </c>
    </row>
    <row r="29" spans="1:44" x14ac:dyDescent="0.4">
      <c r="A29" s="3" t="s">
        <v>42</v>
      </c>
      <c r="B29" s="3" t="s">
        <v>43</v>
      </c>
      <c r="C29" s="3" t="s">
        <v>44</v>
      </c>
      <c r="D29" s="3" t="s">
        <v>45</v>
      </c>
      <c r="E29" s="3"/>
      <c r="F29" s="3" t="s">
        <v>46</v>
      </c>
      <c r="G29" s="3" t="s">
        <v>47</v>
      </c>
      <c r="H29" s="3" t="s">
        <v>48</v>
      </c>
      <c r="I29" s="3" t="s">
        <v>49</v>
      </c>
      <c r="J29" s="3">
        <v>55182185</v>
      </c>
      <c r="K29" s="3" t="s">
        <v>220</v>
      </c>
      <c r="L29" s="3"/>
      <c r="M29" s="3"/>
      <c r="N29" s="3" t="s">
        <v>73</v>
      </c>
      <c r="O29" s="3" t="s">
        <v>52</v>
      </c>
      <c r="P29" s="3">
        <v>0.7</v>
      </c>
      <c r="Q29" s="3">
        <v>0.6</v>
      </c>
      <c r="R29" s="4" t="s">
        <v>53</v>
      </c>
      <c r="S29" s="4">
        <v>900</v>
      </c>
      <c r="T29" s="4">
        <v>7200</v>
      </c>
      <c r="U29" s="4">
        <v>7200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7200</v>
      </c>
      <c r="AE29" s="4">
        <v>7200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5040</v>
      </c>
      <c r="AO29" s="4">
        <v>0</v>
      </c>
      <c r="AP29" s="4">
        <v>5040</v>
      </c>
      <c r="AQ29" t="s">
        <v>45</v>
      </c>
      <c r="AR29" t="s">
        <v>73</v>
      </c>
    </row>
    <row r="30" spans="1:44" x14ac:dyDescent="0.4">
      <c r="A30" s="3" t="s">
        <v>42</v>
      </c>
      <c r="B30" s="3" t="s">
        <v>43</v>
      </c>
      <c r="C30" s="3" t="s">
        <v>44</v>
      </c>
      <c r="D30" s="3" t="s">
        <v>45</v>
      </c>
      <c r="E30" s="3"/>
      <c r="F30" s="3" t="s">
        <v>46</v>
      </c>
      <c r="G30" s="3" t="s">
        <v>47</v>
      </c>
      <c r="H30" s="3" t="s">
        <v>48</v>
      </c>
      <c r="I30" s="3" t="s">
        <v>49</v>
      </c>
      <c r="J30" s="3">
        <v>55182185</v>
      </c>
      <c r="K30" s="3" t="s">
        <v>220</v>
      </c>
      <c r="L30" s="3"/>
      <c r="M30" s="3"/>
      <c r="N30" s="3" t="s">
        <v>73</v>
      </c>
      <c r="O30" s="3" t="s">
        <v>52</v>
      </c>
      <c r="P30" s="3">
        <v>0.7</v>
      </c>
      <c r="Q30" s="3">
        <v>0.6</v>
      </c>
      <c r="R30" s="4" t="s">
        <v>53</v>
      </c>
      <c r="S30" s="4">
        <v>2700</v>
      </c>
      <c r="T30" s="4">
        <v>5400</v>
      </c>
      <c r="U30" s="4">
        <v>2700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2700</v>
      </c>
      <c r="AD30" s="4">
        <v>5400</v>
      </c>
      <c r="AE30" s="4">
        <v>2700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2700</v>
      </c>
      <c r="AN30" s="4">
        <v>3780</v>
      </c>
      <c r="AO30" s="4">
        <v>0</v>
      </c>
      <c r="AP30" s="4">
        <v>3780</v>
      </c>
      <c r="AQ30" t="s">
        <v>45</v>
      </c>
      <c r="AR30" t="s">
        <v>73</v>
      </c>
    </row>
    <row r="31" spans="1:44" x14ac:dyDescent="0.4">
      <c r="A31" s="3" t="s">
        <v>42</v>
      </c>
      <c r="B31" s="3" t="s">
        <v>43</v>
      </c>
      <c r="C31" s="3" t="s">
        <v>44</v>
      </c>
      <c r="D31" s="3" t="s">
        <v>45</v>
      </c>
      <c r="E31" s="3"/>
      <c r="F31" s="3" t="s">
        <v>46</v>
      </c>
      <c r="G31" s="3" t="s">
        <v>47</v>
      </c>
      <c r="H31" s="3" t="s">
        <v>48</v>
      </c>
      <c r="I31" s="3" t="s">
        <v>49</v>
      </c>
      <c r="J31" s="3">
        <v>55182185</v>
      </c>
      <c r="K31" s="3" t="s">
        <v>220</v>
      </c>
      <c r="L31" s="3"/>
      <c r="M31" s="3"/>
      <c r="N31" s="3" t="s">
        <v>73</v>
      </c>
      <c r="O31" s="3" t="s">
        <v>52</v>
      </c>
      <c r="P31" s="3">
        <v>0.7</v>
      </c>
      <c r="Q31" s="3">
        <v>0.6</v>
      </c>
      <c r="R31" s="4" t="s">
        <v>53</v>
      </c>
      <c r="S31" s="4">
        <v>4500</v>
      </c>
      <c r="T31" s="4">
        <v>4800</v>
      </c>
      <c r="U31" s="4">
        <v>300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4500</v>
      </c>
      <c r="AD31" s="4">
        <v>4800</v>
      </c>
      <c r="AE31" s="4">
        <v>300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4500</v>
      </c>
      <c r="AN31" s="4">
        <v>3360</v>
      </c>
      <c r="AO31" s="4">
        <v>0</v>
      </c>
      <c r="AP31" s="4">
        <v>3360</v>
      </c>
      <c r="AQ31" t="s">
        <v>45</v>
      </c>
      <c r="AR31" t="s">
        <v>73</v>
      </c>
    </row>
    <row r="32" spans="1:44" x14ac:dyDescent="0.4">
      <c r="A32" s="3" t="s">
        <v>42</v>
      </c>
      <c r="B32" s="3" t="s">
        <v>43</v>
      </c>
      <c r="C32" s="3" t="s">
        <v>44</v>
      </c>
      <c r="D32" s="3" t="s">
        <v>45</v>
      </c>
      <c r="E32" s="3"/>
      <c r="F32" s="3" t="s">
        <v>46</v>
      </c>
      <c r="G32" s="3" t="s">
        <v>47</v>
      </c>
      <c r="H32" s="3" t="s">
        <v>48</v>
      </c>
      <c r="I32" s="3" t="s">
        <v>49</v>
      </c>
      <c r="J32" s="3">
        <v>53747115</v>
      </c>
      <c r="K32" s="3" t="s">
        <v>181</v>
      </c>
      <c r="L32" s="3"/>
      <c r="M32" s="3"/>
      <c r="N32" s="3" t="s">
        <v>73</v>
      </c>
      <c r="O32" s="3" t="s">
        <v>52</v>
      </c>
      <c r="P32" s="3">
        <v>0.7</v>
      </c>
      <c r="Q32" s="3">
        <v>0.6</v>
      </c>
      <c r="R32" s="4" t="s">
        <v>56</v>
      </c>
      <c r="S32" s="4">
        <v>100</v>
      </c>
      <c r="T32" s="4">
        <v>1600</v>
      </c>
      <c r="U32" s="4">
        <v>200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1400</v>
      </c>
      <c r="AD32" s="4">
        <v>1600</v>
      </c>
      <c r="AE32" s="4">
        <v>200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1400</v>
      </c>
      <c r="AN32" s="4">
        <v>1120</v>
      </c>
      <c r="AO32" s="4">
        <v>0</v>
      </c>
      <c r="AP32" s="4">
        <v>1120</v>
      </c>
      <c r="AQ32" t="s">
        <v>45</v>
      </c>
      <c r="AR32" t="s">
        <v>73</v>
      </c>
    </row>
    <row r="33" spans="1:44" x14ac:dyDescent="0.4">
      <c r="A33" s="3" t="s">
        <v>42</v>
      </c>
      <c r="B33" s="3" t="s">
        <v>43</v>
      </c>
      <c r="C33" s="3" t="s">
        <v>44</v>
      </c>
      <c r="D33" s="3" t="s">
        <v>45</v>
      </c>
      <c r="E33" s="3"/>
      <c r="F33" s="3" t="s">
        <v>46</v>
      </c>
      <c r="G33" s="3" t="s">
        <v>47</v>
      </c>
      <c r="H33" s="3" t="s">
        <v>48</v>
      </c>
      <c r="I33" s="3" t="s">
        <v>49</v>
      </c>
      <c r="J33" s="3">
        <v>53747115</v>
      </c>
      <c r="K33" s="3" t="s">
        <v>181</v>
      </c>
      <c r="L33" s="3"/>
      <c r="M33" s="3"/>
      <c r="N33" s="3" t="s">
        <v>73</v>
      </c>
      <c r="O33" s="3" t="s">
        <v>52</v>
      </c>
      <c r="P33" s="3">
        <v>0.7</v>
      </c>
      <c r="Q33" s="3">
        <v>0.6</v>
      </c>
      <c r="R33" s="4" t="s">
        <v>53</v>
      </c>
      <c r="S33" s="4">
        <v>900</v>
      </c>
      <c r="T33" s="4">
        <v>4500</v>
      </c>
      <c r="U33" s="4">
        <v>1000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3500</v>
      </c>
      <c r="AD33" s="4">
        <v>4500</v>
      </c>
      <c r="AE33" s="4">
        <v>1000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3500</v>
      </c>
      <c r="AN33" s="4">
        <v>3150</v>
      </c>
      <c r="AO33" s="4">
        <v>0</v>
      </c>
      <c r="AP33" s="4">
        <v>3150</v>
      </c>
      <c r="AQ33" t="s">
        <v>45</v>
      </c>
      <c r="AR33" t="s">
        <v>73</v>
      </c>
    </row>
    <row r="34" spans="1:44" x14ac:dyDescent="0.4">
      <c r="A34" s="3" t="s">
        <v>42</v>
      </c>
      <c r="B34" s="3" t="s">
        <v>43</v>
      </c>
      <c r="C34" s="3" t="s">
        <v>44</v>
      </c>
      <c r="D34" s="3" t="s">
        <v>45</v>
      </c>
      <c r="E34" s="3"/>
      <c r="F34" s="3" t="s">
        <v>46</v>
      </c>
      <c r="G34" s="3" t="s">
        <v>47</v>
      </c>
      <c r="H34" s="3" t="s">
        <v>48</v>
      </c>
      <c r="I34" s="3" t="s">
        <v>49</v>
      </c>
      <c r="J34" s="3">
        <v>53747115</v>
      </c>
      <c r="K34" s="3" t="s">
        <v>181</v>
      </c>
      <c r="L34" s="3"/>
      <c r="M34" s="3"/>
      <c r="N34" s="3" t="s">
        <v>73</v>
      </c>
      <c r="O34" s="3" t="s">
        <v>52</v>
      </c>
      <c r="P34" s="3">
        <v>0.7</v>
      </c>
      <c r="Q34" s="3">
        <v>0.6</v>
      </c>
      <c r="R34" s="4" t="s">
        <v>53</v>
      </c>
      <c r="S34" s="4">
        <v>1800</v>
      </c>
      <c r="T34" s="4">
        <v>1800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1800</v>
      </c>
      <c r="AD34" s="4">
        <v>1800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1800</v>
      </c>
      <c r="AN34" s="4">
        <v>1260</v>
      </c>
      <c r="AO34" s="4">
        <v>0</v>
      </c>
      <c r="AP34" s="4">
        <v>1260</v>
      </c>
      <c r="AQ34" t="s">
        <v>45</v>
      </c>
      <c r="AR34" t="s">
        <v>73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R1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5.6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53010813</v>
      </c>
      <c r="K2" s="3" t="s">
        <v>186</v>
      </c>
      <c r="L2" s="3"/>
      <c r="M2" s="3"/>
      <c r="N2" s="3" t="s">
        <v>187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8900</v>
      </c>
      <c r="U2" s="4">
        <v>7000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1900</v>
      </c>
      <c r="AD2" s="4">
        <v>8900</v>
      </c>
      <c r="AE2" s="4">
        <v>7000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1900</v>
      </c>
      <c r="AN2" s="4">
        <v>6230</v>
      </c>
      <c r="AO2" s="4">
        <v>0</v>
      </c>
      <c r="AP2" s="4">
        <v>6230</v>
      </c>
      <c r="AQ2" t="s">
        <v>45</v>
      </c>
      <c r="AR2" t="s">
        <v>187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53010813</v>
      </c>
      <c r="K3" s="3" t="s">
        <v>186</v>
      </c>
      <c r="L3" s="3"/>
      <c r="M3" s="3"/>
      <c r="N3" s="3" t="s">
        <v>187</v>
      </c>
      <c r="O3" s="3" t="s">
        <v>52</v>
      </c>
      <c r="P3" s="3">
        <v>0.7</v>
      </c>
      <c r="Q3" s="3">
        <v>0.6</v>
      </c>
      <c r="R3" s="4" t="s">
        <v>53</v>
      </c>
      <c r="S3" s="4">
        <v>900</v>
      </c>
      <c r="T3" s="4">
        <v>3200</v>
      </c>
      <c r="U3" s="4">
        <v>3200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3200</v>
      </c>
      <c r="AE3" s="4">
        <v>3200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2240</v>
      </c>
      <c r="AO3" s="4">
        <v>0</v>
      </c>
      <c r="AP3" s="4">
        <v>2240</v>
      </c>
      <c r="AQ3" t="s">
        <v>45</v>
      </c>
      <c r="AR3" t="s">
        <v>187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53010813</v>
      </c>
      <c r="K4" s="3" t="s">
        <v>186</v>
      </c>
      <c r="L4" s="3"/>
      <c r="M4" s="3"/>
      <c r="N4" s="3" t="s">
        <v>187</v>
      </c>
      <c r="O4" s="3" t="s">
        <v>52</v>
      </c>
      <c r="P4" s="3">
        <v>0.7</v>
      </c>
      <c r="Q4" s="3">
        <v>0.6</v>
      </c>
      <c r="R4" s="4" t="s">
        <v>53</v>
      </c>
      <c r="S4" s="4">
        <v>1800</v>
      </c>
      <c r="T4" s="4">
        <v>3800</v>
      </c>
      <c r="U4" s="4">
        <v>3600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200</v>
      </c>
      <c r="AD4" s="4">
        <v>3800</v>
      </c>
      <c r="AE4" s="4">
        <v>3600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200</v>
      </c>
      <c r="AN4" s="4">
        <v>2660</v>
      </c>
      <c r="AO4" s="4">
        <v>0</v>
      </c>
      <c r="AP4" s="4">
        <v>2660</v>
      </c>
      <c r="AQ4" t="s">
        <v>45</v>
      </c>
      <c r="AR4" t="s">
        <v>187</v>
      </c>
    </row>
    <row r="5" spans="1:44" x14ac:dyDescent="0.4">
      <c r="A5" s="3" t="s">
        <v>42</v>
      </c>
      <c r="B5" s="3" t="s">
        <v>43</v>
      </c>
      <c r="C5" s="3" t="s">
        <v>44</v>
      </c>
      <c r="D5" s="3" t="s">
        <v>45</v>
      </c>
      <c r="E5" s="3"/>
      <c r="F5" s="3" t="s">
        <v>46</v>
      </c>
      <c r="G5" s="3" t="s">
        <v>47</v>
      </c>
      <c r="H5" s="3" t="s">
        <v>48</v>
      </c>
      <c r="I5" s="3" t="s">
        <v>49</v>
      </c>
      <c r="J5" s="3">
        <v>53010813</v>
      </c>
      <c r="K5" s="3" t="s">
        <v>186</v>
      </c>
      <c r="L5" s="3"/>
      <c r="M5" s="3"/>
      <c r="N5" s="3" t="s">
        <v>187</v>
      </c>
      <c r="O5" s="3" t="s">
        <v>52</v>
      </c>
      <c r="P5" s="3">
        <v>0.7</v>
      </c>
      <c r="Q5" s="3">
        <v>0.6</v>
      </c>
      <c r="R5" s="4" t="s">
        <v>53</v>
      </c>
      <c r="S5" s="4">
        <v>4500</v>
      </c>
      <c r="T5" s="4">
        <v>9000</v>
      </c>
      <c r="U5" s="4">
        <v>9000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9000</v>
      </c>
      <c r="AE5" s="4">
        <v>9000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6300</v>
      </c>
      <c r="AO5" s="4">
        <v>0</v>
      </c>
      <c r="AP5" s="4">
        <v>6300</v>
      </c>
      <c r="AQ5" t="s">
        <v>45</v>
      </c>
      <c r="AR5" t="s">
        <v>187</v>
      </c>
    </row>
    <row r="6" spans="1:44" x14ac:dyDescent="0.4">
      <c r="A6" s="3" t="s">
        <v>42</v>
      </c>
      <c r="B6" s="3" t="s">
        <v>43</v>
      </c>
      <c r="C6" s="3" t="s">
        <v>44</v>
      </c>
      <c r="D6" s="3" t="s">
        <v>45</v>
      </c>
      <c r="E6" s="3"/>
      <c r="F6" s="3" t="s">
        <v>46</v>
      </c>
      <c r="G6" s="3" t="s">
        <v>47</v>
      </c>
      <c r="H6" s="3" t="s">
        <v>48</v>
      </c>
      <c r="I6" s="3" t="s">
        <v>49</v>
      </c>
      <c r="J6" s="3">
        <v>55289114</v>
      </c>
      <c r="K6" s="3" t="s">
        <v>198</v>
      </c>
      <c r="L6" s="3"/>
      <c r="M6" s="3"/>
      <c r="N6" s="3" t="s">
        <v>187</v>
      </c>
      <c r="O6" s="3" t="s">
        <v>52</v>
      </c>
      <c r="P6" s="3">
        <v>0.7</v>
      </c>
      <c r="Q6" s="3">
        <v>0.6</v>
      </c>
      <c r="R6" s="4" t="s">
        <v>56</v>
      </c>
      <c r="S6" s="4">
        <v>100</v>
      </c>
      <c r="T6" s="4">
        <v>32400</v>
      </c>
      <c r="U6" s="4">
        <v>12540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19860</v>
      </c>
      <c r="AD6" s="4">
        <v>32400</v>
      </c>
      <c r="AE6" s="4">
        <v>12540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19860</v>
      </c>
      <c r="AN6" s="4">
        <v>22680</v>
      </c>
      <c r="AO6" s="4">
        <v>0</v>
      </c>
      <c r="AP6" s="4">
        <v>22680</v>
      </c>
      <c r="AQ6" t="s">
        <v>45</v>
      </c>
      <c r="AR6" t="s">
        <v>187</v>
      </c>
    </row>
    <row r="7" spans="1:44" x14ac:dyDescent="0.4">
      <c r="A7" s="3" t="s">
        <v>42</v>
      </c>
      <c r="B7" s="3" t="s">
        <v>43</v>
      </c>
      <c r="C7" s="3" t="s">
        <v>44</v>
      </c>
      <c r="D7" s="3" t="s">
        <v>45</v>
      </c>
      <c r="E7" s="3"/>
      <c r="F7" s="3" t="s">
        <v>46</v>
      </c>
      <c r="G7" s="3" t="s">
        <v>47</v>
      </c>
      <c r="H7" s="3" t="s">
        <v>48</v>
      </c>
      <c r="I7" s="3" t="s">
        <v>49</v>
      </c>
      <c r="J7" s="3">
        <v>55289114</v>
      </c>
      <c r="K7" s="3" t="s">
        <v>198</v>
      </c>
      <c r="L7" s="3"/>
      <c r="M7" s="3"/>
      <c r="N7" s="3" t="s">
        <v>187</v>
      </c>
      <c r="O7" s="3" t="s">
        <v>52</v>
      </c>
      <c r="P7" s="3">
        <v>0.7</v>
      </c>
      <c r="Q7" s="3">
        <v>0.6</v>
      </c>
      <c r="R7" s="4" t="s">
        <v>53</v>
      </c>
      <c r="S7" s="4">
        <v>900</v>
      </c>
      <c r="T7" s="4">
        <v>45500</v>
      </c>
      <c r="U7" s="4">
        <v>30100</v>
      </c>
      <c r="V7" s="4">
        <v>0</v>
      </c>
      <c r="W7" s="4">
        <v>0</v>
      </c>
      <c r="X7" s="4">
        <v>0</v>
      </c>
      <c r="Y7" s="4">
        <v>0</v>
      </c>
      <c r="Z7" s="4">
        <v>1800</v>
      </c>
      <c r="AA7" s="4">
        <v>0</v>
      </c>
      <c r="AB7" s="4">
        <v>0</v>
      </c>
      <c r="AC7" s="4">
        <v>13600</v>
      </c>
      <c r="AD7" s="4">
        <v>45680</v>
      </c>
      <c r="AE7" s="4">
        <v>30100</v>
      </c>
      <c r="AF7" s="4">
        <v>0</v>
      </c>
      <c r="AG7" s="4">
        <v>0</v>
      </c>
      <c r="AH7" s="4">
        <v>0</v>
      </c>
      <c r="AI7" s="4">
        <v>0</v>
      </c>
      <c r="AJ7" s="4">
        <v>1980</v>
      </c>
      <c r="AK7" s="4">
        <v>0</v>
      </c>
      <c r="AL7" s="4">
        <v>0</v>
      </c>
      <c r="AM7" s="4">
        <v>13600</v>
      </c>
      <c r="AN7" s="4">
        <v>31778</v>
      </c>
      <c r="AO7" s="4">
        <v>0</v>
      </c>
      <c r="AP7" s="4">
        <v>31778</v>
      </c>
      <c r="AQ7" t="s">
        <v>45</v>
      </c>
      <c r="AR7" t="s">
        <v>187</v>
      </c>
    </row>
    <row r="8" spans="1:44" x14ac:dyDescent="0.4">
      <c r="A8" s="3" t="s">
        <v>42</v>
      </c>
      <c r="B8" s="3" t="s">
        <v>43</v>
      </c>
      <c r="C8" s="3" t="s">
        <v>44</v>
      </c>
      <c r="D8" s="3" t="s">
        <v>45</v>
      </c>
      <c r="E8" s="3"/>
      <c r="F8" s="3" t="s">
        <v>46</v>
      </c>
      <c r="G8" s="3" t="s">
        <v>47</v>
      </c>
      <c r="H8" s="3" t="s">
        <v>48</v>
      </c>
      <c r="I8" s="3" t="s">
        <v>49</v>
      </c>
      <c r="J8" s="3">
        <v>55289114</v>
      </c>
      <c r="K8" s="3" t="s">
        <v>198</v>
      </c>
      <c r="L8" s="3"/>
      <c r="M8" s="3"/>
      <c r="N8" s="3" t="s">
        <v>187</v>
      </c>
      <c r="O8" s="3" t="s">
        <v>52</v>
      </c>
      <c r="P8" s="3">
        <v>0.7</v>
      </c>
      <c r="Q8" s="3">
        <v>0.6</v>
      </c>
      <c r="R8" s="4" t="s">
        <v>53</v>
      </c>
      <c r="S8" s="4">
        <v>2700</v>
      </c>
      <c r="T8" s="4">
        <v>13300</v>
      </c>
      <c r="U8" s="4">
        <v>10600</v>
      </c>
      <c r="V8" s="4">
        <v>0</v>
      </c>
      <c r="W8" s="4">
        <v>0</v>
      </c>
      <c r="X8" s="4">
        <v>0</v>
      </c>
      <c r="Y8" s="4">
        <v>0</v>
      </c>
      <c r="Z8" s="4">
        <v>1700</v>
      </c>
      <c r="AA8" s="4">
        <v>0</v>
      </c>
      <c r="AB8" s="4">
        <v>0</v>
      </c>
      <c r="AC8" s="4">
        <v>1000</v>
      </c>
      <c r="AD8" s="4">
        <v>13470</v>
      </c>
      <c r="AE8" s="4">
        <v>10600</v>
      </c>
      <c r="AF8" s="4">
        <v>0</v>
      </c>
      <c r="AG8" s="4">
        <v>0</v>
      </c>
      <c r="AH8" s="4">
        <v>0</v>
      </c>
      <c r="AI8" s="4">
        <v>0</v>
      </c>
      <c r="AJ8" s="4">
        <v>1870</v>
      </c>
      <c r="AK8" s="4">
        <v>0</v>
      </c>
      <c r="AL8" s="4">
        <v>0</v>
      </c>
      <c r="AM8" s="4">
        <v>1000</v>
      </c>
      <c r="AN8" s="4">
        <v>9242</v>
      </c>
      <c r="AO8" s="4">
        <v>0</v>
      </c>
      <c r="AP8" s="4">
        <v>9242</v>
      </c>
      <c r="AQ8" t="s">
        <v>45</v>
      </c>
      <c r="AR8" t="s">
        <v>187</v>
      </c>
    </row>
    <row r="9" spans="1:44" x14ac:dyDescent="0.4">
      <c r="A9" s="3" t="s">
        <v>42</v>
      </c>
      <c r="B9" s="3" t="s">
        <v>43</v>
      </c>
      <c r="C9" s="3" t="s">
        <v>44</v>
      </c>
      <c r="D9" s="3" t="s">
        <v>45</v>
      </c>
      <c r="E9" s="3"/>
      <c r="F9" s="3" t="s">
        <v>46</v>
      </c>
      <c r="G9" s="3" t="s">
        <v>47</v>
      </c>
      <c r="H9" s="3" t="s">
        <v>48</v>
      </c>
      <c r="I9" s="3" t="s">
        <v>49</v>
      </c>
      <c r="J9" s="3">
        <v>55289114</v>
      </c>
      <c r="K9" s="3" t="s">
        <v>198</v>
      </c>
      <c r="L9" s="3"/>
      <c r="M9" s="3"/>
      <c r="N9" s="3" t="s">
        <v>187</v>
      </c>
      <c r="O9" s="3" t="s">
        <v>52</v>
      </c>
      <c r="P9" s="3">
        <v>0.7</v>
      </c>
      <c r="Q9" s="3">
        <v>0.6</v>
      </c>
      <c r="R9" s="4" t="s">
        <v>53</v>
      </c>
      <c r="S9" s="4">
        <v>4500</v>
      </c>
      <c r="T9" s="4">
        <v>41500</v>
      </c>
      <c r="U9" s="4">
        <v>40600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900</v>
      </c>
      <c r="AD9" s="4">
        <v>41500</v>
      </c>
      <c r="AE9" s="4">
        <v>40600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900</v>
      </c>
      <c r="AN9" s="4">
        <v>29050</v>
      </c>
      <c r="AO9" s="4">
        <v>0</v>
      </c>
      <c r="AP9" s="4">
        <v>29050</v>
      </c>
      <c r="AQ9" t="s">
        <v>45</v>
      </c>
      <c r="AR9" t="s">
        <v>187</v>
      </c>
    </row>
    <row r="10" spans="1:44" x14ac:dyDescent="0.4">
      <c r="A10" s="3" t="s">
        <v>42</v>
      </c>
      <c r="B10" s="3" t="s">
        <v>43</v>
      </c>
      <c r="C10" s="3" t="s">
        <v>44</v>
      </c>
      <c r="D10" s="3" t="s">
        <v>45</v>
      </c>
      <c r="E10" s="3"/>
      <c r="F10" s="3" t="s">
        <v>46</v>
      </c>
      <c r="G10" s="3" t="s">
        <v>47</v>
      </c>
      <c r="H10" s="3" t="s">
        <v>48</v>
      </c>
      <c r="I10" s="3" t="s">
        <v>49</v>
      </c>
      <c r="J10" s="3">
        <v>54345611</v>
      </c>
      <c r="K10" s="3" t="s">
        <v>223</v>
      </c>
      <c r="L10" s="3"/>
      <c r="M10" s="3"/>
      <c r="N10" s="3" t="s">
        <v>187</v>
      </c>
      <c r="O10" s="3" t="s">
        <v>52</v>
      </c>
      <c r="P10" s="3">
        <v>0.7</v>
      </c>
      <c r="Q10" s="3">
        <v>0.6</v>
      </c>
      <c r="R10" s="4" t="s">
        <v>56</v>
      </c>
      <c r="S10" s="4">
        <v>100</v>
      </c>
      <c r="T10" s="4">
        <v>8700</v>
      </c>
      <c r="U10" s="4">
        <v>6500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2200</v>
      </c>
      <c r="AD10" s="4">
        <v>8700</v>
      </c>
      <c r="AE10" s="4">
        <v>6500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2200</v>
      </c>
      <c r="AN10" s="4">
        <v>6090</v>
      </c>
      <c r="AO10" s="4">
        <v>0</v>
      </c>
      <c r="AP10" s="4">
        <v>6090</v>
      </c>
      <c r="AQ10" t="s">
        <v>45</v>
      </c>
      <c r="AR10" t="s">
        <v>187</v>
      </c>
    </row>
    <row r="11" spans="1:44" x14ac:dyDescent="0.4">
      <c r="A11" s="3" t="s">
        <v>42</v>
      </c>
      <c r="B11" s="3" t="s">
        <v>43</v>
      </c>
      <c r="C11" s="3" t="s">
        <v>44</v>
      </c>
      <c r="D11" s="3" t="s">
        <v>45</v>
      </c>
      <c r="E11" s="3"/>
      <c r="F11" s="3" t="s">
        <v>46</v>
      </c>
      <c r="G11" s="3" t="s">
        <v>47</v>
      </c>
      <c r="H11" s="3" t="s">
        <v>48</v>
      </c>
      <c r="I11" s="3" t="s">
        <v>49</v>
      </c>
      <c r="J11" s="3">
        <v>54345611</v>
      </c>
      <c r="K11" s="3" t="s">
        <v>223</v>
      </c>
      <c r="L11" s="3"/>
      <c r="M11" s="3"/>
      <c r="N11" s="3" t="s">
        <v>187</v>
      </c>
      <c r="O11" s="3" t="s">
        <v>52</v>
      </c>
      <c r="P11" s="3">
        <v>0.7</v>
      </c>
      <c r="Q11" s="3">
        <v>0.6</v>
      </c>
      <c r="R11" s="4" t="s">
        <v>53</v>
      </c>
      <c r="S11" s="4">
        <v>900</v>
      </c>
      <c r="T11" s="4">
        <v>8100</v>
      </c>
      <c r="U11" s="4">
        <v>5300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2800</v>
      </c>
      <c r="AD11" s="4">
        <v>8100</v>
      </c>
      <c r="AE11" s="4">
        <v>5300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2800</v>
      </c>
      <c r="AN11" s="4">
        <v>5670</v>
      </c>
      <c r="AO11" s="4">
        <v>0</v>
      </c>
      <c r="AP11" s="4">
        <v>5670</v>
      </c>
      <c r="AQ11" t="s">
        <v>45</v>
      </c>
      <c r="AR11" t="s">
        <v>187</v>
      </c>
    </row>
    <row r="12" spans="1:44" x14ac:dyDescent="0.4">
      <c r="A12" s="3" t="s">
        <v>42</v>
      </c>
      <c r="B12" s="3" t="s">
        <v>43</v>
      </c>
      <c r="C12" s="3" t="s">
        <v>44</v>
      </c>
      <c r="D12" s="3" t="s">
        <v>45</v>
      </c>
      <c r="E12" s="3"/>
      <c r="F12" s="3" t="s">
        <v>46</v>
      </c>
      <c r="G12" s="3" t="s">
        <v>47</v>
      </c>
      <c r="H12" s="3" t="s">
        <v>48</v>
      </c>
      <c r="I12" s="3" t="s">
        <v>49</v>
      </c>
      <c r="J12" s="3">
        <v>54345611</v>
      </c>
      <c r="K12" s="3" t="s">
        <v>223</v>
      </c>
      <c r="L12" s="3"/>
      <c r="M12" s="3"/>
      <c r="N12" s="3" t="s">
        <v>187</v>
      </c>
      <c r="O12" s="3" t="s">
        <v>52</v>
      </c>
      <c r="P12" s="3">
        <v>0.7</v>
      </c>
      <c r="Q12" s="3">
        <v>0.6</v>
      </c>
      <c r="R12" s="4" t="s">
        <v>53</v>
      </c>
      <c r="S12" s="4">
        <v>2700</v>
      </c>
      <c r="T12" s="4">
        <v>7100</v>
      </c>
      <c r="U12" s="4">
        <v>2700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4400</v>
      </c>
      <c r="AD12" s="4">
        <v>7100</v>
      </c>
      <c r="AE12" s="4">
        <v>2700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4400</v>
      </c>
      <c r="AN12" s="4">
        <v>4970</v>
      </c>
      <c r="AO12" s="4">
        <v>0</v>
      </c>
      <c r="AP12" s="4">
        <v>4970</v>
      </c>
      <c r="AQ12" t="s">
        <v>45</v>
      </c>
      <c r="AR12" t="s">
        <v>187</v>
      </c>
    </row>
    <row r="13" spans="1:44" x14ac:dyDescent="0.4">
      <c r="A13" s="3" t="s">
        <v>42</v>
      </c>
      <c r="B13" s="3" t="s">
        <v>43</v>
      </c>
      <c r="C13" s="3" t="s">
        <v>44</v>
      </c>
      <c r="D13" s="3" t="s">
        <v>45</v>
      </c>
      <c r="E13" s="3"/>
      <c r="F13" s="3" t="s">
        <v>46</v>
      </c>
      <c r="G13" s="3" t="s">
        <v>47</v>
      </c>
      <c r="H13" s="3" t="s">
        <v>48</v>
      </c>
      <c r="I13" s="3" t="s">
        <v>49</v>
      </c>
      <c r="J13" s="3">
        <v>54345611</v>
      </c>
      <c r="K13" s="3" t="s">
        <v>223</v>
      </c>
      <c r="L13" s="3"/>
      <c r="M13" s="3"/>
      <c r="N13" s="3" t="s">
        <v>187</v>
      </c>
      <c r="O13" s="3" t="s">
        <v>52</v>
      </c>
      <c r="P13" s="3">
        <v>0.7</v>
      </c>
      <c r="Q13" s="3">
        <v>0.6</v>
      </c>
      <c r="R13" s="4" t="s">
        <v>53</v>
      </c>
      <c r="S13" s="4">
        <v>4500</v>
      </c>
      <c r="T13" s="4">
        <v>6200</v>
      </c>
      <c r="U13" s="4">
        <v>6200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6200</v>
      </c>
      <c r="AE13" s="4">
        <v>6200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4340</v>
      </c>
      <c r="AO13" s="4">
        <v>0</v>
      </c>
      <c r="AP13" s="4">
        <v>4340</v>
      </c>
      <c r="AQ13" t="s">
        <v>45</v>
      </c>
      <c r="AR13" t="s">
        <v>187</v>
      </c>
    </row>
    <row r="14" spans="1:44" x14ac:dyDescent="0.4">
      <c r="A14" s="3" t="s">
        <v>42</v>
      </c>
      <c r="B14" s="3" t="s">
        <v>43</v>
      </c>
      <c r="C14" s="3" t="s">
        <v>44</v>
      </c>
      <c r="D14" s="3" t="s">
        <v>45</v>
      </c>
      <c r="E14" s="3"/>
      <c r="F14" s="3" t="s">
        <v>46</v>
      </c>
      <c r="G14" s="3" t="s">
        <v>47</v>
      </c>
      <c r="H14" s="3" t="s">
        <v>48</v>
      </c>
      <c r="I14" s="3" t="s">
        <v>49</v>
      </c>
      <c r="J14" s="3">
        <v>54136112</v>
      </c>
      <c r="K14" s="3" t="s">
        <v>216</v>
      </c>
      <c r="L14" s="3"/>
      <c r="M14" s="3"/>
      <c r="N14" s="3" t="s">
        <v>187</v>
      </c>
      <c r="O14" s="3" t="s">
        <v>52</v>
      </c>
      <c r="P14" s="3">
        <v>0.7</v>
      </c>
      <c r="Q14" s="3">
        <v>0.6</v>
      </c>
      <c r="R14" s="4" t="s">
        <v>56</v>
      </c>
      <c r="S14" s="4">
        <v>100</v>
      </c>
      <c r="T14" s="4">
        <v>600</v>
      </c>
      <c r="U14" s="4">
        <v>600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600</v>
      </c>
      <c r="AE14" s="4">
        <v>600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420</v>
      </c>
      <c r="AO14" s="4">
        <v>0</v>
      </c>
      <c r="AP14" s="4">
        <v>420</v>
      </c>
      <c r="AQ14" t="s">
        <v>45</v>
      </c>
      <c r="AR14" t="s">
        <v>187</v>
      </c>
    </row>
    <row r="15" spans="1:44" x14ac:dyDescent="0.4">
      <c r="A15" s="3" t="s">
        <v>42</v>
      </c>
      <c r="B15" s="3" t="s">
        <v>43</v>
      </c>
      <c r="C15" s="3" t="s">
        <v>44</v>
      </c>
      <c r="D15" s="3" t="s">
        <v>45</v>
      </c>
      <c r="E15" s="3"/>
      <c r="F15" s="3" t="s">
        <v>46</v>
      </c>
      <c r="G15" s="3" t="s">
        <v>47</v>
      </c>
      <c r="H15" s="3" t="s">
        <v>48</v>
      </c>
      <c r="I15" s="3" t="s">
        <v>49</v>
      </c>
      <c r="J15" s="3">
        <v>54136112</v>
      </c>
      <c r="K15" s="3" t="s">
        <v>216</v>
      </c>
      <c r="L15" s="3"/>
      <c r="M15" s="3"/>
      <c r="N15" s="3" t="s">
        <v>187</v>
      </c>
      <c r="O15" s="3" t="s">
        <v>52</v>
      </c>
      <c r="P15" s="3">
        <v>0.7</v>
      </c>
      <c r="Q15" s="3">
        <v>0.6</v>
      </c>
      <c r="R15" s="4" t="s">
        <v>53</v>
      </c>
      <c r="S15" s="4">
        <v>2700</v>
      </c>
      <c r="T15" s="4">
        <v>2700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2700</v>
      </c>
      <c r="AD15" s="4">
        <v>2700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2700</v>
      </c>
      <c r="AN15" s="4">
        <v>1890</v>
      </c>
      <c r="AO15" s="4">
        <v>0</v>
      </c>
      <c r="AP15" s="4">
        <v>1890</v>
      </c>
      <c r="AQ15" t="s">
        <v>45</v>
      </c>
      <c r="AR15" t="s">
        <v>187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R2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7.796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54367950</v>
      </c>
      <c r="K2" s="3" t="s">
        <v>259</v>
      </c>
      <c r="L2" s="3"/>
      <c r="M2" s="3"/>
      <c r="N2" s="3" t="s">
        <v>260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100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100</v>
      </c>
      <c r="AD2" s="4">
        <v>100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100</v>
      </c>
      <c r="AN2" s="4">
        <v>70</v>
      </c>
      <c r="AO2" s="4">
        <v>0</v>
      </c>
      <c r="AP2" s="4">
        <v>70</v>
      </c>
      <c r="AQ2" t="s">
        <v>45</v>
      </c>
      <c r="AR2" t="s">
        <v>260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R24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31.796875" bestFit="1" customWidth="1"/>
    <col min="12" max="12" width="21.5" bestFit="1" customWidth="1"/>
    <col min="13" max="13" width="6.796875" bestFit="1" customWidth="1"/>
    <col min="14" max="14" width="7.39843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52754924</v>
      </c>
      <c r="K2" s="3" t="s">
        <v>207</v>
      </c>
      <c r="L2" s="3"/>
      <c r="M2" s="3"/>
      <c r="N2" s="3" t="s">
        <v>154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40200</v>
      </c>
      <c r="U2" s="4">
        <v>10900</v>
      </c>
      <c r="V2" s="4">
        <v>0</v>
      </c>
      <c r="W2" s="4">
        <v>0</v>
      </c>
      <c r="X2" s="4">
        <v>0</v>
      </c>
      <c r="Y2" s="4">
        <v>0</v>
      </c>
      <c r="Z2" s="4">
        <v>100</v>
      </c>
      <c r="AA2" s="4">
        <v>0</v>
      </c>
      <c r="AB2" s="4">
        <v>0</v>
      </c>
      <c r="AC2" s="4">
        <v>29200</v>
      </c>
      <c r="AD2" s="4">
        <v>40210</v>
      </c>
      <c r="AE2" s="4">
        <v>10900</v>
      </c>
      <c r="AF2" s="4">
        <v>0</v>
      </c>
      <c r="AG2" s="4">
        <v>0</v>
      </c>
      <c r="AH2" s="4">
        <v>0</v>
      </c>
      <c r="AI2" s="4">
        <v>0</v>
      </c>
      <c r="AJ2" s="4">
        <v>110</v>
      </c>
      <c r="AK2" s="4">
        <v>0</v>
      </c>
      <c r="AL2" s="4">
        <v>0</v>
      </c>
      <c r="AM2" s="4">
        <v>29200</v>
      </c>
      <c r="AN2" s="4">
        <v>28136</v>
      </c>
      <c r="AO2" s="4">
        <v>0</v>
      </c>
      <c r="AP2" s="4">
        <v>28136</v>
      </c>
      <c r="AQ2" t="s">
        <v>45</v>
      </c>
      <c r="AR2" t="s">
        <v>154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52754924</v>
      </c>
      <c r="K3" s="3" t="s">
        <v>207</v>
      </c>
      <c r="L3" s="3"/>
      <c r="M3" s="3"/>
      <c r="N3" s="3" t="s">
        <v>154</v>
      </c>
      <c r="O3" s="3" t="s">
        <v>52</v>
      </c>
      <c r="P3" s="3">
        <v>0.7</v>
      </c>
      <c r="Q3" s="3">
        <v>0.6</v>
      </c>
      <c r="R3" s="4" t="s">
        <v>53</v>
      </c>
      <c r="S3" s="4">
        <v>900</v>
      </c>
      <c r="T3" s="4">
        <v>31700</v>
      </c>
      <c r="U3" s="4">
        <v>20300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11400</v>
      </c>
      <c r="AD3" s="4">
        <v>31700</v>
      </c>
      <c r="AE3" s="4">
        <v>20300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11400</v>
      </c>
      <c r="AN3" s="4">
        <v>22190</v>
      </c>
      <c r="AO3" s="4">
        <v>0</v>
      </c>
      <c r="AP3" s="4">
        <v>22190</v>
      </c>
      <c r="AQ3" t="s">
        <v>45</v>
      </c>
      <c r="AR3" t="s">
        <v>154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52754924</v>
      </c>
      <c r="K4" s="3" t="s">
        <v>207</v>
      </c>
      <c r="L4" s="3"/>
      <c r="M4" s="3"/>
      <c r="N4" s="3" t="s">
        <v>154</v>
      </c>
      <c r="O4" s="3" t="s">
        <v>52</v>
      </c>
      <c r="P4" s="3">
        <v>0.7</v>
      </c>
      <c r="Q4" s="3">
        <v>0.6</v>
      </c>
      <c r="R4" s="4" t="s">
        <v>53</v>
      </c>
      <c r="S4" s="4">
        <v>1800</v>
      </c>
      <c r="T4" s="4">
        <v>18400</v>
      </c>
      <c r="U4" s="4">
        <v>12600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5800</v>
      </c>
      <c r="AD4" s="4">
        <v>18400</v>
      </c>
      <c r="AE4" s="4">
        <v>12600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5800</v>
      </c>
      <c r="AN4" s="4">
        <v>12880</v>
      </c>
      <c r="AO4" s="4">
        <v>0</v>
      </c>
      <c r="AP4" s="4">
        <v>12880</v>
      </c>
      <c r="AQ4" t="s">
        <v>45</v>
      </c>
      <c r="AR4" t="s">
        <v>154</v>
      </c>
    </row>
    <row r="5" spans="1:44" x14ac:dyDescent="0.4">
      <c r="A5" s="3" t="s">
        <v>42</v>
      </c>
      <c r="B5" s="3" t="s">
        <v>43</v>
      </c>
      <c r="C5" s="3" t="s">
        <v>44</v>
      </c>
      <c r="D5" s="3" t="s">
        <v>45</v>
      </c>
      <c r="E5" s="3"/>
      <c r="F5" s="3" t="s">
        <v>46</v>
      </c>
      <c r="G5" s="3" t="s">
        <v>47</v>
      </c>
      <c r="H5" s="3" t="s">
        <v>48</v>
      </c>
      <c r="I5" s="3" t="s">
        <v>49</v>
      </c>
      <c r="J5" s="3">
        <v>52754924</v>
      </c>
      <c r="K5" s="3" t="s">
        <v>207</v>
      </c>
      <c r="L5" s="3"/>
      <c r="M5" s="3"/>
      <c r="N5" s="3" t="s">
        <v>154</v>
      </c>
      <c r="O5" s="3" t="s">
        <v>52</v>
      </c>
      <c r="P5" s="3">
        <v>0.7</v>
      </c>
      <c r="Q5" s="3">
        <v>0.6</v>
      </c>
      <c r="R5" s="4" t="s">
        <v>53</v>
      </c>
      <c r="S5" s="4">
        <v>3600</v>
      </c>
      <c r="T5" s="4">
        <v>25200</v>
      </c>
      <c r="U5" s="4">
        <v>21600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3600</v>
      </c>
      <c r="AD5" s="4">
        <v>25200</v>
      </c>
      <c r="AE5" s="4">
        <v>21600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3600</v>
      </c>
      <c r="AN5" s="4">
        <v>17640</v>
      </c>
      <c r="AO5" s="4">
        <v>0</v>
      </c>
      <c r="AP5" s="4">
        <v>17640</v>
      </c>
      <c r="AQ5" t="s">
        <v>45</v>
      </c>
      <c r="AR5" t="s">
        <v>154</v>
      </c>
    </row>
    <row r="6" spans="1:44" x14ac:dyDescent="0.4">
      <c r="A6" s="3" t="s">
        <v>42</v>
      </c>
      <c r="B6" s="3" t="s">
        <v>43</v>
      </c>
      <c r="C6" s="3" t="s">
        <v>44</v>
      </c>
      <c r="D6" s="3" t="s">
        <v>45</v>
      </c>
      <c r="E6" s="3"/>
      <c r="F6" s="3" t="s">
        <v>46</v>
      </c>
      <c r="G6" s="3" t="s">
        <v>47</v>
      </c>
      <c r="H6" s="3" t="s">
        <v>48</v>
      </c>
      <c r="I6" s="3" t="s">
        <v>49</v>
      </c>
      <c r="J6" s="3">
        <v>55520742</v>
      </c>
      <c r="K6" s="3" t="s">
        <v>217</v>
      </c>
      <c r="L6" s="3"/>
      <c r="M6" s="3"/>
      <c r="N6" s="3" t="s">
        <v>154</v>
      </c>
      <c r="O6" s="3" t="s">
        <v>52</v>
      </c>
      <c r="P6" s="3">
        <v>0.7</v>
      </c>
      <c r="Q6" s="3">
        <v>0.6</v>
      </c>
      <c r="R6" s="4" t="s">
        <v>56</v>
      </c>
      <c r="S6" s="4">
        <v>100</v>
      </c>
      <c r="T6" s="4">
        <v>5600</v>
      </c>
      <c r="U6" s="4">
        <v>3000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2600</v>
      </c>
      <c r="AD6" s="4">
        <v>5600</v>
      </c>
      <c r="AE6" s="4">
        <v>3000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2600</v>
      </c>
      <c r="AN6" s="4">
        <v>3920</v>
      </c>
      <c r="AO6" s="4">
        <v>0</v>
      </c>
      <c r="AP6" s="4">
        <v>3920</v>
      </c>
      <c r="AQ6" t="s">
        <v>45</v>
      </c>
      <c r="AR6" t="s">
        <v>154</v>
      </c>
    </row>
    <row r="7" spans="1:44" x14ac:dyDescent="0.4">
      <c r="A7" s="3" t="s">
        <v>42</v>
      </c>
      <c r="B7" s="3" t="s">
        <v>43</v>
      </c>
      <c r="C7" s="3" t="s">
        <v>44</v>
      </c>
      <c r="D7" s="3" t="s">
        <v>45</v>
      </c>
      <c r="E7" s="3"/>
      <c r="F7" s="3" t="s">
        <v>46</v>
      </c>
      <c r="G7" s="3" t="s">
        <v>47</v>
      </c>
      <c r="H7" s="3" t="s">
        <v>48</v>
      </c>
      <c r="I7" s="3" t="s">
        <v>49</v>
      </c>
      <c r="J7" s="3">
        <v>55520742</v>
      </c>
      <c r="K7" s="3" t="s">
        <v>217</v>
      </c>
      <c r="L7" s="3"/>
      <c r="M7" s="3"/>
      <c r="N7" s="3" t="s">
        <v>154</v>
      </c>
      <c r="O7" s="3" t="s">
        <v>52</v>
      </c>
      <c r="P7" s="3">
        <v>0.7</v>
      </c>
      <c r="Q7" s="3">
        <v>0.6</v>
      </c>
      <c r="R7" s="4" t="s">
        <v>53</v>
      </c>
      <c r="S7" s="4">
        <v>900</v>
      </c>
      <c r="T7" s="4">
        <v>12000</v>
      </c>
      <c r="U7" s="4">
        <v>9300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2700</v>
      </c>
      <c r="AD7" s="4">
        <v>12000</v>
      </c>
      <c r="AE7" s="4">
        <v>9300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2700</v>
      </c>
      <c r="AN7" s="4">
        <v>8400</v>
      </c>
      <c r="AO7" s="4">
        <v>0</v>
      </c>
      <c r="AP7" s="4">
        <v>8400</v>
      </c>
      <c r="AQ7" t="s">
        <v>45</v>
      </c>
      <c r="AR7" t="s">
        <v>154</v>
      </c>
    </row>
    <row r="8" spans="1:44" x14ac:dyDescent="0.4">
      <c r="A8" s="3" t="s">
        <v>42</v>
      </c>
      <c r="B8" s="3" t="s">
        <v>43</v>
      </c>
      <c r="C8" s="3" t="s">
        <v>44</v>
      </c>
      <c r="D8" s="3" t="s">
        <v>45</v>
      </c>
      <c r="E8" s="3"/>
      <c r="F8" s="3" t="s">
        <v>46</v>
      </c>
      <c r="G8" s="3" t="s">
        <v>47</v>
      </c>
      <c r="H8" s="3" t="s">
        <v>48</v>
      </c>
      <c r="I8" s="3" t="s">
        <v>49</v>
      </c>
      <c r="J8" s="3">
        <v>55520742</v>
      </c>
      <c r="K8" s="3" t="s">
        <v>217</v>
      </c>
      <c r="L8" s="3"/>
      <c r="M8" s="3"/>
      <c r="N8" s="3" t="s">
        <v>154</v>
      </c>
      <c r="O8" s="3" t="s">
        <v>52</v>
      </c>
      <c r="P8" s="3">
        <v>0.7</v>
      </c>
      <c r="Q8" s="3">
        <v>0.6</v>
      </c>
      <c r="R8" s="4" t="s">
        <v>53</v>
      </c>
      <c r="S8" s="4">
        <v>1800</v>
      </c>
      <c r="T8" s="4">
        <v>3100</v>
      </c>
      <c r="U8" s="4">
        <v>2600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500</v>
      </c>
      <c r="AD8" s="4">
        <v>3100</v>
      </c>
      <c r="AE8" s="4">
        <v>2600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500</v>
      </c>
      <c r="AN8" s="4">
        <v>2170</v>
      </c>
      <c r="AO8" s="4">
        <v>0</v>
      </c>
      <c r="AP8" s="4">
        <v>2170</v>
      </c>
      <c r="AQ8" t="s">
        <v>45</v>
      </c>
      <c r="AR8" t="s">
        <v>154</v>
      </c>
    </row>
    <row r="9" spans="1:44" x14ac:dyDescent="0.4">
      <c r="A9" s="3" t="s">
        <v>42</v>
      </c>
      <c r="B9" s="3" t="s">
        <v>43</v>
      </c>
      <c r="C9" s="3" t="s">
        <v>44</v>
      </c>
      <c r="D9" s="3" t="s">
        <v>45</v>
      </c>
      <c r="E9" s="3"/>
      <c r="F9" s="3" t="s">
        <v>46</v>
      </c>
      <c r="G9" s="3" t="s">
        <v>47</v>
      </c>
      <c r="H9" s="3" t="s">
        <v>48</v>
      </c>
      <c r="I9" s="3" t="s">
        <v>49</v>
      </c>
      <c r="J9" s="3">
        <v>55520742</v>
      </c>
      <c r="K9" s="3" t="s">
        <v>217</v>
      </c>
      <c r="L9" s="3"/>
      <c r="M9" s="3"/>
      <c r="N9" s="3" t="s">
        <v>154</v>
      </c>
      <c r="O9" s="3" t="s">
        <v>52</v>
      </c>
      <c r="P9" s="3">
        <v>0.7</v>
      </c>
      <c r="Q9" s="3">
        <v>0.6</v>
      </c>
      <c r="R9" s="4" t="s">
        <v>53</v>
      </c>
      <c r="S9" s="4">
        <v>2700</v>
      </c>
      <c r="T9" s="4">
        <v>16300</v>
      </c>
      <c r="U9" s="4">
        <v>10900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5400</v>
      </c>
      <c r="AD9" s="4">
        <v>16300</v>
      </c>
      <c r="AE9" s="4">
        <v>10900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5400</v>
      </c>
      <c r="AN9" s="4">
        <v>11410</v>
      </c>
      <c r="AO9" s="4">
        <v>0</v>
      </c>
      <c r="AP9" s="4">
        <v>11410</v>
      </c>
      <c r="AQ9" t="s">
        <v>45</v>
      </c>
      <c r="AR9" t="s">
        <v>154</v>
      </c>
    </row>
    <row r="10" spans="1:44" x14ac:dyDescent="0.4">
      <c r="A10" s="3" t="s">
        <v>42</v>
      </c>
      <c r="B10" s="3" t="s">
        <v>43</v>
      </c>
      <c r="C10" s="3" t="s">
        <v>44</v>
      </c>
      <c r="D10" s="3" t="s">
        <v>45</v>
      </c>
      <c r="E10" s="3"/>
      <c r="F10" s="3" t="s">
        <v>46</v>
      </c>
      <c r="G10" s="3" t="s">
        <v>47</v>
      </c>
      <c r="H10" s="3" t="s">
        <v>48</v>
      </c>
      <c r="I10" s="3" t="s">
        <v>49</v>
      </c>
      <c r="J10" s="3">
        <v>53748697</v>
      </c>
      <c r="K10" s="3" t="s">
        <v>192</v>
      </c>
      <c r="L10" s="3"/>
      <c r="M10" s="3"/>
      <c r="N10" s="3" t="s">
        <v>154</v>
      </c>
      <c r="O10" s="3" t="s">
        <v>52</v>
      </c>
      <c r="P10" s="3">
        <v>0.7</v>
      </c>
      <c r="Q10" s="3">
        <v>0.6</v>
      </c>
      <c r="R10" s="4" t="s">
        <v>56</v>
      </c>
      <c r="S10" s="4">
        <v>100</v>
      </c>
      <c r="T10" s="4">
        <v>33100</v>
      </c>
      <c r="U10" s="4">
        <v>17600</v>
      </c>
      <c r="V10" s="4">
        <v>0</v>
      </c>
      <c r="W10" s="4">
        <v>0</v>
      </c>
      <c r="X10" s="4">
        <v>0</v>
      </c>
      <c r="Y10" s="4">
        <v>0</v>
      </c>
      <c r="Z10" s="4">
        <v>300</v>
      </c>
      <c r="AA10" s="4">
        <v>0</v>
      </c>
      <c r="AB10" s="4">
        <v>0</v>
      </c>
      <c r="AC10" s="4">
        <v>15200</v>
      </c>
      <c r="AD10" s="4">
        <v>33130</v>
      </c>
      <c r="AE10" s="4">
        <v>17600</v>
      </c>
      <c r="AF10" s="4">
        <v>0</v>
      </c>
      <c r="AG10" s="4">
        <v>0</v>
      </c>
      <c r="AH10" s="4">
        <v>0</v>
      </c>
      <c r="AI10" s="4">
        <v>0</v>
      </c>
      <c r="AJ10" s="4">
        <v>330</v>
      </c>
      <c r="AK10" s="4">
        <v>0</v>
      </c>
      <c r="AL10" s="4">
        <v>0</v>
      </c>
      <c r="AM10" s="4">
        <v>15200</v>
      </c>
      <c r="AN10" s="4">
        <v>23158</v>
      </c>
      <c r="AO10" s="4">
        <v>0</v>
      </c>
      <c r="AP10" s="4">
        <v>23158</v>
      </c>
      <c r="AQ10" t="s">
        <v>45</v>
      </c>
      <c r="AR10" t="s">
        <v>154</v>
      </c>
    </row>
    <row r="11" spans="1:44" x14ac:dyDescent="0.4">
      <c r="A11" s="3" t="s">
        <v>42</v>
      </c>
      <c r="B11" s="3" t="s">
        <v>43</v>
      </c>
      <c r="C11" s="3" t="s">
        <v>44</v>
      </c>
      <c r="D11" s="3" t="s">
        <v>45</v>
      </c>
      <c r="E11" s="3"/>
      <c r="F11" s="3" t="s">
        <v>46</v>
      </c>
      <c r="G11" s="3" t="s">
        <v>47</v>
      </c>
      <c r="H11" s="3" t="s">
        <v>48</v>
      </c>
      <c r="I11" s="3" t="s">
        <v>49</v>
      </c>
      <c r="J11" s="3">
        <v>54410472</v>
      </c>
      <c r="K11" s="3" t="s">
        <v>224</v>
      </c>
      <c r="L11" s="3"/>
      <c r="M11" s="3"/>
      <c r="N11" s="3" t="s">
        <v>154</v>
      </c>
      <c r="O11" s="3" t="s">
        <v>52</v>
      </c>
      <c r="P11" s="3">
        <v>0.7</v>
      </c>
      <c r="Q11" s="3">
        <v>0.6</v>
      </c>
      <c r="R11" s="4" t="s">
        <v>56</v>
      </c>
      <c r="S11" s="4">
        <v>100</v>
      </c>
      <c r="T11" s="4">
        <v>21600</v>
      </c>
      <c r="U11" s="4">
        <v>5600</v>
      </c>
      <c r="V11" s="4">
        <v>0</v>
      </c>
      <c r="W11" s="4">
        <v>0</v>
      </c>
      <c r="X11" s="4">
        <v>0</v>
      </c>
      <c r="Y11" s="4">
        <v>0</v>
      </c>
      <c r="Z11" s="4">
        <v>1200</v>
      </c>
      <c r="AA11" s="4">
        <v>0</v>
      </c>
      <c r="AB11" s="4">
        <v>0</v>
      </c>
      <c r="AC11" s="4">
        <v>14800</v>
      </c>
      <c r="AD11" s="4">
        <v>21720</v>
      </c>
      <c r="AE11" s="4">
        <v>5600</v>
      </c>
      <c r="AF11" s="4">
        <v>0</v>
      </c>
      <c r="AG11" s="4">
        <v>0</v>
      </c>
      <c r="AH11" s="4">
        <v>0</v>
      </c>
      <c r="AI11" s="4">
        <v>0</v>
      </c>
      <c r="AJ11" s="4">
        <v>1320</v>
      </c>
      <c r="AK11" s="4">
        <v>0</v>
      </c>
      <c r="AL11" s="4">
        <v>0</v>
      </c>
      <c r="AM11" s="4">
        <v>14800</v>
      </c>
      <c r="AN11" s="4">
        <v>15072</v>
      </c>
      <c r="AO11" s="4">
        <v>0</v>
      </c>
      <c r="AP11" s="4">
        <v>15072</v>
      </c>
      <c r="AQ11" t="s">
        <v>45</v>
      </c>
      <c r="AR11" t="s">
        <v>154</v>
      </c>
    </row>
    <row r="12" spans="1:44" x14ac:dyDescent="0.4">
      <c r="A12" s="3" t="s">
        <v>42</v>
      </c>
      <c r="B12" s="3" t="s">
        <v>43</v>
      </c>
      <c r="C12" s="3" t="s">
        <v>44</v>
      </c>
      <c r="D12" s="3" t="s">
        <v>45</v>
      </c>
      <c r="E12" s="3"/>
      <c r="F12" s="3" t="s">
        <v>46</v>
      </c>
      <c r="G12" s="3" t="s">
        <v>47</v>
      </c>
      <c r="H12" s="3" t="s">
        <v>48</v>
      </c>
      <c r="I12" s="3" t="s">
        <v>49</v>
      </c>
      <c r="J12" s="3">
        <v>53748697</v>
      </c>
      <c r="K12" s="3" t="s">
        <v>192</v>
      </c>
      <c r="L12" s="3"/>
      <c r="M12" s="3"/>
      <c r="N12" s="3" t="s">
        <v>154</v>
      </c>
      <c r="O12" s="3" t="s">
        <v>52</v>
      </c>
      <c r="P12" s="3">
        <v>0.7</v>
      </c>
      <c r="Q12" s="3">
        <v>0.6</v>
      </c>
      <c r="R12" s="4" t="s">
        <v>53</v>
      </c>
      <c r="S12" s="4">
        <v>900</v>
      </c>
      <c r="T12" s="4">
        <v>31700</v>
      </c>
      <c r="U12" s="4">
        <v>25100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6600</v>
      </c>
      <c r="AD12" s="4">
        <v>31700</v>
      </c>
      <c r="AE12" s="4">
        <v>25100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6600</v>
      </c>
      <c r="AN12" s="4">
        <v>22190</v>
      </c>
      <c r="AO12" s="4">
        <v>0</v>
      </c>
      <c r="AP12" s="4">
        <v>22190</v>
      </c>
      <c r="AQ12" t="s">
        <v>45</v>
      </c>
      <c r="AR12" t="s">
        <v>154</v>
      </c>
    </row>
    <row r="13" spans="1:44" x14ac:dyDescent="0.4">
      <c r="A13" s="3" t="s">
        <v>42</v>
      </c>
      <c r="B13" s="3" t="s">
        <v>43</v>
      </c>
      <c r="C13" s="3" t="s">
        <v>44</v>
      </c>
      <c r="D13" s="3" t="s">
        <v>45</v>
      </c>
      <c r="E13" s="3"/>
      <c r="F13" s="3" t="s">
        <v>46</v>
      </c>
      <c r="G13" s="3" t="s">
        <v>47</v>
      </c>
      <c r="H13" s="3" t="s">
        <v>48</v>
      </c>
      <c r="I13" s="3" t="s">
        <v>49</v>
      </c>
      <c r="J13" s="3">
        <v>54410472</v>
      </c>
      <c r="K13" s="3" t="s">
        <v>224</v>
      </c>
      <c r="L13" s="3"/>
      <c r="M13" s="3"/>
      <c r="N13" s="3" t="s">
        <v>154</v>
      </c>
      <c r="O13" s="3" t="s">
        <v>52</v>
      </c>
      <c r="P13" s="3">
        <v>0.7</v>
      </c>
      <c r="Q13" s="3">
        <v>0.6</v>
      </c>
      <c r="R13" s="4" t="s">
        <v>53</v>
      </c>
      <c r="S13" s="4">
        <v>900</v>
      </c>
      <c r="T13" s="4">
        <v>21700</v>
      </c>
      <c r="U13" s="4">
        <v>12700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9000</v>
      </c>
      <c r="AD13" s="4">
        <v>21700</v>
      </c>
      <c r="AE13" s="4">
        <v>12700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9000</v>
      </c>
      <c r="AN13" s="4">
        <v>15190</v>
      </c>
      <c r="AO13" s="4">
        <v>0</v>
      </c>
      <c r="AP13" s="4">
        <v>15190</v>
      </c>
      <c r="AQ13" t="s">
        <v>45</v>
      </c>
      <c r="AR13" t="s">
        <v>154</v>
      </c>
    </row>
    <row r="14" spans="1:44" x14ac:dyDescent="0.4">
      <c r="A14" s="3" t="s">
        <v>42</v>
      </c>
      <c r="B14" s="3" t="s">
        <v>43</v>
      </c>
      <c r="C14" s="3" t="s">
        <v>44</v>
      </c>
      <c r="D14" s="3" t="s">
        <v>45</v>
      </c>
      <c r="E14" s="3"/>
      <c r="F14" s="3" t="s">
        <v>46</v>
      </c>
      <c r="G14" s="3" t="s">
        <v>47</v>
      </c>
      <c r="H14" s="3" t="s">
        <v>48</v>
      </c>
      <c r="I14" s="3" t="s">
        <v>49</v>
      </c>
      <c r="J14" s="3">
        <v>53748697</v>
      </c>
      <c r="K14" s="3" t="s">
        <v>192</v>
      </c>
      <c r="L14" s="3"/>
      <c r="M14" s="3"/>
      <c r="N14" s="3" t="s">
        <v>154</v>
      </c>
      <c r="O14" s="3" t="s">
        <v>52</v>
      </c>
      <c r="P14" s="3">
        <v>0.7</v>
      </c>
      <c r="Q14" s="3">
        <v>0.6</v>
      </c>
      <c r="R14" s="4" t="s">
        <v>53</v>
      </c>
      <c r="S14" s="4">
        <v>2700</v>
      </c>
      <c r="T14" s="4">
        <v>10800</v>
      </c>
      <c r="U14" s="4">
        <v>10700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100</v>
      </c>
      <c r="AD14" s="4">
        <v>10800</v>
      </c>
      <c r="AE14" s="4">
        <v>10700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100</v>
      </c>
      <c r="AN14" s="4">
        <v>7560</v>
      </c>
      <c r="AO14" s="4">
        <v>0</v>
      </c>
      <c r="AP14" s="4">
        <v>7560</v>
      </c>
      <c r="AQ14" t="s">
        <v>45</v>
      </c>
      <c r="AR14" t="s">
        <v>154</v>
      </c>
    </row>
    <row r="15" spans="1:44" x14ac:dyDescent="0.4">
      <c r="A15" s="3" t="s">
        <v>42</v>
      </c>
      <c r="B15" s="3" t="s">
        <v>43</v>
      </c>
      <c r="C15" s="3" t="s">
        <v>44</v>
      </c>
      <c r="D15" s="3" t="s">
        <v>45</v>
      </c>
      <c r="E15" s="3"/>
      <c r="F15" s="3" t="s">
        <v>46</v>
      </c>
      <c r="G15" s="3" t="s">
        <v>47</v>
      </c>
      <c r="H15" s="3" t="s">
        <v>48</v>
      </c>
      <c r="I15" s="3" t="s">
        <v>49</v>
      </c>
      <c r="J15" s="3">
        <v>54410472</v>
      </c>
      <c r="K15" s="3" t="s">
        <v>224</v>
      </c>
      <c r="L15" s="3"/>
      <c r="M15" s="3"/>
      <c r="N15" s="3" t="s">
        <v>154</v>
      </c>
      <c r="O15" s="3" t="s">
        <v>52</v>
      </c>
      <c r="P15" s="3">
        <v>0.7</v>
      </c>
      <c r="Q15" s="3">
        <v>0.6</v>
      </c>
      <c r="R15" s="4" t="s">
        <v>53</v>
      </c>
      <c r="S15" s="4">
        <v>2700</v>
      </c>
      <c r="T15" s="4">
        <v>8100</v>
      </c>
      <c r="U15" s="4">
        <v>5400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2700</v>
      </c>
      <c r="AD15" s="4">
        <v>8100</v>
      </c>
      <c r="AE15" s="4">
        <v>5400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2700</v>
      </c>
      <c r="AN15" s="4">
        <v>5670</v>
      </c>
      <c r="AO15" s="4">
        <v>0</v>
      </c>
      <c r="AP15" s="4">
        <v>5670</v>
      </c>
      <c r="AQ15" t="s">
        <v>45</v>
      </c>
      <c r="AR15" t="s">
        <v>154</v>
      </c>
    </row>
    <row r="16" spans="1:44" x14ac:dyDescent="0.4">
      <c r="A16" s="3" t="s">
        <v>42</v>
      </c>
      <c r="B16" s="3" t="s">
        <v>43</v>
      </c>
      <c r="C16" s="3" t="s">
        <v>44</v>
      </c>
      <c r="D16" s="3" t="s">
        <v>45</v>
      </c>
      <c r="E16" s="3"/>
      <c r="F16" s="3" t="s">
        <v>46</v>
      </c>
      <c r="G16" s="3" t="s">
        <v>47</v>
      </c>
      <c r="H16" s="3" t="s">
        <v>48</v>
      </c>
      <c r="I16" s="3" t="s">
        <v>49</v>
      </c>
      <c r="J16" s="3">
        <v>53748697</v>
      </c>
      <c r="K16" s="3" t="s">
        <v>192</v>
      </c>
      <c r="L16" s="3"/>
      <c r="M16" s="3"/>
      <c r="N16" s="3" t="s">
        <v>154</v>
      </c>
      <c r="O16" s="3" t="s">
        <v>52</v>
      </c>
      <c r="P16" s="3">
        <v>0.7</v>
      </c>
      <c r="Q16" s="3">
        <v>0.6</v>
      </c>
      <c r="R16" s="4" t="s">
        <v>53</v>
      </c>
      <c r="S16" s="4">
        <v>5400</v>
      </c>
      <c r="T16" s="4">
        <v>27300</v>
      </c>
      <c r="U16" s="4">
        <v>21100</v>
      </c>
      <c r="V16" s="4">
        <v>0</v>
      </c>
      <c r="W16" s="4">
        <v>0</v>
      </c>
      <c r="X16" s="4">
        <v>0</v>
      </c>
      <c r="Y16" s="4">
        <v>0</v>
      </c>
      <c r="Z16" s="4">
        <v>300</v>
      </c>
      <c r="AA16" s="4">
        <v>0</v>
      </c>
      <c r="AB16" s="4">
        <v>0</v>
      </c>
      <c r="AC16" s="4">
        <v>5900</v>
      </c>
      <c r="AD16" s="4">
        <v>27330</v>
      </c>
      <c r="AE16" s="4">
        <v>21100</v>
      </c>
      <c r="AF16" s="4">
        <v>0</v>
      </c>
      <c r="AG16" s="4">
        <v>0</v>
      </c>
      <c r="AH16" s="4">
        <v>0</v>
      </c>
      <c r="AI16" s="4">
        <v>0</v>
      </c>
      <c r="AJ16" s="4">
        <v>330</v>
      </c>
      <c r="AK16" s="4">
        <v>0</v>
      </c>
      <c r="AL16" s="4">
        <v>0</v>
      </c>
      <c r="AM16" s="4">
        <v>5900</v>
      </c>
      <c r="AN16" s="4">
        <v>19098</v>
      </c>
      <c r="AO16" s="4">
        <v>0</v>
      </c>
      <c r="AP16" s="4">
        <v>19098</v>
      </c>
      <c r="AQ16" t="s">
        <v>45</v>
      </c>
      <c r="AR16" t="s">
        <v>154</v>
      </c>
    </row>
    <row r="17" spans="1:44" x14ac:dyDescent="0.4">
      <c r="A17" s="3" t="s">
        <v>42</v>
      </c>
      <c r="B17" s="3" t="s">
        <v>43</v>
      </c>
      <c r="C17" s="3" t="s">
        <v>44</v>
      </c>
      <c r="D17" s="3" t="s">
        <v>45</v>
      </c>
      <c r="E17" s="3"/>
      <c r="F17" s="3" t="s">
        <v>46</v>
      </c>
      <c r="G17" s="3" t="s">
        <v>47</v>
      </c>
      <c r="H17" s="3" t="s">
        <v>48</v>
      </c>
      <c r="I17" s="3" t="s">
        <v>49</v>
      </c>
      <c r="J17" s="3">
        <v>54410472</v>
      </c>
      <c r="K17" s="3" t="s">
        <v>224</v>
      </c>
      <c r="L17" s="3"/>
      <c r="M17" s="3"/>
      <c r="N17" s="3" t="s">
        <v>154</v>
      </c>
      <c r="O17" s="3" t="s">
        <v>52</v>
      </c>
      <c r="P17" s="3">
        <v>0.7</v>
      </c>
      <c r="Q17" s="3">
        <v>0.6</v>
      </c>
      <c r="R17" s="4" t="s">
        <v>53</v>
      </c>
      <c r="S17" s="4">
        <v>4500</v>
      </c>
      <c r="T17" s="4">
        <v>27000</v>
      </c>
      <c r="U17" s="4">
        <v>22500</v>
      </c>
      <c r="V17" s="4">
        <v>0</v>
      </c>
      <c r="W17" s="4">
        <v>0</v>
      </c>
      <c r="X17" s="4">
        <v>0</v>
      </c>
      <c r="Y17" s="4">
        <v>0</v>
      </c>
      <c r="Z17" s="4">
        <v>4500</v>
      </c>
      <c r="AA17" s="4">
        <v>0</v>
      </c>
      <c r="AB17" s="4">
        <v>0</v>
      </c>
      <c r="AC17" s="4">
        <v>0</v>
      </c>
      <c r="AD17" s="4">
        <v>27450</v>
      </c>
      <c r="AE17" s="4">
        <v>22500</v>
      </c>
      <c r="AF17" s="4">
        <v>0</v>
      </c>
      <c r="AG17" s="4">
        <v>0</v>
      </c>
      <c r="AH17" s="4">
        <v>0</v>
      </c>
      <c r="AI17" s="4">
        <v>0</v>
      </c>
      <c r="AJ17" s="4">
        <v>4950</v>
      </c>
      <c r="AK17" s="4">
        <v>0</v>
      </c>
      <c r="AL17" s="4">
        <v>0</v>
      </c>
      <c r="AM17" s="4">
        <v>0</v>
      </c>
      <c r="AN17" s="4">
        <v>18720</v>
      </c>
      <c r="AO17" s="4">
        <v>0</v>
      </c>
      <c r="AP17" s="4">
        <v>18720</v>
      </c>
      <c r="AQ17" t="s">
        <v>45</v>
      </c>
      <c r="AR17" t="s">
        <v>154</v>
      </c>
    </row>
    <row r="18" spans="1:44" x14ac:dyDescent="0.4">
      <c r="A18" s="3" t="s">
        <v>42</v>
      </c>
      <c r="B18" s="3" t="s">
        <v>43</v>
      </c>
      <c r="C18" s="3" t="s">
        <v>44</v>
      </c>
      <c r="D18" s="3" t="s">
        <v>45</v>
      </c>
      <c r="E18" s="3"/>
      <c r="F18" s="3" t="s">
        <v>46</v>
      </c>
      <c r="G18" s="3" t="s">
        <v>47</v>
      </c>
      <c r="H18" s="3" t="s">
        <v>48</v>
      </c>
      <c r="I18" s="3" t="s">
        <v>49</v>
      </c>
      <c r="J18" s="3">
        <v>52056362</v>
      </c>
      <c r="K18" s="3" t="s">
        <v>153</v>
      </c>
      <c r="L18" s="3"/>
      <c r="M18" s="3"/>
      <c r="N18" s="3" t="s">
        <v>154</v>
      </c>
      <c r="O18" s="3" t="s">
        <v>52</v>
      </c>
      <c r="P18" s="3">
        <v>0.7</v>
      </c>
      <c r="Q18" s="3">
        <v>0.6</v>
      </c>
      <c r="R18" s="4" t="s">
        <v>56</v>
      </c>
      <c r="S18" s="4">
        <v>100</v>
      </c>
      <c r="T18" s="4">
        <v>14300</v>
      </c>
      <c r="U18" s="4">
        <v>11900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2400</v>
      </c>
      <c r="AD18" s="4">
        <v>14300</v>
      </c>
      <c r="AE18" s="4">
        <v>11900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2400</v>
      </c>
      <c r="AN18" s="4">
        <v>10010</v>
      </c>
      <c r="AO18" s="4">
        <v>0</v>
      </c>
      <c r="AP18" s="4">
        <v>10010</v>
      </c>
      <c r="AQ18" t="s">
        <v>45</v>
      </c>
      <c r="AR18" t="s">
        <v>154</v>
      </c>
    </row>
    <row r="19" spans="1:44" x14ac:dyDescent="0.4">
      <c r="A19" s="3" t="s">
        <v>42</v>
      </c>
      <c r="B19" s="3" t="s">
        <v>43</v>
      </c>
      <c r="C19" s="3" t="s">
        <v>44</v>
      </c>
      <c r="D19" s="3" t="s">
        <v>45</v>
      </c>
      <c r="E19" s="3"/>
      <c r="F19" s="3" t="s">
        <v>46</v>
      </c>
      <c r="G19" s="3" t="s">
        <v>47</v>
      </c>
      <c r="H19" s="3" t="s">
        <v>48</v>
      </c>
      <c r="I19" s="3" t="s">
        <v>49</v>
      </c>
      <c r="J19" s="3">
        <v>55733642</v>
      </c>
      <c r="K19" s="3" t="s">
        <v>100</v>
      </c>
      <c r="L19" s="3"/>
      <c r="M19" s="3"/>
      <c r="N19" s="3" t="s">
        <v>101</v>
      </c>
      <c r="O19" s="3" t="s">
        <v>52</v>
      </c>
      <c r="P19" s="3">
        <v>0.7</v>
      </c>
      <c r="Q19" s="3">
        <v>0.6</v>
      </c>
      <c r="R19" s="4" t="s">
        <v>56</v>
      </c>
      <c r="S19" s="4">
        <v>100</v>
      </c>
      <c r="T19" s="4">
        <v>100</v>
      </c>
      <c r="U19" s="4">
        <v>100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100</v>
      </c>
      <c r="AE19" s="4">
        <v>100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70</v>
      </c>
      <c r="AO19" s="4">
        <v>0</v>
      </c>
      <c r="AP19" s="4">
        <v>70</v>
      </c>
      <c r="AQ19" t="s">
        <v>45</v>
      </c>
      <c r="AR19" t="s">
        <v>101</v>
      </c>
    </row>
    <row r="20" spans="1:44" x14ac:dyDescent="0.4">
      <c r="A20" s="3" t="s">
        <v>42</v>
      </c>
      <c r="B20" s="3" t="s">
        <v>43</v>
      </c>
      <c r="C20" s="3" t="s">
        <v>44</v>
      </c>
      <c r="D20" s="3" t="s">
        <v>45</v>
      </c>
      <c r="E20" s="3"/>
      <c r="F20" s="3" t="s">
        <v>46</v>
      </c>
      <c r="G20" s="3" t="s">
        <v>47</v>
      </c>
      <c r="H20" s="3" t="s">
        <v>48</v>
      </c>
      <c r="I20" s="3" t="s">
        <v>49</v>
      </c>
      <c r="J20" s="3">
        <v>52056362</v>
      </c>
      <c r="K20" s="3" t="s">
        <v>153</v>
      </c>
      <c r="L20" s="3"/>
      <c r="M20" s="3"/>
      <c r="N20" s="3" t="s">
        <v>154</v>
      </c>
      <c r="O20" s="3" t="s">
        <v>52</v>
      </c>
      <c r="P20" s="3">
        <v>0.7</v>
      </c>
      <c r="Q20" s="3">
        <v>0.6</v>
      </c>
      <c r="R20" s="4" t="s">
        <v>53</v>
      </c>
      <c r="S20" s="4">
        <v>900</v>
      </c>
      <c r="T20" s="4">
        <v>9900</v>
      </c>
      <c r="U20" s="4">
        <v>8800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1100</v>
      </c>
      <c r="AD20" s="4">
        <v>9900</v>
      </c>
      <c r="AE20" s="4">
        <v>8800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1100</v>
      </c>
      <c r="AN20" s="4">
        <v>6930</v>
      </c>
      <c r="AO20" s="4">
        <v>0</v>
      </c>
      <c r="AP20" s="4">
        <v>6930</v>
      </c>
      <c r="AQ20" t="s">
        <v>45</v>
      </c>
      <c r="AR20" t="s">
        <v>154</v>
      </c>
    </row>
    <row r="21" spans="1:44" x14ac:dyDescent="0.4">
      <c r="A21" s="3" t="s">
        <v>42</v>
      </c>
      <c r="B21" s="3" t="s">
        <v>43</v>
      </c>
      <c r="C21" s="3" t="s">
        <v>44</v>
      </c>
      <c r="D21" s="3" t="s">
        <v>45</v>
      </c>
      <c r="E21" s="3"/>
      <c r="F21" s="3" t="s">
        <v>46</v>
      </c>
      <c r="G21" s="3" t="s">
        <v>47</v>
      </c>
      <c r="H21" s="3" t="s">
        <v>48</v>
      </c>
      <c r="I21" s="3" t="s">
        <v>49</v>
      </c>
      <c r="J21" s="3">
        <v>55733642</v>
      </c>
      <c r="K21" s="3" t="s">
        <v>100</v>
      </c>
      <c r="L21" s="3"/>
      <c r="M21" s="3"/>
      <c r="N21" s="3" t="s">
        <v>101</v>
      </c>
      <c r="O21" s="3" t="s">
        <v>52</v>
      </c>
      <c r="P21" s="3">
        <v>0.7</v>
      </c>
      <c r="Q21" s="3">
        <v>0.6</v>
      </c>
      <c r="R21" s="4" t="s">
        <v>53</v>
      </c>
      <c r="S21" s="4">
        <v>900</v>
      </c>
      <c r="T21" s="4">
        <v>1800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1800</v>
      </c>
      <c r="AD21" s="4">
        <v>1800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1800</v>
      </c>
      <c r="AN21" s="4">
        <v>1260</v>
      </c>
      <c r="AO21" s="4">
        <v>0</v>
      </c>
      <c r="AP21" s="4">
        <v>1260</v>
      </c>
      <c r="AQ21" t="s">
        <v>45</v>
      </c>
      <c r="AR21" t="s">
        <v>101</v>
      </c>
    </row>
    <row r="22" spans="1:44" x14ac:dyDescent="0.4">
      <c r="A22" s="3" t="s">
        <v>42</v>
      </c>
      <c r="B22" s="3" t="s">
        <v>43</v>
      </c>
      <c r="C22" s="3" t="s">
        <v>44</v>
      </c>
      <c r="D22" s="3" t="s">
        <v>45</v>
      </c>
      <c r="E22" s="3"/>
      <c r="F22" s="3" t="s">
        <v>46</v>
      </c>
      <c r="G22" s="3" t="s">
        <v>47</v>
      </c>
      <c r="H22" s="3" t="s">
        <v>48</v>
      </c>
      <c r="I22" s="3" t="s">
        <v>49</v>
      </c>
      <c r="J22" s="3">
        <v>52056362</v>
      </c>
      <c r="K22" s="3" t="s">
        <v>153</v>
      </c>
      <c r="L22" s="3"/>
      <c r="M22" s="3"/>
      <c r="N22" s="3" t="s">
        <v>154</v>
      </c>
      <c r="O22" s="3" t="s">
        <v>52</v>
      </c>
      <c r="P22" s="3">
        <v>0.7</v>
      </c>
      <c r="Q22" s="3">
        <v>0.6</v>
      </c>
      <c r="R22" s="4" t="s">
        <v>53</v>
      </c>
      <c r="S22" s="4">
        <v>2700</v>
      </c>
      <c r="T22" s="4">
        <v>10800</v>
      </c>
      <c r="U22" s="4">
        <v>10300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500</v>
      </c>
      <c r="AD22" s="4">
        <v>10800</v>
      </c>
      <c r="AE22" s="4">
        <v>10300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500</v>
      </c>
      <c r="AN22" s="4">
        <v>7560</v>
      </c>
      <c r="AO22" s="4">
        <v>0</v>
      </c>
      <c r="AP22" s="4">
        <v>7560</v>
      </c>
      <c r="AQ22" t="s">
        <v>45</v>
      </c>
      <c r="AR22" t="s">
        <v>154</v>
      </c>
    </row>
    <row r="23" spans="1:44" x14ac:dyDescent="0.4">
      <c r="A23" s="3" t="s">
        <v>42</v>
      </c>
      <c r="B23" s="3" t="s">
        <v>43</v>
      </c>
      <c r="C23" s="3" t="s">
        <v>44</v>
      </c>
      <c r="D23" s="3" t="s">
        <v>45</v>
      </c>
      <c r="E23" s="3"/>
      <c r="F23" s="3" t="s">
        <v>46</v>
      </c>
      <c r="G23" s="3" t="s">
        <v>47</v>
      </c>
      <c r="H23" s="3" t="s">
        <v>48</v>
      </c>
      <c r="I23" s="3" t="s">
        <v>49</v>
      </c>
      <c r="J23" s="3">
        <v>55733642</v>
      </c>
      <c r="K23" s="3" t="s">
        <v>100</v>
      </c>
      <c r="L23" s="3"/>
      <c r="M23" s="3"/>
      <c r="N23" s="3" t="s">
        <v>101</v>
      </c>
      <c r="O23" s="3" t="s">
        <v>52</v>
      </c>
      <c r="P23" s="3">
        <v>0.7</v>
      </c>
      <c r="Q23" s="3">
        <v>0.6</v>
      </c>
      <c r="R23" s="4" t="s">
        <v>53</v>
      </c>
      <c r="S23" s="4">
        <v>4500</v>
      </c>
      <c r="T23" s="4">
        <v>14500</v>
      </c>
      <c r="U23" s="4">
        <v>12800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1700</v>
      </c>
      <c r="AD23" s="4">
        <v>14500</v>
      </c>
      <c r="AE23" s="4">
        <v>12800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1700</v>
      </c>
      <c r="AN23" s="4">
        <v>10150</v>
      </c>
      <c r="AO23" s="4">
        <v>0</v>
      </c>
      <c r="AP23" s="4">
        <v>10150</v>
      </c>
      <c r="AQ23" t="s">
        <v>45</v>
      </c>
      <c r="AR23" t="s">
        <v>101</v>
      </c>
    </row>
    <row r="24" spans="1:44" x14ac:dyDescent="0.4">
      <c r="A24" s="3" t="s">
        <v>42</v>
      </c>
      <c r="B24" s="3" t="s">
        <v>43</v>
      </c>
      <c r="C24" s="3" t="s">
        <v>44</v>
      </c>
      <c r="D24" s="3" t="s">
        <v>45</v>
      </c>
      <c r="E24" s="3"/>
      <c r="F24" s="3" t="s">
        <v>46</v>
      </c>
      <c r="G24" s="3" t="s">
        <v>47</v>
      </c>
      <c r="H24" s="3" t="s">
        <v>48</v>
      </c>
      <c r="I24" s="3" t="s">
        <v>49</v>
      </c>
      <c r="J24" s="3">
        <v>52056362</v>
      </c>
      <c r="K24" s="3" t="s">
        <v>153</v>
      </c>
      <c r="L24" s="3"/>
      <c r="M24" s="3"/>
      <c r="N24" s="3" t="s">
        <v>154</v>
      </c>
      <c r="O24" s="3" t="s">
        <v>52</v>
      </c>
      <c r="P24" s="3">
        <v>0.7</v>
      </c>
      <c r="Q24" s="3">
        <v>0.6</v>
      </c>
      <c r="R24" s="4" t="s">
        <v>53</v>
      </c>
      <c r="S24" s="4">
        <v>5400</v>
      </c>
      <c r="T24" s="4">
        <v>16200</v>
      </c>
      <c r="U24" s="4">
        <v>16200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16200</v>
      </c>
      <c r="AE24" s="4">
        <v>16200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11340</v>
      </c>
      <c r="AO24" s="4">
        <v>0</v>
      </c>
      <c r="AP24" s="4">
        <v>11340</v>
      </c>
      <c r="AQ24" t="s">
        <v>45</v>
      </c>
      <c r="AR24" t="s">
        <v>154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R12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3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53884097</v>
      </c>
      <c r="K2" s="3" t="s">
        <v>77</v>
      </c>
      <c r="L2" s="3"/>
      <c r="M2" s="3"/>
      <c r="N2" s="3" t="s">
        <v>78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3200</v>
      </c>
      <c r="U2" s="4">
        <v>2700</v>
      </c>
      <c r="V2" s="4">
        <v>0</v>
      </c>
      <c r="W2" s="4">
        <v>0</v>
      </c>
      <c r="X2" s="4">
        <v>0</v>
      </c>
      <c r="Y2" s="4">
        <v>0</v>
      </c>
      <c r="Z2" s="4">
        <v>500</v>
      </c>
      <c r="AA2" s="4">
        <v>0</v>
      </c>
      <c r="AB2" s="4">
        <v>0</v>
      </c>
      <c r="AC2" s="4">
        <v>0</v>
      </c>
      <c r="AD2" s="4">
        <v>3250</v>
      </c>
      <c r="AE2" s="4">
        <v>2700</v>
      </c>
      <c r="AF2" s="4">
        <v>0</v>
      </c>
      <c r="AG2" s="4">
        <v>0</v>
      </c>
      <c r="AH2" s="4">
        <v>0</v>
      </c>
      <c r="AI2" s="4">
        <v>0</v>
      </c>
      <c r="AJ2" s="4">
        <v>550</v>
      </c>
      <c r="AK2" s="4">
        <v>0</v>
      </c>
      <c r="AL2" s="4">
        <v>0</v>
      </c>
      <c r="AM2" s="4">
        <v>0</v>
      </c>
      <c r="AN2" s="4">
        <v>2220</v>
      </c>
      <c r="AO2" s="4">
        <v>0</v>
      </c>
      <c r="AP2" s="4">
        <v>2220</v>
      </c>
      <c r="AQ2" t="s">
        <v>45</v>
      </c>
      <c r="AR2" t="s">
        <v>78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53884097</v>
      </c>
      <c r="K3" s="3" t="s">
        <v>77</v>
      </c>
      <c r="L3" s="3"/>
      <c r="M3" s="3"/>
      <c r="N3" s="3" t="s">
        <v>78</v>
      </c>
      <c r="O3" s="3" t="s">
        <v>52</v>
      </c>
      <c r="P3" s="3">
        <v>0.7</v>
      </c>
      <c r="Q3" s="3">
        <v>0.6</v>
      </c>
      <c r="R3" s="4" t="s">
        <v>53</v>
      </c>
      <c r="S3" s="4">
        <v>900</v>
      </c>
      <c r="T3" s="4">
        <v>6800</v>
      </c>
      <c r="U3" s="4">
        <v>5900</v>
      </c>
      <c r="V3" s="4">
        <v>0</v>
      </c>
      <c r="W3" s="4">
        <v>0</v>
      </c>
      <c r="X3" s="4">
        <v>0</v>
      </c>
      <c r="Y3" s="4">
        <v>0</v>
      </c>
      <c r="Z3" s="4">
        <v>900</v>
      </c>
      <c r="AA3" s="4">
        <v>0</v>
      </c>
      <c r="AB3" s="4">
        <v>0</v>
      </c>
      <c r="AC3" s="4">
        <v>0</v>
      </c>
      <c r="AD3" s="4">
        <v>6890</v>
      </c>
      <c r="AE3" s="4">
        <v>5900</v>
      </c>
      <c r="AF3" s="4">
        <v>0</v>
      </c>
      <c r="AG3" s="4">
        <v>0</v>
      </c>
      <c r="AH3" s="4">
        <v>0</v>
      </c>
      <c r="AI3" s="4">
        <v>0</v>
      </c>
      <c r="AJ3" s="4">
        <v>990</v>
      </c>
      <c r="AK3" s="4">
        <v>0</v>
      </c>
      <c r="AL3" s="4">
        <v>0</v>
      </c>
      <c r="AM3" s="4">
        <v>0</v>
      </c>
      <c r="AN3" s="4">
        <v>4724</v>
      </c>
      <c r="AO3" s="4">
        <v>0</v>
      </c>
      <c r="AP3" s="4">
        <v>4724</v>
      </c>
      <c r="AQ3" t="s">
        <v>45</v>
      </c>
      <c r="AR3" t="s">
        <v>78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53884097</v>
      </c>
      <c r="K4" s="3" t="s">
        <v>77</v>
      </c>
      <c r="L4" s="3"/>
      <c r="M4" s="3"/>
      <c r="N4" s="3" t="s">
        <v>78</v>
      </c>
      <c r="O4" s="3" t="s">
        <v>52</v>
      </c>
      <c r="P4" s="3">
        <v>0.7</v>
      </c>
      <c r="Q4" s="3">
        <v>0.6</v>
      </c>
      <c r="R4" s="4" t="s">
        <v>53</v>
      </c>
      <c r="S4" s="4">
        <v>5400</v>
      </c>
      <c r="T4" s="4">
        <v>5400</v>
      </c>
      <c r="U4" s="4">
        <v>5400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5400</v>
      </c>
      <c r="AE4" s="4">
        <v>5400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3780</v>
      </c>
      <c r="AO4" s="4">
        <v>0</v>
      </c>
      <c r="AP4" s="4">
        <v>3780</v>
      </c>
      <c r="AQ4" t="s">
        <v>45</v>
      </c>
      <c r="AR4" t="s">
        <v>78</v>
      </c>
    </row>
    <row r="5" spans="1:44" x14ac:dyDescent="0.4">
      <c r="A5" s="3" t="s">
        <v>42</v>
      </c>
      <c r="B5" s="3" t="s">
        <v>43</v>
      </c>
      <c r="C5" s="3" t="s">
        <v>44</v>
      </c>
      <c r="D5" s="3" t="s">
        <v>45</v>
      </c>
      <c r="E5" s="3"/>
      <c r="F5" s="3" t="s">
        <v>46</v>
      </c>
      <c r="G5" s="3" t="s">
        <v>47</v>
      </c>
      <c r="H5" s="3" t="s">
        <v>48</v>
      </c>
      <c r="I5" s="3" t="s">
        <v>49</v>
      </c>
      <c r="J5" s="3">
        <v>53995877</v>
      </c>
      <c r="K5" s="3" t="s">
        <v>95</v>
      </c>
      <c r="L5" s="3"/>
      <c r="M5" s="3"/>
      <c r="N5" s="3" t="s">
        <v>78</v>
      </c>
      <c r="O5" s="3" t="s">
        <v>52</v>
      </c>
      <c r="P5" s="3">
        <v>0.7</v>
      </c>
      <c r="Q5" s="3">
        <v>0.6</v>
      </c>
      <c r="R5" s="4" t="s">
        <v>56</v>
      </c>
      <c r="S5" s="4">
        <v>100</v>
      </c>
      <c r="T5" s="4">
        <v>13000</v>
      </c>
      <c r="U5" s="4">
        <v>6000</v>
      </c>
      <c r="V5" s="4">
        <v>0</v>
      </c>
      <c r="W5" s="4">
        <v>0</v>
      </c>
      <c r="X5" s="4">
        <v>0</v>
      </c>
      <c r="Y5" s="4">
        <v>0</v>
      </c>
      <c r="Z5" s="4">
        <v>3000</v>
      </c>
      <c r="AA5" s="4">
        <v>0</v>
      </c>
      <c r="AB5" s="4">
        <v>0</v>
      </c>
      <c r="AC5" s="4">
        <v>4000</v>
      </c>
      <c r="AD5" s="4">
        <v>13300</v>
      </c>
      <c r="AE5" s="4">
        <v>6000</v>
      </c>
      <c r="AF5" s="4">
        <v>0</v>
      </c>
      <c r="AG5" s="4">
        <v>0</v>
      </c>
      <c r="AH5" s="4">
        <v>0</v>
      </c>
      <c r="AI5" s="4">
        <v>0</v>
      </c>
      <c r="AJ5" s="4">
        <v>3300</v>
      </c>
      <c r="AK5" s="4">
        <v>0</v>
      </c>
      <c r="AL5" s="4">
        <v>0</v>
      </c>
      <c r="AM5" s="4">
        <v>4000</v>
      </c>
      <c r="AN5" s="4">
        <v>8980</v>
      </c>
      <c r="AO5" s="4">
        <v>0</v>
      </c>
      <c r="AP5" s="4">
        <v>8980</v>
      </c>
      <c r="AQ5" t="s">
        <v>45</v>
      </c>
      <c r="AR5" t="s">
        <v>78</v>
      </c>
    </row>
    <row r="6" spans="1:44" x14ac:dyDescent="0.4">
      <c r="A6" s="3" t="s">
        <v>42</v>
      </c>
      <c r="B6" s="3" t="s">
        <v>43</v>
      </c>
      <c r="C6" s="3" t="s">
        <v>44</v>
      </c>
      <c r="D6" s="3" t="s">
        <v>45</v>
      </c>
      <c r="E6" s="3"/>
      <c r="F6" s="3" t="s">
        <v>46</v>
      </c>
      <c r="G6" s="3" t="s">
        <v>47</v>
      </c>
      <c r="H6" s="3" t="s">
        <v>48</v>
      </c>
      <c r="I6" s="3" t="s">
        <v>49</v>
      </c>
      <c r="J6" s="3">
        <v>53995877</v>
      </c>
      <c r="K6" s="3" t="s">
        <v>95</v>
      </c>
      <c r="L6" s="3"/>
      <c r="M6" s="3"/>
      <c r="N6" s="3" t="s">
        <v>78</v>
      </c>
      <c r="O6" s="3" t="s">
        <v>52</v>
      </c>
      <c r="P6" s="3">
        <v>0.7</v>
      </c>
      <c r="Q6" s="3">
        <v>0.6</v>
      </c>
      <c r="R6" s="4" t="s">
        <v>53</v>
      </c>
      <c r="S6" s="4">
        <v>900</v>
      </c>
      <c r="T6" s="4">
        <v>9500</v>
      </c>
      <c r="U6" s="4">
        <v>6300</v>
      </c>
      <c r="V6" s="4">
        <v>0</v>
      </c>
      <c r="W6" s="4">
        <v>0</v>
      </c>
      <c r="X6" s="4">
        <v>0</v>
      </c>
      <c r="Y6" s="4">
        <v>0</v>
      </c>
      <c r="Z6" s="4">
        <v>2800</v>
      </c>
      <c r="AA6" s="4">
        <v>0</v>
      </c>
      <c r="AB6" s="4">
        <v>0</v>
      </c>
      <c r="AC6" s="4">
        <v>400</v>
      </c>
      <c r="AD6" s="4">
        <v>9780</v>
      </c>
      <c r="AE6" s="4">
        <v>6300</v>
      </c>
      <c r="AF6" s="4">
        <v>0</v>
      </c>
      <c r="AG6" s="4">
        <v>0</v>
      </c>
      <c r="AH6" s="4">
        <v>0</v>
      </c>
      <c r="AI6" s="4">
        <v>0</v>
      </c>
      <c r="AJ6" s="4">
        <v>3080</v>
      </c>
      <c r="AK6" s="4">
        <v>0</v>
      </c>
      <c r="AL6" s="4">
        <v>0</v>
      </c>
      <c r="AM6" s="4">
        <v>400</v>
      </c>
      <c r="AN6" s="4">
        <v>6538</v>
      </c>
      <c r="AO6" s="4">
        <v>0</v>
      </c>
      <c r="AP6" s="4">
        <v>6538</v>
      </c>
      <c r="AQ6" t="s">
        <v>45</v>
      </c>
      <c r="AR6" t="s">
        <v>78</v>
      </c>
    </row>
    <row r="7" spans="1:44" x14ac:dyDescent="0.4">
      <c r="A7" s="3" t="s">
        <v>42</v>
      </c>
      <c r="B7" s="3" t="s">
        <v>43</v>
      </c>
      <c r="C7" s="3" t="s">
        <v>44</v>
      </c>
      <c r="D7" s="3" t="s">
        <v>45</v>
      </c>
      <c r="E7" s="3"/>
      <c r="F7" s="3" t="s">
        <v>46</v>
      </c>
      <c r="G7" s="3" t="s">
        <v>47</v>
      </c>
      <c r="H7" s="3" t="s">
        <v>48</v>
      </c>
      <c r="I7" s="3" t="s">
        <v>49</v>
      </c>
      <c r="J7" s="3">
        <v>53995877</v>
      </c>
      <c r="K7" s="3" t="s">
        <v>95</v>
      </c>
      <c r="L7" s="3"/>
      <c r="M7" s="3"/>
      <c r="N7" s="3" t="s">
        <v>78</v>
      </c>
      <c r="O7" s="3" t="s">
        <v>52</v>
      </c>
      <c r="P7" s="3">
        <v>0.7</v>
      </c>
      <c r="Q7" s="3">
        <v>0.6</v>
      </c>
      <c r="R7" s="4" t="s">
        <v>53</v>
      </c>
      <c r="S7" s="4">
        <v>3600</v>
      </c>
      <c r="T7" s="4">
        <v>7200</v>
      </c>
      <c r="U7" s="4">
        <v>7000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200</v>
      </c>
      <c r="AD7" s="4">
        <v>7200</v>
      </c>
      <c r="AE7" s="4">
        <v>7000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200</v>
      </c>
      <c r="AN7" s="4">
        <v>5040</v>
      </c>
      <c r="AO7" s="4">
        <v>0</v>
      </c>
      <c r="AP7" s="4">
        <v>5040</v>
      </c>
      <c r="AQ7" t="s">
        <v>45</v>
      </c>
      <c r="AR7" t="s">
        <v>78</v>
      </c>
    </row>
    <row r="8" spans="1:44" x14ac:dyDescent="0.4">
      <c r="A8" s="3" t="s">
        <v>42</v>
      </c>
      <c r="B8" s="3" t="s">
        <v>43</v>
      </c>
      <c r="C8" s="3" t="s">
        <v>44</v>
      </c>
      <c r="D8" s="3" t="s">
        <v>45</v>
      </c>
      <c r="E8" s="3"/>
      <c r="F8" s="3" t="s">
        <v>46</v>
      </c>
      <c r="G8" s="3" t="s">
        <v>47</v>
      </c>
      <c r="H8" s="3" t="s">
        <v>48</v>
      </c>
      <c r="I8" s="3" t="s">
        <v>49</v>
      </c>
      <c r="J8" s="3">
        <v>53995877</v>
      </c>
      <c r="K8" s="3" t="s">
        <v>95</v>
      </c>
      <c r="L8" s="3"/>
      <c r="M8" s="3"/>
      <c r="N8" s="3" t="s">
        <v>78</v>
      </c>
      <c r="O8" s="3" t="s">
        <v>52</v>
      </c>
      <c r="P8" s="3">
        <v>0.7</v>
      </c>
      <c r="Q8" s="3">
        <v>0.6</v>
      </c>
      <c r="R8" s="4" t="s">
        <v>53</v>
      </c>
      <c r="S8" s="4">
        <v>6300</v>
      </c>
      <c r="T8" s="4">
        <v>18600</v>
      </c>
      <c r="U8" s="4">
        <v>17600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1000</v>
      </c>
      <c r="AD8" s="4">
        <v>18600</v>
      </c>
      <c r="AE8" s="4">
        <v>17600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1000</v>
      </c>
      <c r="AN8" s="4">
        <v>13020</v>
      </c>
      <c r="AO8" s="4">
        <v>0</v>
      </c>
      <c r="AP8" s="4">
        <v>13020</v>
      </c>
      <c r="AQ8" t="s">
        <v>45</v>
      </c>
      <c r="AR8" t="s">
        <v>78</v>
      </c>
    </row>
    <row r="9" spans="1:44" x14ac:dyDescent="0.4">
      <c r="A9" s="3" t="s">
        <v>42</v>
      </c>
      <c r="B9" s="3" t="s">
        <v>43</v>
      </c>
      <c r="C9" s="3" t="s">
        <v>44</v>
      </c>
      <c r="D9" s="3" t="s">
        <v>45</v>
      </c>
      <c r="E9" s="3"/>
      <c r="F9" s="3" t="s">
        <v>46</v>
      </c>
      <c r="G9" s="3" t="s">
        <v>47</v>
      </c>
      <c r="H9" s="3" t="s">
        <v>48</v>
      </c>
      <c r="I9" s="3" t="s">
        <v>49</v>
      </c>
      <c r="J9" s="3">
        <v>52184827</v>
      </c>
      <c r="K9" s="3" t="s">
        <v>130</v>
      </c>
      <c r="L9" s="3"/>
      <c r="M9" s="3"/>
      <c r="N9" s="3" t="s">
        <v>78</v>
      </c>
      <c r="O9" s="3" t="s">
        <v>52</v>
      </c>
      <c r="P9" s="3">
        <v>0.7</v>
      </c>
      <c r="Q9" s="3">
        <v>0.6</v>
      </c>
      <c r="R9" s="4" t="s">
        <v>56</v>
      </c>
      <c r="S9" s="4">
        <v>100</v>
      </c>
      <c r="T9" s="4">
        <v>17700</v>
      </c>
      <c r="U9" s="4">
        <v>15600</v>
      </c>
      <c r="V9" s="4">
        <v>0</v>
      </c>
      <c r="W9" s="4">
        <v>0</v>
      </c>
      <c r="X9" s="4">
        <v>0</v>
      </c>
      <c r="Y9" s="4">
        <v>0</v>
      </c>
      <c r="Z9" s="4">
        <v>300</v>
      </c>
      <c r="AA9" s="4">
        <v>0</v>
      </c>
      <c r="AB9" s="4">
        <v>0</v>
      </c>
      <c r="AC9" s="4">
        <v>1800</v>
      </c>
      <c r="AD9" s="4">
        <v>17730</v>
      </c>
      <c r="AE9" s="4">
        <v>15600</v>
      </c>
      <c r="AF9" s="4">
        <v>0</v>
      </c>
      <c r="AG9" s="4">
        <v>0</v>
      </c>
      <c r="AH9" s="4">
        <v>0</v>
      </c>
      <c r="AI9" s="4">
        <v>0</v>
      </c>
      <c r="AJ9" s="4">
        <v>330</v>
      </c>
      <c r="AK9" s="4">
        <v>0</v>
      </c>
      <c r="AL9" s="4">
        <v>0</v>
      </c>
      <c r="AM9" s="4">
        <v>1800</v>
      </c>
      <c r="AN9" s="4">
        <v>12378</v>
      </c>
      <c r="AO9" s="4">
        <v>0</v>
      </c>
      <c r="AP9" s="4">
        <v>12378</v>
      </c>
      <c r="AQ9" t="s">
        <v>45</v>
      </c>
      <c r="AR9" t="s">
        <v>78</v>
      </c>
    </row>
    <row r="10" spans="1:44" x14ac:dyDescent="0.4">
      <c r="A10" s="3" t="s">
        <v>42</v>
      </c>
      <c r="B10" s="3" t="s">
        <v>43</v>
      </c>
      <c r="C10" s="3" t="s">
        <v>44</v>
      </c>
      <c r="D10" s="3" t="s">
        <v>45</v>
      </c>
      <c r="E10" s="3"/>
      <c r="F10" s="3" t="s">
        <v>46</v>
      </c>
      <c r="G10" s="3" t="s">
        <v>47</v>
      </c>
      <c r="H10" s="3" t="s">
        <v>48</v>
      </c>
      <c r="I10" s="3" t="s">
        <v>49</v>
      </c>
      <c r="J10" s="3">
        <v>52184827</v>
      </c>
      <c r="K10" s="3" t="s">
        <v>130</v>
      </c>
      <c r="L10" s="3"/>
      <c r="M10" s="3"/>
      <c r="N10" s="3" t="s">
        <v>78</v>
      </c>
      <c r="O10" s="3" t="s">
        <v>52</v>
      </c>
      <c r="P10" s="3">
        <v>0.7</v>
      </c>
      <c r="Q10" s="3">
        <v>0.6</v>
      </c>
      <c r="R10" s="4" t="s">
        <v>53</v>
      </c>
      <c r="S10" s="4">
        <v>900</v>
      </c>
      <c r="T10" s="4">
        <v>9000</v>
      </c>
      <c r="U10" s="4">
        <v>8700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300</v>
      </c>
      <c r="AD10" s="4">
        <v>9000</v>
      </c>
      <c r="AE10" s="4">
        <v>8700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300</v>
      </c>
      <c r="AN10" s="4">
        <v>6300</v>
      </c>
      <c r="AO10" s="4">
        <v>0</v>
      </c>
      <c r="AP10" s="4">
        <v>6300</v>
      </c>
      <c r="AQ10" t="s">
        <v>45</v>
      </c>
      <c r="AR10" t="s">
        <v>78</v>
      </c>
    </row>
    <row r="11" spans="1:44" x14ac:dyDescent="0.4">
      <c r="A11" s="3" t="s">
        <v>42</v>
      </c>
      <c r="B11" s="3" t="s">
        <v>43</v>
      </c>
      <c r="C11" s="3" t="s">
        <v>44</v>
      </c>
      <c r="D11" s="3" t="s">
        <v>45</v>
      </c>
      <c r="E11" s="3"/>
      <c r="F11" s="3" t="s">
        <v>46</v>
      </c>
      <c r="G11" s="3" t="s">
        <v>47</v>
      </c>
      <c r="H11" s="3" t="s">
        <v>48</v>
      </c>
      <c r="I11" s="3" t="s">
        <v>49</v>
      </c>
      <c r="J11" s="3">
        <v>52184827</v>
      </c>
      <c r="K11" s="3" t="s">
        <v>130</v>
      </c>
      <c r="L11" s="3"/>
      <c r="M11" s="3"/>
      <c r="N11" s="3" t="s">
        <v>78</v>
      </c>
      <c r="O11" s="3" t="s">
        <v>52</v>
      </c>
      <c r="P11" s="3">
        <v>0.7</v>
      </c>
      <c r="Q11" s="3">
        <v>0.6</v>
      </c>
      <c r="R11" s="4" t="s">
        <v>53</v>
      </c>
      <c r="S11" s="4">
        <v>1800</v>
      </c>
      <c r="T11" s="4">
        <v>9000</v>
      </c>
      <c r="U11" s="4">
        <v>7800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1200</v>
      </c>
      <c r="AD11" s="4">
        <v>9000</v>
      </c>
      <c r="AE11" s="4">
        <v>7800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1200</v>
      </c>
      <c r="AN11" s="4">
        <v>6300</v>
      </c>
      <c r="AO11" s="4">
        <v>0</v>
      </c>
      <c r="AP11" s="4">
        <v>6300</v>
      </c>
      <c r="AQ11" t="s">
        <v>45</v>
      </c>
      <c r="AR11" t="s">
        <v>78</v>
      </c>
    </row>
    <row r="12" spans="1:44" x14ac:dyDescent="0.4">
      <c r="A12" s="3" t="s">
        <v>42</v>
      </c>
      <c r="B12" s="3" t="s">
        <v>43</v>
      </c>
      <c r="C12" s="3" t="s">
        <v>44</v>
      </c>
      <c r="D12" s="3" t="s">
        <v>45</v>
      </c>
      <c r="E12" s="3"/>
      <c r="F12" s="3" t="s">
        <v>46</v>
      </c>
      <c r="G12" s="3" t="s">
        <v>47</v>
      </c>
      <c r="H12" s="3" t="s">
        <v>48</v>
      </c>
      <c r="I12" s="3" t="s">
        <v>49</v>
      </c>
      <c r="J12" s="3">
        <v>52184827</v>
      </c>
      <c r="K12" s="3" t="s">
        <v>130</v>
      </c>
      <c r="L12" s="3"/>
      <c r="M12" s="3"/>
      <c r="N12" s="3" t="s">
        <v>78</v>
      </c>
      <c r="O12" s="3" t="s">
        <v>52</v>
      </c>
      <c r="P12" s="3">
        <v>0.7</v>
      </c>
      <c r="Q12" s="3">
        <v>0.6</v>
      </c>
      <c r="R12" s="4" t="s">
        <v>53</v>
      </c>
      <c r="S12" s="4">
        <v>3600</v>
      </c>
      <c r="T12" s="4">
        <v>9800</v>
      </c>
      <c r="U12" s="4">
        <v>6800</v>
      </c>
      <c r="V12" s="4">
        <v>0</v>
      </c>
      <c r="W12" s="4">
        <v>0</v>
      </c>
      <c r="X12" s="4">
        <v>0</v>
      </c>
      <c r="Y12" s="4">
        <v>-800</v>
      </c>
      <c r="Z12" s="4">
        <v>0</v>
      </c>
      <c r="AA12" s="4">
        <v>0</v>
      </c>
      <c r="AB12" s="4">
        <v>0</v>
      </c>
      <c r="AC12" s="4">
        <v>3800</v>
      </c>
      <c r="AD12" s="4">
        <v>9640</v>
      </c>
      <c r="AE12" s="4">
        <v>6800</v>
      </c>
      <c r="AF12" s="4">
        <v>0</v>
      </c>
      <c r="AG12" s="4">
        <v>0</v>
      </c>
      <c r="AH12" s="4">
        <v>0</v>
      </c>
      <c r="AI12" s="4">
        <v>-960</v>
      </c>
      <c r="AJ12" s="4">
        <v>0</v>
      </c>
      <c r="AK12" s="4">
        <v>0</v>
      </c>
      <c r="AL12" s="4">
        <v>0</v>
      </c>
      <c r="AM12" s="4">
        <v>3800</v>
      </c>
      <c r="AN12" s="4">
        <v>6844</v>
      </c>
      <c r="AO12" s="4">
        <v>0</v>
      </c>
      <c r="AP12" s="4">
        <v>6844</v>
      </c>
      <c r="AQ12" t="s">
        <v>45</v>
      </c>
      <c r="AR12" t="s">
        <v>78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R2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5.6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53194958</v>
      </c>
      <c r="K2" s="3" t="s">
        <v>202</v>
      </c>
      <c r="L2" s="3"/>
      <c r="M2" s="3"/>
      <c r="N2" s="3" t="s">
        <v>203</v>
      </c>
      <c r="O2" s="3" t="s">
        <v>52</v>
      </c>
      <c r="P2" s="3">
        <v>0.7</v>
      </c>
      <c r="Q2" s="3">
        <v>0.6</v>
      </c>
      <c r="R2" s="4" t="s">
        <v>53</v>
      </c>
      <c r="S2" s="4">
        <v>1800</v>
      </c>
      <c r="T2" s="4">
        <v>1800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1800</v>
      </c>
      <c r="AA2" s="4">
        <v>0</v>
      </c>
      <c r="AB2" s="4">
        <v>0</v>
      </c>
      <c r="AC2" s="4">
        <v>0</v>
      </c>
      <c r="AD2" s="4">
        <v>1980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1980</v>
      </c>
      <c r="AK2" s="4">
        <v>0</v>
      </c>
      <c r="AL2" s="4">
        <v>0</v>
      </c>
      <c r="AM2" s="4">
        <v>0</v>
      </c>
      <c r="AN2" s="4">
        <v>1188</v>
      </c>
      <c r="AO2" s="4">
        <v>0</v>
      </c>
      <c r="AP2" s="4">
        <v>1188</v>
      </c>
      <c r="AQ2" t="s">
        <v>45</v>
      </c>
      <c r="AR2" t="s">
        <v>203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R8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5.1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54944360</v>
      </c>
      <c r="K2" s="3" t="s">
        <v>144</v>
      </c>
      <c r="L2" s="3"/>
      <c r="M2" s="3"/>
      <c r="N2" s="3" t="s">
        <v>145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24800</v>
      </c>
      <c r="U2" s="4">
        <v>21800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3000</v>
      </c>
      <c r="AD2" s="4">
        <v>24800</v>
      </c>
      <c r="AE2" s="4">
        <v>21800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3000</v>
      </c>
      <c r="AN2" s="4">
        <v>17360</v>
      </c>
      <c r="AO2" s="4">
        <v>0</v>
      </c>
      <c r="AP2" s="4">
        <v>17360</v>
      </c>
      <c r="AQ2" t="s">
        <v>45</v>
      </c>
      <c r="AR2" t="s">
        <v>145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54944360</v>
      </c>
      <c r="K3" s="3" t="s">
        <v>144</v>
      </c>
      <c r="L3" s="3"/>
      <c r="M3" s="3"/>
      <c r="N3" s="3" t="s">
        <v>145</v>
      </c>
      <c r="O3" s="3" t="s">
        <v>52</v>
      </c>
      <c r="P3" s="3">
        <v>0.7</v>
      </c>
      <c r="Q3" s="3">
        <v>0.6</v>
      </c>
      <c r="R3" s="4" t="s">
        <v>53</v>
      </c>
      <c r="S3" s="4">
        <v>900</v>
      </c>
      <c r="T3" s="4">
        <v>33300</v>
      </c>
      <c r="U3" s="4">
        <v>26200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7100</v>
      </c>
      <c r="AD3" s="4">
        <v>33300</v>
      </c>
      <c r="AE3" s="4">
        <v>26200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7100</v>
      </c>
      <c r="AN3" s="4">
        <v>23310</v>
      </c>
      <c r="AO3" s="4">
        <v>0</v>
      </c>
      <c r="AP3" s="4">
        <v>23310</v>
      </c>
      <c r="AQ3" t="s">
        <v>45</v>
      </c>
      <c r="AR3" t="s">
        <v>145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54944360</v>
      </c>
      <c r="K4" s="3" t="s">
        <v>144</v>
      </c>
      <c r="L4" s="3"/>
      <c r="M4" s="3"/>
      <c r="N4" s="3" t="s">
        <v>145</v>
      </c>
      <c r="O4" s="3" t="s">
        <v>52</v>
      </c>
      <c r="P4" s="3">
        <v>0.7</v>
      </c>
      <c r="Q4" s="3">
        <v>0.6</v>
      </c>
      <c r="R4" s="4" t="s">
        <v>53</v>
      </c>
      <c r="S4" s="4">
        <v>2700</v>
      </c>
      <c r="T4" s="4">
        <v>21600</v>
      </c>
      <c r="U4" s="4">
        <v>18900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2700</v>
      </c>
      <c r="AD4" s="4">
        <v>21600</v>
      </c>
      <c r="AE4" s="4">
        <v>18900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2700</v>
      </c>
      <c r="AN4" s="4">
        <v>15120</v>
      </c>
      <c r="AO4" s="4">
        <v>0</v>
      </c>
      <c r="AP4" s="4">
        <v>15120</v>
      </c>
      <c r="AQ4" t="s">
        <v>45</v>
      </c>
      <c r="AR4" t="s">
        <v>145</v>
      </c>
    </row>
    <row r="5" spans="1:44" x14ac:dyDescent="0.4">
      <c r="A5" s="3" t="s">
        <v>42</v>
      </c>
      <c r="B5" s="3" t="s">
        <v>43</v>
      </c>
      <c r="C5" s="3" t="s">
        <v>44</v>
      </c>
      <c r="D5" s="3" t="s">
        <v>45</v>
      </c>
      <c r="E5" s="3"/>
      <c r="F5" s="3" t="s">
        <v>46</v>
      </c>
      <c r="G5" s="3" t="s">
        <v>47</v>
      </c>
      <c r="H5" s="3" t="s">
        <v>48</v>
      </c>
      <c r="I5" s="3" t="s">
        <v>49</v>
      </c>
      <c r="J5" s="3">
        <v>54944360</v>
      </c>
      <c r="K5" s="3" t="s">
        <v>144</v>
      </c>
      <c r="L5" s="3"/>
      <c r="M5" s="3"/>
      <c r="N5" s="3" t="s">
        <v>145</v>
      </c>
      <c r="O5" s="3" t="s">
        <v>52</v>
      </c>
      <c r="P5" s="3">
        <v>0.7</v>
      </c>
      <c r="Q5" s="3">
        <v>0.6</v>
      </c>
      <c r="R5" s="4" t="s">
        <v>53</v>
      </c>
      <c r="S5" s="4">
        <v>4500</v>
      </c>
      <c r="T5" s="4">
        <v>40500</v>
      </c>
      <c r="U5" s="4">
        <v>39900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600</v>
      </c>
      <c r="AD5" s="4">
        <v>40500</v>
      </c>
      <c r="AE5" s="4">
        <v>39900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600</v>
      </c>
      <c r="AN5" s="4">
        <v>28350</v>
      </c>
      <c r="AO5" s="4">
        <v>0</v>
      </c>
      <c r="AP5" s="4">
        <v>28350</v>
      </c>
      <c r="AQ5" t="s">
        <v>45</v>
      </c>
      <c r="AR5" t="s">
        <v>145</v>
      </c>
    </row>
    <row r="6" spans="1:44" x14ac:dyDescent="0.4">
      <c r="A6" s="3" t="s">
        <v>42</v>
      </c>
      <c r="B6" s="3" t="s">
        <v>43</v>
      </c>
      <c r="C6" s="3" t="s">
        <v>44</v>
      </c>
      <c r="D6" s="3" t="s">
        <v>45</v>
      </c>
      <c r="E6" s="3"/>
      <c r="F6" s="3" t="s">
        <v>46</v>
      </c>
      <c r="G6" s="3" t="s">
        <v>47</v>
      </c>
      <c r="H6" s="3" t="s">
        <v>48</v>
      </c>
      <c r="I6" s="3" t="s">
        <v>49</v>
      </c>
      <c r="J6" s="3">
        <v>53915537</v>
      </c>
      <c r="K6" s="3" t="s">
        <v>201</v>
      </c>
      <c r="L6" s="3"/>
      <c r="M6" s="3"/>
      <c r="N6" s="3" t="s">
        <v>145</v>
      </c>
      <c r="O6" s="3" t="s">
        <v>52</v>
      </c>
      <c r="P6" s="3">
        <v>0.7</v>
      </c>
      <c r="Q6" s="3">
        <v>0.6</v>
      </c>
      <c r="R6" s="4" t="s">
        <v>56</v>
      </c>
      <c r="S6" s="4">
        <v>100</v>
      </c>
      <c r="T6" s="4">
        <v>1800</v>
      </c>
      <c r="U6" s="4">
        <v>500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1300</v>
      </c>
      <c r="AD6" s="4">
        <v>1800</v>
      </c>
      <c r="AE6" s="4">
        <v>500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1300</v>
      </c>
      <c r="AN6" s="4">
        <v>1260</v>
      </c>
      <c r="AO6" s="4">
        <v>0</v>
      </c>
      <c r="AP6" s="4">
        <v>1260</v>
      </c>
      <c r="AQ6" t="s">
        <v>45</v>
      </c>
      <c r="AR6" t="s">
        <v>145</v>
      </c>
    </row>
    <row r="7" spans="1:44" x14ac:dyDescent="0.4">
      <c r="A7" s="3" t="s">
        <v>42</v>
      </c>
      <c r="B7" s="3" t="s">
        <v>43</v>
      </c>
      <c r="C7" s="3" t="s">
        <v>44</v>
      </c>
      <c r="D7" s="3" t="s">
        <v>45</v>
      </c>
      <c r="E7" s="3"/>
      <c r="F7" s="3" t="s">
        <v>46</v>
      </c>
      <c r="G7" s="3" t="s">
        <v>47</v>
      </c>
      <c r="H7" s="3" t="s">
        <v>48</v>
      </c>
      <c r="I7" s="3" t="s">
        <v>49</v>
      </c>
      <c r="J7" s="3">
        <v>53915537</v>
      </c>
      <c r="K7" s="3" t="s">
        <v>201</v>
      </c>
      <c r="L7" s="3"/>
      <c r="M7" s="3"/>
      <c r="N7" s="3" t="s">
        <v>145</v>
      </c>
      <c r="O7" s="3" t="s">
        <v>52</v>
      </c>
      <c r="P7" s="3">
        <v>0.7</v>
      </c>
      <c r="Q7" s="3">
        <v>0.6</v>
      </c>
      <c r="R7" s="4" t="s">
        <v>53</v>
      </c>
      <c r="S7" s="4">
        <v>900</v>
      </c>
      <c r="T7" s="4">
        <v>3200</v>
      </c>
      <c r="U7" s="4">
        <v>3200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3200</v>
      </c>
      <c r="AE7" s="4">
        <v>3200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2240</v>
      </c>
      <c r="AO7" s="4">
        <v>0</v>
      </c>
      <c r="AP7" s="4">
        <v>2240</v>
      </c>
      <c r="AQ7" t="s">
        <v>45</v>
      </c>
      <c r="AR7" t="s">
        <v>145</v>
      </c>
    </row>
    <row r="8" spans="1:44" x14ac:dyDescent="0.4">
      <c r="A8" s="3" t="s">
        <v>42</v>
      </c>
      <c r="B8" s="3" t="s">
        <v>43</v>
      </c>
      <c r="C8" s="3" t="s">
        <v>44</v>
      </c>
      <c r="D8" s="3" t="s">
        <v>45</v>
      </c>
      <c r="E8" s="3"/>
      <c r="F8" s="3" t="s">
        <v>46</v>
      </c>
      <c r="G8" s="3" t="s">
        <v>47</v>
      </c>
      <c r="H8" s="3" t="s">
        <v>48</v>
      </c>
      <c r="I8" s="3" t="s">
        <v>49</v>
      </c>
      <c r="J8" s="3">
        <v>53915537</v>
      </c>
      <c r="K8" s="3" t="s">
        <v>201</v>
      </c>
      <c r="L8" s="3"/>
      <c r="M8" s="3"/>
      <c r="N8" s="3" t="s">
        <v>145</v>
      </c>
      <c r="O8" s="3" t="s">
        <v>52</v>
      </c>
      <c r="P8" s="3">
        <v>0.7</v>
      </c>
      <c r="Q8" s="3">
        <v>0.6</v>
      </c>
      <c r="R8" s="4" t="s">
        <v>53</v>
      </c>
      <c r="S8" s="4">
        <v>2700</v>
      </c>
      <c r="T8" s="4">
        <v>2700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2700</v>
      </c>
      <c r="AD8" s="4">
        <v>2700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2700</v>
      </c>
      <c r="AN8" s="4">
        <v>1890</v>
      </c>
      <c r="AO8" s="4">
        <v>0</v>
      </c>
      <c r="AP8" s="4">
        <v>1890</v>
      </c>
      <c r="AQ8" t="s">
        <v>45</v>
      </c>
      <c r="AR8" t="s">
        <v>145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R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4.89843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58992794</v>
      </c>
      <c r="K2" s="3" t="s">
        <v>243</v>
      </c>
      <c r="L2" s="3"/>
      <c r="M2" s="3"/>
      <c r="N2" s="3" t="s">
        <v>244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244600</v>
      </c>
      <c r="U2" s="4">
        <v>45510</v>
      </c>
      <c r="V2" s="4">
        <v>0</v>
      </c>
      <c r="W2" s="4">
        <v>0</v>
      </c>
      <c r="X2" s="4">
        <v>0</v>
      </c>
      <c r="Y2" s="4">
        <v>4100</v>
      </c>
      <c r="Z2" s="4">
        <v>900</v>
      </c>
      <c r="AA2" s="4">
        <v>0</v>
      </c>
      <c r="AB2" s="4">
        <v>0</v>
      </c>
      <c r="AC2" s="4">
        <v>194090</v>
      </c>
      <c r="AD2" s="4">
        <v>245510</v>
      </c>
      <c r="AE2" s="4">
        <v>45510</v>
      </c>
      <c r="AF2" s="4">
        <v>0</v>
      </c>
      <c r="AG2" s="4">
        <v>0</v>
      </c>
      <c r="AH2" s="4">
        <v>0</v>
      </c>
      <c r="AI2" s="4">
        <v>4920</v>
      </c>
      <c r="AJ2" s="4">
        <v>990</v>
      </c>
      <c r="AK2" s="4">
        <v>0</v>
      </c>
      <c r="AL2" s="4">
        <v>0</v>
      </c>
      <c r="AM2" s="4">
        <v>194090</v>
      </c>
      <c r="AN2" s="4">
        <v>171266</v>
      </c>
      <c r="AO2" s="4">
        <v>0</v>
      </c>
      <c r="AP2" s="4">
        <v>171266</v>
      </c>
      <c r="AQ2" t="s">
        <v>45</v>
      </c>
      <c r="AR2" t="s">
        <v>244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58992794</v>
      </c>
      <c r="K3" s="3" t="s">
        <v>243</v>
      </c>
      <c r="L3" s="3"/>
      <c r="M3" s="3"/>
      <c r="N3" s="3" t="s">
        <v>244</v>
      </c>
      <c r="O3" s="3" t="s">
        <v>52</v>
      </c>
      <c r="P3" s="3">
        <v>0.7</v>
      </c>
      <c r="Q3" s="3">
        <v>0.6</v>
      </c>
      <c r="R3" s="4" t="s">
        <v>53</v>
      </c>
      <c r="S3" s="4">
        <v>1900</v>
      </c>
      <c r="T3" s="4">
        <v>117600</v>
      </c>
      <c r="U3" s="4">
        <v>86060</v>
      </c>
      <c r="V3" s="4">
        <v>0</v>
      </c>
      <c r="W3" s="4">
        <v>0</v>
      </c>
      <c r="X3" s="4">
        <v>0</v>
      </c>
      <c r="Y3" s="4">
        <v>1100</v>
      </c>
      <c r="Z3" s="4">
        <v>800</v>
      </c>
      <c r="AA3" s="4">
        <v>0</v>
      </c>
      <c r="AB3" s="4">
        <v>0</v>
      </c>
      <c r="AC3" s="4">
        <v>29640</v>
      </c>
      <c r="AD3" s="4">
        <v>117900</v>
      </c>
      <c r="AE3" s="4">
        <v>86060</v>
      </c>
      <c r="AF3" s="4">
        <v>0</v>
      </c>
      <c r="AG3" s="4">
        <v>0</v>
      </c>
      <c r="AH3" s="4">
        <v>0</v>
      </c>
      <c r="AI3" s="4">
        <v>1320</v>
      </c>
      <c r="AJ3" s="4">
        <v>880</v>
      </c>
      <c r="AK3" s="4">
        <v>0</v>
      </c>
      <c r="AL3" s="4">
        <v>0</v>
      </c>
      <c r="AM3" s="4">
        <v>29640</v>
      </c>
      <c r="AN3" s="4">
        <v>82310</v>
      </c>
      <c r="AO3" s="4">
        <v>0</v>
      </c>
      <c r="AP3" s="4">
        <v>82310</v>
      </c>
      <c r="AQ3" t="s">
        <v>45</v>
      </c>
      <c r="AR3" t="s">
        <v>244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58992794</v>
      </c>
      <c r="K4" s="3" t="s">
        <v>243</v>
      </c>
      <c r="L4" s="3"/>
      <c r="M4" s="3"/>
      <c r="N4" s="3" t="s">
        <v>244</v>
      </c>
      <c r="O4" s="3" t="s">
        <v>52</v>
      </c>
      <c r="P4" s="3">
        <v>0.7</v>
      </c>
      <c r="Q4" s="3">
        <v>0.6</v>
      </c>
      <c r="R4" s="4" t="s">
        <v>53</v>
      </c>
      <c r="S4" s="4">
        <v>4700</v>
      </c>
      <c r="T4" s="4">
        <v>58000</v>
      </c>
      <c r="U4" s="4">
        <v>44400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13600</v>
      </c>
      <c r="AD4" s="4">
        <v>58000</v>
      </c>
      <c r="AE4" s="4">
        <v>44400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13600</v>
      </c>
      <c r="AN4" s="4">
        <v>40600</v>
      </c>
      <c r="AO4" s="4">
        <v>0</v>
      </c>
      <c r="AP4" s="4">
        <v>40600</v>
      </c>
      <c r="AQ4" t="s">
        <v>45</v>
      </c>
      <c r="AR4" t="s">
        <v>244</v>
      </c>
    </row>
    <row r="5" spans="1:44" x14ac:dyDescent="0.4">
      <c r="A5" s="3" t="s">
        <v>42</v>
      </c>
      <c r="B5" s="3" t="s">
        <v>43</v>
      </c>
      <c r="C5" s="3" t="s">
        <v>44</v>
      </c>
      <c r="D5" s="3" t="s">
        <v>45</v>
      </c>
      <c r="E5" s="3"/>
      <c r="F5" s="3" t="s">
        <v>46</v>
      </c>
      <c r="G5" s="3" t="s">
        <v>47</v>
      </c>
      <c r="H5" s="3" t="s">
        <v>48</v>
      </c>
      <c r="I5" s="3" t="s">
        <v>49</v>
      </c>
      <c r="J5" s="3">
        <v>58992794</v>
      </c>
      <c r="K5" s="3" t="s">
        <v>243</v>
      </c>
      <c r="L5" s="3"/>
      <c r="M5" s="3"/>
      <c r="N5" s="3" t="s">
        <v>244</v>
      </c>
      <c r="O5" s="3" t="s">
        <v>52</v>
      </c>
      <c r="P5" s="3">
        <v>0.7</v>
      </c>
      <c r="Q5" s="3">
        <v>0.6</v>
      </c>
      <c r="R5" s="4" t="s">
        <v>53</v>
      </c>
      <c r="S5" s="4">
        <v>9200</v>
      </c>
      <c r="T5" s="4">
        <v>74000</v>
      </c>
      <c r="U5" s="4">
        <v>55100</v>
      </c>
      <c r="V5" s="4">
        <v>0</v>
      </c>
      <c r="W5" s="4">
        <v>0</v>
      </c>
      <c r="X5" s="4">
        <v>0</v>
      </c>
      <c r="Y5" s="4">
        <v>0</v>
      </c>
      <c r="Z5" s="4">
        <v>18400</v>
      </c>
      <c r="AA5" s="4">
        <v>0</v>
      </c>
      <c r="AB5" s="4">
        <v>0</v>
      </c>
      <c r="AC5" s="4">
        <v>500</v>
      </c>
      <c r="AD5" s="4">
        <v>75840</v>
      </c>
      <c r="AE5" s="4">
        <v>55100</v>
      </c>
      <c r="AF5" s="4">
        <v>0</v>
      </c>
      <c r="AG5" s="4">
        <v>0</v>
      </c>
      <c r="AH5" s="4">
        <v>0</v>
      </c>
      <c r="AI5" s="4">
        <v>0</v>
      </c>
      <c r="AJ5" s="4">
        <v>20240</v>
      </c>
      <c r="AK5" s="4">
        <v>0</v>
      </c>
      <c r="AL5" s="4">
        <v>0</v>
      </c>
      <c r="AM5" s="4">
        <v>500</v>
      </c>
      <c r="AN5" s="4">
        <v>51064</v>
      </c>
      <c r="AO5" s="4">
        <v>0</v>
      </c>
      <c r="AP5" s="4">
        <v>51064</v>
      </c>
      <c r="AQ5" t="s">
        <v>45</v>
      </c>
      <c r="AR5" t="s">
        <v>244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R4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9.1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56394542</v>
      </c>
      <c r="K2" s="3" t="s">
        <v>179</v>
      </c>
      <c r="L2" s="3"/>
      <c r="M2" s="3"/>
      <c r="N2" s="3" t="s">
        <v>180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24600</v>
      </c>
      <c r="U2" s="4">
        <v>15700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8900</v>
      </c>
      <c r="AD2" s="4">
        <v>24600</v>
      </c>
      <c r="AE2" s="4">
        <v>15700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8900</v>
      </c>
      <c r="AN2" s="4">
        <v>17220</v>
      </c>
      <c r="AO2" s="4">
        <v>0</v>
      </c>
      <c r="AP2" s="4">
        <v>17220</v>
      </c>
      <c r="AQ2" t="s">
        <v>45</v>
      </c>
      <c r="AR2" t="s">
        <v>180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56394542</v>
      </c>
      <c r="K3" s="3" t="s">
        <v>179</v>
      </c>
      <c r="L3" s="3"/>
      <c r="M3" s="3"/>
      <c r="N3" s="3" t="s">
        <v>180</v>
      </c>
      <c r="O3" s="3" t="s">
        <v>52</v>
      </c>
      <c r="P3" s="3">
        <v>0.7</v>
      </c>
      <c r="Q3" s="3">
        <v>0.6</v>
      </c>
      <c r="R3" s="4" t="s">
        <v>53</v>
      </c>
      <c r="S3" s="4">
        <v>4900</v>
      </c>
      <c r="T3" s="4">
        <v>4900</v>
      </c>
      <c r="U3" s="4">
        <v>4900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4900</v>
      </c>
      <c r="AE3" s="4">
        <v>4900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3430</v>
      </c>
      <c r="AO3" s="4">
        <v>0</v>
      </c>
      <c r="AP3" s="4">
        <v>3430</v>
      </c>
      <c r="AQ3" t="s">
        <v>45</v>
      </c>
      <c r="AR3" t="s">
        <v>180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56394542</v>
      </c>
      <c r="K4" s="3" t="s">
        <v>179</v>
      </c>
      <c r="L4" s="3"/>
      <c r="M4" s="3"/>
      <c r="N4" s="3" t="s">
        <v>180</v>
      </c>
      <c r="O4" s="3" t="s">
        <v>52</v>
      </c>
      <c r="P4" s="3">
        <v>0.7</v>
      </c>
      <c r="Q4" s="3">
        <v>0.6</v>
      </c>
      <c r="R4" s="4" t="s">
        <v>53</v>
      </c>
      <c r="S4" s="4">
        <v>9500</v>
      </c>
      <c r="T4" s="4">
        <v>15400</v>
      </c>
      <c r="U4" s="4">
        <v>5900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9500</v>
      </c>
      <c r="AD4" s="4">
        <v>15400</v>
      </c>
      <c r="AE4" s="4">
        <v>5900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9500</v>
      </c>
      <c r="AN4" s="4">
        <v>10780</v>
      </c>
      <c r="AO4" s="4">
        <v>0</v>
      </c>
      <c r="AP4" s="4">
        <v>10780</v>
      </c>
      <c r="AQ4" t="s">
        <v>45</v>
      </c>
      <c r="AR4" t="s">
        <v>180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AR3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6.0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55221750</v>
      </c>
      <c r="K2" s="3" t="s">
        <v>170</v>
      </c>
      <c r="L2" s="3"/>
      <c r="M2" s="3"/>
      <c r="N2" s="3" t="s">
        <v>171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100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100</v>
      </c>
      <c r="AD2" s="4">
        <v>100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100</v>
      </c>
      <c r="AN2" s="4">
        <v>70</v>
      </c>
      <c r="AO2" s="4">
        <v>0</v>
      </c>
      <c r="AP2" s="4">
        <v>70</v>
      </c>
      <c r="AQ2" t="s">
        <v>45</v>
      </c>
      <c r="AR2" t="s">
        <v>171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55221750</v>
      </c>
      <c r="K3" s="3" t="s">
        <v>170</v>
      </c>
      <c r="L3" s="3"/>
      <c r="M3" s="3"/>
      <c r="N3" s="3" t="s">
        <v>171</v>
      </c>
      <c r="O3" s="3" t="s">
        <v>52</v>
      </c>
      <c r="P3" s="3">
        <v>0.7</v>
      </c>
      <c r="Q3" s="3">
        <v>0.6</v>
      </c>
      <c r="R3" s="4" t="s">
        <v>53</v>
      </c>
      <c r="S3" s="4">
        <v>900</v>
      </c>
      <c r="T3" s="4">
        <v>900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900</v>
      </c>
      <c r="AD3" s="4">
        <v>900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900</v>
      </c>
      <c r="AN3" s="4">
        <v>630</v>
      </c>
      <c r="AO3" s="4">
        <v>0</v>
      </c>
      <c r="AP3" s="4">
        <v>630</v>
      </c>
      <c r="AQ3" t="s">
        <v>45</v>
      </c>
      <c r="AR3" t="s">
        <v>171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R3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4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57185376</v>
      </c>
      <c r="K2" s="3" t="s">
        <v>261</v>
      </c>
      <c r="L2" s="3"/>
      <c r="M2" s="3"/>
      <c r="N2" s="3" t="s">
        <v>249</v>
      </c>
      <c r="O2" s="3" t="s">
        <v>52</v>
      </c>
      <c r="P2" s="3">
        <v>0.7</v>
      </c>
      <c r="Q2" s="3">
        <v>0.6</v>
      </c>
      <c r="R2" s="4" t="s">
        <v>56</v>
      </c>
      <c r="S2" s="4">
        <v>2500</v>
      </c>
      <c r="T2" s="4">
        <v>7500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7500</v>
      </c>
      <c r="AD2" s="4">
        <v>7500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7500</v>
      </c>
      <c r="AN2" s="4">
        <v>5250</v>
      </c>
      <c r="AO2" s="4">
        <v>0</v>
      </c>
      <c r="AP2" s="4">
        <v>5250</v>
      </c>
      <c r="AQ2" t="s">
        <v>45</v>
      </c>
      <c r="AR2" t="s">
        <v>249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56201174</v>
      </c>
      <c r="K3" s="3" t="s">
        <v>248</v>
      </c>
      <c r="L3" s="3"/>
      <c r="M3" s="3"/>
      <c r="N3" s="3" t="s">
        <v>249</v>
      </c>
      <c r="O3" s="3" t="s">
        <v>52</v>
      </c>
      <c r="P3" s="3">
        <v>0.7</v>
      </c>
      <c r="Q3" s="3">
        <v>0.6</v>
      </c>
      <c r="R3" s="4" t="s">
        <v>56</v>
      </c>
      <c r="S3" s="4">
        <v>100</v>
      </c>
      <c r="T3" s="4">
        <v>400</v>
      </c>
      <c r="U3" s="4">
        <v>400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400</v>
      </c>
      <c r="AE3" s="4">
        <v>400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280</v>
      </c>
      <c r="AO3" s="4">
        <v>0</v>
      </c>
      <c r="AP3" s="4">
        <v>280</v>
      </c>
      <c r="AQ3" t="s">
        <v>45</v>
      </c>
      <c r="AR3" t="s">
        <v>249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AR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0.89843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58572729</v>
      </c>
      <c r="K2" s="3" t="s">
        <v>177</v>
      </c>
      <c r="L2" s="3"/>
      <c r="M2" s="3"/>
      <c r="N2" s="3" t="s">
        <v>178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105900</v>
      </c>
      <c r="U2" s="4">
        <v>23950</v>
      </c>
      <c r="V2" s="4">
        <v>0</v>
      </c>
      <c r="W2" s="4">
        <v>0</v>
      </c>
      <c r="X2" s="4">
        <v>0</v>
      </c>
      <c r="Y2" s="4">
        <v>0</v>
      </c>
      <c r="Z2" s="4">
        <v>100</v>
      </c>
      <c r="AA2" s="4">
        <v>0</v>
      </c>
      <c r="AB2" s="4">
        <v>0</v>
      </c>
      <c r="AC2" s="4">
        <v>81850</v>
      </c>
      <c r="AD2" s="4">
        <v>105910</v>
      </c>
      <c r="AE2" s="4">
        <v>23950</v>
      </c>
      <c r="AF2" s="4">
        <v>0</v>
      </c>
      <c r="AG2" s="4">
        <v>0</v>
      </c>
      <c r="AH2" s="4">
        <v>0</v>
      </c>
      <c r="AI2" s="4">
        <v>0</v>
      </c>
      <c r="AJ2" s="4">
        <v>110</v>
      </c>
      <c r="AK2" s="4">
        <v>0</v>
      </c>
      <c r="AL2" s="4">
        <v>0</v>
      </c>
      <c r="AM2" s="4">
        <v>81850</v>
      </c>
      <c r="AN2" s="4">
        <v>74126</v>
      </c>
      <c r="AO2" s="4">
        <v>0</v>
      </c>
      <c r="AP2" s="4">
        <v>74126</v>
      </c>
      <c r="AQ2" t="s">
        <v>45</v>
      </c>
      <c r="AR2" t="s">
        <v>178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58572729</v>
      </c>
      <c r="K3" s="3" t="s">
        <v>177</v>
      </c>
      <c r="L3" s="3"/>
      <c r="M3" s="3"/>
      <c r="N3" s="3" t="s">
        <v>178</v>
      </c>
      <c r="O3" s="3" t="s">
        <v>52</v>
      </c>
      <c r="P3" s="3">
        <v>0.7</v>
      </c>
      <c r="Q3" s="3">
        <v>0.6</v>
      </c>
      <c r="R3" s="4" t="s">
        <v>53</v>
      </c>
      <c r="S3" s="4">
        <v>1900</v>
      </c>
      <c r="T3" s="4">
        <v>29200</v>
      </c>
      <c r="U3" s="4">
        <v>17460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11740</v>
      </c>
      <c r="AD3" s="4">
        <v>29200</v>
      </c>
      <c r="AE3" s="4">
        <v>17460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11740</v>
      </c>
      <c r="AN3" s="4">
        <v>20440</v>
      </c>
      <c r="AO3" s="4">
        <v>0</v>
      </c>
      <c r="AP3" s="4">
        <v>20440</v>
      </c>
      <c r="AQ3" t="s">
        <v>45</v>
      </c>
      <c r="AR3" t="s">
        <v>178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58572729</v>
      </c>
      <c r="K4" s="3" t="s">
        <v>177</v>
      </c>
      <c r="L4" s="3"/>
      <c r="M4" s="3"/>
      <c r="N4" s="3" t="s">
        <v>178</v>
      </c>
      <c r="O4" s="3" t="s">
        <v>52</v>
      </c>
      <c r="P4" s="3">
        <v>0.7</v>
      </c>
      <c r="Q4" s="3">
        <v>0.6</v>
      </c>
      <c r="R4" s="4" t="s">
        <v>53</v>
      </c>
      <c r="S4" s="4">
        <v>3700</v>
      </c>
      <c r="T4" s="4">
        <v>25600</v>
      </c>
      <c r="U4" s="4">
        <v>17100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8500</v>
      </c>
      <c r="AD4" s="4">
        <v>25600</v>
      </c>
      <c r="AE4" s="4">
        <v>17100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8500</v>
      </c>
      <c r="AN4" s="4">
        <v>17920</v>
      </c>
      <c r="AO4" s="4">
        <v>0</v>
      </c>
      <c r="AP4" s="4">
        <v>17920</v>
      </c>
      <c r="AQ4" t="s">
        <v>45</v>
      </c>
      <c r="AR4" t="s">
        <v>178</v>
      </c>
    </row>
    <row r="5" spans="1:44" x14ac:dyDescent="0.4">
      <c r="A5" s="3" t="s">
        <v>42</v>
      </c>
      <c r="B5" s="3" t="s">
        <v>43</v>
      </c>
      <c r="C5" s="3" t="s">
        <v>44</v>
      </c>
      <c r="D5" s="3" t="s">
        <v>45</v>
      </c>
      <c r="E5" s="3"/>
      <c r="F5" s="3" t="s">
        <v>46</v>
      </c>
      <c r="G5" s="3" t="s">
        <v>47</v>
      </c>
      <c r="H5" s="3" t="s">
        <v>48</v>
      </c>
      <c r="I5" s="3" t="s">
        <v>49</v>
      </c>
      <c r="J5" s="3">
        <v>58572729</v>
      </c>
      <c r="K5" s="3" t="s">
        <v>177</v>
      </c>
      <c r="L5" s="3"/>
      <c r="M5" s="3"/>
      <c r="N5" s="3" t="s">
        <v>178</v>
      </c>
      <c r="O5" s="3" t="s">
        <v>52</v>
      </c>
      <c r="P5" s="3">
        <v>0.7</v>
      </c>
      <c r="Q5" s="3">
        <v>0.6</v>
      </c>
      <c r="R5" s="4" t="s">
        <v>53</v>
      </c>
      <c r="S5" s="4">
        <v>7200</v>
      </c>
      <c r="T5" s="4">
        <v>41400</v>
      </c>
      <c r="U5" s="4">
        <v>36000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5400</v>
      </c>
      <c r="AD5" s="4">
        <v>41400</v>
      </c>
      <c r="AE5" s="4">
        <v>36000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5400</v>
      </c>
      <c r="AN5" s="4">
        <v>28980</v>
      </c>
      <c r="AO5" s="4">
        <v>0</v>
      </c>
      <c r="AP5" s="4">
        <v>28980</v>
      </c>
      <c r="AQ5" t="s">
        <v>45</v>
      </c>
      <c r="AR5" t="s">
        <v>178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AR4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35.8984375" bestFit="1" customWidth="1"/>
    <col min="12" max="12" width="21.5" bestFit="1" customWidth="1"/>
    <col min="13" max="13" width="6.796875" bestFit="1" customWidth="1"/>
    <col min="14" max="14" width="7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56236124</v>
      </c>
      <c r="K2" s="3" t="s">
        <v>189</v>
      </c>
      <c r="L2" s="3"/>
      <c r="M2" s="3"/>
      <c r="N2" s="3" t="s">
        <v>190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19800</v>
      </c>
      <c r="U2" s="4">
        <v>11000</v>
      </c>
      <c r="V2" s="4">
        <v>0</v>
      </c>
      <c r="W2" s="4">
        <v>0</v>
      </c>
      <c r="X2" s="4">
        <v>0</v>
      </c>
      <c r="Y2" s="4">
        <v>0</v>
      </c>
      <c r="Z2" s="4">
        <v>100</v>
      </c>
      <c r="AA2" s="4">
        <v>0</v>
      </c>
      <c r="AB2" s="4">
        <v>0</v>
      </c>
      <c r="AC2" s="4">
        <v>8700</v>
      </c>
      <c r="AD2" s="4">
        <v>19810</v>
      </c>
      <c r="AE2" s="4">
        <v>11000</v>
      </c>
      <c r="AF2" s="4">
        <v>0</v>
      </c>
      <c r="AG2" s="4">
        <v>0</v>
      </c>
      <c r="AH2" s="4">
        <v>0</v>
      </c>
      <c r="AI2" s="4">
        <v>0</v>
      </c>
      <c r="AJ2" s="4">
        <v>110</v>
      </c>
      <c r="AK2" s="4">
        <v>0</v>
      </c>
      <c r="AL2" s="4">
        <v>0</v>
      </c>
      <c r="AM2" s="4">
        <v>8700</v>
      </c>
      <c r="AN2" s="4">
        <v>13856</v>
      </c>
      <c r="AO2" s="4">
        <v>0</v>
      </c>
      <c r="AP2" s="4">
        <v>13856</v>
      </c>
      <c r="AQ2" t="s">
        <v>45</v>
      </c>
      <c r="AR2" t="s">
        <v>190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56236124</v>
      </c>
      <c r="K3" s="3" t="s">
        <v>189</v>
      </c>
      <c r="L3" s="3"/>
      <c r="M3" s="3"/>
      <c r="N3" s="3" t="s">
        <v>190</v>
      </c>
      <c r="O3" s="3" t="s">
        <v>52</v>
      </c>
      <c r="P3" s="3">
        <v>0.7</v>
      </c>
      <c r="Q3" s="3">
        <v>0.6</v>
      </c>
      <c r="R3" s="4" t="s">
        <v>53</v>
      </c>
      <c r="S3" s="4">
        <v>1900</v>
      </c>
      <c r="T3" s="4">
        <v>11500</v>
      </c>
      <c r="U3" s="4">
        <v>11700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-200</v>
      </c>
      <c r="AD3" s="4">
        <v>11500</v>
      </c>
      <c r="AE3" s="4">
        <v>11700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-200</v>
      </c>
      <c r="AN3" s="4">
        <v>8050</v>
      </c>
      <c r="AO3" s="4">
        <v>0</v>
      </c>
      <c r="AP3" s="4">
        <v>8050</v>
      </c>
      <c r="AQ3" t="s">
        <v>45</v>
      </c>
      <c r="AR3" t="s">
        <v>190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56236124</v>
      </c>
      <c r="K4" s="3" t="s">
        <v>189</v>
      </c>
      <c r="L4" s="3"/>
      <c r="M4" s="3"/>
      <c r="N4" s="3" t="s">
        <v>190</v>
      </c>
      <c r="O4" s="3" t="s">
        <v>52</v>
      </c>
      <c r="P4" s="3">
        <v>0.7</v>
      </c>
      <c r="Q4" s="3">
        <v>0.6</v>
      </c>
      <c r="R4" s="4" t="s">
        <v>53</v>
      </c>
      <c r="S4" s="4">
        <v>4700</v>
      </c>
      <c r="T4" s="4">
        <v>14900</v>
      </c>
      <c r="U4" s="4">
        <v>14900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14900</v>
      </c>
      <c r="AE4" s="4">
        <v>14900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10430</v>
      </c>
      <c r="AO4" s="4">
        <v>0</v>
      </c>
      <c r="AP4" s="4">
        <v>10430</v>
      </c>
      <c r="AQ4" t="s">
        <v>45</v>
      </c>
      <c r="AR4" t="s">
        <v>190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AR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9.39843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59386753</v>
      </c>
      <c r="K2" s="3" t="s">
        <v>263</v>
      </c>
      <c r="L2" s="3"/>
      <c r="M2" s="3"/>
      <c r="N2" s="3" t="s">
        <v>264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126600</v>
      </c>
      <c r="U2" s="4">
        <v>93580</v>
      </c>
      <c r="V2" s="4">
        <v>0</v>
      </c>
      <c r="W2" s="4">
        <v>0</v>
      </c>
      <c r="X2" s="4">
        <v>0</v>
      </c>
      <c r="Y2" s="4">
        <v>5120</v>
      </c>
      <c r="Z2" s="4">
        <v>1580</v>
      </c>
      <c r="AA2" s="4">
        <v>0</v>
      </c>
      <c r="AB2" s="4">
        <v>0</v>
      </c>
      <c r="AC2" s="4">
        <v>26320</v>
      </c>
      <c r="AD2" s="4">
        <v>127782</v>
      </c>
      <c r="AE2" s="4">
        <v>93580</v>
      </c>
      <c r="AF2" s="4">
        <v>0</v>
      </c>
      <c r="AG2" s="4">
        <v>0</v>
      </c>
      <c r="AH2" s="4">
        <v>0</v>
      </c>
      <c r="AI2" s="4">
        <v>6144</v>
      </c>
      <c r="AJ2" s="4">
        <v>1738</v>
      </c>
      <c r="AK2" s="4">
        <v>0</v>
      </c>
      <c r="AL2" s="4">
        <v>0</v>
      </c>
      <c r="AM2" s="4">
        <v>26320</v>
      </c>
      <c r="AN2" s="4">
        <v>88659</v>
      </c>
      <c r="AO2" s="4">
        <v>0</v>
      </c>
      <c r="AP2" s="4">
        <v>88659</v>
      </c>
      <c r="AQ2" t="s">
        <v>45</v>
      </c>
      <c r="AR2" t="s">
        <v>264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59386753</v>
      </c>
      <c r="K3" s="3" t="s">
        <v>263</v>
      </c>
      <c r="L3" s="3"/>
      <c r="M3" s="3"/>
      <c r="N3" s="3" t="s">
        <v>264</v>
      </c>
      <c r="O3" s="3" t="s">
        <v>52</v>
      </c>
      <c r="P3" s="3">
        <v>0.7</v>
      </c>
      <c r="Q3" s="3">
        <v>0.6</v>
      </c>
      <c r="R3" s="4" t="s">
        <v>53</v>
      </c>
      <c r="S3" s="4">
        <v>1900</v>
      </c>
      <c r="T3" s="4">
        <v>98300</v>
      </c>
      <c r="U3" s="4">
        <v>85600</v>
      </c>
      <c r="V3" s="4">
        <v>0</v>
      </c>
      <c r="W3" s="4">
        <v>0</v>
      </c>
      <c r="X3" s="4">
        <v>0</v>
      </c>
      <c r="Y3" s="4">
        <v>1900</v>
      </c>
      <c r="Z3" s="4">
        <v>0</v>
      </c>
      <c r="AA3" s="4">
        <v>0</v>
      </c>
      <c r="AB3" s="4">
        <v>0</v>
      </c>
      <c r="AC3" s="4">
        <v>10800</v>
      </c>
      <c r="AD3" s="4">
        <v>98680</v>
      </c>
      <c r="AE3" s="4">
        <v>85600</v>
      </c>
      <c r="AF3" s="4">
        <v>0</v>
      </c>
      <c r="AG3" s="4">
        <v>0</v>
      </c>
      <c r="AH3" s="4">
        <v>0</v>
      </c>
      <c r="AI3" s="4">
        <v>2280</v>
      </c>
      <c r="AJ3" s="4">
        <v>0</v>
      </c>
      <c r="AK3" s="4">
        <v>0</v>
      </c>
      <c r="AL3" s="4">
        <v>0</v>
      </c>
      <c r="AM3" s="4">
        <v>10800</v>
      </c>
      <c r="AN3" s="4">
        <v>68848</v>
      </c>
      <c r="AO3" s="4">
        <v>0</v>
      </c>
      <c r="AP3" s="4">
        <v>68848</v>
      </c>
      <c r="AQ3" t="s">
        <v>45</v>
      </c>
      <c r="AR3" t="s">
        <v>264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59386753</v>
      </c>
      <c r="K4" s="3" t="s">
        <v>263</v>
      </c>
      <c r="L4" s="3"/>
      <c r="M4" s="3"/>
      <c r="N4" s="3" t="s">
        <v>264</v>
      </c>
      <c r="O4" s="3" t="s">
        <v>52</v>
      </c>
      <c r="P4" s="3">
        <v>0.7</v>
      </c>
      <c r="Q4" s="3">
        <v>0.6</v>
      </c>
      <c r="R4" s="4" t="s">
        <v>53</v>
      </c>
      <c r="S4" s="4">
        <v>4700</v>
      </c>
      <c r="T4" s="4">
        <v>67100</v>
      </c>
      <c r="U4" s="4">
        <v>49500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17600</v>
      </c>
      <c r="AD4" s="4">
        <v>67100</v>
      </c>
      <c r="AE4" s="4">
        <v>49500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17600</v>
      </c>
      <c r="AN4" s="4">
        <v>46970</v>
      </c>
      <c r="AO4" s="4">
        <v>0</v>
      </c>
      <c r="AP4" s="4">
        <v>46970</v>
      </c>
      <c r="AQ4" t="s">
        <v>45</v>
      </c>
      <c r="AR4" t="s">
        <v>264</v>
      </c>
    </row>
    <row r="5" spans="1:44" x14ac:dyDescent="0.4">
      <c r="A5" s="3" t="s">
        <v>42</v>
      </c>
      <c r="B5" s="3" t="s">
        <v>43</v>
      </c>
      <c r="C5" s="3" t="s">
        <v>44</v>
      </c>
      <c r="D5" s="3" t="s">
        <v>45</v>
      </c>
      <c r="E5" s="3"/>
      <c r="F5" s="3" t="s">
        <v>46</v>
      </c>
      <c r="G5" s="3" t="s">
        <v>47</v>
      </c>
      <c r="H5" s="3" t="s">
        <v>48</v>
      </c>
      <c r="I5" s="3" t="s">
        <v>49</v>
      </c>
      <c r="J5" s="3">
        <v>59386753</v>
      </c>
      <c r="K5" s="3" t="s">
        <v>263</v>
      </c>
      <c r="L5" s="3"/>
      <c r="M5" s="3"/>
      <c r="N5" s="3" t="s">
        <v>264</v>
      </c>
      <c r="O5" s="3" t="s">
        <v>52</v>
      </c>
      <c r="P5" s="3">
        <v>0.7</v>
      </c>
      <c r="Q5" s="3">
        <v>0.6</v>
      </c>
      <c r="R5" s="4" t="s">
        <v>53</v>
      </c>
      <c r="S5" s="4">
        <v>9200</v>
      </c>
      <c r="T5" s="4">
        <v>46200</v>
      </c>
      <c r="U5" s="4">
        <v>43500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2700</v>
      </c>
      <c r="AD5" s="4">
        <v>46200</v>
      </c>
      <c r="AE5" s="4">
        <v>43500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2700</v>
      </c>
      <c r="AN5" s="4">
        <v>32340</v>
      </c>
      <c r="AO5" s="4">
        <v>0</v>
      </c>
      <c r="AP5" s="4">
        <v>32340</v>
      </c>
      <c r="AQ5" t="s">
        <v>45</v>
      </c>
      <c r="AR5" t="s">
        <v>264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AR2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3.6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57616573</v>
      </c>
      <c r="K2" s="3" t="s">
        <v>265</v>
      </c>
      <c r="L2" s="3"/>
      <c r="M2" s="3"/>
      <c r="N2" s="3" t="s">
        <v>102</v>
      </c>
      <c r="O2" s="3" t="s">
        <v>52</v>
      </c>
      <c r="P2" s="3">
        <v>0.7</v>
      </c>
      <c r="Q2" s="3">
        <v>0.6</v>
      </c>
      <c r="R2" s="4" t="s">
        <v>56</v>
      </c>
      <c r="S2" s="4">
        <v>2000</v>
      </c>
      <c r="T2" s="4">
        <v>4000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4000</v>
      </c>
      <c r="AD2" s="4">
        <v>4000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4000</v>
      </c>
      <c r="AN2" s="4">
        <v>2800</v>
      </c>
      <c r="AO2" s="4">
        <v>0</v>
      </c>
      <c r="AP2" s="4">
        <v>2800</v>
      </c>
      <c r="AQ2" t="s">
        <v>45</v>
      </c>
      <c r="AR2" t="s">
        <v>102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AR3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55016659</v>
      </c>
      <c r="K2" s="3" t="s">
        <v>199</v>
      </c>
      <c r="L2" s="3"/>
      <c r="M2" s="3"/>
      <c r="N2" s="3" t="s">
        <v>200</v>
      </c>
      <c r="O2" s="3" t="s">
        <v>52</v>
      </c>
      <c r="P2" s="3">
        <v>0.7</v>
      </c>
      <c r="Q2" s="3">
        <v>0.6</v>
      </c>
      <c r="R2" s="4" t="s">
        <v>53</v>
      </c>
      <c r="S2" s="4">
        <v>900</v>
      </c>
      <c r="T2" s="4">
        <v>900</v>
      </c>
      <c r="U2" s="4">
        <v>900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900</v>
      </c>
      <c r="AE2" s="4">
        <v>900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630</v>
      </c>
      <c r="AO2" s="4">
        <v>0</v>
      </c>
      <c r="AP2" s="4">
        <v>630</v>
      </c>
      <c r="AQ2" t="s">
        <v>45</v>
      </c>
      <c r="AR2" t="s">
        <v>200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55016659</v>
      </c>
      <c r="K3" s="3" t="s">
        <v>199</v>
      </c>
      <c r="L3" s="3"/>
      <c r="M3" s="3"/>
      <c r="N3" s="3" t="s">
        <v>200</v>
      </c>
      <c r="O3" s="3" t="s">
        <v>52</v>
      </c>
      <c r="P3" s="3">
        <v>0.7</v>
      </c>
      <c r="Q3" s="3">
        <v>0.6</v>
      </c>
      <c r="R3" s="4" t="s">
        <v>53</v>
      </c>
      <c r="S3" s="4">
        <v>2700</v>
      </c>
      <c r="T3" s="4">
        <v>2700</v>
      </c>
      <c r="U3" s="4">
        <v>2700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2700</v>
      </c>
      <c r="AE3" s="4">
        <v>2700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1890</v>
      </c>
      <c r="AO3" s="4">
        <v>0</v>
      </c>
      <c r="AP3" s="4">
        <v>1890</v>
      </c>
      <c r="AQ3" t="s">
        <v>45</v>
      </c>
      <c r="AR3" t="s">
        <v>200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AR3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55923655</v>
      </c>
      <c r="K2" s="3" t="s">
        <v>229</v>
      </c>
      <c r="L2" s="3"/>
      <c r="M2" s="3"/>
      <c r="N2" s="3" t="s">
        <v>230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8700</v>
      </c>
      <c r="U2" s="4">
        <v>7700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1000</v>
      </c>
      <c r="AD2" s="4">
        <v>8700</v>
      </c>
      <c r="AE2" s="4">
        <v>7700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1000</v>
      </c>
      <c r="AN2" s="4">
        <v>6090</v>
      </c>
      <c r="AO2" s="4">
        <v>0</v>
      </c>
      <c r="AP2" s="4">
        <v>6090</v>
      </c>
      <c r="AQ2" t="s">
        <v>45</v>
      </c>
      <c r="AR2" t="s">
        <v>230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55923655</v>
      </c>
      <c r="K3" s="3" t="s">
        <v>229</v>
      </c>
      <c r="L3" s="3"/>
      <c r="M3" s="3"/>
      <c r="N3" s="3" t="s">
        <v>230</v>
      </c>
      <c r="O3" s="3" t="s">
        <v>52</v>
      </c>
      <c r="P3" s="3">
        <v>0.7</v>
      </c>
      <c r="Q3" s="3">
        <v>0.6</v>
      </c>
      <c r="R3" s="4" t="s">
        <v>53</v>
      </c>
      <c r="S3" s="4">
        <v>7400</v>
      </c>
      <c r="T3" s="4">
        <v>14800</v>
      </c>
      <c r="U3" s="4">
        <v>14800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14800</v>
      </c>
      <c r="AE3" s="4">
        <v>14800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10360</v>
      </c>
      <c r="AO3" s="4">
        <v>0</v>
      </c>
      <c r="AP3" s="4">
        <v>10360</v>
      </c>
      <c r="AQ3" t="s">
        <v>45</v>
      </c>
      <c r="AR3" t="s">
        <v>230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AR3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4.3984375" bestFit="1" customWidth="1"/>
    <col min="12" max="12" width="21.5" bestFit="1" customWidth="1"/>
    <col min="13" max="13" width="6.796875" bestFit="1" customWidth="1"/>
    <col min="14" max="14" width="10.39843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4" width="10.398437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53565173</v>
      </c>
      <c r="K2" s="3" t="s">
        <v>128</v>
      </c>
      <c r="L2" s="3"/>
      <c r="M2" s="3"/>
      <c r="N2" s="3" t="s">
        <v>129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2200</v>
      </c>
      <c r="U2" s="4">
        <v>2000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200</v>
      </c>
      <c r="AD2" s="4">
        <v>2200</v>
      </c>
      <c r="AE2" s="4">
        <v>2000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200</v>
      </c>
      <c r="AN2" s="4">
        <v>1540</v>
      </c>
      <c r="AO2" s="4">
        <v>0</v>
      </c>
      <c r="AP2" s="4">
        <v>1540</v>
      </c>
      <c r="AQ2" t="s">
        <v>45</v>
      </c>
      <c r="AR2" t="s">
        <v>129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53565173</v>
      </c>
      <c r="K3" s="3" t="s">
        <v>128</v>
      </c>
      <c r="L3" s="3"/>
      <c r="M3" s="3"/>
      <c r="N3" s="3" t="s">
        <v>129</v>
      </c>
      <c r="O3" s="3" t="s">
        <v>52</v>
      </c>
      <c r="P3" s="3">
        <v>0.7</v>
      </c>
      <c r="Q3" s="3">
        <v>0.6</v>
      </c>
      <c r="R3" s="4" t="s">
        <v>53</v>
      </c>
      <c r="S3" s="4">
        <v>900</v>
      </c>
      <c r="T3" s="4">
        <v>1800</v>
      </c>
      <c r="U3" s="4">
        <v>900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900</v>
      </c>
      <c r="AD3" s="4">
        <v>1800</v>
      </c>
      <c r="AE3" s="4">
        <v>900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900</v>
      </c>
      <c r="AN3" s="4">
        <v>1260</v>
      </c>
      <c r="AO3" s="4">
        <v>0</v>
      </c>
      <c r="AP3" s="4">
        <v>1260</v>
      </c>
      <c r="AQ3" t="s">
        <v>45</v>
      </c>
      <c r="AR3" t="s">
        <v>129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AR9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5.89843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53208255</v>
      </c>
      <c r="K2" s="3" t="s">
        <v>79</v>
      </c>
      <c r="L2" s="3"/>
      <c r="M2" s="3"/>
      <c r="N2" s="3" t="s">
        <v>80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1500</v>
      </c>
      <c r="U2" s="4">
        <v>500</v>
      </c>
      <c r="V2" s="4">
        <v>0</v>
      </c>
      <c r="W2" s="4">
        <v>0</v>
      </c>
      <c r="X2" s="4">
        <v>0</v>
      </c>
      <c r="Y2" s="4">
        <v>0</v>
      </c>
      <c r="Z2" s="4">
        <v>500</v>
      </c>
      <c r="AA2" s="4">
        <v>0</v>
      </c>
      <c r="AB2" s="4">
        <v>0</v>
      </c>
      <c r="AC2" s="4">
        <v>500</v>
      </c>
      <c r="AD2" s="4">
        <v>1550</v>
      </c>
      <c r="AE2" s="4">
        <v>500</v>
      </c>
      <c r="AF2" s="4">
        <v>0</v>
      </c>
      <c r="AG2" s="4">
        <v>0</v>
      </c>
      <c r="AH2" s="4">
        <v>0</v>
      </c>
      <c r="AI2" s="4">
        <v>0</v>
      </c>
      <c r="AJ2" s="4">
        <v>550</v>
      </c>
      <c r="AK2" s="4">
        <v>0</v>
      </c>
      <c r="AL2" s="4">
        <v>0</v>
      </c>
      <c r="AM2" s="4">
        <v>500</v>
      </c>
      <c r="AN2" s="4">
        <v>1030</v>
      </c>
      <c r="AO2" s="4">
        <v>0</v>
      </c>
      <c r="AP2" s="4">
        <v>1030</v>
      </c>
      <c r="AQ2" t="s">
        <v>45</v>
      </c>
      <c r="AR2" t="s">
        <v>80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53208255</v>
      </c>
      <c r="K3" s="3" t="s">
        <v>79</v>
      </c>
      <c r="L3" s="3"/>
      <c r="M3" s="3"/>
      <c r="N3" s="3" t="s">
        <v>80</v>
      </c>
      <c r="O3" s="3" t="s">
        <v>52</v>
      </c>
      <c r="P3" s="3">
        <v>0.7</v>
      </c>
      <c r="Q3" s="3">
        <v>0.6</v>
      </c>
      <c r="R3" s="4" t="s">
        <v>53</v>
      </c>
      <c r="S3" s="4">
        <v>900</v>
      </c>
      <c r="T3" s="4">
        <v>5400</v>
      </c>
      <c r="U3" s="4">
        <v>4500</v>
      </c>
      <c r="V3" s="4">
        <v>0</v>
      </c>
      <c r="W3" s="4">
        <v>0</v>
      </c>
      <c r="X3" s="4">
        <v>0</v>
      </c>
      <c r="Y3" s="4">
        <v>0</v>
      </c>
      <c r="Z3" s="4">
        <v>900</v>
      </c>
      <c r="AA3" s="4">
        <v>0</v>
      </c>
      <c r="AB3" s="4">
        <v>0</v>
      </c>
      <c r="AC3" s="4">
        <v>0</v>
      </c>
      <c r="AD3" s="4">
        <v>5490</v>
      </c>
      <c r="AE3" s="4">
        <v>4500</v>
      </c>
      <c r="AF3" s="4">
        <v>0</v>
      </c>
      <c r="AG3" s="4">
        <v>0</v>
      </c>
      <c r="AH3" s="4">
        <v>0</v>
      </c>
      <c r="AI3" s="4">
        <v>0</v>
      </c>
      <c r="AJ3" s="4">
        <v>990</v>
      </c>
      <c r="AK3" s="4">
        <v>0</v>
      </c>
      <c r="AL3" s="4">
        <v>0</v>
      </c>
      <c r="AM3" s="4">
        <v>0</v>
      </c>
      <c r="AN3" s="4">
        <v>3744</v>
      </c>
      <c r="AO3" s="4">
        <v>0</v>
      </c>
      <c r="AP3" s="4">
        <v>3744</v>
      </c>
      <c r="AQ3" t="s">
        <v>45</v>
      </c>
      <c r="AR3" t="s">
        <v>80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53208255</v>
      </c>
      <c r="K4" s="3" t="s">
        <v>79</v>
      </c>
      <c r="L4" s="3"/>
      <c r="M4" s="3"/>
      <c r="N4" s="3" t="s">
        <v>80</v>
      </c>
      <c r="O4" s="3" t="s">
        <v>52</v>
      </c>
      <c r="P4" s="3">
        <v>0.7</v>
      </c>
      <c r="Q4" s="3">
        <v>0.6</v>
      </c>
      <c r="R4" s="4" t="s">
        <v>53</v>
      </c>
      <c r="S4" s="4">
        <v>1800</v>
      </c>
      <c r="T4" s="4">
        <v>5400</v>
      </c>
      <c r="U4" s="4">
        <v>5400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5400</v>
      </c>
      <c r="AE4" s="4">
        <v>5400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3780</v>
      </c>
      <c r="AO4" s="4">
        <v>0</v>
      </c>
      <c r="AP4" s="4">
        <v>3780</v>
      </c>
      <c r="AQ4" t="s">
        <v>45</v>
      </c>
      <c r="AR4" t="s">
        <v>80</v>
      </c>
    </row>
    <row r="5" spans="1:44" x14ac:dyDescent="0.4">
      <c r="A5" s="3" t="s">
        <v>42</v>
      </c>
      <c r="B5" s="3" t="s">
        <v>43</v>
      </c>
      <c r="C5" s="3" t="s">
        <v>44</v>
      </c>
      <c r="D5" s="3" t="s">
        <v>45</v>
      </c>
      <c r="E5" s="3"/>
      <c r="F5" s="3" t="s">
        <v>46</v>
      </c>
      <c r="G5" s="3" t="s">
        <v>47</v>
      </c>
      <c r="H5" s="3" t="s">
        <v>48</v>
      </c>
      <c r="I5" s="3" t="s">
        <v>49</v>
      </c>
      <c r="J5" s="3">
        <v>53208255</v>
      </c>
      <c r="K5" s="3" t="s">
        <v>79</v>
      </c>
      <c r="L5" s="3"/>
      <c r="M5" s="3"/>
      <c r="N5" s="3" t="s">
        <v>80</v>
      </c>
      <c r="O5" s="3" t="s">
        <v>52</v>
      </c>
      <c r="P5" s="3">
        <v>0.7</v>
      </c>
      <c r="Q5" s="3">
        <v>0.6</v>
      </c>
      <c r="R5" s="4" t="s">
        <v>53</v>
      </c>
      <c r="S5" s="4">
        <v>4500</v>
      </c>
      <c r="T5" s="4">
        <v>9000</v>
      </c>
      <c r="U5" s="4">
        <v>200</v>
      </c>
      <c r="V5" s="4">
        <v>0</v>
      </c>
      <c r="W5" s="4">
        <v>0</v>
      </c>
      <c r="X5" s="4">
        <v>0</v>
      </c>
      <c r="Y5" s="4">
        <v>0</v>
      </c>
      <c r="Z5" s="4">
        <v>4500</v>
      </c>
      <c r="AA5" s="4">
        <v>0</v>
      </c>
      <c r="AB5" s="4">
        <v>0</v>
      </c>
      <c r="AC5" s="4">
        <v>4300</v>
      </c>
      <c r="AD5" s="4">
        <v>9450</v>
      </c>
      <c r="AE5" s="4">
        <v>200</v>
      </c>
      <c r="AF5" s="4">
        <v>0</v>
      </c>
      <c r="AG5" s="4">
        <v>0</v>
      </c>
      <c r="AH5" s="4">
        <v>0</v>
      </c>
      <c r="AI5" s="4">
        <v>0</v>
      </c>
      <c r="AJ5" s="4">
        <v>4950</v>
      </c>
      <c r="AK5" s="4">
        <v>0</v>
      </c>
      <c r="AL5" s="4">
        <v>0</v>
      </c>
      <c r="AM5" s="4">
        <v>4300</v>
      </c>
      <c r="AN5" s="4">
        <v>6120</v>
      </c>
      <c r="AO5" s="4">
        <v>0</v>
      </c>
      <c r="AP5" s="4">
        <v>6120</v>
      </c>
      <c r="AQ5" t="s">
        <v>45</v>
      </c>
      <c r="AR5" t="s">
        <v>80</v>
      </c>
    </row>
    <row r="6" spans="1:44" x14ac:dyDescent="0.4">
      <c r="A6" s="3" t="s">
        <v>42</v>
      </c>
      <c r="B6" s="3" t="s">
        <v>43</v>
      </c>
      <c r="C6" s="3" t="s">
        <v>44</v>
      </c>
      <c r="D6" s="3" t="s">
        <v>45</v>
      </c>
      <c r="E6" s="3"/>
      <c r="F6" s="3" t="s">
        <v>46</v>
      </c>
      <c r="G6" s="3" t="s">
        <v>47</v>
      </c>
      <c r="H6" s="3" t="s">
        <v>48</v>
      </c>
      <c r="I6" s="3" t="s">
        <v>49</v>
      </c>
      <c r="J6" s="3">
        <v>54635771</v>
      </c>
      <c r="K6" s="3" t="s">
        <v>182</v>
      </c>
      <c r="L6" s="3"/>
      <c r="M6" s="3"/>
      <c r="N6" s="3" t="s">
        <v>80</v>
      </c>
      <c r="O6" s="3" t="s">
        <v>52</v>
      </c>
      <c r="P6" s="3">
        <v>0.7</v>
      </c>
      <c r="Q6" s="3">
        <v>0.6</v>
      </c>
      <c r="R6" s="4" t="s">
        <v>56</v>
      </c>
      <c r="S6" s="4">
        <v>100</v>
      </c>
      <c r="T6" s="4">
        <v>60800</v>
      </c>
      <c r="U6" s="4">
        <v>40400</v>
      </c>
      <c r="V6" s="4">
        <v>0</v>
      </c>
      <c r="W6" s="4">
        <v>0</v>
      </c>
      <c r="X6" s="4">
        <v>0</v>
      </c>
      <c r="Y6" s="4">
        <v>0</v>
      </c>
      <c r="Z6" s="4">
        <v>2000</v>
      </c>
      <c r="AA6" s="4">
        <v>0</v>
      </c>
      <c r="AB6" s="4">
        <v>0</v>
      </c>
      <c r="AC6" s="4">
        <v>18400</v>
      </c>
      <c r="AD6" s="4">
        <v>61000</v>
      </c>
      <c r="AE6" s="4">
        <v>40400</v>
      </c>
      <c r="AF6" s="4">
        <v>0</v>
      </c>
      <c r="AG6" s="4">
        <v>0</v>
      </c>
      <c r="AH6" s="4">
        <v>0</v>
      </c>
      <c r="AI6" s="4">
        <v>0</v>
      </c>
      <c r="AJ6" s="4">
        <v>2200</v>
      </c>
      <c r="AK6" s="4">
        <v>0</v>
      </c>
      <c r="AL6" s="4">
        <v>0</v>
      </c>
      <c r="AM6" s="4">
        <v>18400</v>
      </c>
      <c r="AN6" s="4">
        <v>42480</v>
      </c>
      <c r="AO6" s="4">
        <v>0</v>
      </c>
      <c r="AP6" s="4">
        <v>42480</v>
      </c>
      <c r="AQ6" t="s">
        <v>45</v>
      </c>
      <c r="AR6" t="s">
        <v>80</v>
      </c>
    </row>
    <row r="7" spans="1:44" x14ac:dyDescent="0.4">
      <c r="A7" s="3" t="s">
        <v>42</v>
      </c>
      <c r="B7" s="3" t="s">
        <v>43</v>
      </c>
      <c r="C7" s="3" t="s">
        <v>44</v>
      </c>
      <c r="D7" s="3" t="s">
        <v>45</v>
      </c>
      <c r="E7" s="3"/>
      <c r="F7" s="3" t="s">
        <v>46</v>
      </c>
      <c r="G7" s="3" t="s">
        <v>47</v>
      </c>
      <c r="H7" s="3" t="s">
        <v>48</v>
      </c>
      <c r="I7" s="3" t="s">
        <v>49</v>
      </c>
      <c r="J7" s="3">
        <v>54635771</v>
      </c>
      <c r="K7" s="3" t="s">
        <v>182</v>
      </c>
      <c r="L7" s="3"/>
      <c r="M7" s="3"/>
      <c r="N7" s="3" t="s">
        <v>80</v>
      </c>
      <c r="O7" s="3" t="s">
        <v>52</v>
      </c>
      <c r="P7" s="3">
        <v>0.7</v>
      </c>
      <c r="Q7" s="3">
        <v>0.6</v>
      </c>
      <c r="R7" s="4" t="s">
        <v>53</v>
      </c>
      <c r="S7" s="4">
        <v>900</v>
      </c>
      <c r="T7" s="4">
        <v>86000</v>
      </c>
      <c r="U7" s="4">
        <v>58800</v>
      </c>
      <c r="V7" s="4">
        <v>0</v>
      </c>
      <c r="W7" s="4">
        <v>0</v>
      </c>
      <c r="X7" s="4">
        <v>0</v>
      </c>
      <c r="Y7" s="4">
        <v>0</v>
      </c>
      <c r="Z7" s="4">
        <v>3500</v>
      </c>
      <c r="AA7" s="4">
        <v>0</v>
      </c>
      <c r="AB7" s="4">
        <v>0</v>
      </c>
      <c r="AC7" s="4">
        <v>23700</v>
      </c>
      <c r="AD7" s="4">
        <v>86350</v>
      </c>
      <c r="AE7" s="4">
        <v>58800</v>
      </c>
      <c r="AF7" s="4">
        <v>0</v>
      </c>
      <c r="AG7" s="4">
        <v>0</v>
      </c>
      <c r="AH7" s="4">
        <v>0</v>
      </c>
      <c r="AI7" s="4">
        <v>0</v>
      </c>
      <c r="AJ7" s="4">
        <v>3850</v>
      </c>
      <c r="AK7" s="4">
        <v>0</v>
      </c>
      <c r="AL7" s="4">
        <v>0</v>
      </c>
      <c r="AM7" s="4">
        <v>23700</v>
      </c>
      <c r="AN7" s="4">
        <v>60060</v>
      </c>
      <c r="AO7" s="4">
        <v>0</v>
      </c>
      <c r="AP7" s="4">
        <v>60060</v>
      </c>
      <c r="AQ7" t="s">
        <v>45</v>
      </c>
      <c r="AR7" t="s">
        <v>80</v>
      </c>
    </row>
    <row r="8" spans="1:44" x14ac:dyDescent="0.4">
      <c r="A8" s="3" t="s">
        <v>42</v>
      </c>
      <c r="B8" s="3" t="s">
        <v>43</v>
      </c>
      <c r="C8" s="3" t="s">
        <v>44</v>
      </c>
      <c r="D8" s="3" t="s">
        <v>45</v>
      </c>
      <c r="E8" s="3"/>
      <c r="F8" s="3" t="s">
        <v>46</v>
      </c>
      <c r="G8" s="3" t="s">
        <v>47</v>
      </c>
      <c r="H8" s="3" t="s">
        <v>48</v>
      </c>
      <c r="I8" s="3" t="s">
        <v>49</v>
      </c>
      <c r="J8" s="3">
        <v>54635771</v>
      </c>
      <c r="K8" s="3" t="s">
        <v>182</v>
      </c>
      <c r="L8" s="3"/>
      <c r="M8" s="3"/>
      <c r="N8" s="3" t="s">
        <v>80</v>
      </c>
      <c r="O8" s="3" t="s">
        <v>52</v>
      </c>
      <c r="P8" s="3">
        <v>0.7</v>
      </c>
      <c r="Q8" s="3">
        <v>0.6</v>
      </c>
      <c r="R8" s="4" t="s">
        <v>53</v>
      </c>
      <c r="S8" s="4">
        <v>4500</v>
      </c>
      <c r="T8" s="4">
        <v>63100</v>
      </c>
      <c r="U8" s="4">
        <v>61860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1240</v>
      </c>
      <c r="AD8" s="4">
        <v>63100</v>
      </c>
      <c r="AE8" s="4">
        <v>61860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1240</v>
      </c>
      <c r="AN8" s="4">
        <v>44170</v>
      </c>
      <c r="AO8" s="4">
        <v>0</v>
      </c>
      <c r="AP8" s="4">
        <v>44170</v>
      </c>
      <c r="AQ8" t="s">
        <v>45</v>
      </c>
      <c r="AR8" t="s">
        <v>80</v>
      </c>
    </row>
    <row r="9" spans="1:44" x14ac:dyDescent="0.4">
      <c r="A9" s="3" t="s">
        <v>42</v>
      </c>
      <c r="B9" s="3" t="s">
        <v>43</v>
      </c>
      <c r="C9" s="3" t="s">
        <v>44</v>
      </c>
      <c r="D9" s="3" t="s">
        <v>45</v>
      </c>
      <c r="E9" s="3"/>
      <c r="F9" s="3" t="s">
        <v>46</v>
      </c>
      <c r="G9" s="3" t="s">
        <v>47</v>
      </c>
      <c r="H9" s="3" t="s">
        <v>48</v>
      </c>
      <c r="I9" s="3" t="s">
        <v>49</v>
      </c>
      <c r="J9" s="3">
        <v>54635771</v>
      </c>
      <c r="K9" s="3" t="s">
        <v>182</v>
      </c>
      <c r="L9" s="3"/>
      <c r="M9" s="3"/>
      <c r="N9" s="3" t="s">
        <v>80</v>
      </c>
      <c r="O9" s="3" t="s">
        <v>52</v>
      </c>
      <c r="P9" s="3">
        <v>0.7</v>
      </c>
      <c r="Q9" s="3">
        <v>0.6</v>
      </c>
      <c r="R9" s="4" t="s">
        <v>53</v>
      </c>
      <c r="S9" s="4">
        <v>8100</v>
      </c>
      <c r="T9" s="4">
        <v>48600</v>
      </c>
      <c r="U9" s="4">
        <v>47700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900</v>
      </c>
      <c r="AD9" s="4">
        <v>48600</v>
      </c>
      <c r="AE9" s="4">
        <v>47700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900</v>
      </c>
      <c r="AN9" s="4">
        <v>34020</v>
      </c>
      <c r="AO9" s="4">
        <v>0</v>
      </c>
      <c r="AP9" s="4">
        <v>34020</v>
      </c>
      <c r="AQ9" t="s">
        <v>45</v>
      </c>
      <c r="AR9" t="s">
        <v>80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AR4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9.1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56139872</v>
      </c>
      <c r="K2" s="3" t="s">
        <v>209</v>
      </c>
      <c r="L2" s="3"/>
      <c r="M2" s="3"/>
      <c r="N2" s="3" t="s">
        <v>210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3500</v>
      </c>
      <c r="U2" s="4">
        <v>2900</v>
      </c>
      <c r="V2" s="4">
        <v>0</v>
      </c>
      <c r="W2" s="4">
        <v>0</v>
      </c>
      <c r="X2" s="4">
        <v>0</v>
      </c>
      <c r="Y2" s="4">
        <v>0</v>
      </c>
      <c r="Z2" s="4">
        <v>400</v>
      </c>
      <c r="AA2" s="4">
        <v>0</v>
      </c>
      <c r="AB2" s="4">
        <v>0</v>
      </c>
      <c r="AC2" s="4">
        <v>200</v>
      </c>
      <c r="AD2" s="4">
        <v>3540</v>
      </c>
      <c r="AE2" s="4">
        <v>2900</v>
      </c>
      <c r="AF2" s="4">
        <v>0</v>
      </c>
      <c r="AG2" s="4">
        <v>0</v>
      </c>
      <c r="AH2" s="4">
        <v>0</v>
      </c>
      <c r="AI2" s="4">
        <v>0</v>
      </c>
      <c r="AJ2" s="4">
        <v>440</v>
      </c>
      <c r="AK2" s="4">
        <v>0</v>
      </c>
      <c r="AL2" s="4">
        <v>0</v>
      </c>
      <c r="AM2" s="4">
        <v>200</v>
      </c>
      <c r="AN2" s="4">
        <v>2434</v>
      </c>
      <c r="AO2" s="4">
        <v>0</v>
      </c>
      <c r="AP2" s="4">
        <v>2434</v>
      </c>
      <c r="AQ2" t="s">
        <v>45</v>
      </c>
      <c r="AR2" t="s">
        <v>210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56139872</v>
      </c>
      <c r="K3" s="3" t="s">
        <v>209</v>
      </c>
      <c r="L3" s="3"/>
      <c r="M3" s="3"/>
      <c r="N3" s="3" t="s">
        <v>210</v>
      </c>
      <c r="O3" s="3" t="s">
        <v>52</v>
      </c>
      <c r="P3" s="3">
        <v>0.7</v>
      </c>
      <c r="Q3" s="3">
        <v>0.6</v>
      </c>
      <c r="R3" s="4" t="s">
        <v>53</v>
      </c>
      <c r="S3" s="4">
        <v>900</v>
      </c>
      <c r="T3" s="4">
        <v>6300</v>
      </c>
      <c r="U3" s="4">
        <v>6300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6300</v>
      </c>
      <c r="AE3" s="4">
        <v>6300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4410</v>
      </c>
      <c r="AO3" s="4">
        <v>0</v>
      </c>
      <c r="AP3" s="4">
        <v>4410</v>
      </c>
      <c r="AQ3" t="s">
        <v>45</v>
      </c>
      <c r="AR3" t="s">
        <v>210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56139872</v>
      </c>
      <c r="K4" s="3" t="s">
        <v>209</v>
      </c>
      <c r="L4" s="3"/>
      <c r="M4" s="3"/>
      <c r="N4" s="3" t="s">
        <v>210</v>
      </c>
      <c r="O4" s="3" t="s">
        <v>52</v>
      </c>
      <c r="P4" s="3">
        <v>0.7</v>
      </c>
      <c r="Q4" s="3">
        <v>0.6</v>
      </c>
      <c r="R4" s="4" t="s">
        <v>53</v>
      </c>
      <c r="S4" s="4">
        <v>2700</v>
      </c>
      <c r="T4" s="4">
        <v>2700</v>
      </c>
      <c r="U4" s="4">
        <v>2700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2700</v>
      </c>
      <c r="AE4" s="4">
        <v>2700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1890</v>
      </c>
      <c r="AO4" s="4">
        <v>0</v>
      </c>
      <c r="AP4" s="4">
        <v>1890</v>
      </c>
      <c r="AQ4" t="s">
        <v>45</v>
      </c>
      <c r="AR4" t="s">
        <v>210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AR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0.39843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55928146</v>
      </c>
      <c r="K2" s="3" t="s">
        <v>240</v>
      </c>
      <c r="L2" s="3"/>
      <c r="M2" s="3"/>
      <c r="N2" s="3" t="s">
        <v>241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7300</v>
      </c>
      <c r="U2" s="4">
        <v>3400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3900</v>
      </c>
      <c r="AD2" s="4">
        <v>7300</v>
      </c>
      <c r="AE2" s="4">
        <v>3400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3900</v>
      </c>
      <c r="AN2" s="4">
        <v>5110</v>
      </c>
      <c r="AO2" s="4">
        <v>0</v>
      </c>
      <c r="AP2" s="4">
        <v>5110</v>
      </c>
      <c r="AQ2" t="s">
        <v>45</v>
      </c>
      <c r="AR2" t="s">
        <v>241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55928146</v>
      </c>
      <c r="K3" s="3" t="s">
        <v>240</v>
      </c>
      <c r="L3" s="3"/>
      <c r="M3" s="3"/>
      <c r="N3" s="3" t="s">
        <v>241</v>
      </c>
      <c r="O3" s="3" t="s">
        <v>52</v>
      </c>
      <c r="P3" s="3">
        <v>0.7</v>
      </c>
      <c r="Q3" s="3">
        <v>0.6</v>
      </c>
      <c r="R3" s="4" t="s">
        <v>53</v>
      </c>
      <c r="S3" s="4">
        <v>9000</v>
      </c>
      <c r="T3" s="4">
        <v>9000</v>
      </c>
      <c r="U3" s="4">
        <v>9000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9000</v>
      </c>
      <c r="AE3" s="4">
        <v>9000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6300</v>
      </c>
      <c r="AO3" s="4">
        <v>0</v>
      </c>
      <c r="AP3" s="4">
        <v>6300</v>
      </c>
      <c r="AQ3" t="s">
        <v>45</v>
      </c>
      <c r="AR3" t="s">
        <v>241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55928146</v>
      </c>
      <c r="K4" s="3" t="s">
        <v>240</v>
      </c>
      <c r="L4" s="3"/>
      <c r="M4" s="3"/>
      <c r="N4" s="3" t="s">
        <v>241</v>
      </c>
      <c r="O4" s="3" t="s">
        <v>52</v>
      </c>
      <c r="P4" s="3">
        <v>0.7</v>
      </c>
      <c r="Q4" s="3">
        <v>0.6</v>
      </c>
      <c r="R4" s="4" t="s">
        <v>53</v>
      </c>
      <c r="S4" s="4">
        <v>18000</v>
      </c>
      <c r="T4" s="4">
        <v>18000</v>
      </c>
      <c r="U4" s="4">
        <v>18000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18000</v>
      </c>
      <c r="AE4" s="4">
        <v>18000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12600</v>
      </c>
      <c r="AO4" s="4">
        <v>0</v>
      </c>
      <c r="AP4" s="4">
        <v>12600</v>
      </c>
      <c r="AQ4" t="s">
        <v>45</v>
      </c>
      <c r="AR4" t="s">
        <v>241</v>
      </c>
    </row>
    <row r="5" spans="1:44" x14ac:dyDescent="0.4">
      <c r="A5" s="3" t="s">
        <v>42</v>
      </c>
      <c r="B5" s="3" t="s">
        <v>43</v>
      </c>
      <c r="C5" s="3" t="s">
        <v>44</v>
      </c>
      <c r="D5" s="3" t="s">
        <v>45</v>
      </c>
      <c r="E5" s="3"/>
      <c r="F5" s="3" t="s">
        <v>46</v>
      </c>
      <c r="G5" s="3" t="s">
        <v>47</v>
      </c>
      <c r="H5" s="3" t="s">
        <v>48</v>
      </c>
      <c r="I5" s="3" t="s">
        <v>49</v>
      </c>
      <c r="J5" s="3">
        <v>55928146</v>
      </c>
      <c r="K5" s="3" t="s">
        <v>240</v>
      </c>
      <c r="L5" s="3"/>
      <c r="M5" s="3"/>
      <c r="N5" s="3" t="s">
        <v>241</v>
      </c>
      <c r="O5" s="3" t="s">
        <v>52</v>
      </c>
      <c r="P5" s="3">
        <v>0.7</v>
      </c>
      <c r="Q5" s="3">
        <v>0.6</v>
      </c>
      <c r="R5" s="4" t="s">
        <v>53</v>
      </c>
      <c r="S5" s="4">
        <v>27000</v>
      </c>
      <c r="T5" s="4">
        <v>27000</v>
      </c>
      <c r="U5" s="4">
        <v>27000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27000</v>
      </c>
      <c r="AE5" s="4">
        <v>27000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18900</v>
      </c>
      <c r="AO5" s="4">
        <v>0</v>
      </c>
      <c r="AP5" s="4">
        <v>18900</v>
      </c>
      <c r="AQ5" t="s">
        <v>45</v>
      </c>
      <c r="AR5" t="s">
        <v>241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AR4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2.59765625" bestFit="1" customWidth="1"/>
    <col min="12" max="12" width="21.5" bestFit="1" customWidth="1"/>
    <col min="13" max="13" width="6.796875" bestFit="1" customWidth="1"/>
    <col min="14" max="14" width="10.39843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4" width="10.398437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52042920</v>
      </c>
      <c r="K2" s="3" t="s">
        <v>103</v>
      </c>
      <c r="L2" s="3"/>
      <c r="M2" s="3"/>
      <c r="N2" s="3" t="s">
        <v>104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4400</v>
      </c>
      <c r="U2" s="4">
        <v>3900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500</v>
      </c>
      <c r="AD2" s="4">
        <v>4400</v>
      </c>
      <c r="AE2" s="4">
        <v>3900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500</v>
      </c>
      <c r="AN2" s="4">
        <v>3080</v>
      </c>
      <c r="AO2" s="4">
        <v>0</v>
      </c>
      <c r="AP2" s="4">
        <v>3080</v>
      </c>
      <c r="AQ2" t="s">
        <v>45</v>
      </c>
      <c r="AR2" t="s">
        <v>104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52042920</v>
      </c>
      <c r="K3" s="3" t="s">
        <v>103</v>
      </c>
      <c r="L3" s="3"/>
      <c r="M3" s="3"/>
      <c r="N3" s="3" t="s">
        <v>104</v>
      </c>
      <c r="O3" s="3" t="s">
        <v>52</v>
      </c>
      <c r="P3" s="3">
        <v>0.7</v>
      </c>
      <c r="Q3" s="3">
        <v>0.6</v>
      </c>
      <c r="R3" s="4" t="s">
        <v>53</v>
      </c>
      <c r="S3" s="4">
        <v>900</v>
      </c>
      <c r="T3" s="4">
        <v>9400</v>
      </c>
      <c r="U3" s="4">
        <v>6900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2500</v>
      </c>
      <c r="AD3" s="4">
        <v>9400</v>
      </c>
      <c r="AE3" s="4">
        <v>6900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2500</v>
      </c>
      <c r="AN3" s="4">
        <v>6580</v>
      </c>
      <c r="AO3" s="4">
        <v>0</v>
      </c>
      <c r="AP3" s="4">
        <v>6580</v>
      </c>
      <c r="AQ3" t="s">
        <v>45</v>
      </c>
      <c r="AR3" t="s">
        <v>104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52042920</v>
      </c>
      <c r="K4" s="3" t="s">
        <v>103</v>
      </c>
      <c r="L4" s="3"/>
      <c r="M4" s="3"/>
      <c r="N4" s="3" t="s">
        <v>104</v>
      </c>
      <c r="O4" s="3" t="s">
        <v>52</v>
      </c>
      <c r="P4" s="3">
        <v>0.7</v>
      </c>
      <c r="Q4" s="3">
        <v>0.6</v>
      </c>
      <c r="R4" s="4" t="s">
        <v>53</v>
      </c>
      <c r="S4" s="4">
        <v>2700</v>
      </c>
      <c r="T4" s="4">
        <v>2700</v>
      </c>
      <c r="U4" s="4">
        <v>2100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600</v>
      </c>
      <c r="AD4" s="4">
        <v>2700</v>
      </c>
      <c r="AE4" s="4">
        <v>2100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600</v>
      </c>
      <c r="AN4" s="4">
        <v>1890</v>
      </c>
      <c r="AO4" s="4">
        <v>0</v>
      </c>
      <c r="AP4" s="4">
        <v>1890</v>
      </c>
      <c r="AQ4" t="s">
        <v>45</v>
      </c>
      <c r="AR4" t="s">
        <v>104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AR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1.09765625" bestFit="1" customWidth="1"/>
    <col min="12" max="12" width="21.5" bestFit="1" customWidth="1"/>
    <col min="13" max="13" width="6.796875" bestFit="1" customWidth="1"/>
    <col min="14" max="14" width="8.5976562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8.5976562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54966528</v>
      </c>
      <c r="K2" s="3" t="s">
        <v>212</v>
      </c>
      <c r="L2" s="3"/>
      <c r="M2" s="3"/>
      <c r="N2" s="3" t="s">
        <v>213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5700</v>
      </c>
      <c r="U2" s="4">
        <v>5000</v>
      </c>
      <c r="V2" s="4">
        <v>0</v>
      </c>
      <c r="W2" s="4">
        <v>0</v>
      </c>
      <c r="X2" s="4">
        <v>0</v>
      </c>
      <c r="Y2" s="4">
        <v>200</v>
      </c>
      <c r="Z2" s="4">
        <v>0</v>
      </c>
      <c r="AA2" s="4">
        <v>0</v>
      </c>
      <c r="AB2" s="4">
        <v>0</v>
      </c>
      <c r="AC2" s="4">
        <v>500</v>
      </c>
      <c r="AD2" s="4">
        <v>5740</v>
      </c>
      <c r="AE2" s="4">
        <v>5000</v>
      </c>
      <c r="AF2" s="4">
        <v>0</v>
      </c>
      <c r="AG2" s="4">
        <v>0</v>
      </c>
      <c r="AH2" s="4">
        <v>0</v>
      </c>
      <c r="AI2" s="4">
        <v>240</v>
      </c>
      <c r="AJ2" s="4">
        <v>0</v>
      </c>
      <c r="AK2" s="4">
        <v>0</v>
      </c>
      <c r="AL2" s="4">
        <v>0</v>
      </c>
      <c r="AM2" s="4">
        <v>500</v>
      </c>
      <c r="AN2" s="4">
        <v>3994</v>
      </c>
      <c r="AO2" s="4">
        <v>0</v>
      </c>
      <c r="AP2" s="4">
        <v>3994</v>
      </c>
      <c r="AQ2" t="s">
        <v>45</v>
      </c>
      <c r="AR2" t="s">
        <v>213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54966528</v>
      </c>
      <c r="K3" s="3" t="s">
        <v>212</v>
      </c>
      <c r="L3" s="3"/>
      <c r="M3" s="3"/>
      <c r="N3" s="3" t="s">
        <v>213</v>
      </c>
      <c r="O3" s="3" t="s">
        <v>52</v>
      </c>
      <c r="P3" s="3">
        <v>0.7</v>
      </c>
      <c r="Q3" s="3">
        <v>0.6</v>
      </c>
      <c r="R3" s="4" t="s">
        <v>53</v>
      </c>
      <c r="S3" s="4">
        <v>900</v>
      </c>
      <c r="T3" s="4">
        <v>1800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1800</v>
      </c>
      <c r="AD3" s="4">
        <v>1800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1800</v>
      </c>
      <c r="AN3" s="4">
        <v>1260</v>
      </c>
      <c r="AO3" s="4">
        <v>0</v>
      </c>
      <c r="AP3" s="4">
        <v>1260</v>
      </c>
      <c r="AQ3" t="s">
        <v>45</v>
      </c>
      <c r="AR3" t="s">
        <v>213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54966528</v>
      </c>
      <c r="K4" s="3" t="s">
        <v>212</v>
      </c>
      <c r="L4" s="3"/>
      <c r="M4" s="3"/>
      <c r="N4" s="3" t="s">
        <v>213</v>
      </c>
      <c r="O4" s="3" t="s">
        <v>52</v>
      </c>
      <c r="P4" s="3">
        <v>0.7</v>
      </c>
      <c r="Q4" s="3">
        <v>0.6</v>
      </c>
      <c r="R4" s="4" t="s">
        <v>53</v>
      </c>
      <c r="S4" s="4">
        <v>2700</v>
      </c>
      <c r="T4" s="4">
        <v>2700</v>
      </c>
      <c r="U4" s="4">
        <v>2700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2700</v>
      </c>
      <c r="AE4" s="4">
        <v>2700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1890</v>
      </c>
      <c r="AO4" s="4">
        <v>0</v>
      </c>
      <c r="AP4" s="4">
        <v>1890</v>
      </c>
      <c r="AQ4" t="s">
        <v>45</v>
      </c>
      <c r="AR4" t="s">
        <v>213</v>
      </c>
    </row>
    <row r="5" spans="1:44" x14ac:dyDescent="0.4">
      <c r="A5" s="3" t="s">
        <v>42</v>
      </c>
      <c r="B5" s="3" t="s">
        <v>43</v>
      </c>
      <c r="C5" s="3" t="s">
        <v>44</v>
      </c>
      <c r="D5" s="3" t="s">
        <v>45</v>
      </c>
      <c r="E5" s="3"/>
      <c r="F5" s="3" t="s">
        <v>46</v>
      </c>
      <c r="G5" s="3" t="s">
        <v>47</v>
      </c>
      <c r="H5" s="3" t="s">
        <v>48</v>
      </c>
      <c r="I5" s="3" t="s">
        <v>49</v>
      </c>
      <c r="J5" s="3">
        <v>54966528</v>
      </c>
      <c r="K5" s="3" t="s">
        <v>212</v>
      </c>
      <c r="L5" s="3"/>
      <c r="M5" s="3"/>
      <c r="N5" s="3" t="s">
        <v>213</v>
      </c>
      <c r="O5" s="3" t="s">
        <v>52</v>
      </c>
      <c r="P5" s="3">
        <v>0.7</v>
      </c>
      <c r="Q5" s="3">
        <v>0.6</v>
      </c>
      <c r="R5" s="4" t="s">
        <v>53</v>
      </c>
      <c r="S5" s="4">
        <v>4500</v>
      </c>
      <c r="T5" s="4">
        <v>-3600</v>
      </c>
      <c r="U5" s="4">
        <v>-3600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-3600</v>
      </c>
      <c r="AE5" s="4">
        <v>-3600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-2520</v>
      </c>
      <c r="AO5" s="4">
        <v>0</v>
      </c>
      <c r="AP5" s="4">
        <v>-2520</v>
      </c>
      <c r="AQ5" t="s">
        <v>45</v>
      </c>
      <c r="AR5" t="s">
        <v>213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AR4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3.5" bestFit="1" customWidth="1"/>
    <col min="12" max="12" width="21.5" bestFit="1" customWidth="1"/>
    <col min="13" max="13" width="6.796875" bestFit="1" customWidth="1"/>
    <col min="14" max="14" width="15.39843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55612079</v>
      </c>
      <c r="K2" s="3" t="s">
        <v>232</v>
      </c>
      <c r="L2" s="3"/>
      <c r="M2" s="3"/>
      <c r="N2" s="3" t="s">
        <v>233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4400</v>
      </c>
      <c r="U2" s="4">
        <v>300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4100</v>
      </c>
      <c r="AD2" s="4">
        <v>4400</v>
      </c>
      <c r="AE2" s="4">
        <v>300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4100</v>
      </c>
      <c r="AN2" s="4">
        <v>3080</v>
      </c>
      <c r="AO2" s="4">
        <v>0</v>
      </c>
      <c r="AP2" s="4">
        <v>3080</v>
      </c>
      <c r="AQ2" t="s">
        <v>45</v>
      </c>
      <c r="AR2" t="s">
        <v>274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55612079</v>
      </c>
      <c r="K3" s="3" t="s">
        <v>232</v>
      </c>
      <c r="L3" s="3"/>
      <c r="M3" s="3"/>
      <c r="N3" s="3" t="s">
        <v>233</v>
      </c>
      <c r="O3" s="3" t="s">
        <v>52</v>
      </c>
      <c r="P3" s="3">
        <v>0.7</v>
      </c>
      <c r="Q3" s="3">
        <v>0.6</v>
      </c>
      <c r="R3" s="4" t="s">
        <v>53</v>
      </c>
      <c r="S3" s="4">
        <v>900</v>
      </c>
      <c r="T3" s="4">
        <v>5400</v>
      </c>
      <c r="U3" s="4">
        <v>4300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1100</v>
      </c>
      <c r="AD3" s="4">
        <v>5400</v>
      </c>
      <c r="AE3" s="4">
        <v>4300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1100</v>
      </c>
      <c r="AN3" s="4">
        <v>3780</v>
      </c>
      <c r="AO3" s="4">
        <v>0</v>
      </c>
      <c r="AP3" s="4">
        <v>3780</v>
      </c>
      <c r="AQ3" t="s">
        <v>45</v>
      </c>
      <c r="AR3" t="s">
        <v>274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55612079</v>
      </c>
      <c r="K4" s="3" t="s">
        <v>232</v>
      </c>
      <c r="L4" s="3"/>
      <c r="M4" s="3"/>
      <c r="N4" s="3" t="s">
        <v>233</v>
      </c>
      <c r="O4" s="3" t="s">
        <v>52</v>
      </c>
      <c r="P4" s="3">
        <v>0.7</v>
      </c>
      <c r="Q4" s="3">
        <v>0.6</v>
      </c>
      <c r="R4" s="4" t="s">
        <v>53</v>
      </c>
      <c r="S4" s="4">
        <v>4500</v>
      </c>
      <c r="T4" s="4">
        <v>13500</v>
      </c>
      <c r="U4" s="4">
        <v>13500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13500</v>
      </c>
      <c r="AE4" s="4">
        <v>13500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9450</v>
      </c>
      <c r="AO4" s="4">
        <v>0</v>
      </c>
      <c r="AP4" s="4">
        <v>9450</v>
      </c>
      <c r="AQ4" t="s">
        <v>45</v>
      </c>
      <c r="AR4" t="s">
        <v>274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AR2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4.09765625" bestFit="1" customWidth="1"/>
    <col min="12" max="12" width="21.5" bestFit="1" customWidth="1"/>
    <col min="13" max="13" width="6.796875" bestFit="1" customWidth="1"/>
    <col min="14" max="14" width="9.59765625" bestFit="1" customWidth="1"/>
    <col min="15" max="15" width="10.796875" bestFit="1" customWidth="1"/>
    <col min="16" max="16" width="30" bestFit="1" customWidth="1"/>
    <col min="17" max="17" width="12.69921875" bestFit="1" customWidth="1"/>
    <col min="18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9.5976562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55565374</v>
      </c>
      <c r="K2" s="3" t="s">
        <v>227</v>
      </c>
      <c r="L2" s="3"/>
      <c r="M2" s="3"/>
      <c r="N2" s="3" t="s">
        <v>228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2500</v>
      </c>
      <c r="U2" s="4">
        <v>500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2000</v>
      </c>
      <c r="AD2" s="4">
        <v>2500</v>
      </c>
      <c r="AE2" s="4">
        <v>500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2000</v>
      </c>
      <c r="AN2" s="4">
        <v>1750</v>
      </c>
      <c r="AO2" s="4">
        <v>0</v>
      </c>
      <c r="AP2" s="4">
        <v>1750</v>
      </c>
      <c r="AQ2" t="s">
        <v>45</v>
      </c>
      <c r="AR2" t="s">
        <v>228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AR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0.6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56861180</v>
      </c>
      <c r="K2" s="3" t="s">
        <v>266</v>
      </c>
      <c r="L2" s="3"/>
      <c r="M2" s="3"/>
      <c r="N2" s="3" t="s">
        <v>65</v>
      </c>
      <c r="O2" s="3" t="s">
        <v>52</v>
      </c>
      <c r="P2" s="3">
        <v>0.7</v>
      </c>
      <c r="Q2" s="3">
        <v>0.6</v>
      </c>
      <c r="R2" s="4" t="s">
        <v>53</v>
      </c>
      <c r="S2" s="4">
        <v>8400</v>
      </c>
      <c r="T2" s="4">
        <v>8400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8400</v>
      </c>
      <c r="AD2" s="4">
        <v>8400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8400</v>
      </c>
      <c r="AN2" s="4">
        <v>5880</v>
      </c>
      <c r="AO2" s="4">
        <v>0</v>
      </c>
      <c r="AP2" s="4">
        <v>5880</v>
      </c>
      <c r="AQ2" t="s">
        <v>45</v>
      </c>
      <c r="AR2" t="s">
        <v>65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56810903</v>
      </c>
      <c r="K3" s="3" t="s">
        <v>68</v>
      </c>
      <c r="L3" s="3"/>
      <c r="M3" s="3"/>
      <c r="N3" s="3" t="s">
        <v>65</v>
      </c>
      <c r="O3" s="3" t="s">
        <v>52</v>
      </c>
      <c r="P3" s="3">
        <v>0.7</v>
      </c>
      <c r="Q3" s="3">
        <v>0.6</v>
      </c>
      <c r="R3" s="4" t="s">
        <v>56</v>
      </c>
      <c r="S3" s="4">
        <v>100</v>
      </c>
      <c r="T3" s="4">
        <v>6300</v>
      </c>
      <c r="U3" s="4">
        <v>1100</v>
      </c>
      <c r="V3" s="4">
        <v>0</v>
      </c>
      <c r="W3" s="4">
        <v>0</v>
      </c>
      <c r="X3" s="4">
        <v>0</v>
      </c>
      <c r="Y3" s="4">
        <v>0</v>
      </c>
      <c r="Z3" s="4">
        <v>1000</v>
      </c>
      <c r="AA3" s="4">
        <v>0</v>
      </c>
      <c r="AB3" s="4">
        <v>0</v>
      </c>
      <c r="AC3" s="4">
        <v>4200</v>
      </c>
      <c r="AD3" s="4">
        <v>6400</v>
      </c>
      <c r="AE3" s="4">
        <v>1100</v>
      </c>
      <c r="AF3" s="4">
        <v>0</v>
      </c>
      <c r="AG3" s="4">
        <v>0</v>
      </c>
      <c r="AH3" s="4">
        <v>0</v>
      </c>
      <c r="AI3" s="4">
        <v>0</v>
      </c>
      <c r="AJ3" s="4">
        <v>1100</v>
      </c>
      <c r="AK3" s="4">
        <v>0</v>
      </c>
      <c r="AL3" s="4">
        <v>0</v>
      </c>
      <c r="AM3" s="4">
        <v>4200</v>
      </c>
      <c r="AN3" s="4">
        <v>4370</v>
      </c>
      <c r="AO3" s="4">
        <v>0</v>
      </c>
      <c r="AP3" s="4">
        <v>4370</v>
      </c>
      <c r="AQ3" t="s">
        <v>45</v>
      </c>
      <c r="AR3" t="s">
        <v>65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56810903</v>
      </c>
      <c r="K4" s="3" t="s">
        <v>68</v>
      </c>
      <c r="L4" s="3"/>
      <c r="M4" s="3"/>
      <c r="N4" s="3" t="s">
        <v>65</v>
      </c>
      <c r="O4" s="3" t="s">
        <v>52</v>
      </c>
      <c r="P4" s="3">
        <v>0.7</v>
      </c>
      <c r="Q4" s="3">
        <v>0.6</v>
      </c>
      <c r="R4" s="4" t="s">
        <v>53</v>
      </c>
      <c r="S4" s="4">
        <v>1900</v>
      </c>
      <c r="T4" s="4">
        <v>7600</v>
      </c>
      <c r="U4" s="4">
        <v>3800</v>
      </c>
      <c r="V4" s="4">
        <v>0</v>
      </c>
      <c r="W4" s="4">
        <v>0</v>
      </c>
      <c r="X4" s="4">
        <v>0</v>
      </c>
      <c r="Y4" s="4">
        <v>0</v>
      </c>
      <c r="Z4" s="4">
        <v>1900</v>
      </c>
      <c r="AA4" s="4">
        <v>0</v>
      </c>
      <c r="AB4" s="4">
        <v>0</v>
      </c>
      <c r="AC4" s="4">
        <v>1900</v>
      </c>
      <c r="AD4" s="4">
        <v>7790</v>
      </c>
      <c r="AE4" s="4">
        <v>3800</v>
      </c>
      <c r="AF4" s="4">
        <v>0</v>
      </c>
      <c r="AG4" s="4">
        <v>0</v>
      </c>
      <c r="AH4" s="4">
        <v>0</v>
      </c>
      <c r="AI4" s="4">
        <v>0</v>
      </c>
      <c r="AJ4" s="4">
        <v>2090</v>
      </c>
      <c r="AK4" s="4">
        <v>0</v>
      </c>
      <c r="AL4" s="4">
        <v>0</v>
      </c>
      <c r="AM4" s="4">
        <v>1900</v>
      </c>
      <c r="AN4" s="4">
        <v>5244</v>
      </c>
      <c r="AO4" s="4">
        <v>0</v>
      </c>
      <c r="AP4" s="4">
        <v>5244</v>
      </c>
      <c r="AQ4" t="s">
        <v>45</v>
      </c>
      <c r="AR4" t="s">
        <v>65</v>
      </c>
    </row>
    <row r="5" spans="1:44" x14ac:dyDescent="0.4">
      <c r="A5" s="3" t="s">
        <v>42</v>
      </c>
      <c r="B5" s="3" t="s">
        <v>43</v>
      </c>
      <c r="C5" s="3" t="s">
        <v>44</v>
      </c>
      <c r="D5" s="3" t="s">
        <v>45</v>
      </c>
      <c r="E5" s="3"/>
      <c r="F5" s="3" t="s">
        <v>46</v>
      </c>
      <c r="G5" s="3" t="s">
        <v>47</v>
      </c>
      <c r="H5" s="3" t="s">
        <v>48</v>
      </c>
      <c r="I5" s="3" t="s">
        <v>49</v>
      </c>
      <c r="J5" s="3">
        <v>56810903</v>
      </c>
      <c r="K5" s="3" t="s">
        <v>68</v>
      </c>
      <c r="L5" s="3"/>
      <c r="M5" s="3"/>
      <c r="N5" s="3" t="s">
        <v>65</v>
      </c>
      <c r="O5" s="3" t="s">
        <v>52</v>
      </c>
      <c r="P5" s="3">
        <v>0.7</v>
      </c>
      <c r="Q5" s="3">
        <v>0.6</v>
      </c>
      <c r="R5" s="4" t="s">
        <v>53</v>
      </c>
      <c r="S5" s="4">
        <v>5400</v>
      </c>
      <c r="T5" s="4">
        <v>5400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5400</v>
      </c>
      <c r="AA5" s="4">
        <v>0</v>
      </c>
      <c r="AB5" s="4">
        <v>0</v>
      </c>
      <c r="AC5" s="4">
        <v>0</v>
      </c>
      <c r="AD5" s="4">
        <v>5940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5940</v>
      </c>
      <c r="AK5" s="4">
        <v>0</v>
      </c>
      <c r="AL5" s="4">
        <v>0</v>
      </c>
      <c r="AM5" s="4">
        <v>0</v>
      </c>
      <c r="AN5" s="4">
        <v>3564</v>
      </c>
      <c r="AO5" s="4">
        <v>0</v>
      </c>
      <c r="AP5" s="4">
        <v>3564</v>
      </c>
      <c r="AQ5" t="s">
        <v>45</v>
      </c>
      <c r="AR5" t="s">
        <v>65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AR4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9.59765625" bestFit="1" customWidth="1"/>
    <col min="12" max="12" width="21.5" bestFit="1" customWidth="1"/>
    <col min="13" max="13" width="6.796875" bestFit="1" customWidth="1"/>
    <col min="14" max="14" width="8.5976562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8.5976562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55082393</v>
      </c>
      <c r="K2" s="3" t="s">
        <v>236</v>
      </c>
      <c r="L2" s="3"/>
      <c r="M2" s="3"/>
      <c r="N2" s="3" t="s">
        <v>237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7800</v>
      </c>
      <c r="U2" s="4">
        <v>3000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4800</v>
      </c>
      <c r="AD2" s="4">
        <v>7800</v>
      </c>
      <c r="AE2" s="4">
        <v>3000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4800</v>
      </c>
      <c r="AN2" s="4">
        <v>5460</v>
      </c>
      <c r="AO2" s="4">
        <v>0</v>
      </c>
      <c r="AP2" s="4">
        <v>5460</v>
      </c>
      <c r="AQ2" t="s">
        <v>45</v>
      </c>
      <c r="AR2" t="s">
        <v>237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55082393</v>
      </c>
      <c r="K3" s="3" t="s">
        <v>236</v>
      </c>
      <c r="L3" s="3"/>
      <c r="M3" s="3"/>
      <c r="N3" s="3" t="s">
        <v>237</v>
      </c>
      <c r="O3" s="3" t="s">
        <v>52</v>
      </c>
      <c r="P3" s="3">
        <v>0.7</v>
      </c>
      <c r="Q3" s="3">
        <v>0.6</v>
      </c>
      <c r="R3" s="4" t="s">
        <v>53</v>
      </c>
      <c r="S3" s="4">
        <v>2700</v>
      </c>
      <c r="T3" s="4">
        <v>11600</v>
      </c>
      <c r="U3" s="4">
        <v>11400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200</v>
      </c>
      <c r="AD3" s="4">
        <v>11600</v>
      </c>
      <c r="AE3" s="4">
        <v>11400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200</v>
      </c>
      <c r="AN3" s="4">
        <v>8120</v>
      </c>
      <c r="AO3" s="4">
        <v>0</v>
      </c>
      <c r="AP3" s="4">
        <v>8120</v>
      </c>
      <c r="AQ3" t="s">
        <v>45</v>
      </c>
      <c r="AR3" t="s">
        <v>237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55082393</v>
      </c>
      <c r="K4" s="3" t="s">
        <v>236</v>
      </c>
      <c r="L4" s="3"/>
      <c r="M4" s="3"/>
      <c r="N4" s="3" t="s">
        <v>237</v>
      </c>
      <c r="O4" s="3" t="s">
        <v>52</v>
      </c>
      <c r="P4" s="3">
        <v>0.7</v>
      </c>
      <c r="Q4" s="3">
        <v>0.6</v>
      </c>
      <c r="R4" s="4" t="s">
        <v>53</v>
      </c>
      <c r="S4" s="4">
        <v>4500</v>
      </c>
      <c r="T4" s="4">
        <v>4500</v>
      </c>
      <c r="U4" s="4">
        <v>4500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4500</v>
      </c>
      <c r="AE4" s="4">
        <v>4500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3150</v>
      </c>
      <c r="AO4" s="4">
        <v>0</v>
      </c>
      <c r="AP4" s="4">
        <v>3150</v>
      </c>
      <c r="AQ4" t="s">
        <v>45</v>
      </c>
      <c r="AR4" t="s">
        <v>237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AR4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1.0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53574168</v>
      </c>
      <c r="K2" s="3" t="s">
        <v>161</v>
      </c>
      <c r="L2" s="3"/>
      <c r="M2" s="3"/>
      <c r="N2" s="3" t="s">
        <v>162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20800</v>
      </c>
      <c r="U2" s="4">
        <v>1900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18900</v>
      </c>
      <c r="AD2" s="4">
        <v>20800</v>
      </c>
      <c r="AE2" s="4">
        <v>1900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18900</v>
      </c>
      <c r="AN2" s="4">
        <v>14560</v>
      </c>
      <c r="AO2" s="4">
        <v>0</v>
      </c>
      <c r="AP2" s="4">
        <v>14560</v>
      </c>
      <c r="AQ2" t="s">
        <v>45</v>
      </c>
      <c r="AR2" t="s">
        <v>162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53574168</v>
      </c>
      <c r="K3" s="3" t="s">
        <v>161</v>
      </c>
      <c r="L3" s="3"/>
      <c r="M3" s="3"/>
      <c r="N3" s="3" t="s">
        <v>162</v>
      </c>
      <c r="O3" s="3" t="s">
        <v>52</v>
      </c>
      <c r="P3" s="3">
        <v>0.7</v>
      </c>
      <c r="Q3" s="3">
        <v>0.6</v>
      </c>
      <c r="R3" s="4" t="s">
        <v>53</v>
      </c>
      <c r="S3" s="4">
        <v>900</v>
      </c>
      <c r="T3" s="4">
        <v>7700</v>
      </c>
      <c r="U3" s="4">
        <v>1770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5930</v>
      </c>
      <c r="AD3" s="4">
        <v>7700</v>
      </c>
      <c r="AE3" s="4">
        <v>1770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5930</v>
      </c>
      <c r="AN3" s="4">
        <v>5390</v>
      </c>
      <c r="AO3" s="4">
        <v>0</v>
      </c>
      <c r="AP3" s="4">
        <v>5390</v>
      </c>
      <c r="AQ3" t="s">
        <v>45</v>
      </c>
      <c r="AR3" t="s">
        <v>162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53574168</v>
      </c>
      <c r="K4" s="3" t="s">
        <v>161</v>
      </c>
      <c r="L4" s="3"/>
      <c r="M4" s="3"/>
      <c r="N4" s="3" t="s">
        <v>162</v>
      </c>
      <c r="O4" s="3" t="s">
        <v>52</v>
      </c>
      <c r="P4" s="3">
        <v>0.7</v>
      </c>
      <c r="Q4" s="3">
        <v>0.6</v>
      </c>
      <c r="R4" s="4" t="s">
        <v>53</v>
      </c>
      <c r="S4" s="4">
        <v>2700</v>
      </c>
      <c r="T4" s="4">
        <v>2700</v>
      </c>
      <c r="U4" s="4">
        <v>2700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2700</v>
      </c>
      <c r="AE4" s="4">
        <v>2700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1890</v>
      </c>
      <c r="AO4" s="4">
        <v>0</v>
      </c>
      <c r="AP4" s="4">
        <v>1890</v>
      </c>
      <c r="AQ4" t="s">
        <v>45</v>
      </c>
      <c r="AR4" t="s">
        <v>162</v>
      </c>
    </row>
  </sheetData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AR6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4.59765625" bestFit="1" customWidth="1"/>
    <col min="12" max="12" width="21.5" bestFit="1" customWidth="1"/>
    <col min="13" max="13" width="6.796875" bestFit="1" customWidth="1"/>
    <col min="14" max="14" width="8.5976562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8.5976562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53574666</v>
      </c>
      <c r="K2" s="3" t="s">
        <v>164</v>
      </c>
      <c r="L2" s="3"/>
      <c r="M2" s="3"/>
      <c r="N2" s="3" t="s">
        <v>165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200</v>
      </c>
      <c r="U2" s="4">
        <v>100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100</v>
      </c>
      <c r="AD2" s="4">
        <v>200</v>
      </c>
      <c r="AE2" s="4">
        <v>100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100</v>
      </c>
      <c r="AN2" s="4">
        <v>140</v>
      </c>
      <c r="AO2" s="4">
        <v>0</v>
      </c>
      <c r="AP2" s="4">
        <v>140</v>
      </c>
      <c r="AQ2" t="s">
        <v>45</v>
      </c>
      <c r="AR2" t="s">
        <v>275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53574666</v>
      </c>
      <c r="K3" s="3" t="s">
        <v>164</v>
      </c>
      <c r="L3" s="3"/>
      <c r="M3" s="3"/>
      <c r="N3" s="3" t="s">
        <v>165</v>
      </c>
      <c r="O3" s="3" t="s">
        <v>52</v>
      </c>
      <c r="P3" s="3">
        <v>0.7</v>
      </c>
      <c r="Q3" s="3">
        <v>0.6</v>
      </c>
      <c r="R3" s="4" t="s">
        <v>53</v>
      </c>
      <c r="S3" s="4">
        <v>900</v>
      </c>
      <c r="T3" s="4">
        <v>1800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1800</v>
      </c>
      <c r="AD3" s="4">
        <v>1800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1800</v>
      </c>
      <c r="AN3" s="4">
        <v>1260</v>
      </c>
      <c r="AO3" s="4">
        <v>0</v>
      </c>
      <c r="AP3" s="4">
        <v>1260</v>
      </c>
      <c r="AQ3" t="s">
        <v>45</v>
      </c>
      <c r="AR3" t="s">
        <v>275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53581070</v>
      </c>
      <c r="K4" s="3" t="s">
        <v>208</v>
      </c>
      <c r="L4" s="3"/>
      <c r="M4" s="3"/>
      <c r="N4" s="3" t="s">
        <v>165</v>
      </c>
      <c r="O4" s="3" t="s">
        <v>52</v>
      </c>
      <c r="P4" s="3">
        <v>0.7</v>
      </c>
      <c r="Q4" s="3">
        <v>0.6</v>
      </c>
      <c r="R4" s="4" t="s">
        <v>56</v>
      </c>
      <c r="S4" s="4">
        <v>100</v>
      </c>
      <c r="T4" s="4">
        <v>700</v>
      </c>
      <c r="U4" s="4">
        <v>600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100</v>
      </c>
      <c r="AD4" s="4">
        <v>700</v>
      </c>
      <c r="AE4" s="4">
        <v>600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100</v>
      </c>
      <c r="AN4" s="4">
        <v>490</v>
      </c>
      <c r="AO4" s="4">
        <v>0</v>
      </c>
      <c r="AP4" s="4">
        <v>490</v>
      </c>
      <c r="AQ4" t="s">
        <v>45</v>
      </c>
      <c r="AR4" t="s">
        <v>275</v>
      </c>
    </row>
    <row r="5" spans="1:44" x14ac:dyDescent="0.4">
      <c r="A5" s="3" t="s">
        <v>42</v>
      </c>
      <c r="B5" s="3" t="s">
        <v>43</v>
      </c>
      <c r="C5" s="3" t="s">
        <v>44</v>
      </c>
      <c r="D5" s="3" t="s">
        <v>45</v>
      </c>
      <c r="E5" s="3"/>
      <c r="F5" s="3" t="s">
        <v>46</v>
      </c>
      <c r="G5" s="3" t="s">
        <v>47</v>
      </c>
      <c r="H5" s="3" t="s">
        <v>48</v>
      </c>
      <c r="I5" s="3" t="s">
        <v>49</v>
      </c>
      <c r="J5" s="3">
        <v>53581070</v>
      </c>
      <c r="K5" s="3" t="s">
        <v>208</v>
      </c>
      <c r="L5" s="3"/>
      <c r="M5" s="3"/>
      <c r="N5" s="3" t="s">
        <v>165</v>
      </c>
      <c r="O5" s="3" t="s">
        <v>52</v>
      </c>
      <c r="P5" s="3">
        <v>0.7</v>
      </c>
      <c r="Q5" s="3">
        <v>0.6</v>
      </c>
      <c r="R5" s="4" t="s">
        <v>53</v>
      </c>
      <c r="S5" s="4">
        <v>900</v>
      </c>
      <c r="T5" s="4">
        <v>900</v>
      </c>
      <c r="U5" s="4">
        <v>900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900</v>
      </c>
      <c r="AE5" s="4">
        <v>900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630</v>
      </c>
      <c r="AO5" s="4">
        <v>0</v>
      </c>
      <c r="AP5" s="4">
        <v>630</v>
      </c>
      <c r="AQ5" t="s">
        <v>45</v>
      </c>
      <c r="AR5" t="s">
        <v>275</v>
      </c>
    </row>
    <row r="6" spans="1:44" x14ac:dyDescent="0.4">
      <c r="A6" s="3" t="s">
        <v>42</v>
      </c>
      <c r="B6" s="3" t="s">
        <v>43</v>
      </c>
      <c r="C6" s="3" t="s">
        <v>44</v>
      </c>
      <c r="D6" s="3" t="s">
        <v>45</v>
      </c>
      <c r="E6" s="3"/>
      <c r="F6" s="3" t="s">
        <v>46</v>
      </c>
      <c r="G6" s="3" t="s">
        <v>47</v>
      </c>
      <c r="H6" s="3" t="s">
        <v>48</v>
      </c>
      <c r="I6" s="3" t="s">
        <v>49</v>
      </c>
      <c r="J6" s="3">
        <v>53581070</v>
      </c>
      <c r="K6" s="3" t="s">
        <v>208</v>
      </c>
      <c r="L6" s="3"/>
      <c r="M6" s="3"/>
      <c r="N6" s="3" t="s">
        <v>165</v>
      </c>
      <c r="O6" s="3" t="s">
        <v>52</v>
      </c>
      <c r="P6" s="3">
        <v>0.7</v>
      </c>
      <c r="Q6" s="3">
        <v>0.6</v>
      </c>
      <c r="R6" s="4" t="s">
        <v>53</v>
      </c>
      <c r="S6" s="4">
        <v>2700</v>
      </c>
      <c r="T6" s="4">
        <v>2700</v>
      </c>
      <c r="U6" s="4">
        <v>2600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100</v>
      </c>
      <c r="AD6" s="4">
        <v>2700</v>
      </c>
      <c r="AE6" s="4">
        <v>2600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100</v>
      </c>
      <c r="AN6" s="4">
        <v>1890</v>
      </c>
      <c r="AO6" s="4">
        <v>0</v>
      </c>
      <c r="AP6" s="4">
        <v>1890</v>
      </c>
      <c r="AQ6" t="s">
        <v>45</v>
      </c>
      <c r="AR6" t="s">
        <v>275</v>
      </c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AR2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1.0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56364615</v>
      </c>
      <c r="K2" s="3" t="s">
        <v>66</v>
      </c>
      <c r="L2" s="3"/>
      <c r="M2" s="3"/>
      <c r="N2" s="3" t="s">
        <v>67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500</v>
      </c>
      <c r="U2" s="4">
        <v>500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500</v>
      </c>
      <c r="AE2" s="4">
        <v>500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350</v>
      </c>
      <c r="AO2" s="4">
        <v>0</v>
      </c>
      <c r="AP2" s="4">
        <v>350</v>
      </c>
      <c r="AQ2" t="s">
        <v>45</v>
      </c>
      <c r="AR2" t="s">
        <v>67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AR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30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56149358</v>
      </c>
      <c r="K2" s="3" t="s">
        <v>57</v>
      </c>
      <c r="L2" s="3"/>
      <c r="M2" s="3"/>
      <c r="N2" s="3" t="s">
        <v>58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163300</v>
      </c>
      <c r="U2" s="4">
        <v>52800</v>
      </c>
      <c r="V2" s="4">
        <v>0</v>
      </c>
      <c r="W2" s="4">
        <v>0</v>
      </c>
      <c r="X2" s="4">
        <v>0</v>
      </c>
      <c r="Y2" s="4">
        <v>600</v>
      </c>
      <c r="Z2" s="4">
        <v>700</v>
      </c>
      <c r="AA2" s="4">
        <v>0</v>
      </c>
      <c r="AB2" s="4">
        <v>0</v>
      </c>
      <c r="AC2" s="4">
        <v>109200</v>
      </c>
      <c r="AD2" s="4">
        <v>163490</v>
      </c>
      <c r="AE2" s="4">
        <v>52800</v>
      </c>
      <c r="AF2" s="4">
        <v>0</v>
      </c>
      <c r="AG2" s="4">
        <v>0</v>
      </c>
      <c r="AH2" s="4">
        <v>0</v>
      </c>
      <c r="AI2" s="4">
        <v>720</v>
      </c>
      <c r="AJ2" s="4">
        <v>770</v>
      </c>
      <c r="AK2" s="4">
        <v>0</v>
      </c>
      <c r="AL2" s="4">
        <v>0</v>
      </c>
      <c r="AM2" s="4">
        <v>109200</v>
      </c>
      <c r="AN2" s="4">
        <v>114294</v>
      </c>
      <c r="AO2" s="4">
        <v>0</v>
      </c>
      <c r="AP2" s="4">
        <v>114294</v>
      </c>
      <c r="AQ2" t="s">
        <v>45</v>
      </c>
      <c r="AR2" t="s">
        <v>58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56149358</v>
      </c>
      <c r="K3" s="3" t="s">
        <v>57</v>
      </c>
      <c r="L3" s="3"/>
      <c r="M3" s="3"/>
      <c r="N3" s="3" t="s">
        <v>58</v>
      </c>
      <c r="O3" s="3" t="s">
        <v>52</v>
      </c>
      <c r="P3" s="3">
        <v>0.7</v>
      </c>
      <c r="Q3" s="3">
        <v>0.6</v>
      </c>
      <c r="R3" s="4" t="s">
        <v>53</v>
      </c>
      <c r="S3" s="4">
        <v>2400</v>
      </c>
      <c r="T3" s="4">
        <v>144000</v>
      </c>
      <c r="U3" s="4">
        <v>115480</v>
      </c>
      <c r="V3" s="4">
        <v>0</v>
      </c>
      <c r="W3" s="4">
        <v>0</v>
      </c>
      <c r="X3" s="4">
        <v>0</v>
      </c>
      <c r="Y3" s="4">
        <v>400</v>
      </c>
      <c r="Z3" s="4">
        <v>4800</v>
      </c>
      <c r="AA3" s="4">
        <v>0</v>
      </c>
      <c r="AB3" s="4">
        <v>0</v>
      </c>
      <c r="AC3" s="4">
        <v>23320</v>
      </c>
      <c r="AD3" s="4">
        <v>144560</v>
      </c>
      <c r="AE3" s="4">
        <v>115480</v>
      </c>
      <c r="AF3" s="4">
        <v>0</v>
      </c>
      <c r="AG3" s="4">
        <v>0</v>
      </c>
      <c r="AH3" s="4">
        <v>0</v>
      </c>
      <c r="AI3" s="4">
        <v>480</v>
      </c>
      <c r="AJ3" s="4">
        <v>5280</v>
      </c>
      <c r="AK3" s="4">
        <v>0</v>
      </c>
      <c r="AL3" s="4">
        <v>0</v>
      </c>
      <c r="AM3" s="4">
        <v>23320</v>
      </c>
      <c r="AN3" s="4">
        <v>100616</v>
      </c>
      <c r="AO3" s="4">
        <v>0</v>
      </c>
      <c r="AP3" s="4">
        <v>100616</v>
      </c>
      <c r="AQ3" t="s">
        <v>45</v>
      </c>
      <c r="AR3" t="s">
        <v>58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56149358</v>
      </c>
      <c r="K4" s="3" t="s">
        <v>57</v>
      </c>
      <c r="L4" s="3"/>
      <c r="M4" s="3"/>
      <c r="N4" s="3" t="s">
        <v>58</v>
      </c>
      <c r="O4" s="3" t="s">
        <v>52</v>
      </c>
      <c r="P4" s="3">
        <v>0.7</v>
      </c>
      <c r="Q4" s="3">
        <v>0.6</v>
      </c>
      <c r="R4" s="4" t="s">
        <v>53</v>
      </c>
      <c r="S4" s="4">
        <v>4700</v>
      </c>
      <c r="T4" s="4">
        <v>152700</v>
      </c>
      <c r="U4" s="4">
        <v>119080</v>
      </c>
      <c r="V4" s="4">
        <v>0</v>
      </c>
      <c r="W4" s="4">
        <v>0</v>
      </c>
      <c r="X4" s="4">
        <v>0</v>
      </c>
      <c r="Y4" s="4">
        <v>-100</v>
      </c>
      <c r="Z4" s="4">
        <v>17900</v>
      </c>
      <c r="AA4" s="4">
        <v>0</v>
      </c>
      <c r="AB4" s="4">
        <v>0</v>
      </c>
      <c r="AC4" s="4">
        <v>15820</v>
      </c>
      <c r="AD4" s="4">
        <v>154470</v>
      </c>
      <c r="AE4" s="4">
        <v>119080</v>
      </c>
      <c r="AF4" s="4">
        <v>0</v>
      </c>
      <c r="AG4" s="4">
        <v>0</v>
      </c>
      <c r="AH4" s="4">
        <v>0</v>
      </c>
      <c r="AI4" s="4">
        <v>-120</v>
      </c>
      <c r="AJ4" s="4">
        <v>19690</v>
      </c>
      <c r="AK4" s="4">
        <v>0</v>
      </c>
      <c r="AL4" s="4">
        <v>0</v>
      </c>
      <c r="AM4" s="4">
        <v>15820</v>
      </c>
      <c r="AN4" s="4">
        <v>106172</v>
      </c>
      <c r="AO4" s="4">
        <v>0</v>
      </c>
      <c r="AP4" s="4">
        <v>106172</v>
      </c>
      <c r="AQ4" t="s">
        <v>45</v>
      </c>
      <c r="AR4" t="s">
        <v>58</v>
      </c>
    </row>
    <row r="5" spans="1:44" x14ac:dyDescent="0.4">
      <c r="A5" s="3" t="s">
        <v>42</v>
      </c>
      <c r="B5" s="3" t="s">
        <v>43</v>
      </c>
      <c r="C5" s="3" t="s">
        <v>44</v>
      </c>
      <c r="D5" s="3" t="s">
        <v>45</v>
      </c>
      <c r="E5" s="3"/>
      <c r="F5" s="3" t="s">
        <v>46</v>
      </c>
      <c r="G5" s="3" t="s">
        <v>47</v>
      </c>
      <c r="H5" s="3" t="s">
        <v>48</v>
      </c>
      <c r="I5" s="3" t="s">
        <v>49</v>
      </c>
      <c r="J5" s="3">
        <v>56149358</v>
      </c>
      <c r="K5" s="3" t="s">
        <v>57</v>
      </c>
      <c r="L5" s="3"/>
      <c r="M5" s="3"/>
      <c r="N5" s="3" t="s">
        <v>58</v>
      </c>
      <c r="O5" s="3" t="s">
        <v>52</v>
      </c>
      <c r="P5" s="3">
        <v>0.7</v>
      </c>
      <c r="Q5" s="3">
        <v>0.6</v>
      </c>
      <c r="R5" s="4" t="s">
        <v>53</v>
      </c>
      <c r="S5" s="4">
        <v>7400</v>
      </c>
      <c r="T5" s="4">
        <v>174400</v>
      </c>
      <c r="U5" s="4">
        <v>135980</v>
      </c>
      <c r="V5" s="4">
        <v>0</v>
      </c>
      <c r="W5" s="4">
        <v>0</v>
      </c>
      <c r="X5" s="4">
        <v>0</v>
      </c>
      <c r="Y5" s="4">
        <v>0</v>
      </c>
      <c r="Z5" s="4">
        <v>7400</v>
      </c>
      <c r="AA5" s="4">
        <v>0</v>
      </c>
      <c r="AB5" s="4">
        <v>0</v>
      </c>
      <c r="AC5" s="4">
        <v>31020</v>
      </c>
      <c r="AD5" s="4">
        <v>175140</v>
      </c>
      <c r="AE5" s="4">
        <v>135980</v>
      </c>
      <c r="AF5" s="4">
        <v>0</v>
      </c>
      <c r="AG5" s="4">
        <v>0</v>
      </c>
      <c r="AH5" s="4">
        <v>0</v>
      </c>
      <c r="AI5" s="4">
        <v>0</v>
      </c>
      <c r="AJ5" s="4">
        <v>8140</v>
      </c>
      <c r="AK5" s="4">
        <v>0</v>
      </c>
      <c r="AL5" s="4">
        <v>0</v>
      </c>
      <c r="AM5" s="4">
        <v>31020</v>
      </c>
      <c r="AN5" s="4">
        <v>121784</v>
      </c>
      <c r="AO5" s="4">
        <v>0</v>
      </c>
      <c r="AP5" s="4">
        <v>121784</v>
      </c>
      <c r="AQ5" t="s">
        <v>45</v>
      </c>
      <c r="AR5" t="s">
        <v>58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AR2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31.796875" bestFit="1" customWidth="1"/>
    <col min="12" max="12" width="21.5" bestFit="1" customWidth="1"/>
    <col min="13" max="13" width="6.796875" bestFit="1" customWidth="1"/>
    <col min="14" max="14" width="8.59765625" bestFit="1" customWidth="1"/>
    <col min="15" max="15" width="10.796875" bestFit="1" customWidth="1"/>
    <col min="16" max="16" width="30" bestFit="1" customWidth="1"/>
    <col min="17" max="17" width="12.69921875" bestFit="1" customWidth="1"/>
    <col min="18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8.5976562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58824793</v>
      </c>
      <c r="K2" s="3" t="s">
        <v>267</v>
      </c>
      <c r="L2" s="3"/>
      <c r="M2" s="3"/>
      <c r="N2" s="3" t="s">
        <v>90</v>
      </c>
      <c r="O2" s="3" t="s">
        <v>52</v>
      </c>
      <c r="P2" s="3">
        <v>0.7</v>
      </c>
      <c r="Q2" s="3">
        <v>0.6</v>
      </c>
      <c r="R2" s="4" t="s">
        <v>56</v>
      </c>
      <c r="S2" s="4">
        <v>2200</v>
      </c>
      <c r="T2" s="4">
        <v>4400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4400</v>
      </c>
      <c r="AD2" s="4">
        <v>4400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4400</v>
      </c>
      <c r="AN2" s="4">
        <v>3080</v>
      </c>
      <c r="AO2" s="4">
        <v>0</v>
      </c>
      <c r="AP2" s="4">
        <v>3080</v>
      </c>
      <c r="AQ2" t="s">
        <v>45</v>
      </c>
      <c r="AR2" t="s">
        <v>90</v>
      </c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AR2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5" bestFit="1" customWidth="1"/>
    <col min="12" max="12" width="21.5" bestFit="1" customWidth="1"/>
    <col min="13" max="13" width="6.796875" bestFit="1" customWidth="1"/>
    <col min="14" max="14" width="8.59765625" bestFit="1" customWidth="1"/>
    <col min="15" max="15" width="10.796875" bestFit="1" customWidth="1"/>
    <col min="16" max="16" width="30" bestFit="1" customWidth="1"/>
    <col min="17" max="17" width="12.69921875" bestFit="1" customWidth="1"/>
    <col min="18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8.5976562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52914315</v>
      </c>
      <c r="K2" s="3" t="s">
        <v>119</v>
      </c>
      <c r="L2" s="3"/>
      <c r="M2" s="3"/>
      <c r="N2" s="3" t="s">
        <v>120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200</v>
      </c>
      <c r="U2" s="4">
        <v>200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200</v>
      </c>
      <c r="AE2" s="4">
        <v>200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140</v>
      </c>
      <c r="AO2" s="4">
        <v>0</v>
      </c>
      <c r="AP2" s="4">
        <v>140</v>
      </c>
      <c r="AQ2" t="s">
        <v>45</v>
      </c>
      <c r="AR2" t="s">
        <v>120</v>
      </c>
    </row>
  </sheetData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AR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0.6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56372121</v>
      </c>
      <c r="K2" s="3" t="s">
        <v>92</v>
      </c>
      <c r="L2" s="3"/>
      <c r="M2" s="3"/>
      <c r="N2" s="3" t="s">
        <v>93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5000</v>
      </c>
      <c r="U2" s="4">
        <v>2700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2300</v>
      </c>
      <c r="AD2" s="4">
        <v>5000</v>
      </c>
      <c r="AE2" s="4">
        <v>2700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2300</v>
      </c>
      <c r="AN2" s="4">
        <v>3500</v>
      </c>
      <c r="AO2" s="4">
        <v>0</v>
      </c>
      <c r="AP2" s="4">
        <v>3500</v>
      </c>
      <c r="AQ2" t="s">
        <v>45</v>
      </c>
      <c r="AR2" t="s">
        <v>276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56372121</v>
      </c>
      <c r="K3" s="3" t="s">
        <v>92</v>
      </c>
      <c r="L3" s="3"/>
      <c r="M3" s="3"/>
      <c r="N3" s="3" t="s">
        <v>93</v>
      </c>
      <c r="O3" s="3" t="s">
        <v>52</v>
      </c>
      <c r="P3" s="3">
        <v>0.7</v>
      </c>
      <c r="Q3" s="3">
        <v>0.6</v>
      </c>
      <c r="R3" s="4" t="s">
        <v>53</v>
      </c>
      <c r="S3" s="4">
        <v>2400</v>
      </c>
      <c r="T3" s="4">
        <v>10900</v>
      </c>
      <c r="U3" s="4">
        <v>9800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1100</v>
      </c>
      <c r="AD3" s="4">
        <v>10900</v>
      </c>
      <c r="AE3" s="4">
        <v>9800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1100</v>
      </c>
      <c r="AN3" s="4">
        <v>7630</v>
      </c>
      <c r="AO3" s="4">
        <v>0</v>
      </c>
      <c r="AP3" s="4">
        <v>7630</v>
      </c>
      <c r="AQ3" t="s">
        <v>45</v>
      </c>
      <c r="AR3" t="s">
        <v>276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56372121</v>
      </c>
      <c r="K4" s="3" t="s">
        <v>92</v>
      </c>
      <c r="L4" s="3"/>
      <c r="M4" s="3"/>
      <c r="N4" s="3" t="s">
        <v>93</v>
      </c>
      <c r="O4" s="3" t="s">
        <v>52</v>
      </c>
      <c r="P4" s="3">
        <v>0.7</v>
      </c>
      <c r="Q4" s="3">
        <v>0.6</v>
      </c>
      <c r="R4" s="4" t="s">
        <v>53</v>
      </c>
      <c r="S4" s="4">
        <v>9200</v>
      </c>
      <c r="T4" s="4">
        <v>2700</v>
      </c>
      <c r="U4" s="4">
        <v>2700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2700</v>
      </c>
      <c r="AE4" s="4">
        <v>2700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1890</v>
      </c>
      <c r="AO4" s="4">
        <v>0</v>
      </c>
      <c r="AP4" s="4">
        <v>1890</v>
      </c>
      <c r="AQ4" t="s">
        <v>45</v>
      </c>
      <c r="AR4" t="s">
        <v>276</v>
      </c>
    </row>
    <row r="5" spans="1:44" x14ac:dyDescent="0.4">
      <c r="A5" s="3" t="s">
        <v>42</v>
      </c>
      <c r="B5" s="3" t="s">
        <v>43</v>
      </c>
      <c r="C5" s="3" t="s">
        <v>44</v>
      </c>
      <c r="D5" s="3" t="s">
        <v>45</v>
      </c>
      <c r="E5" s="3"/>
      <c r="F5" s="3" t="s">
        <v>46</v>
      </c>
      <c r="G5" s="3" t="s">
        <v>47</v>
      </c>
      <c r="H5" s="3" t="s">
        <v>48</v>
      </c>
      <c r="I5" s="3" t="s">
        <v>49</v>
      </c>
      <c r="J5" s="3">
        <v>56767721</v>
      </c>
      <c r="K5" s="3" t="s">
        <v>270</v>
      </c>
      <c r="L5" s="3"/>
      <c r="M5" s="3"/>
      <c r="N5" s="3" t="s">
        <v>93</v>
      </c>
      <c r="O5" s="3" t="s">
        <v>52</v>
      </c>
      <c r="P5" s="3">
        <v>0.7</v>
      </c>
      <c r="Q5" s="3">
        <v>0.6</v>
      </c>
      <c r="R5" s="4" t="s">
        <v>56</v>
      </c>
      <c r="S5" s="4">
        <v>3200</v>
      </c>
      <c r="T5" s="4">
        <v>3200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3200</v>
      </c>
      <c r="AD5" s="4">
        <v>3200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3200</v>
      </c>
      <c r="AN5" s="4">
        <v>2240</v>
      </c>
      <c r="AO5" s="4">
        <v>0</v>
      </c>
      <c r="AP5" s="4">
        <v>2240</v>
      </c>
      <c r="AQ5" t="s">
        <v>45</v>
      </c>
      <c r="AR5" t="s">
        <v>276</v>
      </c>
    </row>
  </sheetData>
  <phoneticPr fontId="1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AR4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7.59765625" bestFit="1" customWidth="1"/>
    <col min="12" max="12" width="21.5" bestFit="1" customWidth="1"/>
    <col min="13" max="13" width="6.796875" bestFit="1" customWidth="1"/>
    <col min="14" max="14" width="7.39843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55733642</v>
      </c>
      <c r="K2" s="3" t="s">
        <v>100</v>
      </c>
      <c r="L2" s="3"/>
      <c r="M2" s="3"/>
      <c r="N2" s="3" t="s">
        <v>101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100</v>
      </c>
      <c r="U2" s="4">
        <v>100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100</v>
      </c>
      <c r="AE2" s="4">
        <v>100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70</v>
      </c>
      <c r="AO2" s="4">
        <v>0</v>
      </c>
      <c r="AP2" s="4">
        <v>70</v>
      </c>
      <c r="AQ2" t="s">
        <v>45</v>
      </c>
      <c r="AR2" t="s">
        <v>101</v>
      </c>
    </row>
    <row r="3" spans="1:44" x14ac:dyDescent="0.4">
      <c r="A3" s="3" t="s">
        <v>42</v>
      </c>
      <c r="B3" s="3" t="s">
        <v>43</v>
      </c>
      <c r="C3" s="3" t="s">
        <v>44</v>
      </c>
      <c r="D3" s="3" t="s">
        <v>45</v>
      </c>
      <c r="E3" s="3"/>
      <c r="F3" s="3" t="s">
        <v>46</v>
      </c>
      <c r="G3" s="3" t="s">
        <v>47</v>
      </c>
      <c r="H3" s="3" t="s">
        <v>48</v>
      </c>
      <c r="I3" s="3" t="s">
        <v>49</v>
      </c>
      <c r="J3" s="3">
        <v>55733642</v>
      </c>
      <c r="K3" s="3" t="s">
        <v>100</v>
      </c>
      <c r="L3" s="3"/>
      <c r="M3" s="3"/>
      <c r="N3" s="3" t="s">
        <v>101</v>
      </c>
      <c r="O3" s="3" t="s">
        <v>52</v>
      </c>
      <c r="P3" s="3">
        <v>0.7</v>
      </c>
      <c r="Q3" s="3">
        <v>0.6</v>
      </c>
      <c r="R3" s="4" t="s">
        <v>53</v>
      </c>
      <c r="S3" s="4">
        <v>900</v>
      </c>
      <c r="T3" s="4">
        <v>1800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1800</v>
      </c>
      <c r="AD3" s="4">
        <v>1800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1800</v>
      </c>
      <c r="AN3" s="4">
        <v>1260</v>
      </c>
      <c r="AO3" s="4">
        <v>0</v>
      </c>
      <c r="AP3" s="4">
        <v>1260</v>
      </c>
      <c r="AQ3" t="s">
        <v>45</v>
      </c>
      <c r="AR3" t="s">
        <v>101</v>
      </c>
    </row>
    <row r="4" spans="1:44" x14ac:dyDescent="0.4">
      <c r="A4" s="3" t="s">
        <v>42</v>
      </c>
      <c r="B4" s="3" t="s">
        <v>43</v>
      </c>
      <c r="C4" s="3" t="s">
        <v>44</v>
      </c>
      <c r="D4" s="3" t="s">
        <v>45</v>
      </c>
      <c r="E4" s="3"/>
      <c r="F4" s="3" t="s">
        <v>46</v>
      </c>
      <c r="G4" s="3" t="s">
        <v>47</v>
      </c>
      <c r="H4" s="3" t="s">
        <v>48</v>
      </c>
      <c r="I4" s="3" t="s">
        <v>49</v>
      </c>
      <c r="J4" s="3">
        <v>55733642</v>
      </c>
      <c r="K4" s="3" t="s">
        <v>100</v>
      </c>
      <c r="L4" s="3"/>
      <c r="M4" s="3"/>
      <c r="N4" s="3" t="s">
        <v>101</v>
      </c>
      <c r="O4" s="3" t="s">
        <v>52</v>
      </c>
      <c r="P4" s="3">
        <v>0.7</v>
      </c>
      <c r="Q4" s="3">
        <v>0.6</v>
      </c>
      <c r="R4" s="4" t="s">
        <v>53</v>
      </c>
      <c r="S4" s="4">
        <v>4500</v>
      </c>
      <c r="T4" s="4">
        <v>14500</v>
      </c>
      <c r="U4" s="4">
        <v>12800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1700</v>
      </c>
      <c r="AD4" s="4">
        <v>14500</v>
      </c>
      <c r="AE4" s="4">
        <v>12800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1700</v>
      </c>
      <c r="AN4" s="4">
        <v>10150</v>
      </c>
      <c r="AO4" s="4">
        <v>0</v>
      </c>
      <c r="AP4" s="4">
        <v>10150</v>
      </c>
      <c r="AQ4" t="s">
        <v>45</v>
      </c>
      <c r="AR4" t="s">
        <v>101</v>
      </c>
    </row>
  </sheetData>
  <phoneticPr fontId="1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AR2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5.8984375" bestFit="1" customWidth="1"/>
    <col min="12" max="12" width="21.5" bestFit="1" customWidth="1"/>
    <col min="13" max="13" width="6.796875" bestFit="1" customWidth="1"/>
    <col min="14" max="14" width="15" bestFit="1" customWidth="1"/>
    <col min="15" max="15" width="10.796875" bestFit="1" customWidth="1"/>
    <col min="16" max="16" width="30" bestFit="1" customWidth="1"/>
    <col min="17" max="17" width="12.69921875" bestFit="1" customWidth="1"/>
    <col min="18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1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  <c r="AQ1" s="6" t="s">
        <v>271</v>
      </c>
      <c r="AR1" s="7" t="s">
        <v>272</v>
      </c>
    </row>
    <row r="2" spans="1:44" ht="18" thickTop="1" x14ac:dyDescent="0.4">
      <c r="A2" s="3" t="s">
        <v>42</v>
      </c>
      <c r="B2" s="3" t="s">
        <v>43</v>
      </c>
      <c r="C2" s="3" t="s">
        <v>44</v>
      </c>
      <c r="D2" s="3" t="s">
        <v>45</v>
      </c>
      <c r="E2" s="3"/>
      <c r="F2" s="3" t="s">
        <v>46</v>
      </c>
      <c r="G2" s="3" t="s">
        <v>47</v>
      </c>
      <c r="H2" s="3" t="s">
        <v>48</v>
      </c>
      <c r="I2" s="3" t="s">
        <v>49</v>
      </c>
      <c r="J2" s="3">
        <v>52056660</v>
      </c>
      <c r="K2" s="3" t="s">
        <v>268</v>
      </c>
      <c r="L2" s="3"/>
      <c r="M2" s="3"/>
      <c r="N2" s="3" t="s">
        <v>269</v>
      </c>
      <c r="O2" s="3" t="s">
        <v>52</v>
      </c>
      <c r="P2" s="3">
        <v>0.7</v>
      </c>
      <c r="Q2" s="3">
        <v>0.6</v>
      </c>
      <c r="R2" s="4" t="s">
        <v>56</v>
      </c>
      <c r="S2" s="4">
        <v>100</v>
      </c>
      <c r="T2" s="4">
        <v>700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700</v>
      </c>
      <c r="AD2" s="4">
        <v>700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700</v>
      </c>
      <c r="AN2" s="4">
        <v>490</v>
      </c>
      <c r="AO2" s="4">
        <v>0</v>
      </c>
      <c r="AP2" s="4">
        <v>490</v>
      </c>
      <c r="AQ2" t="s">
        <v>45</v>
      </c>
      <c r="AR2" t="s">
        <v>269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58</vt:i4>
      </vt:variant>
      <vt:variant>
        <vt:lpstr>이름이 지정된 범위</vt:lpstr>
      </vt:variant>
      <vt:variant>
        <vt:i4>57</vt:i4>
      </vt:variant>
    </vt:vector>
  </HeadingPairs>
  <TitlesOfParts>
    <vt:vector size="115" baseType="lpstr">
      <vt:lpstr>일반계약(5)</vt:lpstr>
      <vt:lpstr>김정률</vt:lpstr>
      <vt:lpstr>파란영</vt:lpstr>
      <vt:lpstr>제외</vt:lpstr>
      <vt:lpstr>전혁</vt:lpstr>
      <vt:lpstr>권용찬</vt:lpstr>
      <vt:lpstr>한보연</vt:lpstr>
      <vt:lpstr>아타락시아</vt:lpstr>
      <vt:lpstr>블랙커피</vt:lpstr>
      <vt:lpstr>주이서</vt:lpstr>
      <vt:lpstr>아슈크림</vt:lpstr>
      <vt:lpstr>이로세</vt:lpstr>
      <vt:lpstr>DION(디온)</vt:lpstr>
      <vt:lpstr>밈스</vt:lpstr>
      <vt:lpstr>서도연</vt:lpstr>
      <vt:lpstr>독고진</vt:lpstr>
      <vt:lpstr>문스톤</vt:lpstr>
      <vt:lpstr>블 루 스 카 이</vt:lpstr>
      <vt:lpstr>한례</vt:lpstr>
      <vt:lpstr>징구빙구</vt:lpstr>
      <vt:lpstr>김너울</vt:lpstr>
      <vt:lpstr>마뇽</vt:lpstr>
      <vt:lpstr>스내치</vt:lpstr>
      <vt:lpstr>차홍주</vt:lpstr>
      <vt:lpstr>박도아</vt:lpstr>
      <vt:lpstr>모리미</vt:lpstr>
      <vt:lpstr>셔틀</vt:lpstr>
      <vt:lpstr>한서나</vt:lpstr>
      <vt:lpstr>꽃잠</vt:lpstr>
      <vt:lpstr>양이율</vt:lpstr>
      <vt:lpstr>진문</vt:lpstr>
      <vt:lpstr>진새벽</vt:lpstr>
      <vt:lpstr>구이</vt:lpstr>
      <vt:lpstr>두나래</vt:lpstr>
      <vt:lpstr>AliceW</vt:lpstr>
      <vt:lpstr>백열음</vt:lpstr>
      <vt:lpstr>먼나무</vt:lpstr>
      <vt:lpstr>테레자</vt:lpstr>
      <vt:lpstr>윤비밀</vt:lpstr>
      <vt:lpstr>레드트러블</vt:lpstr>
      <vt:lpstr>엘리신</vt:lpstr>
      <vt:lpstr>진숙</vt:lpstr>
      <vt:lpstr>쇠렌센</vt:lpstr>
      <vt:lpstr>라비니안느</vt:lpstr>
      <vt:lpstr>해달화영</vt:lpstr>
      <vt:lpstr>김온별</vt:lpstr>
      <vt:lpstr>Livingston</vt:lpstr>
      <vt:lpstr>세상</vt:lpstr>
      <vt:lpstr>무성매직</vt:lpstr>
      <vt:lpstr>빵양이</vt:lpstr>
      <vt:lpstr>아이리스</vt:lpstr>
      <vt:lpstr>온서</vt:lpstr>
      <vt:lpstr>윈델</vt:lpstr>
      <vt:lpstr>부엉이콩</vt:lpstr>
      <vt:lpstr>빨강뽀뽀</vt:lpstr>
      <vt:lpstr>청빙</vt:lpstr>
      <vt:lpstr>모리미J</vt:lpstr>
      <vt:lpstr>디버스 대도서관</vt:lpstr>
      <vt:lpstr>AliceW!Extract</vt:lpstr>
      <vt:lpstr>'DION(디온)'!Extract</vt:lpstr>
      <vt:lpstr>Livingston!Extract</vt:lpstr>
      <vt:lpstr>구이!Extract</vt:lpstr>
      <vt:lpstr>권용찬!Extract</vt:lpstr>
      <vt:lpstr>김너울!Extract</vt:lpstr>
      <vt:lpstr>김온별!Extract</vt:lpstr>
      <vt:lpstr>김정률!Extract</vt:lpstr>
      <vt:lpstr>꽃잠!Extract</vt:lpstr>
      <vt:lpstr>독고진!Extract</vt:lpstr>
      <vt:lpstr>두나래!Extract</vt:lpstr>
      <vt:lpstr>'디버스 대도서관'!Extract</vt:lpstr>
      <vt:lpstr>라비니안느!Extract</vt:lpstr>
      <vt:lpstr>레드트러블!Extract</vt:lpstr>
      <vt:lpstr>마뇽!Extract</vt:lpstr>
      <vt:lpstr>먼나무!Extract</vt:lpstr>
      <vt:lpstr>모리미!Extract</vt:lpstr>
      <vt:lpstr>모리미J!Extract</vt:lpstr>
      <vt:lpstr>무성매직!Extract</vt:lpstr>
      <vt:lpstr>문스톤!Extract</vt:lpstr>
      <vt:lpstr>밈스!Extract</vt:lpstr>
      <vt:lpstr>박도아!Extract</vt:lpstr>
      <vt:lpstr>백열음!Extract</vt:lpstr>
      <vt:lpstr>부엉이콩!Extract</vt:lpstr>
      <vt:lpstr>'블 루 스 카 이'!Extract</vt:lpstr>
      <vt:lpstr>블랙커피!Extract</vt:lpstr>
      <vt:lpstr>빨강뽀뽀!Extract</vt:lpstr>
      <vt:lpstr>빵양이!Extract</vt:lpstr>
      <vt:lpstr>서도연!Extract</vt:lpstr>
      <vt:lpstr>세상!Extract</vt:lpstr>
      <vt:lpstr>셔틀!Extract</vt:lpstr>
      <vt:lpstr>쇠렌센!Extract</vt:lpstr>
      <vt:lpstr>스내치!Extract</vt:lpstr>
      <vt:lpstr>아슈크림!Extract</vt:lpstr>
      <vt:lpstr>아이리스!Extract</vt:lpstr>
      <vt:lpstr>아타락시아!Extract</vt:lpstr>
      <vt:lpstr>양이율!Extract</vt:lpstr>
      <vt:lpstr>엘리신!Extract</vt:lpstr>
      <vt:lpstr>온서!Extract</vt:lpstr>
      <vt:lpstr>윈델!Extract</vt:lpstr>
      <vt:lpstr>윤비밀!Extract</vt:lpstr>
      <vt:lpstr>이로세!Extract</vt:lpstr>
      <vt:lpstr>전혁!Extract</vt:lpstr>
      <vt:lpstr>제외!Extract</vt:lpstr>
      <vt:lpstr>주이서!Extract</vt:lpstr>
      <vt:lpstr>진문!Extract</vt:lpstr>
      <vt:lpstr>진새벽!Extract</vt:lpstr>
      <vt:lpstr>진숙!Extract</vt:lpstr>
      <vt:lpstr>징구빙구!Extract</vt:lpstr>
      <vt:lpstr>차홍주!Extract</vt:lpstr>
      <vt:lpstr>청빙!Extract</vt:lpstr>
      <vt:lpstr>테레자!Extract</vt:lpstr>
      <vt:lpstr>파란영!Extract</vt:lpstr>
      <vt:lpstr>한례!Extract</vt:lpstr>
      <vt:lpstr>한보연!Extract</vt:lpstr>
      <vt:lpstr>한서나!Extract</vt:lpstr>
      <vt:lpstr>해달화영!Extract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2022-06-09T07:18:32Z</dcterms:modified>
</cp:coreProperties>
</file>