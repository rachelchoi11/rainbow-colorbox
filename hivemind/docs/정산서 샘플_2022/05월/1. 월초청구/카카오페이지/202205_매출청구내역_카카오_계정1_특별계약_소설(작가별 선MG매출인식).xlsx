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5월 마감\1. 월초청구\카카오페이지\"/>
    </mc:Choice>
  </mc:AlternateContent>
  <bookViews>
    <workbookView xWindow="0" yWindow="0" windowWidth="23040" windowHeight="9300" tabRatio="595" activeTab="1"/>
  </bookViews>
  <sheets>
    <sheet name="특별계약(5)" sheetId="97" r:id="rId1"/>
    <sheet name="김광수" sheetId="123" r:id="rId2"/>
    <sheet name="김정연" sheetId="124" r:id="rId3"/>
    <sheet name="김운담" sheetId="125" r:id="rId4"/>
    <sheet name="틴타" sheetId="126" r:id="rId5"/>
    <sheet name="프레인" sheetId="127" r:id="rId6"/>
    <sheet name="아이리스" sheetId="128" r:id="rId7"/>
    <sheet name="몸서리" sheetId="129" r:id="rId8"/>
  </sheets>
  <definedNames>
    <definedName name="_xlnm._FilterDatabase" localSheetId="0" hidden="1">'특별계약(5)'!$A$1:$AP$56</definedName>
    <definedName name="_xlnm.Extract" localSheetId="1">김광수!$A$1:$AP$1</definedName>
    <definedName name="_xlnm.Extract" localSheetId="3">김운담!$A$1:$AP$1</definedName>
    <definedName name="_xlnm.Extract" localSheetId="2">김정연!$A$1:$AP$1</definedName>
    <definedName name="_xlnm.Extract" localSheetId="7">몸서리!$A$1:$AP$1</definedName>
    <definedName name="_xlnm.Extract" localSheetId="6">아이리스!$A$1:$AP$1</definedName>
    <definedName name="_xlnm.Extract" localSheetId="0">'특별계약(5)'!#REF!</definedName>
    <definedName name="_xlnm.Extract" localSheetId="4">틴타!$A$1:$AP$1</definedName>
    <definedName name="_xlnm.Extract" localSheetId="5">프레인!$A$1:$AP$1</definedName>
  </definedNames>
  <calcPr calcId="152511"/>
</workbook>
</file>

<file path=xl/calcChain.xml><?xml version="1.0" encoding="utf-8"?>
<calcChain xmlns="http://schemas.openxmlformats.org/spreadsheetml/2006/main">
  <c r="D17" i="129" l="1"/>
  <c r="B18" i="129"/>
  <c r="C18" i="129"/>
  <c r="AP6" i="129"/>
  <c r="C17" i="129" s="1"/>
  <c r="D10" i="129"/>
  <c r="D11" i="129" s="1"/>
  <c r="D12" i="129" s="1"/>
  <c r="D13" i="129" s="1"/>
  <c r="D14" i="129" s="1"/>
  <c r="D15" i="129" s="1"/>
  <c r="C18" i="128"/>
  <c r="D15" i="128"/>
  <c r="AP10" i="128"/>
  <c r="C15" i="128"/>
  <c r="D14" i="128"/>
  <c r="B18" i="128"/>
  <c r="C14" i="127"/>
  <c r="D12" i="127"/>
  <c r="B14" i="127"/>
  <c r="AP6" i="127"/>
  <c r="C12" i="127" s="1"/>
  <c r="D10" i="127"/>
  <c r="D12" i="126"/>
  <c r="AP6" i="126"/>
  <c r="C12" i="126" s="1"/>
  <c r="C14" i="126" s="1"/>
  <c r="B14" i="126"/>
  <c r="C15" i="125"/>
  <c r="D10" i="126"/>
  <c r="D11" i="125"/>
  <c r="AP6" i="125"/>
  <c r="C11" i="125" s="1"/>
  <c r="D10" i="125"/>
  <c r="B15" i="125"/>
  <c r="B13" i="124"/>
  <c r="C13" i="124"/>
  <c r="D11" i="124"/>
  <c r="C11" i="124"/>
  <c r="AP3" i="124"/>
  <c r="D7" i="124"/>
  <c r="D8" i="124" s="1"/>
  <c r="D9" i="124" s="1"/>
  <c r="C90" i="123"/>
  <c r="D88" i="123"/>
  <c r="AP31" i="123"/>
  <c r="C88" i="123" s="1"/>
  <c r="B90" i="123"/>
  <c r="D70" i="123"/>
  <c r="D71" i="123" s="1"/>
  <c r="D72" i="123" s="1"/>
  <c r="D73" i="123" s="1"/>
  <c r="D74" i="123" s="1"/>
  <c r="D75" i="123" s="1"/>
  <c r="D76" i="123" s="1"/>
  <c r="D77" i="123" s="1"/>
  <c r="D78" i="123" s="1"/>
  <c r="D79" i="123" s="1"/>
  <c r="D80" i="123" s="1"/>
  <c r="D81" i="123" s="1"/>
  <c r="D82" i="123" s="1"/>
  <c r="D83" i="123" s="1"/>
  <c r="D84" i="123" s="1"/>
  <c r="D85" i="123" s="1"/>
  <c r="D86" i="123" s="1"/>
  <c r="D87" i="123" s="1"/>
  <c r="D16" i="129" l="1"/>
  <c r="D11" i="127"/>
  <c r="D11" i="126"/>
  <c r="D10" i="124"/>
  <c r="AP56" i="97" l="1"/>
</calcChain>
</file>

<file path=xl/comments1.xml><?xml version="1.0" encoding="utf-8"?>
<comments xmlns="http://schemas.openxmlformats.org/spreadsheetml/2006/main">
  <authors>
    <author>정승민(웹소설사업팀)</author>
    <author>jihui</author>
    <author>storywiz</author>
  </authors>
  <commentList>
    <comment ref="B62" authorId="0" shapeId="0">
      <text>
        <r>
          <rPr>
            <b/>
            <sz val="9"/>
            <color indexed="81"/>
            <rFont val="돋움"/>
            <family val="3"/>
            <charset val="129"/>
          </rPr>
          <t>계약체결일</t>
        </r>
        <r>
          <rPr>
            <b/>
            <sz val="9"/>
            <color indexed="81"/>
            <rFont val="Tahoma"/>
            <family val="2"/>
          </rPr>
          <t>: 200403</t>
        </r>
      </text>
    </comment>
    <comment ref="B65" authorId="1" shapeId="0">
      <text>
        <r>
          <rPr>
            <b/>
            <sz val="9"/>
            <color indexed="81"/>
            <rFont val="Tahoma"/>
            <family val="2"/>
          </rPr>
          <t>20.06.30</t>
        </r>
        <r>
          <rPr>
            <b/>
            <sz val="9"/>
            <color indexed="81"/>
            <rFont val="돋움"/>
            <family val="3"/>
            <charset val="129"/>
          </rPr>
          <t>계약</t>
        </r>
      </text>
    </comment>
    <comment ref="B68" authorId="1" shapeId="0">
      <text>
        <r>
          <rPr>
            <b/>
            <sz val="9"/>
            <color indexed="81"/>
            <rFont val="Tahoma"/>
            <family val="2"/>
          </rPr>
          <t>2020.09.20</t>
        </r>
        <r>
          <rPr>
            <b/>
            <sz val="9"/>
            <color indexed="81"/>
            <rFont val="돋움"/>
            <family val="3"/>
            <charset val="129"/>
          </rPr>
          <t>계약</t>
        </r>
      </text>
    </comment>
    <comment ref="B70" authorId="1" shapeId="0">
      <text>
        <r>
          <rPr>
            <b/>
            <sz val="9"/>
            <color indexed="81"/>
            <rFont val="Tahoma"/>
            <family val="2"/>
          </rPr>
          <t>18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계약</t>
        </r>
        <r>
          <rPr>
            <b/>
            <sz val="9"/>
            <color indexed="81"/>
            <rFont val="Tahoma"/>
            <family val="2"/>
          </rPr>
          <t xml:space="preserve">(11.30)
</t>
        </r>
      </text>
    </comment>
    <comment ref="A73" authorId="1" shapeId="0">
      <text>
        <r>
          <rPr>
            <b/>
            <sz val="9"/>
            <color indexed="81"/>
            <rFont val="돋움"/>
            <family val="3"/>
            <charset val="129"/>
          </rPr>
          <t>일시인식</t>
        </r>
        <r>
          <rPr>
            <b/>
            <sz val="9"/>
            <color indexed="81"/>
            <rFont val="Tahoma"/>
            <family val="2"/>
          </rPr>
          <t>-&gt;</t>
        </r>
        <r>
          <rPr>
            <b/>
            <sz val="9"/>
            <color indexed="81"/>
            <rFont val="돋움"/>
            <family val="3"/>
            <charset val="129"/>
          </rPr>
          <t>분할인식으로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
당월매출</t>
        </r>
        <r>
          <rPr>
            <b/>
            <sz val="9"/>
            <color indexed="81"/>
            <rFont val="Tahoma"/>
            <family val="2"/>
          </rPr>
          <t xml:space="preserve"> 11,866,625-7,191,910(18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잔여</t>
        </r>
        <r>
          <rPr>
            <b/>
            <sz val="9"/>
            <color indexed="81"/>
            <rFont val="Tahoma"/>
            <family val="2"/>
          </rPr>
          <t xml:space="preserve"> MG)=4,674,715</t>
        </r>
        <r>
          <rPr>
            <b/>
            <sz val="9"/>
            <color indexed="81"/>
            <rFont val="돋움"/>
            <family val="3"/>
            <charset val="129"/>
          </rPr>
          <t>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매출인식</t>
        </r>
      </text>
    </comment>
    <comment ref="B73" authorId="1" shapeId="0">
      <text>
        <r>
          <rPr>
            <b/>
            <sz val="9"/>
            <color indexed="81"/>
            <rFont val="Tahoma"/>
            <family val="2"/>
          </rPr>
          <t>19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>(2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>28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B77" authorId="1" shapeId="0">
      <text>
        <r>
          <rPr>
            <b/>
            <sz val="9"/>
            <color indexed="81"/>
            <rFont val="Tahoma"/>
            <family val="2"/>
          </rPr>
          <t>20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>(6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>3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B79" authorId="1" shapeId="0">
      <text>
        <r>
          <rPr>
            <b/>
            <sz val="9"/>
            <color indexed="81"/>
            <rFont val="Tahoma"/>
            <family val="2"/>
          </rPr>
          <t>21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계약</t>
        </r>
        <r>
          <rPr>
            <b/>
            <sz val="9"/>
            <color indexed="81"/>
            <rFont val="Tahoma"/>
            <family val="2"/>
          </rPr>
          <t>(08.25)</t>
        </r>
      </text>
    </comment>
    <comment ref="B81" authorId="1" shapeId="0">
      <text>
        <r>
          <rPr>
            <b/>
            <sz val="9"/>
            <color indexed="81"/>
            <rFont val="Tahoma"/>
            <family val="2"/>
          </rPr>
          <t>22,23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계약</t>
        </r>
        <r>
          <rPr>
            <b/>
            <sz val="9"/>
            <color indexed="81"/>
            <rFont val="Tahoma"/>
            <family val="2"/>
          </rPr>
          <t>(10.12/10.25)</t>
        </r>
      </text>
    </comment>
    <comment ref="B82" authorId="1" shapeId="0">
      <text>
        <r>
          <rPr>
            <b/>
            <sz val="9"/>
            <color indexed="81"/>
            <rFont val="Tahoma"/>
            <family val="2"/>
          </rPr>
          <t>11.23_24</t>
        </r>
        <r>
          <rPr>
            <b/>
            <sz val="9"/>
            <color indexed="81"/>
            <rFont val="돋움"/>
            <family val="3"/>
            <charset val="129"/>
          </rPr>
          <t xml:space="preserve">차
</t>
        </r>
      </text>
    </comment>
    <comment ref="B84" authorId="1" shapeId="0">
      <text>
        <r>
          <rPr>
            <b/>
            <sz val="9"/>
            <color indexed="81"/>
            <rFont val="Tahoma"/>
            <family val="2"/>
          </rPr>
          <t>25</t>
        </r>
        <r>
          <rPr>
            <b/>
            <sz val="9"/>
            <color indexed="81"/>
            <rFont val="돋움"/>
            <family val="3"/>
            <charset val="129"/>
          </rPr>
          <t xml:space="preserve">차
</t>
        </r>
      </text>
    </comment>
    <comment ref="B85" authorId="1" shapeId="0">
      <text>
        <r>
          <rPr>
            <b/>
            <sz val="9"/>
            <color indexed="81"/>
            <rFont val="Tahoma"/>
            <family val="2"/>
          </rPr>
          <t>26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2.15</t>
        </r>
      </text>
    </comment>
    <comment ref="B87" authorId="2" shapeId="0">
      <text>
        <r>
          <rPr>
            <b/>
            <sz val="9"/>
            <color indexed="81"/>
            <rFont val="Tahoma"/>
            <family val="2"/>
          </rPr>
          <t>27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4.4</t>
        </r>
      </text>
    </comment>
    <comment ref="B88" authorId="2" shapeId="0">
      <text>
        <r>
          <rPr>
            <b/>
            <sz val="9"/>
            <color indexed="81"/>
            <rFont val="Tahoma"/>
            <family val="2"/>
          </rPr>
          <t>28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5.20</t>
        </r>
      </text>
    </comment>
  </commentList>
</comments>
</file>

<file path=xl/comments2.xml><?xml version="1.0" encoding="utf-8"?>
<comments xmlns="http://schemas.openxmlformats.org/spreadsheetml/2006/main">
  <authors>
    <author>storywiz</author>
  </authors>
  <commentList>
    <comment ref="C10" authorId="0" shapeId="0">
      <text>
        <r>
          <rPr>
            <b/>
            <sz val="9"/>
            <color indexed="81"/>
            <rFont val="돋움"/>
            <family val="3"/>
            <charset val="129"/>
          </rPr>
          <t>태랑</t>
        </r>
        <r>
          <rPr>
            <b/>
            <sz val="9"/>
            <color indexed="81"/>
            <rFont val="Tahoma"/>
            <family val="2"/>
          </rPr>
          <t xml:space="preserve"> MG</t>
        </r>
        <r>
          <rPr>
            <b/>
            <sz val="9"/>
            <color indexed="81"/>
            <rFont val="돋움"/>
            <family val="3"/>
            <charset val="129"/>
          </rPr>
          <t>차감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누적액</t>
        </r>
      </text>
    </comment>
  </commentList>
</comments>
</file>

<file path=xl/comments3.xml><?xml version="1.0" encoding="utf-8"?>
<comments xmlns="http://schemas.openxmlformats.org/spreadsheetml/2006/main">
  <authors>
    <author>storywiz</author>
  </authors>
  <commentList>
    <comment ref="C10" authorId="0" shapeId="0">
      <text>
        <r>
          <rPr>
            <b/>
            <sz val="9"/>
            <color indexed="81"/>
            <rFont val="돋움"/>
            <family val="3"/>
            <charset val="129"/>
          </rPr>
          <t>태랑</t>
        </r>
        <r>
          <rPr>
            <b/>
            <sz val="9"/>
            <color indexed="81"/>
            <rFont val="Tahoma"/>
            <family val="2"/>
          </rPr>
          <t xml:space="preserve"> MG</t>
        </r>
        <r>
          <rPr>
            <b/>
            <sz val="9"/>
            <color indexed="81"/>
            <rFont val="돋움"/>
            <family val="3"/>
            <charset val="129"/>
          </rPr>
          <t>차감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누적금액</t>
        </r>
      </text>
    </comment>
  </commentList>
</comments>
</file>

<file path=xl/sharedStrings.xml><?xml version="1.0" encoding="utf-8"?>
<sst xmlns="http://schemas.openxmlformats.org/spreadsheetml/2006/main" count="1785" uniqueCount="119">
  <si>
    <t>특별/일반</t>
  </si>
  <si>
    <t>사업자명</t>
  </si>
  <si>
    <t>사업자번호</t>
  </si>
  <si>
    <t>발행자명</t>
  </si>
  <si>
    <t>계약UID</t>
  </si>
  <si>
    <t>계약유형</t>
  </si>
  <si>
    <t>계약(과/면세)</t>
  </si>
  <si>
    <t>당월신규계약여부</t>
  </si>
  <si>
    <t>카테고리</t>
  </si>
  <si>
    <t>시리즈ID</t>
  </si>
  <si>
    <t>시리즈명</t>
  </si>
  <si>
    <t>작가명</t>
  </si>
  <si>
    <t>ISBN(유/무)</t>
  </si>
  <si>
    <t>CP정산율_안드로이드/이벤트캐시</t>
  </si>
  <si>
    <t>CP정산율_iOS</t>
  </si>
  <si>
    <t>이용권 종류</t>
  </si>
  <si>
    <t>이용권 금액</t>
  </si>
  <si>
    <t>공급가액</t>
  </si>
  <si>
    <t>부가세</t>
  </si>
  <si>
    <t>공급대가</t>
  </si>
  <si>
    <t>면세</t>
  </si>
  <si>
    <t>N</t>
  </si>
  <si>
    <t>소설</t>
  </si>
  <si>
    <t>Y</t>
  </si>
  <si>
    <t>시리즈 이용권 패키지</t>
  </si>
  <si>
    <t>단일 이용권</t>
  </si>
  <si>
    <t>캐시_합계</t>
    <phoneticPr fontId="3" type="noConversion"/>
  </si>
  <si>
    <t>캐시_CPP</t>
    <phoneticPr fontId="3" type="noConversion"/>
  </si>
  <si>
    <t>캐시_CPI</t>
    <phoneticPr fontId="3" type="noConversion"/>
  </si>
  <si>
    <t>캐시_CP1</t>
    <phoneticPr fontId="3" type="noConversion"/>
  </si>
  <si>
    <t>캐시_CP2</t>
    <phoneticPr fontId="3" type="noConversion"/>
  </si>
  <si>
    <t>캐시_CP3</t>
    <phoneticPr fontId="3" type="noConversion"/>
  </si>
  <si>
    <t>캐시_CP7</t>
    <phoneticPr fontId="3" type="noConversion"/>
  </si>
  <si>
    <t>캐시_CP8</t>
    <phoneticPr fontId="3" type="noConversion"/>
  </si>
  <si>
    <t>캐시_CP9</t>
    <phoneticPr fontId="3" type="noConversion"/>
  </si>
  <si>
    <t>캐시_이벤트캐시</t>
    <phoneticPr fontId="3" type="noConversion"/>
  </si>
  <si>
    <t>원화_합계</t>
    <phoneticPr fontId="3" type="noConversion"/>
  </si>
  <si>
    <t>원화_CPP</t>
    <phoneticPr fontId="3" type="noConversion"/>
  </si>
  <si>
    <t>원화_CPI</t>
    <phoneticPr fontId="3" type="noConversion"/>
  </si>
  <si>
    <t>원화_CP1</t>
    <phoneticPr fontId="3" type="noConversion"/>
  </si>
  <si>
    <t>원화_CP2</t>
    <phoneticPr fontId="3" type="noConversion"/>
  </si>
  <si>
    <t>원화_CP3</t>
    <phoneticPr fontId="3" type="noConversion"/>
  </si>
  <si>
    <t>원화_CP7</t>
    <phoneticPr fontId="3" type="noConversion"/>
  </si>
  <si>
    <t>원화_CP8</t>
    <phoneticPr fontId="3" type="noConversion"/>
  </si>
  <si>
    <t>원화_CP9</t>
    <phoneticPr fontId="3" type="noConversion"/>
  </si>
  <si>
    <t>원화_이벤트캐시</t>
    <phoneticPr fontId="3" type="noConversion"/>
  </si>
  <si>
    <t>레이블</t>
    <phoneticPr fontId="1" type="noConversion"/>
  </si>
  <si>
    <t>발행자가 부여하는 코드</t>
    <phoneticPr fontId="1" type="noConversion"/>
  </si>
  <si>
    <t>특별계약</t>
  </si>
  <si>
    <t>선투자</t>
  </si>
  <si>
    <t>김광수</t>
  </si>
  <si>
    <t>21세기 대마법사</t>
  </si>
  <si>
    <t>회귀의 전설</t>
  </si>
  <si>
    <t>영웅</t>
  </si>
  <si>
    <t>마계대공 연대기</t>
  </si>
  <si>
    <t>마스터K</t>
  </si>
  <si>
    <t>주식회사 스토리위즈</t>
  </si>
  <si>
    <t>3828601768</t>
  </si>
  <si>
    <t>스토리위즈</t>
  </si>
  <si>
    <t>1943.0</t>
  </si>
  <si>
    <t>회귀의 전설 [단행본]</t>
  </si>
  <si>
    <t>화산지애 [단행본]</t>
  </si>
  <si>
    <t>단일 대여 이용권</t>
  </si>
  <si>
    <t>21세기 대마법사 [단행본]</t>
  </si>
  <si>
    <t>마계대공 연대기 [단행본]</t>
  </si>
  <si>
    <t>마스터K [단행본]</t>
  </si>
  <si>
    <t>프리 나이트 [단행본]</t>
  </si>
  <si>
    <t>포르트무스</t>
  </si>
  <si>
    <t>영웅 [단행본][개정판]</t>
  </si>
  <si>
    <t>2995.0</t>
  </si>
  <si>
    <t>혼자서는 못 해요</t>
  </si>
  <si>
    <t>몸서리</t>
  </si>
  <si>
    <t>3167.0</t>
  </si>
  <si>
    <t>세자마마의 은밀한 취향</t>
  </si>
  <si>
    <t>김정연</t>
  </si>
  <si>
    <t>3516.0</t>
  </si>
  <si>
    <t>그 팀플 게임의 엔딩을 보는 방법</t>
  </si>
  <si>
    <t>김운담</t>
  </si>
  <si>
    <t>3587.0</t>
  </si>
  <si>
    <t>천사의 아이</t>
  </si>
  <si>
    <t>틴타</t>
  </si>
  <si>
    <t>3588.0</t>
  </si>
  <si>
    <t>멸망한 세계로부터</t>
  </si>
  <si>
    <t>프레인</t>
  </si>
  <si>
    <t>3590.0</t>
  </si>
  <si>
    <t>내 남편의 열렬한 구애</t>
  </si>
  <si>
    <t>아이리스</t>
  </si>
  <si>
    <t>지극히 신사적인</t>
  </si>
  <si>
    <t>시리즈 대여 이용권 패키지</t>
  </si>
  <si>
    <t>바람의 기사, 아르테온 [단행본]</t>
  </si>
  <si>
    <t>ㅇ MG차감 내역</t>
    <phoneticPr fontId="1" type="noConversion"/>
  </si>
  <si>
    <t>유통년월</t>
    <phoneticPr fontId="1" type="noConversion"/>
  </si>
  <si>
    <t>MG 잔여</t>
    <phoneticPr fontId="3" type="noConversion"/>
  </si>
  <si>
    <t xml:space="preserve">SW 매출 </t>
    <phoneticPr fontId="3" type="noConversion"/>
  </si>
  <si>
    <t xml:space="preserve">선MG </t>
    <phoneticPr fontId="3" type="noConversion"/>
  </si>
  <si>
    <t>태랑</t>
    <phoneticPr fontId="1" type="noConversion"/>
  </si>
  <si>
    <t>포르트무스 [단행본]</t>
  </si>
  <si>
    <t xml:space="preserve">KT 매출 </t>
    <phoneticPr fontId="3" type="noConversion"/>
  </si>
  <si>
    <t>`</t>
    <phoneticPr fontId="1" type="noConversion"/>
  </si>
  <si>
    <t xml:space="preserve">KT 매출 </t>
    <phoneticPr fontId="3" type="noConversion"/>
  </si>
  <si>
    <t>MG 잔여</t>
    <phoneticPr fontId="3" type="noConversion"/>
  </si>
  <si>
    <t>합계</t>
    <phoneticPr fontId="1" type="noConversion"/>
  </si>
  <si>
    <t xml:space="preserve">선MG </t>
    <phoneticPr fontId="3" type="noConversion"/>
  </si>
  <si>
    <t xml:space="preserve">KT 매출 </t>
    <phoneticPr fontId="3" type="noConversion"/>
  </si>
  <si>
    <t>MG 잔여</t>
    <phoneticPr fontId="3" type="noConversion"/>
  </si>
  <si>
    <t>ㅇ MG차감 내역</t>
    <phoneticPr fontId="1" type="noConversion"/>
  </si>
  <si>
    <t>MG 잔여</t>
    <phoneticPr fontId="3" type="noConversion"/>
  </si>
  <si>
    <t>ㅇ MG차감 내역</t>
    <phoneticPr fontId="1" type="noConversion"/>
  </si>
  <si>
    <t>유통년월</t>
    <phoneticPr fontId="1" type="noConversion"/>
  </si>
  <si>
    <t xml:space="preserve">KT 매출 </t>
    <phoneticPr fontId="3" type="noConversion"/>
  </si>
  <si>
    <t>MG 잔여</t>
    <phoneticPr fontId="3" type="noConversion"/>
  </si>
  <si>
    <t>태랑</t>
    <phoneticPr fontId="1" type="noConversion"/>
  </si>
  <si>
    <t>ㅇ MG차감 내역</t>
    <phoneticPr fontId="1" type="noConversion"/>
  </si>
  <si>
    <t>ㅇ MG차감 내역</t>
    <phoneticPr fontId="1" type="noConversion"/>
  </si>
  <si>
    <t xml:space="preserve">선MG </t>
    <phoneticPr fontId="3" type="noConversion"/>
  </si>
  <si>
    <t xml:space="preserve">KT 매출 </t>
    <phoneticPr fontId="3" type="noConversion"/>
  </si>
  <si>
    <t>MG 잔여</t>
    <phoneticPr fontId="3" type="noConversion"/>
  </si>
  <si>
    <t>유통년월</t>
    <phoneticPr fontId="1" type="noConversion"/>
  </si>
  <si>
    <t>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</si>
</sst>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11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indexed="8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2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b/>
      <sz val="11"/>
      <color indexed="8"/>
      <name val="맑은 고딕"/>
      <family val="3"/>
      <charset val="129"/>
      <scheme val="minor"/>
    </font>
    <font>
      <sz val="11"/>
      <color rgb="FF000000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2" xfId="0" applyBorder="1" applyAlignment="1"/>
    <xf numFmtId="3" fontId="0" fillId="0" borderId="2" xfId="0" applyNumberFormat="1" applyBorder="1" applyAlignment="1"/>
    <xf numFmtId="3" fontId="0" fillId="3" borderId="0" xfId="0" applyNumberFormat="1" applyFill="1">
      <alignment vertical="center"/>
    </xf>
    <xf numFmtId="0" fontId="5" fillId="0" borderId="0" xfId="1" applyFont="1" applyAlignment="1">
      <alignment vertical="center"/>
    </xf>
    <xf numFmtId="0" fontId="2" fillId="0" borderId="0" xfId="1" applyAlignment="1">
      <alignment vertical="center"/>
    </xf>
    <xf numFmtId="0" fontId="4" fillId="0" borderId="0" xfId="3">
      <alignment vertical="center"/>
    </xf>
    <xf numFmtId="0" fontId="5" fillId="4" borderId="3" xfId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41" fontId="0" fillId="0" borderId="3" xfId="4" applyFont="1" applyBorder="1">
      <alignment vertical="center"/>
    </xf>
    <xf numFmtId="41" fontId="0" fillId="0" borderId="3" xfId="0" applyNumberFormat="1" applyBorder="1">
      <alignment vertical="center"/>
    </xf>
    <xf numFmtId="0" fontId="0" fillId="0" borderId="3" xfId="0" applyBorder="1">
      <alignment vertical="center"/>
    </xf>
    <xf numFmtId="41" fontId="0" fillId="0" borderId="0" xfId="0" applyNumberFormat="1">
      <alignment vertical="center"/>
    </xf>
    <xf numFmtId="41" fontId="0" fillId="0" borderId="0" xfId="4" applyFont="1">
      <alignment vertical="center"/>
    </xf>
    <xf numFmtId="41" fontId="0" fillId="0" borderId="4" xfId="4" applyFont="1" applyBorder="1">
      <alignment vertical="center"/>
    </xf>
    <xf numFmtId="41" fontId="6" fillId="0" borderId="4" xfId="4" applyFont="1" applyFill="1" applyBorder="1">
      <alignment vertical="center"/>
    </xf>
    <xf numFmtId="0" fontId="9" fillId="0" borderId="3" xfId="0" applyFont="1" applyBorder="1" applyAlignment="1">
      <alignment horizontal="center" vertical="center"/>
    </xf>
    <xf numFmtId="41" fontId="9" fillId="0" borderId="3" xfId="0" applyNumberFormat="1" applyFont="1" applyBorder="1">
      <alignment vertical="center"/>
    </xf>
    <xf numFmtId="41" fontId="6" fillId="0" borderId="3" xfId="4" applyFont="1" applyFill="1" applyBorder="1">
      <alignment vertical="center"/>
    </xf>
    <xf numFmtId="3" fontId="0" fillId="0" borderId="3" xfId="0" applyNumberFormat="1" applyBorder="1">
      <alignment vertical="center"/>
    </xf>
    <xf numFmtId="0" fontId="0" fillId="0" borderId="3" xfId="0" applyFill="1" applyBorder="1" applyAlignment="1">
      <alignment horizontal="center" vertical="center"/>
    </xf>
    <xf numFmtId="41" fontId="0" fillId="0" borderId="3" xfId="4" applyFont="1" applyBorder="1" applyAlignment="1">
      <alignment horizontal="center" vertical="center"/>
    </xf>
    <xf numFmtId="41" fontId="0" fillId="0" borderId="5" xfId="4" applyFont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41" fontId="10" fillId="0" borderId="3" xfId="4" applyFont="1" applyFill="1" applyBorder="1">
      <alignment vertical="center"/>
    </xf>
    <xf numFmtId="3" fontId="6" fillId="0" borderId="3" xfId="0" applyNumberFormat="1" applyFont="1" applyFill="1" applyBorder="1">
      <alignment vertical="center"/>
    </xf>
  </cellXfs>
  <cellStyles count="5">
    <cellStyle name="쉼표 [0]" xfId="4" builtinId="6"/>
    <cellStyle name="쉼표 [0] 3" xfId="2"/>
    <cellStyle name="표준" xfId="0" builtinId="0"/>
    <cellStyle name="표준 3" xfId="1"/>
    <cellStyle name="표준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P56"/>
  <sheetViews>
    <sheetView zoomScale="85" zoomScaleNormal="85" workbookViewId="0">
      <selection activeCell="C28" sqref="C28"/>
    </sheetView>
  </sheetViews>
  <sheetFormatPr defaultRowHeight="17.399999999999999" x14ac:dyDescent="0.4"/>
  <cols>
    <col min="1" max="1" width="9.296875" bestFit="1" customWidth="1"/>
    <col min="2" max="2" width="15" bestFit="1" customWidth="1"/>
    <col min="3" max="3" width="16.796875" bestFit="1" customWidth="1"/>
    <col min="4" max="4" width="15.8984375" customWidth="1"/>
    <col min="5" max="5" width="4.796875" customWidth="1"/>
    <col min="6" max="6" width="5.796875" customWidth="1"/>
    <col min="7" max="7" width="4.796875" customWidth="1"/>
    <col min="8" max="8" width="3.69921875" customWidth="1"/>
    <col min="9" max="9" width="5.59765625" customWidth="1"/>
    <col min="10" max="10" width="7.8984375" customWidth="1"/>
    <col min="11" max="11" width="23.296875" bestFit="1" customWidth="1"/>
    <col min="12" max="13" width="2" customWidth="1"/>
    <col min="14" max="14" width="6.796875" bestFit="1" customWidth="1"/>
    <col min="15" max="15" width="2.69921875" customWidth="1"/>
    <col min="16" max="16" width="30" bestFit="1" customWidth="1"/>
    <col min="17" max="17" width="11.69921875" customWidth="1"/>
    <col min="18" max="18" width="19.59765625" bestFit="1" customWidth="1"/>
    <col min="19" max="19" width="11.09765625" bestFit="1" customWidth="1"/>
    <col min="20" max="20" width="9.3984375" bestFit="1" customWidth="1"/>
    <col min="21" max="29" width="1.69921875" customWidth="1"/>
    <col min="30" max="30" width="10.69921875" bestFit="1" customWidth="1"/>
    <col min="31" max="39" width="1.69921875" customWidth="1"/>
    <col min="40" max="40" width="9.19921875" bestFit="1" customWidth="1"/>
    <col min="41" max="41" width="1.69921875" customWidth="1"/>
    <col min="42" max="42" width="13.1992187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3" t="s">
        <v>48</v>
      </c>
      <c r="B2" s="3" t="s">
        <v>56</v>
      </c>
      <c r="C2" s="3" t="s">
        <v>57</v>
      </c>
      <c r="D2" s="3" t="s">
        <v>58</v>
      </c>
      <c r="E2" s="3" t="s">
        <v>59</v>
      </c>
      <c r="F2" s="3" t="s">
        <v>49</v>
      </c>
      <c r="G2" s="3" t="s">
        <v>20</v>
      </c>
      <c r="H2" s="3" t="s">
        <v>21</v>
      </c>
      <c r="I2" s="3" t="s">
        <v>22</v>
      </c>
      <c r="J2" s="3">
        <v>46750620</v>
      </c>
      <c r="K2" s="3" t="s">
        <v>54</v>
      </c>
      <c r="L2" s="3"/>
      <c r="M2" s="3"/>
      <c r="N2" s="3" t="s">
        <v>50</v>
      </c>
      <c r="O2" s="3" t="s">
        <v>23</v>
      </c>
      <c r="P2" s="3">
        <v>0.55000000000000004</v>
      </c>
      <c r="Q2" s="3">
        <v>0.55000000000000004</v>
      </c>
      <c r="R2" s="4" t="s">
        <v>25</v>
      </c>
      <c r="S2" s="4">
        <v>100</v>
      </c>
      <c r="T2" s="4">
        <v>47000</v>
      </c>
      <c r="U2" s="4">
        <v>1100</v>
      </c>
      <c r="V2" s="4">
        <v>0</v>
      </c>
      <c r="W2" s="4">
        <v>0</v>
      </c>
      <c r="X2" s="4">
        <v>0</v>
      </c>
      <c r="Y2" s="4">
        <v>50</v>
      </c>
      <c r="Z2" s="4">
        <v>0</v>
      </c>
      <c r="AA2" s="4">
        <v>0</v>
      </c>
      <c r="AB2" s="4">
        <v>0</v>
      </c>
      <c r="AC2" s="4">
        <v>45850</v>
      </c>
      <c r="AD2" s="4">
        <v>47010</v>
      </c>
      <c r="AE2" s="4">
        <v>1100</v>
      </c>
      <c r="AF2" s="4">
        <v>0</v>
      </c>
      <c r="AG2" s="4">
        <v>0</v>
      </c>
      <c r="AH2" s="4">
        <v>0</v>
      </c>
      <c r="AI2" s="4">
        <v>60</v>
      </c>
      <c r="AJ2" s="4">
        <v>0</v>
      </c>
      <c r="AK2" s="4">
        <v>0</v>
      </c>
      <c r="AL2" s="4">
        <v>0</v>
      </c>
      <c r="AM2" s="4">
        <v>45850</v>
      </c>
      <c r="AN2" s="4">
        <v>25856</v>
      </c>
      <c r="AO2" s="4">
        <v>0</v>
      </c>
      <c r="AP2" s="4">
        <v>25856</v>
      </c>
    </row>
    <row r="3" spans="1:42" x14ac:dyDescent="0.4">
      <c r="A3" s="3" t="s">
        <v>48</v>
      </c>
      <c r="B3" s="3" t="s">
        <v>56</v>
      </c>
      <c r="C3" s="3" t="s">
        <v>57</v>
      </c>
      <c r="D3" s="3" t="s">
        <v>58</v>
      </c>
      <c r="E3" s="3" t="s">
        <v>59</v>
      </c>
      <c r="F3" s="3" t="s">
        <v>49</v>
      </c>
      <c r="G3" s="3" t="s">
        <v>20</v>
      </c>
      <c r="H3" s="3" t="s">
        <v>21</v>
      </c>
      <c r="I3" s="3" t="s">
        <v>22</v>
      </c>
      <c r="J3" s="3">
        <v>46750620</v>
      </c>
      <c r="K3" s="3" t="s">
        <v>54</v>
      </c>
      <c r="L3" s="3"/>
      <c r="M3" s="3"/>
      <c r="N3" s="3" t="s">
        <v>50</v>
      </c>
      <c r="O3" s="3" t="s">
        <v>23</v>
      </c>
      <c r="P3" s="3">
        <v>0.55000000000000004</v>
      </c>
      <c r="Q3" s="3">
        <v>0.55000000000000004</v>
      </c>
      <c r="R3" s="4" t="s">
        <v>24</v>
      </c>
      <c r="S3" s="4">
        <v>1800</v>
      </c>
      <c r="T3" s="4">
        <v>52500</v>
      </c>
      <c r="U3" s="4">
        <v>34500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18000</v>
      </c>
      <c r="AD3" s="4">
        <v>52500</v>
      </c>
      <c r="AE3" s="4">
        <v>34500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18000</v>
      </c>
      <c r="AN3" s="4">
        <v>28875</v>
      </c>
      <c r="AO3" s="4">
        <v>0</v>
      </c>
      <c r="AP3" s="4">
        <v>28875</v>
      </c>
    </row>
    <row r="4" spans="1:42" x14ac:dyDescent="0.4">
      <c r="A4" s="3" t="s">
        <v>48</v>
      </c>
      <c r="B4" s="3" t="s">
        <v>56</v>
      </c>
      <c r="C4" s="3" t="s">
        <v>57</v>
      </c>
      <c r="D4" s="3" t="s">
        <v>58</v>
      </c>
      <c r="E4" s="3" t="s">
        <v>59</v>
      </c>
      <c r="F4" s="3" t="s">
        <v>49</v>
      </c>
      <c r="G4" s="3" t="s">
        <v>20</v>
      </c>
      <c r="H4" s="3" t="s">
        <v>21</v>
      </c>
      <c r="I4" s="3" t="s">
        <v>22</v>
      </c>
      <c r="J4" s="3">
        <v>46750620</v>
      </c>
      <c r="K4" s="3" t="s">
        <v>54</v>
      </c>
      <c r="L4" s="3"/>
      <c r="M4" s="3"/>
      <c r="N4" s="3" t="s">
        <v>50</v>
      </c>
      <c r="O4" s="3" t="s">
        <v>23</v>
      </c>
      <c r="P4" s="3">
        <v>0.55000000000000004</v>
      </c>
      <c r="Q4" s="3">
        <v>0.55000000000000004</v>
      </c>
      <c r="R4" s="4" t="s">
        <v>24</v>
      </c>
      <c r="S4" s="4">
        <v>18000</v>
      </c>
      <c r="T4" s="4">
        <v>54000</v>
      </c>
      <c r="U4" s="4">
        <v>54000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54000</v>
      </c>
      <c r="AE4" s="4">
        <v>54000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29700</v>
      </c>
      <c r="AO4" s="4">
        <v>0</v>
      </c>
      <c r="AP4" s="4">
        <v>29700</v>
      </c>
    </row>
    <row r="5" spans="1:42" x14ac:dyDescent="0.4">
      <c r="A5" s="3" t="s">
        <v>48</v>
      </c>
      <c r="B5" s="3" t="s">
        <v>56</v>
      </c>
      <c r="C5" s="3" t="s">
        <v>57</v>
      </c>
      <c r="D5" s="3" t="s">
        <v>58</v>
      </c>
      <c r="E5" s="3" t="s">
        <v>59</v>
      </c>
      <c r="F5" s="3" t="s">
        <v>49</v>
      </c>
      <c r="G5" s="3" t="s">
        <v>20</v>
      </c>
      <c r="H5" s="3" t="s">
        <v>21</v>
      </c>
      <c r="I5" s="3" t="s">
        <v>22</v>
      </c>
      <c r="J5" s="3">
        <v>46805146</v>
      </c>
      <c r="K5" s="3" t="s">
        <v>55</v>
      </c>
      <c r="L5" s="3"/>
      <c r="M5" s="3"/>
      <c r="N5" s="3" t="s">
        <v>50</v>
      </c>
      <c r="O5" s="3" t="s">
        <v>23</v>
      </c>
      <c r="P5" s="3">
        <v>0.55000000000000004</v>
      </c>
      <c r="Q5" s="3">
        <v>0.55000000000000004</v>
      </c>
      <c r="R5" s="4" t="s">
        <v>25</v>
      </c>
      <c r="S5" s="4">
        <v>100</v>
      </c>
      <c r="T5" s="4">
        <v>3900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3900</v>
      </c>
      <c r="AD5" s="4">
        <v>3900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3900</v>
      </c>
      <c r="AN5" s="4">
        <v>2145</v>
      </c>
      <c r="AO5" s="4">
        <v>0</v>
      </c>
      <c r="AP5" s="4">
        <v>2145</v>
      </c>
    </row>
    <row r="6" spans="1:42" x14ac:dyDescent="0.4">
      <c r="A6" s="3" t="s">
        <v>48</v>
      </c>
      <c r="B6" s="3" t="s">
        <v>56</v>
      </c>
      <c r="C6" s="3" t="s">
        <v>57</v>
      </c>
      <c r="D6" s="3" t="s">
        <v>58</v>
      </c>
      <c r="E6" s="3" t="s">
        <v>59</v>
      </c>
      <c r="F6" s="3" t="s">
        <v>49</v>
      </c>
      <c r="G6" s="3" t="s">
        <v>20</v>
      </c>
      <c r="H6" s="3" t="s">
        <v>21</v>
      </c>
      <c r="I6" s="3" t="s">
        <v>22</v>
      </c>
      <c r="J6" s="3">
        <v>46911703</v>
      </c>
      <c r="K6" s="3" t="s">
        <v>51</v>
      </c>
      <c r="L6" s="3"/>
      <c r="M6" s="3"/>
      <c r="N6" s="3" t="s">
        <v>50</v>
      </c>
      <c r="O6" s="3" t="s">
        <v>23</v>
      </c>
      <c r="P6" s="3">
        <v>0.55000000000000004</v>
      </c>
      <c r="Q6" s="3">
        <v>0.55000000000000004</v>
      </c>
      <c r="R6" s="4" t="s">
        <v>25</v>
      </c>
      <c r="S6" s="4">
        <v>100</v>
      </c>
      <c r="T6" s="4">
        <v>102900</v>
      </c>
      <c r="U6" s="4">
        <v>51780</v>
      </c>
      <c r="V6" s="4">
        <v>0</v>
      </c>
      <c r="W6" s="4">
        <v>0</v>
      </c>
      <c r="X6" s="4">
        <v>0</v>
      </c>
      <c r="Y6" s="4">
        <v>500</v>
      </c>
      <c r="Z6" s="4">
        <v>1300</v>
      </c>
      <c r="AA6" s="4">
        <v>0</v>
      </c>
      <c r="AB6" s="4">
        <v>0</v>
      </c>
      <c r="AC6" s="4">
        <v>49320</v>
      </c>
      <c r="AD6" s="4">
        <v>103130</v>
      </c>
      <c r="AE6" s="4">
        <v>51780</v>
      </c>
      <c r="AF6" s="4">
        <v>0</v>
      </c>
      <c r="AG6" s="4">
        <v>0</v>
      </c>
      <c r="AH6" s="4">
        <v>0</v>
      </c>
      <c r="AI6" s="4">
        <v>600</v>
      </c>
      <c r="AJ6" s="4">
        <v>1430</v>
      </c>
      <c r="AK6" s="4">
        <v>0</v>
      </c>
      <c r="AL6" s="4">
        <v>0</v>
      </c>
      <c r="AM6" s="4">
        <v>49320</v>
      </c>
      <c r="AN6" s="4">
        <v>56722</v>
      </c>
      <c r="AO6" s="4">
        <v>0</v>
      </c>
      <c r="AP6" s="4">
        <v>56722</v>
      </c>
    </row>
    <row r="7" spans="1:42" x14ac:dyDescent="0.4">
      <c r="A7" s="3" t="s">
        <v>48</v>
      </c>
      <c r="B7" s="3" t="s">
        <v>56</v>
      </c>
      <c r="C7" s="3" t="s">
        <v>57</v>
      </c>
      <c r="D7" s="3" t="s">
        <v>58</v>
      </c>
      <c r="E7" s="3" t="s">
        <v>59</v>
      </c>
      <c r="F7" s="3" t="s">
        <v>49</v>
      </c>
      <c r="G7" s="3" t="s">
        <v>20</v>
      </c>
      <c r="H7" s="3" t="s">
        <v>21</v>
      </c>
      <c r="I7" s="3" t="s">
        <v>22</v>
      </c>
      <c r="J7" s="3">
        <v>46911703</v>
      </c>
      <c r="K7" s="3" t="s">
        <v>51</v>
      </c>
      <c r="L7" s="3"/>
      <c r="M7" s="3"/>
      <c r="N7" s="3" t="s">
        <v>50</v>
      </c>
      <c r="O7" s="3" t="s">
        <v>23</v>
      </c>
      <c r="P7" s="3">
        <v>0.55000000000000004</v>
      </c>
      <c r="Q7" s="3">
        <v>0.55000000000000004</v>
      </c>
      <c r="R7" s="4" t="s">
        <v>24</v>
      </c>
      <c r="S7" s="4">
        <v>1800</v>
      </c>
      <c r="T7" s="4">
        <v>232500</v>
      </c>
      <c r="U7" s="4">
        <v>197600</v>
      </c>
      <c r="V7" s="4">
        <v>0</v>
      </c>
      <c r="W7" s="4">
        <v>0</v>
      </c>
      <c r="X7" s="4">
        <v>0</v>
      </c>
      <c r="Y7" s="4">
        <v>0</v>
      </c>
      <c r="Z7" s="4">
        <v>800</v>
      </c>
      <c r="AA7" s="4">
        <v>0</v>
      </c>
      <c r="AB7" s="4">
        <v>0</v>
      </c>
      <c r="AC7" s="4">
        <v>34100</v>
      </c>
      <c r="AD7" s="4">
        <v>232580</v>
      </c>
      <c r="AE7" s="4">
        <v>197600</v>
      </c>
      <c r="AF7" s="4">
        <v>0</v>
      </c>
      <c r="AG7" s="4">
        <v>0</v>
      </c>
      <c r="AH7" s="4">
        <v>0</v>
      </c>
      <c r="AI7" s="4">
        <v>0</v>
      </c>
      <c r="AJ7" s="4">
        <v>880</v>
      </c>
      <c r="AK7" s="4">
        <v>0</v>
      </c>
      <c r="AL7" s="4">
        <v>0</v>
      </c>
      <c r="AM7" s="4">
        <v>34100</v>
      </c>
      <c r="AN7" s="4">
        <v>127919</v>
      </c>
      <c r="AO7" s="4">
        <v>0</v>
      </c>
      <c r="AP7" s="4">
        <v>127919</v>
      </c>
    </row>
    <row r="8" spans="1:42" x14ac:dyDescent="0.4">
      <c r="A8" s="3" t="s">
        <v>48</v>
      </c>
      <c r="B8" s="3" t="s">
        <v>56</v>
      </c>
      <c r="C8" s="3" t="s">
        <v>57</v>
      </c>
      <c r="D8" s="3" t="s">
        <v>58</v>
      </c>
      <c r="E8" s="3" t="s">
        <v>59</v>
      </c>
      <c r="F8" s="3" t="s">
        <v>49</v>
      </c>
      <c r="G8" s="3" t="s">
        <v>20</v>
      </c>
      <c r="H8" s="3" t="s">
        <v>21</v>
      </c>
      <c r="I8" s="3" t="s">
        <v>22</v>
      </c>
      <c r="J8" s="3">
        <v>46911703</v>
      </c>
      <c r="K8" s="3" t="s">
        <v>51</v>
      </c>
      <c r="L8" s="3"/>
      <c r="M8" s="3"/>
      <c r="N8" s="3" t="s">
        <v>50</v>
      </c>
      <c r="O8" s="3" t="s">
        <v>23</v>
      </c>
      <c r="P8" s="3">
        <v>0.55000000000000004</v>
      </c>
      <c r="Q8" s="3">
        <v>0.55000000000000004</v>
      </c>
      <c r="R8" s="4" t="s">
        <v>24</v>
      </c>
      <c r="S8" s="4">
        <v>9000</v>
      </c>
      <c r="T8" s="4">
        <v>384700</v>
      </c>
      <c r="U8" s="4">
        <v>377600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7100</v>
      </c>
      <c r="AD8" s="4">
        <v>384700</v>
      </c>
      <c r="AE8" s="4">
        <v>377600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7100</v>
      </c>
      <c r="AN8" s="4">
        <v>211585</v>
      </c>
      <c r="AO8" s="4">
        <v>0</v>
      </c>
      <c r="AP8" s="4">
        <v>211585</v>
      </c>
    </row>
    <row r="9" spans="1:42" x14ac:dyDescent="0.4">
      <c r="A9" s="3" t="s">
        <v>48</v>
      </c>
      <c r="B9" s="3" t="s">
        <v>56</v>
      </c>
      <c r="C9" s="3" t="s">
        <v>57</v>
      </c>
      <c r="D9" s="3" t="s">
        <v>58</v>
      </c>
      <c r="E9" s="3" t="s">
        <v>59</v>
      </c>
      <c r="F9" s="3" t="s">
        <v>49</v>
      </c>
      <c r="G9" s="3" t="s">
        <v>20</v>
      </c>
      <c r="H9" s="3" t="s">
        <v>21</v>
      </c>
      <c r="I9" s="3" t="s">
        <v>22</v>
      </c>
      <c r="J9" s="3">
        <v>46911703</v>
      </c>
      <c r="K9" s="3" t="s">
        <v>51</v>
      </c>
      <c r="L9" s="3"/>
      <c r="M9" s="3"/>
      <c r="N9" s="3" t="s">
        <v>50</v>
      </c>
      <c r="O9" s="3" t="s">
        <v>23</v>
      </c>
      <c r="P9" s="3">
        <v>0.55000000000000004</v>
      </c>
      <c r="Q9" s="3">
        <v>0.55000000000000004</v>
      </c>
      <c r="R9" s="4" t="s">
        <v>24</v>
      </c>
      <c r="S9" s="4">
        <v>27000</v>
      </c>
      <c r="T9" s="4">
        <v>27000</v>
      </c>
      <c r="U9" s="4">
        <v>27000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27000</v>
      </c>
      <c r="AE9" s="4">
        <v>27000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14850</v>
      </c>
      <c r="AO9" s="4">
        <v>0</v>
      </c>
      <c r="AP9" s="4">
        <v>14850</v>
      </c>
    </row>
    <row r="10" spans="1:42" x14ac:dyDescent="0.4">
      <c r="A10" s="3" t="s">
        <v>48</v>
      </c>
      <c r="B10" s="3" t="s">
        <v>56</v>
      </c>
      <c r="C10" s="3" t="s">
        <v>57</v>
      </c>
      <c r="D10" s="3" t="s">
        <v>58</v>
      </c>
      <c r="E10" s="3" t="s">
        <v>59</v>
      </c>
      <c r="F10" s="3" t="s">
        <v>49</v>
      </c>
      <c r="G10" s="3" t="s">
        <v>20</v>
      </c>
      <c r="H10" s="3" t="s">
        <v>21</v>
      </c>
      <c r="I10" s="3" t="s">
        <v>22</v>
      </c>
      <c r="J10" s="3">
        <v>48362175</v>
      </c>
      <c r="K10" s="3" t="s">
        <v>53</v>
      </c>
      <c r="L10" s="3"/>
      <c r="M10" s="3"/>
      <c r="N10" s="3" t="s">
        <v>50</v>
      </c>
      <c r="O10" s="3" t="s">
        <v>23</v>
      </c>
      <c r="P10" s="3">
        <v>0.55000000000000004</v>
      </c>
      <c r="Q10" s="3">
        <v>0.55000000000000004</v>
      </c>
      <c r="R10" s="4" t="s">
        <v>25</v>
      </c>
      <c r="S10" s="4">
        <v>100</v>
      </c>
      <c r="T10" s="4">
        <v>2400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2400</v>
      </c>
      <c r="AD10" s="4">
        <v>2400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2400</v>
      </c>
      <c r="AN10" s="4">
        <v>1320</v>
      </c>
      <c r="AO10" s="4">
        <v>0</v>
      </c>
      <c r="AP10" s="4">
        <v>1320</v>
      </c>
    </row>
    <row r="11" spans="1:42" x14ac:dyDescent="0.4">
      <c r="A11" s="3" t="s">
        <v>48</v>
      </c>
      <c r="B11" s="3" t="s">
        <v>56</v>
      </c>
      <c r="C11" s="3" t="s">
        <v>57</v>
      </c>
      <c r="D11" s="3" t="s">
        <v>58</v>
      </c>
      <c r="E11" s="3" t="s">
        <v>59</v>
      </c>
      <c r="F11" s="3" t="s">
        <v>49</v>
      </c>
      <c r="G11" s="3" t="s">
        <v>20</v>
      </c>
      <c r="H11" s="3" t="s">
        <v>21</v>
      </c>
      <c r="I11" s="3" t="s">
        <v>22</v>
      </c>
      <c r="J11" s="3">
        <v>48362175</v>
      </c>
      <c r="K11" s="3" t="s">
        <v>53</v>
      </c>
      <c r="L11" s="3"/>
      <c r="M11" s="3"/>
      <c r="N11" s="3" t="s">
        <v>50</v>
      </c>
      <c r="O11" s="3" t="s">
        <v>23</v>
      </c>
      <c r="P11" s="3">
        <v>0.55000000000000004</v>
      </c>
      <c r="Q11" s="3">
        <v>0.55000000000000004</v>
      </c>
      <c r="R11" s="4" t="s">
        <v>24</v>
      </c>
      <c r="S11" s="4">
        <v>2300</v>
      </c>
      <c r="T11" s="4">
        <v>1600</v>
      </c>
      <c r="U11" s="4">
        <v>1600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1600</v>
      </c>
      <c r="AE11" s="4">
        <v>1600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880</v>
      </c>
      <c r="AO11" s="4">
        <v>0</v>
      </c>
      <c r="AP11" s="4">
        <v>880</v>
      </c>
    </row>
    <row r="12" spans="1:42" x14ac:dyDescent="0.4">
      <c r="A12" s="3" t="s">
        <v>48</v>
      </c>
      <c r="B12" s="3" t="s">
        <v>56</v>
      </c>
      <c r="C12" s="3" t="s">
        <v>57</v>
      </c>
      <c r="D12" s="3" t="s">
        <v>58</v>
      </c>
      <c r="E12" s="3" t="s">
        <v>59</v>
      </c>
      <c r="F12" s="3" t="s">
        <v>49</v>
      </c>
      <c r="G12" s="3" t="s">
        <v>20</v>
      </c>
      <c r="H12" s="3" t="s">
        <v>21</v>
      </c>
      <c r="I12" s="3" t="s">
        <v>22</v>
      </c>
      <c r="J12" s="3">
        <v>50827118</v>
      </c>
      <c r="K12" s="3" t="s">
        <v>52</v>
      </c>
      <c r="L12" s="3"/>
      <c r="M12" s="3"/>
      <c r="N12" s="3" t="s">
        <v>50</v>
      </c>
      <c r="O12" s="3" t="s">
        <v>23</v>
      </c>
      <c r="P12" s="3">
        <v>0.55000000000000004</v>
      </c>
      <c r="Q12" s="3">
        <v>0.55000000000000004</v>
      </c>
      <c r="R12" s="4" t="s">
        <v>25</v>
      </c>
      <c r="S12" s="4">
        <v>100</v>
      </c>
      <c r="T12" s="4">
        <v>9107400</v>
      </c>
      <c r="U12" s="4">
        <v>2572880</v>
      </c>
      <c r="V12" s="4">
        <v>0</v>
      </c>
      <c r="W12" s="4">
        <v>0</v>
      </c>
      <c r="X12" s="4">
        <v>0</v>
      </c>
      <c r="Y12" s="4">
        <v>25200</v>
      </c>
      <c r="Z12" s="4">
        <v>190150</v>
      </c>
      <c r="AA12" s="4">
        <v>0</v>
      </c>
      <c r="AB12" s="4">
        <v>0</v>
      </c>
      <c r="AC12" s="4">
        <v>6319170</v>
      </c>
      <c r="AD12" s="4">
        <v>9131455</v>
      </c>
      <c r="AE12" s="4">
        <v>2572880</v>
      </c>
      <c r="AF12" s="4">
        <v>0</v>
      </c>
      <c r="AG12" s="4">
        <v>0</v>
      </c>
      <c r="AH12" s="4">
        <v>0</v>
      </c>
      <c r="AI12" s="4">
        <v>30240</v>
      </c>
      <c r="AJ12" s="4">
        <v>209165</v>
      </c>
      <c r="AK12" s="4">
        <v>0</v>
      </c>
      <c r="AL12" s="4">
        <v>0</v>
      </c>
      <c r="AM12" s="4">
        <v>6319170</v>
      </c>
      <c r="AN12" s="4">
        <v>5022300</v>
      </c>
      <c r="AO12" s="4">
        <v>0</v>
      </c>
      <c r="AP12" s="4">
        <v>5022300</v>
      </c>
    </row>
    <row r="13" spans="1:42" x14ac:dyDescent="0.4">
      <c r="A13" s="3" t="s">
        <v>48</v>
      </c>
      <c r="B13" s="3" t="s">
        <v>56</v>
      </c>
      <c r="C13" s="3" t="s">
        <v>57</v>
      </c>
      <c r="D13" s="3" t="s">
        <v>58</v>
      </c>
      <c r="E13" s="3" t="s">
        <v>59</v>
      </c>
      <c r="F13" s="3" t="s">
        <v>49</v>
      </c>
      <c r="G13" s="3" t="s">
        <v>20</v>
      </c>
      <c r="H13" s="3" t="s">
        <v>21</v>
      </c>
      <c r="I13" s="3" t="s">
        <v>22</v>
      </c>
      <c r="J13" s="3">
        <v>50827118</v>
      </c>
      <c r="K13" s="3" t="s">
        <v>52</v>
      </c>
      <c r="L13" s="3"/>
      <c r="M13" s="3"/>
      <c r="N13" s="3" t="s">
        <v>50</v>
      </c>
      <c r="O13" s="3" t="s">
        <v>23</v>
      </c>
      <c r="P13" s="3">
        <v>0.55000000000000004</v>
      </c>
      <c r="Q13" s="3">
        <v>0.55000000000000004</v>
      </c>
      <c r="R13" s="4" t="s">
        <v>24</v>
      </c>
      <c r="S13" s="4">
        <v>2700</v>
      </c>
      <c r="T13" s="4">
        <v>10469500</v>
      </c>
      <c r="U13" s="4">
        <v>7683820</v>
      </c>
      <c r="V13" s="4">
        <v>0</v>
      </c>
      <c r="W13" s="4">
        <v>0</v>
      </c>
      <c r="X13" s="4">
        <v>0</v>
      </c>
      <c r="Y13" s="4">
        <v>45900</v>
      </c>
      <c r="Z13" s="4">
        <v>436280</v>
      </c>
      <c r="AA13" s="4">
        <v>0</v>
      </c>
      <c r="AB13" s="4">
        <v>0</v>
      </c>
      <c r="AC13" s="4">
        <v>2303500</v>
      </c>
      <c r="AD13" s="4">
        <v>10522308</v>
      </c>
      <c r="AE13" s="4">
        <v>7683820</v>
      </c>
      <c r="AF13" s="4">
        <v>0</v>
      </c>
      <c r="AG13" s="4">
        <v>0</v>
      </c>
      <c r="AH13" s="4">
        <v>0</v>
      </c>
      <c r="AI13" s="4">
        <v>55080</v>
      </c>
      <c r="AJ13" s="4">
        <v>479908</v>
      </c>
      <c r="AK13" s="4">
        <v>0</v>
      </c>
      <c r="AL13" s="4">
        <v>0</v>
      </c>
      <c r="AM13" s="4">
        <v>2303500</v>
      </c>
      <c r="AN13" s="4">
        <v>5787269</v>
      </c>
      <c r="AO13" s="4">
        <v>0</v>
      </c>
      <c r="AP13" s="4">
        <v>5787269</v>
      </c>
    </row>
    <row r="14" spans="1:42" x14ac:dyDescent="0.4">
      <c r="A14" s="3" t="s">
        <v>48</v>
      </c>
      <c r="B14" s="3" t="s">
        <v>56</v>
      </c>
      <c r="C14" s="3" t="s">
        <v>57</v>
      </c>
      <c r="D14" s="3" t="s">
        <v>58</v>
      </c>
      <c r="E14" s="3" t="s">
        <v>59</v>
      </c>
      <c r="F14" s="3" t="s">
        <v>49</v>
      </c>
      <c r="G14" s="3" t="s">
        <v>20</v>
      </c>
      <c r="H14" s="3" t="s">
        <v>21</v>
      </c>
      <c r="I14" s="3" t="s">
        <v>22</v>
      </c>
      <c r="J14" s="3">
        <v>50827118</v>
      </c>
      <c r="K14" s="3" t="s">
        <v>52</v>
      </c>
      <c r="L14" s="3"/>
      <c r="M14" s="3"/>
      <c r="N14" s="3" t="s">
        <v>50</v>
      </c>
      <c r="O14" s="3" t="s">
        <v>23</v>
      </c>
      <c r="P14" s="3">
        <v>0.55000000000000004</v>
      </c>
      <c r="Q14" s="3">
        <v>0.55000000000000004</v>
      </c>
      <c r="R14" s="4" t="s">
        <v>24</v>
      </c>
      <c r="S14" s="4">
        <v>4500</v>
      </c>
      <c r="T14" s="4">
        <v>8505900</v>
      </c>
      <c r="U14" s="4">
        <v>6787070</v>
      </c>
      <c r="V14" s="4">
        <v>0</v>
      </c>
      <c r="W14" s="4">
        <v>0</v>
      </c>
      <c r="X14" s="4">
        <v>0</v>
      </c>
      <c r="Y14" s="4">
        <v>18400</v>
      </c>
      <c r="Z14" s="4">
        <v>373820</v>
      </c>
      <c r="AA14" s="4">
        <v>0</v>
      </c>
      <c r="AB14" s="4">
        <v>0</v>
      </c>
      <c r="AC14" s="4">
        <v>1326610</v>
      </c>
      <c r="AD14" s="4">
        <v>8546962</v>
      </c>
      <c r="AE14" s="4">
        <v>6787070</v>
      </c>
      <c r="AF14" s="4">
        <v>0</v>
      </c>
      <c r="AG14" s="4">
        <v>0</v>
      </c>
      <c r="AH14" s="4">
        <v>0</v>
      </c>
      <c r="AI14" s="4">
        <v>22080</v>
      </c>
      <c r="AJ14" s="4">
        <v>411202</v>
      </c>
      <c r="AK14" s="4">
        <v>0</v>
      </c>
      <c r="AL14" s="4">
        <v>0</v>
      </c>
      <c r="AM14" s="4">
        <v>1326610</v>
      </c>
      <c r="AN14" s="4">
        <v>4700829</v>
      </c>
      <c r="AO14" s="4">
        <v>0</v>
      </c>
      <c r="AP14" s="4">
        <v>4700829</v>
      </c>
    </row>
    <row r="15" spans="1:42" x14ac:dyDescent="0.4">
      <c r="A15" s="3" t="s">
        <v>48</v>
      </c>
      <c r="B15" s="3" t="s">
        <v>56</v>
      </c>
      <c r="C15" s="3" t="s">
        <v>57</v>
      </c>
      <c r="D15" s="3" t="s">
        <v>58</v>
      </c>
      <c r="E15" s="3" t="s">
        <v>59</v>
      </c>
      <c r="F15" s="3" t="s">
        <v>49</v>
      </c>
      <c r="G15" s="3" t="s">
        <v>20</v>
      </c>
      <c r="H15" s="3" t="s">
        <v>21</v>
      </c>
      <c r="I15" s="3" t="s">
        <v>22</v>
      </c>
      <c r="J15" s="3">
        <v>50827118</v>
      </c>
      <c r="K15" s="3" t="s">
        <v>52</v>
      </c>
      <c r="L15" s="3"/>
      <c r="M15" s="3"/>
      <c r="N15" s="3" t="s">
        <v>50</v>
      </c>
      <c r="O15" s="3" t="s">
        <v>23</v>
      </c>
      <c r="P15" s="3">
        <v>0.55000000000000004</v>
      </c>
      <c r="Q15" s="3">
        <v>0.55000000000000004</v>
      </c>
      <c r="R15" s="4" t="s">
        <v>24</v>
      </c>
      <c r="S15" s="4">
        <v>9000</v>
      </c>
      <c r="T15" s="4">
        <v>19860900</v>
      </c>
      <c r="U15" s="4">
        <v>16510220</v>
      </c>
      <c r="V15" s="4">
        <v>0</v>
      </c>
      <c r="W15" s="4">
        <v>0</v>
      </c>
      <c r="X15" s="4">
        <v>0</v>
      </c>
      <c r="Y15" s="4">
        <v>7600</v>
      </c>
      <c r="Z15" s="4">
        <v>1658300</v>
      </c>
      <c r="AA15" s="4">
        <v>0</v>
      </c>
      <c r="AB15" s="4">
        <v>0</v>
      </c>
      <c r="AC15" s="4">
        <v>1684780</v>
      </c>
      <c r="AD15" s="4">
        <v>20028250</v>
      </c>
      <c r="AE15" s="4">
        <v>16510220</v>
      </c>
      <c r="AF15" s="4">
        <v>0</v>
      </c>
      <c r="AG15" s="4">
        <v>0</v>
      </c>
      <c r="AH15" s="4">
        <v>0</v>
      </c>
      <c r="AI15" s="4">
        <v>9120</v>
      </c>
      <c r="AJ15" s="4">
        <v>1824130</v>
      </c>
      <c r="AK15" s="4">
        <v>0</v>
      </c>
      <c r="AL15" s="4">
        <v>0</v>
      </c>
      <c r="AM15" s="4">
        <v>1684780</v>
      </c>
      <c r="AN15" s="4">
        <v>11015538</v>
      </c>
      <c r="AO15" s="4">
        <v>0</v>
      </c>
      <c r="AP15" s="4">
        <v>11015538</v>
      </c>
    </row>
    <row r="16" spans="1:42" x14ac:dyDescent="0.4">
      <c r="A16" s="3" t="s">
        <v>48</v>
      </c>
      <c r="B16" s="3" t="s">
        <v>56</v>
      </c>
      <c r="C16" s="3" t="s">
        <v>57</v>
      </c>
      <c r="D16" s="3" t="s">
        <v>58</v>
      </c>
      <c r="E16" s="3" t="s">
        <v>59</v>
      </c>
      <c r="F16" s="3" t="s">
        <v>49</v>
      </c>
      <c r="G16" s="3" t="s">
        <v>20</v>
      </c>
      <c r="H16" s="3" t="s">
        <v>21</v>
      </c>
      <c r="I16" s="3" t="s">
        <v>22</v>
      </c>
      <c r="J16" s="3">
        <v>55423371</v>
      </c>
      <c r="K16" s="3" t="s">
        <v>67</v>
      </c>
      <c r="L16" s="3"/>
      <c r="M16" s="3"/>
      <c r="N16" s="3" t="s">
        <v>50</v>
      </c>
      <c r="O16" s="3" t="s">
        <v>23</v>
      </c>
      <c r="P16" s="3">
        <v>0.55000000000000004</v>
      </c>
      <c r="Q16" s="3">
        <v>0.55000000000000004</v>
      </c>
      <c r="R16" s="4" t="s">
        <v>25</v>
      </c>
      <c r="S16" s="4">
        <v>100</v>
      </c>
      <c r="T16" s="4">
        <v>3000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3000</v>
      </c>
      <c r="AD16" s="4">
        <v>3000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3000</v>
      </c>
      <c r="AN16" s="4">
        <v>1650</v>
      </c>
      <c r="AO16" s="4">
        <v>0</v>
      </c>
      <c r="AP16" s="4">
        <v>1650</v>
      </c>
    </row>
    <row r="17" spans="1:42" x14ac:dyDescent="0.4">
      <c r="A17" s="3" t="s">
        <v>48</v>
      </c>
      <c r="B17" s="3" t="s">
        <v>56</v>
      </c>
      <c r="C17" s="3" t="s">
        <v>57</v>
      </c>
      <c r="D17" s="3" t="s">
        <v>58</v>
      </c>
      <c r="E17" s="3" t="s">
        <v>59</v>
      </c>
      <c r="F17" s="3" t="s">
        <v>49</v>
      </c>
      <c r="G17" s="3" t="s">
        <v>20</v>
      </c>
      <c r="H17" s="3" t="s">
        <v>21</v>
      </c>
      <c r="I17" s="3" t="s">
        <v>22</v>
      </c>
      <c r="J17" s="3">
        <v>55879886</v>
      </c>
      <c r="K17" s="3" t="s">
        <v>60</v>
      </c>
      <c r="L17" s="3"/>
      <c r="M17" s="3"/>
      <c r="N17" s="3" t="s">
        <v>50</v>
      </c>
      <c r="O17" s="3" t="s">
        <v>23</v>
      </c>
      <c r="P17" s="3">
        <v>0.55000000000000004</v>
      </c>
      <c r="Q17" s="3">
        <v>0.55000000000000004</v>
      </c>
      <c r="R17" s="4" t="s">
        <v>25</v>
      </c>
      <c r="S17" s="4">
        <v>3200</v>
      </c>
      <c r="T17" s="4">
        <v>3228800</v>
      </c>
      <c r="U17" s="4">
        <v>2681260</v>
      </c>
      <c r="V17" s="4">
        <v>0</v>
      </c>
      <c r="W17" s="4">
        <v>0</v>
      </c>
      <c r="X17" s="4">
        <v>0</v>
      </c>
      <c r="Y17" s="4">
        <v>1430</v>
      </c>
      <c r="Z17" s="4">
        <v>243610</v>
      </c>
      <c r="AA17" s="4">
        <v>0</v>
      </c>
      <c r="AB17" s="4">
        <v>0</v>
      </c>
      <c r="AC17" s="4">
        <v>302500</v>
      </c>
      <c r="AD17" s="4">
        <v>3253447</v>
      </c>
      <c r="AE17" s="4">
        <v>2681260</v>
      </c>
      <c r="AF17" s="4">
        <v>0</v>
      </c>
      <c r="AG17" s="4">
        <v>0</v>
      </c>
      <c r="AH17" s="4">
        <v>0</v>
      </c>
      <c r="AI17" s="4">
        <v>1716</v>
      </c>
      <c r="AJ17" s="4">
        <v>267971</v>
      </c>
      <c r="AK17" s="4">
        <v>0</v>
      </c>
      <c r="AL17" s="4">
        <v>0</v>
      </c>
      <c r="AM17" s="4">
        <v>302500</v>
      </c>
      <c r="AN17" s="4">
        <v>1789396</v>
      </c>
      <c r="AO17" s="4">
        <v>0</v>
      </c>
      <c r="AP17" s="4">
        <v>1789396</v>
      </c>
    </row>
    <row r="18" spans="1:42" x14ac:dyDescent="0.4">
      <c r="A18" s="3" t="s">
        <v>48</v>
      </c>
      <c r="B18" s="3" t="s">
        <v>56</v>
      </c>
      <c r="C18" s="3" t="s">
        <v>57</v>
      </c>
      <c r="D18" s="3" t="s">
        <v>58</v>
      </c>
      <c r="E18" s="3" t="s">
        <v>59</v>
      </c>
      <c r="F18" s="3" t="s">
        <v>49</v>
      </c>
      <c r="G18" s="3" t="s">
        <v>20</v>
      </c>
      <c r="H18" s="3" t="s">
        <v>21</v>
      </c>
      <c r="I18" s="3" t="s">
        <v>22</v>
      </c>
      <c r="J18" s="3">
        <v>55879886</v>
      </c>
      <c r="K18" s="3" t="s">
        <v>60</v>
      </c>
      <c r="L18" s="3"/>
      <c r="M18" s="3"/>
      <c r="N18" s="3" t="s">
        <v>50</v>
      </c>
      <c r="O18" s="3" t="s">
        <v>23</v>
      </c>
      <c r="P18" s="3">
        <v>0.55000000000000004</v>
      </c>
      <c r="Q18" s="3">
        <v>0.55000000000000004</v>
      </c>
      <c r="R18" s="4" t="s">
        <v>24</v>
      </c>
      <c r="S18" s="4">
        <v>67200</v>
      </c>
      <c r="T18" s="4">
        <v>67200</v>
      </c>
      <c r="U18" s="4">
        <v>67200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67200</v>
      </c>
      <c r="AE18" s="4">
        <v>67200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36960</v>
      </c>
      <c r="AO18" s="4">
        <v>0</v>
      </c>
      <c r="AP18" s="4">
        <v>36960</v>
      </c>
    </row>
    <row r="19" spans="1:42" x14ac:dyDescent="0.4">
      <c r="A19" s="3" t="s">
        <v>48</v>
      </c>
      <c r="B19" s="3" t="s">
        <v>56</v>
      </c>
      <c r="C19" s="3" t="s">
        <v>57</v>
      </c>
      <c r="D19" s="3" t="s">
        <v>58</v>
      </c>
      <c r="E19" s="3" t="s">
        <v>59</v>
      </c>
      <c r="F19" s="3" t="s">
        <v>49</v>
      </c>
      <c r="G19" s="3" t="s">
        <v>20</v>
      </c>
      <c r="H19" s="3" t="s">
        <v>21</v>
      </c>
      <c r="I19" s="3" t="s">
        <v>22</v>
      </c>
      <c r="J19" s="3">
        <v>56499021</v>
      </c>
      <c r="K19" s="3" t="s">
        <v>63</v>
      </c>
      <c r="L19" s="3"/>
      <c r="M19" s="3"/>
      <c r="N19" s="3" t="s">
        <v>50</v>
      </c>
      <c r="O19" s="3" t="s">
        <v>23</v>
      </c>
      <c r="P19" s="3">
        <v>0.55000000000000004</v>
      </c>
      <c r="Q19" s="3">
        <v>0.55000000000000004</v>
      </c>
      <c r="R19" s="4" t="s">
        <v>62</v>
      </c>
      <c r="S19" s="4">
        <v>900</v>
      </c>
      <c r="T19" s="4">
        <v>41400</v>
      </c>
      <c r="U19" s="4">
        <v>18830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22570</v>
      </c>
      <c r="AD19" s="4">
        <v>41400</v>
      </c>
      <c r="AE19" s="4">
        <v>18830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22570</v>
      </c>
      <c r="AN19" s="4">
        <v>22770</v>
      </c>
      <c r="AO19" s="4">
        <v>0</v>
      </c>
      <c r="AP19" s="4">
        <v>22770</v>
      </c>
    </row>
    <row r="20" spans="1:42" x14ac:dyDescent="0.4">
      <c r="A20" s="3" t="s">
        <v>48</v>
      </c>
      <c r="B20" s="3" t="s">
        <v>56</v>
      </c>
      <c r="C20" s="3" t="s">
        <v>57</v>
      </c>
      <c r="D20" s="3" t="s">
        <v>58</v>
      </c>
      <c r="E20" s="3" t="s">
        <v>59</v>
      </c>
      <c r="F20" s="3" t="s">
        <v>49</v>
      </c>
      <c r="G20" s="3" t="s">
        <v>20</v>
      </c>
      <c r="H20" s="3" t="s">
        <v>21</v>
      </c>
      <c r="I20" s="3" t="s">
        <v>22</v>
      </c>
      <c r="J20" s="3">
        <v>56499021</v>
      </c>
      <c r="K20" s="3" t="s">
        <v>63</v>
      </c>
      <c r="L20" s="3"/>
      <c r="M20" s="3"/>
      <c r="N20" s="3" t="s">
        <v>50</v>
      </c>
      <c r="O20" s="3" t="s">
        <v>23</v>
      </c>
      <c r="P20" s="3">
        <v>0.55000000000000004</v>
      </c>
      <c r="Q20" s="3">
        <v>0.55000000000000004</v>
      </c>
      <c r="R20" s="4" t="s">
        <v>88</v>
      </c>
      <c r="S20" s="4">
        <v>15300</v>
      </c>
      <c r="T20" s="4">
        <v>30600</v>
      </c>
      <c r="U20" s="4">
        <v>28600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2000</v>
      </c>
      <c r="AD20" s="4">
        <v>30600</v>
      </c>
      <c r="AE20" s="4">
        <v>28600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2000</v>
      </c>
      <c r="AN20" s="4">
        <v>16830</v>
      </c>
      <c r="AO20" s="4">
        <v>0</v>
      </c>
      <c r="AP20" s="4">
        <v>16830</v>
      </c>
    </row>
    <row r="21" spans="1:42" x14ac:dyDescent="0.4">
      <c r="A21" s="3" t="s">
        <v>48</v>
      </c>
      <c r="B21" s="3" t="s">
        <v>56</v>
      </c>
      <c r="C21" s="3" t="s">
        <v>57</v>
      </c>
      <c r="D21" s="3" t="s">
        <v>58</v>
      </c>
      <c r="E21" s="3" t="s">
        <v>59</v>
      </c>
      <c r="F21" s="3" t="s">
        <v>49</v>
      </c>
      <c r="G21" s="3" t="s">
        <v>20</v>
      </c>
      <c r="H21" s="3" t="s">
        <v>21</v>
      </c>
      <c r="I21" s="3" t="s">
        <v>22</v>
      </c>
      <c r="J21" s="3">
        <v>56499157</v>
      </c>
      <c r="K21" s="3" t="s">
        <v>61</v>
      </c>
      <c r="L21" s="3"/>
      <c r="M21" s="3"/>
      <c r="N21" s="3" t="s">
        <v>50</v>
      </c>
      <c r="O21" s="3" t="s">
        <v>23</v>
      </c>
      <c r="P21" s="3">
        <v>0.55000000000000004</v>
      </c>
      <c r="Q21" s="3">
        <v>0.55000000000000004</v>
      </c>
      <c r="R21" s="4" t="s">
        <v>62</v>
      </c>
      <c r="S21" s="4">
        <v>900</v>
      </c>
      <c r="T21" s="4">
        <v>6300</v>
      </c>
      <c r="U21" s="4">
        <v>6200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100</v>
      </c>
      <c r="AD21" s="4">
        <v>6300</v>
      </c>
      <c r="AE21" s="4">
        <v>6200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100</v>
      </c>
      <c r="AN21" s="4">
        <v>3465</v>
      </c>
      <c r="AO21" s="4">
        <v>0</v>
      </c>
      <c r="AP21" s="4">
        <v>3465</v>
      </c>
    </row>
    <row r="22" spans="1:42" x14ac:dyDescent="0.4">
      <c r="A22" s="3" t="s">
        <v>48</v>
      </c>
      <c r="B22" s="3" t="s">
        <v>56</v>
      </c>
      <c r="C22" s="3" t="s">
        <v>57</v>
      </c>
      <c r="D22" s="3" t="s">
        <v>58</v>
      </c>
      <c r="E22" s="3" t="s">
        <v>59</v>
      </c>
      <c r="F22" s="3" t="s">
        <v>49</v>
      </c>
      <c r="G22" s="3" t="s">
        <v>20</v>
      </c>
      <c r="H22" s="3" t="s">
        <v>21</v>
      </c>
      <c r="I22" s="3" t="s">
        <v>22</v>
      </c>
      <c r="J22" s="3">
        <v>56499706</v>
      </c>
      <c r="K22" s="3" t="s">
        <v>96</v>
      </c>
      <c r="L22" s="3"/>
      <c r="M22" s="3"/>
      <c r="N22" s="3" t="s">
        <v>50</v>
      </c>
      <c r="O22" s="3" t="s">
        <v>23</v>
      </c>
      <c r="P22" s="3">
        <v>0.55000000000000004</v>
      </c>
      <c r="Q22" s="3">
        <v>0.55000000000000004</v>
      </c>
      <c r="R22" s="4" t="s">
        <v>25</v>
      </c>
      <c r="S22" s="4">
        <v>3200</v>
      </c>
      <c r="T22" s="4">
        <v>22400</v>
      </c>
      <c r="U22" s="4">
        <v>22200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200</v>
      </c>
      <c r="AD22" s="4">
        <v>22400</v>
      </c>
      <c r="AE22" s="4">
        <v>22200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200</v>
      </c>
      <c r="AN22" s="4">
        <v>12320</v>
      </c>
      <c r="AO22" s="4">
        <v>0</v>
      </c>
      <c r="AP22" s="4">
        <v>12320</v>
      </c>
    </row>
    <row r="23" spans="1:42" x14ac:dyDescent="0.4">
      <c r="A23" s="3" t="s">
        <v>48</v>
      </c>
      <c r="B23" s="3" t="s">
        <v>56</v>
      </c>
      <c r="C23" s="3" t="s">
        <v>57</v>
      </c>
      <c r="D23" s="3" t="s">
        <v>58</v>
      </c>
      <c r="E23" s="3" t="s">
        <v>59</v>
      </c>
      <c r="F23" s="3" t="s">
        <v>49</v>
      </c>
      <c r="G23" s="3" t="s">
        <v>20</v>
      </c>
      <c r="H23" s="3" t="s">
        <v>21</v>
      </c>
      <c r="I23" s="3" t="s">
        <v>22</v>
      </c>
      <c r="J23" s="3">
        <v>56499756</v>
      </c>
      <c r="K23" s="3" t="s">
        <v>68</v>
      </c>
      <c r="L23" s="3"/>
      <c r="M23" s="3"/>
      <c r="N23" s="3" t="s">
        <v>50</v>
      </c>
      <c r="O23" s="3" t="s">
        <v>23</v>
      </c>
      <c r="P23" s="3">
        <v>0.55000000000000004</v>
      </c>
      <c r="Q23" s="3">
        <v>0.55000000000000004</v>
      </c>
      <c r="R23" s="4" t="s">
        <v>25</v>
      </c>
      <c r="S23" s="4">
        <v>3200</v>
      </c>
      <c r="T23" s="4">
        <v>16000</v>
      </c>
      <c r="U23" s="4">
        <v>14500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1500</v>
      </c>
      <c r="AD23" s="4">
        <v>16000</v>
      </c>
      <c r="AE23" s="4">
        <v>14500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1500</v>
      </c>
      <c r="AN23" s="4">
        <v>8800</v>
      </c>
      <c r="AO23" s="4">
        <v>0</v>
      </c>
      <c r="AP23" s="4">
        <v>8800</v>
      </c>
    </row>
    <row r="24" spans="1:42" x14ac:dyDescent="0.4">
      <c r="A24" s="3" t="s">
        <v>48</v>
      </c>
      <c r="B24" s="3" t="s">
        <v>56</v>
      </c>
      <c r="C24" s="3" t="s">
        <v>57</v>
      </c>
      <c r="D24" s="3" t="s">
        <v>58</v>
      </c>
      <c r="E24" s="3" t="s">
        <v>59</v>
      </c>
      <c r="F24" s="3" t="s">
        <v>49</v>
      </c>
      <c r="G24" s="3" t="s">
        <v>20</v>
      </c>
      <c r="H24" s="3" t="s">
        <v>21</v>
      </c>
      <c r="I24" s="3" t="s">
        <v>22</v>
      </c>
      <c r="J24" s="3">
        <v>56529116</v>
      </c>
      <c r="K24" s="3" t="s">
        <v>64</v>
      </c>
      <c r="L24" s="3"/>
      <c r="M24" s="3"/>
      <c r="N24" s="3" t="s">
        <v>50</v>
      </c>
      <c r="O24" s="3" t="s">
        <v>23</v>
      </c>
      <c r="P24" s="3">
        <v>0.55000000000000004</v>
      </c>
      <c r="Q24" s="3">
        <v>0.55000000000000004</v>
      </c>
      <c r="R24" s="4" t="s">
        <v>25</v>
      </c>
      <c r="S24" s="4">
        <v>3200</v>
      </c>
      <c r="T24" s="4">
        <v>3200</v>
      </c>
      <c r="U24" s="4">
        <v>3200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3200</v>
      </c>
      <c r="AE24" s="4">
        <v>3200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1760</v>
      </c>
      <c r="AO24" s="4">
        <v>0</v>
      </c>
      <c r="AP24" s="4">
        <v>1760</v>
      </c>
    </row>
    <row r="25" spans="1:42" x14ac:dyDescent="0.4">
      <c r="A25" s="3" t="s">
        <v>48</v>
      </c>
      <c r="B25" s="3" t="s">
        <v>56</v>
      </c>
      <c r="C25" s="3" t="s">
        <v>57</v>
      </c>
      <c r="D25" s="3" t="s">
        <v>58</v>
      </c>
      <c r="E25" s="3" t="s">
        <v>59</v>
      </c>
      <c r="F25" s="3" t="s">
        <v>49</v>
      </c>
      <c r="G25" s="3" t="s">
        <v>20</v>
      </c>
      <c r="H25" s="3" t="s">
        <v>21</v>
      </c>
      <c r="I25" s="3" t="s">
        <v>22</v>
      </c>
      <c r="J25" s="3">
        <v>56529116</v>
      </c>
      <c r="K25" s="3" t="s">
        <v>64</v>
      </c>
      <c r="L25" s="3"/>
      <c r="M25" s="3"/>
      <c r="N25" s="3" t="s">
        <v>50</v>
      </c>
      <c r="O25" s="3" t="s">
        <v>23</v>
      </c>
      <c r="P25" s="3">
        <v>0.55000000000000004</v>
      </c>
      <c r="Q25" s="3">
        <v>0.55000000000000004</v>
      </c>
      <c r="R25" s="4" t="s">
        <v>62</v>
      </c>
      <c r="S25" s="4">
        <v>900</v>
      </c>
      <c r="T25" s="4">
        <v>108000</v>
      </c>
      <c r="U25" s="4">
        <v>70600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37400</v>
      </c>
      <c r="AD25" s="4">
        <v>108000</v>
      </c>
      <c r="AE25" s="4">
        <v>70600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37400</v>
      </c>
      <c r="AN25" s="4">
        <v>59400</v>
      </c>
      <c r="AO25" s="4">
        <v>0</v>
      </c>
      <c r="AP25" s="4">
        <v>59400</v>
      </c>
    </row>
    <row r="26" spans="1:42" x14ac:dyDescent="0.4">
      <c r="A26" s="3" t="s">
        <v>48</v>
      </c>
      <c r="B26" s="3" t="s">
        <v>56</v>
      </c>
      <c r="C26" s="3" t="s">
        <v>57</v>
      </c>
      <c r="D26" s="3" t="s">
        <v>58</v>
      </c>
      <c r="E26" s="3" t="s">
        <v>59</v>
      </c>
      <c r="F26" s="3" t="s">
        <v>49</v>
      </c>
      <c r="G26" s="3" t="s">
        <v>20</v>
      </c>
      <c r="H26" s="3" t="s">
        <v>21</v>
      </c>
      <c r="I26" s="3" t="s">
        <v>22</v>
      </c>
      <c r="J26" s="3">
        <v>56529116</v>
      </c>
      <c r="K26" s="3" t="s">
        <v>64</v>
      </c>
      <c r="L26" s="3"/>
      <c r="M26" s="3"/>
      <c r="N26" s="3" t="s">
        <v>50</v>
      </c>
      <c r="O26" s="3" t="s">
        <v>23</v>
      </c>
      <c r="P26" s="3">
        <v>0.55000000000000004</v>
      </c>
      <c r="Q26" s="3">
        <v>0.55000000000000004</v>
      </c>
      <c r="R26" s="4" t="s">
        <v>88</v>
      </c>
      <c r="S26" s="4">
        <v>26100</v>
      </c>
      <c r="T26" s="4">
        <v>26100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24100</v>
      </c>
      <c r="AA26" s="4">
        <v>0</v>
      </c>
      <c r="AB26" s="4">
        <v>0</v>
      </c>
      <c r="AC26" s="4">
        <v>2000</v>
      </c>
      <c r="AD26" s="4">
        <v>28510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26510</v>
      </c>
      <c r="AK26" s="4">
        <v>0</v>
      </c>
      <c r="AL26" s="4">
        <v>0</v>
      </c>
      <c r="AM26" s="4">
        <v>2000</v>
      </c>
      <c r="AN26" s="4">
        <v>15681</v>
      </c>
      <c r="AO26" s="4">
        <v>0</v>
      </c>
      <c r="AP26" s="4">
        <v>15681</v>
      </c>
    </row>
    <row r="27" spans="1:42" x14ac:dyDescent="0.4">
      <c r="A27" s="3" t="s">
        <v>48</v>
      </c>
      <c r="B27" s="3" t="s">
        <v>56</v>
      </c>
      <c r="C27" s="3" t="s">
        <v>57</v>
      </c>
      <c r="D27" s="3" t="s">
        <v>58</v>
      </c>
      <c r="E27" s="3" t="s">
        <v>59</v>
      </c>
      <c r="F27" s="3" t="s">
        <v>49</v>
      </c>
      <c r="G27" s="3" t="s">
        <v>20</v>
      </c>
      <c r="H27" s="3" t="s">
        <v>21</v>
      </c>
      <c r="I27" s="3" t="s">
        <v>22</v>
      </c>
      <c r="J27" s="3">
        <v>56529166</v>
      </c>
      <c r="K27" s="3" t="s">
        <v>65</v>
      </c>
      <c r="L27" s="3"/>
      <c r="M27" s="3"/>
      <c r="N27" s="3" t="s">
        <v>50</v>
      </c>
      <c r="O27" s="3" t="s">
        <v>23</v>
      </c>
      <c r="P27" s="3">
        <v>0.55000000000000004</v>
      </c>
      <c r="Q27" s="3">
        <v>0.55000000000000004</v>
      </c>
      <c r="R27" s="4" t="s">
        <v>62</v>
      </c>
      <c r="S27" s="4">
        <v>900</v>
      </c>
      <c r="T27" s="4">
        <v>64800</v>
      </c>
      <c r="U27" s="4">
        <v>62100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2700</v>
      </c>
      <c r="AD27" s="4">
        <v>64800</v>
      </c>
      <c r="AE27" s="4">
        <v>62100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2700</v>
      </c>
      <c r="AN27" s="4">
        <v>35640</v>
      </c>
      <c r="AO27" s="4">
        <v>0</v>
      </c>
      <c r="AP27" s="4">
        <v>35640</v>
      </c>
    </row>
    <row r="28" spans="1:42" x14ac:dyDescent="0.4">
      <c r="A28" s="3" t="s">
        <v>48</v>
      </c>
      <c r="B28" s="3" t="s">
        <v>56</v>
      </c>
      <c r="C28" s="3" t="s">
        <v>57</v>
      </c>
      <c r="D28" s="3" t="s">
        <v>58</v>
      </c>
      <c r="E28" s="3" t="s">
        <v>59</v>
      </c>
      <c r="F28" s="3" t="s">
        <v>49</v>
      </c>
      <c r="G28" s="3" t="s">
        <v>20</v>
      </c>
      <c r="H28" s="3" t="s">
        <v>21</v>
      </c>
      <c r="I28" s="3" t="s">
        <v>22</v>
      </c>
      <c r="J28" s="3">
        <v>56540396</v>
      </c>
      <c r="K28" s="3" t="s">
        <v>66</v>
      </c>
      <c r="L28" s="3"/>
      <c r="M28" s="3"/>
      <c r="N28" s="3" t="s">
        <v>50</v>
      </c>
      <c r="O28" s="3" t="s">
        <v>23</v>
      </c>
      <c r="P28" s="3">
        <v>0.55000000000000004</v>
      </c>
      <c r="Q28" s="3">
        <v>0.55000000000000004</v>
      </c>
      <c r="R28" s="4" t="s">
        <v>62</v>
      </c>
      <c r="S28" s="4">
        <v>900</v>
      </c>
      <c r="T28" s="4">
        <v>23400</v>
      </c>
      <c r="U28" s="4">
        <v>21800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1600</v>
      </c>
      <c r="AD28" s="4">
        <v>23400</v>
      </c>
      <c r="AE28" s="4">
        <v>21800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1600</v>
      </c>
      <c r="AN28" s="4">
        <v>12870</v>
      </c>
      <c r="AO28" s="4">
        <v>0</v>
      </c>
      <c r="AP28" s="4">
        <v>12870</v>
      </c>
    </row>
    <row r="29" spans="1:42" x14ac:dyDescent="0.4">
      <c r="A29" s="3" t="s">
        <v>48</v>
      </c>
      <c r="B29" s="3" t="s">
        <v>56</v>
      </c>
      <c r="C29" s="3" t="s">
        <v>57</v>
      </c>
      <c r="D29" s="3" t="s">
        <v>58</v>
      </c>
      <c r="E29" s="3" t="s">
        <v>59</v>
      </c>
      <c r="F29" s="3" t="s">
        <v>49</v>
      </c>
      <c r="G29" s="3" t="s">
        <v>20</v>
      </c>
      <c r="H29" s="3" t="s">
        <v>21</v>
      </c>
      <c r="I29" s="3" t="s">
        <v>22</v>
      </c>
      <c r="J29" s="3">
        <v>56540396</v>
      </c>
      <c r="K29" s="3" t="s">
        <v>66</v>
      </c>
      <c r="L29" s="3"/>
      <c r="M29" s="3"/>
      <c r="N29" s="3" t="s">
        <v>50</v>
      </c>
      <c r="O29" s="3" t="s">
        <v>23</v>
      </c>
      <c r="P29" s="3">
        <v>0.55000000000000004</v>
      </c>
      <c r="Q29" s="3">
        <v>0.55000000000000004</v>
      </c>
      <c r="R29" s="4" t="s">
        <v>88</v>
      </c>
      <c r="S29" s="4">
        <v>8100</v>
      </c>
      <c r="T29" s="4">
        <v>8100</v>
      </c>
      <c r="U29" s="4">
        <v>8100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8100</v>
      </c>
      <c r="AE29" s="4">
        <v>8100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4455</v>
      </c>
      <c r="AO29" s="4">
        <v>0</v>
      </c>
      <c r="AP29" s="4">
        <v>4455</v>
      </c>
    </row>
    <row r="30" spans="1:42" x14ac:dyDescent="0.4">
      <c r="A30" s="3" t="s">
        <v>48</v>
      </c>
      <c r="B30" s="3" t="s">
        <v>56</v>
      </c>
      <c r="C30" s="3" t="s">
        <v>57</v>
      </c>
      <c r="D30" s="3" t="s">
        <v>58</v>
      </c>
      <c r="E30" s="3" t="s">
        <v>59</v>
      </c>
      <c r="F30" s="3" t="s">
        <v>49</v>
      </c>
      <c r="G30" s="3" t="s">
        <v>20</v>
      </c>
      <c r="H30" s="3" t="s">
        <v>21</v>
      </c>
      <c r="I30" s="3" t="s">
        <v>22</v>
      </c>
      <c r="J30" s="3">
        <v>56540480</v>
      </c>
      <c r="K30" s="3" t="s">
        <v>89</v>
      </c>
      <c r="L30" s="3"/>
      <c r="M30" s="3"/>
      <c r="N30" s="3" t="s">
        <v>50</v>
      </c>
      <c r="O30" s="3" t="s">
        <v>23</v>
      </c>
      <c r="P30" s="3">
        <v>0.55000000000000004</v>
      </c>
      <c r="Q30" s="3">
        <v>0.55000000000000004</v>
      </c>
      <c r="R30" s="4" t="s">
        <v>62</v>
      </c>
      <c r="S30" s="4">
        <v>900</v>
      </c>
      <c r="T30" s="4">
        <v>46800</v>
      </c>
      <c r="U30" s="4">
        <v>38200</v>
      </c>
      <c r="V30" s="4">
        <v>0</v>
      </c>
      <c r="W30" s="4">
        <v>0</v>
      </c>
      <c r="X30" s="4">
        <v>0</v>
      </c>
      <c r="Y30" s="4">
        <v>8100</v>
      </c>
      <c r="Z30" s="4">
        <v>0</v>
      </c>
      <c r="AA30" s="4">
        <v>0</v>
      </c>
      <c r="AB30" s="4">
        <v>0</v>
      </c>
      <c r="AC30" s="4">
        <v>500</v>
      </c>
      <c r="AD30" s="4">
        <v>48420</v>
      </c>
      <c r="AE30" s="4">
        <v>38200</v>
      </c>
      <c r="AF30" s="4">
        <v>0</v>
      </c>
      <c r="AG30" s="4">
        <v>0</v>
      </c>
      <c r="AH30" s="4">
        <v>0</v>
      </c>
      <c r="AI30" s="4">
        <v>9720</v>
      </c>
      <c r="AJ30" s="4">
        <v>0</v>
      </c>
      <c r="AK30" s="4">
        <v>0</v>
      </c>
      <c r="AL30" s="4">
        <v>0</v>
      </c>
      <c r="AM30" s="4">
        <v>500</v>
      </c>
      <c r="AN30" s="4">
        <v>26631</v>
      </c>
      <c r="AO30" s="4">
        <v>0</v>
      </c>
      <c r="AP30" s="4">
        <v>26631</v>
      </c>
    </row>
    <row r="31" spans="1:42" x14ac:dyDescent="0.4">
      <c r="A31" s="3" t="s">
        <v>48</v>
      </c>
      <c r="B31" s="3" t="s">
        <v>56</v>
      </c>
      <c r="C31" s="3" t="s">
        <v>57</v>
      </c>
      <c r="D31" s="3" t="s">
        <v>58</v>
      </c>
      <c r="E31" s="3" t="s">
        <v>72</v>
      </c>
      <c r="F31" s="3" t="s">
        <v>49</v>
      </c>
      <c r="G31" s="3" t="s">
        <v>20</v>
      </c>
      <c r="H31" s="3" t="s">
        <v>21</v>
      </c>
      <c r="I31" s="3" t="s">
        <v>22</v>
      </c>
      <c r="J31" s="3">
        <v>58620838</v>
      </c>
      <c r="K31" s="3" t="s">
        <v>73</v>
      </c>
      <c r="L31" s="3"/>
      <c r="M31" s="3"/>
      <c r="N31" s="3" t="s">
        <v>74</v>
      </c>
      <c r="O31" s="3" t="s">
        <v>23</v>
      </c>
      <c r="P31" s="3">
        <v>0.55000000000000004</v>
      </c>
      <c r="Q31" s="3">
        <v>0.55000000000000004</v>
      </c>
      <c r="R31" s="4" t="s">
        <v>25</v>
      </c>
      <c r="S31" s="4">
        <v>100</v>
      </c>
      <c r="T31" s="4">
        <v>916900</v>
      </c>
      <c r="U31" s="4">
        <v>497430</v>
      </c>
      <c r="V31" s="4">
        <v>0</v>
      </c>
      <c r="W31" s="4">
        <v>0</v>
      </c>
      <c r="X31" s="4">
        <v>0</v>
      </c>
      <c r="Y31" s="4">
        <v>3500</v>
      </c>
      <c r="Z31" s="4">
        <v>36400</v>
      </c>
      <c r="AA31" s="4">
        <v>0</v>
      </c>
      <c r="AB31" s="4">
        <v>0</v>
      </c>
      <c r="AC31" s="4">
        <v>379570</v>
      </c>
      <c r="AD31" s="4">
        <v>921240</v>
      </c>
      <c r="AE31" s="4">
        <v>497430</v>
      </c>
      <c r="AF31" s="4">
        <v>0</v>
      </c>
      <c r="AG31" s="4">
        <v>0</v>
      </c>
      <c r="AH31" s="4">
        <v>0</v>
      </c>
      <c r="AI31" s="4">
        <v>4200</v>
      </c>
      <c r="AJ31" s="4">
        <v>40040</v>
      </c>
      <c r="AK31" s="4">
        <v>0</v>
      </c>
      <c r="AL31" s="4">
        <v>0</v>
      </c>
      <c r="AM31" s="4">
        <v>379570</v>
      </c>
      <c r="AN31" s="4">
        <v>506682</v>
      </c>
      <c r="AO31" s="4">
        <v>0</v>
      </c>
      <c r="AP31" s="4">
        <v>506682</v>
      </c>
    </row>
    <row r="32" spans="1:42" x14ac:dyDescent="0.4">
      <c r="A32" s="3" t="s">
        <v>48</v>
      </c>
      <c r="B32" s="3" t="s">
        <v>56</v>
      </c>
      <c r="C32" s="3" t="s">
        <v>57</v>
      </c>
      <c r="D32" s="3" t="s">
        <v>58</v>
      </c>
      <c r="E32" s="3" t="s">
        <v>75</v>
      </c>
      <c r="F32" s="3" t="s">
        <v>49</v>
      </c>
      <c r="G32" s="3" t="s">
        <v>20</v>
      </c>
      <c r="H32" s="3" t="s">
        <v>21</v>
      </c>
      <c r="I32" s="3" t="s">
        <v>22</v>
      </c>
      <c r="J32" s="3">
        <v>59239608</v>
      </c>
      <c r="K32" s="3" t="s">
        <v>76</v>
      </c>
      <c r="L32" s="3"/>
      <c r="M32" s="3"/>
      <c r="N32" s="3" t="s">
        <v>77</v>
      </c>
      <c r="O32" s="3" t="s">
        <v>23</v>
      </c>
      <c r="P32" s="3">
        <v>0.55000000000000004</v>
      </c>
      <c r="Q32" s="3">
        <v>0.55000000000000004</v>
      </c>
      <c r="R32" s="4" t="s">
        <v>25</v>
      </c>
      <c r="S32" s="4">
        <v>100</v>
      </c>
      <c r="T32" s="4">
        <v>1083000</v>
      </c>
      <c r="U32" s="4">
        <v>243760</v>
      </c>
      <c r="V32" s="4">
        <v>0</v>
      </c>
      <c r="W32" s="4">
        <v>0</v>
      </c>
      <c r="X32" s="4">
        <v>0</v>
      </c>
      <c r="Y32" s="4">
        <v>20350</v>
      </c>
      <c r="Z32" s="4">
        <v>13130</v>
      </c>
      <c r="AA32" s="4">
        <v>0</v>
      </c>
      <c r="AB32" s="4">
        <v>0</v>
      </c>
      <c r="AC32" s="4">
        <v>805760</v>
      </c>
      <c r="AD32" s="4">
        <v>1088383</v>
      </c>
      <c r="AE32" s="4">
        <v>243760</v>
      </c>
      <c r="AF32" s="4">
        <v>0</v>
      </c>
      <c r="AG32" s="4">
        <v>0</v>
      </c>
      <c r="AH32" s="4">
        <v>0</v>
      </c>
      <c r="AI32" s="4">
        <v>24420</v>
      </c>
      <c r="AJ32" s="4">
        <v>14443</v>
      </c>
      <c r="AK32" s="4">
        <v>0</v>
      </c>
      <c r="AL32" s="4">
        <v>0</v>
      </c>
      <c r="AM32" s="4">
        <v>805760</v>
      </c>
      <c r="AN32" s="4">
        <v>598611</v>
      </c>
      <c r="AO32" s="4">
        <v>0</v>
      </c>
      <c r="AP32" s="4">
        <v>598611</v>
      </c>
    </row>
    <row r="33" spans="1:42" x14ac:dyDescent="0.4">
      <c r="A33" s="3" t="s">
        <v>48</v>
      </c>
      <c r="B33" s="3" t="s">
        <v>56</v>
      </c>
      <c r="C33" s="3" t="s">
        <v>57</v>
      </c>
      <c r="D33" s="3" t="s">
        <v>58</v>
      </c>
      <c r="E33" s="3" t="s">
        <v>75</v>
      </c>
      <c r="F33" s="3" t="s">
        <v>49</v>
      </c>
      <c r="G33" s="3" t="s">
        <v>20</v>
      </c>
      <c r="H33" s="3" t="s">
        <v>21</v>
      </c>
      <c r="I33" s="3" t="s">
        <v>22</v>
      </c>
      <c r="J33" s="3">
        <v>59239608</v>
      </c>
      <c r="K33" s="3" t="s">
        <v>76</v>
      </c>
      <c r="L33" s="3"/>
      <c r="M33" s="3"/>
      <c r="N33" s="3" t="s">
        <v>77</v>
      </c>
      <c r="O33" s="3" t="s">
        <v>23</v>
      </c>
      <c r="P33" s="3">
        <v>0.55000000000000004</v>
      </c>
      <c r="Q33" s="3">
        <v>0.55000000000000004</v>
      </c>
      <c r="R33" s="4" t="s">
        <v>24</v>
      </c>
      <c r="S33" s="4">
        <v>1900</v>
      </c>
      <c r="T33" s="4">
        <v>665000</v>
      </c>
      <c r="U33" s="4">
        <v>405420</v>
      </c>
      <c r="V33" s="4">
        <v>0</v>
      </c>
      <c r="W33" s="4">
        <v>0</v>
      </c>
      <c r="X33" s="4">
        <v>0</v>
      </c>
      <c r="Y33" s="4">
        <v>21200</v>
      </c>
      <c r="Z33" s="4">
        <v>18680</v>
      </c>
      <c r="AA33" s="4">
        <v>0</v>
      </c>
      <c r="AB33" s="4">
        <v>0</v>
      </c>
      <c r="AC33" s="4">
        <v>219700</v>
      </c>
      <c r="AD33" s="4">
        <v>671108</v>
      </c>
      <c r="AE33" s="4">
        <v>405420</v>
      </c>
      <c r="AF33" s="4">
        <v>0</v>
      </c>
      <c r="AG33" s="4">
        <v>0</v>
      </c>
      <c r="AH33" s="4">
        <v>0</v>
      </c>
      <c r="AI33" s="4">
        <v>25440</v>
      </c>
      <c r="AJ33" s="4">
        <v>20548</v>
      </c>
      <c r="AK33" s="4">
        <v>0</v>
      </c>
      <c r="AL33" s="4">
        <v>0</v>
      </c>
      <c r="AM33" s="4">
        <v>219700</v>
      </c>
      <c r="AN33" s="4">
        <v>369109</v>
      </c>
      <c r="AO33" s="4">
        <v>0</v>
      </c>
      <c r="AP33" s="4">
        <v>369109</v>
      </c>
    </row>
    <row r="34" spans="1:42" x14ac:dyDescent="0.4">
      <c r="A34" s="3" t="s">
        <v>48</v>
      </c>
      <c r="B34" s="3" t="s">
        <v>56</v>
      </c>
      <c r="C34" s="3" t="s">
        <v>57</v>
      </c>
      <c r="D34" s="3" t="s">
        <v>58</v>
      </c>
      <c r="E34" s="3" t="s">
        <v>75</v>
      </c>
      <c r="F34" s="3" t="s">
        <v>49</v>
      </c>
      <c r="G34" s="3" t="s">
        <v>20</v>
      </c>
      <c r="H34" s="3" t="s">
        <v>21</v>
      </c>
      <c r="I34" s="3" t="s">
        <v>22</v>
      </c>
      <c r="J34" s="3">
        <v>59239608</v>
      </c>
      <c r="K34" s="3" t="s">
        <v>76</v>
      </c>
      <c r="L34" s="3"/>
      <c r="M34" s="3"/>
      <c r="N34" s="3" t="s">
        <v>77</v>
      </c>
      <c r="O34" s="3" t="s">
        <v>23</v>
      </c>
      <c r="P34" s="3">
        <v>0.55000000000000004</v>
      </c>
      <c r="Q34" s="3">
        <v>0.55000000000000004</v>
      </c>
      <c r="R34" s="4" t="s">
        <v>24</v>
      </c>
      <c r="S34" s="4">
        <v>3700</v>
      </c>
      <c r="T34" s="4">
        <v>416900</v>
      </c>
      <c r="U34" s="4">
        <v>324910</v>
      </c>
      <c r="V34" s="4">
        <v>0</v>
      </c>
      <c r="W34" s="4">
        <v>0</v>
      </c>
      <c r="X34" s="4">
        <v>0</v>
      </c>
      <c r="Y34" s="4">
        <v>3700</v>
      </c>
      <c r="Z34" s="4">
        <v>18500</v>
      </c>
      <c r="AA34" s="4">
        <v>0</v>
      </c>
      <c r="AB34" s="4">
        <v>0</v>
      </c>
      <c r="AC34" s="4">
        <v>69790</v>
      </c>
      <c r="AD34" s="4">
        <v>419490</v>
      </c>
      <c r="AE34" s="4">
        <v>324910</v>
      </c>
      <c r="AF34" s="4">
        <v>0</v>
      </c>
      <c r="AG34" s="4">
        <v>0</v>
      </c>
      <c r="AH34" s="4">
        <v>0</v>
      </c>
      <c r="AI34" s="4">
        <v>4440</v>
      </c>
      <c r="AJ34" s="4">
        <v>20350</v>
      </c>
      <c r="AK34" s="4">
        <v>0</v>
      </c>
      <c r="AL34" s="4">
        <v>0</v>
      </c>
      <c r="AM34" s="4">
        <v>69790</v>
      </c>
      <c r="AN34" s="4">
        <v>230720</v>
      </c>
      <c r="AO34" s="4">
        <v>0</v>
      </c>
      <c r="AP34" s="4">
        <v>230720</v>
      </c>
    </row>
    <row r="35" spans="1:42" x14ac:dyDescent="0.4">
      <c r="A35" s="3" t="s">
        <v>48</v>
      </c>
      <c r="B35" s="3" t="s">
        <v>56</v>
      </c>
      <c r="C35" s="3" t="s">
        <v>57</v>
      </c>
      <c r="D35" s="3" t="s">
        <v>58</v>
      </c>
      <c r="E35" s="3" t="s">
        <v>75</v>
      </c>
      <c r="F35" s="3" t="s">
        <v>49</v>
      </c>
      <c r="G35" s="3" t="s">
        <v>20</v>
      </c>
      <c r="H35" s="3" t="s">
        <v>21</v>
      </c>
      <c r="I35" s="3" t="s">
        <v>22</v>
      </c>
      <c r="J35" s="3">
        <v>59239608</v>
      </c>
      <c r="K35" s="3" t="s">
        <v>76</v>
      </c>
      <c r="L35" s="3"/>
      <c r="M35" s="3"/>
      <c r="N35" s="3" t="s">
        <v>77</v>
      </c>
      <c r="O35" s="3" t="s">
        <v>23</v>
      </c>
      <c r="P35" s="3">
        <v>0.55000000000000004</v>
      </c>
      <c r="Q35" s="3">
        <v>0.55000000000000004</v>
      </c>
      <c r="R35" s="4" t="s">
        <v>24</v>
      </c>
      <c r="S35" s="4">
        <v>7200</v>
      </c>
      <c r="T35" s="4">
        <v>390300</v>
      </c>
      <c r="U35" s="4">
        <v>322180</v>
      </c>
      <c r="V35" s="4">
        <v>0</v>
      </c>
      <c r="W35" s="4">
        <v>0</v>
      </c>
      <c r="X35" s="4">
        <v>0</v>
      </c>
      <c r="Y35" s="4">
        <v>450</v>
      </c>
      <c r="Z35" s="4">
        <v>36450</v>
      </c>
      <c r="AA35" s="4">
        <v>0</v>
      </c>
      <c r="AB35" s="4">
        <v>0</v>
      </c>
      <c r="AC35" s="4">
        <v>31220</v>
      </c>
      <c r="AD35" s="4">
        <v>394035</v>
      </c>
      <c r="AE35" s="4">
        <v>322180</v>
      </c>
      <c r="AF35" s="4">
        <v>0</v>
      </c>
      <c r="AG35" s="4">
        <v>0</v>
      </c>
      <c r="AH35" s="4">
        <v>0</v>
      </c>
      <c r="AI35" s="4">
        <v>540</v>
      </c>
      <c r="AJ35" s="4">
        <v>40095</v>
      </c>
      <c r="AK35" s="4">
        <v>0</v>
      </c>
      <c r="AL35" s="4">
        <v>0</v>
      </c>
      <c r="AM35" s="4">
        <v>31220</v>
      </c>
      <c r="AN35" s="4">
        <v>216719</v>
      </c>
      <c r="AO35" s="4">
        <v>0</v>
      </c>
      <c r="AP35" s="4">
        <v>216719</v>
      </c>
    </row>
    <row r="36" spans="1:42" x14ac:dyDescent="0.4">
      <c r="A36" s="3" t="s">
        <v>48</v>
      </c>
      <c r="B36" s="3" t="s">
        <v>56</v>
      </c>
      <c r="C36" s="3" t="s">
        <v>57</v>
      </c>
      <c r="D36" s="3" t="s">
        <v>58</v>
      </c>
      <c r="E36" s="3" t="s">
        <v>78</v>
      </c>
      <c r="F36" s="3" t="s">
        <v>49</v>
      </c>
      <c r="G36" s="3" t="s">
        <v>20</v>
      </c>
      <c r="H36" s="3" t="s">
        <v>21</v>
      </c>
      <c r="I36" s="3" t="s">
        <v>22</v>
      </c>
      <c r="J36" s="3">
        <v>52589363</v>
      </c>
      <c r="K36" s="3" t="s">
        <v>79</v>
      </c>
      <c r="L36" s="3"/>
      <c r="M36" s="3"/>
      <c r="N36" s="3" t="s">
        <v>80</v>
      </c>
      <c r="O36" s="3" t="s">
        <v>23</v>
      </c>
      <c r="P36" s="3">
        <v>0.55000000000000004</v>
      </c>
      <c r="Q36" s="3">
        <v>0.55000000000000004</v>
      </c>
      <c r="R36" s="4" t="s">
        <v>25</v>
      </c>
      <c r="S36" s="4">
        <v>100</v>
      </c>
      <c r="T36" s="4">
        <v>61400</v>
      </c>
      <c r="U36" s="4">
        <v>28580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32820</v>
      </c>
      <c r="AD36" s="4">
        <v>61400</v>
      </c>
      <c r="AE36" s="4">
        <v>28580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32820</v>
      </c>
      <c r="AN36" s="4">
        <v>33770</v>
      </c>
      <c r="AO36" s="4">
        <v>0</v>
      </c>
      <c r="AP36" s="4">
        <v>33770</v>
      </c>
    </row>
    <row r="37" spans="1:42" x14ac:dyDescent="0.4">
      <c r="A37" s="3" t="s">
        <v>48</v>
      </c>
      <c r="B37" s="3" t="s">
        <v>56</v>
      </c>
      <c r="C37" s="3" t="s">
        <v>57</v>
      </c>
      <c r="D37" s="3" t="s">
        <v>58</v>
      </c>
      <c r="E37" s="3" t="s">
        <v>78</v>
      </c>
      <c r="F37" s="3" t="s">
        <v>49</v>
      </c>
      <c r="G37" s="3" t="s">
        <v>20</v>
      </c>
      <c r="H37" s="3" t="s">
        <v>21</v>
      </c>
      <c r="I37" s="3" t="s">
        <v>22</v>
      </c>
      <c r="J37" s="3">
        <v>52589363</v>
      </c>
      <c r="K37" s="3" t="s">
        <v>79</v>
      </c>
      <c r="L37" s="3"/>
      <c r="M37" s="3"/>
      <c r="N37" s="3" t="s">
        <v>80</v>
      </c>
      <c r="O37" s="3" t="s">
        <v>23</v>
      </c>
      <c r="P37" s="3">
        <v>0.55000000000000004</v>
      </c>
      <c r="Q37" s="3">
        <v>0.55000000000000004</v>
      </c>
      <c r="R37" s="4" t="s">
        <v>24</v>
      </c>
      <c r="S37" s="4">
        <v>2400</v>
      </c>
      <c r="T37" s="4">
        <v>68000</v>
      </c>
      <c r="U37" s="4">
        <v>64800</v>
      </c>
      <c r="V37" s="4">
        <v>0</v>
      </c>
      <c r="W37" s="4">
        <v>0</v>
      </c>
      <c r="X37" s="4">
        <v>0</v>
      </c>
      <c r="Y37" s="4">
        <v>0</v>
      </c>
      <c r="Z37" s="4">
        <v>1700</v>
      </c>
      <c r="AA37" s="4">
        <v>0</v>
      </c>
      <c r="AB37" s="4">
        <v>0</v>
      </c>
      <c r="AC37" s="4">
        <v>1500</v>
      </c>
      <c r="AD37" s="4">
        <v>68170</v>
      </c>
      <c r="AE37" s="4">
        <v>64800</v>
      </c>
      <c r="AF37" s="4">
        <v>0</v>
      </c>
      <c r="AG37" s="4">
        <v>0</v>
      </c>
      <c r="AH37" s="4">
        <v>0</v>
      </c>
      <c r="AI37" s="4">
        <v>0</v>
      </c>
      <c r="AJ37" s="4">
        <v>1870</v>
      </c>
      <c r="AK37" s="4">
        <v>0</v>
      </c>
      <c r="AL37" s="4">
        <v>0</v>
      </c>
      <c r="AM37" s="4">
        <v>1500</v>
      </c>
      <c r="AN37" s="4">
        <v>37494</v>
      </c>
      <c r="AO37" s="4">
        <v>0</v>
      </c>
      <c r="AP37" s="4">
        <v>37494</v>
      </c>
    </row>
    <row r="38" spans="1:42" x14ac:dyDescent="0.4">
      <c r="A38" s="3" t="s">
        <v>48</v>
      </c>
      <c r="B38" s="3" t="s">
        <v>56</v>
      </c>
      <c r="C38" s="3" t="s">
        <v>57</v>
      </c>
      <c r="D38" s="3" t="s">
        <v>58</v>
      </c>
      <c r="E38" s="3" t="s">
        <v>78</v>
      </c>
      <c r="F38" s="3" t="s">
        <v>49</v>
      </c>
      <c r="G38" s="3" t="s">
        <v>20</v>
      </c>
      <c r="H38" s="3" t="s">
        <v>21</v>
      </c>
      <c r="I38" s="3" t="s">
        <v>22</v>
      </c>
      <c r="J38" s="3">
        <v>52589363</v>
      </c>
      <c r="K38" s="3" t="s">
        <v>79</v>
      </c>
      <c r="L38" s="3"/>
      <c r="M38" s="3"/>
      <c r="N38" s="3" t="s">
        <v>80</v>
      </c>
      <c r="O38" s="3" t="s">
        <v>23</v>
      </c>
      <c r="P38" s="3">
        <v>0.55000000000000004</v>
      </c>
      <c r="Q38" s="3">
        <v>0.55000000000000004</v>
      </c>
      <c r="R38" s="4" t="s">
        <v>24</v>
      </c>
      <c r="S38" s="4">
        <v>4600</v>
      </c>
      <c r="T38" s="4">
        <v>38000</v>
      </c>
      <c r="U38" s="4">
        <v>37200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800</v>
      </c>
      <c r="AD38" s="4">
        <v>38000</v>
      </c>
      <c r="AE38" s="4">
        <v>37200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800</v>
      </c>
      <c r="AN38" s="4">
        <v>20900</v>
      </c>
      <c r="AO38" s="4">
        <v>0</v>
      </c>
      <c r="AP38" s="4">
        <v>20900</v>
      </c>
    </row>
    <row r="39" spans="1:42" x14ac:dyDescent="0.4">
      <c r="A39" s="3" t="s">
        <v>48</v>
      </c>
      <c r="B39" s="3" t="s">
        <v>56</v>
      </c>
      <c r="C39" s="3" t="s">
        <v>57</v>
      </c>
      <c r="D39" s="3" t="s">
        <v>58</v>
      </c>
      <c r="E39" s="3" t="s">
        <v>78</v>
      </c>
      <c r="F39" s="3" t="s">
        <v>49</v>
      </c>
      <c r="G39" s="3" t="s">
        <v>20</v>
      </c>
      <c r="H39" s="3" t="s">
        <v>21</v>
      </c>
      <c r="I39" s="3" t="s">
        <v>22</v>
      </c>
      <c r="J39" s="3">
        <v>52589363</v>
      </c>
      <c r="K39" s="3" t="s">
        <v>79</v>
      </c>
      <c r="L39" s="3"/>
      <c r="M39" s="3"/>
      <c r="N39" s="3" t="s">
        <v>80</v>
      </c>
      <c r="O39" s="3" t="s">
        <v>23</v>
      </c>
      <c r="P39" s="3">
        <v>0.55000000000000004</v>
      </c>
      <c r="Q39" s="3">
        <v>0.55000000000000004</v>
      </c>
      <c r="R39" s="4" t="s">
        <v>24</v>
      </c>
      <c r="S39" s="4">
        <v>9000</v>
      </c>
      <c r="T39" s="4">
        <v>46800</v>
      </c>
      <c r="U39" s="4">
        <v>44400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2400</v>
      </c>
      <c r="AD39" s="4">
        <v>46800</v>
      </c>
      <c r="AE39" s="4">
        <v>44400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2400</v>
      </c>
      <c r="AN39" s="4">
        <v>25740</v>
      </c>
      <c r="AO39" s="4">
        <v>0</v>
      </c>
      <c r="AP39" s="4">
        <v>25740</v>
      </c>
    </row>
    <row r="40" spans="1:42" x14ac:dyDescent="0.4">
      <c r="A40" s="3" t="s">
        <v>48</v>
      </c>
      <c r="B40" s="3" t="s">
        <v>56</v>
      </c>
      <c r="C40" s="3" t="s">
        <v>57</v>
      </c>
      <c r="D40" s="3" t="s">
        <v>58</v>
      </c>
      <c r="E40" s="3" t="s">
        <v>81</v>
      </c>
      <c r="F40" s="3" t="s">
        <v>49</v>
      </c>
      <c r="G40" s="3" t="s">
        <v>20</v>
      </c>
      <c r="H40" s="3" t="s">
        <v>21</v>
      </c>
      <c r="I40" s="3" t="s">
        <v>22</v>
      </c>
      <c r="J40" s="3">
        <v>52749480</v>
      </c>
      <c r="K40" s="3" t="s">
        <v>82</v>
      </c>
      <c r="L40" s="3"/>
      <c r="M40" s="3"/>
      <c r="N40" s="3" t="s">
        <v>83</v>
      </c>
      <c r="O40" s="3" t="s">
        <v>23</v>
      </c>
      <c r="P40" s="3">
        <v>0.55000000000000004</v>
      </c>
      <c r="Q40" s="3">
        <v>0.55000000000000004</v>
      </c>
      <c r="R40" s="4" t="s">
        <v>25</v>
      </c>
      <c r="S40" s="4">
        <v>100</v>
      </c>
      <c r="T40" s="4">
        <v>46600</v>
      </c>
      <c r="U40" s="4">
        <v>10900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35700</v>
      </c>
      <c r="AD40" s="4">
        <v>46600</v>
      </c>
      <c r="AE40" s="4">
        <v>10900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35700</v>
      </c>
      <c r="AN40" s="4">
        <v>25630</v>
      </c>
      <c r="AO40" s="4">
        <v>0</v>
      </c>
      <c r="AP40" s="4">
        <v>25630</v>
      </c>
    </row>
    <row r="41" spans="1:42" x14ac:dyDescent="0.4">
      <c r="A41" s="3" t="s">
        <v>48</v>
      </c>
      <c r="B41" s="3" t="s">
        <v>56</v>
      </c>
      <c r="C41" s="3" t="s">
        <v>57</v>
      </c>
      <c r="D41" s="3" t="s">
        <v>58</v>
      </c>
      <c r="E41" s="3" t="s">
        <v>81</v>
      </c>
      <c r="F41" s="3" t="s">
        <v>49</v>
      </c>
      <c r="G41" s="3" t="s">
        <v>20</v>
      </c>
      <c r="H41" s="3" t="s">
        <v>21</v>
      </c>
      <c r="I41" s="3" t="s">
        <v>22</v>
      </c>
      <c r="J41" s="3">
        <v>52749480</v>
      </c>
      <c r="K41" s="3" t="s">
        <v>82</v>
      </c>
      <c r="L41" s="3"/>
      <c r="M41" s="3"/>
      <c r="N41" s="3" t="s">
        <v>83</v>
      </c>
      <c r="O41" s="3" t="s">
        <v>23</v>
      </c>
      <c r="P41" s="3">
        <v>0.55000000000000004</v>
      </c>
      <c r="Q41" s="3">
        <v>0.55000000000000004</v>
      </c>
      <c r="R41" s="4" t="s">
        <v>24</v>
      </c>
      <c r="S41" s="4">
        <v>4500</v>
      </c>
      <c r="T41" s="4">
        <v>73100</v>
      </c>
      <c r="U41" s="4">
        <v>73000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100</v>
      </c>
      <c r="AD41" s="4">
        <v>73100</v>
      </c>
      <c r="AE41" s="4">
        <v>73000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100</v>
      </c>
      <c r="AN41" s="4">
        <v>40205</v>
      </c>
      <c r="AO41" s="4">
        <v>0</v>
      </c>
      <c r="AP41" s="4">
        <v>40205</v>
      </c>
    </row>
    <row r="42" spans="1:42" x14ac:dyDescent="0.4">
      <c r="A42" s="3" t="s">
        <v>48</v>
      </c>
      <c r="B42" s="3" t="s">
        <v>56</v>
      </c>
      <c r="C42" s="3" t="s">
        <v>57</v>
      </c>
      <c r="D42" s="3" t="s">
        <v>58</v>
      </c>
      <c r="E42" s="3" t="s">
        <v>81</v>
      </c>
      <c r="F42" s="3" t="s">
        <v>49</v>
      </c>
      <c r="G42" s="3" t="s">
        <v>20</v>
      </c>
      <c r="H42" s="3" t="s">
        <v>21</v>
      </c>
      <c r="I42" s="3" t="s">
        <v>22</v>
      </c>
      <c r="J42" s="3">
        <v>52749480</v>
      </c>
      <c r="K42" s="3" t="s">
        <v>82</v>
      </c>
      <c r="L42" s="3"/>
      <c r="M42" s="3"/>
      <c r="N42" s="3" t="s">
        <v>83</v>
      </c>
      <c r="O42" s="3" t="s">
        <v>23</v>
      </c>
      <c r="P42" s="3">
        <v>0.55000000000000004</v>
      </c>
      <c r="Q42" s="3">
        <v>0.55000000000000004</v>
      </c>
      <c r="R42" s="4" t="s">
        <v>24</v>
      </c>
      <c r="S42" s="4">
        <v>9000</v>
      </c>
      <c r="T42" s="4">
        <v>9000</v>
      </c>
      <c r="U42" s="4">
        <v>9000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9000</v>
      </c>
      <c r="AE42" s="4">
        <v>9000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4950</v>
      </c>
      <c r="AO42" s="4">
        <v>0</v>
      </c>
      <c r="AP42" s="4">
        <v>4950</v>
      </c>
    </row>
    <row r="43" spans="1:42" x14ac:dyDescent="0.4">
      <c r="A43" s="3" t="s">
        <v>48</v>
      </c>
      <c r="B43" s="3" t="s">
        <v>56</v>
      </c>
      <c r="C43" s="3" t="s">
        <v>57</v>
      </c>
      <c r="D43" s="3" t="s">
        <v>58</v>
      </c>
      <c r="E43" s="3" t="s">
        <v>81</v>
      </c>
      <c r="F43" s="3" t="s">
        <v>49</v>
      </c>
      <c r="G43" s="3" t="s">
        <v>20</v>
      </c>
      <c r="H43" s="3" t="s">
        <v>21</v>
      </c>
      <c r="I43" s="3" t="s">
        <v>22</v>
      </c>
      <c r="J43" s="3">
        <v>52749480</v>
      </c>
      <c r="K43" s="3" t="s">
        <v>82</v>
      </c>
      <c r="L43" s="3"/>
      <c r="M43" s="3"/>
      <c r="N43" s="3" t="s">
        <v>83</v>
      </c>
      <c r="O43" s="3" t="s">
        <v>23</v>
      </c>
      <c r="P43" s="3">
        <v>0.55000000000000004</v>
      </c>
      <c r="Q43" s="3">
        <v>0.55000000000000004</v>
      </c>
      <c r="R43" s="4" t="s">
        <v>24</v>
      </c>
      <c r="S43" s="4">
        <v>13500</v>
      </c>
      <c r="T43" s="4">
        <v>49400</v>
      </c>
      <c r="U43" s="4">
        <v>48900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500</v>
      </c>
      <c r="AD43" s="4">
        <v>49400</v>
      </c>
      <c r="AE43" s="4">
        <v>48900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500</v>
      </c>
      <c r="AN43" s="4">
        <v>27170</v>
      </c>
      <c r="AO43" s="4">
        <v>0</v>
      </c>
      <c r="AP43" s="4">
        <v>27170</v>
      </c>
    </row>
    <row r="44" spans="1:42" x14ac:dyDescent="0.4">
      <c r="A44" s="3" t="s">
        <v>48</v>
      </c>
      <c r="B44" s="3" t="s">
        <v>56</v>
      </c>
      <c r="C44" s="3" t="s">
        <v>57</v>
      </c>
      <c r="D44" s="3" t="s">
        <v>58</v>
      </c>
      <c r="E44" s="3" t="s">
        <v>84</v>
      </c>
      <c r="F44" s="3" t="s">
        <v>49</v>
      </c>
      <c r="G44" s="3" t="s">
        <v>20</v>
      </c>
      <c r="H44" s="3" t="s">
        <v>21</v>
      </c>
      <c r="I44" s="3" t="s">
        <v>22</v>
      </c>
      <c r="J44" s="3">
        <v>54367334</v>
      </c>
      <c r="K44" s="3" t="s">
        <v>85</v>
      </c>
      <c r="L44" s="3"/>
      <c r="M44" s="3"/>
      <c r="N44" s="3" t="s">
        <v>86</v>
      </c>
      <c r="O44" s="3" t="s">
        <v>23</v>
      </c>
      <c r="P44" s="3">
        <v>0.55000000000000004</v>
      </c>
      <c r="Q44" s="3">
        <v>0.55000000000000004</v>
      </c>
      <c r="R44" s="4" t="s">
        <v>25</v>
      </c>
      <c r="S44" s="4">
        <v>100</v>
      </c>
      <c r="T44" s="4">
        <v>11700</v>
      </c>
      <c r="U44" s="4">
        <v>8700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3000</v>
      </c>
      <c r="AD44" s="4">
        <v>11700</v>
      </c>
      <c r="AE44" s="4">
        <v>8700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3000</v>
      </c>
      <c r="AN44" s="4">
        <v>6435</v>
      </c>
      <c r="AO44" s="4">
        <v>0</v>
      </c>
      <c r="AP44" s="4">
        <v>6435</v>
      </c>
    </row>
    <row r="45" spans="1:42" x14ac:dyDescent="0.4">
      <c r="A45" s="3" t="s">
        <v>48</v>
      </c>
      <c r="B45" s="3" t="s">
        <v>56</v>
      </c>
      <c r="C45" s="3" t="s">
        <v>57</v>
      </c>
      <c r="D45" s="3" t="s">
        <v>58</v>
      </c>
      <c r="E45" s="3" t="s">
        <v>84</v>
      </c>
      <c r="F45" s="3" t="s">
        <v>49</v>
      </c>
      <c r="G45" s="3" t="s">
        <v>20</v>
      </c>
      <c r="H45" s="3" t="s">
        <v>21</v>
      </c>
      <c r="I45" s="3" t="s">
        <v>22</v>
      </c>
      <c r="J45" s="3">
        <v>54367334</v>
      </c>
      <c r="K45" s="3" t="s">
        <v>85</v>
      </c>
      <c r="L45" s="3"/>
      <c r="M45" s="3"/>
      <c r="N45" s="3" t="s">
        <v>86</v>
      </c>
      <c r="O45" s="3" t="s">
        <v>23</v>
      </c>
      <c r="P45" s="3">
        <v>0.55000000000000004</v>
      </c>
      <c r="Q45" s="3">
        <v>0.55000000000000004</v>
      </c>
      <c r="R45" s="4" t="s">
        <v>24</v>
      </c>
      <c r="S45" s="4">
        <v>900</v>
      </c>
      <c r="T45" s="4">
        <v>10200</v>
      </c>
      <c r="U45" s="4">
        <v>8400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1800</v>
      </c>
      <c r="AD45" s="4">
        <v>10200</v>
      </c>
      <c r="AE45" s="4">
        <v>8400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1800</v>
      </c>
      <c r="AN45" s="4">
        <v>5610</v>
      </c>
      <c r="AO45" s="4">
        <v>0</v>
      </c>
      <c r="AP45" s="4">
        <v>5610</v>
      </c>
    </row>
    <row r="46" spans="1:42" x14ac:dyDescent="0.4">
      <c r="A46" s="3" t="s">
        <v>48</v>
      </c>
      <c r="B46" s="3" t="s">
        <v>56</v>
      </c>
      <c r="C46" s="3" t="s">
        <v>57</v>
      </c>
      <c r="D46" s="3" t="s">
        <v>58</v>
      </c>
      <c r="E46" s="3" t="s">
        <v>84</v>
      </c>
      <c r="F46" s="3" t="s">
        <v>49</v>
      </c>
      <c r="G46" s="3" t="s">
        <v>20</v>
      </c>
      <c r="H46" s="3" t="s">
        <v>21</v>
      </c>
      <c r="I46" s="3" t="s">
        <v>22</v>
      </c>
      <c r="J46" s="3">
        <v>54367334</v>
      </c>
      <c r="K46" s="3" t="s">
        <v>85</v>
      </c>
      <c r="L46" s="3"/>
      <c r="M46" s="3"/>
      <c r="N46" s="3" t="s">
        <v>86</v>
      </c>
      <c r="O46" s="3" t="s">
        <v>23</v>
      </c>
      <c r="P46" s="3">
        <v>0.55000000000000004</v>
      </c>
      <c r="Q46" s="3">
        <v>0.55000000000000004</v>
      </c>
      <c r="R46" s="4" t="s">
        <v>24</v>
      </c>
      <c r="S46" s="4">
        <v>2700</v>
      </c>
      <c r="T46" s="4">
        <v>10800</v>
      </c>
      <c r="U46" s="4">
        <v>8100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2700</v>
      </c>
      <c r="AD46" s="4">
        <v>10800</v>
      </c>
      <c r="AE46" s="4">
        <v>8100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2700</v>
      </c>
      <c r="AN46" s="4">
        <v>5940</v>
      </c>
      <c r="AO46" s="4">
        <v>0</v>
      </c>
      <c r="AP46" s="4">
        <v>5940</v>
      </c>
    </row>
    <row r="47" spans="1:42" x14ac:dyDescent="0.4">
      <c r="A47" s="3" t="s">
        <v>48</v>
      </c>
      <c r="B47" s="3" t="s">
        <v>56</v>
      </c>
      <c r="C47" s="3" t="s">
        <v>57</v>
      </c>
      <c r="D47" s="3" t="s">
        <v>58</v>
      </c>
      <c r="E47" s="3" t="s">
        <v>84</v>
      </c>
      <c r="F47" s="3" t="s">
        <v>49</v>
      </c>
      <c r="G47" s="3" t="s">
        <v>20</v>
      </c>
      <c r="H47" s="3" t="s">
        <v>21</v>
      </c>
      <c r="I47" s="3" t="s">
        <v>22</v>
      </c>
      <c r="J47" s="3">
        <v>54367334</v>
      </c>
      <c r="K47" s="3" t="s">
        <v>85</v>
      </c>
      <c r="L47" s="3"/>
      <c r="M47" s="3"/>
      <c r="N47" s="3" t="s">
        <v>86</v>
      </c>
      <c r="O47" s="3" t="s">
        <v>23</v>
      </c>
      <c r="P47" s="3">
        <v>0.55000000000000004</v>
      </c>
      <c r="Q47" s="3">
        <v>0.55000000000000004</v>
      </c>
      <c r="R47" s="4" t="s">
        <v>24</v>
      </c>
      <c r="S47" s="4">
        <v>4500</v>
      </c>
      <c r="T47" s="4">
        <v>13500</v>
      </c>
      <c r="U47" s="4">
        <v>9000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4500</v>
      </c>
      <c r="AD47" s="4">
        <v>13500</v>
      </c>
      <c r="AE47" s="4">
        <v>9000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4500</v>
      </c>
      <c r="AN47" s="4">
        <v>7425</v>
      </c>
      <c r="AO47" s="4">
        <v>0</v>
      </c>
      <c r="AP47" s="4">
        <v>7425</v>
      </c>
    </row>
    <row r="48" spans="1:42" x14ac:dyDescent="0.4">
      <c r="A48" s="3" t="s">
        <v>48</v>
      </c>
      <c r="B48" s="3" t="s">
        <v>56</v>
      </c>
      <c r="C48" s="3" t="s">
        <v>57</v>
      </c>
      <c r="D48" s="3" t="s">
        <v>58</v>
      </c>
      <c r="E48" s="3" t="s">
        <v>84</v>
      </c>
      <c r="F48" s="3" t="s">
        <v>49</v>
      </c>
      <c r="G48" s="3" t="s">
        <v>20</v>
      </c>
      <c r="H48" s="3" t="s">
        <v>21</v>
      </c>
      <c r="I48" s="3" t="s">
        <v>22</v>
      </c>
      <c r="J48" s="3">
        <v>59204258</v>
      </c>
      <c r="K48" s="3" t="s">
        <v>87</v>
      </c>
      <c r="L48" s="3"/>
      <c r="M48" s="3"/>
      <c r="N48" s="3" t="s">
        <v>86</v>
      </c>
      <c r="O48" s="3" t="s">
        <v>23</v>
      </c>
      <c r="P48" s="3">
        <v>0.55000000000000004</v>
      </c>
      <c r="Q48" s="3">
        <v>0.55000000000000004</v>
      </c>
      <c r="R48" s="4" t="s">
        <v>25</v>
      </c>
      <c r="S48" s="4">
        <v>100</v>
      </c>
      <c r="T48" s="4">
        <v>1515600</v>
      </c>
      <c r="U48" s="4">
        <v>496340</v>
      </c>
      <c r="V48" s="4">
        <v>0</v>
      </c>
      <c r="W48" s="4">
        <v>0</v>
      </c>
      <c r="X48" s="4">
        <v>0</v>
      </c>
      <c r="Y48" s="4">
        <v>7500</v>
      </c>
      <c r="Z48" s="4">
        <v>15800</v>
      </c>
      <c r="AA48" s="4">
        <v>0</v>
      </c>
      <c r="AB48" s="4">
        <v>0</v>
      </c>
      <c r="AC48" s="4">
        <v>995960</v>
      </c>
      <c r="AD48" s="4">
        <v>1518680</v>
      </c>
      <c r="AE48" s="4">
        <v>496340</v>
      </c>
      <c r="AF48" s="4">
        <v>0</v>
      </c>
      <c r="AG48" s="4">
        <v>0</v>
      </c>
      <c r="AH48" s="4">
        <v>0</v>
      </c>
      <c r="AI48" s="4">
        <v>9000</v>
      </c>
      <c r="AJ48" s="4">
        <v>17380</v>
      </c>
      <c r="AK48" s="4">
        <v>0</v>
      </c>
      <c r="AL48" s="4">
        <v>0</v>
      </c>
      <c r="AM48" s="4">
        <v>995960</v>
      </c>
      <c r="AN48" s="4">
        <v>835274</v>
      </c>
      <c r="AO48" s="4">
        <v>0</v>
      </c>
      <c r="AP48" s="4">
        <v>835274</v>
      </c>
    </row>
    <row r="49" spans="1:42" x14ac:dyDescent="0.4">
      <c r="A49" s="3" t="s">
        <v>48</v>
      </c>
      <c r="B49" s="3" t="s">
        <v>56</v>
      </c>
      <c r="C49" s="3" t="s">
        <v>57</v>
      </c>
      <c r="D49" s="3" t="s">
        <v>58</v>
      </c>
      <c r="E49" s="3" t="s">
        <v>84</v>
      </c>
      <c r="F49" s="3" t="s">
        <v>49</v>
      </c>
      <c r="G49" s="3" t="s">
        <v>20</v>
      </c>
      <c r="H49" s="3" t="s">
        <v>21</v>
      </c>
      <c r="I49" s="3" t="s">
        <v>22</v>
      </c>
      <c r="J49" s="3">
        <v>59204258</v>
      </c>
      <c r="K49" s="3" t="s">
        <v>87</v>
      </c>
      <c r="L49" s="3"/>
      <c r="M49" s="3"/>
      <c r="N49" s="3" t="s">
        <v>86</v>
      </c>
      <c r="O49" s="3" t="s">
        <v>23</v>
      </c>
      <c r="P49" s="3">
        <v>0.55000000000000004</v>
      </c>
      <c r="Q49" s="3">
        <v>0.55000000000000004</v>
      </c>
      <c r="R49" s="4" t="s">
        <v>24</v>
      </c>
      <c r="S49" s="4">
        <v>1900</v>
      </c>
      <c r="T49" s="4">
        <v>743500</v>
      </c>
      <c r="U49" s="4">
        <v>523500</v>
      </c>
      <c r="V49" s="4">
        <v>0</v>
      </c>
      <c r="W49" s="4">
        <v>0</v>
      </c>
      <c r="X49" s="4">
        <v>0</v>
      </c>
      <c r="Y49" s="4">
        <v>2100</v>
      </c>
      <c r="Z49" s="4">
        <v>5100</v>
      </c>
      <c r="AA49" s="4">
        <v>0</v>
      </c>
      <c r="AB49" s="4">
        <v>0</v>
      </c>
      <c r="AC49" s="4">
        <v>212800</v>
      </c>
      <c r="AD49" s="4">
        <v>744430</v>
      </c>
      <c r="AE49" s="4">
        <v>523500</v>
      </c>
      <c r="AF49" s="4">
        <v>0</v>
      </c>
      <c r="AG49" s="4">
        <v>0</v>
      </c>
      <c r="AH49" s="4">
        <v>0</v>
      </c>
      <c r="AI49" s="4">
        <v>2520</v>
      </c>
      <c r="AJ49" s="4">
        <v>5610</v>
      </c>
      <c r="AK49" s="4">
        <v>0</v>
      </c>
      <c r="AL49" s="4">
        <v>0</v>
      </c>
      <c r="AM49" s="4">
        <v>212800</v>
      </c>
      <c r="AN49" s="4">
        <v>409437</v>
      </c>
      <c r="AO49" s="4">
        <v>0</v>
      </c>
      <c r="AP49" s="4">
        <v>409437</v>
      </c>
    </row>
    <row r="50" spans="1:42" x14ac:dyDescent="0.4">
      <c r="A50" s="3" t="s">
        <v>48</v>
      </c>
      <c r="B50" s="3" t="s">
        <v>56</v>
      </c>
      <c r="C50" s="3" t="s">
        <v>57</v>
      </c>
      <c r="D50" s="3" t="s">
        <v>58</v>
      </c>
      <c r="E50" s="3" t="s">
        <v>84</v>
      </c>
      <c r="F50" s="3" t="s">
        <v>49</v>
      </c>
      <c r="G50" s="3" t="s">
        <v>20</v>
      </c>
      <c r="H50" s="3" t="s">
        <v>21</v>
      </c>
      <c r="I50" s="3" t="s">
        <v>22</v>
      </c>
      <c r="J50" s="3">
        <v>59204258</v>
      </c>
      <c r="K50" s="3" t="s">
        <v>87</v>
      </c>
      <c r="L50" s="3"/>
      <c r="M50" s="3"/>
      <c r="N50" s="3" t="s">
        <v>86</v>
      </c>
      <c r="O50" s="3" t="s">
        <v>23</v>
      </c>
      <c r="P50" s="3">
        <v>0.55000000000000004</v>
      </c>
      <c r="Q50" s="3">
        <v>0.55000000000000004</v>
      </c>
      <c r="R50" s="4" t="s">
        <v>24</v>
      </c>
      <c r="S50" s="4">
        <v>3700</v>
      </c>
      <c r="T50" s="4">
        <v>318100</v>
      </c>
      <c r="U50" s="4">
        <v>254980</v>
      </c>
      <c r="V50" s="4">
        <v>0</v>
      </c>
      <c r="W50" s="4">
        <v>0</v>
      </c>
      <c r="X50" s="4">
        <v>0</v>
      </c>
      <c r="Y50" s="4">
        <v>0</v>
      </c>
      <c r="Z50" s="4">
        <v>7860</v>
      </c>
      <c r="AA50" s="4">
        <v>0</v>
      </c>
      <c r="AB50" s="4">
        <v>0</v>
      </c>
      <c r="AC50" s="4">
        <v>55260</v>
      </c>
      <c r="AD50" s="4">
        <v>318886</v>
      </c>
      <c r="AE50" s="4">
        <v>254980</v>
      </c>
      <c r="AF50" s="4">
        <v>0</v>
      </c>
      <c r="AG50" s="4">
        <v>0</v>
      </c>
      <c r="AH50" s="4">
        <v>0</v>
      </c>
      <c r="AI50" s="4">
        <v>0</v>
      </c>
      <c r="AJ50" s="4">
        <v>8646</v>
      </c>
      <c r="AK50" s="4">
        <v>0</v>
      </c>
      <c r="AL50" s="4">
        <v>0</v>
      </c>
      <c r="AM50" s="4">
        <v>55260</v>
      </c>
      <c r="AN50" s="4">
        <v>175387</v>
      </c>
      <c r="AO50" s="4">
        <v>0</v>
      </c>
      <c r="AP50" s="4">
        <v>175387</v>
      </c>
    </row>
    <row r="51" spans="1:42" x14ac:dyDescent="0.4">
      <c r="A51" s="3" t="s">
        <v>48</v>
      </c>
      <c r="B51" s="3" t="s">
        <v>56</v>
      </c>
      <c r="C51" s="3" t="s">
        <v>57</v>
      </c>
      <c r="D51" s="3" t="s">
        <v>58</v>
      </c>
      <c r="E51" s="3" t="s">
        <v>84</v>
      </c>
      <c r="F51" s="3" t="s">
        <v>49</v>
      </c>
      <c r="G51" s="3" t="s">
        <v>20</v>
      </c>
      <c r="H51" s="3" t="s">
        <v>21</v>
      </c>
      <c r="I51" s="3" t="s">
        <v>22</v>
      </c>
      <c r="J51" s="3">
        <v>59204258</v>
      </c>
      <c r="K51" s="3" t="s">
        <v>87</v>
      </c>
      <c r="L51" s="3"/>
      <c r="M51" s="3"/>
      <c r="N51" s="3" t="s">
        <v>86</v>
      </c>
      <c r="O51" s="3" t="s">
        <v>23</v>
      </c>
      <c r="P51" s="3">
        <v>0.55000000000000004</v>
      </c>
      <c r="Q51" s="3">
        <v>0.55000000000000004</v>
      </c>
      <c r="R51" s="4" t="s">
        <v>24</v>
      </c>
      <c r="S51" s="4">
        <v>7200</v>
      </c>
      <c r="T51" s="4">
        <v>325400</v>
      </c>
      <c r="U51" s="4">
        <v>272900</v>
      </c>
      <c r="V51" s="4">
        <v>0</v>
      </c>
      <c r="W51" s="4">
        <v>0</v>
      </c>
      <c r="X51" s="4">
        <v>0</v>
      </c>
      <c r="Y51" s="4">
        <v>0</v>
      </c>
      <c r="Z51" s="4">
        <v>26800</v>
      </c>
      <c r="AA51" s="4">
        <v>0</v>
      </c>
      <c r="AB51" s="4">
        <v>0</v>
      </c>
      <c r="AC51" s="4">
        <v>25700</v>
      </c>
      <c r="AD51" s="4">
        <v>328080</v>
      </c>
      <c r="AE51" s="4">
        <v>272900</v>
      </c>
      <c r="AF51" s="4">
        <v>0</v>
      </c>
      <c r="AG51" s="4">
        <v>0</v>
      </c>
      <c r="AH51" s="4">
        <v>0</v>
      </c>
      <c r="AI51" s="4">
        <v>0</v>
      </c>
      <c r="AJ51" s="4">
        <v>29480</v>
      </c>
      <c r="AK51" s="4">
        <v>0</v>
      </c>
      <c r="AL51" s="4">
        <v>0</v>
      </c>
      <c r="AM51" s="4">
        <v>25700</v>
      </c>
      <c r="AN51" s="4">
        <v>180444</v>
      </c>
      <c r="AO51" s="4">
        <v>0</v>
      </c>
      <c r="AP51" s="4">
        <v>180444</v>
      </c>
    </row>
    <row r="52" spans="1:42" x14ac:dyDescent="0.4">
      <c r="A52" s="3" t="s">
        <v>48</v>
      </c>
      <c r="B52" s="3" t="s">
        <v>56</v>
      </c>
      <c r="C52" s="3" t="s">
        <v>57</v>
      </c>
      <c r="D52" s="3" t="s">
        <v>58</v>
      </c>
      <c r="E52" s="3" t="s">
        <v>69</v>
      </c>
      <c r="F52" s="3" t="s">
        <v>49</v>
      </c>
      <c r="G52" s="3" t="s">
        <v>20</v>
      </c>
      <c r="H52" s="3" t="s">
        <v>21</v>
      </c>
      <c r="I52" s="3" t="s">
        <v>22</v>
      </c>
      <c r="J52" s="3">
        <v>58140713</v>
      </c>
      <c r="K52" s="3" t="s">
        <v>70</v>
      </c>
      <c r="L52" s="3"/>
      <c r="M52" s="3"/>
      <c r="N52" s="3" t="s">
        <v>71</v>
      </c>
      <c r="O52" s="3" t="s">
        <v>23</v>
      </c>
      <c r="P52" s="3">
        <v>0.55000000000000004</v>
      </c>
      <c r="Q52" s="3">
        <v>0.55000000000000004</v>
      </c>
      <c r="R52" s="4" t="s">
        <v>25</v>
      </c>
      <c r="S52" s="4">
        <v>100</v>
      </c>
      <c r="T52" s="4">
        <v>623100</v>
      </c>
      <c r="U52" s="4">
        <v>368540</v>
      </c>
      <c r="V52" s="4">
        <v>0</v>
      </c>
      <c r="W52" s="4">
        <v>0</v>
      </c>
      <c r="X52" s="4">
        <v>0</v>
      </c>
      <c r="Y52" s="4">
        <v>8400</v>
      </c>
      <c r="Z52" s="4">
        <v>21800</v>
      </c>
      <c r="AA52" s="4">
        <v>0</v>
      </c>
      <c r="AB52" s="4">
        <v>0</v>
      </c>
      <c r="AC52" s="4">
        <v>224360</v>
      </c>
      <c r="AD52" s="4">
        <v>626960</v>
      </c>
      <c r="AE52" s="4">
        <v>368540</v>
      </c>
      <c r="AF52" s="4">
        <v>0</v>
      </c>
      <c r="AG52" s="4">
        <v>0</v>
      </c>
      <c r="AH52" s="4">
        <v>0</v>
      </c>
      <c r="AI52" s="4">
        <v>10080</v>
      </c>
      <c r="AJ52" s="4">
        <v>23980</v>
      </c>
      <c r="AK52" s="4">
        <v>0</v>
      </c>
      <c r="AL52" s="4">
        <v>0</v>
      </c>
      <c r="AM52" s="4">
        <v>224360</v>
      </c>
      <c r="AN52" s="4">
        <v>344828</v>
      </c>
      <c r="AO52" s="4">
        <v>0</v>
      </c>
      <c r="AP52" s="4">
        <v>344828</v>
      </c>
    </row>
    <row r="53" spans="1:42" x14ac:dyDescent="0.4">
      <c r="A53" s="3" t="s">
        <v>48</v>
      </c>
      <c r="B53" s="3" t="s">
        <v>56</v>
      </c>
      <c r="C53" s="3" t="s">
        <v>57</v>
      </c>
      <c r="D53" s="3" t="s">
        <v>58</v>
      </c>
      <c r="E53" s="3" t="s">
        <v>69</v>
      </c>
      <c r="F53" s="3" t="s">
        <v>49</v>
      </c>
      <c r="G53" s="3" t="s">
        <v>20</v>
      </c>
      <c r="H53" s="3" t="s">
        <v>21</v>
      </c>
      <c r="I53" s="3" t="s">
        <v>22</v>
      </c>
      <c r="J53" s="3">
        <v>58140713</v>
      </c>
      <c r="K53" s="3" t="s">
        <v>70</v>
      </c>
      <c r="L53" s="3"/>
      <c r="M53" s="3"/>
      <c r="N53" s="3" t="s">
        <v>71</v>
      </c>
      <c r="O53" s="3" t="s">
        <v>23</v>
      </c>
      <c r="P53" s="3">
        <v>0.55000000000000004</v>
      </c>
      <c r="Q53" s="3">
        <v>0.55000000000000004</v>
      </c>
      <c r="R53" s="4" t="s">
        <v>24</v>
      </c>
      <c r="S53" s="4">
        <v>1900</v>
      </c>
      <c r="T53" s="4">
        <v>440200</v>
      </c>
      <c r="U53" s="4">
        <v>327820</v>
      </c>
      <c r="V53" s="4">
        <v>0</v>
      </c>
      <c r="W53" s="4">
        <v>0</v>
      </c>
      <c r="X53" s="4">
        <v>0</v>
      </c>
      <c r="Y53" s="4">
        <v>1900</v>
      </c>
      <c r="Z53" s="4">
        <v>41100</v>
      </c>
      <c r="AA53" s="4">
        <v>0</v>
      </c>
      <c r="AB53" s="4">
        <v>0</v>
      </c>
      <c r="AC53" s="4">
        <v>69380</v>
      </c>
      <c r="AD53" s="4">
        <v>444690</v>
      </c>
      <c r="AE53" s="4">
        <v>327820</v>
      </c>
      <c r="AF53" s="4">
        <v>0</v>
      </c>
      <c r="AG53" s="4">
        <v>0</v>
      </c>
      <c r="AH53" s="4">
        <v>0</v>
      </c>
      <c r="AI53" s="4">
        <v>2280</v>
      </c>
      <c r="AJ53" s="4">
        <v>45210</v>
      </c>
      <c r="AK53" s="4">
        <v>0</v>
      </c>
      <c r="AL53" s="4">
        <v>0</v>
      </c>
      <c r="AM53" s="4">
        <v>69380</v>
      </c>
      <c r="AN53" s="4">
        <v>244580</v>
      </c>
      <c r="AO53" s="4">
        <v>0</v>
      </c>
      <c r="AP53" s="4">
        <v>244580</v>
      </c>
    </row>
    <row r="54" spans="1:42" x14ac:dyDescent="0.4">
      <c r="A54" s="3" t="s">
        <v>48</v>
      </c>
      <c r="B54" s="3" t="s">
        <v>56</v>
      </c>
      <c r="C54" s="3" t="s">
        <v>57</v>
      </c>
      <c r="D54" s="3" t="s">
        <v>58</v>
      </c>
      <c r="E54" s="3" t="s">
        <v>69</v>
      </c>
      <c r="F54" s="3" t="s">
        <v>49</v>
      </c>
      <c r="G54" s="3" t="s">
        <v>20</v>
      </c>
      <c r="H54" s="3" t="s">
        <v>21</v>
      </c>
      <c r="I54" s="3" t="s">
        <v>22</v>
      </c>
      <c r="J54" s="3">
        <v>58140713</v>
      </c>
      <c r="K54" s="3" t="s">
        <v>70</v>
      </c>
      <c r="L54" s="3"/>
      <c r="M54" s="3"/>
      <c r="N54" s="3" t="s">
        <v>71</v>
      </c>
      <c r="O54" s="3" t="s">
        <v>23</v>
      </c>
      <c r="P54" s="3">
        <v>0.55000000000000004</v>
      </c>
      <c r="Q54" s="3">
        <v>0.55000000000000004</v>
      </c>
      <c r="R54" s="4" t="s">
        <v>24</v>
      </c>
      <c r="S54" s="4">
        <v>4600</v>
      </c>
      <c r="T54" s="4">
        <v>175200</v>
      </c>
      <c r="U54" s="4">
        <v>149200</v>
      </c>
      <c r="V54" s="4">
        <v>0</v>
      </c>
      <c r="W54" s="4">
        <v>0</v>
      </c>
      <c r="X54" s="4">
        <v>0</v>
      </c>
      <c r="Y54" s="4">
        <v>0</v>
      </c>
      <c r="Z54" s="4">
        <v>18400</v>
      </c>
      <c r="AA54" s="4">
        <v>0</v>
      </c>
      <c r="AB54" s="4">
        <v>0</v>
      </c>
      <c r="AC54" s="4">
        <v>7600</v>
      </c>
      <c r="AD54" s="4">
        <v>177040</v>
      </c>
      <c r="AE54" s="4">
        <v>149200</v>
      </c>
      <c r="AF54" s="4">
        <v>0</v>
      </c>
      <c r="AG54" s="4">
        <v>0</v>
      </c>
      <c r="AH54" s="4">
        <v>0</v>
      </c>
      <c r="AI54" s="4">
        <v>0</v>
      </c>
      <c r="AJ54" s="4">
        <v>20240</v>
      </c>
      <c r="AK54" s="4">
        <v>0</v>
      </c>
      <c r="AL54" s="4">
        <v>0</v>
      </c>
      <c r="AM54" s="4">
        <v>7600</v>
      </c>
      <c r="AN54" s="4">
        <v>97372</v>
      </c>
      <c r="AO54" s="4">
        <v>0</v>
      </c>
      <c r="AP54" s="4">
        <v>97372</v>
      </c>
    </row>
    <row r="55" spans="1:42" x14ac:dyDescent="0.4">
      <c r="A55" s="3" t="s">
        <v>48</v>
      </c>
      <c r="B55" s="3" t="s">
        <v>56</v>
      </c>
      <c r="C55" s="3" t="s">
        <v>57</v>
      </c>
      <c r="D55" s="3" t="s">
        <v>58</v>
      </c>
      <c r="E55" s="3" t="s">
        <v>69</v>
      </c>
      <c r="F55" s="3" t="s">
        <v>49</v>
      </c>
      <c r="G55" s="3" t="s">
        <v>20</v>
      </c>
      <c r="H55" s="3" t="s">
        <v>21</v>
      </c>
      <c r="I55" s="3" t="s">
        <v>22</v>
      </c>
      <c r="J55" s="3">
        <v>58140713</v>
      </c>
      <c r="K55" s="3" t="s">
        <v>70</v>
      </c>
      <c r="L55" s="3"/>
      <c r="M55" s="3"/>
      <c r="N55" s="3" t="s">
        <v>71</v>
      </c>
      <c r="O55" s="3" t="s">
        <v>23</v>
      </c>
      <c r="P55" s="3">
        <v>0.55000000000000004</v>
      </c>
      <c r="Q55" s="3">
        <v>0.55000000000000004</v>
      </c>
      <c r="R55" s="4" t="s">
        <v>24</v>
      </c>
      <c r="S55" s="4">
        <v>7200</v>
      </c>
      <c r="T55" s="4">
        <v>224700</v>
      </c>
      <c r="U55" s="4">
        <v>203980</v>
      </c>
      <c r="V55" s="4">
        <v>0</v>
      </c>
      <c r="W55" s="4">
        <v>0</v>
      </c>
      <c r="X55" s="4">
        <v>0</v>
      </c>
      <c r="Y55" s="4">
        <v>0</v>
      </c>
      <c r="Z55" s="4">
        <v>14400</v>
      </c>
      <c r="AA55" s="4">
        <v>0</v>
      </c>
      <c r="AB55" s="4">
        <v>0</v>
      </c>
      <c r="AC55" s="4">
        <v>6320</v>
      </c>
      <c r="AD55" s="4">
        <v>226140</v>
      </c>
      <c r="AE55" s="4">
        <v>203980</v>
      </c>
      <c r="AF55" s="4">
        <v>0</v>
      </c>
      <c r="AG55" s="4">
        <v>0</v>
      </c>
      <c r="AH55" s="4">
        <v>0</v>
      </c>
      <c r="AI55" s="4">
        <v>0</v>
      </c>
      <c r="AJ55" s="4">
        <v>15840</v>
      </c>
      <c r="AK55" s="4">
        <v>0</v>
      </c>
      <c r="AL55" s="4">
        <v>0</v>
      </c>
      <c r="AM55" s="4">
        <v>6320</v>
      </c>
      <c r="AN55" s="4">
        <v>124377</v>
      </c>
      <c r="AO55" s="4">
        <v>0</v>
      </c>
      <c r="AP55" s="4">
        <v>124377</v>
      </c>
    </row>
    <row r="56" spans="1:42" x14ac:dyDescent="0.4">
      <c r="AP56" s="5">
        <f>SUM(AP2:AP55)</f>
        <v>33649225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AP90"/>
  <sheetViews>
    <sheetView tabSelected="1" topLeftCell="T1" zoomScale="80" zoomScaleNormal="80" workbookViewId="0">
      <selection activeCell="T1" sqref="T1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6.59765625" bestFit="1" customWidth="1"/>
    <col min="4" max="4" width="11.699218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27.5976562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24.09765625" bestFit="1" customWidth="1"/>
    <col min="19" max="19" width="11.09765625" bestFit="1" customWidth="1"/>
    <col min="20" max="21" width="10.19921875" bestFit="1" customWidth="1"/>
    <col min="22" max="22" width="8.3984375" bestFit="1" customWidth="1"/>
    <col min="23" max="25" width="8.8984375" bestFit="1" customWidth="1"/>
    <col min="26" max="26" width="9.19921875" bestFit="1" customWidth="1"/>
    <col min="27" max="28" width="8.8984375" bestFit="1" customWidth="1"/>
    <col min="29" max="29" width="15.19921875" bestFit="1" customWidth="1"/>
    <col min="30" max="31" width="10.19921875" bestFit="1" customWidth="1"/>
    <col min="32" max="32" width="8.3984375" bestFit="1" customWidth="1"/>
    <col min="33" max="35" width="8.8984375" bestFit="1" customWidth="1"/>
    <col min="36" max="36" width="9.19921875" bestFit="1" customWidth="1"/>
    <col min="37" max="38" width="8.8984375" bestFit="1" customWidth="1"/>
    <col min="39" max="39" width="15.19921875" bestFit="1" customWidth="1"/>
    <col min="40" max="40" width="10.19921875" bestFit="1" customWidth="1"/>
    <col min="41" max="41" width="6.796875" bestFit="1" customWidth="1"/>
    <col min="42" max="42" width="10.1992187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3" t="s">
        <v>48</v>
      </c>
      <c r="B2" s="3" t="s">
        <v>56</v>
      </c>
      <c r="C2" s="3" t="s">
        <v>57</v>
      </c>
      <c r="D2" s="3" t="s">
        <v>58</v>
      </c>
      <c r="E2" s="3" t="s">
        <v>59</v>
      </c>
      <c r="F2" s="3" t="s">
        <v>49</v>
      </c>
      <c r="G2" s="3" t="s">
        <v>20</v>
      </c>
      <c r="H2" s="3" t="s">
        <v>21</v>
      </c>
      <c r="I2" s="3" t="s">
        <v>22</v>
      </c>
      <c r="J2" s="3">
        <v>46750620</v>
      </c>
      <c r="K2" s="3" t="s">
        <v>54</v>
      </c>
      <c r="L2" s="3"/>
      <c r="M2" s="3"/>
      <c r="N2" s="3" t="s">
        <v>50</v>
      </c>
      <c r="O2" s="3" t="s">
        <v>23</v>
      </c>
      <c r="P2" s="3">
        <v>0.55000000000000004</v>
      </c>
      <c r="Q2" s="3">
        <v>0.55000000000000004</v>
      </c>
      <c r="R2" s="4" t="s">
        <v>25</v>
      </c>
      <c r="S2" s="4">
        <v>100</v>
      </c>
      <c r="T2" s="4">
        <v>47000</v>
      </c>
      <c r="U2" s="4">
        <v>1100</v>
      </c>
      <c r="V2" s="4">
        <v>0</v>
      </c>
      <c r="W2" s="4">
        <v>0</v>
      </c>
      <c r="X2" s="4">
        <v>0</v>
      </c>
      <c r="Y2" s="4">
        <v>50</v>
      </c>
      <c r="Z2" s="4">
        <v>0</v>
      </c>
      <c r="AA2" s="4">
        <v>0</v>
      </c>
      <c r="AB2" s="4">
        <v>0</v>
      </c>
      <c r="AC2" s="4">
        <v>45850</v>
      </c>
      <c r="AD2" s="4">
        <v>47010</v>
      </c>
      <c r="AE2" s="4">
        <v>1100</v>
      </c>
      <c r="AF2" s="4">
        <v>0</v>
      </c>
      <c r="AG2" s="4">
        <v>0</v>
      </c>
      <c r="AH2" s="4">
        <v>0</v>
      </c>
      <c r="AI2" s="4">
        <v>60</v>
      </c>
      <c r="AJ2" s="4">
        <v>0</v>
      </c>
      <c r="AK2" s="4">
        <v>0</v>
      </c>
      <c r="AL2" s="4">
        <v>0</v>
      </c>
      <c r="AM2" s="4">
        <v>45850</v>
      </c>
      <c r="AN2" s="4">
        <v>25856</v>
      </c>
      <c r="AO2" s="4">
        <v>0</v>
      </c>
      <c r="AP2" s="4">
        <v>25856</v>
      </c>
    </row>
    <row r="3" spans="1:42" x14ac:dyDescent="0.4">
      <c r="A3" s="3" t="s">
        <v>48</v>
      </c>
      <c r="B3" s="3" t="s">
        <v>56</v>
      </c>
      <c r="C3" s="3" t="s">
        <v>57</v>
      </c>
      <c r="D3" s="3" t="s">
        <v>58</v>
      </c>
      <c r="E3" s="3" t="s">
        <v>59</v>
      </c>
      <c r="F3" s="3" t="s">
        <v>49</v>
      </c>
      <c r="G3" s="3" t="s">
        <v>20</v>
      </c>
      <c r="H3" s="3" t="s">
        <v>118</v>
      </c>
      <c r="I3" s="3" t="s">
        <v>22</v>
      </c>
      <c r="J3" s="3">
        <v>46750620</v>
      </c>
      <c r="K3" s="3" t="s">
        <v>54</v>
      </c>
      <c r="L3" s="3"/>
      <c r="M3" s="3"/>
      <c r="N3" s="3" t="s">
        <v>50</v>
      </c>
      <c r="O3" s="3" t="s">
        <v>23</v>
      </c>
      <c r="P3" s="3">
        <v>0.55000000000000004</v>
      </c>
      <c r="Q3" s="3">
        <v>0.55000000000000004</v>
      </c>
      <c r="R3" s="4" t="s">
        <v>24</v>
      </c>
      <c r="S3" s="4">
        <v>1800</v>
      </c>
      <c r="T3" s="4">
        <v>52500</v>
      </c>
      <c r="U3" s="4">
        <v>34500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18000</v>
      </c>
      <c r="AD3" s="4">
        <v>52500</v>
      </c>
      <c r="AE3" s="4">
        <v>34500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18000</v>
      </c>
      <c r="AN3" s="4">
        <v>28875</v>
      </c>
      <c r="AO3" s="4">
        <v>0</v>
      </c>
      <c r="AP3" s="4">
        <v>28875</v>
      </c>
    </row>
    <row r="4" spans="1:42" x14ac:dyDescent="0.4">
      <c r="A4" s="3" t="s">
        <v>48</v>
      </c>
      <c r="B4" s="3" t="s">
        <v>56</v>
      </c>
      <c r="C4" s="3" t="s">
        <v>57</v>
      </c>
      <c r="D4" s="3" t="s">
        <v>58</v>
      </c>
      <c r="E4" s="3" t="s">
        <v>59</v>
      </c>
      <c r="F4" s="3" t="s">
        <v>49</v>
      </c>
      <c r="G4" s="3" t="s">
        <v>20</v>
      </c>
      <c r="H4" s="3" t="s">
        <v>21</v>
      </c>
      <c r="I4" s="3" t="s">
        <v>22</v>
      </c>
      <c r="J4" s="3">
        <v>46750620</v>
      </c>
      <c r="K4" s="3" t="s">
        <v>54</v>
      </c>
      <c r="L4" s="3"/>
      <c r="M4" s="3"/>
      <c r="N4" s="3" t="s">
        <v>50</v>
      </c>
      <c r="O4" s="3" t="s">
        <v>23</v>
      </c>
      <c r="P4" s="3">
        <v>0.55000000000000004</v>
      </c>
      <c r="Q4" s="3">
        <v>0.55000000000000004</v>
      </c>
      <c r="R4" s="4" t="s">
        <v>24</v>
      </c>
      <c r="S4" s="4">
        <v>18000</v>
      </c>
      <c r="T4" s="4">
        <v>54000</v>
      </c>
      <c r="U4" s="4">
        <v>54000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54000</v>
      </c>
      <c r="AE4" s="4">
        <v>54000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29700</v>
      </c>
      <c r="AO4" s="4">
        <v>0</v>
      </c>
      <c r="AP4" s="4">
        <v>29700</v>
      </c>
    </row>
    <row r="5" spans="1:42" x14ac:dyDescent="0.4">
      <c r="A5" s="3" t="s">
        <v>48</v>
      </c>
      <c r="B5" s="3" t="s">
        <v>56</v>
      </c>
      <c r="C5" s="3" t="s">
        <v>57</v>
      </c>
      <c r="D5" s="3" t="s">
        <v>58</v>
      </c>
      <c r="E5" s="3" t="s">
        <v>59</v>
      </c>
      <c r="F5" s="3" t="s">
        <v>49</v>
      </c>
      <c r="G5" s="3" t="s">
        <v>20</v>
      </c>
      <c r="H5" s="3" t="s">
        <v>21</v>
      </c>
      <c r="I5" s="3" t="s">
        <v>22</v>
      </c>
      <c r="J5" s="3">
        <v>46805146</v>
      </c>
      <c r="K5" s="3" t="s">
        <v>55</v>
      </c>
      <c r="L5" s="3"/>
      <c r="M5" s="3"/>
      <c r="N5" s="3" t="s">
        <v>50</v>
      </c>
      <c r="O5" s="3" t="s">
        <v>23</v>
      </c>
      <c r="P5" s="3">
        <v>0.55000000000000004</v>
      </c>
      <c r="Q5" s="3">
        <v>0.55000000000000004</v>
      </c>
      <c r="R5" s="4" t="s">
        <v>25</v>
      </c>
      <c r="S5" s="4">
        <v>100</v>
      </c>
      <c r="T5" s="4">
        <v>3900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3900</v>
      </c>
      <c r="AD5" s="4">
        <v>3900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3900</v>
      </c>
      <c r="AN5" s="4">
        <v>2145</v>
      </c>
      <c r="AO5" s="4">
        <v>0</v>
      </c>
      <c r="AP5" s="4">
        <v>2145</v>
      </c>
    </row>
    <row r="6" spans="1:42" x14ac:dyDescent="0.4">
      <c r="A6" s="3" t="s">
        <v>48</v>
      </c>
      <c r="B6" s="3" t="s">
        <v>56</v>
      </c>
      <c r="C6" s="3" t="s">
        <v>57</v>
      </c>
      <c r="D6" s="3" t="s">
        <v>58</v>
      </c>
      <c r="E6" s="3" t="s">
        <v>59</v>
      </c>
      <c r="F6" s="3" t="s">
        <v>49</v>
      </c>
      <c r="G6" s="3" t="s">
        <v>20</v>
      </c>
      <c r="H6" s="3" t="s">
        <v>21</v>
      </c>
      <c r="I6" s="3" t="s">
        <v>22</v>
      </c>
      <c r="J6" s="3">
        <v>46911703</v>
      </c>
      <c r="K6" s="3" t="s">
        <v>51</v>
      </c>
      <c r="L6" s="3"/>
      <c r="M6" s="3"/>
      <c r="N6" s="3" t="s">
        <v>50</v>
      </c>
      <c r="O6" s="3" t="s">
        <v>23</v>
      </c>
      <c r="P6" s="3">
        <v>0.55000000000000004</v>
      </c>
      <c r="Q6" s="3">
        <v>0.55000000000000004</v>
      </c>
      <c r="R6" s="4" t="s">
        <v>25</v>
      </c>
      <c r="S6" s="4">
        <v>100</v>
      </c>
      <c r="T6" s="4">
        <v>102900</v>
      </c>
      <c r="U6" s="4">
        <v>51780</v>
      </c>
      <c r="V6" s="4">
        <v>0</v>
      </c>
      <c r="W6" s="4">
        <v>0</v>
      </c>
      <c r="X6" s="4">
        <v>0</v>
      </c>
      <c r="Y6" s="4">
        <v>500</v>
      </c>
      <c r="Z6" s="4">
        <v>1300</v>
      </c>
      <c r="AA6" s="4">
        <v>0</v>
      </c>
      <c r="AB6" s="4">
        <v>0</v>
      </c>
      <c r="AC6" s="4">
        <v>49320</v>
      </c>
      <c r="AD6" s="4">
        <v>103130</v>
      </c>
      <c r="AE6" s="4">
        <v>51780</v>
      </c>
      <c r="AF6" s="4">
        <v>0</v>
      </c>
      <c r="AG6" s="4">
        <v>0</v>
      </c>
      <c r="AH6" s="4">
        <v>0</v>
      </c>
      <c r="AI6" s="4">
        <v>600</v>
      </c>
      <c r="AJ6" s="4">
        <v>1430</v>
      </c>
      <c r="AK6" s="4">
        <v>0</v>
      </c>
      <c r="AL6" s="4">
        <v>0</v>
      </c>
      <c r="AM6" s="4">
        <v>49320</v>
      </c>
      <c r="AN6" s="4">
        <v>56722</v>
      </c>
      <c r="AO6" s="4">
        <v>0</v>
      </c>
      <c r="AP6" s="4">
        <v>56722</v>
      </c>
    </row>
    <row r="7" spans="1:42" x14ac:dyDescent="0.4">
      <c r="A7" s="3" t="s">
        <v>48</v>
      </c>
      <c r="B7" s="3" t="s">
        <v>56</v>
      </c>
      <c r="C7" s="3" t="s">
        <v>57</v>
      </c>
      <c r="D7" s="3" t="s">
        <v>58</v>
      </c>
      <c r="E7" s="3" t="s">
        <v>59</v>
      </c>
      <c r="F7" s="3" t="s">
        <v>49</v>
      </c>
      <c r="G7" s="3" t="s">
        <v>20</v>
      </c>
      <c r="H7" s="3" t="s">
        <v>21</v>
      </c>
      <c r="I7" s="3" t="s">
        <v>22</v>
      </c>
      <c r="J7" s="3">
        <v>46911703</v>
      </c>
      <c r="K7" s="3" t="s">
        <v>51</v>
      </c>
      <c r="L7" s="3"/>
      <c r="M7" s="3"/>
      <c r="N7" s="3" t="s">
        <v>50</v>
      </c>
      <c r="O7" s="3" t="s">
        <v>23</v>
      </c>
      <c r="P7" s="3">
        <v>0.55000000000000004</v>
      </c>
      <c r="Q7" s="3">
        <v>0.55000000000000004</v>
      </c>
      <c r="R7" s="4" t="s">
        <v>24</v>
      </c>
      <c r="S7" s="4">
        <v>1800</v>
      </c>
      <c r="T7" s="4">
        <v>232500</v>
      </c>
      <c r="U7" s="4">
        <v>197600</v>
      </c>
      <c r="V7" s="4">
        <v>0</v>
      </c>
      <c r="W7" s="4">
        <v>0</v>
      </c>
      <c r="X7" s="4">
        <v>0</v>
      </c>
      <c r="Y7" s="4">
        <v>0</v>
      </c>
      <c r="Z7" s="4">
        <v>800</v>
      </c>
      <c r="AA7" s="4">
        <v>0</v>
      </c>
      <c r="AB7" s="4">
        <v>0</v>
      </c>
      <c r="AC7" s="4">
        <v>34100</v>
      </c>
      <c r="AD7" s="4">
        <v>232580</v>
      </c>
      <c r="AE7" s="4">
        <v>197600</v>
      </c>
      <c r="AF7" s="4">
        <v>0</v>
      </c>
      <c r="AG7" s="4">
        <v>0</v>
      </c>
      <c r="AH7" s="4">
        <v>0</v>
      </c>
      <c r="AI7" s="4">
        <v>0</v>
      </c>
      <c r="AJ7" s="4">
        <v>880</v>
      </c>
      <c r="AK7" s="4">
        <v>0</v>
      </c>
      <c r="AL7" s="4">
        <v>0</v>
      </c>
      <c r="AM7" s="4">
        <v>34100</v>
      </c>
      <c r="AN7" s="4">
        <v>127919</v>
      </c>
      <c r="AO7" s="4">
        <v>0</v>
      </c>
      <c r="AP7" s="4">
        <v>127919</v>
      </c>
    </row>
    <row r="8" spans="1:42" x14ac:dyDescent="0.4">
      <c r="A8" s="3" t="s">
        <v>48</v>
      </c>
      <c r="B8" s="3" t="s">
        <v>56</v>
      </c>
      <c r="C8" s="3" t="s">
        <v>57</v>
      </c>
      <c r="D8" s="3" t="s">
        <v>58</v>
      </c>
      <c r="E8" s="3" t="s">
        <v>59</v>
      </c>
      <c r="F8" s="3" t="s">
        <v>49</v>
      </c>
      <c r="G8" s="3" t="s">
        <v>20</v>
      </c>
      <c r="H8" s="3" t="s">
        <v>21</v>
      </c>
      <c r="I8" s="3" t="s">
        <v>22</v>
      </c>
      <c r="J8" s="3">
        <v>46911703</v>
      </c>
      <c r="K8" s="3" t="s">
        <v>51</v>
      </c>
      <c r="L8" s="3"/>
      <c r="M8" s="3"/>
      <c r="N8" s="3" t="s">
        <v>50</v>
      </c>
      <c r="O8" s="3" t="s">
        <v>23</v>
      </c>
      <c r="P8" s="3">
        <v>0.55000000000000004</v>
      </c>
      <c r="Q8" s="3">
        <v>0.55000000000000004</v>
      </c>
      <c r="R8" s="4" t="s">
        <v>24</v>
      </c>
      <c r="S8" s="4">
        <v>9000</v>
      </c>
      <c r="T8" s="4">
        <v>384700</v>
      </c>
      <c r="U8" s="4">
        <v>377600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7100</v>
      </c>
      <c r="AD8" s="4">
        <v>384700</v>
      </c>
      <c r="AE8" s="4">
        <v>377600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7100</v>
      </c>
      <c r="AN8" s="4">
        <v>211585</v>
      </c>
      <c r="AO8" s="4">
        <v>0</v>
      </c>
      <c r="AP8" s="4">
        <v>211585</v>
      </c>
    </row>
    <row r="9" spans="1:42" x14ac:dyDescent="0.4">
      <c r="A9" s="3" t="s">
        <v>48</v>
      </c>
      <c r="B9" s="3" t="s">
        <v>56</v>
      </c>
      <c r="C9" s="3" t="s">
        <v>57</v>
      </c>
      <c r="D9" s="3" t="s">
        <v>58</v>
      </c>
      <c r="E9" s="3" t="s">
        <v>59</v>
      </c>
      <c r="F9" s="3" t="s">
        <v>49</v>
      </c>
      <c r="G9" s="3" t="s">
        <v>20</v>
      </c>
      <c r="H9" s="3" t="s">
        <v>21</v>
      </c>
      <c r="I9" s="3" t="s">
        <v>22</v>
      </c>
      <c r="J9" s="3">
        <v>46911703</v>
      </c>
      <c r="K9" s="3" t="s">
        <v>51</v>
      </c>
      <c r="L9" s="3"/>
      <c r="M9" s="3"/>
      <c r="N9" s="3" t="s">
        <v>50</v>
      </c>
      <c r="O9" s="3" t="s">
        <v>23</v>
      </c>
      <c r="P9" s="3">
        <v>0.55000000000000004</v>
      </c>
      <c r="Q9" s="3">
        <v>0.55000000000000004</v>
      </c>
      <c r="R9" s="4" t="s">
        <v>24</v>
      </c>
      <c r="S9" s="4">
        <v>27000</v>
      </c>
      <c r="T9" s="4">
        <v>27000</v>
      </c>
      <c r="U9" s="4">
        <v>27000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27000</v>
      </c>
      <c r="AE9" s="4">
        <v>27000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14850</v>
      </c>
      <c r="AO9" s="4">
        <v>0</v>
      </c>
      <c r="AP9" s="4">
        <v>14850</v>
      </c>
    </row>
    <row r="10" spans="1:42" x14ac:dyDescent="0.4">
      <c r="A10" s="3" t="s">
        <v>48</v>
      </c>
      <c r="B10" s="3" t="s">
        <v>56</v>
      </c>
      <c r="C10" s="3" t="s">
        <v>57</v>
      </c>
      <c r="D10" s="3" t="s">
        <v>58</v>
      </c>
      <c r="E10" s="3" t="s">
        <v>59</v>
      </c>
      <c r="F10" s="3" t="s">
        <v>49</v>
      </c>
      <c r="G10" s="3" t="s">
        <v>20</v>
      </c>
      <c r="H10" s="3" t="s">
        <v>21</v>
      </c>
      <c r="I10" s="3" t="s">
        <v>22</v>
      </c>
      <c r="J10" s="3">
        <v>48362175</v>
      </c>
      <c r="K10" s="3" t="s">
        <v>53</v>
      </c>
      <c r="L10" s="3"/>
      <c r="M10" s="3"/>
      <c r="N10" s="3" t="s">
        <v>50</v>
      </c>
      <c r="O10" s="3" t="s">
        <v>23</v>
      </c>
      <c r="P10" s="3">
        <v>0.55000000000000004</v>
      </c>
      <c r="Q10" s="3">
        <v>0.55000000000000004</v>
      </c>
      <c r="R10" s="4" t="s">
        <v>25</v>
      </c>
      <c r="S10" s="4">
        <v>100</v>
      </c>
      <c r="T10" s="4">
        <v>2400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2400</v>
      </c>
      <c r="AD10" s="4">
        <v>2400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2400</v>
      </c>
      <c r="AN10" s="4">
        <v>1320</v>
      </c>
      <c r="AO10" s="4">
        <v>0</v>
      </c>
      <c r="AP10" s="4">
        <v>1320</v>
      </c>
    </row>
    <row r="11" spans="1:42" x14ac:dyDescent="0.4">
      <c r="A11" s="3" t="s">
        <v>48</v>
      </c>
      <c r="B11" s="3" t="s">
        <v>56</v>
      </c>
      <c r="C11" s="3" t="s">
        <v>57</v>
      </c>
      <c r="D11" s="3" t="s">
        <v>58</v>
      </c>
      <c r="E11" s="3" t="s">
        <v>59</v>
      </c>
      <c r="F11" s="3" t="s">
        <v>49</v>
      </c>
      <c r="G11" s="3" t="s">
        <v>20</v>
      </c>
      <c r="H11" s="3" t="s">
        <v>21</v>
      </c>
      <c r="I11" s="3" t="s">
        <v>22</v>
      </c>
      <c r="J11" s="3">
        <v>48362175</v>
      </c>
      <c r="K11" s="3" t="s">
        <v>53</v>
      </c>
      <c r="L11" s="3"/>
      <c r="M11" s="3"/>
      <c r="N11" s="3" t="s">
        <v>50</v>
      </c>
      <c r="O11" s="3" t="s">
        <v>23</v>
      </c>
      <c r="P11" s="3">
        <v>0.55000000000000004</v>
      </c>
      <c r="Q11" s="3">
        <v>0.55000000000000004</v>
      </c>
      <c r="R11" s="4" t="s">
        <v>24</v>
      </c>
      <c r="S11" s="4">
        <v>2300</v>
      </c>
      <c r="T11" s="4">
        <v>1600</v>
      </c>
      <c r="U11" s="4">
        <v>1600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1600</v>
      </c>
      <c r="AE11" s="4">
        <v>1600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880</v>
      </c>
      <c r="AO11" s="4">
        <v>0</v>
      </c>
      <c r="AP11" s="4">
        <v>880</v>
      </c>
    </row>
    <row r="12" spans="1:42" x14ac:dyDescent="0.4">
      <c r="A12" s="3" t="s">
        <v>48</v>
      </c>
      <c r="B12" s="3" t="s">
        <v>56</v>
      </c>
      <c r="C12" s="3" t="s">
        <v>57</v>
      </c>
      <c r="D12" s="3" t="s">
        <v>58</v>
      </c>
      <c r="E12" s="3" t="s">
        <v>59</v>
      </c>
      <c r="F12" s="3" t="s">
        <v>49</v>
      </c>
      <c r="G12" s="3" t="s">
        <v>20</v>
      </c>
      <c r="H12" s="3" t="s">
        <v>21</v>
      </c>
      <c r="I12" s="3" t="s">
        <v>22</v>
      </c>
      <c r="J12" s="3">
        <v>50827118</v>
      </c>
      <c r="K12" s="3" t="s">
        <v>52</v>
      </c>
      <c r="L12" s="3"/>
      <c r="M12" s="3"/>
      <c r="N12" s="3" t="s">
        <v>50</v>
      </c>
      <c r="O12" s="3" t="s">
        <v>23</v>
      </c>
      <c r="P12" s="3">
        <v>0.55000000000000004</v>
      </c>
      <c r="Q12" s="3">
        <v>0.55000000000000004</v>
      </c>
      <c r="R12" s="4" t="s">
        <v>25</v>
      </c>
      <c r="S12" s="4">
        <v>100</v>
      </c>
      <c r="T12" s="4">
        <v>9107400</v>
      </c>
      <c r="U12" s="4">
        <v>2572880</v>
      </c>
      <c r="V12" s="4">
        <v>0</v>
      </c>
      <c r="W12" s="4">
        <v>0</v>
      </c>
      <c r="X12" s="4">
        <v>0</v>
      </c>
      <c r="Y12" s="4">
        <v>25200</v>
      </c>
      <c r="Z12" s="4">
        <v>190150</v>
      </c>
      <c r="AA12" s="4">
        <v>0</v>
      </c>
      <c r="AB12" s="4">
        <v>0</v>
      </c>
      <c r="AC12" s="4">
        <v>6319170</v>
      </c>
      <c r="AD12" s="4">
        <v>9131455</v>
      </c>
      <c r="AE12" s="4">
        <v>2572880</v>
      </c>
      <c r="AF12" s="4">
        <v>0</v>
      </c>
      <c r="AG12" s="4">
        <v>0</v>
      </c>
      <c r="AH12" s="4">
        <v>0</v>
      </c>
      <c r="AI12" s="4">
        <v>30240</v>
      </c>
      <c r="AJ12" s="4">
        <v>209165</v>
      </c>
      <c r="AK12" s="4">
        <v>0</v>
      </c>
      <c r="AL12" s="4">
        <v>0</v>
      </c>
      <c r="AM12" s="4">
        <v>6319170</v>
      </c>
      <c r="AN12" s="4">
        <v>5022300</v>
      </c>
      <c r="AO12" s="4">
        <v>0</v>
      </c>
      <c r="AP12" s="4">
        <v>5022300</v>
      </c>
    </row>
    <row r="13" spans="1:42" x14ac:dyDescent="0.4">
      <c r="A13" s="3" t="s">
        <v>48</v>
      </c>
      <c r="B13" s="3" t="s">
        <v>56</v>
      </c>
      <c r="C13" s="3" t="s">
        <v>57</v>
      </c>
      <c r="D13" s="3" t="s">
        <v>58</v>
      </c>
      <c r="E13" s="3" t="s">
        <v>59</v>
      </c>
      <c r="F13" s="3" t="s">
        <v>49</v>
      </c>
      <c r="G13" s="3" t="s">
        <v>20</v>
      </c>
      <c r="H13" s="3" t="s">
        <v>21</v>
      </c>
      <c r="I13" s="3" t="s">
        <v>22</v>
      </c>
      <c r="J13" s="3">
        <v>50827118</v>
      </c>
      <c r="K13" s="3" t="s">
        <v>52</v>
      </c>
      <c r="L13" s="3"/>
      <c r="M13" s="3"/>
      <c r="N13" s="3" t="s">
        <v>50</v>
      </c>
      <c r="O13" s="3" t="s">
        <v>23</v>
      </c>
      <c r="P13" s="3">
        <v>0.55000000000000004</v>
      </c>
      <c r="Q13" s="3">
        <v>0.55000000000000004</v>
      </c>
      <c r="R13" s="4" t="s">
        <v>24</v>
      </c>
      <c r="S13" s="4">
        <v>2700</v>
      </c>
      <c r="T13" s="4">
        <v>10469500</v>
      </c>
      <c r="U13" s="4">
        <v>7683820</v>
      </c>
      <c r="V13" s="4">
        <v>0</v>
      </c>
      <c r="W13" s="4">
        <v>0</v>
      </c>
      <c r="X13" s="4">
        <v>0</v>
      </c>
      <c r="Y13" s="4">
        <v>45900</v>
      </c>
      <c r="Z13" s="4">
        <v>436280</v>
      </c>
      <c r="AA13" s="4">
        <v>0</v>
      </c>
      <c r="AB13" s="4">
        <v>0</v>
      </c>
      <c r="AC13" s="4">
        <v>2303500</v>
      </c>
      <c r="AD13" s="4">
        <v>10522308</v>
      </c>
      <c r="AE13" s="4">
        <v>7683820</v>
      </c>
      <c r="AF13" s="4">
        <v>0</v>
      </c>
      <c r="AG13" s="4">
        <v>0</v>
      </c>
      <c r="AH13" s="4">
        <v>0</v>
      </c>
      <c r="AI13" s="4">
        <v>55080</v>
      </c>
      <c r="AJ13" s="4">
        <v>479908</v>
      </c>
      <c r="AK13" s="4">
        <v>0</v>
      </c>
      <c r="AL13" s="4">
        <v>0</v>
      </c>
      <c r="AM13" s="4">
        <v>2303500</v>
      </c>
      <c r="AN13" s="4">
        <v>5787269</v>
      </c>
      <c r="AO13" s="4">
        <v>0</v>
      </c>
      <c r="AP13" s="4">
        <v>5787269</v>
      </c>
    </row>
    <row r="14" spans="1:42" x14ac:dyDescent="0.4">
      <c r="A14" s="3" t="s">
        <v>48</v>
      </c>
      <c r="B14" s="3" t="s">
        <v>56</v>
      </c>
      <c r="C14" s="3" t="s">
        <v>57</v>
      </c>
      <c r="D14" s="3" t="s">
        <v>58</v>
      </c>
      <c r="E14" s="3" t="s">
        <v>59</v>
      </c>
      <c r="F14" s="3" t="s">
        <v>49</v>
      </c>
      <c r="G14" s="3" t="s">
        <v>20</v>
      </c>
      <c r="H14" s="3" t="s">
        <v>21</v>
      </c>
      <c r="I14" s="3" t="s">
        <v>22</v>
      </c>
      <c r="J14" s="3">
        <v>50827118</v>
      </c>
      <c r="K14" s="3" t="s">
        <v>52</v>
      </c>
      <c r="L14" s="3"/>
      <c r="M14" s="3"/>
      <c r="N14" s="3" t="s">
        <v>50</v>
      </c>
      <c r="O14" s="3" t="s">
        <v>23</v>
      </c>
      <c r="P14" s="3">
        <v>0.55000000000000004</v>
      </c>
      <c r="Q14" s="3">
        <v>0.55000000000000004</v>
      </c>
      <c r="R14" s="4" t="s">
        <v>24</v>
      </c>
      <c r="S14" s="4">
        <v>4500</v>
      </c>
      <c r="T14" s="4">
        <v>8505900</v>
      </c>
      <c r="U14" s="4">
        <v>6787070</v>
      </c>
      <c r="V14" s="4">
        <v>0</v>
      </c>
      <c r="W14" s="4">
        <v>0</v>
      </c>
      <c r="X14" s="4">
        <v>0</v>
      </c>
      <c r="Y14" s="4">
        <v>18400</v>
      </c>
      <c r="Z14" s="4">
        <v>373820</v>
      </c>
      <c r="AA14" s="4">
        <v>0</v>
      </c>
      <c r="AB14" s="4">
        <v>0</v>
      </c>
      <c r="AC14" s="4">
        <v>1326610</v>
      </c>
      <c r="AD14" s="4">
        <v>8546962</v>
      </c>
      <c r="AE14" s="4">
        <v>6787070</v>
      </c>
      <c r="AF14" s="4">
        <v>0</v>
      </c>
      <c r="AG14" s="4">
        <v>0</v>
      </c>
      <c r="AH14" s="4">
        <v>0</v>
      </c>
      <c r="AI14" s="4">
        <v>22080</v>
      </c>
      <c r="AJ14" s="4">
        <v>411202</v>
      </c>
      <c r="AK14" s="4">
        <v>0</v>
      </c>
      <c r="AL14" s="4">
        <v>0</v>
      </c>
      <c r="AM14" s="4">
        <v>1326610</v>
      </c>
      <c r="AN14" s="4">
        <v>4700829</v>
      </c>
      <c r="AO14" s="4">
        <v>0</v>
      </c>
      <c r="AP14" s="4">
        <v>4700829</v>
      </c>
    </row>
    <row r="15" spans="1:42" x14ac:dyDescent="0.4">
      <c r="A15" s="3" t="s">
        <v>48</v>
      </c>
      <c r="B15" s="3" t="s">
        <v>56</v>
      </c>
      <c r="C15" s="3" t="s">
        <v>57</v>
      </c>
      <c r="D15" s="3" t="s">
        <v>58</v>
      </c>
      <c r="E15" s="3" t="s">
        <v>59</v>
      </c>
      <c r="F15" s="3" t="s">
        <v>49</v>
      </c>
      <c r="G15" s="3" t="s">
        <v>20</v>
      </c>
      <c r="H15" s="3" t="s">
        <v>21</v>
      </c>
      <c r="I15" s="3" t="s">
        <v>22</v>
      </c>
      <c r="J15" s="3">
        <v>50827118</v>
      </c>
      <c r="K15" s="3" t="s">
        <v>52</v>
      </c>
      <c r="L15" s="3"/>
      <c r="M15" s="3"/>
      <c r="N15" s="3" t="s">
        <v>50</v>
      </c>
      <c r="O15" s="3" t="s">
        <v>23</v>
      </c>
      <c r="P15" s="3">
        <v>0.55000000000000004</v>
      </c>
      <c r="Q15" s="3">
        <v>0.55000000000000004</v>
      </c>
      <c r="R15" s="4" t="s">
        <v>24</v>
      </c>
      <c r="S15" s="4">
        <v>9000</v>
      </c>
      <c r="T15" s="4">
        <v>19860900</v>
      </c>
      <c r="U15" s="4">
        <v>16510220</v>
      </c>
      <c r="V15" s="4">
        <v>0</v>
      </c>
      <c r="W15" s="4">
        <v>0</v>
      </c>
      <c r="X15" s="4">
        <v>0</v>
      </c>
      <c r="Y15" s="4">
        <v>7600</v>
      </c>
      <c r="Z15" s="4">
        <v>1658300</v>
      </c>
      <c r="AA15" s="4">
        <v>0</v>
      </c>
      <c r="AB15" s="4">
        <v>0</v>
      </c>
      <c r="AC15" s="4">
        <v>1684780</v>
      </c>
      <c r="AD15" s="4">
        <v>20028250</v>
      </c>
      <c r="AE15" s="4">
        <v>16510220</v>
      </c>
      <c r="AF15" s="4">
        <v>0</v>
      </c>
      <c r="AG15" s="4">
        <v>0</v>
      </c>
      <c r="AH15" s="4">
        <v>0</v>
      </c>
      <c r="AI15" s="4">
        <v>9120</v>
      </c>
      <c r="AJ15" s="4">
        <v>1824130</v>
      </c>
      <c r="AK15" s="4">
        <v>0</v>
      </c>
      <c r="AL15" s="4">
        <v>0</v>
      </c>
      <c r="AM15" s="4">
        <v>1684780</v>
      </c>
      <c r="AN15" s="4">
        <v>11015538</v>
      </c>
      <c r="AO15" s="4">
        <v>0</v>
      </c>
      <c r="AP15" s="4">
        <v>11015538</v>
      </c>
    </row>
    <row r="16" spans="1:42" x14ac:dyDescent="0.4">
      <c r="A16" s="3" t="s">
        <v>48</v>
      </c>
      <c r="B16" s="3" t="s">
        <v>56</v>
      </c>
      <c r="C16" s="3" t="s">
        <v>57</v>
      </c>
      <c r="D16" s="3" t="s">
        <v>58</v>
      </c>
      <c r="E16" s="3" t="s">
        <v>59</v>
      </c>
      <c r="F16" s="3" t="s">
        <v>49</v>
      </c>
      <c r="G16" s="3" t="s">
        <v>20</v>
      </c>
      <c r="H16" s="3" t="s">
        <v>21</v>
      </c>
      <c r="I16" s="3" t="s">
        <v>22</v>
      </c>
      <c r="J16" s="3">
        <v>55423371</v>
      </c>
      <c r="K16" s="3" t="s">
        <v>67</v>
      </c>
      <c r="L16" s="3"/>
      <c r="M16" s="3"/>
      <c r="N16" s="3" t="s">
        <v>50</v>
      </c>
      <c r="O16" s="3" t="s">
        <v>23</v>
      </c>
      <c r="P16" s="3">
        <v>0.55000000000000004</v>
      </c>
      <c r="Q16" s="3">
        <v>0.55000000000000004</v>
      </c>
      <c r="R16" s="4" t="s">
        <v>25</v>
      </c>
      <c r="S16" s="4">
        <v>100</v>
      </c>
      <c r="T16" s="4">
        <v>3000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3000</v>
      </c>
      <c r="AD16" s="4">
        <v>3000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3000</v>
      </c>
      <c r="AN16" s="4">
        <v>1650</v>
      </c>
      <c r="AO16" s="4">
        <v>0</v>
      </c>
      <c r="AP16" s="4">
        <v>1650</v>
      </c>
    </row>
    <row r="17" spans="1:42" x14ac:dyDescent="0.4">
      <c r="A17" s="3" t="s">
        <v>48</v>
      </c>
      <c r="B17" s="3" t="s">
        <v>56</v>
      </c>
      <c r="C17" s="3" t="s">
        <v>57</v>
      </c>
      <c r="D17" s="3" t="s">
        <v>58</v>
      </c>
      <c r="E17" s="3" t="s">
        <v>59</v>
      </c>
      <c r="F17" s="3" t="s">
        <v>49</v>
      </c>
      <c r="G17" s="3" t="s">
        <v>20</v>
      </c>
      <c r="H17" s="3" t="s">
        <v>21</v>
      </c>
      <c r="I17" s="3" t="s">
        <v>22</v>
      </c>
      <c r="J17" s="3">
        <v>55879886</v>
      </c>
      <c r="K17" s="3" t="s">
        <v>60</v>
      </c>
      <c r="L17" s="3"/>
      <c r="M17" s="3"/>
      <c r="N17" s="3" t="s">
        <v>50</v>
      </c>
      <c r="O17" s="3" t="s">
        <v>23</v>
      </c>
      <c r="P17" s="3">
        <v>0.55000000000000004</v>
      </c>
      <c r="Q17" s="3">
        <v>0.55000000000000004</v>
      </c>
      <c r="R17" s="4" t="s">
        <v>25</v>
      </c>
      <c r="S17" s="4">
        <v>3200</v>
      </c>
      <c r="T17" s="4">
        <v>3228800</v>
      </c>
      <c r="U17" s="4">
        <v>2681260</v>
      </c>
      <c r="V17" s="4">
        <v>0</v>
      </c>
      <c r="W17" s="4">
        <v>0</v>
      </c>
      <c r="X17" s="4">
        <v>0</v>
      </c>
      <c r="Y17" s="4">
        <v>1430</v>
      </c>
      <c r="Z17" s="4">
        <v>243610</v>
      </c>
      <c r="AA17" s="4">
        <v>0</v>
      </c>
      <c r="AB17" s="4">
        <v>0</v>
      </c>
      <c r="AC17" s="4">
        <v>302500</v>
      </c>
      <c r="AD17" s="4">
        <v>3253447</v>
      </c>
      <c r="AE17" s="4">
        <v>2681260</v>
      </c>
      <c r="AF17" s="4">
        <v>0</v>
      </c>
      <c r="AG17" s="4">
        <v>0</v>
      </c>
      <c r="AH17" s="4">
        <v>0</v>
      </c>
      <c r="AI17" s="4">
        <v>1716</v>
      </c>
      <c r="AJ17" s="4">
        <v>267971</v>
      </c>
      <c r="AK17" s="4">
        <v>0</v>
      </c>
      <c r="AL17" s="4">
        <v>0</v>
      </c>
      <c r="AM17" s="4">
        <v>302500</v>
      </c>
      <c r="AN17" s="4">
        <v>1789396</v>
      </c>
      <c r="AO17" s="4">
        <v>0</v>
      </c>
      <c r="AP17" s="4">
        <v>1789396</v>
      </c>
    </row>
    <row r="18" spans="1:42" x14ac:dyDescent="0.4">
      <c r="A18" s="3" t="s">
        <v>48</v>
      </c>
      <c r="B18" s="3" t="s">
        <v>56</v>
      </c>
      <c r="C18" s="3" t="s">
        <v>57</v>
      </c>
      <c r="D18" s="3" t="s">
        <v>58</v>
      </c>
      <c r="E18" s="3" t="s">
        <v>59</v>
      </c>
      <c r="F18" s="3" t="s">
        <v>49</v>
      </c>
      <c r="G18" s="3" t="s">
        <v>20</v>
      </c>
      <c r="H18" s="3" t="s">
        <v>21</v>
      </c>
      <c r="I18" s="3" t="s">
        <v>22</v>
      </c>
      <c r="J18" s="3">
        <v>55879886</v>
      </c>
      <c r="K18" s="3" t="s">
        <v>60</v>
      </c>
      <c r="L18" s="3"/>
      <c r="M18" s="3"/>
      <c r="N18" s="3" t="s">
        <v>50</v>
      </c>
      <c r="O18" s="3" t="s">
        <v>23</v>
      </c>
      <c r="P18" s="3">
        <v>0.55000000000000004</v>
      </c>
      <c r="Q18" s="3">
        <v>0.55000000000000004</v>
      </c>
      <c r="R18" s="4" t="s">
        <v>24</v>
      </c>
      <c r="S18" s="4">
        <v>67200</v>
      </c>
      <c r="T18" s="4">
        <v>67200</v>
      </c>
      <c r="U18" s="4">
        <v>67200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67200</v>
      </c>
      <c r="AE18" s="4">
        <v>67200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36960</v>
      </c>
      <c r="AO18" s="4">
        <v>0</v>
      </c>
      <c r="AP18" s="4">
        <v>36960</v>
      </c>
    </row>
    <row r="19" spans="1:42" x14ac:dyDescent="0.4">
      <c r="A19" s="3" t="s">
        <v>48</v>
      </c>
      <c r="B19" s="3" t="s">
        <v>56</v>
      </c>
      <c r="C19" s="3" t="s">
        <v>57</v>
      </c>
      <c r="D19" s="3" t="s">
        <v>58</v>
      </c>
      <c r="E19" s="3" t="s">
        <v>59</v>
      </c>
      <c r="F19" s="3" t="s">
        <v>49</v>
      </c>
      <c r="G19" s="3" t="s">
        <v>20</v>
      </c>
      <c r="H19" s="3" t="s">
        <v>21</v>
      </c>
      <c r="I19" s="3" t="s">
        <v>22</v>
      </c>
      <c r="J19" s="3">
        <v>56499021</v>
      </c>
      <c r="K19" s="3" t="s">
        <v>63</v>
      </c>
      <c r="L19" s="3"/>
      <c r="M19" s="3"/>
      <c r="N19" s="3" t="s">
        <v>50</v>
      </c>
      <c r="O19" s="3" t="s">
        <v>23</v>
      </c>
      <c r="P19" s="3">
        <v>0.55000000000000004</v>
      </c>
      <c r="Q19" s="3">
        <v>0.55000000000000004</v>
      </c>
      <c r="R19" s="4" t="s">
        <v>62</v>
      </c>
      <c r="S19" s="4">
        <v>900</v>
      </c>
      <c r="T19" s="4">
        <v>41400</v>
      </c>
      <c r="U19" s="4">
        <v>18830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22570</v>
      </c>
      <c r="AD19" s="4">
        <v>41400</v>
      </c>
      <c r="AE19" s="4">
        <v>18830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22570</v>
      </c>
      <c r="AN19" s="4">
        <v>22770</v>
      </c>
      <c r="AO19" s="4">
        <v>0</v>
      </c>
      <c r="AP19" s="4">
        <v>22770</v>
      </c>
    </row>
    <row r="20" spans="1:42" x14ac:dyDescent="0.4">
      <c r="A20" s="3" t="s">
        <v>48</v>
      </c>
      <c r="B20" s="3" t="s">
        <v>56</v>
      </c>
      <c r="C20" s="3" t="s">
        <v>57</v>
      </c>
      <c r="D20" s="3" t="s">
        <v>58</v>
      </c>
      <c r="E20" s="3" t="s">
        <v>59</v>
      </c>
      <c r="F20" s="3" t="s">
        <v>49</v>
      </c>
      <c r="G20" s="3" t="s">
        <v>20</v>
      </c>
      <c r="H20" s="3" t="s">
        <v>21</v>
      </c>
      <c r="I20" s="3" t="s">
        <v>22</v>
      </c>
      <c r="J20" s="3">
        <v>56499021</v>
      </c>
      <c r="K20" s="3" t="s">
        <v>63</v>
      </c>
      <c r="L20" s="3"/>
      <c r="M20" s="3"/>
      <c r="N20" s="3" t="s">
        <v>50</v>
      </c>
      <c r="O20" s="3" t="s">
        <v>23</v>
      </c>
      <c r="P20" s="3">
        <v>0.55000000000000004</v>
      </c>
      <c r="Q20" s="3">
        <v>0.55000000000000004</v>
      </c>
      <c r="R20" s="4" t="s">
        <v>88</v>
      </c>
      <c r="S20" s="4">
        <v>15300</v>
      </c>
      <c r="T20" s="4">
        <v>30600</v>
      </c>
      <c r="U20" s="4">
        <v>28600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2000</v>
      </c>
      <c r="AD20" s="4">
        <v>30600</v>
      </c>
      <c r="AE20" s="4">
        <v>28600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2000</v>
      </c>
      <c r="AN20" s="4">
        <v>16830</v>
      </c>
      <c r="AO20" s="4">
        <v>0</v>
      </c>
      <c r="AP20" s="4">
        <v>16830</v>
      </c>
    </row>
    <row r="21" spans="1:42" x14ac:dyDescent="0.4">
      <c r="A21" s="3" t="s">
        <v>48</v>
      </c>
      <c r="B21" s="3" t="s">
        <v>56</v>
      </c>
      <c r="C21" s="3" t="s">
        <v>57</v>
      </c>
      <c r="D21" s="3" t="s">
        <v>58</v>
      </c>
      <c r="E21" s="3" t="s">
        <v>59</v>
      </c>
      <c r="F21" s="3" t="s">
        <v>49</v>
      </c>
      <c r="G21" s="3" t="s">
        <v>20</v>
      </c>
      <c r="H21" s="3" t="s">
        <v>21</v>
      </c>
      <c r="I21" s="3" t="s">
        <v>22</v>
      </c>
      <c r="J21" s="3">
        <v>56499157</v>
      </c>
      <c r="K21" s="3" t="s">
        <v>61</v>
      </c>
      <c r="L21" s="3"/>
      <c r="M21" s="3"/>
      <c r="N21" s="3" t="s">
        <v>50</v>
      </c>
      <c r="O21" s="3" t="s">
        <v>23</v>
      </c>
      <c r="P21" s="3">
        <v>0.55000000000000004</v>
      </c>
      <c r="Q21" s="3">
        <v>0.55000000000000004</v>
      </c>
      <c r="R21" s="4" t="s">
        <v>62</v>
      </c>
      <c r="S21" s="4">
        <v>900</v>
      </c>
      <c r="T21" s="4">
        <v>6300</v>
      </c>
      <c r="U21" s="4">
        <v>6200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100</v>
      </c>
      <c r="AD21" s="4">
        <v>6300</v>
      </c>
      <c r="AE21" s="4">
        <v>6200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100</v>
      </c>
      <c r="AN21" s="4">
        <v>3465</v>
      </c>
      <c r="AO21" s="4">
        <v>0</v>
      </c>
      <c r="AP21" s="4">
        <v>3465</v>
      </c>
    </row>
    <row r="22" spans="1:42" x14ac:dyDescent="0.4">
      <c r="A22" s="3" t="s">
        <v>48</v>
      </c>
      <c r="B22" s="3" t="s">
        <v>56</v>
      </c>
      <c r="C22" s="3" t="s">
        <v>57</v>
      </c>
      <c r="D22" s="3" t="s">
        <v>58</v>
      </c>
      <c r="E22" s="3" t="s">
        <v>59</v>
      </c>
      <c r="F22" s="3" t="s">
        <v>49</v>
      </c>
      <c r="G22" s="3" t="s">
        <v>20</v>
      </c>
      <c r="H22" s="3" t="s">
        <v>21</v>
      </c>
      <c r="I22" s="3" t="s">
        <v>22</v>
      </c>
      <c r="J22" s="3">
        <v>56499706</v>
      </c>
      <c r="K22" s="3" t="s">
        <v>96</v>
      </c>
      <c r="L22" s="3"/>
      <c r="M22" s="3"/>
      <c r="N22" s="3" t="s">
        <v>50</v>
      </c>
      <c r="O22" s="3" t="s">
        <v>23</v>
      </c>
      <c r="P22" s="3">
        <v>0.55000000000000004</v>
      </c>
      <c r="Q22" s="3">
        <v>0.55000000000000004</v>
      </c>
      <c r="R22" s="4" t="s">
        <v>25</v>
      </c>
      <c r="S22" s="4">
        <v>3200</v>
      </c>
      <c r="T22" s="4">
        <v>22400</v>
      </c>
      <c r="U22" s="4">
        <v>22200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200</v>
      </c>
      <c r="AD22" s="4">
        <v>22400</v>
      </c>
      <c r="AE22" s="4">
        <v>22200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200</v>
      </c>
      <c r="AN22" s="4">
        <v>12320</v>
      </c>
      <c r="AO22" s="4">
        <v>0</v>
      </c>
      <c r="AP22" s="4">
        <v>12320</v>
      </c>
    </row>
    <row r="23" spans="1:42" x14ac:dyDescent="0.4">
      <c r="A23" s="3" t="s">
        <v>48</v>
      </c>
      <c r="B23" s="3" t="s">
        <v>56</v>
      </c>
      <c r="C23" s="3" t="s">
        <v>57</v>
      </c>
      <c r="D23" s="3" t="s">
        <v>58</v>
      </c>
      <c r="E23" s="3" t="s">
        <v>59</v>
      </c>
      <c r="F23" s="3" t="s">
        <v>49</v>
      </c>
      <c r="G23" s="3" t="s">
        <v>20</v>
      </c>
      <c r="H23" s="3" t="s">
        <v>21</v>
      </c>
      <c r="I23" s="3" t="s">
        <v>22</v>
      </c>
      <c r="J23" s="3">
        <v>56499756</v>
      </c>
      <c r="K23" s="3" t="s">
        <v>68</v>
      </c>
      <c r="L23" s="3"/>
      <c r="M23" s="3"/>
      <c r="N23" s="3" t="s">
        <v>50</v>
      </c>
      <c r="O23" s="3" t="s">
        <v>23</v>
      </c>
      <c r="P23" s="3">
        <v>0.55000000000000004</v>
      </c>
      <c r="Q23" s="3">
        <v>0.55000000000000004</v>
      </c>
      <c r="R23" s="4" t="s">
        <v>25</v>
      </c>
      <c r="S23" s="4">
        <v>3200</v>
      </c>
      <c r="T23" s="4">
        <v>16000</v>
      </c>
      <c r="U23" s="4">
        <v>14500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1500</v>
      </c>
      <c r="AD23" s="4">
        <v>16000</v>
      </c>
      <c r="AE23" s="4">
        <v>14500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1500</v>
      </c>
      <c r="AN23" s="4">
        <v>8800</v>
      </c>
      <c r="AO23" s="4">
        <v>0</v>
      </c>
      <c r="AP23" s="4">
        <v>8800</v>
      </c>
    </row>
    <row r="24" spans="1:42" x14ac:dyDescent="0.4">
      <c r="A24" s="3" t="s">
        <v>48</v>
      </c>
      <c r="B24" s="3" t="s">
        <v>56</v>
      </c>
      <c r="C24" s="3" t="s">
        <v>57</v>
      </c>
      <c r="D24" s="3" t="s">
        <v>58</v>
      </c>
      <c r="E24" s="3" t="s">
        <v>59</v>
      </c>
      <c r="F24" s="3" t="s">
        <v>49</v>
      </c>
      <c r="G24" s="3" t="s">
        <v>20</v>
      </c>
      <c r="H24" s="3" t="s">
        <v>21</v>
      </c>
      <c r="I24" s="3" t="s">
        <v>22</v>
      </c>
      <c r="J24" s="3">
        <v>56529116</v>
      </c>
      <c r="K24" s="3" t="s">
        <v>64</v>
      </c>
      <c r="L24" s="3"/>
      <c r="M24" s="3"/>
      <c r="N24" s="3" t="s">
        <v>50</v>
      </c>
      <c r="O24" s="3" t="s">
        <v>23</v>
      </c>
      <c r="P24" s="3">
        <v>0.55000000000000004</v>
      </c>
      <c r="Q24" s="3">
        <v>0.55000000000000004</v>
      </c>
      <c r="R24" s="4" t="s">
        <v>25</v>
      </c>
      <c r="S24" s="4">
        <v>3200</v>
      </c>
      <c r="T24" s="4">
        <v>3200</v>
      </c>
      <c r="U24" s="4">
        <v>3200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3200</v>
      </c>
      <c r="AE24" s="4">
        <v>3200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1760</v>
      </c>
      <c r="AO24" s="4">
        <v>0</v>
      </c>
      <c r="AP24" s="4">
        <v>1760</v>
      </c>
    </row>
    <row r="25" spans="1:42" x14ac:dyDescent="0.4">
      <c r="A25" s="3" t="s">
        <v>48</v>
      </c>
      <c r="B25" s="3" t="s">
        <v>56</v>
      </c>
      <c r="C25" s="3" t="s">
        <v>57</v>
      </c>
      <c r="D25" s="3" t="s">
        <v>58</v>
      </c>
      <c r="E25" s="3" t="s">
        <v>59</v>
      </c>
      <c r="F25" s="3" t="s">
        <v>49</v>
      </c>
      <c r="G25" s="3" t="s">
        <v>20</v>
      </c>
      <c r="H25" s="3" t="s">
        <v>21</v>
      </c>
      <c r="I25" s="3" t="s">
        <v>22</v>
      </c>
      <c r="J25" s="3">
        <v>56529116</v>
      </c>
      <c r="K25" s="3" t="s">
        <v>64</v>
      </c>
      <c r="L25" s="3"/>
      <c r="M25" s="3"/>
      <c r="N25" s="3" t="s">
        <v>50</v>
      </c>
      <c r="O25" s="3" t="s">
        <v>23</v>
      </c>
      <c r="P25" s="3">
        <v>0.55000000000000004</v>
      </c>
      <c r="Q25" s="3">
        <v>0.55000000000000004</v>
      </c>
      <c r="R25" s="4" t="s">
        <v>62</v>
      </c>
      <c r="S25" s="4">
        <v>900</v>
      </c>
      <c r="T25" s="4">
        <v>108000</v>
      </c>
      <c r="U25" s="4">
        <v>70600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37400</v>
      </c>
      <c r="AD25" s="4">
        <v>108000</v>
      </c>
      <c r="AE25" s="4">
        <v>70600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37400</v>
      </c>
      <c r="AN25" s="4">
        <v>59400</v>
      </c>
      <c r="AO25" s="4">
        <v>0</v>
      </c>
      <c r="AP25" s="4">
        <v>59400</v>
      </c>
    </row>
    <row r="26" spans="1:42" x14ac:dyDescent="0.4">
      <c r="A26" s="3" t="s">
        <v>48</v>
      </c>
      <c r="B26" s="3" t="s">
        <v>56</v>
      </c>
      <c r="C26" s="3" t="s">
        <v>57</v>
      </c>
      <c r="D26" s="3" t="s">
        <v>58</v>
      </c>
      <c r="E26" s="3" t="s">
        <v>59</v>
      </c>
      <c r="F26" s="3" t="s">
        <v>49</v>
      </c>
      <c r="G26" s="3" t="s">
        <v>20</v>
      </c>
      <c r="H26" s="3" t="s">
        <v>21</v>
      </c>
      <c r="I26" s="3" t="s">
        <v>22</v>
      </c>
      <c r="J26" s="3">
        <v>56529116</v>
      </c>
      <c r="K26" s="3" t="s">
        <v>64</v>
      </c>
      <c r="L26" s="3"/>
      <c r="M26" s="3"/>
      <c r="N26" s="3" t="s">
        <v>50</v>
      </c>
      <c r="O26" s="3" t="s">
        <v>23</v>
      </c>
      <c r="P26" s="3">
        <v>0.55000000000000004</v>
      </c>
      <c r="Q26" s="3">
        <v>0.55000000000000004</v>
      </c>
      <c r="R26" s="4" t="s">
        <v>88</v>
      </c>
      <c r="S26" s="4">
        <v>26100</v>
      </c>
      <c r="T26" s="4">
        <v>26100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24100</v>
      </c>
      <c r="AA26" s="4">
        <v>0</v>
      </c>
      <c r="AB26" s="4">
        <v>0</v>
      </c>
      <c r="AC26" s="4">
        <v>2000</v>
      </c>
      <c r="AD26" s="4">
        <v>28510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26510</v>
      </c>
      <c r="AK26" s="4">
        <v>0</v>
      </c>
      <c r="AL26" s="4">
        <v>0</v>
      </c>
      <c r="AM26" s="4">
        <v>2000</v>
      </c>
      <c r="AN26" s="4">
        <v>15681</v>
      </c>
      <c r="AO26" s="4">
        <v>0</v>
      </c>
      <c r="AP26" s="4">
        <v>15681</v>
      </c>
    </row>
    <row r="27" spans="1:42" x14ac:dyDescent="0.4">
      <c r="A27" s="3" t="s">
        <v>48</v>
      </c>
      <c r="B27" s="3" t="s">
        <v>56</v>
      </c>
      <c r="C27" s="3" t="s">
        <v>57</v>
      </c>
      <c r="D27" s="3" t="s">
        <v>58</v>
      </c>
      <c r="E27" s="3" t="s">
        <v>59</v>
      </c>
      <c r="F27" s="3" t="s">
        <v>49</v>
      </c>
      <c r="G27" s="3" t="s">
        <v>20</v>
      </c>
      <c r="H27" s="3" t="s">
        <v>21</v>
      </c>
      <c r="I27" s="3" t="s">
        <v>22</v>
      </c>
      <c r="J27" s="3">
        <v>56529166</v>
      </c>
      <c r="K27" s="3" t="s">
        <v>65</v>
      </c>
      <c r="L27" s="3"/>
      <c r="M27" s="3"/>
      <c r="N27" s="3" t="s">
        <v>50</v>
      </c>
      <c r="O27" s="3" t="s">
        <v>23</v>
      </c>
      <c r="P27" s="3">
        <v>0.55000000000000004</v>
      </c>
      <c r="Q27" s="3">
        <v>0.55000000000000004</v>
      </c>
      <c r="R27" s="4" t="s">
        <v>62</v>
      </c>
      <c r="S27" s="4">
        <v>900</v>
      </c>
      <c r="T27" s="4">
        <v>64800</v>
      </c>
      <c r="U27" s="4">
        <v>62100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2700</v>
      </c>
      <c r="AD27" s="4">
        <v>64800</v>
      </c>
      <c r="AE27" s="4">
        <v>62100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2700</v>
      </c>
      <c r="AN27" s="4">
        <v>35640</v>
      </c>
      <c r="AO27" s="4">
        <v>0</v>
      </c>
      <c r="AP27" s="4">
        <v>35640</v>
      </c>
    </row>
    <row r="28" spans="1:42" x14ac:dyDescent="0.4">
      <c r="A28" s="3" t="s">
        <v>48</v>
      </c>
      <c r="B28" s="3" t="s">
        <v>56</v>
      </c>
      <c r="C28" s="3" t="s">
        <v>57</v>
      </c>
      <c r="D28" s="3" t="s">
        <v>58</v>
      </c>
      <c r="E28" s="3" t="s">
        <v>59</v>
      </c>
      <c r="F28" s="3" t="s">
        <v>49</v>
      </c>
      <c r="G28" s="3" t="s">
        <v>20</v>
      </c>
      <c r="H28" s="3" t="s">
        <v>21</v>
      </c>
      <c r="I28" s="3" t="s">
        <v>22</v>
      </c>
      <c r="J28" s="3">
        <v>56540396</v>
      </c>
      <c r="K28" s="3" t="s">
        <v>66</v>
      </c>
      <c r="L28" s="3"/>
      <c r="M28" s="3"/>
      <c r="N28" s="3" t="s">
        <v>50</v>
      </c>
      <c r="O28" s="3" t="s">
        <v>23</v>
      </c>
      <c r="P28" s="3">
        <v>0.55000000000000004</v>
      </c>
      <c r="Q28" s="3">
        <v>0.55000000000000004</v>
      </c>
      <c r="R28" s="4" t="s">
        <v>62</v>
      </c>
      <c r="S28" s="4">
        <v>900</v>
      </c>
      <c r="T28" s="4">
        <v>23400</v>
      </c>
      <c r="U28" s="4">
        <v>21800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1600</v>
      </c>
      <c r="AD28" s="4">
        <v>23400</v>
      </c>
      <c r="AE28" s="4">
        <v>21800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1600</v>
      </c>
      <c r="AN28" s="4">
        <v>12870</v>
      </c>
      <c r="AO28" s="4">
        <v>0</v>
      </c>
      <c r="AP28" s="4">
        <v>12870</v>
      </c>
    </row>
    <row r="29" spans="1:42" x14ac:dyDescent="0.4">
      <c r="A29" s="3" t="s">
        <v>48</v>
      </c>
      <c r="B29" s="3" t="s">
        <v>56</v>
      </c>
      <c r="C29" s="3" t="s">
        <v>57</v>
      </c>
      <c r="D29" s="3" t="s">
        <v>58</v>
      </c>
      <c r="E29" s="3" t="s">
        <v>59</v>
      </c>
      <c r="F29" s="3" t="s">
        <v>49</v>
      </c>
      <c r="G29" s="3" t="s">
        <v>20</v>
      </c>
      <c r="H29" s="3" t="s">
        <v>21</v>
      </c>
      <c r="I29" s="3" t="s">
        <v>22</v>
      </c>
      <c r="J29" s="3">
        <v>56540396</v>
      </c>
      <c r="K29" s="3" t="s">
        <v>66</v>
      </c>
      <c r="L29" s="3"/>
      <c r="M29" s="3"/>
      <c r="N29" s="3" t="s">
        <v>50</v>
      </c>
      <c r="O29" s="3" t="s">
        <v>23</v>
      </c>
      <c r="P29" s="3">
        <v>0.55000000000000004</v>
      </c>
      <c r="Q29" s="3">
        <v>0.55000000000000004</v>
      </c>
      <c r="R29" s="4" t="s">
        <v>88</v>
      </c>
      <c r="S29" s="4">
        <v>8100</v>
      </c>
      <c r="T29" s="4">
        <v>8100</v>
      </c>
      <c r="U29" s="4">
        <v>8100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8100</v>
      </c>
      <c r="AE29" s="4">
        <v>8100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4455</v>
      </c>
      <c r="AO29" s="4">
        <v>0</v>
      </c>
      <c r="AP29" s="4">
        <v>4455</v>
      </c>
    </row>
    <row r="30" spans="1:42" x14ac:dyDescent="0.4">
      <c r="A30" s="3" t="s">
        <v>48</v>
      </c>
      <c r="B30" s="3" t="s">
        <v>56</v>
      </c>
      <c r="C30" s="3" t="s">
        <v>57</v>
      </c>
      <c r="D30" s="3" t="s">
        <v>58</v>
      </c>
      <c r="E30" s="3" t="s">
        <v>59</v>
      </c>
      <c r="F30" s="3" t="s">
        <v>49</v>
      </c>
      <c r="G30" s="3" t="s">
        <v>20</v>
      </c>
      <c r="H30" s="3" t="s">
        <v>21</v>
      </c>
      <c r="I30" s="3" t="s">
        <v>22</v>
      </c>
      <c r="J30" s="3">
        <v>56540480</v>
      </c>
      <c r="K30" s="3" t="s">
        <v>89</v>
      </c>
      <c r="L30" s="3"/>
      <c r="M30" s="3"/>
      <c r="N30" s="3" t="s">
        <v>50</v>
      </c>
      <c r="O30" s="3" t="s">
        <v>23</v>
      </c>
      <c r="P30" s="3">
        <v>0.55000000000000004</v>
      </c>
      <c r="Q30" s="3">
        <v>0.55000000000000004</v>
      </c>
      <c r="R30" s="4" t="s">
        <v>62</v>
      </c>
      <c r="S30" s="4">
        <v>900</v>
      </c>
      <c r="T30" s="4">
        <v>46800</v>
      </c>
      <c r="U30" s="4">
        <v>38200</v>
      </c>
      <c r="V30" s="4">
        <v>0</v>
      </c>
      <c r="W30" s="4">
        <v>0</v>
      </c>
      <c r="X30" s="4">
        <v>0</v>
      </c>
      <c r="Y30" s="4">
        <v>8100</v>
      </c>
      <c r="Z30" s="4">
        <v>0</v>
      </c>
      <c r="AA30" s="4">
        <v>0</v>
      </c>
      <c r="AB30" s="4">
        <v>0</v>
      </c>
      <c r="AC30" s="4">
        <v>500</v>
      </c>
      <c r="AD30" s="4">
        <v>48420</v>
      </c>
      <c r="AE30" s="4">
        <v>38200</v>
      </c>
      <c r="AF30" s="4">
        <v>0</v>
      </c>
      <c r="AG30" s="4">
        <v>0</v>
      </c>
      <c r="AH30" s="4">
        <v>0</v>
      </c>
      <c r="AI30" s="4">
        <v>9720</v>
      </c>
      <c r="AJ30" s="4">
        <v>0</v>
      </c>
      <c r="AK30" s="4">
        <v>0</v>
      </c>
      <c r="AL30" s="4">
        <v>0</v>
      </c>
      <c r="AM30" s="4">
        <v>500</v>
      </c>
      <c r="AN30" s="4">
        <v>26631</v>
      </c>
      <c r="AO30" s="4">
        <v>0</v>
      </c>
      <c r="AP30" s="4">
        <v>26631</v>
      </c>
    </row>
    <row r="31" spans="1:42" x14ac:dyDescent="0.4">
      <c r="AP31" s="5">
        <f>SUM(AP2:AP30)</f>
        <v>29074416</v>
      </c>
    </row>
    <row r="35" spans="1:7" x14ac:dyDescent="0.4">
      <c r="A35" s="6" t="s">
        <v>90</v>
      </c>
      <c r="B35" s="7"/>
      <c r="C35" s="7"/>
      <c r="D35" s="8"/>
    </row>
    <row r="36" spans="1:7" x14ac:dyDescent="0.4">
      <c r="A36" s="9" t="s">
        <v>91</v>
      </c>
      <c r="B36" s="9" t="s">
        <v>94</v>
      </c>
      <c r="C36" s="9" t="s">
        <v>99</v>
      </c>
      <c r="D36" s="9" t="s">
        <v>100</v>
      </c>
    </row>
    <row r="37" spans="1:7" x14ac:dyDescent="0.4">
      <c r="A37" s="10">
        <v>201802</v>
      </c>
      <c r="B37" s="11">
        <v>70000000</v>
      </c>
      <c r="C37" s="11">
        <v>47732344</v>
      </c>
      <c r="D37" s="12">
        <v>22267656</v>
      </c>
    </row>
    <row r="38" spans="1:7" x14ac:dyDescent="0.4">
      <c r="A38" s="10">
        <v>201803</v>
      </c>
      <c r="B38" s="11">
        <v>50000000</v>
      </c>
      <c r="C38" s="11">
        <v>35701360</v>
      </c>
      <c r="D38" s="12">
        <v>36566296</v>
      </c>
    </row>
    <row r="39" spans="1:7" x14ac:dyDescent="0.4">
      <c r="A39" s="10">
        <v>201804</v>
      </c>
      <c r="B39" s="11">
        <v>50000000</v>
      </c>
      <c r="C39" s="11">
        <v>38938960</v>
      </c>
      <c r="D39" s="12">
        <v>47627336</v>
      </c>
    </row>
    <row r="40" spans="1:7" x14ac:dyDescent="0.4">
      <c r="A40" s="10">
        <v>201805</v>
      </c>
      <c r="B40" s="13"/>
      <c r="C40" s="11">
        <v>26553752</v>
      </c>
      <c r="D40" s="12">
        <v>21073584</v>
      </c>
    </row>
    <row r="41" spans="1:7" x14ac:dyDescent="0.4">
      <c r="A41" s="10">
        <v>201806</v>
      </c>
      <c r="B41" s="11">
        <v>50000000</v>
      </c>
      <c r="C41" s="11">
        <v>34500112</v>
      </c>
      <c r="D41" s="12">
        <v>36573472</v>
      </c>
    </row>
    <row r="42" spans="1:7" x14ac:dyDescent="0.4">
      <c r="A42" s="10">
        <v>201807</v>
      </c>
      <c r="B42" s="13"/>
      <c r="C42" s="11">
        <v>23175045</v>
      </c>
      <c r="D42" s="12">
        <v>13398427</v>
      </c>
    </row>
    <row r="43" spans="1:7" x14ac:dyDescent="0.4">
      <c r="A43" s="10">
        <v>201808</v>
      </c>
      <c r="B43" s="11">
        <v>50000000</v>
      </c>
      <c r="C43" s="11">
        <v>18766387</v>
      </c>
      <c r="D43" s="12">
        <v>44632040</v>
      </c>
    </row>
    <row r="44" spans="1:7" x14ac:dyDescent="0.4">
      <c r="A44" s="10">
        <v>201809</v>
      </c>
      <c r="B44" s="13"/>
      <c r="C44" s="11">
        <v>18646713</v>
      </c>
      <c r="D44" s="12">
        <v>25985327</v>
      </c>
      <c r="G44" t="s">
        <v>98</v>
      </c>
    </row>
    <row r="45" spans="1:7" x14ac:dyDescent="0.4">
      <c r="A45" s="10">
        <v>201810</v>
      </c>
      <c r="B45" s="13"/>
      <c r="C45" s="11">
        <v>18925467</v>
      </c>
      <c r="D45" s="12">
        <v>7059860</v>
      </c>
    </row>
    <row r="46" spans="1:7" x14ac:dyDescent="0.4">
      <c r="A46" s="10">
        <v>201811</v>
      </c>
      <c r="B46" s="11">
        <v>50000000</v>
      </c>
      <c r="C46" s="11">
        <v>16885860</v>
      </c>
      <c r="D46" s="12">
        <v>40174000</v>
      </c>
    </row>
    <row r="47" spans="1:7" x14ac:dyDescent="0.4">
      <c r="A47" s="10">
        <v>201812</v>
      </c>
      <c r="B47" s="13"/>
      <c r="C47" s="11">
        <v>19348657</v>
      </c>
      <c r="D47" s="12">
        <v>20825343</v>
      </c>
    </row>
    <row r="48" spans="1:7" x14ac:dyDescent="0.4">
      <c r="A48" s="10">
        <v>201901</v>
      </c>
      <c r="B48" s="11">
        <v>50000000</v>
      </c>
      <c r="C48" s="11">
        <v>31454346</v>
      </c>
      <c r="D48" s="12">
        <v>39370997</v>
      </c>
    </row>
    <row r="49" spans="1:4" x14ac:dyDescent="0.4">
      <c r="A49" s="10">
        <v>201902</v>
      </c>
      <c r="B49" s="13"/>
      <c r="C49" s="11">
        <v>30366346</v>
      </c>
      <c r="D49" s="12">
        <v>9004651</v>
      </c>
    </row>
    <row r="50" spans="1:4" x14ac:dyDescent="0.4">
      <c r="A50" s="10">
        <v>201903</v>
      </c>
      <c r="B50" s="11">
        <v>50000000</v>
      </c>
      <c r="C50" s="11">
        <v>24049528</v>
      </c>
      <c r="D50" s="12">
        <v>34955123</v>
      </c>
    </row>
    <row r="51" spans="1:4" x14ac:dyDescent="0.4">
      <c r="A51" s="10">
        <v>201904</v>
      </c>
      <c r="B51" s="13"/>
      <c r="C51" s="11">
        <v>25754341</v>
      </c>
      <c r="D51" s="12">
        <v>9200782</v>
      </c>
    </row>
    <row r="52" spans="1:4" x14ac:dyDescent="0.4">
      <c r="A52" s="10">
        <v>201905</v>
      </c>
      <c r="B52" s="11">
        <v>50000000</v>
      </c>
      <c r="C52" s="11">
        <v>24706125</v>
      </c>
      <c r="D52" s="12">
        <v>34494657</v>
      </c>
    </row>
    <row r="53" spans="1:4" x14ac:dyDescent="0.4">
      <c r="A53" s="10">
        <v>201906</v>
      </c>
      <c r="B53" s="13"/>
      <c r="C53" s="11">
        <v>20303678</v>
      </c>
      <c r="D53" s="12">
        <v>14190979</v>
      </c>
    </row>
    <row r="54" spans="1:4" x14ac:dyDescent="0.4">
      <c r="A54" s="10">
        <v>201907</v>
      </c>
      <c r="B54" s="11">
        <v>50000000</v>
      </c>
      <c r="C54" s="11">
        <v>23411246</v>
      </c>
      <c r="D54" s="12">
        <v>40779733</v>
      </c>
    </row>
    <row r="55" spans="1:4" x14ac:dyDescent="0.4">
      <c r="A55" s="10">
        <v>201908</v>
      </c>
      <c r="B55" s="13"/>
      <c r="C55" s="11">
        <v>21883444</v>
      </c>
      <c r="D55" s="12">
        <v>18896289</v>
      </c>
    </row>
    <row r="56" spans="1:4" x14ac:dyDescent="0.4">
      <c r="A56" s="10">
        <v>201909</v>
      </c>
      <c r="B56" s="11">
        <v>50000000</v>
      </c>
      <c r="C56" s="11">
        <v>28787704</v>
      </c>
      <c r="D56" s="12">
        <v>40108585</v>
      </c>
    </row>
    <row r="57" spans="1:4" x14ac:dyDescent="0.4">
      <c r="A57" s="10">
        <v>201910</v>
      </c>
      <c r="B57" s="11"/>
      <c r="C57" s="11">
        <v>22129363</v>
      </c>
      <c r="D57" s="12">
        <v>17979222</v>
      </c>
    </row>
    <row r="58" spans="1:4" x14ac:dyDescent="0.4">
      <c r="A58" s="10">
        <v>201911</v>
      </c>
      <c r="B58" s="11">
        <v>50000000</v>
      </c>
      <c r="C58" s="14">
        <v>20240340</v>
      </c>
      <c r="D58" s="12">
        <v>47738882</v>
      </c>
    </row>
    <row r="59" spans="1:4" x14ac:dyDescent="0.4">
      <c r="A59" s="10">
        <v>201912</v>
      </c>
      <c r="B59" s="11"/>
      <c r="C59" s="11">
        <v>21290069</v>
      </c>
      <c r="D59" s="12">
        <v>26448813</v>
      </c>
    </row>
    <row r="60" spans="1:4" x14ac:dyDescent="0.4">
      <c r="A60" s="10">
        <v>202001</v>
      </c>
      <c r="B60" s="11">
        <v>50000000</v>
      </c>
      <c r="C60" s="15">
        <v>31440912</v>
      </c>
      <c r="D60" s="11">
        <v>45007901</v>
      </c>
    </row>
    <row r="61" spans="1:4" x14ac:dyDescent="0.4">
      <c r="A61" s="10">
        <v>202002</v>
      </c>
      <c r="B61" s="11"/>
      <c r="C61" s="16">
        <v>19283081</v>
      </c>
      <c r="D61" s="12">
        <v>25724820</v>
      </c>
    </row>
    <row r="62" spans="1:4" x14ac:dyDescent="0.4">
      <c r="A62" s="10">
        <v>202003</v>
      </c>
      <c r="B62" s="11">
        <v>50000000</v>
      </c>
      <c r="C62" s="16">
        <v>19822793</v>
      </c>
      <c r="D62" s="12">
        <v>55902027</v>
      </c>
    </row>
    <row r="63" spans="1:4" x14ac:dyDescent="0.4">
      <c r="A63" s="10">
        <v>202004</v>
      </c>
      <c r="B63" s="11"/>
      <c r="C63" s="16">
        <v>24700114</v>
      </c>
      <c r="D63" s="12">
        <v>31201913</v>
      </c>
    </row>
    <row r="64" spans="1:4" x14ac:dyDescent="0.4">
      <c r="A64" s="10">
        <v>202005</v>
      </c>
      <c r="B64" s="11"/>
      <c r="C64" s="16">
        <v>20221802</v>
      </c>
      <c r="D64" s="12">
        <v>10980111</v>
      </c>
    </row>
    <row r="65" spans="1:4" x14ac:dyDescent="0.4">
      <c r="A65" s="10">
        <v>202006</v>
      </c>
      <c r="B65" s="11">
        <v>50000000</v>
      </c>
      <c r="C65" s="16">
        <v>20465615</v>
      </c>
      <c r="D65" s="12">
        <v>40514496</v>
      </c>
    </row>
    <row r="66" spans="1:4" x14ac:dyDescent="0.4">
      <c r="A66" s="10">
        <v>202007</v>
      </c>
      <c r="B66" s="11"/>
      <c r="C66" s="16">
        <v>17162548</v>
      </c>
      <c r="D66" s="12">
        <v>23351948</v>
      </c>
    </row>
    <row r="67" spans="1:4" x14ac:dyDescent="0.4">
      <c r="A67" s="10">
        <v>202008</v>
      </c>
      <c r="B67" s="11"/>
      <c r="C67" s="16">
        <v>18524835</v>
      </c>
      <c r="D67" s="12">
        <v>4827113</v>
      </c>
    </row>
    <row r="68" spans="1:4" x14ac:dyDescent="0.4">
      <c r="A68" s="10">
        <v>202009</v>
      </c>
      <c r="B68" s="11">
        <v>50000000</v>
      </c>
      <c r="C68" s="16">
        <v>18377819</v>
      </c>
      <c r="D68" s="12">
        <v>36449294</v>
      </c>
    </row>
    <row r="69" spans="1:4" x14ac:dyDescent="0.4">
      <c r="A69" s="10">
        <v>202010</v>
      </c>
      <c r="B69" s="11"/>
      <c r="C69" s="16">
        <v>12130233</v>
      </c>
      <c r="D69" s="12">
        <v>24319061</v>
      </c>
    </row>
    <row r="70" spans="1:4" x14ac:dyDescent="0.4">
      <c r="A70" s="10">
        <v>202011</v>
      </c>
      <c r="B70" s="11">
        <v>50000000</v>
      </c>
      <c r="C70" s="16">
        <v>28409569</v>
      </c>
      <c r="D70" s="12">
        <f>D69-C70+B70</f>
        <v>45909492</v>
      </c>
    </row>
    <row r="71" spans="1:4" x14ac:dyDescent="0.4">
      <c r="A71" s="10">
        <v>202012</v>
      </c>
      <c r="B71" s="11"/>
      <c r="C71" s="16">
        <v>20659980</v>
      </c>
      <c r="D71" s="12">
        <f>D70-C71</f>
        <v>25249512</v>
      </c>
    </row>
    <row r="72" spans="1:4" x14ac:dyDescent="0.4">
      <c r="A72" s="10">
        <v>202101</v>
      </c>
      <c r="B72" s="11"/>
      <c r="C72" s="16">
        <v>18057602</v>
      </c>
      <c r="D72" s="12">
        <f>D71-C72</f>
        <v>7191910</v>
      </c>
    </row>
    <row r="73" spans="1:4" x14ac:dyDescent="0.4">
      <c r="A73" s="10">
        <v>202102</v>
      </c>
      <c r="B73" s="11">
        <v>50000000</v>
      </c>
      <c r="C73" s="16">
        <v>11866625</v>
      </c>
      <c r="D73" s="12">
        <f t="shared" ref="D73:D81" si="0">D72+B73-C73</f>
        <v>45325285</v>
      </c>
    </row>
    <row r="74" spans="1:4" x14ac:dyDescent="0.4">
      <c r="A74" s="10">
        <v>202103</v>
      </c>
      <c r="B74" s="11"/>
      <c r="C74" s="16">
        <v>17540528</v>
      </c>
      <c r="D74" s="12">
        <f t="shared" si="0"/>
        <v>27784757</v>
      </c>
    </row>
    <row r="75" spans="1:4" x14ac:dyDescent="0.4">
      <c r="A75" s="10">
        <v>202104</v>
      </c>
      <c r="B75" s="11"/>
      <c r="C75" s="16">
        <v>12625804</v>
      </c>
      <c r="D75" s="12">
        <f t="shared" si="0"/>
        <v>15158953</v>
      </c>
    </row>
    <row r="76" spans="1:4" x14ac:dyDescent="0.4">
      <c r="A76" s="10">
        <v>202105</v>
      </c>
      <c r="B76" s="11"/>
      <c r="C76" s="16">
        <v>10775038</v>
      </c>
      <c r="D76" s="12">
        <f t="shared" si="0"/>
        <v>4383915</v>
      </c>
    </row>
    <row r="77" spans="1:4" x14ac:dyDescent="0.4">
      <c r="A77" s="10">
        <v>202106</v>
      </c>
      <c r="B77" s="11">
        <v>50000000</v>
      </c>
      <c r="C77" s="16">
        <v>21998758</v>
      </c>
      <c r="D77" s="12">
        <f t="shared" si="0"/>
        <v>32385157</v>
      </c>
    </row>
    <row r="78" spans="1:4" x14ac:dyDescent="0.4">
      <c r="A78" s="10">
        <v>202107</v>
      </c>
      <c r="B78" s="11"/>
      <c r="C78" s="16">
        <v>14341856</v>
      </c>
      <c r="D78" s="12">
        <f t="shared" si="0"/>
        <v>18043301</v>
      </c>
    </row>
    <row r="79" spans="1:4" x14ac:dyDescent="0.4">
      <c r="A79" s="10">
        <v>202108</v>
      </c>
      <c r="B79" s="11">
        <v>50000000</v>
      </c>
      <c r="C79" s="16">
        <v>32878577</v>
      </c>
      <c r="D79" s="12">
        <f t="shared" si="0"/>
        <v>35164724</v>
      </c>
    </row>
    <row r="80" spans="1:4" x14ac:dyDescent="0.4">
      <c r="A80" s="10">
        <v>202109</v>
      </c>
      <c r="B80" s="11"/>
      <c r="C80" s="16">
        <v>18768367</v>
      </c>
      <c r="D80" s="12">
        <f t="shared" si="0"/>
        <v>16396357</v>
      </c>
    </row>
    <row r="81" spans="1:4" x14ac:dyDescent="0.4">
      <c r="A81" s="10">
        <v>202110</v>
      </c>
      <c r="B81" s="11">
        <v>100000000</v>
      </c>
      <c r="C81" s="16">
        <v>77924216</v>
      </c>
      <c r="D81" s="12">
        <f t="shared" si="0"/>
        <v>38472141</v>
      </c>
    </row>
    <row r="82" spans="1:4" x14ac:dyDescent="0.4">
      <c r="A82" s="10">
        <v>202111</v>
      </c>
      <c r="B82" s="11">
        <v>50000000</v>
      </c>
      <c r="C82" s="16">
        <v>46002098</v>
      </c>
      <c r="D82" s="12">
        <f>D81-C82+B82</f>
        <v>42470043</v>
      </c>
    </row>
    <row r="83" spans="1:4" x14ac:dyDescent="0.4">
      <c r="A83" s="10">
        <v>202112</v>
      </c>
      <c r="B83" s="11"/>
      <c r="C83" s="16">
        <v>39160141</v>
      </c>
      <c r="D83" s="12">
        <f>D82-C83+B83</f>
        <v>3309902</v>
      </c>
    </row>
    <row r="84" spans="1:4" x14ac:dyDescent="0.4">
      <c r="A84" s="10">
        <v>202201</v>
      </c>
      <c r="B84" s="11">
        <v>50000000</v>
      </c>
      <c r="C84" s="16">
        <v>35237226</v>
      </c>
      <c r="D84" s="12">
        <f>D83+B84-C84</f>
        <v>18072676</v>
      </c>
    </row>
    <row r="85" spans="1:4" x14ac:dyDescent="0.4">
      <c r="A85" s="10">
        <v>202202</v>
      </c>
      <c r="B85" s="11">
        <v>50000000</v>
      </c>
      <c r="C85" s="17">
        <v>28035779</v>
      </c>
      <c r="D85" s="12">
        <f>D84+B85-C85</f>
        <v>40036897</v>
      </c>
    </row>
    <row r="86" spans="1:4" x14ac:dyDescent="0.4">
      <c r="A86" s="10">
        <v>202203</v>
      </c>
      <c r="B86" s="11"/>
      <c r="C86" s="16">
        <v>36126783</v>
      </c>
      <c r="D86" s="12">
        <f>D85+B86-C86</f>
        <v>3910114</v>
      </c>
    </row>
    <row r="87" spans="1:4" x14ac:dyDescent="0.4">
      <c r="A87" s="10">
        <v>202204</v>
      </c>
      <c r="B87" s="11">
        <v>50000000</v>
      </c>
      <c r="C87" s="17">
        <v>28037258</v>
      </c>
      <c r="D87" s="12">
        <f>D86+B87-C87</f>
        <v>25872856</v>
      </c>
    </row>
    <row r="88" spans="1:4" x14ac:dyDescent="0.4">
      <c r="A88" s="10">
        <v>202205</v>
      </c>
      <c r="B88" s="11">
        <v>50000000</v>
      </c>
      <c r="C88" s="16">
        <f>AP31</f>
        <v>29074416</v>
      </c>
      <c r="D88" s="12">
        <f>D87+B88-C88</f>
        <v>46798440</v>
      </c>
    </row>
    <row r="89" spans="1:4" x14ac:dyDescent="0.4">
      <c r="A89" s="10"/>
      <c r="B89" s="11"/>
      <c r="C89" s="16"/>
      <c r="D89" s="12"/>
    </row>
    <row r="90" spans="1:4" x14ac:dyDescent="0.4">
      <c r="A90" s="18" t="s">
        <v>101</v>
      </c>
      <c r="B90" s="19">
        <f>SUM(B35:B88)</f>
        <v>1370000000</v>
      </c>
      <c r="C90" s="19">
        <f>SUM(C37:C88)</f>
        <v>1323201560</v>
      </c>
      <c r="D90" s="19"/>
    </row>
  </sheetData>
  <phoneticPr fontId="1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P13"/>
  <sheetViews>
    <sheetView workbookViewId="0">
      <selection activeCell="A13" sqref="A13:D13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1.699218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3" t="s">
        <v>48</v>
      </c>
      <c r="B2" s="3" t="s">
        <v>56</v>
      </c>
      <c r="C2" s="3" t="s">
        <v>57</v>
      </c>
      <c r="D2" s="3" t="s">
        <v>58</v>
      </c>
      <c r="E2" s="3" t="s">
        <v>72</v>
      </c>
      <c r="F2" s="3" t="s">
        <v>49</v>
      </c>
      <c r="G2" s="3" t="s">
        <v>20</v>
      </c>
      <c r="H2" s="3" t="s">
        <v>21</v>
      </c>
      <c r="I2" s="3" t="s">
        <v>22</v>
      </c>
      <c r="J2" s="3">
        <v>58620838</v>
      </c>
      <c r="K2" s="3" t="s">
        <v>73</v>
      </c>
      <c r="L2" s="3"/>
      <c r="M2" s="3"/>
      <c r="N2" s="3" t="s">
        <v>74</v>
      </c>
      <c r="O2" s="3" t="s">
        <v>23</v>
      </c>
      <c r="P2" s="3">
        <v>0.55000000000000004</v>
      </c>
      <c r="Q2" s="3">
        <v>0.55000000000000004</v>
      </c>
      <c r="R2" s="4" t="s">
        <v>25</v>
      </c>
      <c r="S2" s="4">
        <v>100</v>
      </c>
      <c r="T2" s="4">
        <v>916900</v>
      </c>
      <c r="U2" s="4">
        <v>497430</v>
      </c>
      <c r="V2" s="4">
        <v>0</v>
      </c>
      <c r="W2" s="4">
        <v>0</v>
      </c>
      <c r="X2" s="4">
        <v>0</v>
      </c>
      <c r="Y2" s="4">
        <v>3500</v>
      </c>
      <c r="Z2" s="4">
        <v>36400</v>
      </c>
      <c r="AA2" s="4">
        <v>0</v>
      </c>
      <c r="AB2" s="4">
        <v>0</v>
      </c>
      <c r="AC2" s="4">
        <v>379570</v>
      </c>
      <c r="AD2" s="4">
        <v>921240</v>
      </c>
      <c r="AE2" s="4">
        <v>497430</v>
      </c>
      <c r="AF2" s="4">
        <v>0</v>
      </c>
      <c r="AG2" s="4">
        <v>0</v>
      </c>
      <c r="AH2" s="4">
        <v>0</v>
      </c>
      <c r="AI2" s="4">
        <v>4200</v>
      </c>
      <c r="AJ2" s="4">
        <v>40040</v>
      </c>
      <c r="AK2" s="4">
        <v>0</v>
      </c>
      <c r="AL2" s="4">
        <v>0</v>
      </c>
      <c r="AM2" s="4">
        <v>379570</v>
      </c>
      <c r="AN2" s="4">
        <v>506682</v>
      </c>
      <c r="AO2" s="4">
        <v>0</v>
      </c>
      <c r="AP2" s="4">
        <v>506682</v>
      </c>
    </row>
    <row r="3" spans="1:42" x14ac:dyDescent="0.4">
      <c r="AP3" s="5">
        <f>SUM(AP2)</f>
        <v>506682</v>
      </c>
    </row>
    <row r="5" spans="1:42" x14ac:dyDescent="0.4">
      <c r="A5" s="6" t="s">
        <v>90</v>
      </c>
    </row>
    <row r="6" spans="1:42" x14ac:dyDescent="0.4">
      <c r="A6" s="9" t="s">
        <v>91</v>
      </c>
      <c r="B6" s="9" t="s">
        <v>102</v>
      </c>
      <c r="C6" s="9" t="s">
        <v>103</v>
      </c>
      <c r="D6" s="9" t="s">
        <v>104</v>
      </c>
    </row>
    <row r="7" spans="1:42" x14ac:dyDescent="0.4">
      <c r="A7" s="10">
        <v>202111</v>
      </c>
      <c r="B7" s="11">
        <v>10000000</v>
      </c>
      <c r="C7" s="11">
        <v>0</v>
      </c>
      <c r="D7" s="12">
        <f>B7-C7</f>
        <v>10000000</v>
      </c>
    </row>
    <row r="8" spans="1:42" x14ac:dyDescent="0.4">
      <c r="A8" s="10">
        <v>202202</v>
      </c>
      <c r="B8" s="11">
        <v>0</v>
      </c>
      <c r="C8" s="20">
        <v>2074047</v>
      </c>
      <c r="D8" s="12">
        <f>D7-C8</f>
        <v>7925953</v>
      </c>
    </row>
    <row r="9" spans="1:42" x14ac:dyDescent="0.4">
      <c r="A9" s="10">
        <v>202203</v>
      </c>
      <c r="B9" s="13"/>
      <c r="C9" s="11">
        <v>822173</v>
      </c>
      <c r="D9" s="12">
        <f>D8-C9</f>
        <v>7103780</v>
      </c>
    </row>
    <row r="10" spans="1:42" x14ac:dyDescent="0.4">
      <c r="A10" s="22">
        <v>202204</v>
      </c>
      <c r="B10" s="13"/>
      <c r="C10" s="20">
        <v>656337</v>
      </c>
      <c r="D10" s="12">
        <f>D9-C10</f>
        <v>6447443</v>
      </c>
    </row>
    <row r="11" spans="1:42" x14ac:dyDescent="0.4">
      <c r="A11" s="22">
        <v>202205</v>
      </c>
      <c r="B11" s="13"/>
      <c r="C11" s="20">
        <f>AP3</f>
        <v>506682</v>
      </c>
      <c r="D11" s="12">
        <f>D10-C11</f>
        <v>5940761</v>
      </c>
    </row>
    <row r="12" spans="1:42" x14ac:dyDescent="0.4">
      <c r="A12" s="13"/>
      <c r="B12" s="13"/>
      <c r="C12" s="13"/>
      <c r="D12" s="13"/>
    </row>
    <row r="13" spans="1:42" x14ac:dyDescent="0.4">
      <c r="A13" s="18" t="s">
        <v>101</v>
      </c>
      <c r="B13" s="19">
        <f>SUM(B7:B12)</f>
        <v>10000000</v>
      </c>
      <c r="C13" s="19">
        <f>SUM(C7:C12)</f>
        <v>4059239</v>
      </c>
      <c r="D13" s="19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P15"/>
  <sheetViews>
    <sheetView workbookViewId="0">
      <selection activeCell="A15" sqref="A15:D15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1.699218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29.398437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9.1992187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3" t="s">
        <v>48</v>
      </c>
      <c r="B2" s="3" t="s">
        <v>56</v>
      </c>
      <c r="C2" s="3" t="s">
        <v>57</v>
      </c>
      <c r="D2" s="3" t="s">
        <v>58</v>
      </c>
      <c r="E2" s="3" t="s">
        <v>75</v>
      </c>
      <c r="F2" s="3" t="s">
        <v>49</v>
      </c>
      <c r="G2" s="3" t="s">
        <v>20</v>
      </c>
      <c r="H2" s="3" t="s">
        <v>21</v>
      </c>
      <c r="I2" s="3" t="s">
        <v>22</v>
      </c>
      <c r="J2" s="3">
        <v>59239608</v>
      </c>
      <c r="K2" s="3" t="s">
        <v>76</v>
      </c>
      <c r="L2" s="3"/>
      <c r="M2" s="3"/>
      <c r="N2" s="3" t="s">
        <v>77</v>
      </c>
      <c r="O2" s="3" t="s">
        <v>23</v>
      </c>
      <c r="P2" s="3">
        <v>0.55000000000000004</v>
      </c>
      <c r="Q2" s="3">
        <v>0.55000000000000004</v>
      </c>
      <c r="R2" s="4" t="s">
        <v>25</v>
      </c>
      <c r="S2" s="4">
        <v>100</v>
      </c>
      <c r="T2" s="4">
        <v>1083000</v>
      </c>
      <c r="U2" s="4">
        <v>243760</v>
      </c>
      <c r="V2" s="4">
        <v>0</v>
      </c>
      <c r="W2" s="4">
        <v>0</v>
      </c>
      <c r="X2" s="4">
        <v>0</v>
      </c>
      <c r="Y2" s="4">
        <v>20350</v>
      </c>
      <c r="Z2" s="4">
        <v>13130</v>
      </c>
      <c r="AA2" s="4">
        <v>0</v>
      </c>
      <c r="AB2" s="4">
        <v>0</v>
      </c>
      <c r="AC2" s="4">
        <v>805760</v>
      </c>
      <c r="AD2" s="4">
        <v>1088383</v>
      </c>
      <c r="AE2" s="4">
        <v>243760</v>
      </c>
      <c r="AF2" s="4">
        <v>0</v>
      </c>
      <c r="AG2" s="4">
        <v>0</v>
      </c>
      <c r="AH2" s="4">
        <v>0</v>
      </c>
      <c r="AI2" s="4">
        <v>24420</v>
      </c>
      <c r="AJ2" s="4">
        <v>14443</v>
      </c>
      <c r="AK2" s="4">
        <v>0</v>
      </c>
      <c r="AL2" s="4">
        <v>0</v>
      </c>
      <c r="AM2" s="4">
        <v>805760</v>
      </c>
      <c r="AN2" s="4">
        <v>598611</v>
      </c>
      <c r="AO2" s="4">
        <v>0</v>
      </c>
      <c r="AP2" s="4">
        <v>598611</v>
      </c>
    </row>
    <row r="3" spans="1:42" x14ac:dyDescent="0.4">
      <c r="A3" s="3" t="s">
        <v>48</v>
      </c>
      <c r="B3" s="3" t="s">
        <v>56</v>
      </c>
      <c r="C3" s="3" t="s">
        <v>57</v>
      </c>
      <c r="D3" s="3" t="s">
        <v>58</v>
      </c>
      <c r="E3" s="3" t="s">
        <v>75</v>
      </c>
      <c r="F3" s="3" t="s">
        <v>49</v>
      </c>
      <c r="G3" s="3" t="s">
        <v>20</v>
      </c>
      <c r="H3" s="3" t="s">
        <v>21</v>
      </c>
      <c r="I3" s="3" t="s">
        <v>22</v>
      </c>
      <c r="J3" s="3">
        <v>59239608</v>
      </c>
      <c r="K3" s="3" t="s">
        <v>76</v>
      </c>
      <c r="L3" s="3"/>
      <c r="M3" s="3"/>
      <c r="N3" s="3" t="s">
        <v>77</v>
      </c>
      <c r="O3" s="3" t="s">
        <v>23</v>
      </c>
      <c r="P3" s="3">
        <v>0.55000000000000004</v>
      </c>
      <c r="Q3" s="3">
        <v>0.55000000000000004</v>
      </c>
      <c r="R3" s="4" t="s">
        <v>24</v>
      </c>
      <c r="S3" s="4">
        <v>1900</v>
      </c>
      <c r="T3" s="4">
        <v>665000</v>
      </c>
      <c r="U3" s="4">
        <v>405420</v>
      </c>
      <c r="V3" s="4">
        <v>0</v>
      </c>
      <c r="W3" s="4">
        <v>0</v>
      </c>
      <c r="X3" s="4">
        <v>0</v>
      </c>
      <c r="Y3" s="4">
        <v>21200</v>
      </c>
      <c r="Z3" s="4">
        <v>18680</v>
      </c>
      <c r="AA3" s="4">
        <v>0</v>
      </c>
      <c r="AB3" s="4">
        <v>0</v>
      </c>
      <c r="AC3" s="4">
        <v>219700</v>
      </c>
      <c r="AD3" s="4">
        <v>671108</v>
      </c>
      <c r="AE3" s="4">
        <v>405420</v>
      </c>
      <c r="AF3" s="4">
        <v>0</v>
      </c>
      <c r="AG3" s="4">
        <v>0</v>
      </c>
      <c r="AH3" s="4">
        <v>0</v>
      </c>
      <c r="AI3" s="4">
        <v>25440</v>
      </c>
      <c r="AJ3" s="4">
        <v>20548</v>
      </c>
      <c r="AK3" s="4">
        <v>0</v>
      </c>
      <c r="AL3" s="4">
        <v>0</v>
      </c>
      <c r="AM3" s="4">
        <v>219700</v>
      </c>
      <c r="AN3" s="4">
        <v>369109</v>
      </c>
      <c r="AO3" s="4">
        <v>0</v>
      </c>
      <c r="AP3" s="4">
        <v>369109</v>
      </c>
    </row>
    <row r="4" spans="1:42" x14ac:dyDescent="0.4">
      <c r="A4" s="3" t="s">
        <v>48</v>
      </c>
      <c r="B4" s="3" t="s">
        <v>56</v>
      </c>
      <c r="C4" s="3" t="s">
        <v>57</v>
      </c>
      <c r="D4" s="3" t="s">
        <v>58</v>
      </c>
      <c r="E4" s="3" t="s">
        <v>75</v>
      </c>
      <c r="F4" s="3" t="s">
        <v>49</v>
      </c>
      <c r="G4" s="3" t="s">
        <v>20</v>
      </c>
      <c r="H4" s="3" t="s">
        <v>21</v>
      </c>
      <c r="I4" s="3" t="s">
        <v>22</v>
      </c>
      <c r="J4" s="3">
        <v>59239608</v>
      </c>
      <c r="K4" s="3" t="s">
        <v>76</v>
      </c>
      <c r="L4" s="3"/>
      <c r="M4" s="3"/>
      <c r="N4" s="3" t="s">
        <v>77</v>
      </c>
      <c r="O4" s="3" t="s">
        <v>23</v>
      </c>
      <c r="P4" s="3">
        <v>0.55000000000000004</v>
      </c>
      <c r="Q4" s="3">
        <v>0.55000000000000004</v>
      </c>
      <c r="R4" s="4" t="s">
        <v>24</v>
      </c>
      <c r="S4" s="4">
        <v>3700</v>
      </c>
      <c r="T4" s="4">
        <v>416900</v>
      </c>
      <c r="U4" s="4">
        <v>324910</v>
      </c>
      <c r="V4" s="4">
        <v>0</v>
      </c>
      <c r="W4" s="4">
        <v>0</v>
      </c>
      <c r="X4" s="4">
        <v>0</v>
      </c>
      <c r="Y4" s="4">
        <v>3700</v>
      </c>
      <c r="Z4" s="4">
        <v>18500</v>
      </c>
      <c r="AA4" s="4">
        <v>0</v>
      </c>
      <c r="AB4" s="4">
        <v>0</v>
      </c>
      <c r="AC4" s="4">
        <v>69790</v>
      </c>
      <c r="AD4" s="4">
        <v>419490</v>
      </c>
      <c r="AE4" s="4">
        <v>324910</v>
      </c>
      <c r="AF4" s="4">
        <v>0</v>
      </c>
      <c r="AG4" s="4">
        <v>0</v>
      </c>
      <c r="AH4" s="4">
        <v>0</v>
      </c>
      <c r="AI4" s="4">
        <v>4440</v>
      </c>
      <c r="AJ4" s="4">
        <v>20350</v>
      </c>
      <c r="AK4" s="4">
        <v>0</v>
      </c>
      <c r="AL4" s="4">
        <v>0</v>
      </c>
      <c r="AM4" s="4">
        <v>69790</v>
      </c>
      <c r="AN4" s="4">
        <v>230720</v>
      </c>
      <c r="AO4" s="4">
        <v>0</v>
      </c>
      <c r="AP4" s="4">
        <v>230720</v>
      </c>
    </row>
    <row r="5" spans="1:42" x14ac:dyDescent="0.4">
      <c r="A5" s="3" t="s">
        <v>48</v>
      </c>
      <c r="B5" s="3" t="s">
        <v>56</v>
      </c>
      <c r="C5" s="3" t="s">
        <v>57</v>
      </c>
      <c r="D5" s="3" t="s">
        <v>58</v>
      </c>
      <c r="E5" s="3" t="s">
        <v>75</v>
      </c>
      <c r="F5" s="3" t="s">
        <v>49</v>
      </c>
      <c r="G5" s="3" t="s">
        <v>20</v>
      </c>
      <c r="H5" s="3" t="s">
        <v>21</v>
      </c>
      <c r="I5" s="3" t="s">
        <v>22</v>
      </c>
      <c r="J5" s="3">
        <v>59239608</v>
      </c>
      <c r="K5" s="3" t="s">
        <v>76</v>
      </c>
      <c r="L5" s="3"/>
      <c r="M5" s="3"/>
      <c r="N5" s="3" t="s">
        <v>77</v>
      </c>
      <c r="O5" s="3" t="s">
        <v>23</v>
      </c>
      <c r="P5" s="3">
        <v>0.55000000000000004</v>
      </c>
      <c r="Q5" s="3">
        <v>0.55000000000000004</v>
      </c>
      <c r="R5" s="4" t="s">
        <v>24</v>
      </c>
      <c r="S5" s="4">
        <v>7200</v>
      </c>
      <c r="T5" s="4">
        <v>390300</v>
      </c>
      <c r="U5" s="4">
        <v>322180</v>
      </c>
      <c r="V5" s="4">
        <v>0</v>
      </c>
      <c r="W5" s="4">
        <v>0</v>
      </c>
      <c r="X5" s="4">
        <v>0</v>
      </c>
      <c r="Y5" s="4">
        <v>450</v>
      </c>
      <c r="Z5" s="4">
        <v>36450</v>
      </c>
      <c r="AA5" s="4">
        <v>0</v>
      </c>
      <c r="AB5" s="4">
        <v>0</v>
      </c>
      <c r="AC5" s="4">
        <v>31220</v>
      </c>
      <c r="AD5" s="4">
        <v>394035</v>
      </c>
      <c r="AE5" s="4">
        <v>322180</v>
      </c>
      <c r="AF5" s="4">
        <v>0</v>
      </c>
      <c r="AG5" s="4">
        <v>0</v>
      </c>
      <c r="AH5" s="4">
        <v>0</v>
      </c>
      <c r="AI5" s="4">
        <v>540</v>
      </c>
      <c r="AJ5" s="4">
        <v>40095</v>
      </c>
      <c r="AK5" s="4">
        <v>0</v>
      </c>
      <c r="AL5" s="4">
        <v>0</v>
      </c>
      <c r="AM5" s="4">
        <v>31220</v>
      </c>
      <c r="AN5" s="4">
        <v>216719</v>
      </c>
      <c r="AO5" s="4">
        <v>0</v>
      </c>
      <c r="AP5" s="4">
        <v>216719</v>
      </c>
    </row>
    <row r="6" spans="1:42" x14ac:dyDescent="0.4">
      <c r="AP6" s="5">
        <f>SUM(AP2:AP5)</f>
        <v>1415159</v>
      </c>
    </row>
    <row r="8" spans="1:42" x14ac:dyDescent="0.4">
      <c r="A8" s="6" t="s">
        <v>105</v>
      </c>
    </row>
    <row r="9" spans="1:42" x14ac:dyDescent="0.4">
      <c r="A9" s="9" t="s">
        <v>91</v>
      </c>
      <c r="B9" s="9" t="s">
        <v>94</v>
      </c>
      <c r="C9" s="9" t="s">
        <v>97</v>
      </c>
      <c r="D9" s="9" t="s">
        <v>106</v>
      </c>
    </row>
    <row r="10" spans="1:42" x14ac:dyDescent="0.4">
      <c r="A10" s="10">
        <v>202204</v>
      </c>
      <c r="B10" s="11">
        <v>10000000</v>
      </c>
      <c r="C10" s="20">
        <v>2078275</v>
      </c>
      <c r="D10" s="12">
        <f>B10-C10</f>
        <v>7921725</v>
      </c>
    </row>
    <row r="11" spans="1:42" x14ac:dyDescent="0.4">
      <c r="A11" s="10">
        <v>202205</v>
      </c>
      <c r="B11" s="11"/>
      <c r="C11" s="20">
        <f>AP6</f>
        <v>1415159</v>
      </c>
      <c r="D11" s="12">
        <f>D10-C11</f>
        <v>6506566</v>
      </c>
    </row>
    <row r="12" spans="1:42" x14ac:dyDescent="0.4">
      <c r="A12" s="10"/>
      <c r="B12" s="13"/>
      <c r="C12" s="11"/>
      <c r="D12" s="12"/>
    </row>
    <row r="13" spans="1:42" x14ac:dyDescent="0.4">
      <c r="A13" s="22"/>
      <c r="B13" s="13"/>
      <c r="C13" s="11"/>
      <c r="D13" s="12"/>
    </row>
    <row r="14" spans="1:42" x14ac:dyDescent="0.4">
      <c r="A14" s="13"/>
      <c r="B14" s="13"/>
      <c r="C14" s="13"/>
      <c r="D14" s="13"/>
    </row>
    <row r="15" spans="1:42" x14ac:dyDescent="0.4">
      <c r="A15" s="18" t="s">
        <v>101</v>
      </c>
      <c r="B15" s="19">
        <f>SUM(B10:B14)</f>
        <v>10000000</v>
      </c>
      <c r="C15" s="19">
        <f>SUM(C10:C14)</f>
        <v>3493434</v>
      </c>
      <c r="D15" s="19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AP14"/>
  <sheetViews>
    <sheetView workbookViewId="0">
      <selection activeCell="D14" sqref="A14:D14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699218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11.0976562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3" t="s">
        <v>48</v>
      </c>
      <c r="B2" s="3" t="s">
        <v>56</v>
      </c>
      <c r="C2" s="3" t="s">
        <v>57</v>
      </c>
      <c r="D2" s="3" t="s">
        <v>58</v>
      </c>
      <c r="E2" s="3" t="s">
        <v>78</v>
      </c>
      <c r="F2" s="3" t="s">
        <v>49</v>
      </c>
      <c r="G2" s="3" t="s">
        <v>20</v>
      </c>
      <c r="H2" s="3" t="s">
        <v>21</v>
      </c>
      <c r="I2" s="3" t="s">
        <v>22</v>
      </c>
      <c r="J2" s="3">
        <v>52589363</v>
      </c>
      <c r="K2" s="3" t="s">
        <v>79</v>
      </c>
      <c r="L2" s="3"/>
      <c r="M2" s="3"/>
      <c r="N2" s="3" t="s">
        <v>80</v>
      </c>
      <c r="O2" s="3" t="s">
        <v>23</v>
      </c>
      <c r="P2" s="3">
        <v>0.55000000000000004</v>
      </c>
      <c r="Q2" s="3">
        <v>0.55000000000000004</v>
      </c>
      <c r="R2" s="4" t="s">
        <v>25</v>
      </c>
      <c r="S2" s="4">
        <v>100</v>
      </c>
      <c r="T2" s="4">
        <v>61400</v>
      </c>
      <c r="U2" s="4">
        <v>28580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32820</v>
      </c>
      <c r="AD2" s="4">
        <v>61400</v>
      </c>
      <c r="AE2" s="4">
        <v>28580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32820</v>
      </c>
      <c r="AN2" s="4">
        <v>33770</v>
      </c>
      <c r="AO2" s="4">
        <v>0</v>
      </c>
      <c r="AP2" s="4">
        <v>33770</v>
      </c>
    </row>
    <row r="3" spans="1:42" x14ac:dyDescent="0.4">
      <c r="A3" s="3" t="s">
        <v>48</v>
      </c>
      <c r="B3" s="3" t="s">
        <v>56</v>
      </c>
      <c r="C3" s="3" t="s">
        <v>57</v>
      </c>
      <c r="D3" s="3" t="s">
        <v>58</v>
      </c>
      <c r="E3" s="3" t="s">
        <v>78</v>
      </c>
      <c r="F3" s="3" t="s">
        <v>49</v>
      </c>
      <c r="G3" s="3" t="s">
        <v>20</v>
      </c>
      <c r="H3" s="3" t="s">
        <v>21</v>
      </c>
      <c r="I3" s="3" t="s">
        <v>22</v>
      </c>
      <c r="J3" s="3">
        <v>52589363</v>
      </c>
      <c r="K3" s="3" t="s">
        <v>79</v>
      </c>
      <c r="L3" s="3"/>
      <c r="M3" s="3"/>
      <c r="N3" s="3" t="s">
        <v>80</v>
      </c>
      <c r="O3" s="3" t="s">
        <v>23</v>
      </c>
      <c r="P3" s="3">
        <v>0.55000000000000004</v>
      </c>
      <c r="Q3" s="3">
        <v>0.55000000000000004</v>
      </c>
      <c r="R3" s="4" t="s">
        <v>24</v>
      </c>
      <c r="S3" s="4">
        <v>2400</v>
      </c>
      <c r="T3" s="4">
        <v>68000</v>
      </c>
      <c r="U3" s="4">
        <v>64800</v>
      </c>
      <c r="V3" s="4">
        <v>0</v>
      </c>
      <c r="W3" s="4">
        <v>0</v>
      </c>
      <c r="X3" s="4">
        <v>0</v>
      </c>
      <c r="Y3" s="4">
        <v>0</v>
      </c>
      <c r="Z3" s="4">
        <v>1700</v>
      </c>
      <c r="AA3" s="4">
        <v>0</v>
      </c>
      <c r="AB3" s="4">
        <v>0</v>
      </c>
      <c r="AC3" s="4">
        <v>1500</v>
      </c>
      <c r="AD3" s="4">
        <v>68170</v>
      </c>
      <c r="AE3" s="4">
        <v>64800</v>
      </c>
      <c r="AF3" s="4">
        <v>0</v>
      </c>
      <c r="AG3" s="4">
        <v>0</v>
      </c>
      <c r="AH3" s="4">
        <v>0</v>
      </c>
      <c r="AI3" s="4">
        <v>0</v>
      </c>
      <c r="AJ3" s="4">
        <v>1870</v>
      </c>
      <c r="AK3" s="4">
        <v>0</v>
      </c>
      <c r="AL3" s="4">
        <v>0</v>
      </c>
      <c r="AM3" s="4">
        <v>1500</v>
      </c>
      <c r="AN3" s="4">
        <v>37494</v>
      </c>
      <c r="AO3" s="4">
        <v>0</v>
      </c>
      <c r="AP3" s="4">
        <v>37494</v>
      </c>
    </row>
    <row r="4" spans="1:42" x14ac:dyDescent="0.4">
      <c r="A4" s="3" t="s">
        <v>48</v>
      </c>
      <c r="B4" s="3" t="s">
        <v>56</v>
      </c>
      <c r="C4" s="3" t="s">
        <v>57</v>
      </c>
      <c r="D4" s="3" t="s">
        <v>58</v>
      </c>
      <c r="E4" s="3" t="s">
        <v>78</v>
      </c>
      <c r="F4" s="3" t="s">
        <v>49</v>
      </c>
      <c r="G4" s="3" t="s">
        <v>20</v>
      </c>
      <c r="H4" s="3" t="s">
        <v>21</v>
      </c>
      <c r="I4" s="3" t="s">
        <v>22</v>
      </c>
      <c r="J4" s="3">
        <v>52589363</v>
      </c>
      <c r="K4" s="3" t="s">
        <v>79</v>
      </c>
      <c r="L4" s="3"/>
      <c r="M4" s="3"/>
      <c r="N4" s="3" t="s">
        <v>80</v>
      </c>
      <c r="O4" s="3" t="s">
        <v>23</v>
      </c>
      <c r="P4" s="3">
        <v>0.55000000000000004</v>
      </c>
      <c r="Q4" s="3">
        <v>0.55000000000000004</v>
      </c>
      <c r="R4" s="4" t="s">
        <v>24</v>
      </c>
      <c r="S4" s="4">
        <v>4600</v>
      </c>
      <c r="T4" s="4">
        <v>38000</v>
      </c>
      <c r="U4" s="4">
        <v>37200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800</v>
      </c>
      <c r="AD4" s="4">
        <v>38000</v>
      </c>
      <c r="AE4" s="4">
        <v>37200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800</v>
      </c>
      <c r="AN4" s="4">
        <v>20900</v>
      </c>
      <c r="AO4" s="4">
        <v>0</v>
      </c>
      <c r="AP4" s="4">
        <v>20900</v>
      </c>
    </row>
    <row r="5" spans="1:42" x14ac:dyDescent="0.4">
      <c r="A5" s="3" t="s">
        <v>48</v>
      </c>
      <c r="B5" s="3" t="s">
        <v>56</v>
      </c>
      <c r="C5" s="3" t="s">
        <v>57</v>
      </c>
      <c r="D5" s="3" t="s">
        <v>58</v>
      </c>
      <c r="E5" s="3" t="s">
        <v>78</v>
      </c>
      <c r="F5" s="3" t="s">
        <v>49</v>
      </c>
      <c r="G5" s="3" t="s">
        <v>20</v>
      </c>
      <c r="H5" s="3" t="s">
        <v>21</v>
      </c>
      <c r="I5" s="3" t="s">
        <v>22</v>
      </c>
      <c r="J5" s="3">
        <v>52589363</v>
      </c>
      <c r="K5" s="3" t="s">
        <v>79</v>
      </c>
      <c r="L5" s="3"/>
      <c r="M5" s="3"/>
      <c r="N5" s="3" t="s">
        <v>80</v>
      </c>
      <c r="O5" s="3" t="s">
        <v>23</v>
      </c>
      <c r="P5" s="3">
        <v>0.55000000000000004</v>
      </c>
      <c r="Q5" s="3">
        <v>0.55000000000000004</v>
      </c>
      <c r="R5" s="4" t="s">
        <v>24</v>
      </c>
      <c r="S5" s="4">
        <v>9000</v>
      </c>
      <c r="T5" s="4">
        <v>46800</v>
      </c>
      <c r="U5" s="4">
        <v>44400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2400</v>
      </c>
      <c r="AD5" s="4">
        <v>46800</v>
      </c>
      <c r="AE5" s="4">
        <v>44400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2400</v>
      </c>
      <c r="AN5" s="4">
        <v>25740</v>
      </c>
      <c r="AO5" s="4">
        <v>0</v>
      </c>
      <c r="AP5" s="4">
        <v>25740</v>
      </c>
    </row>
    <row r="6" spans="1:42" x14ac:dyDescent="0.4">
      <c r="AP6" s="5">
        <f>SUM(AP2:AP5)</f>
        <v>117904</v>
      </c>
    </row>
    <row r="8" spans="1:42" x14ac:dyDescent="0.4">
      <c r="A8" s="6" t="s">
        <v>107</v>
      </c>
    </row>
    <row r="9" spans="1:42" x14ac:dyDescent="0.4">
      <c r="A9" s="9" t="s">
        <v>108</v>
      </c>
      <c r="B9" s="9" t="s">
        <v>94</v>
      </c>
      <c r="C9" s="9" t="s">
        <v>109</v>
      </c>
      <c r="D9" s="9" t="s">
        <v>110</v>
      </c>
    </row>
    <row r="10" spans="1:42" x14ac:dyDescent="0.4">
      <c r="A10" s="10" t="s">
        <v>111</v>
      </c>
      <c r="B10" s="23">
        <v>10000000</v>
      </c>
      <c r="C10" s="23">
        <v>2535560</v>
      </c>
      <c r="D10" s="12">
        <f>B10-C10</f>
        <v>7464440</v>
      </c>
    </row>
    <row r="11" spans="1:42" x14ac:dyDescent="0.4">
      <c r="A11" s="10">
        <v>202204</v>
      </c>
      <c r="B11" s="11"/>
      <c r="C11" s="26">
        <v>9130</v>
      </c>
      <c r="D11" s="12">
        <f>D10-C11</f>
        <v>7455310</v>
      </c>
    </row>
    <row r="12" spans="1:42" x14ac:dyDescent="0.4">
      <c r="A12" s="10">
        <v>202205</v>
      </c>
      <c r="B12" s="13"/>
      <c r="C12" s="11">
        <f>AP6</f>
        <v>117904</v>
      </c>
      <c r="D12" s="12">
        <f>D11-C12</f>
        <v>7337406</v>
      </c>
    </row>
    <row r="13" spans="1:42" x14ac:dyDescent="0.4">
      <c r="A13" s="22"/>
      <c r="B13" s="13"/>
      <c r="C13" s="11"/>
      <c r="D13" s="12"/>
    </row>
    <row r="14" spans="1:42" x14ac:dyDescent="0.4">
      <c r="A14" s="18" t="s">
        <v>101</v>
      </c>
      <c r="B14" s="19">
        <f>SUM(B9:B13)</f>
        <v>10000000</v>
      </c>
      <c r="C14" s="19">
        <f>SUM(C9:C13)</f>
        <v>2662594</v>
      </c>
      <c r="D14" s="19"/>
    </row>
  </sheetData>
  <phoneticPr fontId="1" type="noConversion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/>
  <dimension ref="A1:AP14"/>
  <sheetViews>
    <sheetView workbookViewId="0">
      <selection activeCell="A14" sqref="A14:D14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1.699218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17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3" t="s">
        <v>48</v>
      </c>
      <c r="B2" s="3" t="s">
        <v>56</v>
      </c>
      <c r="C2" s="3" t="s">
        <v>57</v>
      </c>
      <c r="D2" s="3" t="s">
        <v>58</v>
      </c>
      <c r="E2" s="3" t="s">
        <v>81</v>
      </c>
      <c r="F2" s="3" t="s">
        <v>49</v>
      </c>
      <c r="G2" s="3" t="s">
        <v>20</v>
      </c>
      <c r="H2" s="3" t="s">
        <v>21</v>
      </c>
      <c r="I2" s="3" t="s">
        <v>22</v>
      </c>
      <c r="J2" s="3">
        <v>52749480</v>
      </c>
      <c r="K2" s="3" t="s">
        <v>82</v>
      </c>
      <c r="L2" s="3"/>
      <c r="M2" s="3"/>
      <c r="N2" s="3" t="s">
        <v>83</v>
      </c>
      <c r="O2" s="3" t="s">
        <v>23</v>
      </c>
      <c r="P2" s="3">
        <v>0.55000000000000004</v>
      </c>
      <c r="Q2" s="3">
        <v>0.55000000000000004</v>
      </c>
      <c r="R2" s="4" t="s">
        <v>25</v>
      </c>
      <c r="S2" s="4">
        <v>100</v>
      </c>
      <c r="T2" s="4">
        <v>46600</v>
      </c>
      <c r="U2" s="4">
        <v>10900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35700</v>
      </c>
      <c r="AD2" s="4">
        <v>46600</v>
      </c>
      <c r="AE2" s="4">
        <v>10900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35700</v>
      </c>
      <c r="AN2" s="4">
        <v>25630</v>
      </c>
      <c r="AO2" s="4">
        <v>0</v>
      </c>
      <c r="AP2" s="4">
        <v>25630</v>
      </c>
    </row>
    <row r="3" spans="1:42" x14ac:dyDescent="0.4">
      <c r="A3" s="3" t="s">
        <v>48</v>
      </c>
      <c r="B3" s="3" t="s">
        <v>56</v>
      </c>
      <c r="C3" s="3" t="s">
        <v>57</v>
      </c>
      <c r="D3" s="3" t="s">
        <v>58</v>
      </c>
      <c r="E3" s="3" t="s">
        <v>81</v>
      </c>
      <c r="F3" s="3" t="s">
        <v>49</v>
      </c>
      <c r="G3" s="3" t="s">
        <v>20</v>
      </c>
      <c r="H3" s="3" t="s">
        <v>21</v>
      </c>
      <c r="I3" s="3" t="s">
        <v>22</v>
      </c>
      <c r="J3" s="3">
        <v>52749480</v>
      </c>
      <c r="K3" s="3" t="s">
        <v>82</v>
      </c>
      <c r="L3" s="3"/>
      <c r="M3" s="3"/>
      <c r="N3" s="3" t="s">
        <v>83</v>
      </c>
      <c r="O3" s="3" t="s">
        <v>23</v>
      </c>
      <c r="P3" s="3">
        <v>0.55000000000000004</v>
      </c>
      <c r="Q3" s="3">
        <v>0.55000000000000004</v>
      </c>
      <c r="R3" s="4" t="s">
        <v>24</v>
      </c>
      <c r="S3" s="4">
        <v>4500</v>
      </c>
      <c r="T3" s="4">
        <v>73100</v>
      </c>
      <c r="U3" s="4">
        <v>73000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100</v>
      </c>
      <c r="AD3" s="4">
        <v>73100</v>
      </c>
      <c r="AE3" s="4">
        <v>73000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100</v>
      </c>
      <c r="AN3" s="4">
        <v>40205</v>
      </c>
      <c r="AO3" s="4">
        <v>0</v>
      </c>
      <c r="AP3" s="4">
        <v>40205</v>
      </c>
    </row>
    <row r="4" spans="1:42" x14ac:dyDescent="0.4">
      <c r="A4" s="3" t="s">
        <v>48</v>
      </c>
      <c r="B4" s="3" t="s">
        <v>56</v>
      </c>
      <c r="C4" s="3" t="s">
        <v>57</v>
      </c>
      <c r="D4" s="3" t="s">
        <v>58</v>
      </c>
      <c r="E4" s="3" t="s">
        <v>81</v>
      </c>
      <c r="F4" s="3" t="s">
        <v>49</v>
      </c>
      <c r="G4" s="3" t="s">
        <v>20</v>
      </c>
      <c r="H4" s="3" t="s">
        <v>21</v>
      </c>
      <c r="I4" s="3" t="s">
        <v>22</v>
      </c>
      <c r="J4" s="3">
        <v>52749480</v>
      </c>
      <c r="K4" s="3" t="s">
        <v>82</v>
      </c>
      <c r="L4" s="3"/>
      <c r="M4" s="3"/>
      <c r="N4" s="3" t="s">
        <v>83</v>
      </c>
      <c r="O4" s="3" t="s">
        <v>23</v>
      </c>
      <c r="P4" s="3">
        <v>0.55000000000000004</v>
      </c>
      <c r="Q4" s="3">
        <v>0.55000000000000004</v>
      </c>
      <c r="R4" s="4" t="s">
        <v>24</v>
      </c>
      <c r="S4" s="4">
        <v>9000</v>
      </c>
      <c r="T4" s="4">
        <v>9000</v>
      </c>
      <c r="U4" s="4">
        <v>9000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9000</v>
      </c>
      <c r="AE4" s="4">
        <v>9000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4950</v>
      </c>
      <c r="AO4" s="4">
        <v>0</v>
      </c>
      <c r="AP4" s="4">
        <v>4950</v>
      </c>
    </row>
    <row r="5" spans="1:42" x14ac:dyDescent="0.4">
      <c r="A5" s="3" t="s">
        <v>48</v>
      </c>
      <c r="B5" s="3" t="s">
        <v>56</v>
      </c>
      <c r="C5" s="3" t="s">
        <v>57</v>
      </c>
      <c r="D5" s="3" t="s">
        <v>58</v>
      </c>
      <c r="E5" s="3" t="s">
        <v>81</v>
      </c>
      <c r="F5" s="3" t="s">
        <v>49</v>
      </c>
      <c r="G5" s="3" t="s">
        <v>20</v>
      </c>
      <c r="H5" s="3" t="s">
        <v>21</v>
      </c>
      <c r="I5" s="3" t="s">
        <v>22</v>
      </c>
      <c r="J5" s="3">
        <v>52749480</v>
      </c>
      <c r="K5" s="3" t="s">
        <v>82</v>
      </c>
      <c r="L5" s="3"/>
      <c r="M5" s="3"/>
      <c r="N5" s="3" t="s">
        <v>83</v>
      </c>
      <c r="O5" s="3" t="s">
        <v>23</v>
      </c>
      <c r="P5" s="3">
        <v>0.55000000000000004</v>
      </c>
      <c r="Q5" s="3">
        <v>0.55000000000000004</v>
      </c>
      <c r="R5" s="4" t="s">
        <v>24</v>
      </c>
      <c r="S5" s="4">
        <v>13500</v>
      </c>
      <c r="T5" s="4">
        <v>49400</v>
      </c>
      <c r="U5" s="4">
        <v>48900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500</v>
      </c>
      <c r="AD5" s="4">
        <v>49400</v>
      </c>
      <c r="AE5" s="4">
        <v>48900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500</v>
      </c>
      <c r="AN5" s="4">
        <v>27170</v>
      </c>
      <c r="AO5" s="4">
        <v>0</v>
      </c>
      <c r="AP5" s="4">
        <v>27170</v>
      </c>
    </row>
    <row r="6" spans="1:42" x14ac:dyDescent="0.4">
      <c r="AP6" s="5">
        <f>SUM(AP2:AP5)</f>
        <v>97955</v>
      </c>
    </row>
    <row r="8" spans="1:42" x14ac:dyDescent="0.4">
      <c r="A8" s="6" t="s">
        <v>112</v>
      </c>
    </row>
    <row r="9" spans="1:42" x14ac:dyDescent="0.4">
      <c r="A9" s="9" t="s">
        <v>91</v>
      </c>
      <c r="B9" s="9" t="s">
        <v>94</v>
      </c>
      <c r="C9" s="9" t="s">
        <v>97</v>
      </c>
      <c r="D9" s="9" t="s">
        <v>92</v>
      </c>
    </row>
    <row r="10" spans="1:42" x14ac:dyDescent="0.4">
      <c r="A10" s="10" t="s">
        <v>95</v>
      </c>
      <c r="B10" s="23">
        <v>20000000</v>
      </c>
      <c r="C10" s="24">
        <v>1709126</v>
      </c>
      <c r="D10" s="12">
        <f>B10-C10</f>
        <v>18290874</v>
      </c>
    </row>
    <row r="11" spans="1:42" x14ac:dyDescent="0.4">
      <c r="A11" s="10">
        <v>202204</v>
      </c>
      <c r="B11" s="11"/>
      <c r="C11" s="26">
        <v>4950</v>
      </c>
      <c r="D11" s="12">
        <f>D10-C11</f>
        <v>18285924</v>
      </c>
    </row>
    <row r="12" spans="1:42" x14ac:dyDescent="0.4">
      <c r="A12" s="10">
        <v>202205</v>
      </c>
      <c r="B12" s="13"/>
      <c r="C12" s="11">
        <f>AP6</f>
        <v>97955</v>
      </c>
      <c r="D12" s="12">
        <f>D11-C12</f>
        <v>18187969</v>
      </c>
    </row>
    <row r="13" spans="1:42" x14ac:dyDescent="0.4">
      <c r="A13" s="22"/>
      <c r="B13" s="13"/>
      <c r="C13" s="11"/>
      <c r="D13" s="12"/>
    </row>
    <row r="14" spans="1:42" x14ac:dyDescent="0.4">
      <c r="A14" s="18" t="s">
        <v>101</v>
      </c>
      <c r="B14" s="19">
        <f>SUM(B9:B13)</f>
        <v>20000000</v>
      </c>
      <c r="C14" s="19">
        <f>SUM(C9:C13)</f>
        <v>1812031</v>
      </c>
      <c r="D14" s="19"/>
    </row>
  </sheetData>
  <phoneticPr fontId="1" type="noConversion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P18"/>
  <sheetViews>
    <sheetView workbookViewId="0">
      <selection activeCell="D18" sqref="A18:D18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1.699218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20.19921875" bestFit="1" customWidth="1"/>
    <col min="12" max="12" width="21.5" bestFit="1" customWidth="1"/>
    <col min="13" max="13" width="6.796875" bestFit="1" customWidth="1"/>
    <col min="14" max="14" width="8.5976562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9.1992187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3" t="s">
        <v>48</v>
      </c>
      <c r="B2" s="3" t="s">
        <v>56</v>
      </c>
      <c r="C2" s="3" t="s">
        <v>57</v>
      </c>
      <c r="D2" s="3" t="s">
        <v>58</v>
      </c>
      <c r="E2" s="3" t="s">
        <v>84</v>
      </c>
      <c r="F2" s="3" t="s">
        <v>49</v>
      </c>
      <c r="G2" s="3" t="s">
        <v>20</v>
      </c>
      <c r="H2" s="3" t="s">
        <v>21</v>
      </c>
      <c r="I2" s="3" t="s">
        <v>22</v>
      </c>
      <c r="J2" s="3">
        <v>54367334</v>
      </c>
      <c r="K2" s="3" t="s">
        <v>85</v>
      </c>
      <c r="L2" s="3"/>
      <c r="M2" s="3"/>
      <c r="N2" s="3" t="s">
        <v>86</v>
      </c>
      <c r="O2" s="3" t="s">
        <v>23</v>
      </c>
      <c r="P2" s="3">
        <v>0.55000000000000004</v>
      </c>
      <c r="Q2" s="3">
        <v>0.55000000000000004</v>
      </c>
      <c r="R2" s="4" t="s">
        <v>25</v>
      </c>
      <c r="S2" s="4">
        <v>100</v>
      </c>
      <c r="T2" s="4">
        <v>11700</v>
      </c>
      <c r="U2" s="4">
        <v>8700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3000</v>
      </c>
      <c r="AD2" s="4">
        <v>11700</v>
      </c>
      <c r="AE2" s="4">
        <v>8700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3000</v>
      </c>
      <c r="AN2" s="4">
        <v>6435</v>
      </c>
      <c r="AO2" s="4">
        <v>0</v>
      </c>
      <c r="AP2" s="4">
        <v>6435</v>
      </c>
    </row>
    <row r="3" spans="1:42" x14ac:dyDescent="0.4">
      <c r="A3" s="3" t="s">
        <v>48</v>
      </c>
      <c r="B3" s="3" t="s">
        <v>56</v>
      </c>
      <c r="C3" s="3" t="s">
        <v>57</v>
      </c>
      <c r="D3" s="3" t="s">
        <v>58</v>
      </c>
      <c r="E3" s="3" t="s">
        <v>84</v>
      </c>
      <c r="F3" s="3" t="s">
        <v>49</v>
      </c>
      <c r="G3" s="3" t="s">
        <v>20</v>
      </c>
      <c r="H3" s="3" t="s">
        <v>21</v>
      </c>
      <c r="I3" s="3" t="s">
        <v>22</v>
      </c>
      <c r="J3" s="3">
        <v>54367334</v>
      </c>
      <c r="K3" s="3" t="s">
        <v>85</v>
      </c>
      <c r="L3" s="3"/>
      <c r="M3" s="3"/>
      <c r="N3" s="3" t="s">
        <v>86</v>
      </c>
      <c r="O3" s="3" t="s">
        <v>23</v>
      </c>
      <c r="P3" s="3">
        <v>0.55000000000000004</v>
      </c>
      <c r="Q3" s="3">
        <v>0.55000000000000004</v>
      </c>
      <c r="R3" s="4" t="s">
        <v>24</v>
      </c>
      <c r="S3" s="4">
        <v>900</v>
      </c>
      <c r="T3" s="4">
        <v>10200</v>
      </c>
      <c r="U3" s="4">
        <v>8400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1800</v>
      </c>
      <c r="AD3" s="4">
        <v>10200</v>
      </c>
      <c r="AE3" s="4">
        <v>8400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1800</v>
      </c>
      <c r="AN3" s="4">
        <v>5610</v>
      </c>
      <c r="AO3" s="4">
        <v>0</v>
      </c>
      <c r="AP3" s="4">
        <v>5610</v>
      </c>
    </row>
    <row r="4" spans="1:42" x14ac:dyDescent="0.4">
      <c r="A4" s="3" t="s">
        <v>48</v>
      </c>
      <c r="B4" s="3" t="s">
        <v>56</v>
      </c>
      <c r="C4" s="3" t="s">
        <v>57</v>
      </c>
      <c r="D4" s="3" t="s">
        <v>58</v>
      </c>
      <c r="E4" s="3" t="s">
        <v>84</v>
      </c>
      <c r="F4" s="3" t="s">
        <v>49</v>
      </c>
      <c r="G4" s="3" t="s">
        <v>20</v>
      </c>
      <c r="H4" s="3" t="s">
        <v>21</v>
      </c>
      <c r="I4" s="3" t="s">
        <v>22</v>
      </c>
      <c r="J4" s="3">
        <v>54367334</v>
      </c>
      <c r="K4" s="3" t="s">
        <v>85</v>
      </c>
      <c r="L4" s="3"/>
      <c r="M4" s="3"/>
      <c r="N4" s="3" t="s">
        <v>86</v>
      </c>
      <c r="O4" s="3" t="s">
        <v>23</v>
      </c>
      <c r="P4" s="3">
        <v>0.55000000000000004</v>
      </c>
      <c r="Q4" s="3">
        <v>0.55000000000000004</v>
      </c>
      <c r="R4" s="4" t="s">
        <v>24</v>
      </c>
      <c r="S4" s="4">
        <v>2700</v>
      </c>
      <c r="T4" s="4">
        <v>10800</v>
      </c>
      <c r="U4" s="4">
        <v>8100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2700</v>
      </c>
      <c r="AD4" s="4">
        <v>10800</v>
      </c>
      <c r="AE4" s="4">
        <v>8100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2700</v>
      </c>
      <c r="AN4" s="4">
        <v>5940</v>
      </c>
      <c r="AO4" s="4">
        <v>0</v>
      </c>
      <c r="AP4" s="4">
        <v>5940</v>
      </c>
    </row>
    <row r="5" spans="1:42" x14ac:dyDescent="0.4">
      <c r="A5" s="3" t="s">
        <v>48</v>
      </c>
      <c r="B5" s="3" t="s">
        <v>56</v>
      </c>
      <c r="C5" s="3" t="s">
        <v>57</v>
      </c>
      <c r="D5" s="3" t="s">
        <v>58</v>
      </c>
      <c r="E5" s="3" t="s">
        <v>84</v>
      </c>
      <c r="F5" s="3" t="s">
        <v>49</v>
      </c>
      <c r="G5" s="3" t="s">
        <v>20</v>
      </c>
      <c r="H5" s="3" t="s">
        <v>21</v>
      </c>
      <c r="I5" s="3" t="s">
        <v>22</v>
      </c>
      <c r="J5" s="3">
        <v>54367334</v>
      </c>
      <c r="K5" s="3" t="s">
        <v>85</v>
      </c>
      <c r="L5" s="3"/>
      <c r="M5" s="3"/>
      <c r="N5" s="3" t="s">
        <v>86</v>
      </c>
      <c r="O5" s="3" t="s">
        <v>23</v>
      </c>
      <c r="P5" s="3">
        <v>0.55000000000000004</v>
      </c>
      <c r="Q5" s="3">
        <v>0.55000000000000004</v>
      </c>
      <c r="R5" s="4" t="s">
        <v>24</v>
      </c>
      <c r="S5" s="4">
        <v>4500</v>
      </c>
      <c r="T5" s="4">
        <v>13500</v>
      </c>
      <c r="U5" s="4">
        <v>9000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4500</v>
      </c>
      <c r="AD5" s="4">
        <v>13500</v>
      </c>
      <c r="AE5" s="4">
        <v>9000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4500</v>
      </c>
      <c r="AN5" s="4">
        <v>7425</v>
      </c>
      <c r="AO5" s="4">
        <v>0</v>
      </c>
      <c r="AP5" s="4">
        <v>7425</v>
      </c>
    </row>
    <row r="6" spans="1:42" x14ac:dyDescent="0.4">
      <c r="A6" s="3" t="s">
        <v>48</v>
      </c>
      <c r="B6" s="3" t="s">
        <v>56</v>
      </c>
      <c r="C6" s="3" t="s">
        <v>57</v>
      </c>
      <c r="D6" s="3" t="s">
        <v>58</v>
      </c>
      <c r="E6" s="3" t="s">
        <v>84</v>
      </c>
      <c r="F6" s="3" t="s">
        <v>49</v>
      </c>
      <c r="G6" s="3" t="s">
        <v>20</v>
      </c>
      <c r="H6" s="3" t="s">
        <v>21</v>
      </c>
      <c r="I6" s="3" t="s">
        <v>22</v>
      </c>
      <c r="J6" s="3">
        <v>59204258</v>
      </c>
      <c r="K6" s="3" t="s">
        <v>87</v>
      </c>
      <c r="L6" s="3"/>
      <c r="M6" s="3"/>
      <c r="N6" s="3" t="s">
        <v>86</v>
      </c>
      <c r="O6" s="3" t="s">
        <v>23</v>
      </c>
      <c r="P6" s="3">
        <v>0.55000000000000004</v>
      </c>
      <c r="Q6" s="3">
        <v>0.55000000000000004</v>
      </c>
      <c r="R6" s="4" t="s">
        <v>25</v>
      </c>
      <c r="S6" s="4">
        <v>100</v>
      </c>
      <c r="T6" s="4">
        <v>1515600</v>
      </c>
      <c r="U6" s="4">
        <v>496340</v>
      </c>
      <c r="V6" s="4">
        <v>0</v>
      </c>
      <c r="W6" s="4">
        <v>0</v>
      </c>
      <c r="X6" s="4">
        <v>0</v>
      </c>
      <c r="Y6" s="4">
        <v>7500</v>
      </c>
      <c r="Z6" s="4">
        <v>15800</v>
      </c>
      <c r="AA6" s="4">
        <v>0</v>
      </c>
      <c r="AB6" s="4">
        <v>0</v>
      </c>
      <c r="AC6" s="4">
        <v>995960</v>
      </c>
      <c r="AD6" s="4">
        <v>1518680</v>
      </c>
      <c r="AE6" s="4">
        <v>496340</v>
      </c>
      <c r="AF6" s="4">
        <v>0</v>
      </c>
      <c r="AG6" s="4">
        <v>0</v>
      </c>
      <c r="AH6" s="4">
        <v>0</v>
      </c>
      <c r="AI6" s="4">
        <v>9000</v>
      </c>
      <c r="AJ6" s="4">
        <v>17380</v>
      </c>
      <c r="AK6" s="4">
        <v>0</v>
      </c>
      <c r="AL6" s="4">
        <v>0</v>
      </c>
      <c r="AM6" s="4">
        <v>995960</v>
      </c>
      <c r="AN6" s="4">
        <v>835274</v>
      </c>
      <c r="AO6" s="4">
        <v>0</v>
      </c>
      <c r="AP6" s="4">
        <v>835274</v>
      </c>
    </row>
    <row r="7" spans="1:42" x14ac:dyDescent="0.4">
      <c r="A7" s="3" t="s">
        <v>48</v>
      </c>
      <c r="B7" s="3" t="s">
        <v>56</v>
      </c>
      <c r="C7" s="3" t="s">
        <v>57</v>
      </c>
      <c r="D7" s="3" t="s">
        <v>58</v>
      </c>
      <c r="E7" s="3" t="s">
        <v>84</v>
      </c>
      <c r="F7" s="3" t="s">
        <v>49</v>
      </c>
      <c r="G7" s="3" t="s">
        <v>20</v>
      </c>
      <c r="H7" s="3" t="s">
        <v>21</v>
      </c>
      <c r="I7" s="3" t="s">
        <v>22</v>
      </c>
      <c r="J7" s="3">
        <v>59204258</v>
      </c>
      <c r="K7" s="3" t="s">
        <v>87</v>
      </c>
      <c r="L7" s="3"/>
      <c r="M7" s="3"/>
      <c r="N7" s="3" t="s">
        <v>86</v>
      </c>
      <c r="O7" s="3" t="s">
        <v>23</v>
      </c>
      <c r="P7" s="3">
        <v>0.55000000000000004</v>
      </c>
      <c r="Q7" s="3">
        <v>0.55000000000000004</v>
      </c>
      <c r="R7" s="4" t="s">
        <v>24</v>
      </c>
      <c r="S7" s="4">
        <v>1900</v>
      </c>
      <c r="T7" s="4">
        <v>743500</v>
      </c>
      <c r="U7" s="4">
        <v>523500</v>
      </c>
      <c r="V7" s="4">
        <v>0</v>
      </c>
      <c r="W7" s="4">
        <v>0</v>
      </c>
      <c r="X7" s="4">
        <v>0</v>
      </c>
      <c r="Y7" s="4">
        <v>2100</v>
      </c>
      <c r="Z7" s="4">
        <v>5100</v>
      </c>
      <c r="AA7" s="4">
        <v>0</v>
      </c>
      <c r="AB7" s="4">
        <v>0</v>
      </c>
      <c r="AC7" s="4">
        <v>212800</v>
      </c>
      <c r="AD7" s="4">
        <v>744430</v>
      </c>
      <c r="AE7" s="4">
        <v>523500</v>
      </c>
      <c r="AF7" s="4">
        <v>0</v>
      </c>
      <c r="AG7" s="4">
        <v>0</v>
      </c>
      <c r="AH7" s="4">
        <v>0</v>
      </c>
      <c r="AI7" s="4">
        <v>2520</v>
      </c>
      <c r="AJ7" s="4">
        <v>5610</v>
      </c>
      <c r="AK7" s="4">
        <v>0</v>
      </c>
      <c r="AL7" s="4">
        <v>0</v>
      </c>
      <c r="AM7" s="4">
        <v>212800</v>
      </c>
      <c r="AN7" s="4">
        <v>409437</v>
      </c>
      <c r="AO7" s="4">
        <v>0</v>
      </c>
      <c r="AP7" s="4">
        <v>409437</v>
      </c>
    </row>
    <row r="8" spans="1:42" x14ac:dyDescent="0.4">
      <c r="A8" s="3" t="s">
        <v>48</v>
      </c>
      <c r="B8" s="3" t="s">
        <v>56</v>
      </c>
      <c r="C8" s="3" t="s">
        <v>57</v>
      </c>
      <c r="D8" s="3" t="s">
        <v>58</v>
      </c>
      <c r="E8" s="3" t="s">
        <v>84</v>
      </c>
      <c r="F8" s="3" t="s">
        <v>49</v>
      </c>
      <c r="G8" s="3" t="s">
        <v>20</v>
      </c>
      <c r="H8" s="3" t="s">
        <v>21</v>
      </c>
      <c r="I8" s="3" t="s">
        <v>22</v>
      </c>
      <c r="J8" s="3">
        <v>59204258</v>
      </c>
      <c r="K8" s="3" t="s">
        <v>87</v>
      </c>
      <c r="L8" s="3"/>
      <c r="M8" s="3"/>
      <c r="N8" s="3" t="s">
        <v>86</v>
      </c>
      <c r="O8" s="3" t="s">
        <v>23</v>
      </c>
      <c r="P8" s="3">
        <v>0.55000000000000004</v>
      </c>
      <c r="Q8" s="3">
        <v>0.55000000000000004</v>
      </c>
      <c r="R8" s="4" t="s">
        <v>24</v>
      </c>
      <c r="S8" s="4">
        <v>3700</v>
      </c>
      <c r="T8" s="4">
        <v>318100</v>
      </c>
      <c r="U8" s="4">
        <v>254980</v>
      </c>
      <c r="V8" s="4">
        <v>0</v>
      </c>
      <c r="W8" s="4">
        <v>0</v>
      </c>
      <c r="X8" s="4">
        <v>0</v>
      </c>
      <c r="Y8" s="4">
        <v>0</v>
      </c>
      <c r="Z8" s="4">
        <v>7860</v>
      </c>
      <c r="AA8" s="4">
        <v>0</v>
      </c>
      <c r="AB8" s="4">
        <v>0</v>
      </c>
      <c r="AC8" s="4">
        <v>55260</v>
      </c>
      <c r="AD8" s="4">
        <v>318886</v>
      </c>
      <c r="AE8" s="4">
        <v>254980</v>
      </c>
      <c r="AF8" s="4">
        <v>0</v>
      </c>
      <c r="AG8" s="4">
        <v>0</v>
      </c>
      <c r="AH8" s="4">
        <v>0</v>
      </c>
      <c r="AI8" s="4">
        <v>0</v>
      </c>
      <c r="AJ8" s="4">
        <v>8646</v>
      </c>
      <c r="AK8" s="4">
        <v>0</v>
      </c>
      <c r="AL8" s="4">
        <v>0</v>
      </c>
      <c r="AM8" s="4">
        <v>55260</v>
      </c>
      <c r="AN8" s="4">
        <v>175387</v>
      </c>
      <c r="AO8" s="4">
        <v>0</v>
      </c>
      <c r="AP8" s="4">
        <v>175387</v>
      </c>
    </row>
    <row r="9" spans="1:42" x14ac:dyDescent="0.4">
      <c r="A9" s="3" t="s">
        <v>48</v>
      </c>
      <c r="B9" s="3" t="s">
        <v>56</v>
      </c>
      <c r="C9" s="3" t="s">
        <v>57</v>
      </c>
      <c r="D9" s="3" t="s">
        <v>58</v>
      </c>
      <c r="E9" s="3" t="s">
        <v>84</v>
      </c>
      <c r="F9" s="3" t="s">
        <v>49</v>
      </c>
      <c r="G9" s="3" t="s">
        <v>20</v>
      </c>
      <c r="H9" s="3" t="s">
        <v>21</v>
      </c>
      <c r="I9" s="3" t="s">
        <v>22</v>
      </c>
      <c r="J9" s="3">
        <v>59204258</v>
      </c>
      <c r="K9" s="3" t="s">
        <v>87</v>
      </c>
      <c r="L9" s="3"/>
      <c r="M9" s="3"/>
      <c r="N9" s="3" t="s">
        <v>86</v>
      </c>
      <c r="O9" s="3" t="s">
        <v>23</v>
      </c>
      <c r="P9" s="3">
        <v>0.55000000000000004</v>
      </c>
      <c r="Q9" s="3">
        <v>0.55000000000000004</v>
      </c>
      <c r="R9" s="4" t="s">
        <v>24</v>
      </c>
      <c r="S9" s="4">
        <v>7200</v>
      </c>
      <c r="T9" s="4">
        <v>325400</v>
      </c>
      <c r="U9" s="4">
        <v>272900</v>
      </c>
      <c r="V9" s="4">
        <v>0</v>
      </c>
      <c r="W9" s="4">
        <v>0</v>
      </c>
      <c r="X9" s="4">
        <v>0</v>
      </c>
      <c r="Y9" s="4">
        <v>0</v>
      </c>
      <c r="Z9" s="4">
        <v>26800</v>
      </c>
      <c r="AA9" s="4">
        <v>0</v>
      </c>
      <c r="AB9" s="4">
        <v>0</v>
      </c>
      <c r="AC9" s="4">
        <v>25700</v>
      </c>
      <c r="AD9" s="4">
        <v>328080</v>
      </c>
      <c r="AE9" s="4">
        <v>272900</v>
      </c>
      <c r="AF9" s="4">
        <v>0</v>
      </c>
      <c r="AG9" s="4">
        <v>0</v>
      </c>
      <c r="AH9" s="4">
        <v>0</v>
      </c>
      <c r="AI9" s="4">
        <v>0</v>
      </c>
      <c r="AJ9" s="4">
        <v>29480</v>
      </c>
      <c r="AK9" s="4">
        <v>0</v>
      </c>
      <c r="AL9" s="4">
        <v>0</v>
      </c>
      <c r="AM9" s="4">
        <v>25700</v>
      </c>
      <c r="AN9" s="4">
        <v>180444</v>
      </c>
      <c r="AO9" s="4">
        <v>0</v>
      </c>
      <c r="AP9" s="4">
        <v>180444</v>
      </c>
    </row>
    <row r="10" spans="1:42" x14ac:dyDescent="0.4">
      <c r="AP10" s="5">
        <f>SUM(AP2:AP9)</f>
        <v>1625952</v>
      </c>
    </row>
    <row r="12" spans="1:42" x14ac:dyDescent="0.4">
      <c r="A12" s="6" t="s">
        <v>113</v>
      </c>
    </row>
    <row r="13" spans="1:42" x14ac:dyDescent="0.4">
      <c r="A13" s="9" t="s">
        <v>91</v>
      </c>
      <c r="B13" s="9" t="s">
        <v>114</v>
      </c>
      <c r="C13" s="9" t="s">
        <v>115</v>
      </c>
      <c r="D13" s="9" t="s">
        <v>116</v>
      </c>
    </row>
    <row r="14" spans="1:42" x14ac:dyDescent="0.4">
      <c r="A14" s="10">
        <v>202204</v>
      </c>
      <c r="B14" s="11">
        <v>10000000</v>
      </c>
      <c r="C14" s="26">
        <v>7634038</v>
      </c>
      <c r="D14" s="12">
        <f>B14-C14</f>
        <v>2365962</v>
      </c>
    </row>
    <row r="15" spans="1:42" x14ac:dyDescent="0.4">
      <c r="A15" s="10">
        <v>202205</v>
      </c>
      <c r="B15" s="11">
        <v>10000000</v>
      </c>
      <c r="C15" s="20">
        <f>AP10</f>
        <v>1625952</v>
      </c>
      <c r="D15" s="12">
        <f>B15-C15</f>
        <v>8374048</v>
      </c>
    </row>
    <row r="16" spans="1:42" x14ac:dyDescent="0.4">
      <c r="A16" s="10"/>
      <c r="B16" s="13"/>
      <c r="C16" s="11"/>
      <c r="D16" s="12"/>
    </row>
    <row r="17" spans="1:4" x14ac:dyDescent="0.4">
      <c r="A17" s="22"/>
      <c r="B17" s="13"/>
      <c r="C17" s="11"/>
      <c r="D17" s="12"/>
    </row>
    <row r="18" spans="1:4" x14ac:dyDescent="0.4">
      <c r="A18" s="18" t="s">
        <v>101</v>
      </c>
      <c r="B18" s="19">
        <f>SUM(B13:B17)</f>
        <v>20000000</v>
      </c>
      <c r="C18" s="19">
        <f>SUM(C13:C17)</f>
        <v>9259990</v>
      </c>
      <c r="D18" s="19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P18"/>
  <sheetViews>
    <sheetView workbookViewId="0">
      <selection activeCell="E15" sqref="E15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2" bestFit="1" customWidth="1"/>
    <col min="4" max="4" width="10.699218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15.6992187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3" t="s">
        <v>48</v>
      </c>
      <c r="B2" s="3" t="s">
        <v>56</v>
      </c>
      <c r="C2" s="3" t="s">
        <v>57</v>
      </c>
      <c r="D2" s="3" t="s">
        <v>58</v>
      </c>
      <c r="E2" s="3" t="s">
        <v>69</v>
      </c>
      <c r="F2" s="3" t="s">
        <v>49</v>
      </c>
      <c r="G2" s="3" t="s">
        <v>20</v>
      </c>
      <c r="H2" s="3" t="s">
        <v>21</v>
      </c>
      <c r="I2" s="3" t="s">
        <v>22</v>
      </c>
      <c r="J2" s="3">
        <v>58140713</v>
      </c>
      <c r="K2" s="3" t="s">
        <v>70</v>
      </c>
      <c r="L2" s="3"/>
      <c r="M2" s="3"/>
      <c r="N2" s="3" t="s">
        <v>71</v>
      </c>
      <c r="O2" s="3" t="s">
        <v>23</v>
      </c>
      <c r="P2" s="3">
        <v>0.55000000000000004</v>
      </c>
      <c r="Q2" s="3">
        <v>0.55000000000000004</v>
      </c>
      <c r="R2" s="4" t="s">
        <v>25</v>
      </c>
      <c r="S2" s="4">
        <v>100</v>
      </c>
      <c r="T2" s="4">
        <v>623100</v>
      </c>
      <c r="U2" s="4">
        <v>368540</v>
      </c>
      <c r="V2" s="4">
        <v>0</v>
      </c>
      <c r="W2" s="4">
        <v>0</v>
      </c>
      <c r="X2" s="4">
        <v>0</v>
      </c>
      <c r="Y2" s="4">
        <v>8400</v>
      </c>
      <c r="Z2" s="4">
        <v>21800</v>
      </c>
      <c r="AA2" s="4">
        <v>0</v>
      </c>
      <c r="AB2" s="4">
        <v>0</v>
      </c>
      <c r="AC2" s="4">
        <v>224360</v>
      </c>
      <c r="AD2" s="4">
        <v>626960</v>
      </c>
      <c r="AE2" s="4">
        <v>368540</v>
      </c>
      <c r="AF2" s="4">
        <v>0</v>
      </c>
      <c r="AG2" s="4">
        <v>0</v>
      </c>
      <c r="AH2" s="4">
        <v>0</v>
      </c>
      <c r="AI2" s="4">
        <v>10080</v>
      </c>
      <c r="AJ2" s="4">
        <v>23980</v>
      </c>
      <c r="AK2" s="4">
        <v>0</v>
      </c>
      <c r="AL2" s="4">
        <v>0</v>
      </c>
      <c r="AM2" s="4">
        <v>224360</v>
      </c>
      <c r="AN2" s="4">
        <v>344828</v>
      </c>
      <c r="AO2" s="4">
        <v>0</v>
      </c>
      <c r="AP2" s="4">
        <v>344828</v>
      </c>
    </row>
    <row r="3" spans="1:42" x14ac:dyDescent="0.4">
      <c r="A3" s="3" t="s">
        <v>48</v>
      </c>
      <c r="B3" s="3" t="s">
        <v>56</v>
      </c>
      <c r="C3" s="3" t="s">
        <v>57</v>
      </c>
      <c r="D3" s="3" t="s">
        <v>58</v>
      </c>
      <c r="E3" s="3" t="s">
        <v>69</v>
      </c>
      <c r="F3" s="3" t="s">
        <v>49</v>
      </c>
      <c r="G3" s="3" t="s">
        <v>20</v>
      </c>
      <c r="H3" s="3" t="s">
        <v>21</v>
      </c>
      <c r="I3" s="3" t="s">
        <v>22</v>
      </c>
      <c r="J3" s="3">
        <v>58140713</v>
      </c>
      <c r="K3" s="3" t="s">
        <v>70</v>
      </c>
      <c r="L3" s="3"/>
      <c r="M3" s="3"/>
      <c r="N3" s="3" t="s">
        <v>71</v>
      </c>
      <c r="O3" s="3" t="s">
        <v>23</v>
      </c>
      <c r="P3" s="3">
        <v>0.55000000000000004</v>
      </c>
      <c r="Q3" s="3">
        <v>0.55000000000000004</v>
      </c>
      <c r="R3" s="4" t="s">
        <v>24</v>
      </c>
      <c r="S3" s="4">
        <v>1900</v>
      </c>
      <c r="T3" s="4">
        <v>440200</v>
      </c>
      <c r="U3" s="4">
        <v>327820</v>
      </c>
      <c r="V3" s="4">
        <v>0</v>
      </c>
      <c r="W3" s="4">
        <v>0</v>
      </c>
      <c r="X3" s="4">
        <v>0</v>
      </c>
      <c r="Y3" s="4">
        <v>1900</v>
      </c>
      <c r="Z3" s="4">
        <v>41100</v>
      </c>
      <c r="AA3" s="4">
        <v>0</v>
      </c>
      <c r="AB3" s="4">
        <v>0</v>
      </c>
      <c r="AC3" s="4">
        <v>69380</v>
      </c>
      <c r="AD3" s="4">
        <v>444690</v>
      </c>
      <c r="AE3" s="4">
        <v>327820</v>
      </c>
      <c r="AF3" s="4">
        <v>0</v>
      </c>
      <c r="AG3" s="4">
        <v>0</v>
      </c>
      <c r="AH3" s="4">
        <v>0</v>
      </c>
      <c r="AI3" s="4">
        <v>2280</v>
      </c>
      <c r="AJ3" s="4">
        <v>45210</v>
      </c>
      <c r="AK3" s="4">
        <v>0</v>
      </c>
      <c r="AL3" s="4">
        <v>0</v>
      </c>
      <c r="AM3" s="4">
        <v>69380</v>
      </c>
      <c r="AN3" s="4">
        <v>244580</v>
      </c>
      <c r="AO3" s="4">
        <v>0</v>
      </c>
      <c r="AP3" s="4">
        <v>244580</v>
      </c>
    </row>
    <row r="4" spans="1:42" x14ac:dyDescent="0.4">
      <c r="A4" s="3" t="s">
        <v>48</v>
      </c>
      <c r="B4" s="3" t="s">
        <v>56</v>
      </c>
      <c r="C4" s="3" t="s">
        <v>57</v>
      </c>
      <c r="D4" s="3" t="s">
        <v>58</v>
      </c>
      <c r="E4" s="3" t="s">
        <v>69</v>
      </c>
      <c r="F4" s="3" t="s">
        <v>49</v>
      </c>
      <c r="G4" s="3" t="s">
        <v>20</v>
      </c>
      <c r="H4" s="3" t="s">
        <v>21</v>
      </c>
      <c r="I4" s="3" t="s">
        <v>22</v>
      </c>
      <c r="J4" s="3">
        <v>58140713</v>
      </c>
      <c r="K4" s="3" t="s">
        <v>70</v>
      </c>
      <c r="L4" s="3"/>
      <c r="M4" s="3"/>
      <c r="N4" s="3" t="s">
        <v>71</v>
      </c>
      <c r="O4" s="3" t="s">
        <v>23</v>
      </c>
      <c r="P4" s="3">
        <v>0.55000000000000004</v>
      </c>
      <c r="Q4" s="3">
        <v>0.55000000000000004</v>
      </c>
      <c r="R4" s="4" t="s">
        <v>24</v>
      </c>
      <c r="S4" s="4">
        <v>4600</v>
      </c>
      <c r="T4" s="4">
        <v>175200</v>
      </c>
      <c r="U4" s="4">
        <v>149200</v>
      </c>
      <c r="V4" s="4">
        <v>0</v>
      </c>
      <c r="W4" s="4">
        <v>0</v>
      </c>
      <c r="X4" s="4">
        <v>0</v>
      </c>
      <c r="Y4" s="4">
        <v>0</v>
      </c>
      <c r="Z4" s="4">
        <v>18400</v>
      </c>
      <c r="AA4" s="4">
        <v>0</v>
      </c>
      <c r="AB4" s="4">
        <v>0</v>
      </c>
      <c r="AC4" s="4">
        <v>7600</v>
      </c>
      <c r="AD4" s="4">
        <v>177040</v>
      </c>
      <c r="AE4" s="4">
        <v>149200</v>
      </c>
      <c r="AF4" s="4">
        <v>0</v>
      </c>
      <c r="AG4" s="4">
        <v>0</v>
      </c>
      <c r="AH4" s="4">
        <v>0</v>
      </c>
      <c r="AI4" s="4">
        <v>0</v>
      </c>
      <c r="AJ4" s="4">
        <v>20240</v>
      </c>
      <c r="AK4" s="4">
        <v>0</v>
      </c>
      <c r="AL4" s="4">
        <v>0</v>
      </c>
      <c r="AM4" s="4">
        <v>7600</v>
      </c>
      <c r="AN4" s="4">
        <v>97372</v>
      </c>
      <c r="AO4" s="4">
        <v>0</v>
      </c>
      <c r="AP4" s="4">
        <v>97372</v>
      </c>
    </row>
    <row r="5" spans="1:42" x14ac:dyDescent="0.4">
      <c r="A5" s="3" t="s">
        <v>48</v>
      </c>
      <c r="B5" s="3" t="s">
        <v>56</v>
      </c>
      <c r="C5" s="3" t="s">
        <v>57</v>
      </c>
      <c r="D5" s="3" t="s">
        <v>58</v>
      </c>
      <c r="E5" s="3" t="s">
        <v>69</v>
      </c>
      <c r="F5" s="3" t="s">
        <v>49</v>
      </c>
      <c r="G5" s="3" t="s">
        <v>20</v>
      </c>
      <c r="H5" s="3" t="s">
        <v>21</v>
      </c>
      <c r="I5" s="3" t="s">
        <v>22</v>
      </c>
      <c r="J5" s="3">
        <v>58140713</v>
      </c>
      <c r="K5" s="3" t="s">
        <v>70</v>
      </c>
      <c r="L5" s="3"/>
      <c r="M5" s="3"/>
      <c r="N5" s="3" t="s">
        <v>71</v>
      </c>
      <c r="O5" s="3" t="s">
        <v>23</v>
      </c>
      <c r="P5" s="3">
        <v>0.55000000000000004</v>
      </c>
      <c r="Q5" s="3">
        <v>0.55000000000000004</v>
      </c>
      <c r="R5" s="4" t="s">
        <v>24</v>
      </c>
      <c r="S5" s="4">
        <v>7200</v>
      </c>
      <c r="T5" s="4">
        <v>224700</v>
      </c>
      <c r="U5" s="4">
        <v>203980</v>
      </c>
      <c r="V5" s="4">
        <v>0</v>
      </c>
      <c r="W5" s="4">
        <v>0</v>
      </c>
      <c r="X5" s="4">
        <v>0</v>
      </c>
      <c r="Y5" s="4">
        <v>0</v>
      </c>
      <c r="Z5" s="4">
        <v>14400</v>
      </c>
      <c r="AA5" s="4">
        <v>0</v>
      </c>
      <c r="AB5" s="4">
        <v>0</v>
      </c>
      <c r="AC5" s="4">
        <v>6320</v>
      </c>
      <c r="AD5" s="4">
        <v>226140</v>
      </c>
      <c r="AE5" s="4">
        <v>203980</v>
      </c>
      <c r="AF5" s="4">
        <v>0</v>
      </c>
      <c r="AG5" s="4">
        <v>0</v>
      </c>
      <c r="AH5" s="4">
        <v>0</v>
      </c>
      <c r="AI5" s="4">
        <v>0</v>
      </c>
      <c r="AJ5" s="4">
        <v>15840</v>
      </c>
      <c r="AK5" s="4">
        <v>0</v>
      </c>
      <c r="AL5" s="4">
        <v>0</v>
      </c>
      <c r="AM5" s="4">
        <v>6320</v>
      </c>
      <c r="AN5" s="4">
        <v>124377</v>
      </c>
      <c r="AO5" s="4">
        <v>0</v>
      </c>
      <c r="AP5" s="4">
        <v>124377</v>
      </c>
    </row>
    <row r="6" spans="1:42" x14ac:dyDescent="0.4">
      <c r="AP6" s="5">
        <f>SUM(AP2:AP5)</f>
        <v>811157</v>
      </c>
    </row>
    <row r="8" spans="1:42" x14ac:dyDescent="0.4">
      <c r="A8" s="6" t="s">
        <v>90</v>
      </c>
      <c r="B8" s="7"/>
      <c r="C8" s="7"/>
      <c r="D8" s="8"/>
    </row>
    <row r="9" spans="1:42" x14ac:dyDescent="0.4">
      <c r="A9" s="9" t="s">
        <v>117</v>
      </c>
      <c r="B9" s="9" t="s">
        <v>94</v>
      </c>
      <c r="C9" s="9" t="s">
        <v>93</v>
      </c>
      <c r="D9" s="9" t="s">
        <v>92</v>
      </c>
    </row>
    <row r="10" spans="1:42" x14ac:dyDescent="0.4">
      <c r="A10" s="10">
        <v>202110</v>
      </c>
      <c r="B10" s="11">
        <v>10000000</v>
      </c>
      <c r="C10" s="11">
        <v>7140751</v>
      </c>
      <c r="D10" s="12">
        <f>B10-C10</f>
        <v>2859249</v>
      </c>
    </row>
    <row r="11" spans="1:42" x14ac:dyDescent="0.4">
      <c r="A11" s="10">
        <v>202111</v>
      </c>
      <c r="B11" s="11">
        <v>10000000</v>
      </c>
      <c r="C11" s="11">
        <v>3430957</v>
      </c>
      <c r="D11" s="12">
        <f>D10+B11-C11</f>
        <v>9428292</v>
      </c>
    </row>
    <row r="12" spans="1:42" x14ac:dyDescent="0.4">
      <c r="A12" s="10">
        <v>202112</v>
      </c>
      <c r="B12" s="11"/>
      <c r="C12" s="11">
        <v>816063</v>
      </c>
      <c r="D12" s="12">
        <f>D11+B12-C12</f>
        <v>8612229</v>
      </c>
    </row>
    <row r="13" spans="1:42" x14ac:dyDescent="0.4">
      <c r="A13" s="10">
        <v>202201</v>
      </c>
      <c r="B13" s="11"/>
      <c r="C13" s="11">
        <v>877784</v>
      </c>
      <c r="D13" s="12">
        <f>D12-C13</f>
        <v>7734445</v>
      </c>
    </row>
    <row r="14" spans="1:42" x14ac:dyDescent="0.4">
      <c r="A14" s="10">
        <v>202202</v>
      </c>
      <c r="B14" s="11"/>
      <c r="C14" s="20">
        <v>320090</v>
      </c>
      <c r="D14" s="12">
        <f>D13-C14</f>
        <v>7414355</v>
      </c>
    </row>
    <row r="15" spans="1:42" x14ac:dyDescent="0.4">
      <c r="A15" s="10">
        <v>202203</v>
      </c>
      <c r="B15" s="13"/>
      <c r="C15" s="21">
        <v>186577</v>
      </c>
      <c r="D15" s="12">
        <f>D14-C15</f>
        <v>7227778</v>
      </c>
    </row>
    <row r="16" spans="1:42" x14ac:dyDescent="0.4">
      <c r="A16" s="10">
        <v>202204</v>
      </c>
      <c r="B16" s="13"/>
      <c r="C16" s="27">
        <v>75307</v>
      </c>
      <c r="D16" s="12">
        <f>D15-C16</f>
        <v>7152471</v>
      </c>
    </row>
    <row r="17" spans="1:4" x14ac:dyDescent="0.4">
      <c r="A17" s="25">
        <v>202205</v>
      </c>
      <c r="B17" s="13"/>
      <c r="C17" s="27">
        <f>AP6</f>
        <v>811157</v>
      </c>
      <c r="D17" s="12">
        <f>D16-C17</f>
        <v>6341314</v>
      </c>
    </row>
    <row r="18" spans="1:4" x14ac:dyDescent="0.4">
      <c r="A18" s="18" t="s">
        <v>101</v>
      </c>
      <c r="B18" s="19">
        <f>SUM(B10:B17)</f>
        <v>20000000</v>
      </c>
      <c r="C18" s="19">
        <f>SUM(C10:C17)</f>
        <v>13658686</v>
      </c>
      <c r="D18" s="19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8</vt:i4>
      </vt:variant>
      <vt:variant>
        <vt:lpstr>이름이 지정된 범위</vt:lpstr>
      </vt:variant>
      <vt:variant>
        <vt:i4>7</vt:i4>
      </vt:variant>
    </vt:vector>
  </HeadingPairs>
  <TitlesOfParts>
    <vt:vector size="15" baseType="lpstr">
      <vt:lpstr>특별계약(5)</vt:lpstr>
      <vt:lpstr>김광수</vt:lpstr>
      <vt:lpstr>김정연</vt:lpstr>
      <vt:lpstr>김운담</vt:lpstr>
      <vt:lpstr>틴타</vt:lpstr>
      <vt:lpstr>프레인</vt:lpstr>
      <vt:lpstr>아이리스</vt:lpstr>
      <vt:lpstr>몸서리</vt:lpstr>
      <vt:lpstr>김광수!Extract</vt:lpstr>
      <vt:lpstr>김운담!Extract</vt:lpstr>
      <vt:lpstr>김정연!Extract</vt:lpstr>
      <vt:lpstr>몸서리!Extract</vt:lpstr>
      <vt:lpstr>아이리스!Extract</vt:lpstr>
      <vt:lpstr>틴타!Extract</vt:lpstr>
      <vt:lpstr>프레인!Extract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storywiz</cp:lastModifiedBy>
  <dcterms:created xsi:type="dcterms:W3CDTF">2019-06-05T05:07:12Z</dcterms:created>
  <dcterms:modified xsi:type="dcterms:W3CDTF">2022-06-09T07:19:38Z</dcterms:modified>
</cp:coreProperties>
</file>