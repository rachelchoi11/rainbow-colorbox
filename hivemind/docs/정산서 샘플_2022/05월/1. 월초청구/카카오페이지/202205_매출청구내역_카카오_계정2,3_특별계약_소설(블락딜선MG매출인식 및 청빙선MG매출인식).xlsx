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27132" yWindow="0" windowWidth="23040" windowHeight="10812" tabRatio="916"/>
  </bookViews>
  <sheets>
    <sheet name="특별계약(5)" sheetId="193" r:id="rId1"/>
    <sheet name="청빙" sheetId="202" r:id="rId2"/>
    <sheet name="돈문어" sheetId="194" r:id="rId3"/>
    <sheet name="서강후" sheetId="195" r:id="rId4"/>
    <sheet name="빡선생" sheetId="196" r:id="rId5"/>
    <sheet name="무장" sheetId="197" r:id="rId6"/>
    <sheet name="왕십리글쟁이" sheetId="198" r:id="rId7"/>
    <sheet name="글면증" sheetId="199" r:id="rId8"/>
    <sheet name="리세마라" sheetId="200" r:id="rId9"/>
    <sheet name="폴딩" sheetId="201" r:id="rId10"/>
    <sheet name="공든탑" sheetId="203" r:id="rId11"/>
    <sheet name="이린비" sheetId="204" r:id="rId12"/>
    <sheet name="이동열" sheetId="205" r:id="rId13"/>
    <sheet name="불고기자리" sheetId="206" r:id="rId14"/>
    <sheet name="진문" sheetId="207" r:id="rId15"/>
    <sheet name="구유" sheetId="208" r:id="rId16"/>
    <sheet name="찬동" sheetId="209" r:id="rId17"/>
    <sheet name="루이세" sheetId="210" r:id="rId18"/>
    <sheet name="이준영" sheetId="211" r:id="rId19"/>
    <sheet name="하이후" sheetId="212" r:id="rId20"/>
    <sheet name="예로나" sheetId="213" r:id="rId21"/>
    <sheet name="벗우" sheetId="214" r:id="rId22"/>
    <sheet name="갓띵작" sheetId="215" r:id="rId23"/>
    <sheet name="이한애비" sheetId="216" r:id="rId24"/>
    <sheet name="만렙도끼" sheetId="217" r:id="rId25"/>
    <sheet name="mollen" sheetId="218" r:id="rId26"/>
    <sheet name="이도스" sheetId="219" r:id="rId27"/>
    <sheet name="구땡" sheetId="220" r:id="rId28"/>
    <sheet name="깡펀치" sheetId="221" r:id="rId29"/>
    <sheet name="알랙스" sheetId="222" r:id="rId30"/>
    <sheet name="모험왕선우" sheetId="223" r:id="rId31"/>
    <sheet name="도얀" sheetId="224" r:id="rId32"/>
    <sheet name="덕킹" sheetId="225" r:id="rId33"/>
    <sheet name="단팥크림빵7" sheetId="226" r:id="rId34"/>
    <sheet name="담화공" sheetId="227" r:id="rId35"/>
  </sheets>
  <definedNames>
    <definedName name="_xlnm._FilterDatabase" localSheetId="0" hidden="1">'특별계약(5)'!$A$1:$AQ$276</definedName>
    <definedName name="_xlnm.Extract" localSheetId="25">mollen!$A$1:$AQ$1</definedName>
    <definedName name="_xlnm.Extract" localSheetId="22">갓띵작!$A$1:$AQ$1</definedName>
    <definedName name="_xlnm.Extract" localSheetId="10">공든탑!$A$1:$AQ$1</definedName>
    <definedName name="_xlnm.Extract" localSheetId="27">구땡!$A$1:$AQ$1</definedName>
    <definedName name="_xlnm.Extract" localSheetId="15">구유!$A$1:$AQ$1</definedName>
    <definedName name="_xlnm.Extract" localSheetId="7">글면증!$A$1:$AQ$1</definedName>
    <definedName name="_xlnm.Extract" localSheetId="28">깡펀치!$A$1:$AQ$1</definedName>
    <definedName name="_xlnm.Extract" localSheetId="33">단팥크림빵7!$A$1:$AQ$1</definedName>
    <definedName name="_xlnm.Extract" localSheetId="34">담화공!$A$1:$AQ$1</definedName>
    <definedName name="_xlnm.Extract" localSheetId="32">덕킹!$A$1:$AQ$1</definedName>
    <definedName name="_xlnm.Extract" localSheetId="31">도얀!$A$1:$AQ$1</definedName>
    <definedName name="_xlnm.Extract" localSheetId="2">돈문어!$A$1:$AQ$1</definedName>
    <definedName name="_xlnm.Extract" localSheetId="17">루이세!$A$1:$AQ$1</definedName>
    <definedName name="_xlnm.Extract" localSheetId="8">리세마라!$A$1:$AQ$1</definedName>
    <definedName name="_xlnm.Extract" localSheetId="24">만렙도끼!$A$1:$AQ$1</definedName>
    <definedName name="_xlnm.Extract" localSheetId="30">모험왕선우!$A$1:$AQ$1</definedName>
    <definedName name="_xlnm.Extract" localSheetId="5">무장!$A$1:$AQ$1</definedName>
    <definedName name="_xlnm.Extract" localSheetId="21">벗우!$A$1:$AQ$1</definedName>
    <definedName name="_xlnm.Extract" localSheetId="13">불고기자리!$A$1:$AQ$1</definedName>
    <definedName name="_xlnm.Extract" localSheetId="4">빡선생!$A$1:$AQ$1</definedName>
    <definedName name="_xlnm.Extract" localSheetId="3">서강후!$A$1:$AQ$1</definedName>
    <definedName name="_xlnm.Extract" localSheetId="29">알랙스!$A$1:$AQ$1</definedName>
    <definedName name="_xlnm.Extract" localSheetId="20">예로나!$A$1:$AQ$1</definedName>
    <definedName name="_xlnm.Extract" localSheetId="6">왕십리글쟁이!$A$1:$AQ$1</definedName>
    <definedName name="_xlnm.Extract" localSheetId="26">이도스!$A$1:$AQ$1</definedName>
    <definedName name="_xlnm.Extract" localSheetId="12">이동열!$A$1:$AQ$1</definedName>
    <definedName name="_xlnm.Extract" localSheetId="11">이린비!$A$1:$AQ$1</definedName>
    <definedName name="_xlnm.Extract" localSheetId="18">이준영!$A$1:$AQ$1</definedName>
    <definedName name="_xlnm.Extract" localSheetId="23">이한애비!$A$1:$AQ$1</definedName>
    <definedName name="_xlnm.Extract" localSheetId="14">진문!$A$1:$AQ$1</definedName>
    <definedName name="_xlnm.Extract" localSheetId="16">찬동!$A$1:$AQ$1</definedName>
    <definedName name="_xlnm.Extract" localSheetId="1">청빙!$A$1:$AQ$1</definedName>
    <definedName name="_xlnm.Extract" localSheetId="0">'특별계약(5)'!#REF!</definedName>
    <definedName name="_xlnm.Extract" localSheetId="9">폴딩!$A$1:$AQ$1</definedName>
    <definedName name="_xlnm.Extract" localSheetId="19">하이후!$A$1:$AQ$1</definedName>
  </definedNames>
  <calcPr calcId="152511"/>
</workbook>
</file>

<file path=xl/calcChain.xml><?xml version="1.0" encoding="utf-8"?>
<calcChain xmlns="http://schemas.openxmlformats.org/spreadsheetml/2006/main">
  <c r="C275" i="193" l="1"/>
  <c r="D275" i="193"/>
  <c r="AP205" i="193"/>
  <c r="AP204" i="193"/>
  <c r="AP16" i="202"/>
  <c r="AQ198" i="193" l="1"/>
  <c r="AQ202" i="193"/>
  <c r="AP203" i="193"/>
  <c r="B276" i="193" l="1"/>
  <c r="D256" i="193"/>
  <c r="D257" i="193" s="1"/>
  <c r="D258" i="193" s="1"/>
  <c r="D259" i="193" s="1"/>
  <c r="D260" i="193" s="1"/>
  <c r="D261" i="193" s="1"/>
  <c r="D262" i="193" s="1"/>
  <c r="D263" i="193" s="1"/>
  <c r="D264" i="193" s="1"/>
  <c r="D265" i="193" s="1"/>
  <c r="D266" i="193" s="1"/>
  <c r="D267" i="193" s="1"/>
  <c r="D268" i="193" s="1"/>
  <c r="D269" i="193" s="1"/>
  <c r="D270" i="193" s="1"/>
  <c r="D271" i="193" s="1"/>
  <c r="D272" i="193" l="1"/>
  <c r="C276" i="193" l="1"/>
  <c r="D273" i="193" l="1"/>
  <c r="D274" i="193" s="1"/>
</calcChain>
</file>

<file path=xl/sharedStrings.xml><?xml version="1.0" encoding="utf-8"?>
<sst xmlns="http://schemas.openxmlformats.org/spreadsheetml/2006/main" count="6704" uniqueCount="171">
  <si>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</si>
  <si>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</si>
  <si>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</si>
  <si>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</si>
  <si>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</si>
  <si>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</si>
  <si>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</si>
  <si>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</si>
  <si>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</si>
  <si>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</si>
  <si>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</si>
  <si>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</si>
  <si>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</si>
  <si>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</si>
  <si>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</si>
  <si>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</si>
  <si>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</si>
  <si>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</si>
  <si>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</si>
  <si>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</si>
  <si>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</si>
  <si>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</si>
  <si>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</si>
  <si>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</si>
  <si>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</si>
  <si>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</si>
  <si>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</si>
  <si>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</si>
  <si>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</si>
  <si>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</si>
  <si>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</si>
  <si>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</si>
  <si>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</si>
  <si>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</si>
  <si>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</si>
  <si>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</si>
  <si>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</si>
  <si>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</si>
  <si>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</si>
  <si>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</si>
  <si>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</si>
  <si>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</si>
  <si>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</si>
  <si>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</si>
  <si>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</si>
  <si>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</si>
  <si>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</si>
  <si>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</si>
  <si>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</si>
  <si>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</si>
  <si>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라스트 서바이버 : 진화로 살아남아라!</t>
  </si>
  <si>
    <t>청빙</t>
  </si>
  <si>
    <t>예로나</t>
  </si>
  <si>
    <t>게임 속 유닛</t>
  </si>
  <si>
    <t>찬동</t>
  </si>
  <si>
    <t>성군이십니다</t>
  </si>
  <si>
    <t>이준영</t>
  </si>
  <si>
    <t>나 혼자만 일일 보상</t>
  </si>
  <si>
    <t>이동열</t>
  </si>
  <si>
    <t>레이디 스칼렛</t>
  </si>
  <si>
    <t>불고기자리</t>
  </si>
  <si>
    <t>기사가문 망나니는 10클래스</t>
  </si>
  <si>
    <t>이과생 둘이 회귀했다</t>
  </si>
  <si>
    <t>하이후</t>
  </si>
  <si>
    <t>무장</t>
  </si>
  <si>
    <t>던전 공략 LIVE</t>
  </si>
  <si>
    <t>형사의 게임</t>
  </si>
  <si>
    <t>진문</t>
  </si>
  <si>
    <t>SSS급 마왕의 귀환</t>
  </si>
  <si>
    <t>구유</t>
  </si>
  <si>
    <t>로드 오브 머니</t>
  </si>
  <si>
    <t>라지에르의 서</t>
  </si>
  <si>
    <t>공든탑</t>
  </si>
  <si>
    <t>호접몽전</t>
  </si>
  <si>
    <t>말빨</t>
  </si>
  <si>
    <t>간신이 나라를 살림</t>
  </si>
  <si>
    <t>루이세</t>
  </si>
  <si>
    <t>여왕 아델</t>
  </si>
  <si>
    <t>이린비</t>
  </si>
  <si>
    <t>꿈은 이루어진다</t>
  </si>
  <si>
    <t>벗우</t>
  </si>
  <si>
    <t>주식회사 스토리위즈</t>
  </si>
  <si>
    <t>3828601768</t>
  </si>
  <si>
    <t>스토리위즈</t>
  </si>
  <si>
    <t>1942</t>
  </si>
  <si>
    <t>주식회사스토리위즈</t>
  </si>
  <si>
    <t>디버프 마스터</t>
  </si>
  <si>
    <t>담화공</t>
  </si>
  <si>
    <t>최종 보스 : 빛을 향해 달리는 그림자</t>
  </si>
  <si>
    <t>1941</t>
  </si>
  <si>
    <t>은천검제(2부 화산검제)</t>
  </si>
  <si>
    <t>로드 오브 머니 [단행본]</t>
  </si>
  <si>
    <t>신들의 알바나라</t>
  </si>
  <si>
    <t>갓띵작</t>
  </si>
  <si>
    <t>원코인 게이머 아포칼립스</t>
  </si>
  <si>
    <t>이한애비</t>
  </si>
  <si>
    <t>단일 대여 이용권</t>
  </si>
  <si>
    <t>SSS급 마왕의 귀환 [단행본]</t>
  </si>
  <si>
    <t>형사의 게임 [단행본]</t>
  </si>
  <si>
    <t>기사가문 망나니는 10클래스 [단행본]</t>
  </si>
  <si>
    <t>나 혼자만 일일 보상 [단행본]</t>
  </si>
  <si>
    <t>마신부활</t>
  </si>
  <si>
    <t>만렙도끼</t>
  </si>
  <si>
    <t>문답무용 - 삼국지 유비의 모사가 되었다</t>
  </si>
  <si>
    <t>ㅇ MG차감 내역</t>
    <phoneticPr fontId="1" type="noConversion"/>
  </si>
  <si>
    <t>유통년월</t>
    <phoneticPr fontId="1" type="noConversion"/>
  </si>
  <si>
    <t xml:space="preserve">KT 매출 </t>
    <phoneticPr fontId="3" type="noConversion"/>
  </si>
  <si>
    <t>MG 잔여</t>
    <phoneticPr fontId="3" type="noConversion"/>
  </si>
  <si>
    <t>여왕 아델 [단행본]</t>
  </si>
  <si>
    <t>천재 배우의 다이어리</t>
  </si>
  <si>
    <t>mollen</t>
  </si>
  <si>
    <t>라지에르의 서 [단행본]</t>
  </si>
  <si>
    <t>상태창빨로 천재 재벌</t>
  </si>
  <si>
    <t>이도스</t>
  </si>
  <si>
    <t>아빠는 마교대장</t>
  </si>
  <si>
    <t>구땡</t>
  </si>
  <si>
    <t>슈퍼스타의 비밀 어플</t>
  </si>
  <si>
    <t>왕십리글쟁이</t>
  </si>
  <si>
    <t>갓 오브 블랙필드</t>
  </si>
  <si>
    <t>그라운드의 지배자</t>
  </si>
  <si>
    <t>강호유정 [완결]</t>
  </si>
  <si>
    <t>아카데미 속 궁술천재</t>
  </si>
  <si>
    <t>깡펀치</t>
  </si>
  <si>
    <t>오늘의 운세</t>
  </si>
  <si>
    <t>도폐풍운록 [완결]</t>
  </si>
  <si>
    <t>선유문주 [완결]</t>
  </si>
  <si>
    <t>망생부터 시작하는 천재작가의 회귀</t>
  </si>
  <si>
    <t>알랙스</t>
  </si>
  <si>
    <t>마법 아카데미의 육체파 천재</t>
  </si>
  <si>
    <t>탑스타의 이중생활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</si>
  <si>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</si>
  <si>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</si>
  <si>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</si>
  <si>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</si>
  <si>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</si>
  <si>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</si>
  <si>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</si>
  <si>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</si>
  <si>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</si>
  <si>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</si>
  <si>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</si>
  <si>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</si>
  <si>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</si>
  <si>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</si>
  <si>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</si>
  <si>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</si>
  <si>
    <t>합계</t>
    <phoneticPr fontId="1" type="noConversion"/>
  </si>
  <si>
    <t>유성하소월</t>
  </si>
  <si>
    <t>유성하소월 [단행본]</t>
  </si>
  <si>
    <t>갓 오브 블랙필드 [단행본]</t>
  </si>
  <si>
    <t>그라운드의 지배자 [단행본]</t>
  </si>
  <si>
    <t>강호유정 [단행본]</t>
  </si>
  <si>
    <t>슈퍼스타의 비밀어플 [단행본]</t>
  </si>
  <si>
    <t>올마스터가 된 비전서고</t>
  </si>
  <si>
    <t>글면증</t>
  </si>
  <si>
    <t>내 안에 흑염룡이 산다!</t>
  </si>
  <si>
    <t>리세마라</t>
  </si>
  <si>
    <t>버그 걸린 드래곤</t>
  </si>
  <si>
    <t>폴딩</t>
  </si>
  <si>
    <t xml:space="preserve">선MG </t>
    <phoneticPr fontId="3" type="noConversion"/>
  </si>
  <si>
    <t>드래곤은 나 혼자 잡는다</t>
  </si>
  <si>
    <t>게임 속 유닛 [단행본]</t>
  </si>
  <si>
    <t>간신이 나라를 살림 [단행본]</t>
  </si>
  <si>
    <t>호접몽전 [단행본]</t>
  </si>
  <si>
    <t>라스트 서바이버 : 진화로 살아남아라! [단행본]</t>
  </si>
  <si>
    <t>시리즈 대여 이용권 패키지</t>
  </si>
  <si>
    <t>말빨 [단행본]</t>
  </si>
  <si>
    <t>드래곤은 나 혼자 잡는다 [단행본]</t>
  </si>
  <si>
    <t>리얼 머니 [단행본]</t>
  </si>
  <si>
    <t>청빙</t>
    <phoneticPr fontId="1" type="noConversion"/>
  </si>
  <si>
    <t>청빙제외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</si>
</sst>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color rgb="FF999999"/>
      <name val="돋움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3" applyFont="1" applyFill="1" applyBorder="1" applyAlignment="1">
      <alignment horizontal="center"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1" fontId="6" fillId="0" borderId="3" xfId="3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1" fontId="7" fillId="0" borderId="3" xfId="0" applyNumberFormat="1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8" fillId="0" borderId="0" xfId="0" applyNumberFormat="1" applyFont="1">
      <alignment vertical="center"/>
    </xf>
    <xf numFmtId="3" fontId="0" fillId="0" borderId="0" xfId="0" applyNumberFormat="1">
      <alignment vertical="center"/>
    </xf>
    <xf numFmtId="41" fontId="9" fillId="0" borderId="3" xfId="3" applyFont="1" applyFill="1" applyBorder="1">
      <alignment vertical="center"/>
    </xf>
    <xf numFmtId="41" fontId="10" fillId="0" borderId="3" xfId="3" applyFont="1" applyFill="1" applyBorder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Fill="1">
      <alignment vertical="center"/>
    </xf>
    <xf numFmtId="3" fontId="0" fillId="3" borderId="0" xfId="0" applyNumberFormat="1" applyFill="1">
      <alignment vertical="center"/>
    </xf>
    <xf numFmtId="41" fontId="0" fillId="0" borderId="0" xfId="3" applyFont="1" applyFill="1" applyBorder="1" applyAlignment="1">
      <alignment horizontal="center"/>
    </xf>
    <xf numFmtId="41" fontId="7" fillId="3" borderId="0" xfId="0" applyNumberFormat="1" applyFont="1" applyFill="1">
      <alignment vertical="center"/>
    </xf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76"/>
  <sheetViews>
    <sheetView tabSelected="1" zoomScale="56" zoomScaleNormal="56" workbookViewId="0"/>
  </sheetViews>
  <sheetFormatPr defaultRowHeight="17.399999999999999" x14ac:dyDescent="0.4"/>
  <cols>
    <col min="1" max="1" width="9.296875" style="15" bestFit="1" customWidth="1"/>
    <col min="2" max="2" width="15" style="15" bestFit="1" customWidth="1"/>
    <col min="3" max="3" width="15.69921875" style="15" customWidth="1"/>
    <col min="4" max="4" width="18.3984375" style="15" customWidth="1"/>
    <col min="5" max="5" width="4.796875" style="15" customWidth="1"/>
    <col min="6" max="6" width="28.5" style="15" customWidth="1"/>
    <col min="7" max="7" width="4.796875" style="15" customWidth="1"/>
    <col min="8" max="8" width="3.69921875" style="15" customWidth="1"/>
    <col min="9" max="9" width="5.59765625" style="15" customWidth="1"/>
    <col min="10" max="10" width="7.8984375" style="15" customWidth="1"/>
    <col min="11" max="11" width="28" style="15" customWidth="1"/>
    <col min="12" max="13" width="2" style="15" customWidth="1"/>
    <col min="14" max="14" width="13.796875" style="15" customWidth="1"/>
    <col min="15" max="15" width="2.69921875" style="15" customWidth="1"/>
    <col min="16" max="16" width="30" style="15" bestFit="1" customWidth="1"/>
    <col min="17" max="17" width="11.69921875" style="15" customWidth="1"/>
    <col min="18" max="18" width="19.59765625" style="15" bestFit="1" customWidth="1"/>
    <col min="19" max="19" width="11.09765625" style="15" bestFit="1" customWidth="1"/>
    <col min="20" max="20" width="11.8984375" style="15" customWidth="1"/>
    <col min="21" max="29" width="1.69921875" style="15" customWidth="1"/>
    <col min="30" max="30" width="10.69921875" style="15" bestFit="1" customWidth="1"/>
    <col min="31" max="39" width="1.69921875" style="15" customWidth="1"/>
    <col min="40" max="40" width="10.69921875" style="15" customWidth="1"/>
    <col min="41" max="41" width="1.69921875" style="15" customWidth="1"/>
    <col min="42" max="42" width="14.69921875" style="15" customWidth="1"/>
    <col min="43" max="43" width="13" style="15" bestFit="1" customWidth="1"/>
    <col min="44" max="16384" width="8.796875" style="15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s="24" customFormat="1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58879051</v>
      </c>
      <c r="K2" s="17" t="s">
        <v>140</v>
      </c>
      <c r="L2" s="17"/>
      <c r="M2" s="17"/>
      <c r="N2" s="17" t="s">
        <v>141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31000</v>
      </c>
      <c r="U2" s="18">
        <v>20700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10300</v>
      </c>
      <c r="AD2" s="18">
        <v>31000</v>
      </c>
      <c r="AE2" s="18">
        <v>20700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10300</v>
      </c>
      <c r="AN2" s="18">
        <v>17050</v>
      </c>
      <c r="AO2" s="18">
        <v>0</v>
      </c>
      <c r="AP2" s="18">
        <v>17050</v>
      </c>
    </row>
    <row r="3" spans="1:42" s="24" customFormat="1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58879051</v>
      </c>
      <c r="K3" s="17" t="s">
        <v>140</v>
      </c>
      <c r="L3" s="17"/>
      <c r="M3" s="17"/>
      <c r="N3" s="17" t="s">
        <v>141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104500</v>
      </c>
      <c r="U3" s="18">
        <v>100600</v>
      </c>
      <c r="V3" s="18">
        <v>0</v>
      </c>
      <c r="W3" s="18">
        <v>0</v>
      </c>
      <c r="X3" s="18">
        <v>0</v>
      </c>
      <c r="Y3" s="18">
        <v>0</v>
      </c>
      <c r="Z3" s="18">
        <v>2400</v>
      </c>
      <c r="AA3" s="18">
        <v>0</v>
      </c>
      <c r="AB3" s="18">
        <v>0</v>
      </c>
      <c r="AC3" s="18">
        <v>1500</v>
      </c>
      <c r="AD3" s="18">
        <v>104740</v>
      </c>
      <c r="AE3" s="18">
        <v>100600</v>
      </c>
      <c r="AF3" s="18">
        <v>0</v>
      </c>
      <c r="AG3" s="18">
        <v>0</v>
      </c>
      <c r="AH3" s="18">
        <v>0</v>
      </c>
      <c r="AI3" s="18">
        <v>0</v>
      </c>
      <c r="AJ3" s="18">
        <v>2640</v>
      </c>
      <c r="AK3" s="18">
        <v>0</v>
      </c>
      <c r="AL3" s="18">
        <v>0</v>
      </c>
      <c r="AM3" s="18">
        <v>1500</v>
      </c>
      <c r="AN3" s="18">
        <v>57607</v>
      </c>
      <c r="AO3" s="18">
        <v>0</v>
      </c>
      <c r="AP3" s="18">
        <v>57607</v>
      </c>
    </row>
    <row r="4" spans="1:42" s="16" customFormat="1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58879051</v>
      </c>
      <c r="K4" s="17" t="s">
        <v>140</v>
      </c>
      <c r="L4" s="17"/>
      <c r="M4" s="17"/>
      <c r="N4" s="17" t="s">
        <v>141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20300</v>
      </c>
      <c r="U4" s="18">
        <v>18800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1500</v>
      </c>
      <c r="AD4" s="18">
        <v>20300</v>
      </c>
      <c r="AE4" s="18">
        <v>18800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1500</v>
      </c>
      <c r="AN4" s="18">
        <v>11165</v>
      </c>
      <c r="AO4" s="18">
        <v>0</v>
      </c>
      <c r="AP4" s="18">
        <v>11165</v>
      </c>
    </row>
    <row r="5" spans="1:42" s="16" customFormat="1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58879051</v>
      </c>
      <c r="K5" s="17" t="s">
        <v>140</v>
      </c>
      <c r="L5" s="17"/>
      <c r="M5" s="17"/>
      <c r="N5" s="17" t="s">
        <v>141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64400</v>
      </c>
      <c r="U5" s="18">
        <v>64400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64400</v>
      </c>
      <c r="AE5" s="18">
        <v>64400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35420</v>
      </c>
      <c r="AO5" s="18">
        <v>0</v>
      </c>
      <c r="AP5" s="18">
        <v>35420</v>
      </c>
    </row>
    <row r="6" spans="1:42" s="16" customFormat="1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58879641</v>
      </c>
      <c r="K6" s="17" t="s">
        <v>142</v>
      </c>
      <c r="L6" s="17"/>
      <c r="M6" s="17"/>
      <c r="N6" s="17" t="s">
        <v>143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100</v>
      </c>
      <c r="T6" s="18">
        <v>24300</v>
      </c>
      <c r="U6" s="18">
        <v>8300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16000</v>
      </c>
      <c r="AD6" s="18">
        <v>24300</v>
      </c>
      <c r="AE6" s="18">
        <v>8300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16000</v>
      </c>
      <c r="AN6" s="18">
        <v>13365</v>
      </c>
      <c r="AO6" s="18">
        <v>0</v>
      </c>
      <c r="AP6" s="18">
        <v>13365</v>
      </c>
    </row>
    <row r="7" spans="1:42" s="16" customFormat="1" x14ac:dyDescent="0.4">
      <c r="A7" s="17" t="s">
        <v>48</v>
      </c>
      <c r="B7" s="17" t="s">
        <v>81</v>
      </c>
      <c r="C7" s="17" t="s">
        <v>82</v>
      </c>
      <c r="D7" s="17" t="s">
        <v>83</v>
      </c>
      <c r="E7" s="17" t="s">
        <v>84</v>
      </c>
      <c r="F7" s="17" t="s">
        <v>49</v>
      </c>
      <c r="G7" s="17" t="s">
        <v>20</v>
      </c>
      <c r="H7" s="17" t="s">
        <v>21</v>
      </c>
      <c r="I7" s="17" t="s">
        <v>22</v>
      </c>
      <c r="J7" s="17">
        <v>58879641</v>
      </c>
      <c r="K7" s="17" t="s">
        <v>142</v>
      </c>
      <c r="L7" s="17"/>
      <c r="M7" s="17"/>
      <c r="N7" s="17" t="s">
        <v>143</v>
      </c>
      <c r="O7" s="17" t="s">
        <v>23</v>
      </c>
      <c r="P7" s="17">
        <v>0.55000000000000004</v>
      </c>
      <c r="Q7" s="17">
        <v>0.55000000000000004</v>
      </c>
      <c r="R7" s="18" t="s">
        <v>24</v>
      </c>
      <c r="S7" s="18">
        <v>4700</v>
      </c>
      <c r="T7" s="18">
        <v>-1400</v>
      </c>
      <c r="U7" s="18">
        <v>-1400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-1400</v>
      </c>
      <c r="AE7" s="18">
        <v>-1400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-770</v>
      </c>
      <c r="AO7" s="18">
        <v>0</v>
      </c>
      <c r="AP7" s="18">
        <v>-770</v>
      </c>
    </row>
    <row r="8" spans="1:42" s="16" customFormat="1" x14ac:dyDescent="0.4">
      <c r="A8" s="17" t="s">
        <v>48</v>
      </c>
      <c r="B8" s="17" t="s">
        <v>81</v>
      </c>
      <c r="C8" s="17" t="s">
        <v>82</v>
      </c>
      <c r="D8" s="17" t="s">
        <v>83</v>
      </c>
      <c r="E8" s="17" t="s">
        <v>84</v>
      </c>
      <c r="F8" s="17" t="s">
        <v>49</v>
      </c>
      <c r="G8" s="17" t="s">
        <v>20</v>
      </c>
      <c r="H8" s="17" t="s">
        <v>21</v>
      </c>
      <c r="I8" s="17" t="s">
        <v>22</v>
      </c>
      <c r="J8" s="17">
        <v>58880409</v>
      </c>
      <c r="K8" s="17" t="s">
        <v>144</v>
      </c>
      <c r="L8" s="17"/>
      <c r="M8" s="17"/>
      <c r="N8" s="17" t="s">
        <v>145</v>
      </c>
      <c r="O8" s="17" t="s">
        <v>23</v>
      </c>
      <c r="P8" s="17">
        <v>0.55000000000000004</v>
      </c>
      <c r="Q8" s="17">
        <v>0.55000000000000004</v>
      </c>
      <c r="R8" s="18" t="s">
        <v>25</v>
      </c>
      <c r="S8" s="18">
        <v>100</v>
      </c>
      <c r="T8" s="18">
        <v>2000</v>
      </c>
      <c r="U8" s="18">
        <v>200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1800</v>
      </c>
      <c r="AD8" s="18">
        <v>2000</v>
      </c>
      <c r="AE8" s="18">
        <v>200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1800</v>
      </c>
      <c r="AN8" s="18">
        <v>1100</v>
      </c>
      <c r="AO8" s="18">
        <v>0</v>
      </c>
      <c r="AP8" s="18">
        <v>1100</v>
      </c>
    </row>
    <row r="9" spans="1:42" s="16" customFormat="1" x14ac:dyDescent="0.4">
      <c r="A9" s="17" t="s">
        <v>48</v>
      </c>
      <c r="B9" s="17" t="s">
        <v>81</v>
      </c>
      <c r="C9" s="17" t="s">
        <v>82</v>
      </c>
      <c r="D9" s="17" t="s">
        <v>83</v>
      </c>
      <c r="E9" s="17" t="s">
        <v>84</v>
      </c>
      <c r="F9" s="17" t="s">
        <v>49</v>
      </c>
      <c r="G9" s="17" t="s">
        <v>20</v>
      </c>
      <c r="H9" s="17" t="s">
        <v>21</v>
      </c>
      <c r="I9" s="17" t="s">
        <v>22</v>
      </c>
      <c r="J9" s="17">
        <v>58880409</v>
      </c>
      <c r="K9" s="17" t="s">
        <v>144</v>
      </c>
      <c r="L9" s="17"/>
      <c r="M9" s="17"/>
      <c r="N9" s="17" t="s">
        <v>145</v>
      </c>
      <c r="O9" s="17" t="s">
        <v>23</v>
      </c>
      <c r="P9" s="17">
        <v>0.55000000000000004</v>
      </c>
      <c r="Q9" s="17">
        <v>0.55000000000000004</v>
      </c>
      <c r="R9" s="18" t="s">
        <v>24</v>
      </c>
      <c r="S9" s="18">
        <v>2400</v>
      </c>
      <c r="T9" s="18">
        <v>2300</v>
      </c>
      <c r="U9" s="18">
        <v>-100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2400</v>
      </c>
      <c r="AD9" s="18">
        <v>2300</v>
      </c>
      <c r="AE9" s="18">
        <v>-100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2400</v>
      </c>
      <c r="AN9" s="18">
        <v>1265</v>
      </c>
      <c r="AO9" s="18">
        <v>0</v>
      </c>
      <c r="AP9" s="18">
        <v>1265</v>
      </c>
    </row>
    <row r="10" spans="1:42" s="16" customFormat="1" x14ac:dyDescent="0.4">
      <c r="A10" s="17" t="s">
        <v>48</v>
      </c>
      <c r="B10" s="17" t="s">
        <v>81</v>
      </c>
      <c r="C10" s="17" t="s">
        <v>82</v>
      </c>
      <c r="D10" s="17" t="s">
        <v>83</v>
      </c>
      <c r="E10" s="17" t="s">
        <v>84</v>
      </c>
      <c r="F10" s="17" t="s">
        <v>49</v>
      </c>
      <c r="G10" s="17" t="s">
        <v>20</v>
      </c>
      <c r="H10" s="17" t="s">
        <v>21</v>
      </c>
      <c r="I10" s="17" t="s">
        <v>22</v>
      </c>
      <c r="J10" s="17">
        <v>58963948</v>
      </c>
      <c r="K10" s="17" t="s">
        <v>147</v>
      </c>
      <c r="L10" s="17"/>
      <c r="M10" s="17"/>
      <c r="N10" s="17" t="s">
        <v>64</v>
      </c>
      <c r="O10" s="17" t="s">
        <v>23</v>
      </c>
      <c r="P10" s="17">
        <v>0.55000000000000004</v>
      </c>
      <c r="Q10" s="17">
        <v>0.55000000000000004</v>
      </c>
      <c r="R10" s="18" t="s">
        <v>25</v>
      </c>
      <c r="S10" s="18">
        <v>100</v>
      </c>
      <c r="T10" s="18">
        <v>399300</v>
      </c>
      <c r="U10" s="18">
        <v>271270</v>
      </c>
      <c r="V10" s="18">
        <v>0</v>
      </c>
      <c r="W10" s="18">
        <v>0</v>
      </c>
      <c r="X10" s="18">
        <v>0</v>
      </c>
      <c r="Y10" s="18">
        <v>5000</v>
      </c>
      <c r="Z10" s="18">
        <v>0</v>
      </c>
      <c r="AA10" s="18">
        <v>0</v>
      </c>
      <c r="AB10" s="18">
        <v>0</v>
      </c>
      <c r="AC10" s="18">
        <v>123030</v>
      </c>
      <c r="AD10" s="18">
        <v>400300</v>
      </c>
      <c r="AE10" s="18">
        <v>271270</v>
      </c>
      <c r="AF10" s="18">
        <v>0</v>
      </c>
      <c r="AG10" s="18">
        <v>0</v>
      </c>
      <c r="AH10" s="18">
        <v>0</v>
      </c>
      <c r="AI10" s="18">
        <v>6000</v>
      </c>
      <c r="AJ10" s="18">
        <v>0</v>
      </c>
      <c r="AK10" s="18">
        <v>0</v>
      </c>
      <c r="AL10" s="18">
        <v>0</v>
      </c>
      <c r="AM10" s="18">
        <v>123030</v>
      </c>
      <c r="AN10" s="18">
        <v>220165</v>
      </c>
      <c r="AO10" s="18">
        <v>0</v>
      </c>
      <c r="AP10" s="18">
        <v>220165</v>
      </c>
    </row>
    <row r="11" spans="1:42" s="16" customFormat="1" x14ac:dyDescent="0.4">
      <c r="A11" s="17" t="s">
        <v>48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49</v>
      </c>
      <c r="G11" s="17" t="s">
        <v>20</v>
      </c>
      <c r="H11" s="17" t="s">
        <v>21</v>
      </c>
      <c r="I11" s="17" t="s">
        <v>22</v>
      </c>
      <c r="J11" s="17">
        <v>58964509</v>
      </c>
      <c r="K11" s="17" t="s">
        <v>148</v>
      </c>
      <c r="L11" s="17"/>
      <c r="M11" s="17"/>
      <c r="N11" s="17" t="s">
        <v>64</v>
      </c>
      <c r="O11" s="17" t="s">
        <v>23</v>
      </c>
      <c r="P11" s="17">
        <v>0.55000000000000004</v>
      </c>
      <c r="Q11" s="17">
        <v>0.55000000000000004</v>
      </c>
      <c r="R11" s="18" t="s">
        <v>25</v>
      </c>
      <c r="S11" s="18">
        <v>3200</v>
      </c>
      <c r="T11" s="18">
        <v>211200</v>
      </c>
      <c r="U11" s="18">
        <v>164800</v>
      </c>
      <c r="V11" s="18">
        <v>0</v>
      </c>
      <c r="W11" s="18">
        <v>0</v>
      </c>
      <c r="X11" s="18">
        <v>0</v>
      </c>
      <c r="Y11" s="18">
        <v>500</v>
      </c>
      <c r="Z11" s="18">
        <v>28300</v>
      </c>
      <c r="AA11" s="18">
        <v>0</v>
      </c>
      <c r="AB11" s="18">
        <v>0</v>
      </c>
      <c r="AC11" s="18">
        <v>17600</v>
      </c>
      <c r="AD11" s="18">
        <v>214130</v>
      </c>
      <c r="AE11" s="18">
        <v>164800</v>
      </c>
      <c r="AF11" s="18">
        <v>0</v>
      </c>
      <c r="AG11" s="18">
        <v>0</v>
      </c>
      <c r="AH11" s="18">
        <v>0</v>
      </c>
      <c r="AI11" s="18">
        <v>600</v>
      </c>
      <c r="AJ11" s="18">
        <v>31130</v>
      </c>
      <c r="AK11" s="18">
        <v>0</v>
      </c>
      <c r="AL11" s="18">
        <v>0</v>
      </c>
      <c r="AM11" s="18">
        <v>17600</v>
      </c>
      <c r="AN11" s="18">
        <v>117772</v>
      </c>
      <c r="AO11" s="18">
        <v>0</v>
      </c>
      <c r="AP11" s="18">
        <v>117772</v>
      </c>
    </row>
    <row r="12" spans="1:42" s="16" customFormat="1" x14ac:dyDescent="0.4">
      <c r="A12" s="17" t="s">
        <v>48</v>
      </c>
      <c r="B12" s="17" t="s">
        <v>81</v>
      </c>
      <c r="C12" s="17" t="s">
        <v>82</v>
      </c>
      <c r="D12" s="17" t="s">
        <v>83</v>
      </c>
      <c r="E12" s="17" t="s">
        <v>84</v>
      </c>
      <c r="F12" s="17" t="s">
        <v>49</v>
      </c>
      <c r="G12" s="17" t="s">
        <v>20</v>
      </c>
      <c r="H12" s="17" t="s">
        <v>21</v>
      </c>
      <c r="I12" s="17" t="s">
        <v>22</v>
      </c>
      <c r="J12" s="17">
        <v>58964541</v>
      </c>
      <c r="K12" s="17" t="s">
        <v>149</v>
      </c>
      <c r="L12" s="17"/>
      <c r="M12" s="17"/>
      <c r="N12" s="17" t="s">
        <v>64</v>
      </c>
      <c r="O12" s="17" t="s">
        <v>23</v>
      </c>
      <c r="P12" s="17">
        <v>0.55000000000000004</v>
      </c>
      <c r="Q12" s="17">
        <v>0.55000000000000004</v>
      </c>
      <c r="R12" s="18" t="s">
        <v>25</v>
      </c>
      <c r="S12" s="18">
        <v>3200</v>
      </c>
      <c r="T12" s="18">
        <v>1939200</v>
      </c>
      <c r="U12" s="18">
        <v>1371700</v>
      </c>
      <c r="V12" s="18">
        <v>0</v>
      </c>
      <c r="W12" s="18">
        <v>0</v>
      </c>
      <c r="X12" s="18">
        <v>0</v>
      </c>
      <c r="Y12" s="18">
        <v>76800</v>
      </c>
      <c r="Z12" s="18">
        <v>393300</v>
      </c>
      <c r="AA12" s="18">
        <v>0</v>
      </c>
      <c r="AB12" s="18">
        <v>0</v>
      </c>
      <c r="AC12" s="18">
        <v>97400</v>
      </c>
      <c r="AD12" s="18">
        <v>1993890</v>
      </c>
      <c r="AE12" s="18">
        <v>1371700</v>
      </c>
      <c r="AF12" s="18">
        <v>0</v>
      </c>
      <c r="AG12" s="18">
        <v>0</v>
      </c>
      <c r="AH12" s="18">
        <v>0</v>
      </c>
      <c r="AI12" s="18">
        <v>92160</v>
      </c>
      <c r="AJ12" s="18">
        <v>432630</v>
      </c>
      <c r="AK12" s="18">
        <v>0</v>
      </c>
      <c r="AL12" s="18">
        <v>0</v>
      </c>
      <c r="AM12" s="18">
        <v>97400</v>
      </c>
      <c r="AN12" s="18">
        <v>1096640</v>
      </c>
      <c r="AO12" s="18">
        <v>0</v>
      </c>
      <c r="AP12" s="18">
        <v>1096640</v>
      </c>
    </row>
    <row r="13" spans="1:42" s="16" customFormat="1" x14ac:dyDescent="0.4">
      <c r="A13" s="17" t="s">
        <v>48</v>
      </c>
      <c r="B13" s="17" t="s">
        <v>81</v>
      </c>
      <c r="C13" s="17" t="s">
        <v>82</v>
      </c>
      <c r="D13" s="17" t="s">
        <v>83</v>
      </c>
      <c r="E13" s="17" t="s">
        <v>84</v>
      </c>
      <c r="F13" s="17" t="s">
        <v>49</v>
      </c>
      <c r="G13" s="17" t="s">
        <v>20</v>
      </c>
      <c r="H13" s="17" t="s">
        <v>21</v>
      </c>
      <c r="I13" s="17" t="s">
        <v>22</v>
      </c>
      <c r="J13" s="17">
        <v>58964618</v>
      </c>
      <c r="K13" s="17" t="s">
        <v>150</v>
      </c>
      <c r="L13" s="17"/>
      <c r="M13" s="17"/>
      <c r="N13" s="17" t="s">
        <v>64</v>
      </c>
      <c r="O13" s="17" t="s">
        <v>23</v>
      </c>
      <c r="P13" s="17">
        <v>0.55000000000000004</v>
      </c>
      <c r="Q13" s="17">
        <v>0.55000000000000004</v>
      </c>
      <c r="R13" s="18" t="s">
        <v>25</v>
      </c>
      <c r="S13" s="18">
        <v>3200</v>
      </c>
      <c r="T13" s="18">
        <v>108800</v>
      </c>
      <c r="U13" s="18">
        <v>88500</v>
      </c>
      <c r="V13" s="18">
        <v>0</v>
      </c>
      <c r="W13" s="18">
        <v>0</v>
      </c>
      <c r="X13" s="18">
        <v>0</v>
      </c>
      <c r="Y13" s="18">
        <v>0</v>
      </c>
      <c r="Z13" s="18">
        <v>6400</v>
      </c>
      <c r="AA13" s="18">
        <v>0</v>
      </c>
      <c r="AB13" s="18">
        <v>0</v>
      </c>
      <c r="AC13" s="18">
        <v>13900</v>
      </c>
      <c r="AD13" s="18">
        <v>109440</v>
      </c>
      <c r="AE13" s="18">
        <v>88500</v>
      </c>
      <c r="AF13" s="18">
        <v>0</v>
      </c>
      <c r="AG13" s="18">
        <v>0</v>
      </c>
      <c r="AH13" s="18">
        <v>0</v>
      </c>
      <c r="AI13" s="18">
        <v>0</v>
      </c>
      <c r="AJ13" s="18">
        <v>7040</v>
      </c>
      <c r="AK13" s="18">
        <v>0</v>
      </c>
      <c r="AL13" s="18">
        <v>0</v>
      </c>
      <c r="AM13" s="18">
        <v>13900</v>
      </c>
      <c r="AN13" s="18">
        <v>60192</v>
      </c>
      <c r="AO13" s="18">
        <v>0</v>
      </c>
      <c r="AP13" s="18">
        <v>60192</v>
      </c>
    </row>
    <row r="14" spans="1:42" s="16" customFormat="1" x14ac:dyDescent="0.4">
      <c r="A14" s="17" t="s">
        <v>48</v>
      </c>
      <c r="B14" s="17" t="s">
        <v>81</v>
      </c>
      <c r="C14" s="17" t="s">
        <v>82</v>
      </c>
      <c r="D14" s="17" t="s">
        <v>83</v>
      </c>
      <c r="E14" s="17" t="s">
        <v>84</v>
      </c>
      <c r="F14" s="17" t="s">
        <v>49</v>
      </c>
      <c r="G14" s="17" t="s">
        <v>20</v>
      </c>
      <c r="H14" s="17" t="s">
        <v>21</v>
      </c>
      <c r="I14" s="17" t="s">
        <v>22</v>
      </c>
      <c r="J14" s="17">
        <v>58964677</v>
      </c>
      <c r="K14" s="17" t="s">
        <v>151</v>
      </c>
      <c r="L14" s="17"/>
      <c r="M14" s="17"/>
      <c r="N14" s="17" t="s">
        <v>64</v>
      </c>
      <c r="O14" s="17" t="s">
        <v>23</v>
      </c>
      <c r="P14" s="17">
        <v>0.55000000000000004</v>
      </c>
      <c r="Q14" s="17">
        <v>0.55000000000000004</v>
      </c>
      <c r="R14" s="18" t="s">
        <v>25</v>
      </c>
      <c r="S14" s="18">
        <v>3200</v>
      </c>
      <c r="T14" s="18">
        <v>185600</v>
      </c>
      <c r="U14" s="18">
        <v>173560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12040</v>
      </c>
      <c r="AD14" s="18">
        <v>185600</v>
      </c>
      <c r="AE14" s="18">
        <v>173560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12040</v>
      </c>
      <c r="AN14" s="18">
        <v>102080</v>
      </c>
      <c r="AO14" s="18">
        <v>0</v>
      </c>
      <c r="AP14" s="18">
        <v>102080</v>
      </c>
    </row>
    <row r="15" spans="1:42" s="16" customFormat="1" x14ac:dyDescent="0.4">
      <c r="A15" s="17" t="s">
        <v>48</v>
      </c>
      <c r="B15" s="17" t="s">
        <v>81</v>
      </c>
      <c r="C15" s="17" t="s">
        <v>82</v>
      </c>
      <c r="D15" s="17" t="s">
        <v>83</v>
      </c>
      <c r="E15" s="17" t="s">
        <v>84</v>
      </c>
      <c r="F15" s="17" t="s">
        <v>49</v>
      </c>
      <c r="G15" s="17" t="s">
        <v>20</v>
      </c>
      <c r="H15" s="17" t="s">
        <v>21</v>
      </c>
      <c r="I15" s="17" t="s">
        <v>22</v>
      </c>
      <c r="J15" s="17">
        <v>58964717</v>
      </c>
      <c r="K15" s="17" t="s">
        <v>152</v>
      </c>
      <c r="L15" s="17"/>
      <c r="M15" s="17"/>
      <c r="N15" s="17" t="s">
        <v>117</v>
      </c>
      <c r="O15" s="17" t="s">
        <v>23</v>
      </c>
      <c r="P15" s="17">
        <v>0.55000000000000004</v>
      </c>
      <c r="Q15" s="17">
        <v>0.55000000000000004</v>
      </c>
      <c r="R15" s="18" t="s">
        <v>25</v>
      </c>
      <c r="S15" s="18">
        <v>3200</v>
      </c>
      <c r="T15" s="18">
        <v>3200</v>
      </c>
      <c r="U15" s="18">
        <v>3200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3200</v>
      </c>
      <c r="AE15" s="18">
        <v>3200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1760</v>
      </c>
      <c r="AO15" s="18">
        <v>0</v>
      </c>
      <c r="AP15" s="18">
        <v>1760</v>
      </c>
    </row>
    <row r="16" spans="1:42" s="16" customFormat="1" x14ac:dyDescent="0.4">
      <c r="A16" s="17" t="s">
        <v>48</v>
      </c>
      <c r="B16" s="17" t="s">
        <v>81</v>
      </c>
      <c r="C16" s="17" t="s">
        <v>82</v>
      </c>
      <c r="D16" s="17" t="s">
        <v>83</v>
      </c>
      <c r="E16" s="17" t="s">
        <v>84</v>
      </c>
      <c r="F16" s="17" t="s">
        <v>49</v>
      </c>
      <c r="G16" s="17" t="s">
        <v>20</v>
      </c>
      <c r="H16" s="17" t="s">
        <v>21</v>
      </c>
      <c r="I16" s="17" t="s">
        <v>22</v>
      </c>
      <c r="J16" s="17">
        <v>59010963</v>
      </c>
      <c r="K16" s="17" t="s">
        <v>153</v>
      </c>
      <c r="L16" s="17"/>
      <c r="M16" s="17"/>
      <c r="N16" s="17" t="s">
        <v>154</v>
      </c>
      <c r="O16" s="17" t="s">
        <v>23</v>
      </c>
      <c r="P16" s="17">
        <v>0.55000000000000004</v>
      </c>
      <c r="Q16" s="17">
        <v>0.55000000000000004</v>
      </c>
      <c r="R16" s="18" t="s">
        <v>25</v>
      </c>
      <c r="S16" s="18">
        <v>100</v>
      </c>
      <c r="T16" s="18">
        <v>19300</v>
      </c>
      <c r="U16" s="18">
        <v>18000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1300</v>
      </c>
      <c r="AD16" s="18">
        <v>19300</v>
      </c>
      <c r="AE16" s="18">
        <v>18000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1300</v>
      </c>
      <c r="AN16" s="18">
        <v>10615</v>
      </c>
      <c r="AO16" s="18">
        <v>0</v>
      </c>
      <c r="AP16" s="18">
        <v>10615</v>
      </c>
    </row>
    <row r="17" spans="1:42" s="16" customFormat="1" x14ac:dyDescent="0.4">
      <c r="A17" s="17" t="s">
        <v>48</v>
      </c>
      <c r="B17" s="17" t="s">
        <v>81</v>
      </c>
      <c r="C17" s="17" t="s">
        <v>82</v>
      </c>
      <c r="D17" s="17" t="s">
        <v>83</v>
      </c>
      <c r="E17" s="17" t="s">
        <v>84</v>
      </c>
      <c r="F17" s="17" t="s">
        <v>49</v>
      </c>
      <c r="G17" s="17" t="s">
        <v>20</v>
      </c>
      <c r="H17" s="17" t="s">
        <v>21</v>
      </c>
      <c r="I17" s="17" t="s">
        <v>22</v>
      </c>
      <c r="J17" s="17">
        <v>59010963</v>
      </c>
      <c r="K17" s="17" t="s">
        <v>153</v>
      </c>
      <c r="L17" s="17"/>
      <c r="M17" s="17"/>
      <c r="N17" s="17" t="s">
        <v>154</v>
      </c>
      <c r="O17" s="17" t="s">
        <v>23</v>
      </c>
      <c r="P17" s="17">
        <v>0.55000000000000004</v>
      </c>
      <c r="Q17" s="17">
        <v>0.55000000000000004</v>
      </c>
      <c r="R17" s="18" t="s">
        <v>24</v>
      </c>
      <c r="S17" s="18">
        <v>2400</v>
      </c>
      <c r="T17" s="18">
        <v>24000</v>
      </c>
      <c r="U17" s="18">
        <v>23900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100</v>
      </c>
      <c r="AD17" s="18">
        <v>24000</v>
      </c>
      <c r="AE17" s="18">
        <v>23900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100</v>
      </c>
      <c r="AN17" s="18">
        <v>13200</v>
      </c>
      <c r="AO17" s="18">
        <v>0</v>
      </c>
      <c r="AP17" s="18">
        <v>13200</v>
      </c>
    </row>
    <row r="18" spans="1:42" s="16" customFormat="1" x14ac:dyDescent="0.4">
      <c r="A18" s="17" t="s">
        <v>48</v>
      </c>
      <c r="B18" s="17" t="s">
        <v>81</v>
      </c>
      <c r="C18" s="17" t="s">
        <v>82</v>
      </c>
      <c r="D18" s="17" t="s">
        <v>83</v>
      </c>
      <c r="E18" s="17" t="s">
        <v>84</v>
      </c>
      <c r="F18" s="17" t="s">
        <v>49</v>
      </c>
      <c r="G18" s="17" t="s">
        <v>20</v>
      </c>
      <c r="H18" s="17" t="s">
        <v>21</v>
      </c>
      <c r="I18" s="17" t="s">
        <v>22</v>
      </c>
      <c r="J18" s="17">
        <v>59010963</v>
      </c>
      <c r="K18" s="17" t="s">
        <v>153</v>
      </c>
      <c r="L18" s="17"/>
      <c r="M18" s="17"/>
      <c r="N18" s="17" t="s">
        <v>154</v>
      </c>
      <c r="O18" s="17" t="s">
        <v>23</v>
      </c>
      <c r="P18" s="17">
        <v>0.55000000000000004</v>
      </c>
      <c r="Q18" s="17">
        <v>0.55000000000000004</v>
      </c>
      <c r="R18" s="18" t="s">
        <v>24</v>
      </c>
      <c r="S18" s="18">
        <v>4700</v>
      </c>
      <c r="T18" s="18">
        <v>19000</v>
      </c>
      <c r="U18" s="18">
        <v>18700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300</v>
      </c>
      <c r="AD18" s="18">
        <v>19000</v>
      </c>
      <c r="AE18" s="18">
        <v>18700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300</v>
      </c>
      <c r="AN18" s="18">
        <v>10450</v>
      </c>
      <c r="AO18" s="18">
        <v>0</v>
      </c>
      <c r="AP18" s="18">
        <v>10450</v>
      </c>
    </row>
    <row r="19" spans="1:42" s="16" customFormat="1" x14ac:dyDescent="0.4">
      <c r="A19" s="17" t="s">
        <v>48</v>
      </c>
      <c r="B19" s="17" t="s">
        <v>81</v>
      </c>
      <c r="C19" s="17" t="s">
        <v>82</v>
      </c>
      <c r="D19" s="17" t="s">
        <v>83</v>
      </c>
      <c r="E19" s="17" t="s">
        <v>84</v>
      </c>
      <c r="F19" s="17" t="s">
        <v>49</v>
      </c>
      <c r="G19" s="17" t="s">
        <v>20</v>
      </c>
      <c r="H19" s="17" t="s">
        <v>21</v>
      </c>
      <c r="I19" s="17" t="s">
        <v>22</v>
      </c>
      <c r="J19" s="17">
        <v>59010963</v>
      </c>
      <c r="K19" s="17" t="s">
        <v>153</v>
      </c>
      <c r="L19" s="17"/>
      <c r="M19" s="17"/>
      <c r="N19" s="17" t="s">
        <v>154</v>
      </c>
      <c r="O19" s="17" t="s">
        <v>23</v>
      </c>
      <c r="P19" s="17">
        <v>0.55000000000000004</v>
      </c>
      <c r="Q19" s="17">
        <v>0.55000000000000004</v>
      </c>
      <c r="R19" s="18" t="s">
        <v>24</v>
      </c>
      <c r="S19" s="18">
        <v>9200</v>
      </c>
      <c r="T19" s="18">
        <v>27600</v>
      </c>
      <c r="U19" s="18">
        <v>26600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1000</v>
      </c>
      <c r="AD19" s="18">
        <v>27600</v>
      </c>
      <c r="AE19" s="18">
        <v>26600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1000</v>
      </c>
      <c r="AN19" s="18">
        <v>15180</v>
      </c>
      <c r="AO19" s="18">
        <v>0</v>
      </c>
      <c r="AP19" s="18">
        <v>15180</v>
      </c>
    </row>
    <row r="20" spans="1:42" s="16" customFormat="1" x14ac:dyDescent="0.4">
      <c r="A20" s="17" t="s">
        <v>48</v>
      </c>
      <c r="B20" s="17" t="s">
        <v>81</v>
      </c>
      <c r="C20" s="17" t="s">
        <v>82</v>
      </c>
      <c r="D20" s="17" t="s">
        <v>83</v>
      </c>
      <c r="E20" s="17" t="s">
        <v>84</v>
      </c>
      <c r="F20" s="17" t="s">
        <v>49</v>
      </c>
      <c r="G20" s="17" t="s">
        <v>20</v>
      </c>
      <c r="H20" s="17" t="s">
        <v>21</v>
      </c>
      <c r="I20" s="17" t="s">
        <v>22</v>
      </c>
      <c r="J20" s="17">
        <v>59011754</v>
      </c>
      <c r="K20" s="17" t="s">
        <v>155</v>
      </c>
      <c r="L20" s="17"/>
      <c r="M20" s="17"/>
      <c r="N20" s="17" t="s">
        <v>156</v>
      </c>
      <c r="O20" s="17" t="s">
        <v>23</v>
      </c>
      <c r="P20" s="17">
        <v>0.55000000000000004</v>
      </c>
      <c r="Q20" s="17">
        <v>0.55000000000000004</v>
      </c>
      <c r="R20" s="18" t="s">
        <v>25</v>
      </c>
      <c r="S20" s="18">
        <v>100</v>
      </c>
      <c r="T20" s="18">
        <v>200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200</v>
      </c>
      <c r="AD20" s="18">
        <v>200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200</v>
      </c>
      <c r="AN20" s="18">
        <v>110</v>
      </c>
      <c r="AO20" s="18">
        <v>0</v>
      </c>
      <c r="AP20" s="18">
        <v>110</v>
      </c>
    </row>
    <row r="21" spans="1:42" s="16" customFormat="1" x14ac:dyDescent="0.4">
      <c r="A21" s="17" t="s">
        <v>48</v>
      </c>
      <c r="B21" s="17" t="s">
        <v>81</v>
      </c>
      <c r="C21" s="17" t="s">
        <v>82</v>
      </c>
      <c r="D21" s="17" t="s">
        <v>83</v>
      </c>
      <c r="E21" s="17" t="s">
        <v>84</v>
      </c>
      <c r="F21" s="17" t="s">
        <v>49</v>
      </c>
      <c r="G21" s="17" t="s">
        <v>20</v>
      </c>
      <c r="H21" s="17" t="s">
        <v>21</v>
      </c>
      <c r="I21" s="17" t="s">
        <v>22</v>
      </c>
      <c r="J21" s="17">
        <v>59011754</v>
      </c>
      <c r="K21" s="17" t="s">
        <v>155</v>
      </c>
      <c r="L21" s="17"/>
      <c r="M21" s="17"/>
      <c r="N21" s="17" t="s">
        <v>156</v>
      </c>
      <c r="O21" s="17" t="s">
        <v>23</v>
      </c>
      <c r="P21" s="17">
        <v>0.55000000000000004</v>
      </c>
      <c r="Q21" s="17">
        <v>0.55000000000000004</v>
      </c>
      <c r="R21" s="18" t="s">
        <v>24</v>
      </c>
      <c r="S21" s="18">
        <v>9200</v>
      </c>
      <c r="T21" s="18">
        <v>9200</v>
      </c>
      <c r="U21" s="18">
        <v>8400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800</v>
      </c>
      <c r="AD21" s="18">
        <v>9200</v>
      </c>
      <c r="AE21" s="18">
        <v>8400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800</v>
      </c>
      <c r="AN21" s="18">
        <v>5060</v>
      </c>
      <c r="AO21" s="18">
        <v>0</v>
      </c>
      <c r="AP21" s="18">
        <v>5060</v>
      </c>
    </row>
    <row r="22" spans="1:42" s="16" customFormat="1" x14ac:dyDescent="0.4">
      <c r="A22" s="17" t="s">
        <v>48</v>
      </c>
      <c r="B22" s="17" t="s">
        <v>81</v>
      </c>
      <c r="C22" s="17" t="s">
        <v>82</v>
      </c>
      <c r="D22" s="17" t="s">
        <v>83</v>
      </c>
      <c r="E22" s="17" t="s">
        <v>84</v>
      </c>
      <c r="F22" s="17" t="s">
        <v>49</v>
      </c>
      <c r="G22" s="17" t="s">
        <v>20</v>
      </c>
      <c r="H22" s="17" t="s">
        <v>21</v>
      </c>
      <c r="I22" s="17" t="s">
        <v>22</v>
      </c>
      <c r="J22" s="17">
        <v>59012444</v>
      </c>
      <c r="K22" s="17" t="s">
        <v>157</v>
      </c>
      <c r="L22" s="17"/>
      <c r="M22" s="17"/>
      <c r="N22" s="17" t="s">
        <v>158</v>
      </c>
      <c r="O22" s="17" t="s">
        <v>23</v>
      </c>
      <c r="P22" s="17">
        <v>0.55000000000000004</v>
      </c>
      <c r="Q22" s="17">
        <v>0.55000000000000004</v>
      </c>
      <c r="R22" s="18" t="s">
        <v>25</v>
      </c>
      <c r="S22" s="18">
        <v>100</v>
      </c>
      <c r="T22" s="18">
        <v>5300</v>
      </c>
      <c r="U22" s="18">
        <v>2600</v>
      </c>
      <c r="V22" s="18">
        <v>0</v>
      </c>
      <c r="W22" s="18">
        <v>0</v>
      </c>
      <c r="X22" s="18">
        <v>0</v>
      </c>
      <c r="Y22" s="18">
        <v>0</v>
      </c>
      <c r="Z22" s="18">
        <v>600</v>
      </c>
      <c r="AA22" s="18">
        <v>0</v>
      </c>
      <c r="AB22" s="18">
        <v>0</v>
      </c>
      <c r="AC22" s="18">
        <v>2100</v>
      </c>
      <c r="AD22" s="18">
        <v>5360</v>
      </c>
      <c r="AE22" s="18">
        <v>2600</v>
      </c>
      <c r="AF22" s="18">
        <v>0</v>
      </c>
      <c r="AG22" s="18">
        <v>0</v>
      </c>
      <c r="AH22" s="18">
        <v>0</v>
      </c>
      <c r="AI22" s="18">
        <v>0</v>
      </c>
      <c r="AJ22" s="18">
        <v>660</v>
      </c>
      <c r="AK22" s="18">
        <v>0</v>
      </c>
      <c r="AL22" s="18">
        <v>0</v>
      </c>
      <c r="AM22" s="18">
        <v>2100</v>
      </c>
      <c r="AN22" s="18">
        <v>2948</v>
      </c>
      <c r="AO22" s="18">
        <v>0</v>
      </c>
      <c r="AP22" s="18">
        <v>2948</v>
      </c>
    </row>
    <row r="23" spans="1:42" s="16" customFormat="1" x14ac:dyDescent="0.4">
      <c r="A23" s="17" t="s">
        <v>48</v>
      </c>
      <c r="B23" s="17" t="s">
        <v>81</v>
      </c>
      <c r="C23" s="17" t="s">
        <v>82</v>
      </c>
      <c r="D23" s="17" t="s">
        <v>83</v>
      </c>
      <c r="E23" s="17" t="s">
        <v>84</v>
      </c>
      <c r="F23" s="17" t="s">
        <v>49</v>
      </c>
      <c r="G23" s="17" t="s">
        <v>20</v>
      </c>
      <c r="H23" s="17" t="s">
        <v>21</v>
      </c>
      <c r="I23" s="17" t="s">
        <v>22</v>
      </c>
      <c r="J23" s="17">
        <v>59012444</v>
      </c>
      <c r="K23" s="17" t="s">
        <v>157</v>
      </c>
      <c r="L23" s="17"/>
      <c r="M23" s="17"/>
      <c r="N23" s="17" t="s">
        <v>158</v>
      </c>
      <c r="O23" s="17" t="s">
        <v>23</v>
      </c>
      <c r="P23" s="17">
        <v>0.55000000000000004</v>
      </c>
      <c r="Q23" s="17">
        <v>0.55000000000000004</v>
      </c>
      <c r="R23" s="18" t="s">
        <v>24</v>
      </c>
      <c r="S23" s="18">
        <v>2400</v>
      </c>
      <c r="T23" s="18">
        <v>4800</v>
      </c>
      <c r="U23" s="18">
        <v>2400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2400</v>
      </c>
      <c r="AD23" s="18">
        <v>4800</v>
      </c>
      <c r="AE23" s="18">
        <v>2400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2400</v>
      </c>
      <c r="AN23" s="18">
        <v>2640</v>
      </c>
      <c r="AO23" s="18">
        <v>0</v>
      </c>
      <c r="AP23" s="18">
        <v>2640</v>
      </c>
    </row>
    <row r="24" spans="1:42" s="16" customFormat="1" x14ac:dyDescent="0.4">
      <c r="A24" s="17" t="s">
        <v>48</v>
      </c>
      <c r="B24" s="17" t="s">
        <v>81</v>
      </c>
      <c r="C24" s="17" t="s">
        <v>82</v>
      </c>
      <c r="D24" s="17" t="s">
        <v>83</v>
      </c>
      <c r="E24" s="17" t="s">
        <v>84</v>
      </c>
      <c r="F24" s="17" t="s">
        <v>49</v>
      </c>
      <c r="G24" s="17" t="s">
        <v>20</v>
      </c>
      <c r="H24" s="17" t="s">
        <v>21</v>
      </c>
      <c r="I24" s="17" t="s">
        <v>22</v>
      </c>
      <c r="J24" s="17">
        <v>59012444</v>
      </c>
      <c r="K24" s="17" t="s">
        <v>157</v>
      </c>
      <c r="L24" s="17"/>
      <c r="M24" s="17"/>
      <c r="N24" s="17" t="s">
        <v>158</v>
      </c>
      <c r="O24" s="17" t="s">
        <v>23</v>
      </c>
      <c r="P24" s="17">
        <v>0.55000000000000004</v>
      </c>
      <c r="Q24" s="17">
        <v>0.55000000000000004</v>
      </c>
      <c r="R24" s="18" t="s">
        <v>24</v>
      </c>
      <c r="S24" s="18">
        <v>4700</v>
      </c>
      <c r="T24" s="18">
        <v>18300</v>
      </c>
      <c r="U24" s="18">
        <v>18300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18300</v>
      </c>
      <c r="AE24" s="18">
        <v>18300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10065</v>
      </c>
      <c r="AO24" s="18">
        <v>0</v>
      </c>
      <c r="AP24" s="18">
        <v>10065</v>
      </c>
    </row>
    <row r="25" spans="1:42" s="16" customFormat="1" x14ac:dyDescent="0.4">
      <c r="A25" s="17" t="s">
        <v>48</v>
      </c>
      <c r="B25" s="17" t="s">
        <v>81</v>
      </c>
      <c r="C25" s="17" t="s">
        <v>82</v>
      </c>
      <c r="D25" s="17" t="s">
        <v>83</v>
      </c>
      <c r="E25" s="17" t="s">
        <v>84</v>
      </c>
      <c r="F25" s="17" t="s">
        <v>49</v>
      </c>
      <c r="G25" s="17" t="s">
        <v>20</v>
      </c>
      <c r="H25" s="17" t="s">
        <v>21</v>
      </c>
      <c r="I25" s="17" t="s">
        <v>22</v>
      </c>
      <c r="J25" s="17">
        <v>59012444</v>
      </c>
      <c r="K25" s="17" t="s">
        <v>157</v>
      </c>
      <c r="L25" s="17"/>
      <c r="M25" s="17"/>
      <c r="N25" s="17" t="s">
        <v>158</v>
      </c>
      <c r="O25" s="17" t="s">
        <v>23</v>
      </c>
      <c r="P25" s="17">
        <v>0.55000000000000004</v>
      </c>
      <c r="Q25" s="17">
        <v>0.55000000000000004</v>
      </c>
      <c r="R25" s="18" t="s">
        <v>24</v>
      </c>
      <c r="S25" s="18">
        <v>9200</v>
      </c>
      <c r="T25" s="18">
        <v>-1600</v>
      </c>
      <c r="U25" s="18">
        <v>-1600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-1600</v>
      </c>
      <c r="AE25" s="18">
        <v>-1600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-880</v>
      </c>
      <c r="AO25" s="18">
        <v>0</v>
      </c>
      <c r="AP25" s="18">
        <v>-880</v>
      </c>
    </row>
    <row r="26" spans="1:42" s="16" customFormat="1" x14ac:dyDescent="0.4">
      <c r="A26" s="17" t="s">
        <v>48</v>
      </c>
      <c r="B26" s="17" t="s">
        <v>81</v>
      </c>
      <c r="C26" s="17" t="s">
        <v>82</v>
      </c>
      <c r="D26" s="17" t="s">
        <v>83</v>
      </c>
      <c r="E26" s="17" t="s">
        <v>89</v>
      </c>
      <c r="F26" s="17" t="s">
        <v>49</v>
      </c>
      <c r="G26" s="17" t="s">
        <v>20</v>
      </c>
      <c r="H26" s="17" t="s">
        <v>21</v>
      </c>
      <c r="I26" s="17" t="s">
        <v>22</v>
      </c>
      <c r="J26" s="17">
        <v>51936303</v>
      </c>
      <c r="K26" s="17" t="s">
        <v>73</v>
      </c>
      <c r="L26" s="17"/>
      <c r="M26" s="17"/>
      <c r="N26" s="17" t="s">
        <v>51</v>
      </c>
      <c r="O26" s="17" t="s">
        <v>23</v>
      </c>
      <c r="P26" s="17">
        <v>0.55000000000000004</v>
      </c>
      <c r="Q26" s="17">
        <v>0.55000000000000004</v>
      </c>
      <c r="R26" s="18" t="s">
        <v>25</v>
      </c>
      <c r="S26" s="18">
        <v>100</v>
      </c>
      <c r="T26" s="18">
        <v>112600</v>
      </c>
      <c r="U26" s="18">
        <v>13080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99520</v>
      </c>
      <c r="AD26" s="18">
        <v>112600</v>
      </c>
      <c r="AE26" s="18">
        <v>13080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99520</v>
      </c>
      <c r="AN26" s="18">
        <v>61930</v>
      </c>
      <c r="AO26" s="18">
        <v>0</v>
      </c>
      <c r="AP26" s="18">
        <v>61930</v>
      </c>
    </row>
    <row r="27" spans="1:42" s="16" customFormat="1" x14ac:dyDescent="0.4">
      <c r="A27" s="17" t="s">
        <v>48</v>
      </c>
      <c r="B27" s="17" t="s">
        <v>81</v>
      </c>
      <c r="C27" s="17" t="s">
        <v>82</v>
      </c>
      <c r="D27" s="17" t="s">
        <v>83</v>
      </c>
      <c r="E27" s="17" t="s">
        <v>89</v>
      </c>
      <c r="F27" s="17" t="s">
        <v>49</v>
      </c>
      <c r="G27" s="17" t="s">
        <v>20</v>
      </c>
      <c r="H27" s="17" t="s">
        <v>21</v>
      </c>
      <c r="I27" s="17" t="s">
        <v>22</v>
      </c>
      <c r="J27" s="17">
        <v>51936303</v>
      </c>
      <c r="K27" s="17" t="s">
        <v>73</v>
      </c>
      <c r="L27" s="17"/>
      <c r="M27" s="17"/>
      <c r="N27" s="17" t="s">
        <v>51</v>
      </c>
      <c r="O27" s="17" t="s">
        <v>23</v>
      </c>
      <c r="P27" s="17">
        <v>0.55000000000000004</v>
      </c>
      <c r="Q27" s="17">
        <v>0.55000000000000004</v>
      </c>
      <c r="R27" s="18" t="s">
        <v>24</v>
      </c>
      <c r="S27" s="18">
        <v>2400</v>
      </c>
      <c r="T27" s="18">
        <v>60000</v>
      </c>
      <c r="U27" s="18">
        <v>28380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31620</v>
      </c>
      <c r="AD27" s="18">
        <v>60000</v>
      </c>
      <c r="AE27" s="18">
        <v>28380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31620</v>
      </c>
      <c r="AN27" s="18">
        <v>33000</v>
      </c>
      <c r="AO27" s="18">
        <v>0</v>
      </c>
      <c r="AP27" s="18">
        <v>33000</v>
      </c>
    </row>
    <row r="28" spans="1:42" s="16" customFormat="1" x14ac:dyDescent="0.4">
      <c r="A28" s="17" t="s">
        <v>48</v>
      </c>
      <c r="B28" s="17" t="s">
        <v>81</v>
      </c>
      <c r="C28" s="17" t="s">
        <v>82</v>
      </c>
      <c r="D28" s="17" t="s">
        <v>83</v>
      </c>
      <c r="E28" s="17" t="s">
        <v>89</v>
      </c>
      <c r="F28" s="17" t="s">
        <v>49</v>
      </c>
      <c r="G28" s="17" t="s">
        <v>20</v>
      </c>
      <c r="H28" s="17" t="s">
        <v>21</v>
      </c>
      <c r="I28" s="17" t="s">
        <v>22</v>
      </c>
      <c r="J28" s="17">
        <v>51936303</v>
      </c>
      <c r="K28" s="17" t="s">
        <v>73</v>
      </c>
      <c r="L28" s="17"/>
      <c r="M28" s="17"/>
      <c r="N28" s="17" t="s">
        <v>51</v>
      </c>
      <c r="O28" s="17" t="s">
        <v>23</v>
      </c>
      <c r="P28" s="17">
        <v>0.55000000000000004</v>
      </c>
      <c r="Q28" s="17">
        <v>0.55000000000000004</v>
      </c>
      <c r="R28" s="18" t="s">
        <v>24</v>
      </c>
      <c r="S28" s="18">
        <v>9200</v>
      </c>
      <c r="T28" s="18">
        <v>92000</v>
      </c>
      <c r="U28" s="18">
        <v>46000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46000</v>
      </c>
      <c r="AD28" s="18">
        <v>92000</v>
      </c>
      <c r="AE28" s="18">
        <v>46000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46000</v>
      </c>
      <c r="AN28" s="18">
        <v>50600</v>
      </c>
      <c r="AO28" s="18">
        <v>0</v>
      </c>
      <c r="AP28" s="18">
        <v>50600</v>
      </c>
    </row>
    <row r="29" spans="1:42" s="16" customFormat="1" x14ac:dyDescent="0.4">
      <c r="A29" s="17" t="s">
        <v>48</v>
      </c>
      <c r="B29" s="17" t="s">
        <v>81</v>
      </c>
      <c r="C29" s="17" t="s">
        <v>82</v>
      </c>
      <c r="D29" s="17" t="s">
        <v>83</v>
      </c>
      <c r="E29" s="17" t="s">
        <v>89</v>
      </c>
      <c r="F29" s="17" t="s">
        <v>49</v>
      </c>
      <c r="G29" s="17" t="s">
        <v>20</v>
      </c>
      <c r="H29" s="17" t="s">
        <v>21</v>
      </c>
      <c r="I29" s="17" t="s">
        <v>22</v>
      </c>
      <c r="J29" s="17">
        <v>51936303</v>
      </c>
      <c r="K29" s="17" t="s">
        <v>73</v>
      </c>
      <c r="L29" s="17"/>
      <c r="M29" s="17"/>
      <c r="N29" s="17" t="s">
        <v>51</v>
      </c>
      <c r="O29" s="17" t="s">
        <v>23</v>
      </c>
      <c r="P29" s="17">
        <v>0.55000000000000004</v>
      </c>
      <c r="Q29" s="17">
        <v>0.55000000000000004</v>
      </c>
      <c r="R29" s="18" t="s">
        <v>24</v>
      </c>
      <c r="S29" s="18">
        <v>18000</v>
      </c>
      <c r="T29" s="18">
        <v>36000</v>
      </c>
      <c r="U29" s="18">
        <v>15500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20500</v>
      </c>
      <c r="AD29" s="18">
        <v>36000</v>
      </c>
      <c r="AE29" s="18">
        <v>15500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20500</v>
      </c>
      <c r="AN29" s="18">
        <v>19800</v>
      </c>
      <c r="AO29" s="18">
        <v>0</v>
      </c>
      <c r="AP29" s="18">
        <v>19800</v>
      </c>
    </row>
    <row r="30" spans="1:42" s="16" customFormat="1" x14ac:dyDescent="0.4">
      <c r="A30" s="17" t="s">
        <v>48</v>
      </c>
      <c r="B30" s="17" t="s">
        <v>81</v>
      </c>
      <c r="C30" s="17" t="s">
        <v>82</v>
      </c>
      <c r="D30" s="17" t="s">
        <v>83</v>
      </c>
      <c r="E30" s="17" t="s">
        <v>89</v>
      </c>
      <c r="F30" s="17" t="s">
        <v>49</v>
      </c>
      <c r="G30" s="17" t="s">
        <v>20</v>
      </c>
      <c r="H30" s="17" t="s">
        <v>21</v>
      </c>
      <c r="I30" s="17" t="s">
        <v>22</v>
      </c>
      <c r="J30" s="17">
        <v>54212515</v>
      </c>
      <c r="K30" s="17" t="s">
        <v>50</v>
      </c>
      <c r="L30" s="17"/>
      <c r="M30" s="17"/>
      <c r="N30" s="17" t="s">
        <v>51</v>
      </c>
      <c r="O30" s="17" t="s">
        <v>23</v>
      </c>
      <c r="P30" s="17">
        <v>0.55000000000000004</v>
      </c>
      <c r="Q30" s="17">
        <v>0.55000000000000004</v>
      </c>
      <c r="R30" s="18" t="s">
        <v>25</v>
      </c>
      <c r="S30" s="18">
        <v>100</v>
      </c>
      <c r="T30" s="18">
        <v>29900</v>
      </c>
      <c r="U30" s="18">
        <v>17600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12300</v>
      </c>
      <c r="AD30" s="18">
        <v>29900</v>
      </c>
      <c r="AE30" s="18">
        <v>17600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12300</v>
      </c>
      <c r="AN30" s="18">
        <v>16445</v>
      </c>
      <c r="AO30" s="18">
        <v>0</v>
      </c>
      <c r="AP30" s="18">
        <v>16445</v>
      </c>
    </row>
    <row r="31" spans="1:42" s="16" customFormat="1" x14ac:dyDescent="0.4">
      <c r="A31" s="17" t="s">
        <v>48</v>
      </c>
      <c r="B31" s="17" t="s">
        <v>81</v>
      </c>
      <c r="C31" s="17" t="s">
        <v>82</v>
      </c>
      <c r="D31" s="17" t="s">
        <v>83</v>
      </c>
      <c r="E31" s="17" t="s">
        <v>89</v>
      </c>
      <c r="F31" s="17" t="s">
        <v>49</v>
      </c>
      <c r="G31" s="17" t="s">
        <v>20</v>
      </c>
      <c r="H31" s="17" t="s">
        <v>21</v>
      </c>
      <c r="I31" s="17" t="s">
        <v>22</v>
      </c>
      <c r="J31" s="17">
        <v>54212515</v>
      </c>
      <c r="K31" s="17" t="s">
        <v>50</v>
      </c>
      <c r="L31" s="17"/>
      <c r="M31" s="17"/>
      <c r="N31" s="17" t="s">
        <v>51</v>
      </c>
      <c r="O31" s="17" t="s">
        <v>23</v>
      </c>
      <c r="P31" s="17">
        <v>0.55000000000000004</v>
      </c>
      <c r="Q31" s="17">
        <v>0.55000000000000004</v>
      </c>
      <c r="R31" s="18" t="s">
        <v>24</v>
      </c>
      <c r="S31" s="18">
        <v>2400</v>
      </c>
      <c r="T31" s="18">
        <v>22500</v>
      </c>
      <c r="U31" s="18">
        <v>20100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2400</v>
      </c>
      <c r="AD31" s="18">
        <v>22500</v>
      </c>
      <c r="AE31" s="18">
        <v>20100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2400</v>
      </c>
      <c r="AN31" s="18">
        <v>12375</v>
      </c>
      <c r="AO31" s="18">
        <v>0</v>
      </c>
      <c r="AP31" s="18">
        <v>12375</v>
      </c>
    </row>
    <row r="32" spans="1:42" s="16" customFormat="1" x14ac:dyDescent="0.4">
      <c r="A32" s="17" t="s">
        <v>48</v>
      </c>
      <c r="B32" s="17" t="s">
        <v>81</v>
      </c>
      <c r="C32" s="17" t="s">
        <v>82</v>
      </c>
      <c r="D32" s="17" t="s">
        <v>83</v>
      </c>
      <c r="E32" s="17" t="s">
        <v>89</v>
      </c>
      <c r="F32" s="17" t="s">
        <v>49</v>
      </c>
      <c r="G32" s="17" t="s">
        <v>20</v>
      </c>
      <c r="H32" s="17" t="s">
        <v>21</v>
      </c>
      <c r="I32" s="17" t="s">
        <v>22</v>
      </c>
      <c r="J32" s="17">
        <v>54212515</v>
      </c>
      <c r="K32" s="17" t="s">
        <v>50</v>
      </c>
      <c r="L32" s="17"/>
      <c r="M32" s="17"/>
      <c r="N32" s="17" t="s">
        <v>51</v>
      </c>
      <c r="O32" s="17" t="s">
        <v>23</v>
      </c>
      <c r="P32" s="17">
        <v>0.55000000000000004</v>
      </c>
      <c r="Q32" s="17">
        <v>0.55000000000000004</v>
      </c>
      <c r="R32" s="18" t="s">
        <v>24</v>
      </c>
      <c r="S32" s="18">
        <v>9200</v>
      </c>
      <c r="T32" s="18">
        <v>33000</v>
      </c>
      <c r="U32" s="18">
        <v>23800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9200</v>
      </c>
      <c r="AD32" s="18">
        <v>33000</v>
      </c>
      <c r="AE32" s="18">
        <v>23800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9200</v>
      </c>
      <c r="AN32" s="18">
        <v>18150</v>
      </c>
      <c r="AO32" s="18">
        <v>0</v>
      </c>
      <c r="AP32" s="18">
        <v>18150</v>
      </c>
    </row>
    <row r="33" spans="1:42" s="16" customFormat="1" x14ac:dyDescent="0.4">
      <c r="A33" s="17" t="s">
        <v>48</v>
      </c>
      <c r="B33" s="17" t="s">
        <v>81</v>
      </c>
      <c r="C33" s="17" t="s">
        <v>82</v>
      </c>
      <c r="D33" s="17" t="s">
        <v>83</v>
      </c>
      <c r="E33" s="17" t="s">
        <v>89</v>
      </c>
      <c r="F33" s="17" t="s">
        <v>49</v>
      </c>
      <c r="G33" s="17" t="s">
        <v>20</v>
      </c>
      <c r="H33" s="17" t="s">
        <v>21</v>
      </c>
      <c r="I33" s="17" t="s">
        <v>22</v>
      </c>
      <c r="J33" s="17">
        <v>54212515</v>
      </c>
      <c r="K33" s="17" t="s">
        <v>50</v>
      </c>
      <c r="L33" s="17"/>
      <c r="M33" s="17"/>
      <c r="N33" s="17" t="s">
        <v>51</v>
      </c>
      <c r="O33" s="17" t="s">
        <v>23</v>
      </c>
      <c r="P33" s="17">
        <v>0.55000000000000004</v>
      </c>
      <c r="Q33" s="17">
        <v>0.55000000000000004</v>
      </c>
      <c r="R33" s="18" t="s">
        <v>24</v>
      </c>
      <c r="S33" s="18">
        <v>18000</v>
      </c>
      <c r="T33" s="18">
        <v>-46600</v>
      </c>
      <c r="U33" s="18">
        <v>-33300</v>
      </c>
      <c r="V33" s="18">
        <v>0</v>
      </c>
      <c r="W33" s="18">
        <v>0</v>
      </c>
      <c r="X33" s="18">
        <v>0</v>
      </c>
      <c r="Y33" s="18">
        <v>-100</v>
      </c>
      <c r="Z33" s="18">
        <v>-13200</v>
      </c>
      <c r="AA33" s="18">
        <v>0</v>
      </c>
      <c r="AB33" s="18">
        <v>0</v>
      </c>
      <c r="AC33" s="18">
        <v>0</v>
      </c>
      <c r="AD33" s="18">
        <v>-47940</v>
      </c>
      <c r="AE33" s="18">
        <v>-33300</v>
      </c>
      <c r="AF33" s="18">
        <v>0</v>
      </c>
      <c r="AG33" s="18">
        <v>0</v>
      </c>
      <c r="AH33" s="18">
        <v>0</v>
      </c>
      <c r="AI33" s="18">
        <v>-120</v>
      </c>
      <c r="AJ33" s="18">
        <v>-14520</v>
      </c>
      <c r="AK33" s="18">
        <v>0</v>
      </c>
      <c r="AL33" s="18">
        <v>0</v>
      </c>
      <c r="AM33" s="18">
        <v>0</v>
      </c>
      <c r="AN33" s="18">
        <v>-26367</v>
      </c>
      <c r="AO33" s="18">
        <v>0</v>
      </c>
      <c r="AP33" s="18">
        <v>-26367</v>
      </c>
    </row>
    <row r="34" spans="1:42" s="16" customFormat="1" x14ac:dyDescent="0.4">
      <c r="A34" s="17" t="s">
        <v>48</v>
      </c>
      <c r="B34" s="17" t="s">
        <v>81</v>
      </c>
      <c r="C34" s="17" t="s">
        <v>82</v>
      </c>
      <c r="D34" s="17" t="s">
        <v>83</v>
      </c>
      <c r="E34" s="17" t="s">
        <v>89</v>
      </c>
      <c r="F34" s="17" t="s">
        <v>49</v>
      </c>
      <c r="G34" s="17" t="s">
        <v>20</v>
      </c>
      <c r="H34" s="17" t="s">
        <v>21</v>
      </c>
      <c r="I34" s="17" t="s">
        <v>22</v>
      </c>
      <c r="J34" s="17">
        <v>56380069</v>
      </c>
      <c r="K34" s="17" t="s">
        <v>103</v>
      </c>
      <c r="L34" s="17"/>
      <c r="M34" s="17"/>
      <c r="N34" s="17" t="s">
        <v>51</v>
      </c>
      <c r="O34" s="17" t="s">
        <v>23</v>
      </c>
      <c r="P34" s="17">
        <v>0.55000000000000004</v>
      </c>
      <c r="Q34" s="17">
        <v>0.55000000000000004</v>
      </c>
      <c r="R34" s="18" t="s">
        <v>25</v>
      </c>
      <c r="S34" s="18">
        <v>100</v>
      </c>
      <c r="T34" s="18">
        <v>19900</v>
      </c>
      <c r="U34" s="18">
        <v>4900</v>
      </c>
      <c r="V34" s="18">
        <v>0</v>
      </c>
      <c r="W34" s="18">
        <v>0</v>
      </c>
      <c r="X34" s="18">
        <v>0</v>
      </c>
      <c r="Y34" s="18">
        <v>0</v>
      </c>
      <c r="Z34" s="18">
        <v>800</v>
      </c>
      <c r="AA34" s="18">
        <v>0</v>
      </c>
      <c r="AB34" s="18">
        <v>0</v>
      </c>
      <c r="AC34" s="18">
        <v>14200</v>
      </c>
      <c r="AD34" s="18">
        <v>19980</v>
      </c>
      <c r="AE34" s="18">
        <v>4900</v>
      </c>
      <c r="AF34" s="18">
        <v>0</v>
      </c>
      <c r="AG34" s="18">
        <v>0</v>
      </c>
      <c r="AH34" s="18">
        <v>0</v>
      </c>
      <c r="AI34" s="18">
        <v>0</v>
      </c>
      <c r="AJ34" s="18">
        <v>880</v>
      </c>
      <c r="AK34" s="18">
        <v>0</v>
      </c>
      <c r="AL34" s="18">
        <v>0</v>
      </c>
      <c r="AM34" s="18">
        <v>14200</v>
      </c>
      <c r="AN34" s="18">
        <v>10989</v>
      </c>
      <c r="AO34" s="18">
        <v>0</v>
      </c>
      <c r="AP34" s="18">
        <v>10989</v>
      </c>
    </row>
    <row r="35" spans="1:42" s="16" customFormat="1" x14ac:dyDescent="0.4">
      <c r="A35" s="17" t="s">
        <v>48</v>
      </c>
      <c r="B35" s="17" t="s">
        <v>81</v>
      </c>
      <c r="C35" s="17" t="s">
        <v>82</v>
      </c>
      <c r="D35" s="17" t="s">
        <v>83</v>
      </c>
      <c r="E35" s="17" t="s">
        <v>89</v>
      </c>
      <c r="F35" s="17" t="s">
        <v>49</v>
      </c>
      <c r="G35" s="17" t="s">
        <v>20</v>
      </c>
      <c r="H35" s="17" t="s">
        <v>21</v>
      </c>
      <c r="I35" s="17" t="s">
        <v>22</v>
      </c>
      <c r="J35" s="17">
        <v>56380069</v>
      </c>
      <c r="K35" s="17" t="s">
        <v>103</v>
      </c>
      <c r="L35" s="17"/>
      <c r="M35" s="17"/>
      <c r="N35" s="17" t="s">
        <v>51</v>
      </c>
      <c r="O35" s="17" t="s">
        <v>23</v>
      </c>
      <c r="P35" s="17">
        <v>0.55000000000000004</v>
      </c>
      <c r="Q35" s="17">
        <v>0.55000000000000004</v>
      </c>
      <c r="R35" s="18" t="s">
        <v>24</v>
      </c>
      <c r="S35" s="18">
        <v>2400</v>
      </c>
      <c r="T35" s="18">
        <v>33600</v>
      </c>
      <c r="U35" s="18">
        <v>28300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5300</v>
      </c>
      <c r="AD35" s="18">
        <v>33600</v>
      </c>
      <c r="AE35" s="18">
        <v>28300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5300</v>
      </c>
      <c r="AN35" s="18">
        <v>18480</v>
      </c>
      <c r="AO35" s="18">
        <v>0</v>
      </c>
      <c r="AP35" s="18">
        <v>18480</v>
      </c>
    </row>
    <row r="36" spans="1:42" s="16" customFormat="1" x14ac:dyDescent="0.4">
      <c r="A36" s="17" t="s">
        <v>48</v>
      </c>
      <c r="B36" s="17" t="s">
        <v>81</v>
      </c>
      <c r="C36" s="17" t="s">
        <v>82</v>
      </c>
      <c r="D36" s="17" t="s">
        <v>83</v>
      </c>
      <c r="E36" s="17" t="s">
        <v>89</v>
      </c>
      <c r="F36" s="17" t="s">
        <v>49</v>
      </c>
      <c r="G36" s="17" t="s">
        <v>20</v>
      </c>
      <c r="H36" s="17" t="s">
        <v>21</v>
      </c>
      <c r="I36" s="17" t="s">
        <v>22</v>
      </c>
      <c r="J36" s="17">
        <v>56380069</v>
      </c>
      <c r="K36" s="17" t="s">
        <v>103</v>
      </c>
      <c r="L36" s="17"/>
      <c r="M36" s="17"/>
      <c r="N36" s="17" t="s">
        <v>51</v>
      </c>
      <c r="O36" s="17" t="s">
        <v>23</v>
      </c>
      <c r="P36" s="17">
        <v>0.55000000000000004</v>
      </c>
      <c r="Q36" s="17">
        <v>0.55000000000000004</v>
      </c>
      <c r="R36" s="18" t="s">
        <v>24</v>
      </c>
      <c r="S36" s="18">
        <v>9200</v>
      </c>
      <c r="T36" s="18">
        <v>21200</v>
      </c>
      <c r="U36" s="18">
        <v>11500</v>
      </c>
      <c r="V36" s="18">
        <v>0</v>
      </c>
      <c r="W36" s="18">
        <v>0</v>
      </c>
      <c r="X36" s="18">
        <v>0</v>
      </c>
      <c r="Y36" s="18">
        <v>0</v>
      </c>
      <c r="Z36" s="18">
        <v>9200</v>
      </c>
      <c r="AA36" s="18">
        <v>0</v>
      </c>
      <c r="AB36" s="18">
        <v>0</v>
      </c>
      <c r="AC36" s="18">
        <v>500</v>
      </c>
      <c r="AD36" s="18">
        <v>22120</v>
      </c>
      <c r="AE36" s="18">
        <v>11500</v>
      </c>
      <c r="AF36" s="18">
        <v>0</v>
      </c>
      <c r="AG36" s="18">
        <v>0</v>
      </c>
      <c r="AH36" s="18">
        <v>0</v>
      </c>
      <c r="AI36" s="18">
        <v>0</v>
      </c>
      <c r="AJ36" s="18">
        <v>10120</v>
      </c>
      <c r="AK36" s="18">
        <v>0</v>
      </c>
      <c r="AL36" s="18">
        <v>0</v>
      </c>
      <c r="AM36" s="18">
        <v>500</v>
      </c>
      <c r="AN36" s="18">
        <v>12166</v>
      </c>
      <c r="AO36" s="18">
        <v>0</v>
      </c>
      <c r="AP36" s="18">
        <v>12166</v>
      </c>
    </row>
    <row r="37" spans="1:42" s="16" customFormat="1" x14ac:dyDescent="0.4">
      <c r="A37" s="17" t="s">
        <v>48</v>
      </c>
      <c r="B37" s="17" t="s">
        <v>81</v>
      </c>
      <c r="C37" s="17" t="s">
        <v>82</v>
      </c>
      <c r="D37" s="17" t="s">
        <v>83</v>
      </c>
      <c r="E37" s="17" t="s">
        <v>89</v>
      </c>
      <c r="F37" s="17" t="s">
        <v>49</v>
      </c>
      <c r="G37" s="17" t="s">
        <v>20</v>
      </c>
      <c r="H37" s="17" t="s">
        <v>21</v>
      </c>
      <c r="I37" s="17" t="s">
        <v>22</v>
      </c>
      <c r="J37" s="17">
        <v>56380069</v>
      </c>
      <c r="K37" s="17" t="s">
        <v>103</v>
      </c>
      <c r="L37" s="17"/>
      <c r="M37" s="17"/>
      <c r="N37" s="17" t="s">
        <v>51</v>
      </c>
      <c r="O37" s="17" t="s">
        <v>23</v>
      </c>
      <c r="P37" s="17">
        <v>0.55000000000000004</v>
      </c>
      <c r="Q37" s="17">
        <v>0.55000000000000004</v>
      </c>
      <c r="R37" s="18" t="s">
        <v>24</v>
      </c>
      <c r="S37" s="18">
        <v>18000</v>
      </c>
      <c r="T37" s="18">
        <v>15500</v>
      </c>
      <c r="U37" s="18">
        <v>15500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15500</v>
      </c>
      <c r="AE37" s="18">
        <v>15500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8525</v>
      </c>
      <c r="AO37" s="18">
        <v>0</v>
      </c>
      <c r="AP37" s="18">
        <v>8525</v>
      </c>
    </row>
    <row r="38" spans="1:42" s="16" customFormat="1" x14ac:dyDescent="0.4">
      <c r="A38" s="17" t="s">
        <v>48</v>
      </c>
      <c r="B38" s="17" t="s">
        <v>81</v>
      </c>
      <c r="C38" s="17" t="s">
        <v>82</v>
      </c>
      <c r="D38" s="17" t="s">
        <v>83</v>
      </c>
      <c r="E38" s="17" t="s">
        <v>89</v>
      </c>
      <c r="F38" s="17" t="s">
        <v>49</v>
      </c>
      <c r="G38" s="17" t="s">
        <v>20</v>
      </c>
      <c r="H38" s="17" t="s">
        <v>21</v>
      </c>
      <c r="I38" s="17" t="s">
        <v>22</v>
      </c>
      <c r="J38" s="17">
        <v>56766662</v>
      </c>
      <c r="K38" s="17" t="s">
        <v>163</v>
      </c>
      <c r="L38" s="17"/>
      <c r="M38" s="17"/>
      <c r="N38" s="17" t="s">
        <v>51</v>
      </c>
      <c r="O38" s="17" t="s">
        <v>23</v>
      </c>
      <c r="P38" s="17">
        <v>0.55000000000000004</v>
      </c>
      <c r="Q38" s="17">
        <v>0.55000000000000004</v>
      </c>
      <c r="R38" s="18" t="s">
        <v>25</v>
      </c>
      <c r="S38" s="18">
        <v>3200</v>
      </c>
      <c r="T38" s="18">
        <v>9600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9600</v>
      </c>
      <c r="AD38" s="18">
        <v>9600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9600</v>
      </c>
      <c r="AN38" s="18">
        <v>5280</v>
      </c>
      <c r="AO38" s="18">
        <v>0</v>
      </c>
      <c r="AP38" s="18">
        <v>5280</v>
      </c>
    </row>
    <row r="39" spans="1:42" s="16" customFormat="1" x14ac:dyDescent="0.4">
      <c r="A39" s="17" t="s">
        <v>48</v>
      </c>
      <c r="B39" s="17" t="s">
        <v>81</v>
      </c>
      <c r="C39" s="17" t="s">
        <v>82</v>
      </c>
      <c r="D39" s="17" t="s">
        <v>83</v>
      </c>
      <c r="E39" s="17" t="s">
        <v>89</v>
      </c>
      <c r="F39" s="17" t="s">
        <v>49</v>
      </c>
      <c r="G39" s="17" t="s">
        <v>20</v>
      </c>
      <c r="H39" s="17" t="s">
        <v>21</v>
      </c>
      <c r="I39" s="17" t="s">
        <v>22</v>
      </c>
      <c r="J39" s="17">
        <v>56976917</v>
      </c>
      <c r="K39" s="17" t="s">
        <v>164</v>
      </c>
      <c r="L39" s="17"/>
      <c r="M39" s="17"/>
      <c r="N39" s="17" t="s">
        <v>51</v>
      </c>
      <c r="O39" s="17" t="s">
        <v>23</v>
      </c>
      <c r="P39" s="17">
        <v>0.55000000000000004</v>
      </c>
      <c r="Q39" s="17">
        <v>0.55000000000000004</v>
      </c>
      <c r="R39" s="18" t="s">
        <v>25</v>
      </c>
      <c r="S39" s="18">
        <v>3200</v>
      </c>
      <c r="T39" s="18">
        <v>28800</v>
      </c>
      <c r="U39" s="18">
        <v>28800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28800</v>
      </c>
      <c r="AE39" s="18">
        <v>28800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15840</v>
      </c>
      <c r="AO39" s="18">
        <v>0</v>
      </c>
      <c r="AP39" s="18">
        <v>15840</v>
      </c>
    </row>
    <row r="40" spans="1:42" s="16" customFormat="1" x14ac:dyDescent="0.4">
      <c r="A40" s="17" t="s">
        <v>48</v>
      </c>
      <c r="B40" s="17" t="s">
        <v>81</v>
      </c>
      <c r="C40" s="17" t="s">
        <v>82</v>
      </c>
      <c r="D40" s="17" t="s">
        <v>83</v>
      </c>
      <c r="E40" s="17" t="s">
        <v>84</v>
      </c>
      <c r="F40" s="17" t="s">
        <v>49</v>
      </c>
      <c r="G40" s="17" t="s">
        <v>20</v>
      </c>
      <c r="H40" s="17" t="s">
        <v>21</v>
      </c>
      <c r="I40" s="17" t="s">
        <v>22</v>
      </c>
      <c r="J40" s="17">
        <v>47026662</v>
      </c>
      <c r="K40" s="17" t="s">
        <v>118</v>
      </c>
      <c r="L40" s="17"/>
      <c r="M40" s="17"/>
      <c r="N40" s="17" t="s">
        <v>64</v>
      </c>
      <c r="O40" s="17" t="s">
        <v>23</v>
      </c>
      <c r="P40" s="17">
        <v>0.55000000000000004</v>
      </c>
      <c r="Q40" s="17">
        <v>0.55000000000000004</v>
      </c>
      <c r="R40" s="18" t="s">
        <v>25</v>
      </c>
      <c r="S40" s="18">
        <v>100</v>
      </c>
      <c r="T40" s="18">
        <v>3953800</v>
      </c>
      <c r="U40" s="18">
        <v>846900</v>
      </c>
      <c r="V40" s="18">
        <v>0</v>
      </c>
      <c r="W40" s="18">
        <v>0</v>
      </c>
      <c r="X40" s="18">
        <v>0</v>
      </c>
      <c r="Y40" s="18">
        <v>26450</v>
      </c>
      <c r="Z40" s="18">
        <v>36150</v>
      </c>
      <c r="AA40" s="18">
        <v>0</v>
      </c>
      <c r="AB40" s="18">
        <v>0</v>
      </c>
      <c r="AC40" s="18">
        <v>3044300</v>
      </c>
      <c r="AD40" s="18">
        <v>3962705</v>
      </c>
      <c r="AE40" s="18">
        <v>846900</v>
      </c>
      <c r="AF40" s="18">
        <v>0</v>
      </c>
      <c r="AG40" s="18">
        <v>0</v>
      </c>
      <c r="AH40" s="18">
        <v>0</v>
      </c>
      <c r="AI40" s="18">
        <v>31740</v>
      </c>
      <c r="AJ40" s="18">
        <v>39765</v>
      </c>
      <c r="AK40" s="18">
        <v>0</v>
      </c>
      <c r="AL40" s="18">
        <v>0</v>
      </c>
      <c r="AM40" s="18">
        <v>3044300</v>
      </c>
      <c r="AN40" s="18">
        <v>2179488</v>
      </c>
      <c r="AO40" s="18">
        <v>0</v>
      </c>
      <c r="AP40" s="18">
        <v>2179488</v>
      </c>
    </row>
    <row r="41" spans="1:42" s="16" customFormat="1" x14ac:dyDescent="0.4">
      <c r="A41" s="17" t="s">
        <v>48</v>
      </c>
      <c r="B41" s="17" t="s">
        <v>81</v>
      </c>
      <c r="C41" s="17" t="s">
        <v>82</v>
      </c>
      <c r="D41" s="17" t="s">
        <v>83</v>
      </c>
      <c r="E41" s="17" t="s">
        <v>84</v>
      </c>
      <c r="F41" s="17" t="s">
        <v>49</v>
      </c>
      <c r="G41" s="17" t="s">
        <v>20</v>
      </c>
      <c r="H41" s="17" t="s">
        <v>21</v>
      </c>
      <c r="I41" s="17" t="s">
        <v>22</v>
      </c>
      <c r="J41" s="17">
        <v>47026662</v>
      </c>
      <c r="K41" s="17" t="s">
        <v>118</v>
      </c>
      <c r="L41" s="17"/>
      <c r="M41" s="17"/>
      <c r="N41" s="17" t="s">
        <v>64</v>
      </c>
      <c r="O41" s="17" t="s">
        <v>23</v>
      </c>
      <c r="P41" s="17">
        <v>0.55000000000000004</v>
      </c>
      <c r="Q41" s="17">
        <v>0.55000000000000004</v>
      </c>
      <c r="R41" s="18" t="s">
        <v>24</v>
      </c>
      <c r="S41" s="18">
        <v>1800</v>
      </c>
      <c r="T41" s="18">
        <v>3219600</v>
      </c>
      <c r="U41" s="18">
        <v>1864500</v>
      </c>
      <c r="V41" s="18">
        <v>0</v>
      </c>
      <c r="W41" s="18">
        <v>0</v>
      </c>
      <c r="X41" s="18">
        <v>0</v>
      </c>
      <c r="Y41" s="18">
        <v>7260</v>
      </c>
      <c r="Z41" s="18">
        <v>51420</v>
      </c>
      <c r="AA41" s="18">
        <v>0</v>
      </c>
      <c r="AB41" s="18">
        <v>0</v>
      </c>
      <c r="AC41" s="18">
        <v>1296420</v>
      </c>
      <c r="AD41" s="18">
        <v>3226194</v>
      </c>
      <c r="AE41" s="18">
        <v>1864500</v>
      </c>
      <c r="AF41" s="18">
        <v>0</v>
      </c>
      <c r="AG41" s="18">
        <v>0</v>
      </c>
      <c r="AH41" s="18">
        <v>0</v>
      </c>
      <c r="AI41" s="18">
        <v>8712</v>
      </c>
      <c r="AJ41" s="18">
        <v>56562</v>
      </c>
      <c r="AK41" s="18">
        <v>0</v>
      </c>
      <c r="AL41" s="18">
        <v>0</v>
      </c>
      <c r="AM41" s="18">
        <v>1296420</v>
      </c>
      <c r="AN41" s="18">
        <v>1774407</v>
      </c>
      <c r="AO41" s="18">
        <v>0</v>
      </c>
      <c r="AP41" s="18">
        <v>1774407</v>
      </c>
    </row>
    <row r="42" spans="1:42" s="16" customFormat="1" x14ac:dyDescent="0.4">
      <c r="A42" s="17" t="s">
        <v>48</v>
      </c>
      <c r="B42" s="17" t="s">
        <v>81</v>
      </c>
      <c r="C42" s="17" t="s">
        <v>82</v>
      </c>
      <c r="D42" s="17" t="s">
        <v>83</v>
      </c>
      <c r="E42" s="17" t="s">
        <v>84</v>
      </c>
      <c r="F42" s="17" t="s">
        <v>49</v>
      </c>
      <c r="G42" s="17" t="s">
        <v>20</v>
      </c>
      <c r="H42" s="17" t="s">
        <v>21</v>
      </c>
      <c r="I42" s="17" t="s">
        <v>22</v>
      </c>
      <c r="J42" s="17">
        <v>47026662</v>
      </c>
      <c r="K42" s="17" t="s">
        <v>118</v>
      </c>
      <c r="L42" s="17"/>
      <c r="M42" s="17"/>
      <c r="N42" s="17" t="s">
        <v>64</v>
      </c>
      <c r="O42" s="17" t="s">
        <v>23</v>
      </c>
      <c r="P42" s="17">
        <v>0.55000000000000004</v>
      </c>
      <c r="Q42" s="17">
        <v>0.55000000000000004</v>
      </c>
      <c r="R42" s="18" t="s">
        <v>24</v>
      </c>
      <c r="S42" s="18">
        <v>4500</v>
      </c>
      <c r="T42" s="18">
        <v>2849800</v>
      </c>
      <c r="U42" s="18">
        <v>2084530</v>
      </c>
      <c r="V42" s="18">
        <v>0</v>
      </c>
      <c r="W42" s="18">
        <v>0</v>
      </c>
      <c r="X42" s="18">
        <v>-1800</v>
      </c>
      <c r="Y42" s="18">
        <v>3550</v>
      </c>
      <c r="Z42" s="18">
        <v>127050</v>
      </c>
      <c r="AA42" s="18">
        <v>0</v>
      </c>
      <c r="AB42" s="18">
        <v>0</v>
      </c>
      <c r="AC42" s="18">
        <v>636470</v>
      </c>
      <c r="AD42" s="18">
        <v>2862523.4953999999</v>
      </c>
      <c r="AE42" s="18">
        <v>2084530</v>
      </c>
      <c r="AF42" s="18">
        <v>0</v>
      </c>
      <c r="AG42" s="18">
        <v>0</v>
      </c>
      <c r="AH42" s="18">
        <v>-2491.5046000000002</v>
      </c>
      <c r="AI42" s="18">
        <v>4260</v>
      </c>
      <c r="AJ42" s="18">
        <v>139755</v>
      </c>
      <c r="AK42" s="18">
        <v>0</v>
      </c>
      <c r="AL42" s="18">
        <v>0</v>
      </c>
      <c r="AM42" s="18">
        <v>636470</v>
      </c>
      <c r="AN42" s="18">
        <v>1574388</v>
      </c>
      <c r="AO42" s="18">
        <v>0</v>
      </c>
      <c r="AP42" s="18">
        <v>1574388</v>
      </c>
    </row>
    <row r="43" spans="1:42" s="16" customFormat="1" x14ac:dyDescent="0.4">
      <c r="A43" s="17" t="s">
        <v>48</v>
      </c>
      <c r="B43" s="17" t="s">
        <v>81</v>
      </c>
      <c r="C43" s="17" t="s">
        <v>82</v>
      </c>
      <c r="D43" s="17" t="s">
        <v>83</v>
      </c>
      <c r="E43" s="17" t="s">
        <v>84</v>
      </c>
      <c r="F43" s="17" t="s">
        <v>49</v>
      </c>
      <c r="G43" s="17" t="s">
        <v>20</v>
      </c>
      <c r="H43" s="17" t="s">
        <v>21</v>
      </c>
      <c r="I43" s="17" t="s">
        <v>22</v>
      </c>
      <c r="J43" s="17">
        <v>47026662</v>
      </c>
      <c r="K43" s="17" t="s">
        <v>118</v>
      </c>
      <c r="L43" s="17"/>
      <c r="M43" s="17"/>
      <c r="N43" s="17" t="s">
        <v>64</v>
      </c>
      <c r="O43" s="17" t="s">
        <v>23</v>
      </c>
      <c r="P43" s="17">
        <v>0.55000000000000004</v>
      </c>
      <c r="Q43" s="17">
        <v>0.55000000000000004</v>
      </c>
      <c r="R43" s="18" t="s">
        <v>24</v>
      </c>
      <c r="S43" s="18">
        <v>9000</v>
      </c>
      <c r="T43" s="18">
        <v>5486500</v>
      </c>
      <c r="U43" s="18">
        <v>4597560</v>
      </c>
      <c r="V43" s="18">
        <v>0</v>
      </c>
      <c r="W43" s="18">
        <v>0</v>
      </c>
      <c r="X43" s="18">
        <v>0</v>
      </c>
      <c r="Y43" s="18">
        <v>49400</v>
      </c>
      <c r="Z43" s="18">
        <v>380200</v>
      </c>
      <c r="AA43" s="18">
        <v>0</v>
      </c>
      <c r="AB43" s="18">
        <v>0</v>
      </c>
      <c r="AC43" s="18">
        <v>459340</v>
      </c>
      <c r="AD43" s="18">
        <v>5534400</v>
      </c>
      <c r="AE43" s="18">
        <v>4597560</v>
      </c>
      <c r="AF43" s="18">
        <v>0</v>
      </c>
      <c r="AG43" s="18">
        <v>0</v>
      </c>
      <c r="AH43" s="18">
        <v>0</v>
      </c>
      <c r="AI43" s="18">
        <v>59280</v>
      </c>
      <c r="AJ43" s="18">
        <v>418220</v>
      </c>
      <c r="AK43" s="18">
        <v>0</v>
      </c>
      <c r="AL43" s="18">
        <v>0</v>
      </c>
      <c r="AM43" s="18">
        <v>459340</v>
      </c>
      <c r="AN43" s="18">
        <v>3043920</v>
      </c>
      <c r="AO43" s="18">
        <v>0</v>
      </c>
      <c r="AP43" s="18">
        <v>3043920</v>
      </c>
    </row>
    <row r="44" spans="1:42" s="16" customFormat="1" x14ac:dyDescent="0.4">
      <c r="A44" s="17" t="s">
        <v>48</v>
      </c>
      <c r="B44" s="17" t="s">
        <v>81</v>
      </c>
      <c r="C44" s="17" t="s">
        <v>82</v>
      </c>
      <c r="D44" s="17" t="s">
        <v>83</v>
      </c>
      <c r="E44" s="17" t="s">
        <v>84</v>
      </c>
      <c r="F44" s="17" t="s">
        <v>49</v>
      </c>
      <c r="G44" s="17" t="s">
        <v>20</v>
      </c>
      <c r="H44" s="17" t="s">
        <v>21</v>
      </c>
      <c r="I44" s="17" t="s">
        <v>22</v>
      </c>
      <c r="J44" s="17">
        <v>47944978</v>
      </c>
      <c r="K44" s="17" t="s">
        <v>119</v>
      </c>
      <c r="L44" s="17"/>
      <c r="M44" s="17"/>
      <c r="N44" s="17" t="s">
        <v>64</v>
      </c>
      <c r="O44" s="17" t="s">
        <v>23</v>
      </c>
      <c r="P44" s="17">
        <v>0.55000000000000004</v>
      </c>
      <c r="Q44" s="17">
        <v>0.55000000000000004</v>
      </c>
      <c r="R44" s="18" t="s">
        <v>25</v>
      </c>
      <c r="S44" s="18">
        <v>100</v>
      </c>
      <c r="T44" s="18">
        <v>432500</v>
      </c>
      <c r="U44" s="18">
        <v>87720</v>
      </c>
      <c r="V44" s="18">
        <v>0</v>
      </c>
      <c r="W44" s="18">
        <v>0</v>
      </c>
      <c r="X44" s="18">
        <v>0</v>
      </c>
      <c r="Y44" s="18">
        <v>1600</v>
      </c>
      <c r="Z44" s="18">
        <v>18400</v>
      </c>
      <c r="AA44" s="18">
        <v>0</v>
      </c>
      <c r="AB44" s="18">
        <v>0</v>
      </c>
      <c r="AC44" s="18">
        <v>324780</v>
      </c>
      <c r="AD44" s="18">
        <v>434660</v>
      </c>
      <c r="AE44" s="18">
        <v>87720</v>
      </c>
      <c r="AF44" s="18">
        <v>0</v>
      </c>
      <c r="AG44" s="18">
        <v>0</v>
      </c>
      <c r="AH44" s="18">
        <v>0</v>
      </c>
      <c r="AI44" s="18">
        <v>1920</v>
      </c>
      <c r="AJ44" s="18">
        <v>20240</v>
      </c>
      <c r="AK44" s="18">
        <v>0</v>
      </c>
      <c r="AL44" s="18">
        <v>0</v>
      </c>
      <c r="AM44" s="18">
        <v>324780</v>
      </c>
      <c r="AN44" s="18">
        <v>239063</v>
      </c>
      <c r="AO44" s="18">
        <v>0</v>
      </c>
      <c r="AP44" s="18">
        <v>239063</v>
      </c>
    </row>
    <row r="45" spans="1:42" s="16" customFormat="1" x14ac:dyDescent="0.4">
      <c r="A45" s="17" t="s">
        <v>48</v>
      </c>
      <c r="B45" s="17" t="s">
        <v>81</v>
      </c>
      <c r="C45" s="17" t="s">
        <v>82</v>
      </c>
      <c r="D45" s="17" t="s">
        <v>83</v>
      </c>
      <c r="E45" s="17" t="s">
        <v>84</v>
      </c>
      <c r="F45" s="17" t="s">
        <v>49</v>
      </c>
      <c r="G45" s="17" t="s">
        <v>20</v>
      </c>
      <c r="H45" s="17" t="s">
        <v>21</v>
      </c>
      <c r="I45" s="17" t="s">
        <v>22</v>
      </c>
      <c r="J45" s="17">
        <v>47944978</v>
      </c>
      <c r="K45" s="17" t="s">
        <v>119</v>
      </c>
      <c r="L45" s="17"/>
      <c r="M45" s="17"/>
      <c r="N45" s="17" t="s">
        <v>64</v>
      </c>
      <c r="O45" s="17" t="s">
        <v>23</v>
      </c>
      <c r="P45" s="17">
        <v>0.55000000000000004</v>
      </c>
      <c r="Q45" s="17">
        <v>0.55000000000000004</v>
      </c>
      <c r="R45" s="18" t="s">
        <v>24</v>
      </c>
      <c r="S45" s="18">
        <v>4800</v>
      </c>
      <c r="T45" s="18">
        <v>234700</v>
      </c>
      <c r="U45" s="18">
        <v>213900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20800</v>
      </c>
      <c r="AD45" s="18">
        <v>234700</v>
      </c>
      <c r="AE45" s="18">
        <v>213900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20800</v>
      </c>
      <c r="AN45" s="18">
        <v>129085</v>
      </c>
      <c r="AO45" s="18">
        <v>0</v>
      </c>
      <c r="AP45" s="18">
        <v>129085</v>
      </c>
    </row>
    <row r="46" spans="1:42" s="16" customFormat="1" x14ac:dyDescent="0.4">
      <c r="A46" s="17" t="s">
        <v>48</v>
      </c>
      <c r="B46" s="17" t="s">
        <v>81</v>
      </c>
      <c r="C46" s="17" t="s">
        <v>82</v>
      </c>
      <c r="D46" s="17" t="s">
        <v>83</v>
      </c>
      <c r="E46" s="17" t="s">
        <v>84</v>
      </c>
      <c r="F46" s="17" t="s">
        <v>49</v>
      </c>
      <c r="G46" s="17" t="s">
        <v>20</v>
      </c>
      <c r="H46" s="17" t="s">
        <v>21</v>
      </c>
      <c r="I46" s="17" t="s">
        <v>22</v>
      </c>
      <c r="J46" s="17">
        <v>47944978</v>
      </c>
      <c r="K46" s="17" t="s">
        <v>119</v>
      </c>
      <c r="L46" s="17"/>
      <c r="M46" s="17"/>
      <c r="N46" s="17" t="s">
        <v>64</v>
      </c>
      <c r="O46" s="17" t="s">
        <v>23</v>
      </c>
      <c r="P46" s="17">
        <v>0.55000000000000004</v>
      </c>
      <c r="Q46" s="17">
        <v>0.55000000000000004</v>
      </c>
      <c r="R46" s="18" t="s">
        <v>24</v>
      </c>
      <c r="S46" s="18">
        <v>9200</v>
      </c>
      <c r="T46" s="18">
        <v>189400</v>
      </c>
      <c r="U46" s="18">
        <v>141900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47500</v>
      </c>
      <c r="AD46" s="18">
        <v>189400</v>
      </c>
      <c r="AE46" s="18">
        <v>141900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47500</v>
      </c>
      <c r="AN46" s="18">
        <v>104170</v>
      </c>
      <c r="AO46" s="18">
        <v>0</v>
      </c>
      <c r="AP46" s="18">
        <v>104170</v>
      </c>
    </row>
    <row r="47" spans="1:42" s="16" customFormat="1" x14ac:dyDescent="0.4">
      <c r="A47" s="17" t="s">
        <v>48</v>
      </c>
      <c r="B47" s="17" t="s">
        <v>81</v>
      </c>
      <c r="C47" s="17" t="s">
        <v>82</v>
      </c>
      <c r="D47" s="17" t="s">
        <v>83</v>
      </c>
      <c r="E47" s="17" t="s">
        <v>84</v>
      </c>
      <c r="F47" s="17" t="s">
        <v>49</v>
      </c>
      <c r="G47" s="17" t="s">
        <v>20</v>
      </c>
      <c r="H47" s="17" t="s">
        <v>21</v>
      </c>
      <c r="I47" s="17" t="s">
        <v>22</v>
      </c>
      <c r="J47" s="17">
        <v>47944978</v>
      </c>
      <c r="K47" s="17" t="s">
        <v>119</v>
      </c>
      <c r="L47" s="17"/>
      <c r="M47" s="17"/>
      <c r="N47" s="17" t="s">
        <v>64</v>
      </c>
      <c r="O47" s="17" t="s">
        <v>23</v>
      </c>
      <c r="P47" s="17">
        <v>0.55000000000000004</v>
      </c>
      <c r="Q47" s="17">
        <v>0.55000000000000004</v>
      </c>
      <c r="R47" s="18" t="s">
        <v>24</v>
      </c>
      <c r="S47" s="18">
        <v>13500</v>
      </c>
      <c r="T47" s="18">
        <v>148500</v>
      </c>
      <c r="U47" s="18">
        <v>132800</v>
      </c>
      <c r="V47" s="18">
        <v>0</v>
      </c>
      <c r="W47" s="18">
        <v>0</v>
      </c>
      <c r="X47" s="18">
        <v>0</v>
      </c>
      <c r="Y47" s="18">
        <v>0</v>
      </c>
      <c r="Z47" s="18">
        <v>13500</v>
      </c>
      <c r="AA47" s="18">
        <v>0</v>
      </c>
      <c r="AB47" s="18">
        <v>0</v>
      </c>
      <c r="AC47" s="18">
        <v>2200</v>
      </c>
      <c r="AD47" s="18">
        <v>149850</v>
      </c>
      <c r="AE47" s="18">
        <v>132800</v>
      </c>
      <c r="AF47" s="18">
        <v>0</v>
      </c>
      <c r="AG47" s="18">
        <v>0</v>
      </c>
      <c r="AH47" s="18">
        <v>0</v>
      </c>
      <c r="AI47" s="18">
        <v>0</v>
      </c>
      <c r="AJ47" s="18">
        <v>14850</v>
      </c>
      <c r="AK47" s="18">
        <v>0</v>
      </c>
      <c r="AL47" s="18">
        <v>0</v>
      </c>
      <c r="AM47" s="18">
        <v>2200</v>
      </c>
      <c r="AN47" s="18">
        <v>82418</v>
      </c>
      <c r="AO47" s="18">
        <v>0</v>
      </c>
      <c r="AP47" s="18">
        <v>82418</v>
      </c>
    </row>
    <row r="48" spans="1:42" s="16" customFormat="1" x14ac:dyDescent="0.4">
      <c r="A48" s="17" t="s">
        <v>48</v>
      </c>
      <c r="B48" s="17" t="s">
        <v>81</v>
      </c>
      <c r="C48" s="17" t="s">
        <v>82</v>
      </c>
      <c r="D48" s="17" t="s">
        <v>83</v>
      </c>
      <c r="E48" s="17" t="s">
        <v>84</v>
      </c>
      <c r="F48" s="17" t="s">
        <v>49</v>
      </c>
      <c r="G48" s="17" t="s">
        <v>20</v>
      </c>
      <c r="H48" s="17" t="s">
        <v>21</v>
      </c>
      <c r="I48" s="17" t="s">
        <v>22</v>
      </c>
      <c r="J48" s="17">
        <v>48836576</v>
      </c>
      <c r="K48" s="17" t="s">
        <v>66</v>
      </c>
      <c r="L48" s="17"/>
      <c r="M48" s="17"/>
      <c r="N48" s="17" t="s">
        <v>64</v>
      </c>
      <c r="O48" s="17" t="s">
        <v>23</v>
      </c>
      <c r="P48" s="17">
        <v>0.55000000000000004</v>
      </c>
      <c r="Q48" s="17">
        <v>0.55000000000000004</v>
      </c>
      <c r="R48" s="18" t="s">
        <v>25</v>
      </c>
      <c r="S48" s="18">
        <v>100</v>
      </c>
      <c r="T48" s="18">
        <v>421900</v>
      </c>
      <c r="U48" s="18">
        <v>31640</v>
      </c>
      <c r="V48" s="18">
        <v>0</v>
      </c>
      <c r="W48" s="18">
        <v>0</v>
      </c>
      <c r="X48" s="18">
        <v>0</v>
      </c>
      <c r="Y48" s="18">
        <v>200</v>
      </c>
      <c r="Z48" s="18">
        <v>5200</v>
      </c>
      <c r="AA48" s="18">
        <v>0</v>
      </c>
      <c r="AB48" s="18">
        <v>0</v>
      </c>
      <c r="AC48" s="18">
        <v>384860</v>
      </c>
      <c r="AD48" s="18">
        <v>422460</v>
      </c>
      <c r="AE48" s="18">
        <v>31640</v>
      </c>
      <c r="AF48" s="18">
        <v>0</v>
      </c>
      <c r="AG48" s="18">
        <v>0</v>
      </c>
      <c r="AH48" s="18">
        <v>0</v>
      </c>
      <c r="AI48" s="18">
        <v>240</v>
      </c>
      <c r="AJ48" s="18">
        <v>5720</v>
      </c>
      <c r="AK48" s="18">
        <v>0</v>
      </c>
      <c r="AL48" s="18">
        <v>0</v>
      </c>
      <c r="AM48" s="18">
        <v>384860</v>
      </c>
      <c r="AN48" s="18">
        <v>232353</v>
      </c>
      <c r="AO48" s="18">
        <v>0</v>
      </c>
      <c r="AP48" s="18">
        <v>232353</v>
      </c>
    </row>
    <row r="49" spans="1:42" s="16" customFormat="1" x14ac:dyDescent="0.4">
      <c r="A49" s="17" t="s">
        <v>48</v>
      </c>
      <c r="B49" s="17" t="s">
        <v>81</v>
      </c>
      <c r="C49" s="17" t="s">
        <v>82</v>
      </c>
      <c r="D49" s="17" t="s">
        <v>83</v>
      </c>
      <c r="E49" s="17" t="s">
        <v>84</v>
      </c>
      <c r="F49" s="17" t="s">
        <v>49</v>
      </c>
      <c r="G49" s="17" t="s">
        <v>20</v>
      </c>
      <c r="H49" s="17" t="s">
        <v>21</v>
      </c>
      <c r="I49" s="17" t="s">
        <v>22</v>
      </c>
      <c r="J49" s="17">
        <v>48836576</v>
      </c>
      <c r="K49" s="17" t="s">
        <v>66</v>
      </c>
      <c r="L49" s="17"/>
      <c r="M49" s="17"/>
      <c r="N49" s="17" t="s">
        <v>64</v>
      </c>
      <c r="O49" s="17" t="s">
        <v>23</v>
      </c>
      <c r="P49" s="17">
        <v>0.55000000000000004</v>
      </c>
      <c r="Q49" s="17">
        <v>0.55000000000000004</v>
      </c>
      <c r="R49" s="18" t="s">
        <v>24</v>
      </c>
      <c r="S49" s="18">
        <v>2400</v>
      </c>
      <c r="T49" s="18">
        <v>264500</v>
      </c>
      <c r="U49" s="18">
        <v>168150</v>
      </c>
      <c r="V49" s="18">
        <v>0</v>
      </c>
      <c r="W49" s="18">
        <v>0</v>
      </c>
      <c r="X49" s="18">
        <v>0</v>
      </c>
      <c r="Y49" s="18">
        <v>0</v>
      </c>
      <c r="Z49" s="18">
        <v>7200</v>
      </c>
      <c r="AA49" s="18">
        <v>0</v>
      </c>
      <c r="AB49" s="18">
        <v>0</v>
      </c>
      <c r="AC49" s="18">
        <v>89150</v>
      </c>
      <c r="AD49" s="18">
        <v>265220</v>
      </c>
      <c r="AE49" s="18">
        <v>168150</v>
      </c>
      <c r="AF49" s="18">
        <v>0</v>
      </c>
      <c r="AG49" s="18">
        <v>0</v>
      </c>
      <c r="AH49" s="18">
        <v>0</v>
      </c>
      <c r="AI49" s="18">
        <v>0</v>
      </c>
      <c r="AJ49" s="18">
        <v>7920</v>
      </c>
      <c r="AK49" s="18">
        <v>0</v>
      </c>
      <c r="AL49" s="18">
        <v>0</v>
      </c>
      <c r="AM49" s="18">
        <v>89150</v>
      </c>
      <c r="AN49" s="18">
        <v>145871</v>
      </c>
      <c r="AO49" s="18">
        <v>0</v>
      </c>
      <c r="AP49" s="18">
        <v>145871</v>
      </c>
    </row>
    <row r="50" spans="1:42" s="16" customFormat="1" x14ac:dyDescent="0.4">
      <c r="A50" s="17" t="s">
        <v>48</v>
      </c>
      <c r="B50" s="17" t="s">
        <v>81</v>
      </c>
      <c r="C50" s="17" t="s">
        <v>82</v>
      </c>
      <c r="D50" s="17" t="s">
        <v>83</v>
      </c>
      <c r="E50" s="17" t="s">
        <v>84</v>
      </c>
      <c r="F50" s="17" t="s">
        <v>49</v>
      </c>
      <c r="G50" s="17" t="s">
        <v>20</v>
      </c>
      <c r="H50" s="17" t="s">
        <v>21</v>
      </c>
      <c r="I50" s="17" t="s">
        <v>22</v>
      </c>
      <c r="J50" s="17">
        <v>48836576</v>
      </c>
      <c r="K50" s="17" t="s">
        <v>66</v>
      </c>
      <c r="L50" s="17"/>
      <c r="M50" s="17"/>
      <c r="N50" s="17" t="s">
        <v>64</v>
      </c>
      <c r="O50" s="17" t="s">
        <v>23</v>
      </c>
      <c r="P50" s="17">
        <v>0.55000000000000004</v>
      </c>
      <c r="Q50" s="17">
        <v>0.55000000000000004</v>
      </c>
      <c r="R50" s="18" t="s">
        <v>24</v>
      </c>
      <c r="S50" s="18">
        <v>9200</v>
      </c>
      <c r="T50" s="18">
        <v>266900</v>
      </c>
      <c r="U50" s="18">
        <v>193200</v>
      </c>
      <c r="V50" s="18">
        <v>0</v>
      </c>
      <c r="W50" s="18">
        <v>0</v>
      </c>
      <c r="X50" s="18">
        <v>0</v>
      </c>
      <c r="Y50" s="18">
        <v>0</v>
      </c>
      <c r="Z50" s="18">
        <v>31000</v>
      </c>
      <c r="AA50" s="18">
        <v>0</v>
      </c>
      <c r="AB50" s="18">
        <v>0</v>
      </c>
      <c r="AC50" s="18">
        <v>42700</v>
      </c>
      <c r="AD50" s="18">
        <v>270000</v>
      </c>
      <c r="AE50" s="18">
        <v>193200</v>
      </c>
      <c r="AF50" s="18">
        <v>0</v>
      </c>
      <c r="AG50" s="18">
        <v>0</v>
      </c>
      <c r="AH50" s="18">
        <v>0</v>
      </c>
      <c r="AI50" s="18">
        <v>0</v>
      </c>
      <c r="AJ50" s="18">
        <v>34100</v>
      </c>
      <c r="AK50" s="18">
        <v>0</v>
      </c>
      <c r="AL50" s="18">
        <v>0</v>
      </c>
      <c r="AM50" s="18">
        <v>42700</v>
      </c>
      <c r="AN50" s="18">
        <v>148500</v>
      </c>
      <c r="AO50" s="18">
        <v>0</v>
      </c>
      <c r="AP50" s="18">
        <v>148500</v>
      </c>
    </row>
    <row r="51" spans="1:42" s="16" customFormat="1" x14ac:dyDescent="0.4">
      <c r="A51" s="17" t="s">
        <v>48</v>
      </c>
      <c r="B51" s="17" t="s">
        <v>81</v>
      </c>
      <c r="C51" s="17" t="s">
        <v>82</v>
      </c>
      <c r="D51" s="17" t="s">
        <v>83</v>
      </c>
      <c r="E51" s="17" t="s">
        <v>84</v>
      </c>
      <c r="F51" s="17" t="s">
        <v>49</v>
      </c>
      <c r="G51" s="17" t="s">
        <v>20</v>
      </c>
      <c r="H51" s="17" t="s">
        <v>21</v>
      </c>
      <c r="I51" s="17" t="s">
        <v>22</v>
      </c>
      <c r="J51" s="17">
        <v>48836576</v>
      </c>
      <c r="K51" s="17" t="s">
        <v>66</v>
      </c>
      <c r="L51" s="17"/>
      <c r="M51" s="17"/>
      <c r="N51" s="17" t="s">
        <v>64</v>
      </c>
      <c r="O51" s="17" t="s">
        <v>23</v>
      </c>
      <c r="P51" s="17">
        <v>0.55000000000000004</v>
      </c>
      <c r="Q51" s="17">
        <v>0.55000000000000004</v>
      </c>
      <c r="R51" s="18" t="s">
        <v>24</v>
      </c>
      <c r="S51" s="18">
        <v>18000</v>
      </c>
      <c r="T51" s="18">
        <v>120000</v>
      </c>
      <c r="U51" s="18">
        <v>98500</v>
      </c>
      <c r="V51" s="18">
        <v>0</v>
      </c>
      <c r="W51" s="18">
        <v>0</v>
      </c>
      <c r="X51" s="18">
        <v>0</v>
      </c>
      <c r="Y51" s="18">
        <v>0</v>
      </c>
      <c r="Z51" s="18">
        <v>18000</v>
      </c>
      <c r="AA51" s="18">
        <v>0</v>
      </c>
      <c r="AB51" s="18">
        <v>0</v>
      </c>
      <c r="AC51" s="18">
        <v>3500</v>
      </c>
      <c r="AD51" s="18">
        <v>121800</v>
      </c>
      <c r="AE51" s="18">
        <v>98500</v>
      </c>
      <c r="AF51" s="18">
        <v>0</v>
      </c>
      <c r="AG51" s="18">
        <v>0</v>
      </c>
      <c r="AH51" s="18">
        <v>0</v>
      </c>
      <c r="AI51" s="18">
        <v>0</v>
      </c>
      <c r="AJ51" s="18">
        <v>19800</v>
      </c>
      <c r="AK51" s="18">
        <v>0</v>
      </c>
      <c r="AL51" s="18">
        <v>0</v>
      </c>
      <c r="AM51" s="18">
        <v>3500</v>
      </c>
      <c r="AN51" s="18">
        <v>66990</v>
      </c>
      <c r="AO51" s="18">
        <v>0</v>
      </c>
      <c r="AP51" s="18">
        <v>66990</v>
      </c>
    </row>
    <row r="52" spans="1:42" s="16" customFormat="1" x14ac:dyDescent="0.4">
      <c r="A52" s="17" t="s">
        <v>48</v>
      </c>
      <c r="B52" s="17" t="s">
        <v>81</v>
      </c>
      <c r="C52" s="17" t="s">
        <v>82</v>
      </c>
      <c r="D52" s="17" t="s">
        <v>83</v>
      </c>
      <c r="E52" s="17" t="s">
        <v>84</v>
      </c>
      <c r="F52" s="17" t="s">
        <v>49</v>
      </c>
      <c r="G52" s="17" t="s">
        <v>20</v>
      </c>
      <c r="H52" s="17" t="s">
        <v>21</v>
      </c>
      <c r="I52" s="17" t="s">
        <v>22</v>
      </c>
      <c r="J52" s="17">
        <v>49089226</v>
      </c>
      <c r="K52" s="17" t="s">
        <v>71</v>
      </c>
      <c r="L52" s="17"/>
      <c r="M52" s="17"/>
      <c r="N52" s="17" t="s">
        <v>72</v>
      </c>
      <c r="O52" s="17" t="s">
        <v>23</v>
      </c>
      <c r="P52" s="17">
        <v>0.55000000000000004</v>
      </c>
      <c r="Q52" s="17">
        <v>0.55000000000000004</v>
      </c>
      <c r="R52" s="18" t="s">
        <v>25</v>
      </c>
      <c r="S52" s="18">
        <v>100</v>
      </c>
      <c r="T52" s="18">
        <v>132700</v>
      </c>
      <c r="U52" s="18">
        <v>29600</v>
      </c>
      <c r="V52" s="18">
        <v>0</v>
      </c>
      <c r="W52" s="18">
        <v>0</v>
      </c>
      <c r="X52" s="18">
        <v>0</v>
      </c>
      <c r="Y52" s="18">
        <v>4810</v>
      </c>
      <c r="Z52" s="18">
        <v>2200</v>
      </c>
      <c r="AA52" s="18">
        <v>0</v>
      </c>
      <c r="AB52" s="18">
        <v>0</v>
      </c>
      <c r="AC52" s="18">
        <v>96090</v>
      </c>
      <c r="AD52" s="18">
        <v>133882</v>
      </c>
      <c r="AE52" s="18">
        <v>29600</v>
      </c>
      <c r="AF52" s="18">
        <v>0</v>
      </c>
      <c r="AG52" s="18">
        <v>0</v>
      </c>
      <c r="AH52" s="18">
        <v>0</v>
      </c>
      <c r="AI52" s="18">
        <v>5772</v>
      </c>
      <c r="AJ52" s="18">
        <v>2420</v>
      </c>
      <c r="AK52" s="18">
        <v>0</v>
      </c>
      <c r="AL52" s="18">
        <v>0</v>
      </c>
      <c r="AM52" s="18">
        <v>96090</v>
      </c>
      <c r="AN52" s="18">
        <v>73635</v>
      </c>
      <c r="AO52" s="18">
        <v>0</v>
      </c>
      <c r="AP52" s="18">
        <v>73635</v>
      </c>
    </row>
    <row r="53" spans="1:42" s="16" customFormat="1" x14ac:dyDescent="0.4">
      <c r="A53" s="17" t="s">
        <v>48</v>
      </c>
      <c r="B53" s="17" t="s">
        <v>81</v>
      </c>
      <c r="C53" s="17" t="s">
        <v>82</v>
      </c>
      <c r="D53" s="17" t="s">
        <v>83</v>
      </c>
      <c r="E53" s="17" t="s">
        <v>84</v>
      </c>
      <c r="F53" s="17" t="s">
        <v>49</v>
      </c>
      <c r="G53" s="17" t="s">
        <v>20</v>
      </c>
      <c r="H53" s="17" t="s">
        <v>21</v>
      </c>
      <c r="I53" s="17" t="s">
        <v>22</v>
      </c>
      <c r="J53" s="17">
        <v>49089226</v>
      </c>
      <c r="K53" s="17" t="s">
        <v>71</v>
      </c>
      <c r="L53" s="17"/>
      <c r="M53" s="17"/>
      <c r="N53" s="17" t="s">
        <v>72</v>
      </c>
      <c r="O53" s="17" t="s">
        <v>23</v>
      </c>
      <c r="P53" s="17">
        <v>0.55000000000000004</v>
      </c>
      <c r="Q53" s="17">
        <v>0.55000000000000004</v>
      </c>
      <c r="R53" s="18" t="s">
        <v>24</v>
      </c>
      <c r="S53" s="18">
        <v>2400</v>
      </c>
      <c r="T53" s="18">
        <v>129000</v>
      </c>
      <c r="U53" s="18">
        <v>91450</v>
      </c>
      <c r="V53" s="18">
        <v>0</v>
      </c>
      <c r="W53" s="18">
        <v>0</v>
      </c>
      <c r="X53" s="18">
        <v>0</v>
      </c>
      <c r="Y53" s="18">
        <v>0</v>
      </c>
      <c r="Z53" s="18">
        <v>7000</v>
      </c>
      <c r="AA53" s="18">
        <v>0</v>
      </c>
      <c r="AB53" s="18">
        <v>0</v>
      </c>
      <c r="AC53" s="18">
        <v>30550</v>
      </c>
      <c r="AD53" s="18">
        <v>129700</v>
      </c>
      <c r="AE53" s="18">
        <v>91450</v>
      </c>
      <c r="AF53" s="18">
        <v>0</v>
      </c>
      <c r="AG53" s="18">
        <v>0</v>
      </c>
      <c r="AH53" s="18">
        <v>0</v>
      </c>
      <c r="AI53" s="18">
        <v>0</v>
      </c>
      <c r="AJ53" s="18">
        <v>7700</v>
      </c>
      <c r="AK53" s="18">
        <v>0</v>
      </c>
      <c r="AL53" s="18">
        <v>0</v>
      </c>
      <c r="AM53" s="18">
        <v>30550</v>
      </c>
      <c r="AN53" s="18">
        <v>71335</v>
      </c>
      <c r="AO53" s="18">
        <v>0</v>
      </c>
      <c r="AP53" s="18">
        <v>71335</v>
      </c>
    </row>
    <row r="54" spans="1:42" s="16" customFormat="1" x14ac:dyDescent="0.4">
      <c r="A54" s="17" t="s">
        <v>48</v>
      </c>
      <c r="B54" s="17" t="s">
        <v>81</v>
      </c>
      <c r="C54" s="17" t="s">
        <v>82</v>
      </c>
      <c r="D54" s="17" t="s">
        <v>83</v>
      </c>
      <c r="E54" s="17" t="s">
        <v>84</v>
      </c>
      <c r="F54" s="17" t="s">
        <v>49</v>
      </c>
      <c r="G54" s="17" t="s">
        <v>20</v>
      </c>
      <c r="H54" s="17" t="s">
        <v>21</v>
      </c>
      <c r="I54" s="17" t="s">
        <v>22</v>
      </c>
      <c r="J54" s="17">
        <v>49089226</v>
      </c>
      <c r="K54" s="17" t="s">
        <v>71</v>
      </c>
      <c r="L54" s="17"/>
      <c r="M54" s="17"/>
      <c r="N54" s="17" t="s">
        <v>72</v>
      </c>
      <c r="O54" s="17" t="s">
        <v>23</v>
      </c>
      <c r="P54" s="17">
        <v>0.55000000000000004</v>
      </c>
      <c r="Q54" s="17">
        <v>0.55000000000000004</v>
      </c>
      <c r="R54" s="18" t="s">
        <v>24</v>
      </c>
      <c r="S54" s="18">
        <v>9200</v>
      </c>
      <c r="T54" s="18">
        <v>89100</v>
      </c>
      <c r="U54" s="18">
        <v>62350</v>
      </c>
      <c r="V54" s="18">
        <v>0</v>
      </c>
      <c r="W54" s="18">
        <v>0</v>
      </c>
      <c r="X54" s="18">
        <v>0</v>
      </c>
      <c r="Y54" s="18">
        <v>0</v>
      </c>
      <c r="Z54" s="18">
        <v>27600</v>
      </c>
      <c r="AA54" s="18">
        <v>0</v>
      </c>
      <c r="AB54" s="18">
        <v>0</v>
      </c>
      <c r="AC54" s="18">
        <v>-850</v>
      </c>
      <c r="AD54" s="18">
        <v>91860</v>
      </c>
      <c r="AE54" s="18">
        <v>62350</v>
      </c>
      <c r="AF54" s="18">
        <v>0</v>
      </c>
      <c r="AG54" s="18">
        <v>0</v>
      </c>
      <c r="AH54" s="18">
        <v>0</v>
      </c>
      <c r="AI54" s="18">
        <v>0</v>
      </c>
      <c r="AJ54" s="18">
        <v>30360</v>
      </c>
      <c r="AK54" s="18">
        <v>0</v>
      </c>
      <c r="AL54" s="18">
        <v>0</v>
      </c>
      <c r="AM54" s="18">
        <v>-850</v>
      </c>
      <c r="AN54" s="18">
        <v>50523</v>
      </c>
      <c r="AO54" s="18">
        <v>0</v>
      </c>
      <c r="AP54" s="18">
        <v>50523</v>
      </c>
    </row>
    <row r="55" spans="1:42" s="16" customFormat="1" x14ac:dyDescent="0.4">
      <c r="A55" s="17" t="s">
        <v>48</v>
      </c>
      <c r="B55" s="17" t="s">
        <v>81</v>
      </c>
      <c r="C55" s="17" t="s">
        <v>82</v>
      </c>
      <c r="D55" s="17" t="s">
        <v>83</v>
      </c>
      <c r="E55" s="17" t="s">
        <v>84</v>
      </c>
      <c r="F55" s="17" t="s">
        <v>49</v>
      </c>
      <c r="G55" s="17" t="s">
        <v>20</v>
      </c>
      <c r="H55" s="17" t="s">
        <v>21</v>
      </c>
      <c r="I55" s="17" t="s">
        <v>22</v>
      </c>
      <c r="J55" s="17">
        <v>49089226</v>
      </c>
      <c r="K55" s="17" t="s">
        <v>71</v>
      </c>
      <c r="L55" s="17"/>
      <c r="M55" s="17"/>
      <c r="N55" s="17" t="s">
        <v>72</v>
      </c>
      <c r="O55" s="17" t="s">
        <v>23</v>
      </c>
      <c r="P55" s="17">
        <v>0.55000000000000004</v>
      </c>
      <c r="Q55" s="17">
        <v>0.55000000000000004</v>
      </c>
      <c r="R55" s="18" t="s">
        <v>24</v>
      </c>
      <c r="S55" s="18">
        <v>18000</v>
      </c>
      <c r="T55" s="18">
        <v>74800</v>
      </c>
      <c r="U55" s="18">
        <v>56800</v>
      </c>
      <c r="V55" s="18">
        <v>0</v>
      </c>
      <c r="W55" s="18">
        <v>0</v>
      </c>
      <c r="X55" s="18">
        <v>0</v>
      </c>
      <c r="Y55" s="18">
        <v>0</v>
      </c>
      <c r="Z55" s="18">
        <v>18000</v>
      </c>
      <c r="AA55" s="18">
        <v>0</v>
      </c>
      <c r="AB55" s="18">
        <v>0</v>
      </c>
      <c r="AC55" s="18">
        <v>0</v>
      </c>
      <c r="AD55" s="18">
        <v>76600</v>
      </c>
      <c r="AE55" s="18">
        <v>56800</v>
      </c>
      <c r="AF55" s="18">
        <v>0</v>
      </c>
      <c r="AG55" s="18">
        <v>0</v>
      </c>
      <c r="AH55" s="18">
        <v>0</v>
      </c>
      <c r="AI55" s="18">
        <v>0</v>
      </c>
      <c r="AJ55" s="18">
        <v>19800</v>
      </c>
      <c r="AK55" s="18">
        <v>0</v>
      </c>
      <c r="AL55" s="18">
        <v>0</v>
      </c>
      <c r="AM55" s="18">
        <v>0</v>
      </c>
      <c r="AN55" s="18">
        <v>42130</v>
      </c>
      <c r="AO55" s="18">
        <v>0</v>
      </c>
      <c r="AP55" s="18">
        <v>42130</v>
      </c>
    </row>
    <row r="56" spans="1:42" s="16" customFormat="1" x14ac:dyDescent="0.4">
      <c r="A56" s="17" t="s">
        <v>48</v>
      </c>
      <c r="B56" s="17" t="s">
        <v>81</v>
      </c>
      <c r="C56" s="17" t="s">
        <v>82</v>
      </c>
      <c r="D56" s="17" t="s">
        <v>83</v>
      </c>
      <c r="E56" s="17" t="s">
        <v>84</v>
      </c>
      <c r="F56" s="17" t="s">
        <v>49</v>
      </c>
      <c r="G56" s="17" t="s">
        <v>20</v>
      </c>
      <c r="H56" s="17" t="s">
        <v>21</v>
      </c>
      <c r="I56" s="17" t="s">
        <v>22</v>
      </c>
      <c r="J56" s="17">
        <v>49231182</v>
      </c>
      <c r="K56" s="17" t="s">
        <v>124</v>
      </c>
      <c r="L56" s="17"/>
      <c r="M56" s="17"/>
      <c r="N56" s="17" t="s">
        <v>64</v>
      </c>
      <c r="O56" s="17" t="s">
        <v>23</v>
      </c>
      <c r="P56" s="17">
        <v>0.55000000000000004</v>
      </c>
      <c r="Q56" s="17">
        <v>0.55000000000000004</v>
      </c>
      <c r="R56" s="18" t="s">
        <v>25</v>
      </c>
      <c r="S56" s="18">
        <v>100</v>
      </c>
      <c r="T56" s="18">
        <v>28700</v>
      </c>
      <c r="U56" s="18">
        <v>3600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25100</v>
      </c>
      <c r="AD56" s="18">
        <v>28700</v>
      </c>
      <c r="AE56" s="18">
        <v>3600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25100</v>
      </c>
      <c r="AN56" s="18">
        <v>15785</v>
      </c>
      <c r="AO56" s="18">
        <v>0</v>
      </c>
      <c r="AP56" s="18">
        <v>15785</v>
      </c>
    </row>
    <row r="57" spans="1:42" s="16" customFormat="1" x14ac:dyDescent="0.4">
      <c r="A57" s="17" t="s">
        <v>48</v>
      </c>
      <c r="B57" s="17" t="s">
        <v>81</v>
      </c>
      <c r="C57" s="17" t="s">
        <v>82</v>
      </c>
      <c r="D57" s="17" t="s">
        <v>83</v>
      </c>
      <c r="E57" s="17" t="s">
        <v>84</v>
      </c>
      <c r="F57" s="17" t="s">
        <v>49</v>
      </c>
      <c r="G57" s="17" t="s">
        <v>20</v>
      </c>
      <c r="H57" s="17" t="s">
        <v>21</v>
      </c>
      <c r="I57" s="17" t="s">
        <v>22</v>
      </c>
      <c r="J57" s="17">
        <v>49231182</v>
      </c>
      <c r="K57" s="17" t="s">
        <v>124</v>
      </c>
      <c r="L57" s="17"/>
      <c r="M57" s="17"/>
      <c r="N57" s="17" t="s">
        <v>64</v>
      </c>
      <c r="O57" s="17" t="s">
        <v>23</v>
      </c>
      <c r="P57" s="17">
        <v>0.55000000000000004</v>
      </c>
      <c r="Q57" s="17">
        <v>0.55000000000000004</v>
      </c>
      <c r="R57" s="18" t="s">
        <v>24</v>
      </c>
      <c r="S57" s="18">
        <v>1800</v>
      </c>
      <c r="T57" s="18">
        <v>30600</v>
      </c>
      <c r="U57" s="18">
        <v>16200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14400</v>
      </c>
      <c r="AD57" s="18">
        <v>30600</v>
      </c>
      <c r="AE57" s="18">
        <v>16200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14400</v>
      </c>
      <c r="AN57" s="18">
        <v>16830</v>
      </c>
      <c r="AO57" s="18">
        <v>0</v>
      </c>
      <c r="AP57" s="18">
        <v>16830</v>
      </c>
    </row>
    <row r="58" spans="1:42" s="16" customFormat="1" x14ac:dyDescent="0.4">
      <c r="A58" s="17" t="s">
        <v>48</v>
      </c>
      <c r="B58" s="17" t="s">
        <v>81</v>
      </c>
      <c r="C58" s="17" t="s">
        <v>82</v>
      </c>
      <c r="D58" s="17" t="s">
        <v>83</v>
      </c>
      <c r="E58" s="17" t="s">
        <v>84</v>
      </c>
      <c r="F58" s="17" t="s">
        <v>49</v>
      </c>
      <c r="G58" s="17" t="s">
        <v>20</v>
      </c>
      <c r="H58" s="17" t="s">
        <v>21</v>
      </c>
      <c r="I58" s="17" t="s">
        <v>22</v>
      </c>
      <c r="J58" s="17">
        <v>49231182</v>
      </c>
      <c r="K58" s="17" t="s">
        <v>124</v>
      </c>
      <c r="L58" s="17"/>
      <c r="M58" s="17"/>
      <c r="N58" s="17" t="s">
        <v>64</v>
      </c>
      <c r="O58" s="17" t="s">
        <v>23</v>
      </c>
      <c r="P58" s="17">
        <v>0.55000000000000004</v>
      </c>
      <c r="Q58" s="17">
        <v>0.55000000000000004</v>
      </c>
      <c r="R58" s="18" t="s">
        <v>24</v>
      </c>
      <c r="S58" s="18">
        <v>4500</v>
      </c>
      <c r="T58" s="18">
        <v>13500</v>
      </c>
      <c r="U58" s="18">
        <v>9000</v>
      </c>
      <c r="V58" s="18">
        <v>0</v>
      </c>
      <c r="W58" s="18">
        <v>0</v>
      </c>
      <c r="X58" s="18">
        <v>0</v>
      </c>
      <c r="Y58" s="18">
        <v>0</v>
      </c>
      <c r="Z58" s="18">
        <v>4500</v>
      </c>
      <c r="AA58" s="18">
        <v>0</v>
      </c>
      <c r="AB58" s="18">
        <v>0</v>
      </c>
      <c r="AC58" s="18">
        <v>0</v>
      </c>
      <c r="AD58" s="18">
        <v>13950</v>
      </c>
      <c r="AE58" s="18">
        <v>9000</v>
      </c>
      <c r="AF58" s="18">
        <v>0</v>
      </c>
      <c r="AG58" s="18">
        <v>0</v>
      </c>
      <c r="AH58" s="18">
        <v>0</v>
      </c>
      <c r="AI58" s="18">
        <v>0</v>
      </c>
      <c r="AJ58" s="18">
        <v>4950</v>
      </c>
      <c r="AK58" s="18">
        <v>0</v>
      </c>
      <c r="AL58" s="18">
        <v>0</v>
      </c>
      <c r="AM58" s="18">
        <v>0</v>
      </c>
      <c r="AN58" s="18">
        <v>7673</v>
      </c>
      <c r="AO58" s="18">
        <v>0</v>
      </c>
      <c r="AP58" s="18">
        <v>7673</v>
      </c>
    </row>
    <row r="59" spans="1:42" s="16" customFormat="1" x14ac:dyDescent="0.4">
      <c r="A59" s="17" t="s">
        <v>48</v>
      </c>
      <c r="B59" s="17" t="s">
        <v>81</v>
      </c>
      <c r="C59" s="17" t="s">
        <v>82</v>
      </c>
      <c r="D59" s="17" t="s">
        <v>83</v>
      </c>
      <c r="E59" s="17" t="s">
        <v>84</v>
      </c>
      <c r="F59" s="17" t="s">
        <v>49</v>
      </c>
      <c r="G59" s="17" t="s">
        <v>20</v>
      </c>
      <c r="H59" s="17" t="s">
        <v>21</v>
      </c>
      <c r="I59" s="17" t="s">
        <v>22</v>
      </c>
      <c r="J59" s="17">
        <v>49394422</v>
      </c>
      <c r="K59" s="17" t="s">
        <v>125</v>
      </c>
      <c r="L59" s="17"/>
      <c r="M59" s="17"/>
      <c r="N59" s="17" t="s">
        <v>64</v>
      </c>
      <c r="O59" s="17" t="s">
        <v>23</v>
      </c>
      <c r="P59" s="17">
        <v>0.55000000000000004</v>
      </c>
      <c r="Q59" s="17">
        <v>0.55000000000000004</v>
      </c>
      <c r="R59" s="18" t="s">
        <v>25</v>
      </c>
      <c r="S59" s="18">
        <v>100</v>
      </c>
      <c r="T59" s="18">
        <v>32300</v>
      </c>
      <c r="U59" s="18">
        <v>6300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26000</v>
      </c>
      <c r="AD59" s="18">
        <v>32300</v>
      </c>
      <c r="AE59" s="18">
        <v>6300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26000</v>
      </c>
      <c r="AN59" s="18">
        <v>17765</v>
      </c>
      <c r="AO59" s="18">
        <v>0</v>
      </c>
      <c r="AP59" s="18">
        <v>17765</v>
      </c>
    </row>
    <row r="60" spans="1:42" s="16" customFormat="1" x14ac:dyDescent="0.4">
      <c r="A60" s="17" t="s">
        <v>48</v>
      </c>
      <c r="B60" s="17" t="s">
        <v>81</v>
      </c>
      <c r="C60" s="17" t="s">
        <v>82</v>
      </c>
      <c r="D60" s="17" t="s">
        <v>83</v>
      </c>
      <c r="E60" s="17" t="s">
        <v>84</v>
      </c>
      <c r="F60" s="17" t="s">
        <v>49</v>
      </c>
      <c r="G60" s="17" t="s">
        <v>20</v>
      </c>
      <c r="H60" s="17" t="s">
        <v>21</v>
      </c>
      <c r="I60" s="17" t="s">
        <v>22</v>
      </c>
      <c r="J60" s="17">
        <v>49394422</v>
      </c>
      <c r="K60" s="17" t="s">
        <v>125</v>
      </c>
      <c r="L60" s="17"/>
      <c r="M60" s="17"/>
      <c r="N60" s="17" t="s">
        <v>64</v>
      </c>
      <c r="O60" s="17" t="s">
        <v>23</v>
      </c>
      <c r="P60" s="17">
        <v>0.55000000000000004</v>
      </c>
      <c r="Q60" s="17">
        <v>0.55000000000000004</v>
      </c>
      <c r="R60" s="18" t="s">
        <v>24</v>
      </c>
      <c r="S60" s="18">
        <v>1800</v>
      </c>
      <c r="T60" s="18">
        <v>19200</v>
      </c>
      <c r="U60" s="18">
        <v>8400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10800</v>
      </c>
      <c r="AD60" s="18">
        <v>19200</v>
      </c>
      <c r="AE60" s="18">
        <v>8400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10800</v>
      </c>
      <c r="AN60" s="18">
        <v>10560</v>
      </c>
      <c r="AO60" s="18">
        <v>0</v>
      </c>
      <c r="AP60" s="18">
        <v>10560</v>
      </c>
    </row>
    <row r="61" spans="1:42" s="16" customFormat="1" x14ac:dyDescent="0.4">
      <c r="A61" s="17" t="s">
        <v>48</v>
      </c>
      <c r="B61" s="17" t="s">
        <v>81</v>
      </c>
      <c r="C61" s="17" t="s">
        <v>82</v>
      </c>
      <c r="D61" s="17" t="s">
        <v>83</v>
      </c>
      <c r="E61" s="17" t="s">
        <v>84</v>
      </c>
      <c r="F61" s="17" t="s">
        <v>49</v>
      </c>
      <c r="G61" s="17" t="s">
        <v>20</v>
      </c>
      <c r="H61" s="17" t="s">
        <v>21</v>
      </c>
      <c r="I61" s="17" t="s">
        <v>22</v>
      </c>
      <c r="J61" s="17">
        <v>49394422</v>
      </c>
      <c r="K61" s="17" t="s">
        <v>125</v>
      </c>
      <c r="L61" s="17"/>
      <c r="M61" s="17"/>
      <c r="N61" s="17" t="s">
        <v>64</v>
      </c>
      <c r="O61" s="17" t="s">
        <v>23</v>
      </c>
      <c r="P61" s="17">
        <v>0.55000000000000004</v>
      </c>
      <c r="Q61" s="17">
        <v>0.55000000000000004</v>
      </c>
      <c r="R61" s="18" t="s">
        <v>24</v>
      </c>
      <c r="S61" s="18">
        <v>4500</v>
      </c>
      <c r="T61" s="18">
        <v>18000</v>
      </c>
      <c r="U61" s="18">
        <v>4000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14000</v>
      </c>
      <c r="AD61" s="18">
        <v>18000</v>
      </c>
      <c r="AE61" s="18">
        <v>4000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14000</v>
      </c>
      <c r="AN61" s="18">
        <v>9900</v>
      </c>
      <c r="AO61" s="18">
        <v>0</v>
      </c>
      <c r="AP61" s="18">
        <v>9900</v>
      </c>
    </row>
    <row r="62" spans="1:42" s="16" customFormat="1" x14ac:dyDescent="0.4">
      <c r="A62" s="17" t="s">
        <v>48</v>
      </c>
      <c r="B62" s="17" t="s">
        <v>81</v>
      </c>
      <c r="C62" s="17" t="s">
        <v>82</v>
      </c>
      <c r="D62" s="17" t="s">
        <v>83</v>
      </c>
      <c r="E62" s="17" t="s">
        <v>84</v>
      </c>
      <c r="F62" s="17" t="s">
        <v>49</v>
      </c>
      <c r="G62" s="17" t="s">
        <v>20</v>
      </c>
      <c r="H62" s="17" t="s">
        <v>21</v>
      </c>
      <c r="I62" s="17" t="s">
        <v>22</v>
      </c>
      <c r="J62" s="17">
        <v>49403666</v>
      </c>
      <c r="K62" s="17" t="s">
        <v>120</v>
      </c>
      <c r="L62" s="17"/>
      <c r="M62" s="17"/>
      <c r="N62" s="17" t="s">
        <v>64</v>
      </c>
      <c r="O62" s="17" t="s">
        <v>23</v>
      </c>
      <c r="P62" s="17">
        <v>0.55000000000000004</v>
      </c>
      <c r="Q62" s="17">
        <v>0.55000000000000004</v>
      </c>
      <c r="R62" s="18" t="s">
        <v>25</v>
      </c>
      <c r="S62" s="18">
        <v>100</v>
      </c>
      <c r="T62" s="18">
        <v>49300</v>
      </c>
      <c r="U62" s="18">
        <v>12700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36600</v>
      </c>
      <c r="AD62" s="18">
        <v>49300</v>
      </c>
      <c r="AE62" s="18">
        <v>12700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36600</v>
      </c>
      <c r="AN62" s="18">
        <v>27115</v>
      </c>
      <c r="AO62" s="18">
        <v>0</v>
      </c>
      <c r="AP62" s="18">
        <v>27115</v>
      </c>
    </row>
    <row r="63" spans="1:42" s="16" customFormat="1" x14ac:dyDescent="0.4">
      <c r="A63" s="17" t="s">
        <v>48</v>
      </c>
      <c r="B63" s="17" t="s">
        <v>81</v>
      </c>
      <c r="C63" s="17" t="s">
        <v>82</v>
      </c>
      <c r="D63" s="17" t="s">
        <v>83</v>
      </c>
      <c r="E63" s="17" t="s">
        <v>84</v>
      </c>
      <c r="F63" s="17" t="s">
        <v>49</v>
      </c>
      <c r="G63" s="17" t="s">
        <v>20</v>
      </c>
      <c r="H63" s="17" t="s">
        <v>21</v>
      </c>
      <c r="I63" s="17" t="s">
        <v>22</v>
      </c>
      <c r="J63" s="17">
        <v>49403666</v>
      </c>
      <c r="K63" s="17" t="s">
        <v>120</v>
      </c>
      <c r="L63" s="17"/>
      <c r="M63" s="17"/>
      <c r="N63" s="17" t="s">
        <v>64</v>
      </c>
      <c r="O63" s="17" t="s">
        <v>23</v>
      </c>
      <c r="P63" s="17">
        <v>0.55000000000000004</v>
      </c>
      <c r="Q63" s="17">
        <v>0.55000000000000004</v>
      </c>
      <c r="R63" s="18" t="s">
        <v>24</v>
      </c>
      <c r="S63" s="18">
        <v>1800</v>
      </c>
      <c r="T63" s="18">
        <v>54500</v>
      </c>
      <c r="U63" s="18">
        <v>38300</v>
      </c>
      <c r="V63" s="18">
        <v>0</v>
      </c>
      <c r="W63" s="18">
        <v>0</v>
      </c>
      <c r="X63" s="18">
        <v>0</v>
      </c>
      <c r="Y63" s="18">
        <v>0</v>
      </c>
      <c r="Z63" s="18">
        <v>3600</v>
      </c>
      <c r="AA63" s="18">
        <v>0</v>
      </c>
      <c r="AB63" s="18">
        <v>0</v>
      </c>
      <c r="AC63" s="18">
        <v>12600</v>
      </c>
      <c r="AD63" s="18">
        <v>54860</v>
      </c>
      <c r="AE63" s="18">
        <v>38300</v>
      </c>
      <c r="AF63" s="18">
        <v>0</v>
      </c>
      <c r="AG63" s="18">
        <v>0</v>
      </c>
      <c r="AH63" s="18">
        <v>0</v>
      </c>
      <c r="AI63" s="18">
        <v>0</v>
      </c>
      <c r="AJ63" s="18">
        <v>3960</v>
      </c>
      <c r="AK63" s="18">
        <v>0</v>
      </c>
      <c r="AL63" s="18">
        <v>0</v>
      </c>
      <c r="AM63" s="18">
        <v>12600</v>
      </c>
      <c r="AN63" s="18">
        <v>30173</v>
      </c>
      <c r="AO63" s="18">
        <v>0</v>
      </c>
      <c r="AP63" s="18">
        <v>30173</v>
      </c>
    </row>
    <row r="64" spans="1:42" s="16" customFormat="1" x14ac:dyDescent="0.4">
      <c r="A64" s="17" t="s">
        <v>48</v>
      </c>
      <c r="B64" s="17" t="s">
        <v>81</v>
      </c>
      <c r="C64" s="17" t="s">
        <v>82</v>
      </c>
      <c r="D64" s="17" t="s">
        <v>83</v>
      </c>
      <c r="E64" s="17" t="s">
        <v>84</v>
      </c>
      <c r="F64" s="17" t="s">
        <v>49</v>
      </c>
      <c r="G64" s="17" t="s">
        <v>20</v>
      </c>
      <c r="H64" s="17" t="s">
        <v>21</v>
      </c>
      <c r="I64" s="17" t="s">
        <v>22</v>
      </c>
      <c r="J64" s="17">
        <v>49403666</v>
      </c>
      <c r="K64" s="17" t="s">
        <v>120</v>
      </c>
      <c r="L64" s="17"/>
      <c r="M64" s="17"/>
      <c r="N64" s="17" t="s">
        <v>64</v>
      </c>
      <c r="O64" s="17" t="s">
        <v>23</v>
      </c>
      <c r="P64" s="17">
        <v>0.55000000000000004</v>
      </c>
      <c r="Q64" s="17">
        <v>0.55000000000000004</v>
      </c>
      <c r="R64" s="18" t="s">
        <v>24</v>
      </c>
      <c r="S64" s="18">
        <v>4500</v>
      </c>
      <c r="T64" s="18">
        <v>27000</v>
      </c>
      <c r="U64" s="18">
        <v>22500</v>
      </c>
      <c r="V64" s="18">
        <v>0</v>
      </c>
      <c r="W64" s="18">
        <v>0</v>
      </c>
      <c r="X64" s="18">
        <v>0</v>
      </c>
      <c r="Y64" s="18">
        <v>0</v>
      </c>
      <c r="Z64" s="18">
        <v>4500</v>
      </c>
      <c r="AA64" s="18">
        <v>0</v>
      </c>
      <c r="AB64" s="18">
        <v>0</v>
      </c>
      <c r="AC64" s="18">
        <v>0</v>
      </c>
      <c r="AD64" s="18">
        <v>27450</v>
      </c>
      <c r="AE64" s="18">
        <v>22500</v>
      </c>
      <c r="AF64" s="18">
        <v>0</v>
      </c>
      <c r="AG64" s="18">
        <v>0</v>
      </c>
      <c r="AH64" s="18">
        <v>0</v>
      </c>
      <c r="AI64" s="18">
        <v>0</v>
      </c>
      <c r="AJ64" s="18">
        <v>4950</v>
      </c>
      <c r="AK64" s="18">
        <v>0</v>
      </c>
      <c r="AL64" s="18">
        <v>0</v>
      </c>
      <c r="AM64" s="18">
        <v>0</v>
      </c>
      <c r="AN64" s="18">
        <v>15098</v>
      </c>
      <c r="AO64" s="18">
        <v>0</v>
      </c>
      <c r="AP64" s="18">
        <v>15098</v>
      </c>
    </row>
    <row r="65" spans="1:42" s="16" customFormat="1" x14ac:dyDescent="0.4">
      <c r="A65" s="17" t="s">
        <v>48</v>
      </c>
      <c r="B65" s="17" t="s">
        <v>81</v>
      </c>
      <c r="C65" s="17" t="s">
        <v>82</v>
      </c>
      <c r="D65" s="17" t="s">
        <v>83</v>
      </c>
      <c r="E65" s="17" t="s">
        <v>84</v>
      </c>
      <c r="F65" s="17" t="s">
        <v>49</v>
      </c>
      <c r="G65" s="17" t="s">
        <v>20</v>
      </c>
      <c r="H65" s="17" t="s">
        <v>21</v>
      </c>
      <c r="I65" s="17" t="s">
        <v>22</v>
      </c>
      <c r="J65" s="17">
        <v>49403666</v>
      </c>
      <c r="K65" s="17" t="s">
        <v>120</v>
      </c>
      <c r="L65" s="17"/>
      <c r="M65" s="17"/>
      <c r="N65" s="17" t="s">
        <v>64</v>
      </c>
      <c r="O65" s="17" t="s">
        <v>23</v>
      </c>
      <c r="P65" s="17">
        <v>0.55000000000000004</v>
      </c>
      <c r="Q65" s="17">
        <v>0.55000000000000004</v>
      </c>
      <c r="R65" s="18" t="s">
        <v>24</v>
      </c>
      <c r="S65" s="18">
        <v>9000</v>
      </c>
      <c r="T65" s="18">
        <v>9000</v>
      </c>
      <c r="U65" s="18">
        <v>4000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5000</v>
      </c>
      <c r="AD65" s="18">
        <v>9000</v>
      </c>
      <c r="AE65" s="18">
        <v>4000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5000</v>
      </c>
      <c r="AN65" s="18">
        <v>4950</v>
      </c>
      <c r="AO65" s="18">
        <v>0</v>
      </c>
      <c r="AP65" s="18">
        <v>4950</v>
      </c>
    </row>
    <row r="66" spans="1:42" s="16" customFormat="1" x14ac:dyDescent="0.4">
      <c r="A66" s="17" t="s">
        <v>48</v>
      </c>
      <c r="B66" s="17" t="s">
        <v>81</v>
      </c>
      <c r="C66" s="17" t="s">
        <v>82</v>
      </c>
      <c r="D66" s="17" t="s">
        <v>83</v>
      </c>
      <c r="E66" s="17" t="s">
        <v>84</v>
      </c>
      <c r="F66" s="17" t="s">
        <v>49</v>
      </c>
      <c r="G66" s="17" t="s">
        <v>20</v>
      </c>
      <c r="H66" s="17" t="s">
        <v>21</v>
      </c>
      <c r="I66" s="17" t="s">
        <v>22</v>
      </c>
      <c r="J66" s="17">
        <v>49689447</v>
      </c>
      <c r="K66" s="17" t="s">
        <v>77</v>
      </c>
      <c r="L66" s="17"/>
      <c r="M66" s="17"/>
      <c r="N66" s="17" t="s">
        <v>78</v>
      </c>
      <c r="O66" s="17" t="s">
        <v>23</v>
      </c>
      <c r="P66" s="17">
        <v>0.55000000000000004</v>
      </c>
      <c r="Q66" s="17">
        <v>0.55000000000000004</v>
      </c>
      <c r="R66" s="18" t="s">
        <v>25</v>
      </c>
      <c r="S66" s="18">
        <v>100</v>
      </c>
      <c r="T66" s="18">
        <v>99200</v>
      </c>
      <c r="U66" s="18">
        <v>28780</v>
      </c>
      <c r="V66" s="18">
        <v>0</v>
      </c>
      <c r="W66" s="18">
        <v>0</v>
      </c>
      <c r="X66" s="18">
        <v>0</v>
      </c>
      <c r="Y66" s="18">
        <v>700</v>
      </c>
      <c r="Z66" s="18">
        <v>3500</v>
      </c>
      <c r="AA66" s="18">
        <v>0</v>
      </c>
      <c r="AB66" s="18">
        <v>0</v>
      </c>
      <c r="AC66" s="18">
        <v>66220</v>
      </c>
      <c r="AD66" s="18">
        <v>99690</v>
      </c>
      <c r="AE66" s="18">
        <v>28780</v>
      </c>
      <c r="AF66" s="18">
        <v>0</v>
      </c>
      <c r="AG66" s="18">
        <v>0</v>
      </c>
      <c r="AH66" s="18">
        <v>0</v>
      </c>
      <c r="AI66" s="18">
        <v>840</v>
      </c>
      <c r="AJ66" s="18">
        <v>3850</v>
      </c>
      <c r="AK66" s="18">
        <v>0</v>
      </c>
      <c r="AL66" s="18">
        <v>0</v>
      </c>
      <c r="AM66" s="18">
        <v>66220</v>
      </c>
      <c r="AN66" s="18">
        <v>54830</v>
      </c>
      <c r="AO66" s="18">
        <v>0</v>
      </c>
      <c r="AP66" s="18">
        <v>54830</v>
      </c>
    </row>
    <row r="67" spans="1:42" s="16" customFormat="1" x14ac:dyDescent="0.4">
      <c r="A67" s="17" t="s">
        <v>48</v>
      </c>
      <c r="B67" s="17" t="s">
        <v>81</v>
      </c>
      <c r="C67" s="17" t="s">
        <v>82</v>
      </c>
      <c r="D67" s="17" t="s">
        <v>83</v>
      </c>
      <c r="E67" s="17" t="s">
        <v>84</v>
      </c>
      <c r="F67" s="17" t="s">
        <v>49</v>
      </c>
      <c r="G67" s="17" t="s">
        <v>20</v>
      </c>
      <c r="H67" s="17" t="s">
        <v>21</v>
      </c>
      <c r="I67" s="17" t="s">
        <v>22</v>
      </c>
      <c r="J67" s="17">
        <v>49689447</v>
      </c>
      <c r="K67" s="17" t="s">
        <v>77</v>
      </c>
      <c r="L67" s="17"/>
      <c r="M67" s="17"/>
      <c r="N67" s="17" t="s">
        <v>78</v>
      </c>
      <c r="O67" s="17" t="s">
        <v>23</v>
      </c>
      <c r="P67" s="17">
        <v>0.55000000000000004</v>
      </c>
      <c r="Q67" s="17">
        <v>0.55000000000000004</v>
      </c>
      <c r="R67" s="18" t="s">
        <v>24</v>
      </c>
      <c r="S67" s="18">
        <v>2700</v>
      </c>
      <c r="T67" s="18">
        <v>64500</v>
      </c>
      <c r="U67" s="18">
        <v>57900</v>
      </c>
      <c r="V67" s="18">
        <v>0</v>
      </c>
      <c r="W67" s="18">
        <v>0</v>
      </c>
      <c r="X67" s="18">
        <v>0</v>
      </c>
      <c r="Y67" s="18">
        <v>100</v>
      </c>
      <c r="Z67" s="18">
        <v>400</v>
      </c>
      <c r="AA67" s="18">
        <v>0</v>
      </c>
      <c r="AB67" s="18">
        <v>0</v>
      </c>
      <c r="AC67" s="18">
        <v>6100</v>
      </c>
      <c r="AD67" s="18">
        <v>64560</v>
      </c>
      <c r="AE67" s="18">
        <v>57900</v>
      </c>
      <c r="AF67" s="18">
        <v>0</v>
      </c>
      <c r="AG67" s="18">
        <v>0</v>
      </c>
      <c r="AH67" s="18">
        <v>0</v>
      </c>
      <c r="AI67" s="18">
        <v>120</v>
      </c>
      <c r="AJ67" s="18">
        <v>440</v>
      </c>
      <c r="AK67" s="18">
        <v>0</v>
      </c>
      <c r="AL67" s="18">
        <v>0</v>
      </c>
      <c r="AM67" s="18">
        <v>6100</v>
      </c>
      <c r="AN67" s="18">
        <v>35508</v>
      </c>
      <c r="AO67" s="18">
        <v>0</v>
      </c>
      <c r="AP67" s="18">
        <v>35508</v>
      </c>
    </row>
    <row r="68" spans="1:42" s="16" customFormat="1" x14ac:dyDescent="0.4">
      <c r="A68" s="17" t="s">
        <v>48</v>
      </c>
      <c r="B68" s="17" t="s">
        <v>81</v>
      </c>
      <c r="C68" s="17" t="s">
        <v>82</v>
      </c>
      <c r="D68" s="17" t="s">
        <v>83</v>
      </c>
      <c r="E68" s="17" t="s">
        <v>84</v>
      </c>
      <c r="F68" s="17" t="s">
        <v>49</v>
      </c>
      <c r="G68" s="17" t="s">
        <v>20</v>
      </c>
      <c r="H68" s="17" t="s">
        <v>21</v>
      </c>
      <c r="I68" s="17" t="s">
        <v>22</v>
      </c>
      <c r="J68" s="17">
        <v>49689447</v>
      </c>
      <c r="K68" s="17" t="s">
        <v>77</v>
      </c>
      <c r="L68" s="17"/>
      <c r="M68" s="17"/>
      <c r="N68" s="17" t="s">
        <v>78</v>
      </c>
      <c r="O68" s="17" t="s">
        <v>23</v>
      </c>
      <c r="P68" s="17">
        <v>0.55000000000000004</v>
      </c>
      <c r="Q68" s="17">
        <v>0.55000000000000004</v>
      </c>
      <c r="R68" s="18" t="s">
        <v>24</v>
      </c>
      <c r="S68" s="18">
        <v>5300</v>
      </c>
      <c r="T68" s="18">
        <v>43800</v>
      </c>
      <c r="U68" s="18">
        <v>37500</v>
      </c>
      <c r="V68" s="18">
        <v>0</v>
      </c>
      <c r="W68" s="18">
        <v>0</v>
      </c>
      <c r="X68" s="18">
        <v>0</v>
      </c>
      <c r="Y68" s="18">
        <v>0</v>
      </c>
      <c r="Z68" s="18">
        <v>5300</v>
      </c>
      <c r="AA68" s="18">
        <v>0</v>
      </c>
      <c r="AB68" s="18">
        <v>0</v>
      </c>
      <c r="AC68" s="18">
        <v>1000</v>
      </c>
      <c r="AD68" s="18">
        <v>44330</v>
      </c>
      <c r="AE68" s="18">
        <v>37500</v>
      </c>
      <c r="AF68" s="18">
        <v>0</v>
      </c>
      <c r="AG68" s="18">
        <v>0</v>
      </c>
      <c r="AH68" s="18">
        <v>0</v>
      </c>
      <c r="AI68" s="18">
        <v>0</v>
      </c>
      <c r="AJ68" s="18">
        <v>5830</v>
      </c>
      <c r="AK68" s="18">
        <v>0</v>
      </c>
      <c r="AL68" s="18">
        <v>0</v>
      </c>
      <c r="AM68" s="18">
        <v>1000</v>
      </c>
      <c r="AN68" s="18">
        <v>24382</v>
      </c>
      <c r="AO68" s="18">
        <v>0</v>
      </c>
      <c r="AP68" s="18">
        <v>24382</v>
      </c>
    </row>
    <row r="69" spans="1:42" s="16" customFormat="1" x14ac:dyDescent="0.4">
      <c r="A69" s="17" t="s">
        <v>48</v>
      </c>
      <c r="B69" s="17" t="s">
        <v>81</v>
      </c>
      <c r="C69" s="17" t="s">
        <v>82</v>
      </c>
      <c r="D69" s="17" t="s">
        <v>83</v>
      </c>
      <c r="E69" s="17" t="s">
        <v>84</v>
      </c>
      <c r="F69" s="17" t="s">
        <v>49</v>
      </c>
      <c r="G69" s="17" t="s">
        <v>20</v>
      </c>
      <c r="H69" s="17" t="s">
        <v>21</v>
      </c>
      <c r="I69" s="17" t="s">
        <v>22</v>
      </c>
      <c r="J69" s="17">
        <v>49689447</v>
      </c>
      <c r="K69" s="17" t="s">
        <v>77</v>
      </c>
      <c r="L69" s="17"/>
      <c r="M69" s="17"/>
      <c r="N69" s="17" t="s">
        <v>78</v>
      </c>
      <c r="O69" s="17" t="s">
        <v>23</v>
      </c>
      <c r="P69" s="17">
        <v>0.55000000000000004</v>
      </c>
      <c r="Q69" s="17">
        <v>0.55000000000000004</v>
      </c>
      <c r="R69" s="18" t="s">
        <v>24</v>
      </c>
      <c r="S69" s="18">
        <v>7900</v>
      </c>
      <c r="T69" s="18">
        <v>78500</v>
      </c>
      <c r="U69" s="18">
        <v>54800</v>
      </c>
      <c r="V69" s="18">
        <v>0</v>
      </c>
      <c r="W69" s="18">
        <v>0</v>
      </c>
      <c r="X69" s="18">
        <v>0</v>
      </c>
      <c r="Y69" s="18">
        <v>0</v>
      </c>
      <c r="Z69" s="18">
        <v>15600</v>
      </c>
      <c r="AA69" s="18">
        <v>0</v>
      </c>
      <c r="AB69" s="18">
        <v>0</v>
      </c>
      <c r="AC69" s="18">
        <v>8100</v>
      </c>
      <c r="AD69" s="18">
        <v>80060</v>
      </c>
      <c r="AE69" s="18">
        <v>54800</v>
      </c>
      <c r="AF69" s="18">
        <v>0</v>
      </c>
      <c r="AG69" s="18">
        <v>0</v>
      </c>
      <c r="AH69" s="18">
        <v>0</v>
      </c>
      <c r="AI69" s="18">
        <v>0</v>
      </c>
      <c r="AJ69" s="18">
        <v>17160</v>
      </c>
      <c r="AK69" s="18">
        <v>0</v>
      </c>
      <c r="AL69" s="18">
        <v>0</v>
      </c>
      <c r="AM69" s="18">
        <v>8100</v>
      </c>
      <c r="AN69" s="18">
        <v>44033</v>
      </c>
      <c r="AO69" s="18">
        <v>0</v>
      </c>
      <c r="AP69" s="18">
        <v>44033</v>
      </c>
    </row>
    <row r="70" spans="1:42" s="16" customFormat="1" x14ac:dyDescent="0.4">
      <c r="A70" s="17" t="s">
        <v>48</v>
      </c>
      <c r="B70" s="17" t="s">
        <v>81</v>
      </c>
      <c r="C70" s="17" t="s">
        <v>82</v>
      </c>
      <c r="D70" s="17" t="s">
        <v>83</v>
      </c>
      <c r="E70" s="17" t="s">
        <v>84</v>
      </c>
      <c r="F70" s="17" t="s">
        <v>49</v>
      </c>
      <c r="G70" s="17" t="s">
        <v>20</v>
      </c>
      <c r="H70" s="17" t="s">
        <v>21</v>
      </c>
      <c r="I70" s="17" t="s">
        <v>22</v>
      </c>
      <c r="J70" s="17">
        <v>49989820</v>
      </c>
      <c r="K70" s="17" t="s">
        <v>65</v>
      </c>
      <c r="L70" s="17"/>
      <c r="M70" s="17"/>
      <c r="N70" s="17" t="s">
        <v>58</v>
      </c>
      <c r="O70" s="17" t="s">
        <v>23</v>
      </c>
      <c r="P70" s="17">
        <v>0.55000000000000004</v>
      </c>
      <c r="Q70" s="17">
        <v>0.55000000000000004</v>
      </c>
      <c r="R70" s="18" t="s">
        <v>25</v>
      </c>
      <c r="S70" s="18">
        <v>100</v>
      </c>
      <c r="T70" s="18">
        <v>4700</v>
      </c>
      <c r="U70" s="18">
        <v>1000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3700</v>
      </c>
      <c r="AD70" s="18">
        <v>4700</v>
      </c>
      <c r="AE70" s="18">
        <v>1000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3700</v>
      </c>
      <c r="AN70" s="18">
        <v>2585</v>
      </c>
      <c r="AO70" s="18">
        <v>0</v>
      </c>
      <c r="AP70" s="18">
        <v>2585</v>
      </c>
    </row>
    <row r="71" spans="1:42" s="16" customFormat="1" x14ac:dyDescent="0.4">
      <c r="A71" s="17" t="s">
        <v>48</v>
      </c>
      <c r="B71" s="17" t="s">
        <v>81</v>
      </c>
      <c r="C71" s="17" t="s">
        <v>82</v>
      </c>
      <c r="D71" s="17" t="s">
        <v>83</v>
      </c>
      <c r="E71" s="17" t="s">
        <v>84</v>
      </c>
      <c r="F71" s="17" t="s">
        <v>49</v>
      </c>
      <c r="G71" s="17" t="s">
        <v>20</v>
      </c>
      <c r="H71" s="17" t="s">
        <v>21</v>
      </c>
      <c r="I71" s="17" t="s">
        <v>22</v>
      </c>
      <c r="J71" s="17">
        <v>49989820</v>
      </c>
      <c r="K71" s="17" t="s">
        <v>65</v>
      </c>
      <c r="L71" s="17"/>
      <c r="M71" s="17"/>
      <c r="N71" s="17" t="s">
        <v>58</v>
      </c>
      <c r="O71" s="17" t="s">
        <v>23</v>
      </c>
      <c r="P71" s="17">
        <v>0.55000000000000004</v>
      </c>
      <c r="Q71" s="17">
        <v>0.55000000000000004</v>
      </c>
      <c r="R71" s="18" t="s">
        <v>24</v>
      </c>
      <c r="S71" s="18">
        <v>2400</v>
      </c>
      <c r="T71" s="18">
        <v>31200</v>
      </c>
      <c r="U71" s="18">
        <v>26200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5000</v>
      </c>
      <c r="AD71" s="18">
        <v>31200</v>
      </c>
      <c r="AE71" s="18">
        <v>26200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5000</v>
      </c>
      <c r="AN71" s="18">
        <v>17160</v>
      </c>
      <c r="AO71" s="18">
        <v>0</v>
      </c>
      <c r="AP71" s="18">
        <v>17160</v>
      </c>
    </row>
    <row r="72" spans="1:42" s="16" customFormat="1" x14ac:dyDescent="0.4">
      <c r="A72" s="17" t="s">
        <v>48</v>
      </c>
      <c r="B72" s="17" t="s">
        <v>81</v>
      </c>
      <c r="C72" s="17" t="s">
        <v>82</v>
      </c>
      <c r="D72" s="17" t="s">
        <v>83</v>
      </c>
      <c r="E72" s="17" t="s">
        <v>84</v>
      </c>
      <c r="F72" s="17" t="s">
        <v>49</v>
      </c>
      <c r="G72" s="17" t="s">
        <v>20</v>
      </c>
      <c r="H72" s="17" t="s">
        <v>21</v>
      </c>
      <c r="I72" s="17" t="s">
        <v>22</v>
      </c>
      <c r="J72" s="17">
        <v>49989820</v>
      </c>
      <c r="K72" s="17" t="s">
        <v>65</v>
      </c>
      <c r="L72" s="17"/>
      <c r="M72" s="17"/>
      <c r="N72" s="17" t="s">
        <v>58</v>
      </c>
      <c r="O72" s="17" t="s">
        <v>23</v>
      </c>
      <c r="P72" s="17">
        <v>0.55000000000000004</v>
      </c>
      <c r="Q72" s="17">
        <v>0.55000000000000004</v>
      </c>
      <c r="R72" s="18" t="s">
        <v>24</v>
      </c>
      <c r="S72" s="18">
        <v>13500</v>
      </c>
      <c r="T72" s="18">
        <v>6400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6400</v>
      </c>
      <c r="AD72" s="18">
        <v>6400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6400</v>
      </c>
      <c r="AN72" s="18">
        <v>3520</v>
      </c>
      <c r="AO72" s="18">
        <v>0</v>
      </c>
      <c r="AP72" s="18">
        <v>3520</v>
      </c>
    </row>
    <row r="73" spans="1:42" s="16" customFormat="1" x14ac:dyDescent="0.4">
      <c r="A73" s="17" t="s">
        <v>48</v>
      </c>
      <c r="B73" s="17" t="s">
        <v>81</v>
      </c>
      <c r="C73" s="17" t="s">
        <v>82</v>
      </c>
      <c r="D73" s="17" t="s">
        <v>83</v>
      </c>
      <c r="E73" s="17" t="s">
        <v>84</v>
      </c>
      <c r="F73" s="17" t="s">
        <v>49</v>
      </c>
      <c r="G73" s="17" t="s">
        <v>20</v>
      </c>
      <c r="H73" s="17" t="s">
        <v>21</v>
      </c>
      <c r="I73" s="17" t="s">
        <v>22</v>
      </c>
      <c r="J73" s="17">
        <v>50171772</v>
      </c>
      <c r="K73" s="17" t="s">
        <v>70</v>
      </c>
      <c r="L73" s="17"/>
      <c r="M73" s="17"/>
      <c r="N73" s="17" t="s">
        <v>64</v>
      </c>
      <c r="O73" s="17" t="s">
        <v>23</v>
      </c>
      <c r="P73" s="17">
        <v>0.55000000000000004</v>
      </c>
      <c r="Q73" s="17">
        <v>0.55000000000000004</v>
      </c>
      <c r="R73" s="18" t="s">
        <v>25</v>
      </c>
      <c r="S73" s="18">
        <v>100</v>
      </c>
      <c r="T73" s="18">
        <v>1574600</v>
      </c>
      <c r="U73" s="18">
        <v>451930</v>
      </c>
      <c r="V73" s="18">
        <v>0</v>
      </c>
      <c r="W73" s="18">
        <v>0</v>
      </c>
      <c r="X73" s="18">
        <v>0</v>
      </c>
      <c r="Y73" s="18">
        <v>3200</v>
      </c>
      <c r="Z73" s="18">
        <v>28180</v>
      </c>
      <c r="AA73" s="18">
        <v>0</v>
      </c>
      <c r="AB73" s="18">
        <v>0</v>
      </c>
      <c r="AC73" s="18">
        <v>1091290</v>
      </c>
      <c r="AD73" s="18">
        <v>1578058</v>
      </c>
      <c r="AE73" s="18">
        <v>451930</v>
      </c>
      <c r="AF73" s="18">
        <v>0</v>
      </c>
      <c r="AG73" s="18">
        <v>0</v>
      </c>
      <c r="AH73" s="18">
        <v>0</v>
      </c>
      <c r="AI73" s="18">
        <v>3840</v>
      </c>
      <c r="AJ73" s="18">
        <v>30998</v>
      </c>
      <c r="AK73" s="18">
        <v>0</v>
      </c>
      <c r="AL73" s="18">
        <v>0</v>
      </c>
      <c r="AM73" s="18">
        <v>1091290</v>
      </c>
      <c r="AN73" s="18">
        <v>867932</v>
      </c>
      <c r="AO73" s="18">
        <v>0</v>
      </c>
      <c r="AP73" s="18">
        <v>867932</v>
      </c>
    </row>
    <row r="74" spans="1:42" s="16" customFormat="1" x14ac:dyDescent="0.4">
      <c r="A74" s="17" t="s">
        <v>48</v>
      </c>
      <c r="B74" s="17" t="s">
        <v>81</v>
      </c>
      <c r="C74" s="17" t="s">
        <v>82</v>
      </c>
      <c r="D74" s="17" t="s">
        <v>83</v>
      </c>
      <c r="E74" s="17" t="s">
        <v>84</v>
      </c>
      <c r="F74" s="17" t="s">
        <v>49</v>
      </c>
      <c r="G74" s="17" t="s">
        <v>20</v>
      </c>
      <c r="H74" s="17" t="s">
        <v>21</v>
      </c>
      <c r="I74" s="17" t="s">
        <v>22</v>
      </c>
      <c r="J74" s="17">
        <v>50171772</v>
      </c>
      <c r="K74" s="17" t="s">
        <v>70</v>
      </c>
      <c r="L74" s="17"/>
      <c r="M74" s="17"/>
      <c r="N74" s="17" t="s">
        <v>64</v>
      </c>
      <c r="O74" s="17" t="s">
        <v>23</v>
      </c>
      <c r="P74" s="17">
        <v>0.55000000000000004</v>
      </c>
      <c r="Q74" s="17">
        <v>0.55000000000000004</v>
      </c>
      <c r="R74" s="18" t="s">
        <v>24</v>
      </c>
      <c r="S74" s="18">
        <v>2400</v>
      </c>
      <c r="T74" s="18">
        <v>1804200</v>
      </c>
      <c r="U74" s="18">
        <v>1268740</v>
      </c>
      <c r="V74" s="18">
        <v>0</v>
      </c>
      <c r="W74" s="18">
        <v>0</v>
      </c>
      <c r="X74" s="18">
        <v>0</v>
      </c>
      <c r="Y74" s="18">
        <v>4500</v>
      </c>
      <c r="Z74" s="18">
        <v>65400</v>
      </c>
      <c r="AA74" s="18">
        <v>0</v>
      </c>
      <c r="AB74" s="18">
        <v>0</v>
      </c>
      <c r="AC74" s="18">
        <v>465560</v>
      </c>
      <c r="AD74" s="18">
        <v>1811640</v>
      </c>
      <c r="AE74" s="18">
        <v>1268740</v>
      </c>
      <c r="AF74" s="18">
        <v>0</v>
      </c>
      <c r="AG74" s="18">
        <v>0</v>
      </c>
      <c r="AH74" s="18">
        <v>0</v>
      </c>
      <c r="AI74" s="18">
        <v>5400</v>
      </c>
      <c r="AJ74" s="18">
        <v>71940</v>
      </c>
      <c r="AK74" s="18">
        <v>0</v>
      </c>
      <c r="AL74" s="18">
        <v>0</v>
      </c>
      <c r="AM74" s="18">
        <v>465560</v>
      </c>
      <c r="AN74" s="18">
        <v>996402</v>
      </c>
      <c r="AO74" s="18">
        <v>0</v>
      </c>
      <c r="AP74" s="18">
        <v>996402</v>
      </c>
    </row>
    <row r="75" spans="1:42" s="16" customFormat="1" x14ac:dyDescent="0.4">
      <c r="A75" s="17" t="s">
        <v>48</v>
      </c>
      <c r="B75" s="17" t="s">
        <v>81</v>
      </c>
      <c r="C75" s="17" t="s">
        <v>82</v>
      </c>
      <c r="D75" s="17" t="s">
        <v>83</v>
      </c>
      <c r="E75" s="17" t="s">
        <v>84</v>
      </c>
      <c r="F75" s="17" t="s">
        <v>49</v>
      </c>
      <c r="G75" s="17" t="s">
        <v>20</v>
      </c>
      <c r="H75" s="17" t="s">
        <v>21</v>
      </c>
      <c r="I75" s="17" t="s">
        <v>22</v>
      </c>
      <c r="J75" s="17">
        <v>50171772</v>
      </c>
      <c r="K75" s="17" t="s">
        <v>70</v>
      </c>
      <c r="L75" s="17"/>
      <c r="M75" s="17"/>
      <c r="N75" s="17" t="s">
        <v>64</v>
      </c>
      <c r="O75" s="17" t="s">
        <v>23</v>
      </c>
      <c r="P75" s="17">
        <v>0.55000000000000004</v>
      </c>
      <c r="Q75" s="17">
        <v>0.55000000000000004</v>
      </c>
      <c r="R75" s="18" t="s">
        <v>24</v>
      </c>
      <c r="S75" s="18">
        <v>9200</v>
      </c>
      <c r="T75" s="18">
        <v>1378700</v>
      </c>
      <c r="U75" s="18">
        <v>1074740</v>
      </c>
      <c r="V75" s="18">
        <v>0</v>
      </c>
      <c r="W75" s="18">
        <v>0</v>
      </c>
      <c r="X75" s="18">
        <v>0</v>
      </c>
      <c r="Y75" s="18">
        <v>300</v>
      </c>
      <c r="Z75" s="18">
        <v>73300</v>
      </c>
      <c r="AA75" s="18">
        <v>0</v>
      </c>
      <c r="AB75" s="18">
        <v>0</v>
      </c>
      <c r="AC75" s="18">
        <v>230360</v>
      </c>
      <c r="AD75" s="18">
        <v>1386090</v>
      </c>
      <c r="AE75" s="18">
        <v>1074740</v>
      </c>
      <c r="AF75" s="18">
        <v>0</v>
      </c>
      <c r="AG75" s="18">
        <v>0</v>
      </c>
      <c r="AH75" s="18">
        <v>0</v>
      </c>
      <c r="AI75" s="18">
        <v>360</v>
      </c>
      <c r="AJ75" s="18">
        <v>80630</v>
      </c>
      <c r="AK75" s="18">
        <v>0</v>
      </c>
      <c r="AL75" s="18">
        <v>0</v>
      </c>
      <c r="AM75" s="18">
        <v>230360</v>
      </c>
      <c r="AN75" s="18">
        <v>762350</v>
      </c>
      <c r="AO75" s="18">
        <v>0</v>
      </c>
      <c r="AP75" s="18">
        <v>762350</v>
      </c>
    </row>
    <row r="76" spans="1:42" x14ac:dyDescent="0.4">
      <c r="A76" s="17" t="s">
        <v>48</v>
      </c>
      <c r="B76" s="17" t="s">
        <v>81</v>
      </c>
      <c r="C76" s="17" t="s">
        <v>82</v>
      </c>
      <c r="D76" s="17" t="s">
        <v>83</v>
      </c>
      <c r="E76" s="17" t="s">
        <v>84</v>
      </c>
      <c r="F76" s="17" t="s">
        <v>49</v>
      </c>
      <c r="G76" s="17" t="s">
        <v>20</v>
      </c>
      <c r="H76" s="17" t="s">
        <v>21</v>
      </c>
      <c r="I76" s="17" t="s">
        <v>22</v>
      </c>
      <c r="J76" s="17">
        <v>50171772</v>
      </c>
      <c r="K76" s="17" t="s">
        <v>70</v>
      </c>
      <c r="L76" s="17"/>
      <c r="M76" s="17"/>
      <c r="N76" s="17" t="s">
        <v>64</v>
      </c>
      <c r="O76" s="17" t="s">
        <v>23</v>
      </c>
      <c r="P76" s="17">
        <v>0.55000000000000004</v>
      </c>
      <c r="Q76" s="17">
        <v>0.55000000000000004</v>
      </c>
      <c r="R76" s="18" t="s">
        <v>24</v>
      </c>
      <c r="S76" s="18">
        <v>18000</v>
      </c>
      <c r="T76" s="18">
        <v>544600</v>
      </c>
      <c r="U76" s="18">
        <v>448460</v>
      </c>
      <c r="V76" s="18">
        <v>0</v>
      </c>
      <c r="W76" s="18">
        <v>0</v>
      </c>
      <c r="X76" s="18">
        <v>0</v>
      </c>
      <c r="Y76" s="18">
        <v>0</v>
      </c>
      <c r="Z76" s="18">
        <v>40000</v>
      </c>
      <c r="AA76" s="18">
        <v>0</v>
      </c>
      <c r="AB76" s="18">
        <v>0</v>
      </c>
      <c r="AC76" s="18">
        <v>56140</v>
      </c>
      <c r="AD76" s="18">
        <v>548600</v>
      </c>
      <c r="AE76" s="18">
        <v>448460</v>
      </c>
      <c r="AF76" s="18">
        <v>0</v>
      </c>
      <c r="AG76" s="18">
        <v>0</v>
      </c>
      <c r="AH76" s="18">
        <v>0</v>
      </c>
      <c r="AI76" s="18">
        <v>0</v>
      </c>
      <c r="AJ76" s="18">
        <v>44000</v>
      </c>
      <c r="AK76" s="18">
        <v>0</v>
      </c>
      <c r="AL76" s="18">
        <v>0</v>
      </c>
      <c r="AM76" s="18">
        <v>56140</v>
      </c>
      <c r="AN76" s="18">
        <v>301730</v>
      </c>
      <c r="AO76" s="18">
        <v>0</v>
      </c>
      <c r="AP76" s="18">
        <v>301730</v>
      </c>
    </row>
    <row r="77" spans="1:42" x14ac:dyDescent="0.4">
      <c r="A77" s="17" t="s">
        <v>48</v>
      </c>
      <c r="B77" s="17" t="s">
        <v>81</v>
      </c>
      <c r="C77" s="17" t="s">
        <v>82</v>
      </c>
      <c r="D77" s="17" t="s">
        <v>83</v>
      </c>
      <c r="E77" s="17" t="s">
        <v>84</v>
      </c>
      <c r="F77" s="17" t="s">
        <v>49</v>
      </c>
      <c r="G77" s="17" t="s">
        <v>20</v>
      </c>
      <c r="H77" s="17" t="s">
        <v>21</v>
      </c>
      <c r="I77" s="17" t="s">
        <v>22</v>
      </c>
      <c r="J77" s="17">
        <v>50982116</v>
      </c>
      <c r="K77" s="17" t="s">
        <v>59</v>
      </c>
      <c r="L77" s="17"/>
      <c r="M77" s="17"/>
      <c r="N77" s="17" t="s">
        <v>60</v>
      </c>
      <c r="O77" s="17" t="s">
        <v>23</v>
      </c>
      <c r="P77" s="17">
        <v>0.55000000000000004</v>
      </c>
      <c r="Q77" s="17">
        <v>0.55000000000000004</v>
      </c>
      <c r="R77" s="18" t="s">
        <v>25</v>
      </c>
      <c r="S77" s="18">
        <v>100</v>
      </c>
      <c r="T77" s="18">
        <v>33000</v>
      </c>
      <c r="U77" s="18">
        <v>18000</v>
      </c>
      <c r="V77" s="18">
        <v>0</v>
      </c>
      <c r="W77" s="18">
        <v>0</v>
      </c>
      <c r="X77" s="18">
        <v>-700</v>
      </c>
      <c r="Y77" s="18">
        <v>0</v>
      </c>
      <c r="Z77" s="18">
        <v>0</v>
      </c>
      <c r="AA77" s="18">
        <v>0</v>
      </c>
      <c r="AB77" s="18">
        <v>0</v>
      </c>
      <c r="AC77" s="18">
        <v>15700</v>
      </c>
      <c r="AD77" s="18">
        <v>32731.081600000001</v>
      </c>
      <c r="AE77" s="18">
        <v>18000</v>
      </c>
      <c r="AF77" s="18">
        <v>0</v>
      </c>
      <c r="AG77" s="18">
        <v>0</v>
      </c>
      <c r="AH77" s="18">
        <v>-968.91840000000002</v>
      </c>
      <c r="AI77" s="18">
        <v>0</v>
      </c>
      <c r="AJ77" s="18">
        <v>0</v>
      </c>
      <c r="AK77" s="18">
        <v>0</v>
      </c>
      <c r="AL77" s="18">
        <v>0</v>
      </c>
      <c r="AM77" s="18">
        <v>15700</v>
      </c>
      <c r="AN77" s="18">
        <v>18002</v>
      </c>
      <c r="AO77" s="18">
        <v>0</v>
      </c>
      <c r="AP77" s="18">
        <v>18002</v>
      </c>
    </row>
    <row r="78" spans="1:42" x14ac:dyDescent="0.4">
      <c r="A78" s="17" t="s">
        <v>48</v>
      </c>
      <c r="B78" s="17" t="s">
        <v>81</v>
      </c>
      <c r="C78" s="17" t="s">
        <v>82</v>
      </c>
      <c r="D78" s="17" t="s">
        <v>83</v>
      </c>
      <c r="E78" s="17" t="s">
        <v>84</v>
      </c>
      <c r="F78" s="17" t="s">
        <v>49</v>
      </c>
      <c r="G78" s="17" t="s">
        <v>20</v>
      </c>
      <c r="H78" s="17" t="s">
        <v>21</v>
      </c>
      <c r="I78" s="17" t="s">
        <v>22</v>
      </c>
      <c r="J78" s="17">
        <v>50982116</v>
      </c>
      <c r="K78" s="17" t="s">
        <v>59</v>
      </c>
      <c r="L78" s="17"/>
      <c r="M78" s="17"/>
      <c r="N78" s="17" t="s">
        <v>60</v>
      </c>
      <c r="O78" s="17" t="s">
        <v>23</v>
      </c>
      <c r="P78" s="17">
        <v>0.55000000000000004</v>
      </c>
      <c r="Q78" s="17">
        <v>0.55000000000000004</v>
      </c>
      <c r="R78" s="18" t="s">
        <v>24</v>
      </c>
      <c r="S78" s="18">
        <v>2900</v>
      </c>
      <c r="T78" s="18">
        <v>17700</v>
      </c>
      <c r="U78" s="18">
        <v>11900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5800</v>
      </c>
      <c r="AD78" s="18">
        <v>17700</v>
      </c>
      <c r="AE78" s="18">
        <v>11900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5800</v>
      </c>
      <c r="AN78" s="18">
        <v>9735</v>
      </c>
      <c r="AO78" s="18">
        <v>0</v>
      </c>
      <c r="AP78" s="18">
        <v>9735</v>
      </c>
    </row>
    <row r="79" spans="1:42" x14ac:dyDescent="0.4">
      <c r="A79" s="17" t="s">
        <v>48</v>
      </c>
      <c r="B79" s="17" t="s">
        <v>81</v>
      </c>
      <c r="C79" s="17" t="s">
        <v>82</v>
      </c>
      <c r="D79" s="17" t="s">
        <v>83</v>
      </c>
      <c r="E79" s="17" t="s">
        <v>84</v>
      </c>
      <c r="F79" s="17" t="s">
        <v>49</v>
      </c>
      <c r="G79" s="17" t="s">
        <v>20</v>
      </c>
      <c r="H79" s="17" t="s">
        <v>21</v>
      </c>
      <c r="I79" s="17" t="s">
        <v>22</v>
      </c>
      <c r="J79" s="17">
        <v>50982116</v>
      </c>
      <c r="K79" s="17" t="s">
        <v>59</v>
      </c>
      <c r="L79" s="17"/>
      <c r="M79" s="17"/>
      <c r="N79" s="17" t="s">
        <v>60</v>
      </c>
      <c r="O79" s="17" t="s">
        <v>23</v>
      </c>
      <c r="P79" s="17">
        <v>0.55000000000000004</v>
      </c>
      <c r="Q79" s="17">
        <v>0.55000000000000004</v>
      </c>
      <c r="R79" s="18" t="s">
        <v>24</v>
      </c>
      <c r="S79" s="18">
        <v>5600</v>
      </c>
      <c r="T79" s="18">
        <v>11200</v>
      </c>
      <c r="U79" s="18">
        <v>11000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200</v>
      </c>
      <c r="AD79" s="18">
        <v>11200</v>
      </c>
      <c r="AE79" s="18">
        <v>11000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200</v>
      </c>
      <c r="AN79" s="18">
        <v>6160</v>
      </c>
      <c r="AO79" s="18">
        <v>0</v>
      </c>
      <c r="AP79" s="18">
        <v>6160</v>
      </c>
    </row>
    <row r="80" spans="1:42" x14ac:dyDescent="0.4">
      <c r="A80" s="17" t="s">
        <v>48</v>
      </c>
      <c r="B80" s="17" t="s">
        <v>81</v>
      </c>
      <c r="C80" s="17" t="s">
        <v>82</v>
      </c>
      <c r="D80" s="17" t="s">
        <v>83</v>
      </c>
      <c r="E80" s="17" t="s">
        <v>84</v>
      </c>
      <c r="F80" s="17" t="s">
        <v>49</v>
      </c>
      <c r="G80" s="17" t="s">
        <v>20</v>
      </c>
      <c r="H80" s="17" t="s">
        <v>21</v>
      </c>
      <c r="I80" s="17" t="s">
        <v>22</v>
      </c>
      <c r="J80" s="17">
        <v>50982116</v>
      </c>
      <c r="K80" s="17" t="s">
        <v>59</v>
      </c>
      <c r="L80" s="17"/>
      <c r="M80" s="17"/>
      <c r="N80" s="17" t="s">
        <v>60</v>
      </c>
      <c r="O80" s="17" t="s">
        <v>23</v>
      </c>
      <c r="P80" s="17">
        <v>0.55000000000000004</v>
      </c>
      <c r="Q80" s="17">
        <v>0.55000000000000004</v>
      </c>
      <c r="R80" s="18" t="s">
        <v>24</v>
      </c>
      <c r="S80" s="18">
        <v>9000</v>
      </c>
      <c r="T80" s="18">
        <v>27000</v>
      </c>
      <c r="U80" s="18">
        <v>16400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10600</v>
      </c>
      <c r="AD80" s="18">
        <v>27000</v>
      </c>
      <c r="AE80" s="18">
        <v>16400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10600</v>
      </c>
      <c r="AN80" s="18">
        <v>14850</v>
      </c>
      <c r="AO80" s="18">
        <v>0</v>
      </c>
      <c r="AP80" s="18">
        <v>14850</v>
      </c>
    </row>
    <row r="81" spans="1:42" x14ac:dyDescent="0.4">
      <c r="A81" s="17" t="s">
        <v>48</v>
      </c>
      <c r="B81" s="17" t="s">
        <v>81</v>
      </c>
      <c r="C81" s="17" t="s">
        <v>82</v>
      </c>
      <c r="D81" s="17" t="s">
        <v>83</v>
      </c>
      <c r="E81" s="17" t="s">
        <v>84</v>
      </c>
      <c r="F81" s="17" t="s">
        <v>49</v>
      </c>
      <c r="G81" s="17" t="s">
        <v>20</v>
      </c>
      <c r="H81" s="17" t="s">
        <v>21</v>
      </c>
      <c r="I81" s="17" t="s">
        <v>22</v>
      </c>
      <c r="J81" s="17">
        <v>51286038</v>
      </c>
      <c r="K81" s="17" t="s">
        <v>160</v>
      </c>
      <c r="L81" s="17"/>
      <c r="M81" s="17"/>
      <c r="N81" s="17" t="s">
        <v>67</v>
      </c>
      <c r="O81" s="17" t="s">
        <v>23</v>
      </c>
      <c r="P81" s="17">
        <v>0.55000000000000004</v>
      </c>
      <c r="Q81" s="17">
        <v>0.55000000000000004</v>
      </c>
      <c r="R81" s="18" t="s">
        <v>25</v>
      </c>
      <c r="S81" s="18">
        <v>100</v>
      </c>
      <c r="T81" s="18">
        <v>600</v>
      </c>
      <c r="U81" s="18">
        <v>600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600</v>
      </c>
      <c r="AE81" s="18">
        <v>600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330</v>
      </c>
      <c r="AO81" s="18">
        <v>0</v>
      </c>
      <c r="AP81" s="18">
        <v>330</v>
      </c>
    </row>
    <row r="82" spans="1:42" x14ac:dyDescent="0.4">
      <c r="A82" s="17" t="s">
        <v>48</v>
      </c>
      <c r="B82" s="17" t="s">
        <v>81</v>
      </c>
      <c r="C82" s="17" t="s">
        <v>82</v>
      </c>
      <c r="D82" s="17" t="s">
        <v>83</v>
      </c>
      <c r="E82" s="17" t="s">
        <v>84</v>
      </c>
      <c r="F82" s="17" t="s">
        <v>49</v>
      </c>
      <c r="G82" s="17" t="s">
        <v>20</v>
      </c>
      <c r="H82" s="17" t="s">
        <v>21</v>
      </c>
      <c r="I82" s="17" t="s">
        <v>22</v>
      </c>
      <c r="J82" s="17">
        <v>51286038</v>
      </c>
      <c r="K82" s="17" t="s">
        <v>160</v>
      </c>
      <c r="L82" s="17"/>
      <c r="M82" s="17"/>
      <c r="N82" s="17" t="s">
        <v>67</v>
      </c>
      <c r="O82" s="17" t="s">
        <v>23</v>
      </c>
      <c r="P82" s="17">
        <v>0.55000000000000004</v>
      </c>
      <c r="Q82" s="17">
        <v>0.55000000000000004</v>
      </c>
      <c r="R82" s="18" t="s">
        <v>24</v>
      </c>
      <c r="S82" s="18">
        <v>2400</v>
      </c>
      <c r="T82" s="18">
        <v>-1500</v>
      </c>
      <c r="U82" s="18">
        <v>-1500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-1500</v>
      </c>
      <c r="AE82" s="18">
        <v>-1500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-825</v>
      </c>
      <c r="AO82" s="18">
        <v>0</v>
      </c>
      <c r="AP82" s="18">
        <v>-825</v>
      </c>
    </row>
    <row r="83" spans="1:42" x14ac:dyDescent="0.4">
      <c r="A83" s="17" t="s">
        <v>48</v>
      </c>
      <c r="B83" s="17" t="s">
        <v>81</v>
      </c>
      <c r="C83" s="17" t="s">
        <v>82</v>
      </c>
      <c r="D83" s="17" t="s">
        <v>83</v>
      </c>
      <c r="E83" s="17" t="s">
        <v>84</v>
      </c>
      <c r="F83" s="17" t="s">
        <v>49</v>
      </c>
      <c r="G83" s="17" t="s">
        <v>20</v>
      </c>
      <c r="H83" s="17" t="s">
        <v>21</v>
      </c>
      <c r="I83" s="17" t="s">
        <v>22</v>
      </c>
      <c r="J83" s="17">
        <v>51580576</v>
      </c>
      <c r="K83" s="17" t="s">
        <v>68</v>
      </c>
      <c r="L83" s="17"/>
      <c r="M83" s="17"/>
      <c r="N83" s="17" t="s">
        <v>69</v>
      </c>
      <c r="O83" s="17" t="s">
        <v>23</v>
      </c>
      <c r="P83" s="17">
        <v>0.55000000000000004</v>
      </c>
      <c r="Q83" s="17">
        <v>0.55000000000000004</v>
      </c>
      <c r="R83" s="18" t="s">
        <v>25</v>
      </c>
      <c r="S83" s="18">
        <v>100</v>
      </c>
      <c r="T83" s="18">
        <v>36000</v>
      </c>
      <c r="U83" s="18">
        <v>13600</v>
      </c>
      <c r="V83" s="18">
        <v>0</v>
      </c>
      <c r="W83" s="18">
        <v>0</v>
      </c>
      <c r="X83" s="18">
        <v>0</v>
      </c>
      <c r="Y83" s="18">
        <v>0</v>
      </c>
      <c r="Z83" s="18">
        <v>1300</v>
      </c>
      <c r="AA83" s="18">
        <v>0</v>
      </c>
      <c r="AB83" s="18">
        <v>0</v>
      </c>
      <c r="AC83" s="18">
        <v>21100</v>
      </c>
      <c r="AD83" s="18">
        <v>36130</v>
      </c>
      <c r="AE83" s="18">
        <v>13600</v>
      </c>
      <c r="AF83" s="18">
        <v>0</v>
      </c>
      <c r="AG83" s="18">
        <v>0</v>
      </c>
      <c r="AH83" s="18">
        <v>0</v>
      </c>
      <c r="AI83" s="18">
        <v>0</v>
      </c>
      <c r="AJ83" s="18">
        <v>1430</v>
      </c>
      <c r="AK83" s="18">
        <v>0</v>
      </c>
      <c r="AL83" s="18">
        <v>0</v>
      </c>
      <c r="AM83" s="18">
        <v>21100</v>
      </c>
      <c r="AN83" s="18">
        <v>19872</v>
      </c>
      <c r="AO83" s="18">
        <v>0</v>
      </c>
      <c r="AP83" s="18">
        <v>19872</v>
      </c>
    </row>
    <row r="84" spans="1:42" x14ac:dyDescent="0.4">
      <c r="A84" s="17" t="s">
        <v>48</v>
      </c>
      <c r="B84" s="17" t="s">
        <v>81</v>
      </c>
      <c r="C84" s="17" t="s">
        <v>82</v>
      </c>
      <c r="D84" s="17" t="s">
        <v>83</v>
      </c>
      <c r="E84" s="17" t="s">
        <v>84</v>
      </c>
      <c r="F84" s="17" t="s">
        <v>49</v>
      </c>
      <c r="G84" s="17" t="s">
        <v>20</v>
      </c>
      <c r="H84" s="17" t="s">
        <v>21</v>
      </c>
      <c r="I84" s="17" t="s">
        <v>22</v>
      </c>
      <c r="J84" s="17">
        <v>51580576</v>
      </c>
      <c r="K84" s="17" t="s">
        <v>68</v>
      </c>
      <c r="L84" s="17"/>
      <c r="M84" s="17"/>
      <c r="N84" s="17" t="s">
        <v>69</v>
      </c>
      <c r="O84" s="17" t="s">
        <v>23</v>
      </c>
      <c r="P84" s="17">
        <v>0.55000000000000004</v>
      </c>
      <c r="Q84" s="17">
        <v>0.55000000000000004</v>
      </c>
      <c r="R84" s="18" t="s">
        <v>24</v>
      </c>
      <c r="S84" s="18">
        <v>2400</v>
      </c>
      <c r="T84" s="18">
        <v>73900</v>
      </c>
      <c r="U84" s="18">
        <v>61600</v>
      </c>
      <c r="V84" s="18">
        <v>0</v>
      </c>
      <c r="W84" s="18">
        <v>0</v>
      </c>
      <c r="X84" s="18">
        <v>0</v>
      </c>
      <c r="Y84" s="18">
        <v>0</v>
      </c>
      <c r="Z84" s="18">
        <v>2400</v>
      </c>
      <c r="AA84" s="18">
        <v>0</v>
      </c>
      <c r="AB84" s="18">
        <v>0</v>
      </c>
      <c r="AC84" s="18">
        <v>9900</v>
      </c>
      <c r="AD84" s="18">
        <v>74140</v>
      </c>
      <c r="AE84" s="18">
        <v>61600</v>
      </c>
      <c r="AF84" s="18">
        <v>0</v>
      </c>
      <c r="AG84" s="18">
        <v>0</v>
      </c>
      <c r="AH84" s="18">
        <v>0</v>
      </c>
      <c r="AI84" s="18">
        <v>0</v>
      </c>
      <c r="AJ84" s="18">
        <v>2640</v>
      </c>
      <c r="AK84" s="18">
        <v>0</v>
      </c>
      <c r="AL84" s="18">
        <v>0</v>
      </c>
      <c r="AM84" s="18">
        <v>9900</v>
      </c>
      <c r="AN84" s="18">
        <v>40777</v>
      </c>
      <c r="AO84" s="18">
        <v>0</v>
      </c>
      <c r="AP84" s="18">
        <v>40777</v>
      </c>
    </row>
    <row r="85" spans="1:42" x14ac:dyDescent="0.4">
      <c r="A85" s="17" t="s">
        <v>48</v>
      </c>
      <c r="B85" s="17" t="s">
        <v>81</v>
      </c>
      <c r="C85" s="17" t="s">
        <v>82</v>
      </c>
      <c r="D85" s="17" t="s">
        <v>83</v>
      </c>
      <c r="E85" s="17" t="s">
        <v>84</v>
      </c>
      <c r="F85" s="17" t="s">
        <v>49</v>
      </c>
      <c r="G85" s="17" t="s">
        <v>20</v>
      </c>
      <c r="H85" s="17" t="s">
        <v>21</v>
      </c>
      <c r="I85" s="17" t="s">
        <v>22</v>
      </c>
      <c r="J85" s="17">
        <v>51580576</v>
      </c>
      <c r="K85" s="17" t="s">
        <v>68</v>
      </c>
      <c r="L85" s="17"/>
      <c r="M85" s="17"/>
      <c r="N85" s="17" t="s">
        <v>69</v>
      </c>
      <c r="O85" s="17" t="s">
        <v>23</v>
      </c>
      <c r="P85" s="17">
        <v>0.55000000000000004</v>
      </c>
      <c r="Q85" s="17">
        <v>0.55000000000000004</v>
      </c>
      <c r="R85" s="18" t="s">
        <v>24</v>
      </c>
      <c r="S85" s="18">
        <v>9200</v>
      </c>
      <c r="T85" s="18">
        <v>74000</v>
      </c>
      <c r="U85" s="18">
        <v>62800</v>
      </c>
      <c r="V85" s="18">
        <v>0</v>
      </c>
      <c r="W85" s="18">
        <v>0</v>
      </c>
      <c r="X85" s="18">
        <v>0</v>
      </c>
      <c r="Y85" s="18">
        <v>0</v>
      </c>
      <c r="Z85" s="18">
        <v>9200</v>
      </c>
      <c r="AA85" s="18">
        <v>0</v>
      </c>
      <c r="AB85" s="18">
        <v>0</v>
      </c>
      <c r="AC85" s="18">
        <v>2000</v>
      </c>
      <c r="AD85" s="18">
        <v>74920</v>
      </c>
      <c r="AE85" s="18">
        <v>62800</v>
      </c>
      <c r="AF85" s="18">
        <v>0</v>
      </c>
      <c r="AG85" s="18">
        <v>0</v>
      </c>
      <c r="AH85" s="18">
        <v>0</v>
      </c>
      <c r="AI85" s="18">
        <v>0</v>
      </c>
      <c r="AJ85" s="18">
        <v>10120</v>
      </c>
      <c r="AK85" s="18">
        <v>0</v>
      </c>
      <c r="AL85" s="18">
        <v>0</v>
      </c>
      <c r="AM85" s="18">
        <v>2000</v>
      </c>
      <c r="AN85" s="18">
        <v>41206</v>
      </c>
      <c r="AO85" s="18">
        <v>0</v>
      </c>
      <c r="AP85" s="18">
        <v>41206</v>
      </c>
    </row>
    <row r="86" spans="1:42" x14ac:dyDescent="0.4">
      <c r="A86" s="17" t="s">
        <v>48</v>
      </c>
      <c r="B86" s="17" t="s">
        <v>81</v>
      </c>
      <c r="C86" s="17" t="s">
        <v>82</v>
      </c>
      <c r="D86" s="17" t="s">
        <v>83</v>
      </c>
      <c r="E86" s="17" t="s">
        <v>84</v>
      </c>
      <c r="F86" s="17" t="s">
        <v>49</v>
      </c>
      <c r="G86" s="17" t="s">
        <v>20</v>
      </c>
      <c r="H86" s="17" t="s">
        <v>21</v>
      </c>
      <c r="I86" s="17" t="s">
        <v>22</v>
      </c>
      <c r="J86" s="17">
        <v>51580576</v>
      </c>
      <c r="K86" s="17" t="s">
        <v>68</v>
      </c>
      <c r="L86" s="17"/>
      <c r="M86" s="17"/>
      <c r="N86" s="17" t="s">
        <v>69</v>
      </c>
      <c r="O86" s="17" t="s">
        <v>23</v>
      </c>
      <c r="P86" s="17">
        <v>0.55000000000000004</v>
      </c>
      <c r="Q86" s="17">
        <v>0.55000000000000004</v>
      </c>
      <c r="R86" s="18" t="s">
        <v>24</v>
      </c>
      <c r="S86" s="18">
        <v>18000</v>
      </c>
      <c r="T86" s="18">
        <v>52900</v>
      </c>
      <c r="U86" s="18">
        <v>49900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3000</v>
      </c>
      <c r="AD86" s="18">
        <v>52900</v>
      </c>
      <c r="AE86" s="18">
        <v>49900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3000</v>
      </c>
      <c r="AN86" s="18">
        <v>29095</v>
      </c>
      <c r="AO86" s="18">
        <v>0</v>
      </c>
      <c r="AP86" s="18">
        <v>29095</v>
      </c>
    </row>
    <row r="87" spans="1:42" x14ac:dyDescent="0.4">
      <c r="A87" s="17" t="s">
        <v>48</v>
      </c>
      <c r="B87" s="17" t="s">
        <v>81</v>
      </c>
      <c r="C87" s="17" t="s">
        <v>82</v>
      </c>
      <c r="D87" s="17" t="s">
        <v>83</v>
      </c>
      <c r="E87" s="17" t="s">
        <v>84</v>
      </c>
      <c r="F87" s="17" t="s">
        <v>49</v>
      </c>
      <c r="G87" s="17" t="s">
        <v>20</v>
      </c>
      <c r="H87" s="17" t="s">
        <v>21</v>
      </c>
      <c r="I87" s="17" t="s">
        <v>22</v>
      </c>
      <c r="J87" s="17">
        <v>51584299</v>
      </c>
      <c r="K87" s="17" t="s">
        <v>57</v>
      </c>
      <c r="L87" s="17"/>
      <c r="M87" s="17"/>
      <c r="N87" s="17" t="s">
        <v>58</v>
      </c>
      <c r="O87" s="17" t="s">
        <v>23</v>
      </c>
      <c r="P87" s="17">
        <v>0.55000000000000004</v>
      </c>
      <c r="Q87" s="17">
        <v>0.55000000000000004</v>
      </c>
      <c r="R87" s="18" t="s">
        <v>25</v>
      </c>
      <c r="S87" s="18">
        <v>100</v>
      </c>
      <c r="T87" s="18">
        <v>47500</v>
      </c>
      <c r="U87" s="18">
        <v>21300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26200</v>
      </c>
      <c r="AD87" s="18">
        <v>47500</v>
      </c>
      <c r="AE87" s="18">
        <v>21300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26200</v>
      </c>
      <c r="AN87" s="18">
        <v>26125</v>
      </c>
      <c r="AO87" s="18">
        <v>0</v>
      </c>
      <c r="AP87" s="18">
        <v>26125</v>
      </c>
    </row>
    <row r="88" spans="1:42" x14ac:dyDescent="0.4">
      <c r="A88" s="17" t="s">
        <v>48</v>
      </c>
      <c r="B88" s="17" t="s">
        <v>81</v>
      </c>
      <c r="C88" s="17" t="s">
        <v>82</v>
      </c>
      <c r="D88" s="17" t="s">
        <v>83</v>
      </c>
      <c r="E88" s="17" t="s">
        <v>84</v>
      </c>
      <c r="F88" s="17" t="s">
        <v>49</v>
      </c>
      <c r="G88" s="17" t="s">
        <v>20</v>
      </c>
      <c r="H88" s="17" t="s">
        <v>21</v>
      </c>
      <c r="I88" s="17" t="s">
        <v>22</v>
      </c>
      <c r="J88" s="17">
        <v>51584299</v>
      </c>
      <c r="K88" s="17" t="s">
        <v>57</v>
      </c>
      <c r="L88" s="17"/>
      <c r="M88" s="17"/>
      <c r="N88" s="17" t="s">
        <v>58</v>
      </c>
      <c r="O88" s="17" t="s">
        <v>23</v>
      </c>
      <c r="P88" s="17">
        <v>0.55000000000000004</v>
      </c>
      <c r="Q88" s="17">
        <v>0.55000000000000004</v>
      </c>
      <c r="R88" s="18" t="s">
        <v>24</v>
      </c>
      <c r="S88" s="18">
        <v>2400</v>
      </c>
      <c r="T88" s="18">
        <v>54800</v>
      </c>
      <c r="U88" s="18">
        <v>51400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3400</v>
      </c>
      <c r="AD88" s="18">
        <v>54800</v>
      </c>
      <c r="AE88" s="18">
        <v>51400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3400</v>
      </c>
      <c r="AN88" s="18">
        <v>30140</v>
      </c>
      <c r="AO88" s="18">
        <v>0</v>
      </c>
      <c r="AP88" s="18">
        <v>30140</v>
      </c>
    </row>
    <row r="89" spans="1:42" x14ac:dyDescent="0.4">
      <c r="A89" s="17" t="s">
        <v>48</v>
      </c>
      <c r="B89" s="17" t="s">
        <v>81</v>
      </c>
      <c r="C89" s="17" t="s">
        <v>82</v>
      </c>
      <c r="D89" s="17" t="s">
        <v>83</v>
      </c>
      <c r="E89" s="17" t="s">
        <v>84</v>
      </c>
      <c r="F89" s="17" t="s">
        <v>49</v>
      </c>
      <c r="G89" s="17" t="s">
        <v>20</v>
      </c>
      <c r="H89" s="17" t="s">
        <v>21</v>
      </c>
      <c r="I89" s="17" t="s">
        <v>22</v>
      </c>
      <c r="J89" s="17">
        <v>51584299</v>
      </c>
      <c r="K89" s="17" t="s">
        <v>57</v>
      </c>
      <c r="L89" s="17"/>
      <c r="M89" s="17"/>
      <c r="N89" s="17" t="s">
        <v>58</v>
      </c>
      <c r="O89" s="17" t="s">
        <v>23</v>
      </c>
      <c r="P89" s="17">
        <v>0.55000000000000004</v>
      </c>
      <c r="Q89" s="17">
        <v>0.55000000000000004</v>
      </c>
      <c r="R89" s="18" t="s">
        <v>24</v>
      </c>
      <c r="S89" s="18">
        <v>9200</v>
      </c>
      <c r="T89" s="18">
        <v>25200</v>
      </c>
      <c r="U89" s="18">
        <v>17600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7600</v>
      </c>
      <c r="AD89" s="18">
        <v>25200</v>
      </c>
      <c r="AE89" s="18">
        <v>17600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7600</v>
      </c>
      <c r="AN89" s="18">
        <v>13860</v>
      </c>
      <c r="AO89" s="18">
        <v>0</v>
      </c>
      <c r="AP89" s="18">
        <v>13860</v>
      </c>
    </row>
    <row r="90" spans="1:42" x14ac:dyDescent="0.4">
      <c r="A90" s="17" t="s">
        <v>48</v>
      </c>
      <c r="B90" s="17" t="s">
        <v>81</v>
      </c>
      <c r="C90" s="17" t="s">
        <v>82</v>
      </c>
      <c r="D90" s="17" t="s">
        <v>83</v>
      </c>
      <c r="E90" s="17" t="s">
        <v>84</v>
      </c>
      <c r="F90" s="17" t="s">
        <v>49</v>
      </c>
      <c r="G90" s="17" t="s">
        <v>20</v>
      </c>
      <c r="H90" s="17" t="s">
        <v>21</v>
      </c>
      <c r="I90" s="17" t="s">
        <v>22</v>
      </c>
      <c r="J90" s="17">
        <v>51584299</v>
      </c>
      <c r="K90" s="17" t="s">
        <v>57</v>
      </c>
      <c r="L90" s="17"/>
      <c r="M90" s="17"/>
      <c r="N90" s="17" t="s">
        <v>58</v>
      </c>
      <c r="O90" s="17" t="s">
        <v>23</v>
      </c>
      <c r="P90" s="17">
        <v>0.55000000000000004</v>
      </c>
      <c r="Q90" s="17">
        <v>0.55000000000000004</v>
      </c>
      <c r="R90" s="18" t="s">
        <v>24</v>
      </c>
      <c r="S90" s="18">
        <v>18000</v>
      </c>
      <c r="T90" s="18">
        <v>31300</v>
      </c>
      <c r="U90" s="18">
        <v>31300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31300</v>
      </c>
      <c r="AE90" s="18">
        <v>31300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17215</v>
      </c>
      <c r="AO90" s="18">
        <v>0</v>
      </c>
      <c r="AP90" s="18">
        <v>17215</v>
      </c>
    </row>
    <row r="91" spans="1:42" x14ac:dyDescent="0.4">
      <c r="A91" s="17" t="s">
        <v>48</v>
      </c>
      <c r="B91" s="17" t="s">
        <v>81</v>
      </c>
      <c r="C91" s="17" t="s">
        <v>82</v>
      </c>
      <c r="D91" s="17" t="s">
        <v>83</v>
      </c>
      <c r="E91" s="17" t="s">
        <v>84</v>
      </c>
      <c r="F91" s="17" t="s">
        <v>49</v>
      </c>
      <c r="G91" s="17" t="s">
        <v>20</v>
      </c>
      <c r="H91" s="17" t="s">
        <v>21</v>
      </c>
      <c r="I91" s="17" t="s">
        <v>22</v>
      </c>
      <c r="J91" s="17">
        <v>52327507</v>
      </c>
      <c r="K91" s="17" t="s">
        <v>90</v>
      </c>
      <c r="L91" s="17"/>
      <c r="M91" s="17"/>
      <c r="N91" s="17" t="s">
        <v>64</v>
      </c>
      <c r="O91" s="17" t="s">
        <v>23</v>
      </c>
      <c r="P91" s="17">
        <v>0.55000000000000004</v>
      </c>
      <c r="Q91" s="17">
        <v>0.55000000000000004</v>
      </c>
      <c r="R91" s="18" t="s">
        <v>25</v>
      </c>
      <c r="S91" s="18">
        <v>100</v>
      </c>
      <c r="T91" s="18">
        <v>161400</v>
      </c>
      <c r="U91" s="18">
        <v>43520</v>
      </c>
      <c r="V91" s="18">
        <v>0</v>
      </c>
      <c r="W91" s="18">
        <v>0</v>
      </c>
      <c r="X91" s="18">
        <v>0</v>
      </c>
      <c r="Y91" s="18">
        <v>3000</v>
      </c>
      <c r="Z91" s="18">
        <v>3400</v>
      </c>
      <c r="AA91" s="18">
        <v>0</v>
      </c>
      <c r="AB91" s="18">
        <v>0</v>
      </c>
      <c r="AC91" s="18">
        <v>111480</v>
      </c>
      <c r="AD91" s="18">
        <v>162340</v>
      </c>
      <c r="AE91" s="18">
        <v>43520</v>
      </c>
      <c r="AF91" s="18">
        <v>0</v>
      </c>
      <c r="AG91" s="18">
        <v>0</v>
      </c>
      <c r="AH91" s="18">
        <v>0</v>
      </c>
      <c r="AI91" s="18">
        <v>3600</v>
      </c>
      <c r="AJ91" s="18">
        <v>3740</v>
      </c>
      <c r="AK91" s="18">
        <v>0</v>
      </c>
      <c r="AL91" s="18">
        <v>0</v>
      </c>
      <c r="AM91" s="18">
        <v>111480</v>
      </c>
      <c r="AN91" s="18">
        <v>89287</v>
      </c>
      <c r="AO91" s="18">
        <v>0</v>
      </c>
      <c r="AP91" s="18">
        <v>89287</v>
      </c>
    </row>
    <row r="92" spans="1:42" x14ac:dyDescent="0.4">
      <c r="A92" s="17" t="s">
        <v>48</v>
      </c>
      <c r="B92" s="17" t="s">
        <v>81</v>
      </c>
      <c r="C92" s="17" t="s">
        <v>82</v>
      </c>
      <c r="D92" s="17" t="s">
        <v>83</v>
      </c>
      <c r="E92" s="17" t="s">
        <v>84</v>
      </c>
      <c r="F92" s="17" t="s">
        <v>49</v>
      </c>
      <c r="G92" s="17" t="s">
        <v>20</v>
      </c>
      <c r="H92" s="17" t="s">
        <v>21</v>
      </c>
      <c r="I92" s="17" t="s">
        <v>22</v>
      </c>
      <c r="J92" s="17">
        <v>52327507</v>
      </c>
      <c r="K92" s="17" t="s">
        <v>90</v>
      </c>
      <c r="L92" s="17"/>
      <c r="M92" s="17"/>
      <c r="N92" s="17" t="s">
        <v>64</v>
      </c>
      <c r="O92" s="17" t="s">
        <v>23</v>
      </c>
      <c r="P92" s="17">
        <v>0.55000000000000004</v>
      </c>
      <c r="Q92" s="17">
        <v>0.55000000000000004</v>
      </c>
      <c r="R92" s="18" t="s">
        <v>24</v>
      </c>
      <c r="S92" s="18">
        <v>2400</v>
      </c>
      <c r="T92" s="18">
        <v>146000</v>
      </c>
      <c r="U92" s="18">
        <v>88980</v>
      </c>
      <c r="V92" s="18">
        <v>0</v>
      </c>
      <c r="W92" s="18">
        <v>0</v>
      </c>
      <c r="X92" s="18">
        <v>0</v>
      </c>
      <c r="Y92" s="18">
        <v>0</v>
      </c>
      <c r="Z92" s="18">
        <v>23800</v>
      </c>
      <c r="AA92" s="18">
        <v>0</v>
      </c>
      <c r="AB92" s="18">
        <v>0</v>
      </c>
      <c r="AC92" s="18">
        <v>33220</v>
      </c>
      <c r="AD92" s="18">
        <v>148380</v>
      </c>
      <c r="AE92" s="18">
        <v>88980</v>
      </c>
      <c r="AF92" s="18">
        <v>0</v>
      </c>
      <c r="AG92" s="18">
        <v>0</v>
      </c>
      <c r="AH92" s="18">
        <v>0</v>
      </c>
      <c r="AI92" s="18">
        <v>0</v>
      </c>
      <c r="AJ92" s="18">
        <v>26180</v>
      </c>
      <c r="AK92" s="18">
        <v>0</v>
      </c>
      <c r="AL92" s="18">
        <v>0</v>
      </c>
      <c r="AM92" s="18">
        <v>33220</v>
      </c>
      <c r="AN92" s="18">
        <v>81609</v>
      </c>
      <c r="AO92" s="18">
        <v>0</v>
      </c>
      <c r="AP92" s="18">
        <v>81609</v>
      </c>
    </row>
    <row r="93" spans="1:42" x14ac:dyDescent="0.4">
      <c r="A93" s="17" t="s">
        <v>48</v>
      </c>
      <c r="B93" s="17" t="s">
        <v>81</v>
      </c>
      <c r="C93" s="17" t="s">
        <v>82</v>
      </c>
      <c r="D93" s="17" t="s">
        <v>83</v>
      </c>
      <c r="E93" s="17" t="s">
        <v>84</v>
      </c>
      <c r="F93" s="17" t="s">
        <v>49</v>
      </c>
      <c r="G93" s="17" t="s">
        <v>20</v>
      </c>
      <c r="H93" s="17" t="s">
        <v>21</v>
      </c>
      <c r="I93" s="17" t="s">
        <v>22</v>
      </c>
      <c r="J93" s="17">
        <v>52327507</v>
      </c>
      <c r="K93" s="17" t="s">
        <v>90</v>
      </c>
      <c r="L93" s="17"/>
      <c r="M93" s="17"/>
      <c r="N93" s="17" t="s">
        <v>64</v>
      </c>
      <c r="O93" s="17" t="s">
        <v>23</v>
      </c>
      <c r="P93" s="17">
        <v>0.55000000000000004</v>
      </c>
      <c r="Q93" s="17">
        <v>0.55000000000000004</v>
      </c>
      <c r="R93" s="18" t="s">
        <v>24</v>
      </c>
      <c r="S93" s="18">
        <v>9200</v>
      </c>
      <c r="T93" s="18">
        <v>122500</v>
      </c>
      <c r="U93" s="18">
        <v>80900</v>
      </c>
      <c r="V93" s="18">
        <v>0</v>
      </c>
      <c r="W93" s="18">
        <v>0</v>
      </c>
      <c r="X93" s="18">
        <v>0</v>
      </c>
      <c r="Y93" s="18">
        <v>0</v>
      </c>
      <c r="Z93" s="18">
        <v>12900</v>
      </c>
      <c r="AA93" s="18">
        <v>0</v>
      </c>
      <c r="AB93" s="18">
        <v>0</v>
      </c>
      <c r="AC93" s="18">
        <v>28700</v>
      </c>
      <c r="AD93" s="18">
        <v>123790</v>
      </c>
      <c r="AE93" s="18">
        <v>80900</v>
      </c>
      <c r="AF93" s="18">
        <v>0</v>
      </c>
      <c r="AG93" s="18">
        <v>0</v>
      </c>
      <c r="AH93" s="18">
        <v>0</v>
      </c>
      <c r="AI93" s="18">
        <v>0</v>
      </c>
      <c r="AJ93" s="18">
        <v>14190</v>
      </c>
      <c r="AK93" s="18">
        <v>0</v>
      </c>
      <c r="AL93" s="18">
        <v>0</v>
      </c>
      <c r="AM93" s="18">
        <v>28700</v>
      </c>
      <c r="AN93" s="18">
        <v>68085</v>
      </c>
      <c r="AO93" s="18">
        <v>0</v>
      </c>
      <c r="AP93" s="18">
        <v>68085</v>
      </c>
    </row>
    <row r="94" spans="1:42" x14ac:dyDescent="0.4">
      <c r="A94" s="17" t="s">
        <v>48</v>
      </c>
      <c r="B94" s="17" t="s">
        <v>81</v>
      </c>
      <c r="C94" s="17" t="s">
        <v>82</v>
      </c>
      <c r="D94" s="17" t="s">
        <v>83</v>
      </c>
      <c r="E94" s="17" t="s">
        <v>84</v>
      </c>
      <c r="F94" s="17" t="s">
        <v>49</v>
      </c>
      <c r="G94" s="17" t="s">
        <v>20</v>
      </c>
      <c r="H94" s="17" t="s">
        <v>21</v>
      </c>
      <c r="I94" s="17" t="s">
        <v>22</v>
      </c>
      <c r="J94" s="17">
        <v>52327507</v>
      </c>
      <c r="K94" s="17" t="s">
        <v>90</v>
      </c>
      <c r="L94" s="17"/>
      <c r="M94" s="17"/>
      <c r="N94" s="17" t="s">
        <v>64</v>
      </c>
      <c r="O94" s="17" t="s">
        <v>23</v>
      </c>
      <c r="P94" s="17">
        <v>0.55000000000000004</v>
      </c>
      <c r="Q94" s="17">
        <v>0.55000000000000004</v>
      </c>
      <c r="R94" s="18" t="s">
        <v>24</v>
      </c>
      <c r="S94" s="18">
        <v>18000</v>
      </c>
      <c r="T94" s="18">
        <v>36000</v>
      </c>
      <c r="U94" s="18">
        <v>36000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36000</v>
      </c>
      <c r="AE94" s="18">
        <v>36000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19800</v>
      </c>
      <c r="AO94" s="18">
        <v>0</v>
      </c>
      <c r="AP94" s="18">
        <v>19800</v>
      </c>
    </row>
    <row r="95" spans="1:42" x14ac:dyDescent="0.4">
      <c r="A95" s="17" t="s">
        <v>48</v>
      </c>
      <c r="B95" s="17" t="s">
        <v>81</v>
      </c>
      <c r="C95" s="17" t="s">
        <v>82</v>
      </c>
      <c r="D95" s="17" t="s">
        <v>83</v>
      </c>
      <c r="E95" s="17" t="s">
        <v>84</v>
      </c>
      <c r="F95" s="17" t="s">
        <v>49</v>
      </c>
      <c r="G95" s="17" t="s">
        <v>20</v>
      </c>
      <c r="H95" s="17" t="s">
        <v>21</v>
      </c>
      <c r="I95" s="17" t="s">
        <v>22</v>
      </c>
      <c r="J95" s="17">
        <v>52393524</v>
      </c>
      <c r="K95" s="17" t="s">
        <v>53</v>
      </c>
      <c r="L95" s="17"/>
      <c r="M95" s="17"/>
      <c r="N95" s="17" t="s">
        <v>54</v>
      </c>
      <c r="O95" s="17" t="s">
        <v>23</v>
      </c>
      <c r="P95" s="17">
        <v>0.55000000000000004</v>
      </c>
      <c r="Q95" s="17">
        <v>0.55000000000000004</v>
      </c>
      <c r="R95" s="18" t="s">
        <v>25</v>
      </c>
      <c r="S95" s="18">
        <v>100</v>
      </c>
      <c r="T95" s="18">
        <v>20000</v>
      </c>
      <c r="U95" s="18">
        <v>6200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13800</v>
      </c>
      <c r="AD95" s="18">
        <v>20000</v>
      </c>
      <c r="AE95" s="18">
        <v>6200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13800</v>
      </c>
      <c r="AN95" s="18">
        <v>11000</v>
      </c>
      <c r="AO95" s="18">
        <v>0</v>
      </c>
      <c r="AP95" s="18">
        <v>11000</v>
      </c>
    </row>
    <row r="96" spans="1:42" x14ac:dyDescent="0.4">
      <c r="A96" s="17" t="s">
        <v>48</v>
      </c>
      <c r="B96" s="17" t="s">
        <v>81</v>
      </c>
      <c r="C96" s="17" t="s">
        <v>82</v>
      </c>
      <c r="D96" s="17" t="s">
        <v>83</v>
      </c>
      <c r="E96" s="17" t="s">
        <v>84</v>
      </c>
      <c r="F96" s="17" t="s">
        <v>49</v>
      </c>
      <c r="G96" s="17" t="s">
        <v>20</v>
      </c>
      <c r="H96" s="17" t="s">
        <v>21</v>
      </c>
      <c r="I96" s="17" t="s">
        <v>22</v>
      </c>
      <c r="J96" s="17">
        <v>52393524</v>
      </c>
      <c r="K96" s="17" t="s">
        <v>53</v>
      </c>
      <c r="L96" s="17"/>
      <c r="M96" s="17"/>
      <c r="N96" s="17" t="s">
        <v>54</v>
      </c>
      <c r="O96" s="17" t="s">
        <v>23</v>
      </c>
      <c r="P96" s="17">
        <v>0.55000000000000004</v>
      </c>
      <c r="Q96" s="17">
        <v>0.55000000000000004</v>
      </c>
      <c r="R96" s="18" t="s">
        <v>24</v>
      </c>
      <c r="S96" s="18">
        <v>2400</v>
      </c>
      <c r="T96" s="18">
        <v>45100</v>
      </c>
      <c r="U96" s="18">
        <v>44500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600</v>
      </c>
      <c r="AD96" s="18">
        <v>45100</v>
      </c>
      <c r="AE96" s="18">
        <v>44500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600</v>
      </c>
      <c r="AN96" s="18">
        <v>24805</v>
      </c>
      <c r="AO96" s="18">
        <v>0</v>
      </c>
      <c r="AP96" s="18">
        <v>24805</v>
      </c>
    </row>
    <row r="97" spans="1:42" x14ac:dyDescent="0.4">
      <c r="A97" s="17" t="s">
        <v>48</v>
      </c>
      <c r="B97" s="17" t="s">
        <v>81</v>
      </c>
      <c r="C97" s="17" t="s">
        <v>82</v>
      </c>
      <c r="D97" s="17" t="s">
        <v>83</v>
      </c>
      <c r="E97" s="17" t="s">
        <v>84</v>
      </c>
      <c r="F97" s="17" t="s">
        <v>49</v>
      </c>
      <c r="G97" s="17" t="s">
        <v>20</v>
      </c>
      <c r="H97" s="17" t="s">
        <v>21</v>
      </c>
      <c r="I97" s="17" t="s">
        <v>22</v>
      </c>
      <c r="J97" s="17">
        <v>52393524</v>
      </c>
      <c r="K97" s="17" t="s">
        <v>53</v>
      </c>
      <c r="L97" s="17"/>
      <c r="M97" s="17"/>
      <c r="N97" s="17" t="s">
        <v>54</v>
      </c>
      <c r="O97" s="17" t="s">
        <v>23</v>
      </c>
      <c r="P97" s="17">
        <v>0.55000000000000004</v>
      </c>
      <c r="Q97" s="17">
        <v>0.55000000000000004</v>
      </c>
      <c r="R97" s="18" t="s">
        <v>24</v>
      </c>
      <c r="S97" s="18">
        <v>9200</v>
      </c>
      <c r="T97" s="18">
        <v>67000</v>
      </c>
      <c r="U97" s="18">
        <v>45800</v>
      </c>
      <c r="V97" s="18">
        <v>0</v>
      </c>
      <c r="W97" s="18">
        <v>0</v>
      </c>
      <c r="X97" s="18">
        <v>0</v>
      </c>
      <c r="Y97" s="18">
        <v>0</v>
      </c>
      <c r="Z97" s="18">
        <v>9200</v>
      </c>
      <c r="AA97" s="18">
        <v>0</v>
      </c>
      <c r="AB97" s="18">
        <v>0</v>
      </c>
      <c r="AC97" s="18">
        <v>12000</v>
      </c>
      <c r="AD97" s="18">
        <v>67920</v>
      </c>
      <c r="AE97" s="18">
        <v>45800</v>
      </c>
      <c r="AF97" s="18">
        <v>0</v>
      </c>
      <c r="AG97" s="18">
        <v>0</v>
      </c>
      <c r="AH97" s="18">
        <v>0</v>
      </c>
      <c r="AI97" s="18">
        <v>0</v>
      </c>
      <c r="AJ97" s="18">
        <v>10120</v>
      </c>
      <c r="AK97" s="18">
        <v>0</v>
      </c>
      <c r="AL97" s="18">
        <v>0</v>
      </c>
      <c r="AM97" s="18">
        <v>12000</v>
      </c>
      <c r="AN97" s="18">
        <v>37356</v>
      </c>
      <c r="AO97" s="18">
        <v>0</v>
      </c>
      <c r="AP97" s="18">
        <v>37356</v>
      </c>
    </row>
    <row r="98" spans="1:42" x14ac:dyDescent="0.4">
      <c r="A98" s="17" t="s">
        <v>48</v>
      </c>
      <c r="B98" s="17" t="s">
        <v>81</v>
      </c>
      <c r="C98" s="17" t="s">
        <v>82</v>
      </c>
      <c r="D98" s="17" t="s">
        <v>83</v>
      </c>
      <c r="E98" s="17" t="s">
        <v>84</v>
      </c>
      <c r="F98" s="17" t="s">
        <v>49</v>
      </c>
      <c r="G98" s="17" t="s">
        <v>20</v>
      </c>
      <c r="H98" s="17" t="s">
        <v>21</v>
      </c>
      <c r="I98" s="17" t="s">
        <v>22</v>
      </c>
      <c r="J98" s="17">
        <v>52393524</v>
      </c>
      <c r="K98" s="17" t="s">
        <v>53</v>
      </c>
      <c r="L98" s="17"/>
      <c r="M98" s="17"/>
      <c r="N98" s="17" t="s">
        <v>54</v>
      </c>
      <c r="O98" s="17" t="s">
        <v>23</v>
      </c>
      <c r="P98" s="17">
        <v>0.55000000000000004</v>
      </c>
      <c r="Q98" s="17">
        <v>0.55000000000000004</v>
      </c>
      <c r="R98" s="18" t="s">
        <v>24</v>
      </c>
      <c r="S98" s="18">
        <v>18000</v>
      </c>
      <c r="T98" s="18">
        <v>-2600</v>
      </c>
      <c r="U98" s="18">
        <v>-2600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-2600</v>
      </c>
      <c r="AE98" s="18">
        <v>-2600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-1430</v>
      </c>
      <c r="AO98" s="18">
        <v>0</v>
      </c>
      <c r="AP98" s="18">
        <v>-1430</v>
      </c>
    </row>
    <row r="99" spans="1:42" x14ac:dyDescent="0.4">
      <c r="A99" s="17" t="s">
        <v>48</v>
      </c>
      <c r="B99" s="17" t="s">
        <v>81</v>
      </c>
      <c r="C99" s="17" t="s">
        <v>82</v>
      </c>
      <c r="D99" s="17" t="s">
        <v>83</v>
      </c>
      <c r="E99" s="17" t="s">
        <v>84</v>
      </c>
      <c r="F99" s="17" t="s">
        <v>49</v>
      </c>
      <c r="G99" s="17" t="s">
        <v>20</v>
      </c>
      <c r="H99" s="17" t="s">
        <v>21</v>
      </c>
      <c r="I99" s="17" t="s">
        <v>22</v>
      </c>
      <c r="J99" s="17">
        <v>52438077</v>
      </c>
      <c r="K99" s="17" t="s">
        <v>75</v>
      </c>
      <c r="L99" s="17"/>
      <c r="M99" s="17"/>
      <c r="N99" s="17" t="s">
        <v>76</v>
      </c>
      <c r="O99" s="17" t="s">
        <v>23</v>
      </c>
      <c r="P99" s="17">
        <v>0.55000000000000004</v>
      </c>
      <c r="Q99" s="17">
        <v>0.55000000000000004</v>
      </c>
      <c r="R99" s="18" t="s">
        <v>25</v>
      </c>
      <c r="S99" s="18">
        <v>100</v>
      </c>
      <c r="T99" s="18">
        <v>778200</v>
      </c>
      <c r="U99" s="18">
        <v>214120</v>
      </c>
      <c r="V99" s="18">
        <v>0</v>
      </c>
      <c r="W99" s="18">
        <v>0</v>
      </c>
      <c r="X99" s="18">
        <v>0</v>
      </c>
      <c r="Y99" s="18">
        <v>30000</v>
      </c>
      <c r="Z99" s="18">
        <v>600</v>
      </c>
      <c r="AA99" s="18">
        <v>0</v>
      </c>
      <c r="AB99" s="18">
        <v>0</v>
      </c>
      <c r="AC99" s="18">
        <v>533480</v>
      </c>
      <c r="AD99" s="18">
        <v>784260</v>
      </c>
      <c r="AE99" s="18">
        <v>214120</v>
      </c>
      <c r="AF99" s="18">
        <v>0</v>
      </c>
      <c r="AG99" s="18">
        <v>0</v>
      </c>
      <c r="AH99" s="18">
        <v>0</v>
      </c>
      <c r="AI99" s="18">
        <v>36000</v>
      </c>
      <c r="AJ99" s="18">
        <v>660</v>
      </c>
      <c r="AK99" s="18">
        <v>0</v>
      </c>
      <c r="AL99" s="18">
        <v>0</v>
      </c>
      <c r="AM99" s="18">
        <v>533480</v>
      </c>
      <c r="AN99" s="18">
        <v>431343</v>
      </c>
      <c r="AO99" s="18">
        <v>0</v>
      </c>
      <c r="AP99" s="18">
        <v>431343</v>
      </c>
    </row>
    <row r="100" spans="1:42" x14ac:dyDescent="0.4">
      <c r="A100" s="17" t="s">
        <v>48</v>
      </c>
      <c r="B100" s="17" t="s">
        <v>81</v>
      </c>
      <c r="C100" s="17" t="s">
        <v>82</v>
      </c>
      <c r="D100" s="17" t="s">
        <v>83</v>
      </c>
      <c r="E100" s="17" t="s">
        <v>84</v>
      </c>
      <c r="F100" s="17" t="s">
        <v>49</v>
      </c>
      <c r="G100" s="17" t="s">
        <v>20</v>
      </c>
      <c r="H100" s="17" t="s">
        <v>21</v>
      </c>
      <c r="I100" s="17" t="s">
        <v>22</v>
      </c>
      <c r="J100" s="17">
        <v>52438077</v>
      </c>
      <c r="K100" s="17" t="s">
        <v>75</v>
      </c>
      <c r="L100" s="17"/>
      <c r="M100" s="17"/>
      <c r="N100" s="17" t="s">
        <v>76</v>
      </c>
      <c r="O100" s="17" t="s">
        <v>23</v>
      </c>
      <c r="P100" s="17">
        <v>0.55000000000000004</v>
      </c>
      <c r="Q100" s="17">
        <v>0.55000000000000004</v>
      </c>
      <c r="R100" s="18" t="s">
        <v>24</v>
      </c>
      <c r="S100" s="18">
        <v>2400</v>
      </c>
      <c r="T100" s="18">
        <v>838600</v>
      </c>
      <c r="U100" s="18">
        <v>633810</v>
      </c>
      <c r="V100" s="18">
        <v>0</v>
      </c>
      <c r="W100" s="18">
        <v>0</v>
      </c>
      <c r="X100" s="18">
        <v>0</v>
      </c>
      <c r="Y100" s="18">
        <v>11600</v>
      </c>
      <c r="Z100" s="18">
        <v>21600</v>
      </c>
      <c r="AA100" s="18">
        <v>0</v>
      </c>
      <c r="AB100" s="18">
        <v>0</v>
      </c>
      <c r="AC100" s="18">
        <v>171590</v>
      </c>
      <c r="AD100" s="18">
        <v>843080</v>
      </c>
      <c r="AE100" s="18">
        <v>633810</v>
      </c>
      <c r="AF100" s="18">
        <v>0</v>
      </c>
      <c r="AG100" s="18">
        <v>0</v>
      </c>
      <c r="AH100" s="18">
        <v>0</v>
      </c>
      <c r="AI100" s="18">
        <v>13920</v>
      </c>
      <c r="AJ100" s="18">
        <v>23760</v>
      </c>
      <c r="AK100" s="18">
        <v>0</v>
      </c>
      <c r="AL100" s="18">
        <v>0</v>
      </c>
      <c r="AM100" s="18">
        <v>171590</v>
      </c>
      <c r="AN100" s="18">
        <v>463694</v>
      </c>
      <c r="AO100" s="18">
        <v>0</v>
      </c>
      <c r="AP100" s="18">
        <v>463694</v>
      </c>
    </row>
    <row r="101" spans="1:42" x14ac:dyDescent="0.4">
      <c r="A101" s="17" t="s">
        <v>48</v>
      </c>
      <c r="B101" s="17" t="s">
        <v>81</v>
      </c>
      <c r="C101" s="17" t="s">
        <v>82</v>
      </c>
      <c r="D101" s="17" t="s">
        <v>83</v>
      </c>
      <c r="E101" s="17" t="s">
        <v>84</v>
      </c>
      <c r="F101" s="17" t="s">
        <v>49</v>
      </c>
      <c r="G101" s="17" t="s">
        <v>20</v>
      </c>
      <c r="H101" s="17" t="s">
        <v>21</v>
      </c>
      <c r="I101" s="17" t="s">
        <v>22</v>
      </c>
      <c r="J101" s="17">
        <v>52438077</v>
      </c>
      <c r="K101" s="17" t="s">
        <v>75</v>
      </c>
      <c r="L101" s="17"/>
      <c r="M101" s="17"/>
      <c r="N101" s="17" t="s">
        <v>76</v>
      </c>
      <c r="O101" s="17" t="s">
        <v>23</v>
      </c>
      <c r="P101" s="17">
        <v>0.55000000000000004</v>
      </c>
      <c r="Q101" s="17">
        <v>0.55000000000000004</v>
      </c>
      <c r="R101" s="18" t="s">
        <v>24</v>
      </c>
      <c r="S101" s="18">
        <v>9200</v>
      </c>
      <c r="T101" s="18">
        <v>729000</v>
      </c>
      <c r="U101" s="18">
        <v>652740</v>
      </c>
      <c r="V101" s="18">
        <v>0</v>
      </c>
      <c r="W101" s="18">
        <v>0</v>
      </c>
      <c r="X101" s="18">
        <v>0</v>
      </c>
      <c r="Y101" s="18">
        <v>400</v>
      </c>
      <c r="Z101" s="18">
        <v>36100</v>
      </c>
      <c r="AA101" s="18">
        <v>0</v>
      </c>
      <c r="AB101" s="18">
        <v>0</v>
      </c>
      <c r="AC101" s="18">
        <v>39760</v>
      </c>
      <c r="AD101" s="18">
        <v>732690</v>
      </c>
      <c r="AE101" s="18">
        <v>652740</v>
      </c>
      <c r="AF101" s="18">
        <v>0</v>
      </c>
      <c r="AG101" s="18">
        <v>0</v>
      </c>
      <c r="AH101" s="18">
        <v>0</v>
      </c>
      <c r="AI101" s="18">
        <v>480</v>
      </c>
      <c r="AJ101" s="18">
        <v>39710</v>
      </c>
      <c r="AK101" s="18">
        <v>0</v>
      </c>
      <c r="AL101" s="18">
        <v>0</v>
      </c>
      <c r="AM101" s="18">
        <v>39760</v>
      </c>
      <c r="AN101" s="18">
        <v>402980</v>
      </c>
      <c r="AO101" s="18">
        <v>0</v>
      </c>
      <c r="AP101" s="18">
        <v>402980</v>
      </c>
    </row>
    <row r="102" spans="1:42" x14ac:dyDescent="0.4">
      <c r="A102" s="17" t="s">
        <v>48</v>
      </c>
      <c r="B102" s="17" t="s">
        <v>81</v>
      </c>
      <c r="C102" s="17" t="s">
        <v>82</v>
      </c>
      <c r="D102" s="17" t="s">
        <v>83</v>
      </c>
      <c r="E102" s="17" t="s">
        <v>84</v>
      </c>
      <c r="F102" s="17" t="s">
        <v>49</v>
      </c>
      <c r="G102" s="17" t="s">
        <v>20</v>
      </c>
      <c r="H102" s="17" t="s">
        <v>21</v>
      </c>
      <c r="I102" s="17" t="s">
        <v>22</v>
      </c>
      <c r="J102" s="17">
        <v>52438077</v>
      </c>
      <c r="K102" s="17" t="s">
        <v>75</v>
      </c>
      <c r="L102" s="17"/>
      <c r="M102" s="17"/>
      <c r="N102" s="17" t="s">
        <v>76</v>
      </c>
      <c r="O102" s="17" t="s">
        <v>23</v>
      </c>
      <c r="P102" s="17">
        <v>0.55000000000000004</v>
      </c>
      <c r="Q102" s="17">
        <v>0.55000000000000004</v>
      </c>
      <c r="R102" s="18" t="s">
        <v>24</v>
      </c>
      <c r="S102" s="18">
        <v>18000</v>
      </c>
      <c r="T102" s="18">
        <v>372600</v>
      </c>
      <c r="U102" s="18">
        <v>342350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30250</v>
      </c>
      <c r="AD102" s="18">
        <v>372600</v>
      </c>
      <c r="AE102" s="18">
        <v>342350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30250</v>
      </c>
      <c r="AN102" s="18">
        <v>204930</v>
      </c>
      <c r="AO102" s="18">
        <v>0</v>
      </c>
      <c r="AP102" s="18">
        <v>204930</v>
      </c>
    </row>
    <row r="103" spans="1:42" x14ac:dyDescent="0.4">
      <c r="A103" s="17" t="s">
        <v>48</v>
      </c>
      <c r="B103" s="17" t="s">
        <v>81</v>
      </c>
      <c r="C103" s="17" t="s">
        <v>82</v>
      </c>
      <c r="D103" s="17" t="s">
        <v>83</v>
      </c>
      <c r="E103" s="17" t="s">
        <v>84</v>
      </c>
      <c r="F103" s="17" t="s">
        <v>49</v>
      </c>
      <c r="G103" s="17" t="s">
        <v>20</v>
      </c>
      <c r="H103" s="17" t="s">
        <v>21</v>
      </c>
      <c r="I103" s="17" t="s">
        <v>22</v>
      </c>
      <c r="J103" s="17">
        <v>52963521</v>
      </c>
      <c r="K103" s="17" t="s">
        <v>74</v>
      </c>
      <c r="L103" s="17"/>
      <c r="M103" s="17"/>
      <c r="N103" s="17" t="s">
        <v>58</v>
      </c>
      <c r="O103" s="17" t="s">
        <v>23</v>
      </c>
      <c r="P103" s="17">
        <v>0.55000000000000004</v>
      </c>
      <c r="Q103" s="17">
        <v>0.55000000000000004</v>
      </c>
      <c r="R103" s="18" t="s">
        <v>25</v>
      </c>
      <c r="S103" s="18">
        <v>100</v>
      </c>
      <c r="T103" s="18">
        <v>13600</v>
      </c>
      <c r="U103" s="18">
        <v>1300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12300</v>
      </c>
      <c r="AD103" s="18">
        <v>13600</v>
      </c>
      <c r="AE103" s="18">
        <v>1300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12300</v>
      </c>
      <c r="AN103" s="18">
        <v>7480</v>
      </c>
      <c r="AO103" s="18">
        <v>0</v>
      </c>
      <c r="AP103" s="18">
        <v>7480</v>
      </c>
    </row>
    <row r="104" spans="1:42" x14ac:dyDescent="0.4">
      <c r="A104" s="17" t="s">
        <v>48</v>
      </c>
      <c r="B104" s="17" t="s">
        <v>81</v>
      </c>
      <c r="C104" s="17" t="s">
        <v>82</v>
      </c>
      <c r="D104" s="17" t="s">
        <v>83</v>
      </c>
      <c r="E104" s="17" t="s">
        <v>84</v>
      </c>
      <c r="F104" s="17" t="s">
        <v>49</v>
      </c>
      <c r="G104" s="17" t="s">
        <v>20</v>
      </c>
      <c r="H104" s="17" t="s">
        <v>21</v>
      </c>
      <c r="I104" s="17" t="s">
        <v>22</v>
      </c>
      <c r="J104" s="17">
        <v>52963521</v>
      </c>
      <c r="K104" s="17" t="s">
        <v>74</v>
      </c>
      <c r="L104" s="17"/>
      <c r="M104" s="17"/>
      <c r="N104" s="17" t="s">
        <v>58</v>
      </c>
      <c r="O104" s="17" t="s">
        <v>23</v>
      </c>
      <c r="P104" s="17">
        <v>0.55000000000000004</v>
      </c>
      <c r="Q104" s="17">
        <v>0.55000000000000004</v>
      </c>
      <c r="R104" s="18" t="s">
        <v>24</v>
      </c>
      <c r="S104" s="18">
        <v>2400</v>
      </c>
      <c r="T104" s="18">
        <v>29300</v>
      </c>
      <c r="U104" s="18">
        <v>12300</v>
      </c>
      <c r="V104" s="18">
        <v>0</v>
      </c>
      <c r="W104" s="18">
        <v>0</v>
      </c>
      <c r="X104" s="18">
        <v>0</v>
      </c>
      <c r="Y104" s="18">
        <v>9300</v>
      </c>
      <c r="Z104" s="18">
        <v>0</v>
      </c>
      <c r="AA104" s="18">
        <v>0</v>
      </c>
      <c r="AB104" s="18">
        <v>0</v>
      </c>
      <c r="AC104" s="18">
        <v>7700</v>
      </c>
      <c r="AD104" s="18">
        <v>31160</v>
      </c>
      <c r="AE104" s="18">
        <v>12300</v>
      </c>
      <c r="AF104" s="18">
        <v>0</v>
      </c>
      <c r="AG104" s="18">
        <v>0</v>
      </c>
      <c r="AH104" s="18">
        <v>0</v>
      </c>
      <c r="AI104" s="18">
        <v>11160</v>
      </c>
      <c r="AJ104" s="18">
        <v>0</v>
      </c>
      <c r="AK104" s="18">
        <v>0</v>
      </c>
      <c r="AL104" s="18">
        <v>0</v>
      </c>
      <c r="AM104" s="18">
        <v>7700</v>
      </c>
      <c r="AN104" s="18">
        <v>17138</v>
      </c>
      <c r="AO104" s="18">
        <v>0</v>
      </c>
      <c r="AP104" s="18">
        <v>17138</v>
      </c>
    </row>
    <row r="105" spans="1:42" x14ac:dyDescent="0.4">
      <c r="A105" s="17" t="s">
        <v>48</v>
      </c>
      <c r="B105" s="17" t="s">
        <v>81</v>
      </c>
      <c r="C105" s="17" t="s">
        <v>82</v>
      </c>
      <c r="D105" s="17" t="s">
        <v>83</v>
      </c>
      <c r="E105" s="17" t="s">
        <v>84</v>
      </c>
      <c r="F105" s="17" t="s">
        <v>49</v>
      </c>
      <c r="G105" s="17" t="s">
        <v>20</v>
      </c>
      <c r="H105" s="17" t="s">
        <v>21</v>
      </c>
      <c r="I105" s="17" t="s">
        <v>22</v>
      </c>
      <c r="J105" s="17">
        <v>52963521</v>
      </c>
      <c r="K105" s="17" t="s">
        <v>74</v>
      </c>
      <c r="L105" s="17"/>
      <c r="M105" s="17"/>
      <c r="N105" s="17" t="s">
        <v>58</v>
      </c>
      <c r="O105" s="17" t="s">
        <v>23</v>
      </c>
      <c r="P105" s="17">
        <v>0.55000000000000004</v>
      </c>
      <c r="Q105" s="17">
        <v>0.55000000000000004</v>
      </c>
      <c r="R105" s="18" t="s">
        <v>24</v>
      </c>
      <c r="S105" s="18">
        <v>9200</v>
      </c>
      <c r="T105" s="18">
        <v>16200</v>
      </c>
      <c r="U105" s="18">
        <v>15700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500</v>
      </c>
      <c r="AD105" s="18">
        <v>16200</v>
      </c>
      <c r="AE105" s="18">
        <v>15700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500</v>
      </c>
      <c r="AN105" s="18">
        <v>8910</v>
      </c>
      <c r="AO105" s="18">
        <v>0</v>
      </c>
      <c r="AP105" s="18">
        <v>8910</v>
      </c>
    </row>
    <row r="106" spans="1:42" x14ac:dyDescent="0.4">
      <c r="A106" s="17" t="s">
        <v>48</v>
      </c>
      <c r="B106" s="17" t="s">
        <v>81</v>
      </c>
      <c r="C106" s="17" t="s">
        <v>82</v>
      </c>
      <c r="D106" s="17" t="s">
        <v>83</v>
      </c>
      <c r="E106" s="17" t="s">
        <v>84</v>
      </c>
      <c r="F106" s="17" t="s">
        <v>49</v>
      </c>
      <c r="G106" s="17" t="s">
        <v>20</v>
      </c>
      <c r="H106" s="17" t="s">
        <v>21</v>
      </c>
      <c r="I106" s="17" t="s">
        <v>22</v>
      </c>
      <c r="J106" s="17">
        <v>52972236</v>
      </c>
      <c r="K106" s="17" t="s">
        <v>55</v>
      </c>
      <c r="L106" s="17"/>
      <c r="M106" s="17"/>
      <c r="N106" s="17" t="s">
        <v>56</v>
      </c>
      <c r="O106" s="17" t="s">
        <v>23</v>
      </c>
      <c r="P106" s="17">
        <v>0.55000000000000004</v>
      </c>
      <c r="Q106" s="17">
        <v>0.55000000000000004</v>
      </c>
      <c r="R106" s="18" t="s">
        <v>25</v>
      </c>
      <c r="S106" s="18">
        <v>100</v>
      </c>
      <c r="T106" s="18">
        <v>15700</v>
      </c>
      <c r="U106" s="18">
        <v>900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14800</v>
      </c>
      <c r="AD106" s="18">
        <v>15700</v>
      </c>
      <c r="AE106" s="18">
        <v>900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14800</v>
      </c>
      <c r="AN106" s="18">
        <v>8635</v>
      </c>
      <c r="AO106" s="18">
        <v>0</v>
      </c>
      <c r="AP106" s="18">
        <v>8635</v>
      </c>
    </row>
    <row r="107" spans="1:42" x14ac:dyDescent="0.4">
      <c r="A107" s="17" t="s">
        <v>48</v>
      </c>
      <c r="B107" s="17" t="s">
        <v>81</v>
      </c>
      <c r="C107" s="17" t="s">
        <v>82</v>
      </c>
      <c r="D107" s="17" t="s">
        <v>83</v>
      </c>
      <c r="E107" s="17" t="s">
        <v>84</v>
      </c>
      <c r="F107" s="17" t="s">
        <v>49</v>
      </c>
      <c r="G107" s="17" t="s">
        <v>20</v>
      </c>
      <c r="H107" s="17" t="s">
        <v>21</v>
      </c>
      <c r="I107" s="17" t="s">
        <v>22</v>
      </c>
      <c r="J107" s="17">
        <v>52972236</v>
      </c>
      <c r="K107" s="17" t="s">
        <v>55</v>
      </c>
      <c r="L107" s="17"/>
      <c r="M107" s="17"/>
      <c r="N107" s="17" t="s">
        <v>56</v>
      </c>
      <c r="O107" s="17" t="s">
        <v>23</v>
      </c>
      <c r="P107" s="17">
        <v>0.55000000000000004</v>
      </c>
      <c r="Q107" s="17">
        <v>0.55000000000000004</v>
      </c>
      <c r="R107" s="18" t="s">
        <v>24</v>
      </c>
      <c r="S107" s="18">
        <v>2400</v>
      </c>
      <c r="T107" s="18">
        <v>2400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2400</v>
      </c>
      <c r="AD107" s="18">
        <v>2400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2400</v>
      </c>
      <c r="AN107" s="18">
        <v>1320</v>
      </c>
      <c r="AO107" s="18">
        <v>0</v>
      </c>
      <c r="AP107" s="18">
        <v>1320</v>
      </c>
    </row>
    <row r="108" spans="1:42" x14ac:dyDescent="0.4">
      <c r="A108" s="17" t="s">
        <v>48</v>
      </c>
      <c r="B108" s="17" t="s">
        <v>81</v>
      </c>
      <c r="C108" s="17" t="s">
        <v>82</v>
      </c>
      <c r="D108" s="17" t="s">
        <v>83</v>
      </c>
      <c r="E108" s="17" t="s">
        <v>84</v>
      </c>
      <c r="F108" s="17" t="s">
        <v>49</v>
      </c>
      <c r="G108" s="17" t="s">
        <v>20</v>
      </c>
      <c r="H108" s="17" t="s">
        <v>21</v>
      </c>
      <c r="I108" s="17" t="s">
        <v>22</v>
      </c>
      <c r="J108" s="17">
        <v>52972236</v>
      </c>
      <c r="K108" s="17" t="s">
        <v>55</v>
      </c>
      <c r="L108" s="17"/>
      <c r="M108" s="17"/>
      <c r="N108" s="17" t="s">
        <v>56</v>
      </c>
      <c r="O108" s="17" t="s">
        <v>23</v>
      </c>
      <c r="P108" s="17">
        <v>0.55000000000000004</v>
      </c>
      <c r="Q108" s="17">
        <v>0.55000000000000004</v>
      </c>
      <c r="R108" s="18" t="s">
        <v>24</v>
      </c>
      <c r="S108" s="18">
        <v>9200</v>
      </c>
      <c r="T108" s="18">
        <v>-7400</v>
      </c>
      <c r="U108" s="18">
        <v>-7400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-7400</v>
      </c>
      <c r="AE108" s="18">
        <v>-7400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-4070</v>
      </c>
      <c r="AO108" s="18">
        <v>0</v>
      </c>
      <c r="AP108" s="18">
        <v>-4070</v>
      </c>
    </row>
    <row r="109" spans="1:42" x14ac:dyDescent="0.4">
      <c r="A109" s="17" t="s">
        <v>48</v>
      </c>
      <c r="B109" s="17" t="s">
        <v>81</v>
      </c>
      <c r="C109" s="17" t="s">
        <v>82</v>
      </c>
      <c r="D109" s="17" t="s">
        <v>83</v>
      </c>
      <c r="E109" s="17" t="s">
        <v>84</v>
      </c>
      <c r="F109" s="17" t="s">
        <v>49</v>
      </c>
      <c r="G109" s="17" t="s">
        <v>20</v>
      </c>
      <c r="H109" s="17" t="s">
        <v>21</v>
      </c>
      <c r="I109" s="17" t="s">
        <v>22</v>
      </c>
      <c r="J109" s="17">
        <v>52972236</v>
      </c>
      <c r="K109" s="17" t="s">
        <v>55</v>
      </c>
      <c r="L109" s="17"/>
      <c r="M109" s="17"/>
      <c r="N109" s="17" t="s">
        <v>56</v>
      </c>
      <c r="O109" s="17" t="s">
        <v>23</v>
      </c>
      <c r="P109" s="17">
        <v>0.55000000000000004</v>
      </c>
      <c r="Q109" s="17">
        <v>0.55000000000000004</v>
      </c>
      <c r="R109" s="18" t="s">
        <v>24</v>
      </c>
      <c r="S109" s="18">
        <v>18000</v>
      </c>
      <c r="T109" s="18">
        <v>18000</v>
      </c>
      <c r="U109" s="18">
        <v>17300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700</v>
      </c>
      <c r="AD109" s="18">
        <v>18000</v>
      </c>
      <c r="AE109" s="18">
        <v>17300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700</v>
      </c>
      <c r="AN109" s="18">
        <v>9900</v>
      </c>
      <c r="AO109" s="18">
        <v>0</v>
      </c>
      <c r="AP109" s="18">
        <v>9900</v>
      </c>
    </row>
    <row r="110" spans="1:42" x14ac:dyDescent="0.4">
      <c r="A110" s="17" t="s">
        <v>48</v>
      </c>
      <c r="B110" s="17" t="s">
        <v>81</v>
      </c>
      <c r="C110" s="17" t="s">
        <v>82</v>
      </c>
      <c r="D110" s="17" t="s">
        <v>83</v>
      </c>
      <c r="E110" s="17" t="s">
        <v>84</v>
      </c>
      <c r="F110" s="17" t="s">
        <v>49</v>
      </c>
      <c r="G110" s="17" t="s">
        <v>20</v>
      </c>
      <c r="H110" s="17" t="s">
        <v>21</v>
      </c>
      <c r="I110" s="17" t="s">
        <v>22</v>
      </c>
      <c r="J110" s="17">
        <v>53188002</v>
      </c>
      <c r="K110" s="17" t="s">
        <v>62</v>
      </c>
      <c r="L110" s="17"/>
      <c r="M110" s="17"/>
      <c r="N110" s="17" t="s">
        <v>63</v>
      </c>
      <c r="O110" s="17" t="s">
        <v>23</v>
      </c>
      <c r="P110" s="17">
        <v>0.55000000000000004</v>
      </c>
      <c r="Q110" s="17">
        <v>0.55000000000000004</v>
      </c>
      <c r="R110" s="18" t="s">
        <v>25</v>
      </c>
      <c r="S110" s="18">
        <v>100</v>
      </c>
      <c r="T110" s="18">
        <v>6800</v>
      </c>
      <c r="U110" s="18">
        <v>2700</v>
      </c>
      <c r="V110" s="18">
        <v>0</v>
      </c>
      <c r="W110" s="18">
        <v>0</v>
      </c>
      <c r="X110" s="18">
        <v>0</v>
      </c>
      <c r="Y110" s="18">
        <v>0</v>
      </c>
      <c r="Z110" s="18">
        <v>200</v>
      </c>
      <c r="AA110" s="18">
        <v>0</v>
      </c>
      <c r="AB110" s="18">
        <v>0</v>
      </c>
      <c r="AC110" s="18">
        <v>3900</v>
      </c>
      <c r="AD110" s="18">
        <v>6820</v>
      </c>
      <c r="AE110" s="18">
        <v>2700</v>
      </c>
      <c r="AF110" s="18">
        <v>0</v>
      </c>
      <c r="AG110" s="18">
        <v>0</v>
      </c>
      <c r="AH110" s="18">
        <v>0</v>
      </c>
      <c r="AI110" s="18">
        <v>0</v>
      </c>
      <c r="AJ110" s="18">
        <v>220</v>
      </c>
      <c r="AK110" s="18">
        <v>0</v>
      </c>
      <c r="AL110" s="18">
        <v>0</v>
      </c>
      <c r="AM110" s="18">
        <v>3900</v>
      </c>
      <c r="AN110" s="18">
        <v>3751</v>
      </c>
      <c r="AO110" s="18">
        <v>0</v>
      </c>
      <c r="AP110" s="18">
        <v>3751</v>
      </c>
    </row>
    <row r="111" spans="1:42" x14ac:dyDescent="0.4">
      <c r="A111" s="17" t="s">
        <v>48</v>
      </c>
      <c r="B111" s="17" t="s">
        <v>81</v>
      </c>
      <c r="C111" s="17" t="s">
        <v>82</v>
      </c>
      <c r="D111" s="17" t="s">
        <v>83</v>
      </c>
      <c r="E111" s="17" t="s">
        <v>84</v>
      </c>
      <c r="F111" s="17" t="s">
        <v>49</v>
      </c>
      <c r="G111" s="17" t="s">
        <v>20</v>
      </c>
      <c r="H111" s="17" t="s">
        <v>21</v>
      </c>
      <c r="I111" s="17" t="s">
        <v>22</v>
      </c>
      <c r="J111" s="17">
        <v>53188002</v>
      </c>
      <c r="K111" s="17" t="s">
        <v>62</v>
      </c>
      <c r="L111" s="17"/>
      <c r="M111" s="17"/>
      <c r="N111" s="17" t="s">
        <v>63</v>
      </c>
      <c r="O111" s="17" t="s">
        <v>23</v>
      </c>
      <c r="P111" s="17">
        <v>0.55000000000000004</v>
      </c>
      <c r="Q111" s="17">
        <v>0.55000000000000004</v>
      </c>
      <c r="R111" s="18" t="s">
        <v>24</v>
      </c>
      <c r="S111" s="18">
        <v>2400</v>
      </c>
      <c r="T111" s="18">
        <v>4900</v>
      </c>
      <c r="U111" s="18">
        <v>800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4100</v>
      </c>
      <c r="AD111" s="18">
        <v>4900</v>
      </c>
      <c r="AE111" s="18">
        <v>800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4100</v>
      </c>
      <c r="AN111" s="18">
        <v>2695</v>
      </c>
      <c r="AO111" s="18">
        <v>0</v>
      </c>
      <c r="AP111" s="18">
        <v>2695</v>
      </c>
    </row>
    <row r="112" spans="1:42" x14ac:dyDescent="0.4">
      <c r="A112" s="17" t="s">
        <v>48</v>
      </c>
      <c r="B112" s="17" t="s">
        <v>81</v>
      </c>
      <c r="C112" s="17" t="s">
        <v>82</v>
      </c>
      <c r="D112" s="17" t="s">
        <v>83</v>
      </c>
      <c r="E112" s="17" t="s">
        <v>84</v>
      </c>
      <c r="F112" s="17" t="s">
        <v>49</v>
      </c>
      <c r="G112" s="17" t="s">
        <v>20</v>
      </c>
      <c r="H112" s="17" t="s">
        <v>21</v>
      </c>
      <c r="I112" s="17" t="s">
        <v>22</v>
      </c>
      <c r="J112" s="17">
        <v>53188002</v>
      </c>
      <c r="K112" s="17" t="s">
        <v>62</v>
      </c>
      <c r="L112" s="17"/>
      <c r="M112" s="17"/>
      <c r="N112" s="17" t="s">
        <v>63</v>
      </c>
      <c r="O112" s="17" t="s">
        <v>23</v>
      </c>
      <c r="P112" s="17">
        <v>0.55000000000000004</v>
      </c>
      <c r="Q112" s="17">
        <v>0.55000000000000004</v>
      </c>
      <c r="R112" s="18" t="s">
        <v>24</v>
      </c>
      <c r="S112" s="18">
        <v>9200</v>
      </c>
      <c r="T112" s="18">
        <v>-3500</v>
      </c>
      <c r="U112" s="18">
        <v>-3500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-3500</v>
      </c>
      <c r="AE112" s="18">
        <v>-3500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-1925</v>
      </c>
      <c r="AO112" s="18">
        <v>0</v>
      </c>
      <c r="AP112" s="18">
        <v>-1925</v>
      </c>
    </row>
    <row r="113" spans="1:42" x14ac:dyDescent="0.4">
      <c r="A113" s="17" t="s">
        <v>48</v>
      </c>
      <c r="B113" s="17" t="s">
        <v>81</v>
      </c>
      <c r="C113" s="17" t="s">
        <v>82</v>
      </c>
      <c r="D113" s="17" t="s">
        <v>83</v>
      </c>
      <c r="E113" s="17" t="s">
        <v>84</v>
      </c>
      <c r="F113" s="17" t="s">
        <v>49</v>
      </c>
      <c r="G113" s="17" t="s">
        <v>20</v>
      </c>
      <c r="H113" s="17" t="s">
        <v>21</v>
      </c>
      <c r="I113" s="17" t="s">
        <v>22</v>
      </c>
      <c r="J113" s="17">
        <v>54231195</v>
      </c>
      <c r="K113" s="17" t="s">
        <v>61</v>
      </c>
      <c r="L113" s="17"/>
      <c r="M113" s="17"/>
      <c r="N113" s="17" t="s">
        <v>52</v>
      </c>
      <c r="O113" s="17" t="s">
        <v>23</v>
      </c>
      <c r="P113" s="17">
        <v>0.55000000000000004</v>
      </c>
      <c r="Q113" s="17">
        <v>0.55000000000000004</v>
      </c>
      <c r="R113" s="18" t="s">
        <v>25</v>
      </c>
      <c r="S113" s="18">
        <v>100</v>
      </c>
      <c r="T113" s="18">
        <v>53500</v>
      </c>
      <c r="U113" s="18">
        <v>36700</v>
      </c>
      <c r="V113" s="18">
        <v>0</v>
      </c>
      <c r="W113" s="18">
        <v>0</v>
      </c>
      <c r="X113" s="18">
        <v>0</v>
      </c>
      <c r="Y113" s="18">
        <v>0</v>
      </c>
      <c r="Z113" s="18">
        <v>1500</v>
      </c>
      <c r="AA113" s="18">
        <v>0</v>
      </c>
      <c r="AB113" s="18">
        <v>0</v>
      </c>
      <c r="AC113" s="18">
        <v>15300</v>
      </c>
      <c r="AD113" s="18">
        <v>53650</v>
      </c>
      <c r="AE113" s="18">
        <v>36700</v>
      </c>
      <c r="AF113" s="18">
        <v>0</v>
      </c>
      <c r="AG113" s="18">
        <v>0</v>
      </c>
      <c r="AH113" s="18">
        <v>0</v>
      </c>
      <c r="AI113" s="18">
        <v>0</v>
      </c>
      <c r="AJ113" s="18">
        <v>1650</v>
      </c>
      <c r="AK113" s="18">
        <v>0</v>
      </c>
      <c r="AL113" s="18">
        <v>0</v>
      </c>
      <c r="AM113" s="18">
        <v>15300</v>
      </c>
      <c r="AN113" s="18">
        <v>29508</v>
      </c>
      <c r="AO113" s="18">
        <v>0</v>
      </c>
      <c r="AP113" s="18">
        <v>29508</v>
      </c>
    </row>
    <row r="114" spans="1:42" x14ac:dyDescent="0.4">
      <c r="A114" s="17" t="s">
        <v>48</v>
      </c>
      <c r="B114" s="17" t="s">
        <v>81</v>
      </c>
      <c r="C114" s="17" t="s">
        <v>82</v>
      </c>
      <c r="D114" s="17" t="s">
        <v>83</v>
      </c>
      <c r="E114" s="17" t="s">
        <v>84</v>
      </c>
      <c r="F114" s="17" t="s">
        <v>49</v>
      </c>
      <c r="G114" s="17" t="s">
        <v>20</v>
      </c>
      <c r="H114" s="17" t="s">
        <v>21</v>
      </c>
      <c r="I114" s="17" t="s">
        <v>22</v>
      </c>
      <c r="J114" s="17">
        <v>54231195</v>
      </c>
      <c r="K114" s="17" t="s">
        <v>61</v>
      </c>
      <c r="L114" s="17"/>
      <c r="M114" s="17"/>
      <c r="N114" s="17" t="s">
        <v>52</v>
      </c>
      <c r="O114" s="17" t="s">
        <v>23</v>
      </c>
      <c r="P114" s="17">
        <v>0.55000000000000004</v>
      </c>
      <c r="Q114" s="17">
        <v>0.55000000000000004</v>
      </c>
      <c r="R114" s="18" t="s">
        <v>24</v>
      </c>
      <c r="S114" s="18">
        <v>2400</v>
      </c>
      <c r="T114" s="18">
        <v>125000</v>
      </c>
      <c r="U114" s="18">
        <v>94800</v>
      </c>
      <c r="V114" s="18">
        <v>0</v>
      </c>
      <c r="W114" s="18">
        <v>0</v>
      </c>
      <c r="X114" s="18">
        <v>0</v>
      </c>
      <c r="Y114" s="18">
        <v>1000</v>
      </c>
      <c r="Z114" s="18">
        <v>15800</v>
      </c>
      <c r="AA114" s="18">
        <v>0</v>
      </c>
      <c r="AB114" s="18">
        <v>0</v>
      </c>
      <c r="AC114" s="18">
        <v>13400</v>
      </c>
      <c r="AD114" s="18">
        <v>126780</v>
      </c>
      <c r="AE114" s="18">
        <v>94800</v>
      </c>
      <c r="AF114" s="18">
        <v>0</v>
      </c>
      <c r="AG114" s="18">
        <v>0</v>
      </c>
      <c r="AH114" s="18">
        <v>0</v>
      </c>
      <c r="AI114" s="18">
        <v>1200</v>
      </c>
      <c r="AJ114" s="18">
        <v>17380</v>
      </c>
      <c r="AK114" s="18">
        <v>0</v>
      </c>
      <c r="AL114" s="18">
        <v>0</v>
      </c>
      <c r="AM114" s="18">
        <v>13400</v>
      </c>
      <c r="AN114" s="18">
        <v>69729</v>
      </c>
      <c r="AO114" s="18">
        <v>0</v>
      </c>
      <c r="AP114" s="18">
        <v>69729</v>
      </c>
    </row>
    <row r="115" spans="1:42" x14ac:dyDescent="0.4">
      <c r="A115" s="17" t="s">
        <v>48</v>
      </c>
      <c r="B115" s="17" t="s">
        <v>81</v>
      </c>
      <c r="C115" s="17" t="s">
        <v>82</v>
      </c>
      <c r="D115" s="17" t="s">
        <v>83</v>
      </c>
      <c r="E115" s="17" t="s">
        <v>84</v>
      </c>
      <c r="F115" s="17" t="s">
        <v>49</v>
      </c>
      <c r="G115" s="17" t="s">
        <v>20</v>
      </c>
      <c r="H115" s="17" t="s">
        <v>21</v>
      </c>
      <c r="I115" s="17" t="s">
        <v>22</v>
      </c>
      <c r="J115" s="17">
        <v>54231195</v>
      </c>
      <c r="K115" s="17" t="s">
        <v>61</v>
      </c>
      <c r="L115" s="17"/>
      <c r="M115" s="17"/>
      <c r="N115" s="17" t="s">
        <v>52</v>
      </c>
      <c r="O115" s="17" t="s">
        <v>23</v>
      </c>
      <c r="P115" s="17">
        <v>0.55000000000000004</v>
      </c>
      <c r="Q115" s="17">
        <v>0.55000000000000004</v>
      </c>
      <c r="R115" s="18" t="s">
        <v>24</v>
      </c>
      <c r="S115" s="18">
        <v>9200</v>
      </c>
      <c r="T115" s="18">
        <v>99800</v>
      </c>
      <c r="U115" s="18">
        <v>80700</v>
      </c>
      <c r="V115" s="18">
        <v>0</v>
      </c>
      <c r="W115" s="18">
        <v>0</v>
      </c>
      <c r="X115" s="18">
        <v>0</v>
      </c>
      <c r="Y115" s="18">
        <v>0</v>
      </c>
      <c r="Z115" s="18">
        <v>9200</v>
      </c>
      <c r="AA115" s="18">
        <v>0</v>
      </c>
      <c r="AB115" s="18">
        <v>0</v>
      </c>
      <c r="AC115" s="18">
        <v>9900</v>
      </c>
      <c r="AD115" s="18">
        <v>100720</v>
      </c>
      <c r="AE115" s="18">
        <v>80700</v>
      </c>
      <c r="AF115" s="18">
        <v>0</v>
      </c>
      <c r="AG115" s="18">
        <v>0</v>
      </c>
      <c r="AH115" s="18">
        <v>0</v>
      </c>
      <c r="AI115" s="18">
        <v>0</v>
      </c>
      <c r="AJ115" s="18">
        <v>10120</v>
      </c>
      <c r="AK115" s="18">
        <v>0</v>
      </c>
      <c r="AL115" s="18">
        <v>0</v>
      </c>
      <c r="AM115" s="18">
        <v>9900</v>
      </c>
      <c r="AN115" s="18">
        <v>55396</v>
      </c>
      <c r="AO115" s="18">
        <v>0</v>
      </c>
      <c r="AP115" s="18">
        <v>55396</v>
      </c>
    </row>
    <row r="116" spans="1:42" x14ac:dyDescent="0.4">
      <c r="A116" s="17" t="s">
        <v>48</v>
      </c>
      <c r="B116" s="17" t="s">
        <v>81</v>
      </c>
      <c r="C116" s="17" t="s">
        <v>82</v>
      </c>
      <c r="D116" s="17" t="s">
        <v>83</v>
      </c>
      <c r="E116" s="17" t="s">
        <v>84</v>
      </c>
      <c r="F116" s="17" t="s">
        <v>49</v>
      </c>
      <c r="G116" s="17" t="s">
        <v>20</v>
      </c>
      <c r="H116" s="17" t="s">
        <v>21</v>
      </c>
      <c r="I116" s="17" t="s">
        <v>22</v>
      </c>
      <c r="J116" s="17">
        <v>54231195</v>
      </c>
      <c r="K116" s="17" t="s">
        <v>61</v>
      </c>
      <c r="L116" s="17"/>
      <c r="M116" s="17"/>
      <c r="N116" s="17" t="s">
        <v>52</v>
      </c>
      <c r="O116" s="17" t="s">
        <v>23</v>
      </c>
      <c r="P116" s="17">
        <v>0.55000000000000004</v>
      </c>
      <c r="Q116" s="17">
        <v>0.55000000000000004</v>
      </c>
      <c r="R116" s="18" t="s">
        <v>24</v>
      </c>
      <c r="S116" s="18">
        <v>18000</v>
      </c>
      <c r="T116" s="18">
        <v>27800</v>
      </c>
      <c r="U116" s="18">
        <v>28100</v>
      </c>
      <c r="V116" s="18">
        <v>0</v>
      </c>
      <c r="W116" s="18">
        <v>0</v>
      </c>
      <c r="X116" s="18">
        <v>0</v>
      </c>
      <c r="Y116" s="18">
        <v>-50</v>
      </c>
      <c r="Z116" s="18">
        <v>-650</v>
      </c>
      <c r="AA116" s="18">
        <v>0</v>
      </c>
      <c r="AB116" s="18">
        <v>0</v>
      </c>
      <c r="AC116" s="18">
        <v>400</v>
      </c>
      <c r="AD116" s="18">
        <v>27725</v>
      </c>
      <c r="AE116" s="18">
        <v>28100</v>
      </c>
      <c r="AF116" s="18">
        <v>0</v>
      </c>
      <c r="AG116" s="18">
        <v>0</v>
      </c>
      <c r="AH116" s="18">
        <v>0</v>
      </c>
      <c r="AI116" s="18">
        <v>-60</v>
      </c>
      <c r="AJ116" s="18">
        <v>-715</v>
      </c>
      <c r="AK116" s="18">
        <v>0</v>
      </c>
      <c r="AL116" s="18">
        <v>0</v>
      </c>
      <c r="AM116" s="18">
        <v>400</v>
      </c>
      <c r="AN116" s="18">
        <v>15249</v>
      </c>
      <c r="AO116" s="18">
        <v>0</v>
      </c>
      <c r="AP116" s="18">
        <v>15249</v>
      </c>
    </row>
    <row r="117" spans="1:42" x14ac:dyDescent="0.4">
      <c r="A117" s="17" t="s">
        <v>48</v>
      </c>
      <c r="B117" s="17" t="s">
        <v>81</v>
      </c>
      <c r="C117" s="17" t="s">
        <v>82</v>
      </c>
      <c r="D117" s="17" t="s">
        <v>83</v>
      </c>
      <c r="E117" s="17" t="s">
        <v>84</v>
      </c>
      <c r="F117" s="17" t="s">
        <v>49</v>
      </c>
      <c r="G117" s="17" t="s">
        <v>20</v>
      </c>
      <c r="H117" s="17" t="s">
        <v>21</v>
      </c>
      <c r="I117" s="17" t="s">
        <v>22</v>
      </c>
      <c r="J117" s="17">
        <v>54659177</v>
      </c>
      <c r="K117" s="17" t="s">
        <v>79</v>
      </c>
      <c r="L117" s="17"/>
      <c r="M117" s="17"/>
      <c r="N117" s="17" t="s">
        <v>80</v>
      </c>
      <c r="O117" s="17" t="s">
        <v>23</v>
      </c>
      <c r="P117" s="17">
        <v>0.55000000000000004</v>
      </c>
      <c r="Q117" s="17">
        <v>0.55000000000000004</v>
      </c>
      <c r="R117" s="18" t="s">
        <v>25</v>
      </c>
      <c r="S117" s="18">
        <v>100</v>
      </c>
      <c r="T117" s="18">
        <v>600</v>
      </c>
      <c r="U117" s="18">
        <v>300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300</v>
      </c>
      <c r="AD117" s="18">
        <v>600</v>
      </c>
      <c r="AE117" s="18">
        <v>300</v>
      </c>
      <c r="AF117" s="18">
        <v>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300</v>
      </c>
      <c r="AN117" s="18">
        <v>330</v>
      </c>
      <c r="AO117" s="18">
        <v>0</v>
      </c>
      <c r="AP117" s="18">
        <v>330</v>
      </c>
    </row>
    <row r="118" spans="1:42" x14ac:dyDescent="0.4">
      <c r="A118" s="17" t="s">
        <v>48</v>
      </c>
      <c r="B118" s="17" t="s">
        <v>81</v>
      </c>
      <c r="C118" s="17" t="s">
        <v>82</v>
      </c>
      <c r="D118" s="17" t="s">
        <v>83</v>
      </c>
      <c r="E118" s="17" t="s">
        <v>84</v>
      </c>
      <c r="F118" s="17" t="s">
        <v>49</v>
      </c>
      <c r="G118" s="17" t="s">
        <v>20</v>
      </c>
      <c r="H118" s="17" t="s">
        <v>21</v>
      </c>
      <c r="I118" s="17" t="s">
        <v>22</v>
      </c>
      <c r="J118" s="17">
        <v>54659177</v>
      </c>
      <c r="K118" s="17" t="s">
        <v>79</v>
      </c>
      <c r="L118" s="17"/>
      <c r="M118" s="17"/>
      <c r="N118" s="17" t="s">
        <v>80</v>
      </c>
      <c r="O118" s="17" t="s">
        <v>23</v>
      </c>
      <c r="P118" s="17">
        <v>0.55000000000000004</v>
      </c>
      <c r="Q118" s="17">
        <v>0.55000000000000004</v>
      </c>
      <c r="R118" s="18" t="s">
        <v>24</v>
      </c>
      <c r="S118" s="18">
        <v>2400</v>
      </c>
      <c r="T118" s="18">
        <v>7200</v>
      </c>
      <c r="U118" s="18">
        <v>7200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7200</v>
      </c>
      <c r="AE118" s="18">
        <v>7200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3960</v>
      </c>
      <c r="AO118" s="18">
        <v>0</v>
      </c>
      <c r="AP118" s="18">
        <v>3960</v>
      </c>
    </row>
    <row r="119" spans="1:42" x14ac:dyDescent="0.4">
      <c r="A119" s="17" t="s">
        <v>48</v>
      </c>
      <c r="B119" s="17" t="s">
        <v>81</v>
      </c>
      <c r="C119" s="17" t="s">
        <v>82</v>
      </c>
      <c r="D119" s="17" t="s">
        <v>83</v>
      </c>
      <c r="E119" s="17" t="s">
        <v>84</v>
      </c>
      <c r="F119" s="17" t="s">
        <v>49</v>
      </c>
      <c r="G119" s="17" t="s">
        <v>20</v>
      </c>
      <c r="H119" s="17" t="s">
        <v>21</v>
      </c>
      <c r="I119" s="17" t="s">
        <v>22</v>
      </c>
      <c r="J119" s="17">
        <v>54659177</v>
      </c>
      <c r="K119" s="17" t="s">
        <v>79</v>
      </c>
      <c r="L119" s="17"/>
      <c r="M119" s="17"/>
      <c r="N119" s="17" t="s">
        <v>80</v>
      </c>
      <c r="O119" s="17" t="s">
        <v>23</v>
      </c>
      <c r="P119" s="17">
        <v>0.55000000000000004</v>
      </c>
      <c r="Q119" s="17">
        <v>0.55000000000000004</v>
      </c>
      <c r="R119" s="18" t="s">
        <v>24</v>
      </c>
      <c r="S119" s="18">
        <v>9200</v>
      </c>
      <c r="T119" s="18">
        <v>26500</v>
      </c>
      <c r="U119" s="18">
        <v>26500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26500</v>
      </c>
      <c r="AE119" s="18">
        <v>26500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14575</v>
      </c>
      <c r="AO119" s="18">
        <v>0</v>
      </c>
      <c r="AP119" s="18">
        <v>14575</v>
      </c>
    </row>
    <row r="120" spans="1:42" x14ac:dyDescent="0.4">
      <c r="A120" s="17" t="s">
        <v>48</v>
      </c>
      <c r="B120" s="17" t="s">
        <v>81</v>
      </c>
      <c r="C120" s="17" t="s">
        <v>82</v>
      </c>
      <c r="D120" s="17" t="s">
        <v>83</v>
      </c>
      <c r="E120" s="17" t="s">
        <v>84</v>
      </c>
      <c r="F120" s="17" t="s">
        <v>49</v>
      </c>
      <c r="G120" s="17" t="s">
        <v>20</v>
      </c>
      <c r="H120" s="17" t="s">
        <v>21</v>
      </c>
      <c r="I120" s="17" t="s">
        <v>22</v>
      </c>
      <c r="J120" s="17">
        <v>55635870</v>
      </c>
      <c r="K120" s="17" t="s">
        <v>88</v>
      </c>
      <c r="L120" s="17"/>
      <c r="M120" s="17"/>
      <c r="N120" s="17" t="s">
        <v>64</v>
      </c>
      <c r="O120" s="17" t="s">
        <v>23</v>
      </c>
      <c r="P120" s="17">
        <v>0.55000000000000004</v>
      </c>
      <c r="Q120" s="17">
        <v>0.55000000000000004</v>
      </c>
      <c r="R120" s="18" t="s">
        <v>25</v>
      </c>
      <c r="S120" s="18">
        <v>100</v>
      </c>
      <c r="T120" s="18">
        <v>2069800</v>
      </c>
      <c r="U120" s="18">
        <v>592440</v>
      </c>
      <c r="V120" s="18">
        <v>0</v>
      </c>
      <c r="W120" s="18">
        <v>0</v>
      </c>
      <c r="X120" s="18">
        <v>0</v>
      </c>
      <c r="Y120" s="18">
        <v>12080</v>
      </c>
      <c r="Z120" s="18">
        <v>21600</v>
      </c>
      <c r="AA120" s="18">
        <v>0</v>
      </c>
      <c r="AB120" s="18">
        <v>0</v>
      </c>
      <c r="AC120" s="18">
        <v>1443680</v>
      </c>
      <c r="AD120" s="18">
        <v>2074376</v>
      </c>
      <c r="AE120" s="18">
        <v>592440</v>
      </c>
      <c r="AF120" s="18">
        <v>0</v>
      </c>
      <c r="AG120" s="18">
        <v>0</v>
      </c>
      <c r="AH120" s="18">
        <v>0</v>
      </c>
      <c r="AI120" s="18">
        <v>14496</v>
      </c>
      <c r="AJ120" s="18">
        <v>23760</v>
      </c>
      <c r="AK120" s="18">
        <v>0</v>
      </c>
      <c r="AL120" s="18">
        <v>0</v>
      </c>
      <c r="AM120" s="18">
        <v>1443680</v>
      </c>
      <c r="AN120" s="18">
        <v>1140907</v>
      </c>
      <c r="AO120" s="18">
        <v>0</v>
      </c>
      <c r="AP120" s="18">
        <v>1140907</v>
      </c>
    </row>
    <row r="121" spans="1:42" x14ac:dyDescent="0.4">
      <c r="A121" s="17" t="s">
        <v>48</v>
      </c>
      <c r="B121" s="17" t="s">
        <v>81</v>
      </c>
      <c r="C121" s="17" t="s">
        <v>82</v>
      </c>
      <c r="D121" s="17" t="s">
        <v>83</v>
      </c>
      <c r="E121" s="17" t="s">
        <v>84</v>
      </c>
      <c r="F121" s="17" t="s">
        <v>49</v>
      </c>
      <c r="G121" s="17" t="s">
        <v>20</v>
      </c>
      <c r="H121" s="17" t="s">
        <v>21</v>
      </c>
      <c r="I121" s="17" t="s">
        <v>22</v>
      </c>
      <c r="J121" s="17">
        <v>55635870</v>
      </c>
      <c r="K121" s="17" t="s">
        <v>88</v>
      </c>
      <c r="L121" s="17"/>
      <c r="M121" s="17"/>
      <c r="N121" s="17" t="s">
        <v>64</v>
      </c>
      <c r="O121" s="17" t="s">
        <v>23</v>
      </c>
      <c r="P121" s="17">
        <v>0.55000000000000004</v>
      </c>
      <c r="Q121" s="17">
        <v>0.55000000000000004</v>
      </c>
      <c r="R121" s="18" t="s">
        <v>24</v>
      </c>
      <c r="S121" s="18">
        <v>2400</v>
      </c>
      <c r="T121" s="18">
        <v>2291000</v>
      </c>
      <c r="U121" s="18">
        <v>1627280</v>
      </c>
      <c r="V121" s="18">
        <v>0</v>
      </c>
      <c r="W121" s="18">
        <v>0</v>
      </c>
      <c r="X121" s="18">
        <v>-1900</v>
      </c>
      <c r="Y121" s="18">
        <v>680</v>
      </c>
      <c r="Z121" s="18">
        <v>84920</v>
      </c>
      <c r="AA121" s="18">
        <v>-300</v>
      </c>
      <c r="AB121" s="18">
        <v>0</v>
      </c>
      <c r="AC121" s="18">
        <v>580320</v>
      </c>
      <c r="AD121" s="18">
        <v>2298782.8276999998</v>
      </c>
      <c r="AE121" s="18">
        <v>1627280</v>
      </c>
      <c r="AF121" s="18">
        <v>0</v>
      </c>
      <c r="AG121" s="18">
        <v>0</v>
      </c>
      <c r="AH121" s="18">
        <v>-2629.9214999999999</v>
      </c>
      <c r="AI121" s="18">
        <v>816</v>
      </c>
      <c r="AJ121" s="18">
        <v>93412</v>
      </c>
      <c r="AK121" s="18">
        <v>-415.25080000000003</v>
      </c>
      <c r="AL121" s="18">
        <v>0</v>
      </c>
      <c r="AM121" s="18">
        <v>580320</v>
      </c>
      <c r="AN121" s="18">
        <v>1264331</v>
      </c>
      <c r="AO121" s="18">
        <v>0</v>
      </c>
      <c r="AP121" s="18">
        <v>1264331</v>
      </c>
    </row>
    <row r="122" spans="1:42" x14ac:dyDescent="0.4">
      <c r="A122" s="17" t="s">
        <v>48</v>
      </c>
      <c r="B122" s="17" t="s">
        <v>81</v>
      </c>
      <c r="C122" s="17" t="s">
        <v>82</v>
      </c>
      <c r="D122" s="17" t="s">
        <v>83</v>
      </c>
      <c r="E122" s="17" t="s">
        <v>84</v>
      </c>
      <c r="F122" s="17" t="s">
        <v>49</v>
      </c>
      <c r="G122" s="17" t="s">
        <v>20</v>
      </c>
      <c r="H122" s="17" t="s">
        <v>21</v>
      </c>
      <c r="I122" s="17" t="s">
        <v>22</v>
      </c>
      <c r="J122" s="17">
        <v>55635870</v>
      </c>
      <c r="K122" s="17" t="s">
        <v>88</v>
      </c>
      <c r="L122" s="17"/>
      <c r="M122" s="17"/>
      <c r="N122" s="17" t="s">
        <v>64</v>
      </c>
      <c r="O122" s="17" t="s">
        <v>23</v>
      </c>
      <c r="P122" s="17">
        <v>0.55000000000000004</v>
      </c>
      <c r="Q122" s="17">
        <v>0.55000000000000004</v>
      </c>
      <c r="R122" s="18" t="s">
        <v>24</v>
      </c>
      <c r="S122" s="18">
        <v>9200</v>
      </c>
      <c r="T122" s="18">
        <v>2512300</v>
      </c>
      <c r="U122" s="18">
        <v>2181600</v>
      </c>
      <c r="V122" s="18">
        <v>0</v>
      </c>
      <c r="W122" s="18">
        <v>0</v>
      </c>
      <c r="X122" s="18">
        <v>0</v>
      </c>
      <c r="Y122" s="18">
        <v>-3000</v>
      </c>
      <c r="Z122" s="18">
        <v>146400</v>
      </c>
      <c r="AA122" s="18">
        <v>0</v>
      </c>
      <c r="AB122" s="18">
        <v>0</v>
      </c>
      <c r="AC122" s="18">
        <v>187300</v>
      </c>
      <c r="AD122" s="18">
        <v>2526340</v>
      </c>
      <c r="AE122" s="18">
        <v>2181600</v>
      </c>
      <c r="AF122" s="18">
        <v>0</v>
      </c>
      <c r="AG122" s="18">
        <v>0</v>
      </c>
      <c r="AH122" s="18">
        <v>0</v>
      </c>
      <c r="AI122" s="18">
        <v>-3600</v>
      </c>
      <c r="AJ122" s="18">
        <v>161040</v>
      </c>
      <c r="AK122" s="18">
        <v>0</v>
      </c>
      <c r="AL122" s="18">
        <v>0</v>
      </c>
      <c r="AM122" s="18">
        <v>187300</v>
      </c>
      <c r="AN122" s="18">
        <v>1389487</v>
      </c>
      <c r="AO122" s="18">
        <v>0</v>
      </c>
      <c r="AP122" s="18">
        <v>1389487</v>
      </c>
    </row>
    <row r="123" spans="1:42" x14ac:dyDescent="0.4">
      <c r="A123" s="17" t="s">
        <v>48</v>
      </c>
      <c r="B123" s="17" t="s">
        <v>81</v>
      </c>
      <c r="C123" s="17" t="s">
        <v>82</v>
      </c>
      <c r="D123" s="17" t="s">
        <v>83</v>
      </c>
      <c r="E123" s="17" t="s">
        <v>84</v>
      </c>
      <c r="F123" s="17" t="s">
        <v>49</v>
      </c>
      <c r="G123" s="17" t="s">
        <v>20</v>
      </c>
      <c r="H123" s="17" t="s">
        <v>21</v>
      </c>
      <c r="I123" s="17" t="s">
        <v>22</v>
      </c>
      <c r="J123" s="17">
        <v>55635870</v>
      </c>
      <c r="K123" s="17" t="s">
        <v>88</v>
      </c>
      <c r="L123" s="17"/>
      <c r="M123" s="17"/>
      <c r="N123" s="17" t="s">
        <v>64</v>
      </c>
      <c r="O123" s="17" t="s">
        <v>23</v>
      </c>
      <c r="P123" s="17">
        <v>0.55000000000000004</v>
      </c>
      <c r="Q123" s="17">
        <v>0.55000000000000004</v>
      </c>
      <c r="R123" s="18" t="s">
        <v>24</v>
      </c>
      <c r="S123" s="18">
        <v>18000</v>
      </c>
      <c r="T123" s="18">
        <v>1540900</v>
      </c>
      <c r="U123" s="18">
        <v>1417800</v>
      </c>
      <c r="V123" s="18">
        <v>0</v>
      </c>
      <c r="W123" s="18">
        <v>0</v>
      </c>
      <c r="X123" s="18">
        <v>0</v>
      </c>
      <c r="Y123" s="18">
        <v>0</v>
      </c>
      <c r="Z123" s="18">
        <v>36000</v>
      </c>
      <c r="AA123" s="18">
        <v>0</v>
      </c>
      <c r="AB123" s="18">
        <v>0</v>
      </c>
      <c r="AC123" s="18">
        <v>87100</v>
      </c>
      <c r="AD123" s="18">
        <v>1544500</v>
      </c>
      <c r="AE123" s="18">
        <v>1417800</v>
      </c>
      <c r="AF123" s="18">
        <v>0</v>
      </c>
      <c r="AG123" s="18">
        <v>0</v>
      </c>
      <c r="AH123" s="18">
        <v>0</v>
      </c>
      <c r="AI123" s="18">
        <v>0</v>
      </c>
      <c r="AJ123" s="18">
        <v>39600</v>
      </c>
      <c r="AK123" s="18">
        <v>0</v>
      </c>
      <c r="AL123" s="18">
        <v>0</v>
      </c>
      <c r="AM123" s="18">
        <v>87100</v>
      </c>
      <c r="AN123" s="18">
        <v>849475</v>
      </c>
      <c r="AO123" s="18">
        <v>0</v>
      </c>
      <c r="AP123" s="18">
        <v>849475</v>
      </c>
    </row>
    <row r="124" spans="1:42" x14ac:dyDescent="0.4">
      <c r="A124" s="17" t="s">
        <v>48</v>
      </c>
      <c r="B124" s="17" t="s">
        <v>81</v>
      </c>
      <c r="C124" s="17" t="s">
        <v>82</v>
      </c>
      <c r="D124" s="17" t="s">
        <v>83</v>
      </c>
      <c r="E124" s="17" t="s">
        <v>84</v>
      </c>
      <c r="F124" s="17" t="s">
        <v>49</v>
      </c>
      <c r="G124" s="17" t="s">
        <v>20</v>
      </c>
      <c r="H124" s="17" t="s">
        <v>21</v>
      </c>
      <c r="I124" s="17" t="s">
        <v>22</v>
      </c>
      <c r="J124" s="17">
        <v>55688392</v>
      </c>
      <c r="K124" s="17" t="s">
        <v>161</v>
      </c>
      <c r="L124" s="17"/>
      <c r="M124" s="17"/>
      <c r="N124" s="17" t="s">
        <v>54</v>
      </c>
      <c r="O124" s="17" t="s">
        <v>23</v>
      </c>
      <c r="P124" s="17">
        <v>0.55000000000000004</v>
      </c>
      <c r="Q124" s="17">
        <v>0.55000000000000004</v>
      </c>
      <c r="R124" s="18" t="s">
        <v>25</v>
      </c>
      <c r="S124" s="18">
        <v>3200</v>
      </c>
      <c r="T124" s="18">
        <v>19200</v>
      </c>
      <c r="U124" s="18">
        <v>19200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19200</v>
      </c>
      <c r="AE124" s="18">
        <v>19200</v>
      </c>
      <c r="AF124" s="18">
        <v>0</v>
      </c>
      <c r="AG124" s="18">
        <v>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10560</v>
      </c>
      <c r="AO124" s="18">
        <v>0</v>
      </c>
      <c r="AP124" s="18">
        <v>10560</v>
      </c>
    </row>
    <row r="125" spans="1:42" x14ac:dyDescent="0.4">
      <c r="A125" s="17" t="s">
        <v>48</v>
      </c>
      <c r="B125" s="17" t="s">
        <v>81</v>
      </c>
      <c r="C125" s="17" t="s">
        <v>82</v>
      </c>
      <c r="D125" s="17" t="s">
        <v>83</v>
      </c>
      <c r="E125" s="17" t="s">
        <v>84</v>
      </c>
      <c r="F125" s="17" t="s">
        <v>49</v>
      </c>
      <c r="G125" s="17" t="s">
        <v>20</v>
      </c>
      <c r="H125" s="17" t="s">
        <v>21</v>
      </c>
      <c r="I125" s="17" t="s">
        <v>22</v>
      </c>
      <c r="J125" s="17">
        <v>56485755</v>
      </c>
      <c r="K125" s="17" t="s">
        <v>91</v>
      </c>
      <c r="L125" s="17"/>
      <c r="M125" s="17"/>
      <c r="N125" s="17" t="s">
        <v>64</v>
      </c>
      <c r="O125" s="17" t="s">
        <v>23</v>
      </c>
      <c r="P125" s="17">
        <v>0.55000000000000004</v>
      </c>
      <c r="Q125" s="17">
        <v>0.55000000000000004</v>
      </c>
      <c r="R125" s="18" t="s">
        <v>25</v>
      </c>
      <c r="S125" s="18">
        <v>3200</v>
      </c>
      <c r="T125" s="18">
        <v>444800</v>
      </c>
      <c r="U125" s="18">
        <v>406680</v>
      </c>
      <c r="V125" s="18">
        <v>0</v>
      </c>
      <c r="W125" s="18">
        <v>0</v>
      </c>
      <c r="X125" s="18">
        <v>0</v>
      </c>
      <c r="Y125" s="18">
        <v>0</v>
      </c>
      <c r="Z125" s="18">
        <v>6400</v>
      </c>
      <c r="AA125" s="18">
        <v>0</v>
      </c>
      <c r="AB125" s="18">
        <v>0</v>
      </c>
      <c r="AC125" s="18">
        <v>31720</v>
      </c>
      <c r="AD125" s="18">
        <v>445440</v>
      </c>
      <c r="AE125" s="18">
        <v>406680</v>
      </c>
      <c r="AF125" s="18">
        <v>0</v>
      </c>
      <c r="AG125" s="18">
        <v>0</v>
      </c>
      <c r="AH125" s="18">
        <v>0</v>
      </c>
      <c r="AI125" s="18">
        <v>0</v>
      </c>
      <c r="AJ125" s="18">
        <v>7040</v>
      </c>
      <c r="AK125" s="18">
        <v>0</v>
      </c>
      <c r="AL125" s="18">
        <v>0</v>
      </c>
      <c r="AM125" s="18">
        <v>31720</v>
      </c>
      <c r="AN125" s="18">
        <v>244992</v>
      </c>
      <c r="AO125" s="18">
        <v>0</v>
      </c>
      <c r="AP125" s="18">
        <v>244992</v>
      </c>
    </row>
    <row r="126" spans="1:42" x14ac:dyDescent="0.4">
      <c r="A126" s="17" t="s">
        <v>48</v>
      </c>
      <c r="B126" s="17" t="s">
        <v>81</v>
      </c>
      <c r="C126" s="17" t="s">
        <v>82</v>
      </c>
      <c r="D126" s="17" t="s">
        <v>83</v>
      </c>
      <c r="E126" s="17" t="s">
        <v>84</v>
      </c>
      <c r="F126" s="17" t="s">
        <v>49</v>
      </c>
      <c r="G126" s="17" t="s">
        <v>20</v>
      </c>
      <c r="H126" s="17" t="s">
        <v>21</v>
      </c>
      <c r="I126" s="17" t="s">
        <v>22</v>
      </c>
      <c r="J126" s="17">
        <v>56485755</v>
      </c>
      <c r="K126" s="17" t="s">
        <v>91</v>
      </c>
      <c r="L126" s="17"/>
      <c r="M126" s="17"/>
      <c r="N126" s="17" t="s">
        <v>64</v>
      </c>
      <c r="O126" s="17" t="s">
        <v>23</v>
      </c>
      <c r="P126" s="17">
        <v>0.55000000000000004</v>
      </c>
      <c r="Q126" s="17">
        <v>0.55000000000000004</v>
      </c>
      <c r="R126" s="18" t="s">
        <v>24</v>
      </c>
      <c r="S126" s="18">
        <v>44800</v>
      </c>
      <c r="T126" s="18">
        <v>89600</v>
      </c>
      <c r="U126" s="18">
        <v>89600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89600</v>
      </c>
      <c r="AE126" s="18">
        <v>89600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49280</v>
      </c>
      <c r="AO126" s="18">
        <v>0</v>
      </c>
      <c r="AP126" s="18">
        <v>49280</v>
      </c>
    </row>
    <row r="127" spans="1:42" x14ac:dyDescent="0.4">
      <c r="A127" s="17" t="s">
        <v>48</v>
      </c>
      <c r="B127" s="17" t="s">
        <v>81</v>
      </c>
      <c r="C127" s="17" t="s">
        <v>82</v>
      </c>
      <c r="D127" s="17" t="s">
        <v>83</v>
      </c>
      <c r="E127" s="17" t="s">
        <v>84</v>
      </c>
      <c r="F127" s="17" t="s">
        <v>49</v>
      </c>
      <c r="G127" s="17" t="s">
        <v>20</v>
      </c>
      <c r="H127" s="17" t="s">
        <v>21</v>
      </c>
      <c r="I127" s="17" t="s">
        <v>22</v>
      </c>
      <c r="J127" s="17">
        <v>56691893</v>
      </c>
      <c r="K127" s="17" t="s">
        <v>92</v>
      </c>
      <c r="L127" s="17"/>
      <c r="M127" s="17"/>
      <c r="N127" s="17" t="s">
        <v>93</v>
      </c>
      <c r="O127" s="17" t="s">
        <v>23</v>
      </c>
      <c r="P127" s="17">
        <v>0.55000000000000004</v>
      </c>
      <c r="Q127" s="17">
        <v>0.55000000000000004</v>
      </c>
      <c r="R127" s="18" t="s">
        <v>25</v>
      </c>
      <c r="S127" s="18">
        <v>100</v>
      </c>
      <c r="T127" s="18">
        <v>41400</v>
      </c>
      <c r="U127" s="18">
        <v>7500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33900</v>
      </c>
      <c r="AD127" s="18">
        <v>41400</v>
      </c>
      <c r="AE127" s="18">
        <v>7500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33900</v>
      </c>
      <c r="AN127" s="18">
        <v>22770</v>
      </c>
      <c r="AO127" s="18">
        <v>0</v>
      </c>
      <c r="AP127" s="18">
        <v>22770</v>
      </c>
    </row>
    <row r="128" spans="1:42" x14ac:dyDescent="0.4">
      <c r="A128" s="17" t="s">
        <v>48</v>
      </c>
      <c r="B128" s="17" t="s">
        <v>81</v>
      </c>
      <c r="C128" s="17" t="s">
        <v>82</v>
      </c>
      <c r="D128" s="17" t="s">
        <v>83</v>
      </c>
      <c r="E128" s="17" t="s">
        <v>84</v>
      </c>
      <c r="F128" s="17" t="s">
        <v>49</v>
      </c>
      <c r="G128" s="17" t="s">
        <v>20</v>
      </c>
      <c r="H128" s="17" t="s">
        <v>21</v>
      </c>
      <c r="I128" s="17" t="s">
        <v>22</v>
      </c>
      <c r="J128" s="17">
        <v>56691893</v>
      </c>
      <c r="K128" s="17" t="s">
        <v>92</v>
      </c>
      <c r="L128" s="17"/>
      <c r="M128" s="17"/>
      <c r="N128" s="17" t="s">
        <v>93</v>
      </c>
      <c r="O128" s="17" t="s">
        <v>23</v>
      </c>
      <c r="P128" s="17">
        <v>0.55000000000000004</v>
      </c>
      <c r="Q128" s="17">
        <v>0.55000000000000004</v>
      </c>
      <c r="R128" s="18" t="s">
        <v>24</v>
      </c>
      <c r="S128" s="18">
        <v>2400</v>
      </c>
      <c r="T128" s="18">
        <v>9900</v>
      </c>
      <c r="U128" s="18">
        <v>100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9800</v>
      </c>
      <c r="AD128" s="18">
        <v>9900</v>
      </c>
      <c r="AE128" s="18">
        <v>100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9800</v>
      </c>
      <c r="AN128" s="18">
        <v>5445</v>
      </c>
      <c r="AO128" s="18">
        <v>0</v>
      </c>
      <c r="AP128" s="18">
        <v>5445</v>
      </c>
    </row>
    <row r="129" spans="1:42" x14ac:dyDescent="0.4">
      <c r="A129" s="17" t="s">
        <v>48</v>
      </c>
      <c r="B129" s="17" t="s">
        <v>81</v>
      </c>
      <c r="C129" s="17" t="s">
        <v>82</v>
      </c>
      <c r="D129" s="17" t="s">
        <v>83</v>
      </c>
      <c r="E129" s="17" t="s">
        <v>84</v>
      </c>
      <c r="F129" s="17" t="s">
        <v>49</v>
      </c>
      <c r="G129" s="17" t="s">
        <v>20</v>
      </c>
      <c r="H129" s="17" t="s">
        <v>21</v>
      </c>
      <c r="I129" s="17" t="s">
        <v>22</v>
      </c>
      <c r="J129" s="17">
        <v>56691893</v>
      </c>
      <c r="K129" s="17" t="s">
        <v>92</v>
      </c>
      <c r="L129" s="17"/>
      <c r="M129" s="17"/>
      <c r="N129" s="17" t="s">
        <v>93</v>
      </c>
      <c r="O129" s="17" t="s">
        <v>23</v>
      </c>
      <c r="P129" s="17">
        <v>0.55000000000000004</v>
      </c>
      <c r="Q129" s="17">
        <v>0.55000000000000004</v>
      </c>
      <c r="R129" s="18" t="s">
        <v>24</v>
      </c>
      <c r="S129" s="18">
        <v>4700</v>
      </c>
      <c r="T129" s="18">
        <v>30300</v>
      </c>
      <c r="U129" s="18">
        <v>25900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4400</v>
      </c>
      <c r="AD129" s="18">
        <v>30300</v>
      </c>
      <c r="AE129" s="18">
        <v>25900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4400</v>
      </c>
      <c r="AN129" s="18">
        <v>16665</v>
      </c>
      <c r="AO129" s="18">
        <v>0</v>
      </c>
      <c r="AP129" s="18">
        <v>16665</v>
      </c>
    </row>
    <row r="130" spans="1:42" x14ac:dyDescent="0.4">
      <c r="A130" s="17" t="s">
        <v>48</v>
      </c>
      <c r="B130" s="17" t="s">
        <v>81</v>
      </c>
      <c r="C130" s="17" t="s">
        <v>82</v>
      </c>
      <c r="D130" s="17" t="s">
        <v>83</v>
      </c>
      <c r="E130" s="17" t="s">
        <v>84</v>
      </c>
      <c r="F130" s="17" t="s">
        <v>49</v>
      </c>
      <c r="G130" s="17" t="s">
        <v>20</v>
      </c>
      <c r="H130" s="17" t="s">
        <v>21</v>
      </c>
      <c r="I130" s="17" t="s">
        <v>22</v>
      </c>
      <c r="J130" s="17">
        <v>56691893</v>
      </c>
      <c r="K130" s="17" t="s">
        <v>92</v>
      </c>
      <c r="L130" s="17"/>
      <c r="M130" s="17"/>
      <c r="N130" s="17" t="s">
        <v>93</v>
      </c>
      <c r="O130" s="17" t="s">
        <v>23</v>
      </c>
      <c r="P130" s="17">
        <v>0.55000000000000004</v>
      </c>
      <c r="Q130" s="17">
        <v>0.55000000000000004</v>
      </c>
      <c r="R130" s="18" t="s">
        <v>24</v>
      </c>
      <c r="S130" s="18">
        <v>9200</v>
      </c>
      <c r="T130" s="18">
        <v>18300</v>
      </c>
      <c r="U130" s="18">
        <v>18300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18300</v>
      </c>
      <c r="AE130" s="18">
        <v>18300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10065</v>
      </c>
      <c r="AO130" s="18">
        <v>0</v>
      </c>
      <c r="AP130" s="18">
        <v>10065</v>
      </c>
    </row>
    <row r="131" spans="1:42" x14ac:dyDescent="0.4">
      <c r="A131" s="17" t="s">
        <v>48</v>
      </c>
      <c r="B131" s="17" t="s">
        <v>81</v>
      </c>
      <c r="C131" s="17" t="s">
        <v>82</v>
      </c>
      <c r="D131" s="17" t="s">
        <v>83</v>
      </c>
      <c r="E131" s="17" t="s">
        <v>84</v>
      </c>
      <c r="F131" s="17" t="s">
        <v>49</v>
      </c>
      <c r="G131" s="17" t="s">
        <v>20</v>
      </c>
      <c r="H131" s="17" t="s">
        <v>21</v>
      </c>
      <c r="I131" s="17" t="s">
        <v>22</v>
      </c>
      <c r="J131" s="17">
        <v>56742705</v>
      </c>
      <c r="K131" s="17" t="s">
        <v>94</v>
      </c>
      <c r="L131" s="17"/>
      <c r="M131" s="17"/>
      <c r="N131" s="17" t="s">
        <v>95</v>
      </c>
      <c r="O131" s="17" t="s">
        <v>23</v>
      </c>
      <c r="P131" s="17">
        <v>0.55000000000000004</v>
      </c>
      <c r="Q131" s="17">
        <v>0.55000000000000004</v>
      </c>
      <c r="R131" s="18" t="s">
        <v>25</v>
      </c>
      <c r="S131" s="18">
        <v>100</v>
      </c>
      <c r="T131" s="18">
        <v>27600</v>
      </c>
      <c r="U131" s="18">
        <v>7400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20200</v>
      </c>
      <c r="AD131" s="18">
        <v>27600</v>
      </c>
      <c r="AE131" s="18">
        <v>7400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20200</v>
      </c>
      <c r="AN131" s="18">
        <v>15180</v>
      </c>
      <c r="AO131" s="18">
        <v>0</v>
      </c>
      <c r="AP131" s="18">
        <v>15180</v>
      </c>
    </row>
    <row r="132" spans="1:42" x14ac:dyDescent="0.4">
      <c r="A132" s="17" t="s">
        <v>48</v>
      </c>
      <c r="B132" s="17" t="s">
        <v>81</v>
      </c>
      <c r="C132" s="17" t="s">
        <v>82</v>
      </c>
      <c r="D132" s="17" t="s">
        <v>83</v>
      </c>
      <c r="E132" s="17" t="s">
        <v>84</v>
      </c>
      <c r="F132" s="17" t="s">
        <v>49</v>
      </c>
      <c r="G132" s="17" t="s">
        <v>20</v>
      </c>
      <c r="H132" s="17" t="s">
        <v>21</v>
      </c>
      <c r="I132" s="17" t="s">
        <v>22</v>
      </c>
      <c r="J132" s="17">
        <v>56742705</v>
      </c>
      <c r="K132" s="17" t="s">
        <v>94</v>
      </c>
      <c r="L132" s="17"/>
      <c r="M132" s="17"/>
      <c r="N132" s="17" t="s">
        <v>95</v>
      </c>
      <c r="O132" s="17" t="s">
        <v>23</v>
      </c>
      <c r="P132" s="17">
        <v>0.55000000000000004</v>
      </c>
      <c r="Q132" s="17">
        <v>0.55000000000000004</v>
      </c>
      <c r="R132" s="18" t="s">
        <v>24</v>
      </c>
      <c r="S132" s="18">
        <v>2400</v>
      </c>
      <c r="T132" s="18">
        <v>9300</v>
      </c>
      <c r="U132" s="18">
        <v>4500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4800</v>
      </c>
      <c r="AD132" s="18">
        <v>9300</v>
      </c>
      <c r="AE132" s="18">
        <v>4500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4800</v>
      </c>
      <c r="AN132" s="18">
        <v>5115</v>
      </c>
      <c r="AO132" s="18">
        <v>0</v>
      </c>
      <c r="AP132" s="18">
        <v>5115</v>
      </c>
    </row>
    <row r="133" spans="1:42" x14ac:dyDescent="0.4">
      <c r="A133" s="17" t="s">
        <v>48</v>
      </c>
      <c r="B133" s="17" t="s">
        <v>81</v>
      </c>
      <c r="C133" s="17" t="s">
        <v>82</v>
      </c>
      <c r="D133" s="17" t="s">
        <v>83</v>
      </c>
      <c r="E133" s="17" t="s">
        <v>84</v>
      </c>
      <c r="F133" s="17" t="s">
        <v>49</v>
      </c>
      <c r="G133" s="17" t="s">
        <v>20</v>
      </c>
      <c r="H133" s="17" t="s">
        <v>21</v>
      </c>
      <c r="I133" s="17" t="s">
        <v>22</v>
      </c>
      <c r="J133" s="17">
        <v>56742705</v>
      </c>
      <c r="K133" s="17" t="s">
        <v>94</v>
      </c>
      <c r="L133" s="17"/>
      <c r="M133" s="17"/>
      <c r="N133" s="17" t="s">
        <v>95</v>
      </c>
      <c r="O133" s="17" t="s">
        <v>23</v>
      </c>
      <c r="P133" s="17">
        <v>0.55000000000000004</v>
      </c>
      <c r="Q133" s="17">
        <v>0.55000000000000004</v>
      </c>
      <c r="R133" s="18" t="s">
        <v>24</v>
      </c>
      <c r="S133" s="18">
        <v>4700</v>
      </c>
      <c r="T133" s="18">
        <v>10900</v>
      </c>
      <c r="U133" s="18">
        <v>10900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10900</v>
      </c>
      <c r="AE133" s="18">
        <v>10900</v>
      </c>
      <c r="AF133" s="18">
        <v>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5995</v>
      </c>
      <c r="AO133" s="18">
        <v>0</v>
      </c>
      <c r="AP133" s="18">
        <v>5995</v>
      </c>
    </row>
    <row r="134" spans="1:42" x14ac:dyDescent="0.4">
      <c r="A134" s="17" t="s">
        <v>48</v>
      </c>
      <c r="B134" s="17" t="s">
        <v>81</v>
      </c>
      <c r="C134" s="17" t="s">
        <v>82</v>
      </c>
      <c r="D134" s="17" t="s">
        <v>83</v>
      </c>
      <c r="E134" s="17" t="s">
        <v>84</v>
      </c>
      <c r="F134" s="17" t="s">
        <v>49</v>
      </c>
      <c r="G134" s="17" t="s">
        <v>20</v>
      </c>
      <c r="H134" s="17" t="s">
        <v>21</v>
      </c>
      <c r="I134" s="17" t="s">
        <v>22</v>
      </c>
      <c r="J134" s="17">
        <v>56742705</v>
      </c>
      <c r="K134" s="17" t="s">
        <v>94</v>
      </c>
      <c r="L134" s="17"/>
      <c r="M134" s="17"/>
      <c r="N134" s="17" t="s">
        <v>95</v>
      </c>
      <c r="O134" s="17" t="s">
        <v>23</v>
      </c>
      <c r="P134" s="17">
        <v>0.55000000000000004</v>
      </c>
      <c r="Q134" s="17">
        <v>0.55000000000000004</v>
      </c>
      <c r="R134" s="18" t="s">
        <v>24</v>
      </c>
      <c r="S134" s="18">
        <v>9200</v>
      </c>
      <c r="T134" s="18">
        <v>21900</v>
      </c>
      <c r="U134" s="18">
        <v>21500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400</v>
      </c>
      <c r="AD134" s="18">
        <v>21900</v>
      </c>
      <c r="AE134" s="18">
        <v>21500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400</v>
      </c>
      <c r="AN134" s="18">
        <v>12045</v>
      </c>
      <c r="AO134" s="18">
        <v>0</v>
      </c>
      <c r="AP134" s="18">
        <v>12045</v>
      </c>
    </row>
    <row r="135" spans="1:42" x14ac:dyDescent="0.4">
      <c r="A135" s="17" t="s">
        <v>48</v>
      </c>
      <c r="B135" s="17" t="s">
        <v>81</v>
      </c>
      <c r="C135" s="17" t="s">
        <v>82</v>
      </c>
      <c r="D135" s="17" t="s">
        <v>83</v>
      </c>
      <c r="E135" s="17" t="s">
        <v>84</v>
      </c>
      <c r="F135" s="17" t="s">
        <v>49</v>
      </c>
      <c r="G135" s="17" t="s">
        <v>20</v>
      </c>
      <c r="H135" s="17" t="s">
        <v>21</v>
      </c>
      <c r="I135" s="17" t="s">
        <v>22</v>
      </c>
      <c r="J135" s="17">
        <v>56764793</v>
      </c>
      <c r="K135" s="17" t="s">
        <v>111</v>
      </c>
      <c r="L135" s="17"/>
      <c r="M135" s="17"/>
      <c r="N135" s="17" t="s">
        <v>72</v>
      </c>
      <c r="O135" s="17" t="s">
        <v>23</v>
      </c>
      <c r="P135" s="17">
        <v>0.55000000000000004</v>
      </c>
      <c r="Q135" s="17">
        <v>0.55000000000000004</v>
      </c>
      <c r="R135" s="18" t="s">
        <v>25</v>
      </c>
      <c r="S135" s="18">
        <v>3200</v>
      </c>
      <c r="T135" s="18">
        <v>25600</v>
      </c>
      <c r="U135" s="18">
        <v>24000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1600</v>
      </c>
      <c r="AD135" s="18">
        <v>25600</v>
      </c>
      <c r="AE135" s="18">
        <v>24000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1600</v>
      </c>
      <c r="AN135" s="18">
        <v>14080</v>
      </c>
      <c r="AO135" s="18">
        <v>0</v>
      </c>
      <c r="AP135" s="18">
        <v>14080</v>
      </c>
    </row>
    <row r="136" spans="1:42" x14ac:dyDescent="0.4">
      <c r="A136" s="17" t="s">
        <v>48</v>
      </c>
      <c r="B136" s="17" t="s">
        <v>81</v>
      </c>
      <c r="C136" s="17" t="s">
        <v>82</v>
      </c>
      <c r="D136" s="17" t="s">
        <v>83</v>
      </c>
      <c r="E136" s="17" t="s">
        <v>84</v>
      </c>
      <c r="F136" s="17" t="s">
        <v>49</v>
      </c>
      <c r="G136" s="17" t="s">
        <v>20</v>
      </c>
      <c r="H136" s="17" t="s">
        <v>21</v>
      </c>
      <c r="I136" s="17" t="s">
        <v>22</v>
      </c>
      <c r="J136" s="17">
        <v>56764793</v>
      </c>
      <c r="K136" s="17" t="s">
        <v>111</v>
      </c>
      <c r="L136" s="17"/>
      <c r="M136" s="17"/>
      <c r="N136" s="17" t="s">
        <v>72</v>
      </c>
      <c r="O136" s="17" t="s">
        <v>23</v>
      </c>
      <c r="P136" s="17">
        <v>0.55000000000000004</v>
      </c>
      <c r="Q136" s="17">
        <v>0.55000000000000004</v>
      </c>
      <c r="R136" s="18" t="s">
        <v>96</v>
      </c>
      <c r="S136" s="18">
        <v>900</v>
      </c>
      <c r="T136" s="18">
        <v>900</v>
      </c>
      <c r="U136" s="18">
        <v>900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900</v>
      </c>
      <c r="AE136" s="18">
        <v>900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495</v>
      </c>
      <c r="AO136" s="18">
        <v>0</v>
      </c>
      <c r="AP136" s="18">
        <v>495</v>
      </c>
    </row>
    <row r="137" spans="1:42" x14ac:dyDescent="0.4">
      <c r="A137" s="17" t="s">
        <v>48</v>
      </c>
      <c r="B137" s="17" t="s">
        <v>81</v>
      </c>
      <c r="C137" s="17" t="s">
        <v>82</v>
      </c>
      <c r="D137" s="17" t="s">
        <v>83</v>
      </c>
      <c r="E137" s="17" t="s">
        <v>84</v>
      </c>
      <c r="F137" s="17" t="s">
        <v>49</v>
      </c>
      <c r="G137" s="17" t="s">
        <v>20</v>
      </c>
      <c r="H137" s="17" t="s">
        <v>21</v>
      </c>
      <c r="I137" s="17" t="s">
        <v>22</v>
      </c>
      <c r="J137" s="17">
        <v>56764793</v>
      </c>
      <c r="K137" s="17" t="s">
        <v>111</v>
      </c>
      <c r="L137" s="17"/>
      <c r="M137" s="17"/>
      <c r="N137" s="17" t="s">
        <v>72</v>
      </c>
      <c r="O137" s="17" t="s">
        <v>23</v>
      </c>
      <c r="P137" s="17">
        <v>0.55000000000000004</v>
      </c>
      <c r="Q137" s="17">
        <v>0.55000000000000004</v>
      </c>
      <c r="R137" s="18" t="s">
        <v>165</v>
      </c>
      <c r="S137" s="18">
        <v>7200</v>
      </c>
      <c r="T137" s="18">
        <v>-900</v>
      </c>
      <c r="U137" s="18">
        <v>-900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-900</v>
      </c>
      <c r="AE137" s="18">
        <v>-900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-495</v>
      </c>
      <c r="AO137" s="18">
        <v>0</v>
      </c>
      <c r="AP137" s="18">
        <v>-495</v>
      </c>
    </row>
    <row r="138" spans="1:42" x14ac:dyDescent="0.4">
      <c r="A138" s="17" t="s">
        <v>48</v>
      </c>
      <c r="B138" s="17" t="s">
        <v>81</v>
      </c>
      <c r="C138" s="17" t="s">
        <v>82</v>
      </c>
      <c r="D138" s="17" t="s">
        <v>83</v>
      </c>
      <c r="E138" s="17" t="s">
        <v>84</v>
      </c>
      <c r="F138" s="17" t="s">
        <v>49</v>
      </c>
      <c r="G138" s="17" t="s">
        <v>20</v>
      </c>
      <c r="H138" s="17" t="s">
        <v>21</v>
      </c>
      <c r="I138" s="17" t="s">
        <v>22</v>
      </c>
      <c r="J138" s="17">
        <v>56764813</v>
      </c>
      <c r="K138" s="17" t="s">
        <v>97</v>
      </c>
      <c r="L138" s="17"/>
      <c r="M138" s="17"/>
      <c r="N138" s="17" t="s">
        <v>69</v>
      </c>
      <c r="O138" s="17" t="s">
        <v>23</v>
      </c>
      <c r="P138" s="17">
        <v>0.55000000000000004</v>
      </c>
      <c r="Q138" s="17">
        <v>0.55000000000000004</v>
      </c>
      <c r="R138" s="18" t="s">
        <v>25</v>
      </c>
      <c r="S138" s="18">
        <v>3200</v>
      </c>
      <c r="T138" s="18">
        <v>38400</v>
      </c>
      <c r="U138" s="18">
        <v>32000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6400</v>
      </c>
      <c r="AD138" s="18">
        <v>38400</v>
      </c>
      <c r="AE138" s="18">
        <v>32000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6400</v>
      </c>
      <c r="AN138" s="18">
        <v>21120</v>
      </c>
      <c r="AO138" s="18">
        <v>0</v>
      </c>
      <c r="AP138" s="18">
        <v>21120</v>
      </c>
    </row>
    <row r="139" spans="1:42" x14ac:dyDescent="0.4">
      <c r="A139" s="17" t="s">
        <v>48</v>
      </c>
      <c r="B139" s="17" t="s">
        <v>81</v>
      </c>
      <c r="C139" s="17" t="s">
        <v>82</v>
      </c>
      <c r="D139" s="17" t="s">
        <v>83</v>
      </c>
      <c r="E139" s="17" t="s">
        <v>84</v>
      </c>
      <c r="F139" s="17" t="s">
        <v>49</v>
      </c>
      <c r="G139" s="17" t="s">
        <v>20</v>
      </c>
      <c r="H139" s="17" t="s">
        <v>21</v>
      </c>
      <c r="I139" s="17" t="s">
        <v>22</v>
      </c>
      <c r="J139" s="17">
        <v>56764849</v>
      </c>
      <c r="K139" s="17" t="s">
        <v>162</v>
      </c>
      <c r="L139" s="17"/>
      <c r="M139" s="17"/>
      <c r="N139" s="17" t="s">
        <v>76</v>
      </c>
      <c r="O139" s="17" t="s">
        <v>23</v>
      </c>
      <c r="P139" s="17">
        <v>0.55000000000000004</v>
      </c>
      <c r="Q139" s="17">
        <v>0.55000000000000004</v>
      </c>
      <c r="R139" s="18" t="s">
        <v>25</v>
      </c>
      <c r="S139" s="18">
        <v>3200</v>
      </c>
      <c r="T139" s="18">
        <v>51200</v>
      </c>
      <c r="U139" s="18">
        <v>33900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17300</v>
      </c>
      <c r="AD139" s="18">
        <v>51200</v>
      </c>
      <c r="AE139" s="18">
        <v>33900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17300</v>
      </c>
      <c r="AN139" s="18">
        <v>28160</v>
      </c>
      <c r="AO139" s="18">
        <v>0</v>
      </c>
      <c r="AP139" s="18">
        <v>28160</v>
      </c>
    </row>
    <row r="140" spans="1:42" x14ac:dyDescent="0.4">
      <c r="A140" s="17" t="s">
        <v>48</v>
      </c>
      <c r="B140" s="17" t="s">
        <v>81</v>
      </c>
      <c r="C140" s="17" t="s">
        <v>82</v>
      </c>
      <c r="D140" s="17" t="s">
        <v>83</v>
      </c>
      <c r="E140" s="17" t="s">
        <v>84</v>
      </c>
      <c r="F140" s="17" t="s">
        <v>49</v>
      </c>
      <c r="G140" s="17" t="s">
        <v>20</v>
      </c>
      <c r="H140" s="17" t="s">
        <v>21</v>
      </c>
      <c r="I140" s="17" t="s">
        <v>22</v>
      </c>
      <c r="J140" s="17">
        <v>56765062</v>
      </c>
      <c r="K140" s="17" t="s">
        <v>98</v>
      </c>
      <c r="L140" s="17"/>
      <c r="M140" s="17"/>
      <c r="N140" s="17" t="s">
        <v>64</v>
      </c>
      <c r="O140" s="17" t="s">
        <v>23</v>
      </c>
      <c r="P140" s="17">
        <v>0.55000000000000004</v>
      </c>
      <c r="Q140" s="17">
        <v>0.55000000000000004</v>
      </c>
      <c r="R140" s="18" t="s">
        <v>25</v>
      </c>
      <c r="S140" s="18">
        <v>3200</v>
      </c>
      <c r="T140" s="18">
        <v>89600</v>
      </c>
      <c r="U140" s="18">
        <v>76800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12800</v>
      </c>
      <c r="AD140" s="18">
        <v>89600</v>
      </c>
      <c r="AE140" s="18">
        <v>76800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12800</v>
      </c>
      <c r="AN140" s="18">
        <v>49280</v>
      </c>
      <c r="AO140" s="18">
        <v>0</v>
      </c>
      <c r="AP140" s="18">
        <v>49280</v>
      </c>
    </row>
    <row r="141" spans="1:42" x14ac:dyDescent="0.4">
      <c r="A141" s="17" t="s">
        <v>48</v>
      </c>
      <c r="B141" s="17" t="s">
        <v>81</v>
      </c>
      <c r="C141" s="17" t="s">
        <v>82</v>
      </c>
      <c r="D141" s="17" t="s">
        <v>83</v>
      </c>
      <c r="E141" s="17" t="s">
        <v>84</v>
      </c>
      <c r="F141" s="17" t="s">
        <v>49</v>
      </c>
      <c r="G141" s="17" t="s">
        <v>20</v>
      </c>
      <c r="H141" s="17" t="s">
        <v>21</v>
      </c>
      <c r="I141" s="17" t="s">
        <v>22</v>
      </c>
      <c r="J141" s="17">
        <v>56765062</v>
      </c>
      <c r="K141" s="17" t="s">
        <v>98</v>
      </c>
      <c r="L141" s="17"/>
      <c r="M141" s="17"/>
      <c r="N141" s="17" t="s">
        <v>64</v>
      </c>
      <c r="O141" s="17" t="s">
        <v>23</v>
      </c>
      <c r="P141" s="17">
        <v>0.55000000000000004</v>
      </c>
      <c r="Q141" s="17">
        <v>0.55000000000000004</v>
      </c>
      <c r="R141" s="18" t="s">
        <v>96</v>
      </c>
      <c r="S141" s="18">
        <v>900</v>
      </c>
      <c r="T141" s="18">
        <v>45900</v>
      </c>
      <c r="U141" s="18">
        <v>17900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28000</v>
      </c>
      <c r="AD141" s="18">
        <v>45900</v>
      </c>
      <c r="AE141" s="18">
        <v>17900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28000</v>
      </c>
      <c r="AN141" s="18">
        <v>25245</v>
      </c>
      <c r="AO141" s="18">
        <v>0</v>
      </c>
      <c r="AP141" s="18">
        <v>25245</v>
      </c>
    </row>
    <row r="142" spans="1:42" x14ac:dyDescent="0.4">
      <c r="A142" s="17" t="s">
        <v>48</v>
      </c>
      <c r="B142" s="17" t="s">
        <v>81</v>
      </c>
      <c r="C142" s="17" t="s">
        <v>82</v>
      </c>
      <c r="D142" s="17" t="s">
        <v>83</v>
      </c>
      <c r="E142" s="17" t="s">
        <v>84</v>
      </c>
      <c r="F142" s="17" t="s">
        <v>49</v>
      </c>
      <c r="G142" s="17" t="s">
        <v>20</v>
      </c>
      <c r="H142" s="17" t="s">
        <v>21</v>
      </c>
      <c r="I142" s="17" t="s">
        <v>22</v>
      </c>
      <c r="J142" s="17">
        <v>56765062</v>
      </c>
      <c r="K142" s="17" t="s">
        <v>98</v>
      </c>
      <c r="L142" s="17"/>
      <c r="M142" s="17"/>
      <c r="N142" s="17" t="s">
        <v>64</v>
      </c>
      <c r="O142" s="17" t="s">
        <v>23</v>
      </c>
      <c r="P142" s="17">
        <v>0.55000000000000004</v>
      </c>
      <c r="Q142" s="17">
        <v>0.55000000000000004</v>
      </c>
      <c r="R142" s="18" t="s">
        <v>165</v>
      </c>
      <c r="S142" s="18">
        <v>10800</v>
      </c>
      <c r="T142" s="18">
        <v>10800</v>
      </c>
      <c r="U142" s="18">
        <v>10800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10800</v>
      </c>
      <c r="AE142" s="18">
        <v>10800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5940</v>
      </c>
      <c r="AO142" s="18">
        <v>0</v>
      </c>
      <c r="AP142" s="18">
        <v>5940</v>
      </c>
    </row>
    <row r="143" spans="1:42" x14ac:dyDescent="0.4">
      <c r="A143" s="17" t="s">
        <v>48</v>
      </c>
      <c r="B143" s="17" t="s">
        <v>81</v>
      </c>
      <c r="C143" s="17" t="s">
        <v>82</v>
      </c>
      <c r="D143" s="17" t="s">
        <v>83</v>
      </c>
      <c r="E143" s="17" t="s">
        <v>84</v>
      </c>
      <c r="F143" s="17" t="s">
        <v>49</v>
      </c>
      <c r="G143" s="17" t="s">
        <v>20</v>
      </c>
      <c r="H143" s="17" t="s">
        <v>21</v>
      </c>
      <c r="I143" s="17" t="s">
        <v>22</v>
      </c>
      <c r="J143" s="17">
        <v>56765572</v>
      </c>
      <c r="K143" s="17" t="s">
        <v>99</v>
      </c>
      <c r="L143" s="17"/>
      <c r="M143" s="17"/>
      <c r="N143" s="17" t="s">
        <v>52</v>
      </c>
      <c r="O143" s="17" t="s">
        <v>23</v>
      </c>
      <c r="P143" s="17">
        <v>0.55000000000000004</v>
      </c>
      <c r="Q143" s="17">
        <v>0.55000000000000004</v>
      </c>
      <c r="R143" s="18" t="s">
        <v>25</v>
      </c>
      <c r="S143" s="18">
        <v>3200</v>
      </c>
      <c r="T143" s="18">
        <v>224000</v>
      </c>
      <c r="U143" s="18">
        <v>212600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11400</v>
      </c>
      <c r="AD143" s="18">
        <v>224000</v>
      </c>
      <c r="AE143" s="18">
        <v>212600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11400</v>
      </c>
      <c r="AN143" s="18">
        <v>123200</v>
      </c>
      <c r="AO143" s="18">
        <v>0</v>
      </c>
      <c r="AP143" s="18">
        <v>123200</v>
      </c>
    </row>
    <row r="144" spans="1:42" x14ac:dyDescent="0.4">
      <c r="A144" s="17" t="s">
        <v>48</v>
      </c>
      <c r="B144" s="17" t="s">
        <v>81</v>
      </c>
      <c r="C144" s="17" t="s">
        <v>82</v>
      </c>
      <c r="D144" s="17" t="s">
        <v>83</v>
      </c>
      <c r="E144" s="17" t="s">
        <v>84</v>
      </c>
      <c r="F144" s="17" t="s">
        <v>49</v>
      </c>
      <c r="G144" s="17" t="s">
        <v>20</v>
      </c>
      <c r="H144" s="17" t="s">
        <v>21</v>
      </c>
      <c r="I144" s="17" t="s">
        <v>22</v>
      </c>
      <c r="J144" s="17">
        <v>56766121</v>
      </c>
      <c r="K144" s="17" t="s">
        <v>166</v>
      </c>
      <c r="L144" s="17"/>
      <c r="M144" s="17"/>
      <c r="N144" s="17" t="s">
        <v>58</v>
      </c>
      <c r="O144" s="17" t="s">
        <v>23</v>
      </c>
      <c r="P144" s="17">
        <v>0.55000000000000004</v>
      </c>
      <c r="Q144" s="17">
        <v>0.55000000000000004</v>
      </c>
      <c r="R144" s="18" t="s">
        <v>25</v>
      </c>
      <c r="S144" s="18">
        <v>3200</v>
      </c>
      <c r="T144" s="18">
        <v>25600</v>
      </c>
      <c r="U144" s="18">
        <v>25600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25600</v>
      </c>
      <c r="AE144" s="18">
        <v>25600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14080</v>
      </c>
      <c r="AO144" s="18">
        <v>0</v>
      </c>
      <c r="AP144" s="18">
        <v>14080</v>
      </c>
    </row>
    <row r="145" spans="1:42" x14ac:dyDescent="0.4">
      <c r="A145" s="17" t="s">
        <v>48</v>
      </c>
      <c r="B145" s="17" t="s">
        <v>81</v>
      </c>
      <c r="C145" s="17" t="s">
        <v>82</v>
      </c>
      <c r="D145" s="17" t="s">
        <v>83</v>
      </c>
      <c r="E145" s="17" t="s">
        <v>84</v>
      </c>
      <c r="F145" s="17" t="s">
        <v>49</v>
      </c>
      <c r="G145" s="17" t="s">
        <v>20</v>
      </c>
      <c r="H145" s="17" t="s">
        <v>21</v>
      </c>
      <c r="I145" s="17" t="s">
        <v>22</v>
      </c>
      <c r="J145" s="17">
        <v>56766146</v>
      </c>
      <c r="K145" s="17" t="s">
        <v>100</v>
      </c>
      <c r="L145" s="17"/>
      <c r="M145" s="17"/>
      <c r="N145" s="17" t="s">
        <v>58</v>
      </c>
      <c r="O145" s="17" t="s">
        <v>23</v>
      </c>
      <c r="P145" s="17">
        <v>0.55000000000000004</v>
      </c>
      <c r="Q145" s="17">
        <v>0.55000000000000004</v>
      </c>
      <c r="R145" s="18" t="s">
        <v>25</v>
      </c>
      <c r="S145" s="18">
        <v>3200</v>
      </c>
      <c r="T145" s="18">
        <v>44800</v>
      </c>
      <c r="U145" s="18">
        <v>37000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7800</v>
      </c>
      <c r="AD145" s="18">
        <v>44800</v>
      </c>
      <c r="AE145" s="18">
        <v>37000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7800</v>
      </c>
      <c r="AN145" s="18">
        <v>24640</v>
      </c>
      <c r="AO145" s="18">
        <v>0</v>
      </c>
      <c r="AP145" s="18">
        <v>24640</v>
      </c>
    </row>
    <row r="146" spans="1:42" x14ac:dyDescent="0.4">
      <c r="A146" s="17" t="s">
        <v>48</v>
      </c>
      <c r="B146" s="17" t="s">
        <v>81</v>
      </c>
      <c r="C146" s="17" t="s">
        <v>82</v>
      </c>
      <c r="D146" s="17" t="s">
        <v>83</v>
      </c>
      <c r="E146" s="17" t="s">
        <v>84</v>
      </c>
      <c r="F146" s="17" t="s">
        <v>49</v>
      </c>
      <c r="G146" s="17" t="s">
        <v>20</v>
      </c>
      <c r="H146" s="17" t="s">
        <v>21</v>
      </c>
      <c r="I146" s="17" t="s">
        <v>22</v>
      </c>
      <c r="J146" s="17">
        <v>56766247</v>
      </c>
      <c r="K146" s="17" t="s">
        <v>108</v>
      </c>
      <c r="L146" s="17"/>
      <c r="M146" s="17"/>
      <c r="N146" s="17" t="s">
        <v>78</v>
      </c>
      <c r="O146" s="17" t="s">
        <v>23</v>
      </c>
      <c r="P146" s="17">
        <v>0.55000000000000004</v>
      </c>
      <c r="Q146" s="17">
        <v>0.55000000000000004</v>
      </c>
      <c r="R146" s="18" t="s">
        <v>25</v>
      </c>
      <c r="S146" s="18">
        <v>3500</v>
      </c>
      <c r="T146" s="18">
        <v>17500</v>
      </c>
      <c r="U146" s="18">
        <v>16700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800</v>
      </c>
      <c r="AD146" s="18">
        <v>17500</v>
      </c>
      <c r="AE146" s="18">
        <v>16700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800</v>
      </c>
      <c r="AN146" s="18">
        <v>9625</v>
      </c>
      <c r="AO146" s="18">
        <v>0</v>
      </c>
      <c r="AP146" s="18">
        <v>9625</v>
      </c>
    </row>
    <row r="147" spans="1:42" x14ac:dyDescent="0.4">
      <c r="A147" s="17" t="s">
        <v>48</v>
      </c>
      <c r="B147" s="17" t="s">
        <v>81</v>
      </c>
      <c r="C147" s="17" t="s">
        <v>82</v>
      </c>
      <c r="D147" s="17" t="s">
        <v>83</v>
      </c>
      <c r="E147" s="17" t="s">
        <v>84</v>
      </c>
      <c r="F147" s="17" t="s">
        <v>49</v>
      </c>
      <c r="G147" s="17" t="s">
        <v>20</v>
      </c>
      <c r="H147" s="17" t="s">
        <v>21</v>
      </c>
      <c r="I147" s="17" t="s">
        <v>22</v>
      </c>
      <c r="J147" s="17">
        <v>56766247</v>
      </c>
      <c r="K147" s="17" t="s">
        <v>108</v>
      </c>
      <c r="L147" s="17"/>
      <c r="M147" s="17"/>
      <c r="N147" s="17" t="s">
        <v>78</v>
      </c>
      <c r="O147" s="17" t="s">
        <v>23</v>
      </c>
      <c r="P147" s="17">
        <v>0.55000000000000004</v>
      </c>
      <c r="Q147" s="17">
        <v>0.55000000000000004</v>
      </c>
      <c r="R147" s="18" t="s">
        <v>24</v>
      </c>
      <c r="S147" s="18">
        <v>17500</v>
      </c>
      <c r="T147" s="18">
        <v>17500</v>
      </c>
      <c r="U147" s="18">
        <v>17500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17500</v>
      </c>
      <c r="AE147" s="18">
        <v>17500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9625</v>
      </c>
      <c r="AO147" s="18">
        <v>0</v>
      </c>
      <c r="AP147" s="18">
        <v>9625</v>
      </c>
    </row>
    <row r="148" spans="1:42" x14ac:dyDescent="0.4">
      <c r="A148" s="17" t="s">
        <v>48</v>
      </c>
      <c r="B148" s="17" t="s">
        <v>81</v>
      </c>
      <c r="C148" s="17" t="s">
        <v>82</v>
      </c>
      <c r="D148" s="17" t="s">
        <v>83</v>
      </c>
      <c r="E148" s="17" t="s">
        <v>84</v>
      </c>
      <c r="F148" s="17" t="s">
        <v>49</v>
      </c>
      <c r="G148" s="17" t="s">
        <v>20</v>
      </c>
      <c r="H148" s="17" t="s">
        <v>21</v>
      </c>
      <c r="I148" s="17" t="s">
        <v>22</v>
      </c>
      <c r="J148" s="17">
        <v>56766423</v>
      </c>
      <c r="K148" s="17" t="s">
        <v>167</v>
      </c>
      <c r="L148" s="17"/>
      <c r="M148" s="17"/>
      <c r="N148" s="17" t="s">
        <v>67</v>
      </c>
      <c r="O148" s="17" t="s">
        <v>23</v>
      </c>
      <c r="P148" s="17">
        <v>0.55000000000000004</v>
      </c>
      <c r="Q148" s="17">
        <v>0.55000000000000004</v>
      </c>
      <c r="R148" s="18" t="s">
        <v>25</v>
      </c>
      <c r="S148" s="18">
        <v>3200</v>
      </c>
      <c r="T148" s="18">
        <v>3200</v>
      </c>
      <c r="U148" s="18">
        <v>3200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3200</v>
      </c>
      <c r="AE148" s="18">
        <v>3200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1760</v>
      </c>
      <c r="AO148" s="18">
        <v>0</v>
      </c>
      <c r="AP148" s="18">
        <v>1760</v>
      </c>
    </row>
    <row r="149" spans="1:42" x14ac:dyDescent="0.4">
      <c r="A149" s="17" t="s">
        <v>48</v>
      </c>
      <c r="B149" s="17" t="s">
        <v>81</v>
      </c>
      <c r="C149" s="17" t="s">
        <v>82</v>
      </c>
      <c r="D149" s="17" t="s">
        <v>83</v>
      </c>
      <c r="E149" s="17" t="s">
        <v>84</v>
      </c>
      <c r="F149" s="17" t="s">
        <v>49</v>
      </c>
      <c r="G149" s="17" t="s">
        <v>20</v>
      </c>
      <c r="H149" s="17" t="s">
        <v>21</v>
      </c>
      <c r="I149" s="17" t="s">
        <v>22</v>
      </c>
      <c r="J149" s="17">
        <v>56767324</v>
      </c>
      <c r="K149" s="17" t="s">
        <v>168</v>
      </c>
      <c r="L149" s="17"/>
      <c r="M149" s="17"/>
      <c r="N149" s="17" t="s">
        <v>67</v>
      </c>
      <c r="O149" s="17" t="s">
        <v>23</v>
      </c>
      <c r="P149" s="17">
        <v>0.55000000000000004</v>
      </c>
      <c r="Q149" s="17">
        <v>0.55000000000000004</v>
      </c>
      <c r="R149" s="18" t="s">
        <v>25</v>
      </c>
      <c r="S149" s="18">
        <v>3200</v>
      </c>
      <c r="T149" s="18">
        <v>3200</v>
      </c>
      <c r="U149" s="18">
        <v>3200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3200</v>
      </c>
      <c r="AE149" s="18">
        <v>3200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1760</v>
      </c>
      <c r="AO149" s="18">
        <v>0</v>
      </c>
      <c r="AP149" s="18">
        <v>1760</v>
      </c>
    </row>
    <row r="150" spans="1:42" x14ac:dyDescent="0.4">
      <c r="A150" s="17" t="s">
        <v>48</v>
      </c>
      <c r="B150" s="17" t="s">
        <v>81</v>
      </c>
      <c r="C150" s="17" t="s">
        <v>82</v>
      </c>
      <c r="D150" s="17" t="s">
        <v>83</v>
      </c>
      <c r="E150" s="17" t="s">
        <v>84</v>
      </c>
      <c r="F150" s="17" t="s">
        <v>49</v>
      </c>
      <c r="G150" s="17" t="s">
        <v>20</v>
      </c>
      <c r="H150" s="17" t="s">
        <v>21</v>
      </c>
      <c r="I150" s="17" t="s">
        <v>22</v>
      </c>
      <c r="J150" s="17">
        <v>56772299</v>
      </c>
      <c r="K150" s="17" t="s">
        <v>101</v>
      </c>
      <c r="L150" s="17"/>
      <c r="M150" s="17"/>
      <c r="N150" s="17" t="s">
        <v>102</v>
      </c>
      <c r="O150" s="17" t="s">
        <v>23</v>
      </c>
      <c r="P150" s="17">
        <v>0.55000000000000004</v>
      </c>
      <c r="Q150" s="17">
        <v>0.55000000000000004</v>
      </c>
      <c r="R150" s="18" t="s">
        <v>24</v>
      </c>
      <c r="S150" s="18">
        <v>2400</v>
      </c>
      <c r="T150" s="18">
        <v>2400</v>
      </c>
      <c r="U150" s="18">
        <v>2400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2400</v>
      </c>
      <c r="AE150" s="18">
        <v>2400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1320</v>
      </c>
      <c r="AO150" s="18">
        <v>0</v>
      </c>
      <c r="AP150" s="18">
        <v>1320</v>
      </c>
    </row>
    <row r="151" spans="1:42" x14ac:dyDescent="0.4">
      <c r="A151" s="17" t="s">
        <v>48</v>
      </c>
      <c r="B151" s="17" t="s">
        <v>81</v>
      </c>
      <c r="C151" s="17" t="s">
        <v>82</v>
      </c>
      <c r="D151" s="17" t="s">
        <v>83</v>
      </c>
      <c r="E151" s="17" t="s">
        <v>84</v>
      </c>
      <c r="F151" s="17" t="s">
        <v>49</v>
      </c>
      <c r="G151" s="17" t="s">
        <v>20</v>
      </c>
      <c r="H151" s="17" t="s">
        <v>21</v>
      </c>
      <c r="I151" s="17" t="s">
        <v>22</v>
      </c>
      <c r="J151" s="17">
        <v>56772299</v>
      </c>
      <c r="K151" s="17" t="s">
        <v>101</v>
      </c>
      <c r="L151" s="17"/>
      <c r="M151" s="17"/>
      <c r="N151" s="17" t="s">
        <v>102</v>
      </c>
      <c r="O151" s="17" t="s">
        <v>23</v>
      </c>
      <c r="P151" s="17">
        <v>0.55000000000000004</v>
      </c>
      <c r="Q151" s="17">
        <v>0.55000000000000004</v>
      </c>
      <c r="R151" s="18" t="s">
        <v>24</v>
      </c>
      <c r="S151" s="18">
        <v>18000</v>
      </c>
      <c r="T151" s="18">
        <v>18000</v>
      </c>
      <c r="U151" s="18">
        <v>18000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18000</v>
      </c>
      <c r="AE151" s="18">
        <v>18000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9900</v>
      </c>
      <c r="AO151" s="18">
        <v>0</v>
      </c>
      <c r="AP151" s="18">
        <v>9900</v>
      </c>
    </row>
    <row r="152" spans="1:42" x14ac:dyDescent="0.4">
      <c r="A152" s="17" t="s">
        <v>48</v>
      </c>
      <c r="B152" s="17" t="s">
        <v>81</v>
      </c>
      <c r="C152" s="17" t="s">
        <v>82</v>
      </c>
      <c r="D152" s="17" t="s">
        <v>83</v>
      </c>
      <c r="E152" s="17" t="s">
        <v>84</v>
      </c>
      <c r="F152" s="17" t="s">
        <v>49</v>
      </c>
      <c r="G152" s="17" t="s">
        <v>20</v>
      </c>
      <c r="H152" s="17" t="s">
        <v>21</v>
      </c>
      <c r="I152" s="17" t="s">
        <v>22</v>
      </c>
      <c r="J152" s="17">
        <v>56782260</v>
      </c>
      <c r="K152" s="17" t="s">
        <v>109</v>
      </c>
      <c r="L152" s="17"/>
      <c r="M152" s="17"/>
      <c r="N152" s="17" t="s">
        <v>110</v>
      </c>
      <c r="O152" s="17" t="s">
        <v>23</v>
      </c>
      <c r="P152" s="17">
        <v>0.55000000000000004</v>
      </c>
      <c r="Q152" s="17">
        <v>0.55000000000000004</v>
      </c>
      <c r="R152" s="18" t="s">
        <v>25</v>
      </c>
      <c r="S152" s="18">
        <v>100</v>
      </c>
      <c r="T152" s="18">
        <v>367500</v>
      </c>
      <c r="U152" s="18">
        <v>115990</v>
      </c>
      <c r="V152" s="18">
        <v>0</v>
      </c>
      <c r="W152" s="18">
        <v>0</v>
      </c>
      <c r="X152" s="18">
        <v>0</v>
      </c>
      <c r="Y152" s="18">
        <v>0</v>
      </c>
      <c r="Z152" s="18">
        <v>5600</v>
      </c>
      <c r="AA152" s="18">
        <v>0</v>
      </c>
      <c r="AB152" s="18">
        <v>0</v>
      </c>
      <c r="AC152" s="18">
        <v>245910</v>
      </c>
      <c r="AD152" s="18">
        <v>368060</v>
      </c>
      <c r="AE152" s="18">
        <v>115990</v>
      </c>
      <c r="AF152" s="18">
        <v>0</v>
      </c>
      <c r="AG152" s="18">
        <v>0</v>
      </c>
      <c r="AH152" s="18">
        <v>0</v>
      </c>
      <c r="AI152" s="18">
        <v>0</v>
      </c>
      <c r="AJ152" s="18">
        <v>6160</v>
      </c>
      <c r="AK152" s="18">
        <v>0</v>
      </c>
      <c r="AL152" s="18">
        <v>0</v>
      </c>
      <c r="AM152" s="18">
        <v>245910</v>
      </c>
      <c r="AN152" s="18">
        <v>202433</v>
      </c>
      <c r="AO152" s="18">
        <v>0</v>
      </c>
      <c r="AP152" s="18">
        <v>202433</v>
      </c>
    </row>
    <row r="153" spans="1:42" x14ac:dyDescent="0.4">
      <c r="A153" s="17" t="s">
        <v>48</v>
      </c>
      <c r="B153" s="17" t="s">
        <v>81</v>
      </c>
      <c r="C153" s="17" t="s">
        <v>82</v>
      </c>
      <c r="D153" s="17" t="s">
        <v>83</v>
      </c>
      <c r="E153" s="17" t="s">
        <v>84</v>
      </c>
      <c r="F153" s="17" t="s">
        <v>49</v>
      </c>
      <c r="G153" s="17" t="s">
        <v>20</v>
      </c>
      <c r="H153" s="17" t="s">
        <v>21</v>
      </c>
      <c r="I153" s="17" t="s">
        <v>22</v>
      </c>
      <c r="J153" s="17">
        <v>56782260</v>
      </c>
      <c r="K153" s="17" t="s">
        <v>109</v>
      </c>
      <c r="L153" s="17"/>
      <c r="M153" s="17"/>
      <c r="N153" s="17" t="s">
        <v>110</v>
      </c>
      <c r="O153" s="17" t="s">
        <v>23</v>
      </c>
      <c r="P153" s="17">
        <v>0.55000000000000004</v>
      </c>
      <c r="Q153" s="17">
        <v>0.55000000000000004</v>
      </c>
      <c r="R153" s="18" t="s">
        <v>24</v>
      </c>
      <c r="S153" s="18">
        <v>2400</v>
      </c>
      <c r="T153" s="18">
        <v>267100</v>
      </c>
      <c r="U153" s="18">
        <v>193900</v>
      </c>
      <c r="V153" s="18">
        <v>0</v>
      </c>
      <c r="W153" s="18">
        <v>0</v>
      </c>
      <c r="X153" s="18">
        <v>0</v>
      </c>
      <c r="Y153" s="18">
        <v>0</v>
      </c>
      <c r="Z153" s="18">
        <v>15900</v>
      </c>
      <c r="AA153" s="18">
        <v>1700</v>
      </c>
      <c r="AB153" s="18">
        <v>0</v>
      </c>
      <c r="AC153" s="18">
        <v>55600</v>
      </c>
      <c r="AD153" s="18">
        <v>269343.08760000003</v>
      </c>
      <c r="AE153" s="18">
        <v>193900</v>
      </c>
      <c r="AF153" s="18">
        <v>0</v>
      </c>
      <c r="AG153" s="18">
        <v>0</v>
      </c>
      <c r="AH153" s="18">
        <v>0</v>
      </c>
      <c r="AI153" s="18">
        <v>0</v>
      </c>
      <c r="AJ153" s="18">
        <v>17490</v>
      </c>
      <c r="AK153" s="18">
        <v>2353.0875999999998</v>
      </c>
      <c r="AL153" s="18">
        <v>0</v>
      </c>
      <c r="AM153" s="18">
        <v>55600</v>
      </c>
      <c r="AN153" s="18">
        <v>148139</v>
      </c>
      <c r="AO153" s="18">
        <v>0</v>
      </c>
      <c r="AP153" s="18">
        <v>148139</v>
      </c>
    </row>
    <row r="154" spans="1:42" x14ac:dyDescent="0.4">
      <c r="A154" s="17" t="s">
        <v>48</v>
      </c>
      <c r="B154" s="17" t="s">
        <v>81</v>
      </c>
      <c r="C154" s="17" t="s">
        <v>82</v>
      </c>
      <c r="D154" s="17" t="s">
        <v>83</v>
      </c>
      <c r="E154" s="17" t="s">
        <v>84</v>
      </c>
      <c r="F154" s="17" t="s">
        <v>49</v>
      </c>
      <c r="G154" s="17" t="s">
        <v>20</v>
      </c>
      <c r="H154" s="17" t="s">
        <v>21</v>
      </c>
      <c r="I154" s="17" t="s">
        <v>22</v>
      </c>
      <c r="J154" s="17">
        <v>56782260</v>
      </c>
      <c r="K154" s="17" t="s">
        <v>109</v>
      </c>
      <c r="L154" s="17"/>
      <c r="M154" s="17"/>
      <c r="N154" s="17" t="s">
        <v>110</v>
      </c>
      <c r="O154" s="17" t="s">
        <v>23</v>
      </c>
      <c r="P154" s="17">
        <v>0.55000000000000004</v>
      </c>
      <c r="Q154" s="17">
        <v>0.55000000000000004</v>
      </c>
      <c r="R154" s="18" t="s">
        <v>24</v>
      </c>
      <c r="S154" s="18">
        <v>4700</v>
      </c>
      <c r="T154" s="18">
        <v>254900</v>
      </c>
      <c r="U154" s="18">
        <v>202700</v>
      </c>
      <c r="V154" s="18">
        <v>0</v>
      </c>
      <c r="W154" s="18">
        <v>0</v>
      </c>
      <c r="X154" s="18">
        <v>0</v>
      </c>
      <c r="Y154" s="18">
        <v>0</v>
      </c>
      <c r="Z154" s="18">
        <v>37300</v>
      </c>
      <c r="AA154" s="18">
        <v>0</v>
      </c>
      <c r="AB154" s="18">
        <v>0</v>
      </c>
      <c r="AC154" s="18">
        <v>14900</v>
      </c>
      <c r="AD154" s="18">
        <v>258630</v>
      </c>
      <c r="AE154" s="18">
        <v>202700</v>
      </c>
      <c r="AF154" s="18">
        <v>0</v>
      </c>
      <c r="AG154" s="18">
        <v>0</v>
      </c>
      <c r="AH154" s="18">
        <v>0</v>
      </c>
      <c r="AI154" s="18">
        <v>0</v>
      </c>
      <c r="AJ154" s="18">
        <v>41030</v>
      </c>
      <c r="AK154" s="18">
        <v>0</v>
      </c>
      <c r="AL154" s="18">
        <v>0</v>
      </c>
      <c r="AM154" s="18">
        <v>14900</v>
      </c>
      <c r="AN154" s="18">
        <v>142247</v>
      </c>
      <c r="AO154" s="18">
        <v>0</v>
      </c>
      <c r="AP154" s="18">
        <v>142247</v>
      </c>
    </row>
    <row r="155" spans="1:42" x14ac:dyDescent="0.4">
      <c r="A155" s="17" t="s">
        <v>48</v>
      </c>
      <c r="B155" s="17" t="s">
        <v>81</v>
      </c>
      <c r="C155" s="17" t="s">
        <v>82</v>
      </c>
      <c r="D155" s="17" t="s">
        <v>83</v>
      </c>
      <c r="E155" s="17" t="s">
        <v>84</v>
      </c>
      <c r="F155" s="17" t="s">
        <v>49</v>
      </c>
      <c r="G155" s="17" t="s">
        <v>20</v>
      </c>
      <c r="H155" s="17" t="s">
        <v>21</v>
      </c>
      <c r="I155" s="17" t="s">
        <v>22</v>
      </c>
      <c r="J155" s="17">
        <v>56782260</v>
      </c>
      <c r="K155" s="17" t="s">
        <v>109</v>
      </c>
      <c r="L155" s="17"/>
      <c r="M155" s="17"/>
      <c r="N155" s="17" t="s">
        <v>110</v>
      </c>
      <c r="O155" s="17" t="s">
        <v>23</v>
      </c>
      <c r="P155" s="17">
        <v>0.55000000000000004</v>
      </c>
      <c r="Q155" s="17">
        <v>0.55000000000000004</v>
      </c>
      <c r="R155" s="18" t="s">
        <v>24</v>
      </c>
      <c r="S155" s="18">
        <v>9200</v>
      </c>
      <c r="T155" s="18">
        <v>647900</v>
      </c>
      <c r="U155" s="18">
        <v>490300</v>
      </c>
      <c r="V155" s="18">
        <v>0</v>
      </c>
      <c r="W155" s="18">
        <v>0</v>
      </c>
      <c r="X155" s="18">
        <v>0</v>
      </c>
      <c r="Y155" s="18">
        <v>7900</v>
      </c>
      <c r="Z155" s="18">
        <v>83680</v>
      </c>
      <c r="AA155" s="18">
        <v>0</v>
      </c>
      <c r="AB155" s="18">
        <v>0</v>
      </c>
      <c r="AC155" s="18">
        <v>66020</v>
      </c>
      <c r="AD155" s="18">
        <v>657848</v>
      </c>
      <c r="AE155" s="18">
        <v>490300</v>
      </c>
      <c r="AF155" s="18">
        <v>0</v>
      </c>
      <c r="AG155" s="18">
        <v>0</v>
      </c>
      <c r="AH155" s="18">
        <v>0</v>
      </c>
      <c r="AI155" s="18">
        <v>9480</v>
      </c>
      <c r="AJ155" s="18">
        <v>92048</v>
      </c>
      <c r="AK155" s="18">
        <v>0</v>
      </c>
      <c r="AL155" s="18">
        <v>0</v>
      </c>
      <c r="AM155" s="18">
        <v>66020</v>
      </c>
      <c r="AN155" s="18">
        <v>361816</v>
      </c>
      <c r="AO155" s="18">
        <v>0</v>
      </c>
      <c r="AP155" s="18">
        <v>361816</v>
      </c>
    </row>
    <row r="156" spans="1:42" x14ac:dyDescent="0.4">
      <c r="A156" s="17" t="s">
        <v>48</v>
      </c>
      <c r="B156" s="17" t="s">
        <v>81</v>
      </c>
      <c r="C156" s="17" t="s">
        <v>82</v>
      </c>
      <c r="D156" s="17" t="s">
        <v>83</v>
      </c>
      <c r="E156" s="17" t="s">
        <v>84</v>
      </c>
      <c r="F156" s="17" t="s">
        <v>49</v>
      </c>
      <c r="G156" s="17" t="s">
        <v>20</v>
      </c>
      <c r="H156" s="17" t="s">
        <v>21</v>
      </c>
      <c r="I156" s="17" t="s">
        <v>22</v>
      </c>
      <c r="J156" s="17">
        <v>57675324</v>
      </c>
      <c r="K156" s="17" t="s">
        <v>112</v>
      </c>
      <c r="L156" s="17"/>
      <c r="M156" s="17"/>
      <c r="N156" s="17" t="s">
        <v>113</v>
      </c>
      <c r="O156" s="17" t="s">
        <v>23</v>
      </c>
      <c r="P156" s="17">
        <v>0.55000000000000004</v>
      </c>
      <c r="Q156" s="17">
        <v>0.55000000000000004</v>
      </c>
      <c r="R156" s="18" t="s">
        <v>25</v>
      </c>
      <c r="S156" s="18">
        <v>100</v>
      </c>
      <c r="T156" s="18">
        <v>365400</v>
      </c>
      <c r="U156" s="18">
        <v>161890</v>
      </c>
      <c r="V156" s="18">
        <v>0</v>
      </c>
      <c r="W156" s="18">
        <v>0</v>
      </c>
      <c r="X156" s="18">
        <v>0</v>
      </c>
      <c r="Y156" s="18">
        <v>0</v>
      </c>
      <c r="Z156" s="18">
        <v>16600</v>
      </c>
      <c r="AA156" s="18">
        <v>0</v>
      </c>
      <c r="AB156" s="18">
        <v>0</v>
      </c>
      <c r="AC156" s="18">
        <v>186910</v>
      </c>
      <c r="AD156" s="18">
        <v>367060</v>
      </c>
      <c r="AE156" s="18">
        <v>161890</v>
      </c>
      <c r="AF156" s="18">
        <v>0</v>
      </c>
      <c r="AG156" s="18">
        <v>0</v>
      </c>
      <c r="AH156" s="18">
        <v>0</v>
      </c>
      <c r="AI156" s="18">
        <v>0</v>
      </c>
      <c r="AJ156" s="18">
        <v>18260</v>
      </c>
      <c r="AK156" s="18">
        <v>0</v>
      </c>
      <c r="AL156" s="18">
        <v>0</v>
      </c>
      <c r="AM156" s="18">
        <v>186910</v>
      </c>
      <c r="AN156" s="18">
        <v>201883</v>
      </c>
      <c r="AO156" s="18">
        <v>0</v>
      </c>
      <c r="AP156" s="18">
        <v>201883</v>
      </c>
    </row>
    <row r="157" spans="1:42" x14ac:dyDescent="0.4">
      <c r="A157" s="17" t="s">
        <v>48</v>
      </c>
      <c r="B157" s="17" t="s">
        <v>81</v>
      </c>
      <c r="C157" s="17" t="s">
        <v>82</v>
      </c>
      <c r="D157" s="17" t="s">
        <v>83</v>
      </c>
      <c r="E157" s="17" t="s">
        <v>84</v>
      </c>
      <c r="F157" s="17" t="s">
        <v>49</v>
      </c>
      <c r="G157" s="17" t="s">
        <v>20</v>
      </c>
      <c r="H157" s="17" t="s">
        <v>21</v>
      </c>
      <c r="I157" s="17" t="s">
        <v>22</v>
      </c>
      <c r="J157" s="17">
        <v>57675324</v>
      </c>
      <c r="K157" s="17" t="s">
        <v>112</v>
      </c>
      <c r="L157" s="17"/>
      <c r="M157" s="17"/>
      <c r="N157" s="17" t="s">
        <v>113</v>
      </c>
      <c r="O157" s="17" t="s">
        <v>23</v>
      </c>
      <c r="P157" s="17">
        <v>0.55000000000000004</v>
      </c>
      <c r="Q157" s="17">
        <v>0.55000000000000004</v>
      </c>
      <c r="R157" s="18" t="s">
        <v>24</v>
      </c>
      <c r="S157" s="18">
        <v>2400</v>
      </c>
      <c r="T157" s="18">
        <v>325400</v>
      </c>
      <c r="U157" s="18">
        <v>257660</v>
      </c>
      <c r="V157" s="18">
        <v>0</v>
      </c>
      <c r="W157" s="18">
        <v>0</v>
      </c>
      <c r="X157" s="18">
        <v>0</v>
      </c>
      <c r="Y157" s="18">
        <v>0</v>
      </c>
      <c r="Z157" s="18">
        <v>19200</v>
      </c>
      <c r="AA157" s="18">
        <v>0</v>
      </c>
      <c r="AB157" s="18">
        <v>0</v>
      </c>
      <c r="AC157" s="18">
        <v>48540</v>
      </c>
      <c r="AD157" s="18">
        <v>327320</v>
      </c>
      <c r="AE157" s="18">
        <v>257660</v>
      </c>
      <c r="AF157" s="18">
        <v>0</v>
      </c>
      <c r="AG157" s="18">
        <v>0</v>
      </c>
      <c r="AH157" s="18">
        <v>0</v>
      </c>
      <c r="AI157" s="18">
        <v>0</v>
      </c>
      <c r="AJ157" s="18">
        <v>21120</v>
      </c>
      <c r="AK157" s="18">
        <v>0</v>
      </c>
      <c r="AL157" s="18">
        <v>0</v>
      </c>
      <c r="AM157" s="18">
        <v>48540</v>
      </c>
      <c r="AN157" s="18">
        <v>180026</v>
      </c>
      <c r="AO157" s="18">
        <v>0</v>
      </c>
      <c r="AP157" s="18">
        <v>180026</v>
      </c>
    </row>
    <row r="158" spans="1:42" x14ac:dyDescent="0.4">
      <c r="A158" s="17" t="s">
        <v>48</v>
      </c>
      <c r="B158" s="17" t="s">
        <v>81</v>
      </c>
      <c r="C158" s="17" t="s">
        <v>82</v>
      </c>
      <c r="D158" s="17" t="s">
        <v>83</v>
      </c>
      <c r="E158" s="17" t="s">
        <v>84</v>
      </c>
      <c r="F158" s="17" t="s">
        <v>49</v>
      </c>
      <c r="G158" s="17" t="s">
        <v>20</v>
      </c>
      <c r="H158" s="17" t="s">
        <v>21</v>
      </c>
      <c r="I158" s="17" t="s">
        <v>22</v>
      </c>
      <c r="J158" s="17">
        <v>57675324</v>
      </c>
      <c r="K158" s="17" t="s">
        <v>112</v>
      </c>
      <c r="L158" s="17"/>
      <c r="M158" s="17"/>
      <c r="N158" s="17" t="s">
        <v>113</v>
      </c>
      <c r="O158" s="17" t="s">
        <v>23</v>
      </c>
      <c r="P158" s="17">
        <v>0.55000000000000004</v>
      </c>
      <c r="Q158" s="17">
        <v>0.55000000000000004</v>
      </c>
      <c r="R158" s="18" t="s">
        <v>24</v>
      </c>
      <c r="S158" s="18">
        <v>4700</v>
      </c>
      <c r="T158" s="18">
        <v>340100</v>
      </c>
      <c r="U158" s="18">
        <v>283200</v>
      </c>
      <c r="V158" s="18">
        <v>0</v>
      </c>
      <c r="W158" s="18">
        <v>0</v>
      </c>
      <c r="X158" s="18">
        <v>0</v>
      </c>
      <c r="Y158" s="18">
        <v>0</v>
      </c>
      <c r="Z158" s="18">
        <v>19300</v>
      </c>
      <c r="AA158" s="18">
        <v>0</v>
      </c>
      <c r="AB158" s="18">
        <v>0</v>
      </c>
      <c r="AC158" s="18">
        <v>37600</v>
      </c>
      <c r="AD158" s="18">
        <v>342030</v>
      </c>
      <c r="AE158" s="18">
        <v>283200</v>
      </c>
      <c r="AF158" s="18">
        <v>0</v>
      </c>
      <c r="AG158" s="18">
        <v>0</v>
      </c>
      <c r="AH158" s="18">
        <v>0</v>
      </c>
      <c r="AI158" s="18">
        <v>0</v>
      </c>
      <c r="AJ158" s="18">
        <v>21230</v>
      </c>
      <c r="AK158" s="18">
        <v>0</v>
      </c>
      <c r="AL158" s="18">
        <v>0</v>
      </c>
      <c r="AM158" s="18">
        <v>37600</v>
      </c>
      <c r="AN158" s="18">
        <v>188117</v>
      </c>
      <c r="AO158" s="18">
        <v>0</v>
      </c>
      <c r="AP158" s="18">
        <v>188117</v>
      </c>
    </row>
    <row r="159" spans="1:42" x14ac:dyDescent="0.4">
      <c r="A159" s="17" t="s">
        <v>48</v>
      </c>
      <c r="B159" s="17" t="s">
        <v>81</v>
      </c>
      <c r="C159" s="17" t="s">
        <v>82</v>
      </c>
      <c r="D159" s="17" t="s">
        <v>83</v>
      </c>
      <c r="E159" s="17" t="s">
        <v>84</v>
      </c>
      <c r="F159" s="17" t="s">
        <v>49</v>
      </c>
      <c r="G159" s="17" t="s">
        <v>20</v>
      </c>
      <c r="H159" s="17" t="s">
        <v>21</v>
      </c>
      <c r="I159" s="17" t="s">
        <v>22</v>
      </c>
      <c r="J159" s="17">
        <v>57675324</v>
      </c>
      <c r="K159" s="17" t="s">
        <v>112</v>
      </c>
      <c r="L159" s="17"/>
      <c r="M159" s="17"/>
      <c r="N159" s="17" t="s">
        <v>113</v>
      </c>
      <c r="O159" s="17" t="s">
        <v>23</v>
      </c>
      <c r="P159" s="17">
        <v>0.55000000000000004</v>
      </c>
      <c r="Q159" s="17">
        <v>0.55000000000000004</v>
      </c>
      <c r="R159" s="18" t="s">
        <v>24</v>
      </c>
      <c r="S159" s="18">
        <v>9200</v>
      </c>
      <c r="T159" s="18">
        <v>384100</v>
      </c>
      <c r="U159" s="18">
        <v>363080</v>
      </c>
      <c r="V159" s="18">
        <v>0</v>
      </c>
      <c r="W159" s="18">
        <v>0</v>
      </c>
      <c r="X159" s="18">
        <v>0</v>
      </c>
      <c r="Y159" s="18">
        <v>0</v>
      </c>
      <c r="Z159" s="18">
        <v>600</v>
      </c>
      <c r="AA159" s="18">
        <v>0</v>
      </c>
      <c r="AB159" s="18">
        <v>0</v>
      </c>
      <c r="AC159" s="18">
        <v>20420</v>
      </c>
      <c r="AD159" s="18">
        <v>384160</v>
      </c>
      <c r="AE159" s="18">
        <v>363080</v>
      </c>
      <c r="AF159" s="18">
        <v>0</v>
      </c>
      <c r="AG159" s="18">
        <v>0</v>
      </c>
      <c r="AH159" s="18">
        <v>0</v>
      </c>
      <c r="AI159" s="18">
        <v>0</v>
      </c>
      <c r="AJ159" s="18">
        <v>660</v>
      </c>
      <c r="AK159" s="18">
        <v>0</v>
      </c>
      <c r="AL159" s="18">
        <v>0</v>
      </c>
      <c r="AM159" s="18">
        <v>20420</v>
      </c>
      <c r="AN159" s="18">
        <v>211288</v>
      </c>
      <c r="AO159" s="18">
        <v>0</v>
      </c>
      <c r="AP159" s="18">
        <v>211288</v>
      </c>
    </row>
    <row r="160" spans="1:42" x14ac:dyDescent="0.4">
      <c r="A160" s="17" t="s">
        <v>48</v>
      </c>
      <c r="B160" s="17" t="s">
        <v>81</v>
      </c>
      <c r="C160" s="17" t="s">
        <v>82</v>
      </c>
      <c r="D160" s="17" t="s">
        <v>83</v>
      </c>
      <c r="E160" s="17" t="s">
        <v>84</v>
      </c>
      <c r="F160" s="17" t="s">
        <v>49</v>
      </c>
      <c r="G160" s="17" t="s">
        <v>20</v>
      </c>
      <c r="H160" s="17" t="s">
        <v>21</v>
      </c>
      <c r="I160" s="17" t="s">
        <v>22</v>
      </c>
      <c r="J160" s="17">
        <v>58093302</v>
      </c>
      <c r="K160" s="17" t="s">
        <v>114</v>
      </c>
      <c r="L160" s="17"/>
      <c r="M160" s="17"/>
      <c r="N160" s="17" t="s">
        <v>115</v>
      </c>
      <c r="O160" s="17" t="s">
        <v>23</v>
      </c>
      <c r="P160" s="17">
        <v>0.55000000000000004</v>
      </c>
      <c r="Q160" s="17">
        <v>0.55000000000000004</v>
      </c>
      <c r="R160" s="18" t="s">
        <v>25</v>
      </c>
      <c r="S160" s="18">
        <v>100</v>
      </c>
      <c r="T160" s="18">
        <v>735900</v>
      </c>
      <c r="U160" s="18">
        <v>590920</v>
      </c>
      <c r="V160" s="18">
        <v>0</v>
      </c>
      <c r="W160" s="18">
        <v>0</v>
      </c>
      <c r="X160" s="18">
        <v>3100</v>
      </c>
      <c r="Y160" s="18">
        <v>100</v>
      </c>
      <c r="Z160" s="18">
        <v>11000</v>
      </c>
      <c r="AA160" s="18">
        <v>0</v>
      </c>
      <c r="AB160" s="18">
        <v>0</v>
      </c>
      <c r="AC160" s="18">
        <v>130780</v>
      </c>
      <c r="AD160" s="18">
        <v>738210.92449999996</v>
      </c>
      <c r="AE160" s="18">
        <v>590920</v>
      </c>
      <c r="AF160" s="18">
        <v>0</v>
      </c>
      <c r="AG160" s="18">
        <v>0</v>
      </c>
      <c r="AH160" s="18">
        <v>4290.9245000000001</v>
      </c>
      <c r="AI160" s="18">
        <v>120</v>
      </c>
      <c r="AJ160" s="18">
        <v>12100</v>
      </c>
      <c r="AK160" s="18">
        <v>0</v>
      </c>
      <c r="AL160" s="18">
        <v>0</v>
      </c>
      <c r="AM160" s="18">
        <v>130780</v>
      </c>
      <c r="AN160" s="18">
        <v>406016</v>
      </c>
      <c r="AO160" s="18">
        <v>0</v>
      </c>
      <c r="AP160" s="18">
        <v>406016</v>
      </c>
    </row>
    <row r="161" spans="1:42" x14ac:dyDescent="0.4">
      <c r="A161" s="17" t="s">
        <v>48</v>
      </c>
      <c r="B161" s="17" t="s">
        <v>81</v>
      </c>
      <c r="C161" s="17" t="s">
        <v>82</v>
      </c>
      <c r="D161" s="17" t="s">
        <v>83</v>
      </c>
      <c r="E161" s="17" t="s">
        <v>84</v>
      </c>
      <c r="F161" s="17" t="s">
        <v>49</v>
      </c>
      <c r="G161" s="17" t="s">
        <v>20</v>
      </c>
      <c r="H161" s="17" t="s">
        <v>21</v>
      </c>
      <c r="I161" s="17" t="s">
        <v>22</v>
      </c>
      <c r="J161" s="17">
        <v>58194218</v>
      </c>
      <c r="K161" s="17" t="s">
        <v>116</v>
      </c>
      <c r="L161" s="17"/>
      <c r="M161" s="17"/>
      <c r="N161" s="17" t="s">
        <v>117</v>
      </c>
      <c r="O161" s="17" t="s">
        <v>23</v>
      </c>
      <c r="P161" s="17">
        <v>0.55000000000000004</v>
      </c>
      <c r="Q161" s="17">
        <v>0.55000000000000004</v>
      </c>
      <c r="R161" s="18" t="s">
        <v>25</v>
      </c>
      <c r="S161" s="18">
        <v>100</v>
      </c>
      <c r="T161" s="18">
        <v>40900</v>
      </c>
      <c r="U161" s="18">
        <v>28500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12400</v>
      </c>
      <c r="AD161" s="18">
        <v>40900</v>
      </c>
      <c r="AE161" s="18">
        <v>28500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12400</v>
      </c>
      <c r="AN161" s="18">
        <v>22495</v>
      </c>
      <c r="AO161" s="18">
        <v>0</v>
      </c>
      <c r="AP161" s="18">
        <v>22495</v>
      </c>
    </row>
    <row r="162" spans="1:42" x14ac:dyDescent="0.4">
      <c r="A162" s="17" t="s">
        <v>48</v>
      </c>
      <c r="B162" s="17" t="s">
        <v>81</v>
      </c>
      <c r="C162" s="17" t="s">
        <v>82</v>
      </c>
      <c r="D162" s="17" t="s">
        <v>83</v>
      </c>
      <c r="E162" s="17" t="s">
        <v>84</v>
      </c>
      <c r="F162" s="17" t="s">
        <v>49</v>
      </c>
      <c r="G162" s="17" t="s">
        <v>20</v>
      </c>
      <c r="H162" s="17" t="s">
        <v>21</v>
      </c>
      <c r="I162" s="17" t="s">
        <v>22</v>
      </c>
      <c r="J162" s="17">
        <v>58436496</v>
      </c>
      <c r="K162" s="17" t="s">
        <v>121</v>
      </c>
      <c r="L162" s="17"/>
      <c r="M162" s="17"/>
      <c r="N162" s="17" t="s">
        <v>122</v>
      </c>
      <c r="O162" s="17" t="s">
        <v>23</v>
      </c>
      <c r="P162" s="17">
        <v>0.55000000000000004</v>
      </c>
      <c r="Q162" s="17">
        <v>0.55000000000000004</v>
      </c>
      <c r="R162" s="18" t="s">
        <v>25</v>
      </c>
      <c r="S162" s="18">
        <v>100</v>
      </c>
      <c r="T162" s="18">
        <v>498900</v>
      </c>
      <c r="U162" s="18">
        <v>265760</v>
      </c>
      <c r="V162" s="18">
        <v>0</v>
      </c>
      <c r="W162" s="18">
        <v>0</v>
      </c>
      <c r="X162" s="18">
        <v>0</v>
      </c>
      <c r="Y162" s="18">
        <v>4400</v>
      </c>
      <c r="Z162" s="18">
        <v>8000</v>
      </c>
      <c r="AA162" s="18">
        <v>0</v>
      </c>
      <c r="AB162" s="18">
        <v>0</v>
      </c>
      <c r="AC162" s="18">
        <v>220740</v>
      </c>
      <c r="AD162" s="18">
        <v>500580</v>
      </c>
      <c r="AE162" s="18">
        <v>265760</v>
      </c>
      <c r="AF162" s="18">
        <v>0</v>
      </c>
      <c r="AG162" s="18">
        <v>0</v>
      </c>
      <c r="AH162" s="18">
        <v>0</v>
      </c>
      <c r="AI162" s="18">
        <v>5280</v>
      </c>
      <c r="AJ162" s="18">
        <v>8800</v>
      </c>
      <c r="AK162" s="18">
        <v>0</v>
      </c>
      <c r="AL162" s="18">
        <v>0</v>
      </c>
      <c r="AM162" s="18">
        <v>220740</v>
      </c>
      <c r="AN162" s="18">
        <v>275319</v>
      </c>
      <c r="AO162" s="18">
        <v>0</v>
      </c>
      <c r="AP162" s="18">
        <v>275319</v>
      </c>
    </row>
    <row r="163" spans="1:42" x14ac:dyDescent="0.4">
      <c r="A163" s="17" t="s">
        <v>48</v>
      </c>
      <c r="B163" s="17" t="s">
        <v>81</v>
      </c>
      <c r="C163" s="17" t="s">
        <v>82</v>
      </c>
      <c r="D163" s="17" t="s">
        <v>83</v>
      </c>
      <c r="E163" s="17" t="s">
        <v>84</v>
      </c>
      <c r="F163" s="17" t="s">
        <v>49</v>
      </c>
      <c r="G163" s="17" t="s">
        <v>20</v>
      </c>
      <c r="H163" s="17" t="s">
        <v>21</v>
      </c>
      <c r="I163" s="17" t="s">
        <v>22</v>
      </c>
      <c r="J163" s="17">
        <v>58436496</v>
      </c>
      <c r="K163" s="17" t="s">
        <v>121</v>
      </c>
      <c r="L163" s="17"/>
      <c r="M163" s="17"/>
      <c r="N163" s="17" t="s">
        <v>122</v>
      </c>
      <c r="O163" s="17" t="s">
        <v>23</v>
      </c>
      <c r="P163" s="17">
        <v>0.55000000000000004</v>
      </c>
      <c r="Q163" s="17">
        <v>0.55000000000000004</v>
      </c>
      <c r="R163" s="18" t="s">
        <v>24</v>
      </c>
      <c r="S163" s="18">
        <v>2400</v>
      </c>
      <c r="T163" s="18">
        <v>376000</v>
      </c>
      <c r="U163" s="18">
        <v>288090</v>
      </c>
      <c r="V163" s="18">
        <v>0</v>
      </c>
      <c r="W163" s="18">
        <v>0</v>
      </c>
      <c r="X163" s="18">
        <v>0</v>
      </c>
      <c r="Y163" s="18">
        <v>2400</v>
      </c>
      <c r="Z163" s="18">
        <v>27600</v>
      </c>
      <c r="AA163" s="18">
        <v>0</v>
      </c>
      <c r="AB163" s="18">
        <v>0</v>
      </c>
      <c r="AC163" s="18">
        <v>57910</v>
      </c>
      <c r="AD163" s="18">
        <v>379240</v>
      </c>
      <c r="AE163" s="18">
        <v>288090</v>
      </c>
      <c r="AF163" s="18">
        <v>0</v>
      </c>
      <c r="AG163" s="18">
        <v>0</v>
      </c>
      <c r="AH163" s="18">
        <v>0</v>
      </c>
      <c r="AI163" s="18">
        <v>2880</v>
      </c>
      <c r="AJ163" s="18">
        <v>30360</v>
      </c>
      <c r="AK163" s="18">
        <v>0</v>
      </c>
      <c r="AL163" s="18">
        <v>0</v>
      </c>
      <c r="AM163" s="18">
        <v>57910</v>
      </c>
      <c r="AN163" s="18">
        <v>208582</v>
      </c>
      <c r="AO163" s="18">
        <v>0</v>
      </c>
      <c r="AP163" s="18">
        <v>208582</v>
      </c>
    </row>
    <row r="164" spans="1:42" x14ac:dyDescent="0.4">
      <c r="A164" s="17" t="s">
        <v>48</v>
      </c>
      <c r="B164" s="17" t="s">
        <v>81</v>
      </c>
      <c r="C164" s="17" t="s">
        <v>82</v>
      </c>
      <c r="D164" s="17" t="s">
        <v>83</v>
      </c>
      <c r="E164" s="17" t="s">
        <v>84</v>
      </c>
      <c r="F164" s="17" t="s">
        <v>49</v>
      </c>
      <c r="G164" s="17" t="s">
        <v>20</v>
      </c>
      <c r="H164" s="17" t="s">
        <v>21</v>
      </c>
      <c r="I164" s="17" t="s">
        <v>22</v>
      </c>
      <c r="J164" s="17">
        <v>58436496</v>
      </c>
      <c r="K164" s="17" t="s">
        <v>121</v>
      </c>
      <c r="L164" s="17"/>
      <c r="M164" s="17"/>
      <c r="N164" s="17" t="s">
        <v>122</v>
      </c>
      <c r="O164" s="17" t="s">
        <v>23</v>
      </c>
      <c r="P164" s="17">
        <v>0.55000000000000004</v>
      </c>
      <c r="Q164" s="17">
        <v>0.55000000000000004</v>
      </c>
      <c r="R164" s="18" t="s">
        <v>24</v>
      </c>
      <c r="S164" s="18">
        <v>4700</v>
      </c>
      <c r="T164" s="18">
        <v>350000</v>
      </c>
      <c r="U164" s="18">
        <v>299000</v>
      </c>
      <c r="V164" s="18">
        <v>0</v>
      </c>
      <c r="W164" s="18">
        <v>0</v>
      </c>
      <c r="X164" s="18">
        <v>0</v>
      </c>
      <c r="Y164" s="18">
        <v>0</v>
      </c>
      <c r="Z164" s="18">
        <v>32700</v>
      </c>
      <c r="AA164" s="18">
        <v>0</v>
      </c>
      <c r="AB164" s="18">
        <v>0</v>
      </c>
      <c r="AC164" s="18">
        <v>18300</v>
      </c>
      <c r="AD164" s="18">
        <v>353270</v>
      </c>
      <c r="AE164" s="18">
        <v>299000</v>
      </c>
      <c r="AF164" s="18">
        <v>0</v>
      </c>
      <c r="AG164" s="18">
        <v>0</v>
      </c>
      <c r="AH164" s="18">
        <v>0</v>
      </c>
      <c r="AI164" s="18">
        <v>0</v>
      </c>
      <c r="AJ164" s="18">
        <v>35970</v>
      </c>
      <c r="AK164" s="18">
        <v>0</v>
      </c>
      <c r="AL164" s="18">
        <v>0</v>
      </c>
      <c r="AM164" s="18">
        <v>18300</v>
      </c>
      <c r="AN164" s="18">
        <v>194299</v>
      </c>
      <c r="AO164" s="18">
        <v>0</v>
      </c>
      <c r="AP164" s="18">
        <v>194299</v>
      </c>
    </row>
    <row r="165" spans="1:42" x14ac:dyDescent="0.4">
      <c r="A165" s="17" t="s">
        <v>48</v>
      </c>
      <c r="B165" s="17" t="s">
        <v>81</v>
      </c>
      <c r="C165" s="17" t="s">
        <v>82</v>
      </c>
      <c r="D165" s="17" t="s">
        <v>83</v>
      </c>
      <c r="E165" s="17" t="s">
        <v>84</v>
      </c>
      <c r="F165" s="17" t="s">
        <v>49</v>
      </c>
      <c r="G165" s="17" t="s">
        <v>20</v>
      </c>
      <c r="H165" s="17" t="s">
        <v>21</v>
      </c>
      <c r="I165" s="17" t="s">
        <v>22</v>
      </c>
      <c r="J165" s="17">
        <v>58436496</v>
      </c>
      <c r="K165" s="17" t="s">
        <v>121</v>
      </c>
      <c r="L165" s="17"/>
      <c r="M165" s="17"/>
      <c r="N165" s="17" t="s">
        <v>122</v>
      </c>
      <c r="O165" s="17" t="s">
        <v>23</v>
      </c>
      <c r="P165" s="17">
        <v>0.55000000000000004</v>
      </c>
      <c r="Q165" s="17">
        <v>0.55000000000000004</v>
      </c>
      <c r="R165" s="18" t="s">
        <v>24</v>
      </c>
      <c r="S165" s="18">
        <v>9200</v>
      </c>
      <c r="T165" s="18">
        <v>422100</v>
      </c>
      <c r="U165" s="18">
        <v>375000</v>
      </c>
      <c r="V165" s="18">
        <v>0</v>
      </c>
      <c r="W165" s="18">
        <v>0</v>
      </c>
      <c r="X165" s="18">
        <v>0</v>
      </c>
      <c r="Y165" s="18">
        <v>0</v>
      </c>
      <c r="Z165" s="18">
        <v>18400</v>
      </c>
      <c r="AA165" s="18">
        <v>0</v>
      </c>
      <c r="AB165" s="18">
        <v>0</v>
      </c>
      <c r="AC165" s="18">
        <v>28700</v>
      </c>
      <c r="AD165" s="18">
        <v>423940</v>
      </c>
      <c r="AE165" s="18">
        <v>375000</v>
      </c>
      <c r="AF165" s="18">
        <v>0</v>
      </c>
      <c r="AG165" s="18">
        <v>0</v>
      </c>
      <c r="AH165" s="18">
        <v>0</v>
      </c>
      <c r="AI165" s="18">
        <v>0</v>
      </c>
      <c r="AJ165" s="18">
        <v>20240</v>
      </c>
      <c r="AK165" s="18">
        <v>0</v>
      </c>
      <c r="AL165" s="18">
        <v>0</v>
      </c>
      <c r="AM165" s="18">
        <v>28700</v>
      </c>
      <c r="AN165" s="18">
        <v>233167</v>
      </c>
      <c r="AO165" s="18">
        <v>0</v>
      </c>
      <c r="AP165" s="18">
        <v>233167</v>
      </c>
    </row>
    <row r="166" spans="1:42" x14ac:dyDescent="0.4">
      <c r="A166" s="17" t="s">
        <v>48</v>
      </c>
      <c r="B166" s="17" t="s">
        <v>81</v>
      </c>
      <c r="C166" s="17" t="s">
        <v>82</v>
      </c>
      <c r="D166" s="17" t="s">
        <v>83</v>
      </c>
      <c r="E166" s="17" t="s">
        <v>84</v>
      </c>
      <c r="F166" s="17" t="s">
        <v>49</v>
      </c>
      <c r="G166" s="17" t="s">
        <v>20</v>
      </c>
      <c r="H166" s="17" t="s">
        <v>21</v>
      </c>
      <c r="I166" s="17" t="s">
        <v>22</v>
      </c>
      <c r="J166" s="17">
        <v>58523432</v>
      </c>
      <c r="K166" s="17" t="s">
        <v>123</v>
      </c>
      <c r="L166" s="17"/>
      <c r="M166" s="17"/>
      <c r="N166" s="17" t="s">
        <v>64</v>
      </c>
      <c r="O166" s="17" t="s">
        <v>23</v>
      </c>
      <c r="P166" s="17">
        <v>0.55000000000000004</v>
      </c>
      <c r="Q166" s="17">
        <v>0.55000000000000004</v>
      </c>
      <c r="R166" s="18" t="s">
        <v>25</v>
      </c>
      <c r="S166" s="18">
        <v>100</v>
      </c>
      <c r="T166" s="18">
        <v>4354000</v>
      </c>
      <c r="U166" s="18">
        <v>874030</v>
      </c>
      <c r="V166" s="18">
        <v>0</v>
      </c>
      <c r="W166" s="18">
        <v>0</v>
      </c>
      <c r="X166" s="18">
        <v>50</v>
      </c>
      <c r="Y166" s="18">
        <v>4950</v>
      </c>
      <c r="Z166" s="18">
        <v>41300</v>
      </c>
      <c r="AA166" s="18">
        <v>0</v>
      </c>
      <c r="AB166" s="18">
        <v>0</v>
      </c>
      <c r="AC166" s="18">
        <v>3433670</v>
      </c>
      <c r="AD166" s="18">
        <v>4359139.2084999997</v>
      </c>
      <c r="AE166" s="18">
        <v>874030</v>
      </c>
      <c r="AF166" s="18">
        <v>0</v>
      </c>
      <c r="AG166" s="18">
        <v>0</v>
      </c>
      <c r="AH166" s="18">
        <v>69.208500000000001</v>
      </c>
      <c r="AI166" s="18">
        <v>5940</v>
      </c>
      <c r="AJ166" s="18">
        <v>45430</v>
      </c>
      <c r="AK166" s="18">
        <v>0</v>
      </c>
      <c r="AL166" s="18">
        <v>0</v>
      </c>
      <c r="AM166" s="18">
        <v>3433670</v>
      </c>
      <c r="AN166" s="18">
        <v>2397527</v>
      </c>
      <c r="AO166" s="18">
        <v>0</v>
      </c>
      <c r="AP166" s="18">
        <v>2397527</v>
      </c>
    </row>
    <row r="167" spans="1:42" x14ac:dyDescent="0.4">
      <c r="A167" s="17" t="s">
        <v>48</v>
      </c>
      <c r="B167" s="17" t="s">
        <v>81</v>
      </c>
      <c r="C167" s="17" t="s">
        <v>82</v>
      </c>
      <c r="D167" s="17" t="s">
        <v>83</v>
      </c>
      <c r="E167" s="17" t="s">
        <v>84</v>
      </c>
      <c r="F167" s="17" t="s">
        <v>49</v>
      </c>
      <c r="G167" s="17" t="s">
        <v>20</v>
      </c>
      <c r="H167" s="17" t="s">
        <v>21</v>
      </c>
      <c r="I167" s="17" t="s">
        <v>22</v>
      </c>
      <c r="J167" s="17">
        <v>58523432</v>
      </c>
      <c r="K167" s="17" t="s">
        <v>123</v>
      </c>
      <c r="L167" s="17"/>
      <c r="M167" s="17"/>
      <c r="N167" s="17" t="s">
        <v>64</v>
      </c>
      <c r="O167" s="17" t="s">
        <v>23</v>
      </c>
      <c r="P167" s="17">
        <v>0.55000000000000004</v>
      </c>
      <c r="Q167" s="17">
        <v>0.55000000000000004</v>
      </c>
      <c r="R167" s="18" t="s">
        <v>24</v>
      </c>
      <c r="S167" s="18">
        <v>2400</v>
      </c>
      <c r="T167" s="18">
        <v>2404100</v>
      </c>
      <c r="U167" s="18">
        <v>1441100</v>
      </c>
      <c r="V167" s="18">
        <v>0</v>
      </c>
      <c r="W167" s="18">
        <v>0</v>
      </c>
      <c r="X167" s="18">
        <v>0</v>
      </c>
      <c r="Y167" s="18">
        <v>700</v>
      </c>
      <c r="Z167" s="18">
        <v>75200</v>
      </c>
      <c r="AA167" s="18">
        <v>0</v>
      </c>
      <c r="AB167" s="18">
        <v>0</v>
      </c>
      <c r="AC167" s="18">
        <v>887100</v>
      </c>
      <c r="AD167" s="18">
        <v>2411760</v>
      </c>
      <c r="AE167" s="18">
        <v>1441100</v>
      </c>
      <c r="AF167" s="18">
        <v>0</v>
      </c>
      <c r="AG167" s="18">
        <v>0</v>
      </c>
      <c r="AH167" s="18">
        <v>0</v>
      </c>
      <c r="AI167" s="18">
        <v>840</v>
      </c>
      <c r="AJ167" s="18">
        <v>82720</v>
      </c>
      <c r="AK167" s="18">
        <v>0</v>
      </c>
      <c r="AL167" s="18">
        <v>0</v>
      </c>
      <c r="AM167" s="18">
        <v>887100</v>
      </c>
      <c r="AN167" s="18">
        <v>1326468</v>
      </c>
      <c r="AO167" s="18">
        <v>0</v>
      </c>
      <c r="AP167" s="18">
        <v>1326468</v>
      </c>
    </row>
    <row r="168" spans="1:42" x14ac:dyDescent="0.4">
      <c r="A168" s="17" t="s">
        <v>48</v>
      </c>
      <c r="B168" s="17" t="s">
        <v>81</v>
      </c>
      <c r="C168" s="17" t="s">
        <v>82</v>
      </c>
      <c r="D168" s="17" t="s">
        <v>83</v>
      </c>
      <c r="E168" s="17" t="s">
        <v>84</v>
      </c>
      <c r="F168" s="17" t="s">
        <v>49</v>
      </c>
      <c r="G168" s="17" t="s">
        <v>20</v>
      </c>
      <c r="H168" s="17" t="s">
        <v>21</v>
      </c>
      <c r="I168" s="17" t="s">
        <v>22</v>
      </c>
      <c r="J168" s="17">
        <v>58523432</v>
      </c>
      <c r="K168" s="17" t="s">
        <v>123</v>
      </c>
      <c r="L168" s="17"/>
      <c r="M168" s="17"/>
      <c r="N168" s="17" t="s">
        <v>64</v>
      </c>
      <c r="O168" s="17" t="s">
        <v>23</v>
      </c>
      <c r="P168" s="17">
        <v>0.55000000000000004</v>
      </c>
      <c r="Q168" s="17">
        <v>0.55000000000000004</v>
      </c>
      <c r="R168" s="18" t="s">
        <v>24</v>
      </c>
      <c r="S168" s="18">
        <v>4700</v>
      </c>
      <c r="T168" s="18">
        <v>2092200</v>
      </c>
      <c r="U168" s="18">
        <v>1601210</v>
      </c>
      <c r="V168" s="18">
        <v>0</v>
      </c>
      <c r="W168" s="18">
        <v>0</v>
      </c>
      <c r="X168" s="18">
        <v>0</v>
      </c>
      <c r="Y168" s="18">
        <v>9400</v>
      </c>
      <c r="Z168" s="18">
        <v>75000</v>
      </c>
      <c r="AA168" s="18">
        <v>0</v>
      </c>
      <c r="AB168" s="18">
        <v>0</v>
      </c>
      <c r="AC168" s="18">
        <v>406590</v>
      </c>
      <c r="AD168" s="18">
        <v>2101580</v>
      </c>
      <c r="AE168" s="18">
        <v>1601210</v>
      </c>
      <c r="AF168" s="18">
        <v>0</v>
      </c>
      <c r="AG168" s="18">
        <v>0</v>
      </c>
      <c r="AH168" s="18">
        <v>0</v>
      </c>
      <c r="AI168" s="18">
        <v>11280</v>
      </c>
      <c r="AJ168" s="18">
        <v>82500</v>
      </c>
      <c r="AK168" s="18">
        <v>0</v>
      </c>
      <c r="AL168" s="18">
        <v>0</v>
      </c>
      <c r="AM168" s="18">
        <v>406590</v>
      </c>
      <c r="AN168" s="18">
        <v>1155869</v>
      </c>
      <c r="AO168" s="18">
        <v>0</v>
      </c>
      <c r="AP168" s="18">
        <v>1155869</v>
      </c>
    </row>
    <row r="169" spans="1:42" x14ac:dyDescent="0.4">
      <c r="A169" s="17" t="s">
        <v>48</v>
      </c>
      <c r="B169" s="17" t="s">
        <v>81</v>
      </c>
      <c r="C169" s="17" t="s">
        <v>82</v>
      </c>
      <c r="D169" s="17" t="s">
        <v>83</v>
      </c>
      <c r="E169" s="17" t="s">
        <v>84</v>
      </c>
      <c r="F169" s="17" t="s">
        <v>49</v>
      </c>
      <c r="G169" s="17" t="s">
        <v>20</v>
      </c>
      <c r="H169" s="17" t="s">
        <v>21</v>
      </c>
      <c r="I169" s="17" t="s">
        <v>22</v>
      </c>
      <c r="J169" s="17">
        <v>58523432</v>
      </c>
      <c r="K169" s="17" t="s">
        <v>123</v>
      </c>
      <c r="L169" s="17"/>
      <c r="M169" s="17"/>
      <c r="N169" s="17" t="s">
        <v>64</v>
      </c>
      <c r="O169" s="17" t="s">
        <v>23</v>
      </c>
      <c r="P169" s="17">
        <v>0.55000000000000004</v>
      </c>
      <c r="Q169" s="17">
        <v>0.55000000000000004</v>
      </c>
      <c r="R169" s="18" t="s">
        <v>24</v>
      </c>
      <c r="S169" s="18">
        <v>9200</v>
      </c>
      <c r="T169" s="18">
        <v>2640400</v>
      </c>
      <c r="U169" s="18">
        <v>2281020</v>
      </c>
      <c r="V169" s="18">
        <v>0</v>
      </c>
      <c r="W169" s="18">
        <v>0</v>
      </c>
      <c r="X169" s="18">
        <v>0</v>
      </c>
      <c r="Y169" s="18">
        <v>11200</v>
      </c>
      <c r="Z169" s="18">
        <v>132500</v>
      </c>
      <c r="AA169" s="18">
        <v>0</v>
      </c>
      <c r="AB169" s="18">
        <v>0</v>
      </c>
      <c r="AC169" s="18">
        <v>215680</v>
      </c>
      <c r="AD169" s="18">
        <v>2655890</v>
      </c>
      <c r="AE169" s="18">
        <v>2281020</v>
      </c>
      <c r="AF169" s="18">
        <v>0</v>
      </c>
      <c r="AG169" s="18">
        <v>0</v>
      </c>
      <c r="AH169" s="18">
        <v>0</v>
      </c>
      <c r="AI169" s="18">
        <v>13440</v>
      </c>
      <c r="AJ169" s="18">
        <v>145750</v>
      </c>
      <c r="AK169" s="18">
        <v>0</v>
      </c>
      <c r="AL169" s="18">
        <v>0</v>
      </c>
      <c r="AM169" s="18">
        <v>215680</v>
      </c>
      <c r="AN169" s="18">
        <v>1460740</v>
      </c>
      <c r="AO169" s="18">
        <v>0</v>
      </c>
      <c r="AP169" s="18">
        <v>1460740</v>
      </c>
    </row>
    <row r="170" spans="1:42" x14ac:dyDescent="0.4">
      <c r="A170" s="17" t="s">
        <v>48</v>
      </c>
      <c r="B170" s="17" t="s">
        <v>81</v>
      </c>
      <c r="C170" s="17" t="s">
        <v>82</v>
      </c>
      <c r="D170" s="17" t="s">
        <v>83</v>
      </c>
      <c r="E170" s="17" t="s">
        <v>84</v>
      </c>
      <c r="F170" s="17" t="s">
        <v>49</v>
      </c>
      <c r="G170" s="17" t="s">
        <v>20</v>
      </c>
      <c r="H170" s="17" t="s">
        <v>21</v>
      </c>
      <c r="I170" s="17" t="s">
        <v>22</v>
      </c>
      <c r="J170" s="17">
        <v>58575247</v>
      </c>
      <c r="K170" s="17" t="s">
        <v>126</v>
      </c>
      <c r="L170" s="17"/>
      <c r="M170" s="17"/>
      <c r="N170" s="17" t="s">
        <v>127</v>
      </c>
      <c r="O170" s="17" t="s">
        <v>23</v>
      </c>
      <c r="P170" s="17">
        <v>0.55000000000000004</v>
      </c>
      <c r="Q170" s="17">
        <v>0.55000000000000004</v>
      </c>
      <c r="R170" s="18" t="s">
        <v>25</v>
      </c>
      <c r="S170" s="18">
        <v>100</v>
      </c>
      <c r="T170" s="18">
        <v>6000</v>
      </c>
      <c r="U170" s="18">
        <v>2500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3500</v>
      </c>
      <c r="AD170" s="18">
        <v>6000</v>
      </c>
      <c r="AE170" s="18">
        <v>2500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3500</v>
      </c>
      <c r="AN170" s="18">
        <v>3300</v>
      </c>
      <c r="AO170" s="18">
        <v>0</v>
      </c>
      <c r="AP170" s="18">
        <v>3300</v>
      </c>
    </row>
    <row r="171" spans="1:42" x14ac:dyDescent="0.4">
      <c r="A171" s="17" t="s">
        <v>48</v>
      </c>
      <c r="B171" s="17" t="s">
        <v>81</v>
      </c>
      <c r="C171" s="17" t="s">
        <v>82</v>
      </c>
      <c r="D171" s="17" t="s">
        <v>83</v>
      </c>
      <c r="E171" s="17" t="s">
        <v>84</v>
      </c>
      <c r="F171" s="17" t="s">
        <v>49</v>
      </c>
      <c r="G171" s="17" t="s">
        <v>20</v>
      </c>
      <c r="H171" s="17" t="s">
        <v>21</v>
      </c>
      <c r="I171" s="17" t="s">
        <v>22</v>
      </c>
      <c r="J171" s="17">
        <v>58575247</v>
      </c>
      <c r="K171" s="17" t="s">
        <v>126</v>
      </c>
      <c r="L171" s="17"/>
      <c r="M171" s="17"/>
      <c r="N171" s="17" t="s">
        <v>127</v>
      </c>
      <c r="O171" s="17" t="s">
        <v>23</v>
      </c>
      <c r="P171" s="17">
        <v>0.55000000000000004</v>
      </c>
      <c r="Q171" s="17">
        <v>0.55000000000000004</v>
      </c>
      <c r="R171" s="18" t="s">
        <v>24</v>
      </c>
      <c r="S171" s="18">
        <v>2400</v>
      </c>
      <c r="T171" s="18">
        <v>7200</v>
      </c>
      <c r="U171" s="18">
        <v>4500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2700</v>
      </c>
      <c r="AD171" s="18">
        <v>7200</v>
      </c>
      <c r="AE171" s="18">
        <v>4500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2700</v>
      </c>
      <c r="AN171" s="18">
        <v>3960</v>
      </c>
      <c r="AO171" s="18">
        <v>0</v>
      </c>
      <c r="AP171" s="18">
        <v>3960</v>
      </c>
    </row>
    <row r="172" spans="1:42" x14ac:dyDescent="0.4">
      <c r="A172" s="17" t="s">
        <v>48</v>
      </c>
      <c r="B172" s="17" t="s">
        <v>81</v>
      </c>
      <c r="C172" s="17" t="s">
        <v>82</v>
      </c>
      <c r="D172" s="17" t="s">
        <v>83</v>
      </c>
      <c r="E172" s="17" t="s">
        <v>84</v>
      </c>
      <c r="F172" s="17" t="s">
        <v>49</v>
      </c>
      <c r="G172" s="17" t="s">
        <v>20</v>
      </c>
      <c r="H172" s="17" t="s">
        <v>21</v>
      </c>
      <c r="I172" s="17" t="s">
        <v>22</v>
      </c>
      <c r="J172" s="17">
        <v>58575247</v>
      </c>
      <c r="K172" s="17" t="s">
        <v>126</v>
      </c>
      <c r="L172" s="17"/>
      <c r="M172" s="17"/>
      <c r="N172" s="17" t="s">
        <v>127</v>
      </c>
      <c r="O172" s="17" t="s">
        <v>23</v>
      </c>
      <c r="P172" s="17">
        <v>0.55000000000000004</v>
      </c>
      <c r="Q172" s="17">
        <v>0.55000000000000004</v>
      </c>
      <c r="R172" s="18" t="s">
        <v>24</v>
      </c>
      <c r="S172" s="18">
        <v>9200</v>
      </c>
      <c r="T172" s="18">
        <v>9200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9200</v>
      </c>
      <c r="AD172" s="18">
        <v>9200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9200</v>
      </c>
      <c r="AN172" s="18">
        <v>5060</v>
      </c>
      <c r="AO172" s="18">
        <v>0</v>
      </c>
      <c r="AP172" s="18">
        <v>5060</v>
      </c>
    </row>
    <row r="173" spans="1:42" x14ac:dyDescent="0.4">
      <c r="A173" s="17" t="s">
        <v>48</v>
      </c>
      <c r="B173" s="17" t="s">
        <v>81</v>
      </c>
      <c r="C173" s="17" t="s">
        <v>82</v>
      </c>
      <c r="D173" s="17" t="s">
        <v>83</v>
      </c>
      <c r="E173" s="17" t="s">
        <v>84</v>
      </c>
      <c r="F173" s="17" t="s">
        <v>49</v>
      </c>
      <c r="G173" s="17" t="s">
        <v>20</v>
      </c>
      <c r="H173" s="17" t="s">
        <v>21</v>
      </c>
      <c r="I173" s="17" t="s">
        <v>22</v>
      </c>
      <c r="J173" s="17">
        <v>58669835</v>
      </c>
      <c r="K173" s="17" t="s">
        <v>128</v>
      </c>
      <c r="L173" s="17"/>
      <c r="M173" s="17"/>
      <c r="N173" s="17" t="s">
        <v>58</v>
      </c>
      <c r="O173" s="17" t="s">
        <v>23</v>
      </c>
      <c r="P173" s="17">
        <v>0.55000000000000004</v>
      </c>
      <c r="Q173" s="17">
        <v>0.55000000000000004</v>
      </c>
      <c r="R173" s="18" t="s">
        <v>25</v>
      </c>
      <c r="S173" s="18">
        <v>100</v>
      </c>
      <c r="T173" s="18">
        <v>192600</v>
      </c>
      <c r="U173" s="18">
        <v>98570</v>
      </c>
      <c r="V173" s="18">
        <v>0</v>
      </c>
      <c r="W173" s="18">
        <v>0</v>
      </c>
      <c r="X173" s="18">
        <v>0</v>
      </c>
      <c r="Y173" s="18">
        <v>860</v>
      </c>
      <c r="Z173" s="18">
        <v>1700</v>
      </c>
      <c r="AA173" s="18">
        <v>0</v>
      </c>
      <c r="AB173" s="18">
        <v>0</v>
      </c>
      <c r="AC173" s="18">
        <v>91470</v>
      </c>
      <c r="AD173" s="18">
        <v>192942</v>
      </c>
      <c r="AE173" s="18">
        <v>98570</v>
      </c>
      <c r="AF173" s="18">
        <v>0</v>
      </c>
      <c r="AG173" s="18">
        <v>0</v>
      </c>
      <c r="AH173" s="18">
        <v>0</v>
      </c>
      <c r="AI173" s="18">
        <v>1032</v>
      </c>
      <c r="AJ173" s="18">
        <v>1870</v>
      </c>
      <c r="AK173" s="18">
        <v>0</v>
      </c>
      <c r="AL173" s="18">
        <v>0</v>
      </c>
      <c r="AM173" s="18">
        <v>91470</v>
      </c>
      <c r="AN173" s="18">
        <v>106118</v>
      </c>
      <c r="AO173" s="18">
        <v>0</v>
      </c>
      <c r="AP173" s="18">
        <v>106118</v>
      </c>
    </row>
    <row r="174" spans="1:42" x14ac:dyDescent="0.4">
      <c r="A174" s="17" t="s">
        <v>48</v>
      </c>
      <c r="B174" s="17" t="s">
        <v>81</v>
      </c>
      <c r="C174" s="17" t="s">
        <v>82</v>
      </c>
      <c r="D174" s="17" t="s">
        <v>83</v>
      </c>
      <c r="E174" s="17" t="s">
        <v>84</v>
      </c>
      <c r="F174" s="17" t="s">
        <v>49</v>
      </c>
      <c r="G174" s="17" t="s">
        <v>20</v>
      </c>
      <c r="H174" s="17" t="s">
        <v>21</v>
      </c>
      <c r="I174" s="17" t="s">
        <v>22</v>
      </c>
      <c r="J174" s="17">
        <v>58669835</v>
      </c>
      <c r="K174" s="17" t="s">
        <v>128</v>
      </c>
      <c r="L174" s="17"/>
      <c r="M174" s="17"/>
      <c r="N174" s="17" t="s">
        <v>58</v>
      </c>
      <c r="O174" s="17" t="s">
        <v>23</v>
      </c>
      <c r="P174" s="17">
        <v>0.55000000000000004</v>
      </c>
      <c r="Q174" s="17">
        <v>0.55000000000000004</v>
      </c>
      <c r="R174" s="18" t="s">
        <v>24</v>
      </c>
      <c r="S174" s="18">
        <v>2400</v>
      </c>
      <c r="T174" s="18">
        <v>195000</v>
      </c>
      <c r="U174" s="18">
        <v>161500</v>
      </c>
      <c r="V174" s="18">
        <v>0</v>
      </c>
      <c r="W174" s="18">
        <v>0</v>
      </c>
      <c r="X174" s="18">
        <v>0</v>
      </c>
      <c r="Y174" s="18">
        <v>0</v>
      </c>
      <c r="Z174" s="18">
        <v>9600</v>
      </c>
      <c r="AA174" s="18">
        <v>0</v>
      </c>
      <c r="AB174" s="18">
        <v>0</v>
      </c>
      <c r="AC174" s="18">
        <v>23900</v>
      </c>
      <c r="AD174" s="18">
        <v>195960</v>
      </c>
      <c r="AE174" s="18">
        <v>161500</v>
      </c>
      <c r="AF174" s="18">
        <v>0</v>
      </c>
      <c r="AG174" s="18">
        <v>0</v>
      </c>
      <c r="AH174" s="18">
        <v>0</v>
      </c>
      <c r="AI174" s="18">
        <v>0</v>
      </c>
      <c r="AJ174" s="18">
        <v>10560</v>
      </c>
      <c r="AK174" s="18">
        <v>0</v>
      </c>
      <c r="AL174" s="18">
        <v>0</v>
      </c>
      <c r="AM174" s="18">
        <v>23900</v>
      </c>
      <c r="AN174" s="18">
        <v>107778</v>
      </c>
      <c r="AO174" s="18">
        <v>0</v>
      </c>
      <c r="AP174" s="18">
        <v>107778</v>
      </c>
    </row>
    <row r="175" spans="1:42" x14ac:dyDescent="0.4">
      <c r="A175" s="17" t="s">
        <v>48</v>
      </c>
      <c r="B175" s="17" t="s">
        <v>81</v>
      </c>
      <c r="C175" s="17" t="s">
        <v>82</v>
      </c>
      <c r="D175" s="17" t="s">
        <v>83</v>
      </c>
      <c r="E175" s="17" t="s">
        <v>84</v>
      </c>
      <c r="F175" s="17" t="s">
        <v>49</v>
      </c>
      <c r="G175" s="17" t="s">
        <v>20</v>
      </c>
      <c r="H175" s="17" t="s">
        <v>21</v>
      </c>
      <c r="I175" s="17" t="s">
        <v>22</v>
      </c>
      <c r="J175" s="17">
        <v>58669835</v>
      </c>
      <c r="K175" s="17" t="s">
        <v>128</v>
      </c>
      <c r="L175" s="17"/>
      <c r="M175" s="17"/>
      <c r="N175" s="17" t="s">
        <v>58</v>
      </c>
      <c r="O175" s="17" t="s">
        <v>23</v>
      </c>
      <c r="P175" s="17">
        <v>0.55000000000000004</v>
      </c>
      <c r="Q175" s="17">
        <v>0.55000000000000004</v>
      </c>
      <c r="R175" s="18" t="s">
        <v>24</v>
      </c>
      <c r="S175" s="18">
        <v>4700</v>
      </c>
      <c r="T175" s="18">
        <v>98300</v>
      </c>
      <c r="U175" s="18">
        <v>72700</v>
      </c>
      <c r="V175" s="18">
        <v>0</v>
      </c>
      <c r="W175" s="18">
        <v>0</v>
      </c>
      <c r="X175" s="18">
        <v>0</v>
      </c>
      <c r="Y175" s="18">
        <v>4900</v>
      </c>
      <c r="Z175" s="18">
        <v>9400</v>
      </c>
      <c r="AA175" s="18">
        <v>0</v>
      </c>
      <c r="AB175" s="18">
        <v>0</v>
      </c>
      <c r="AC175" s="18">
        <v>11300</v>
      </c>
      <c r="AD175" s="18">
        <v>100220</v>
      </c>
      <c r="AE175" s="18">
        <v>72700</v>
      </c>
      <c r="AF175" s="18">
        <v>0</v>
      </c>
      <c r="AG175" s="18">
        <v>0</v>
      </c>
      <c r="AH175" s="18">
        <v>0</v>
      </c>
      <c r="AI175" s="18">
        <v>5880</v>
      </c>
      <c r="AJ175" s="18">
        <v>10340</v>
      </c>
      <c r="AK175" s="18">
        <v>0</v>
      </c>
      <c r="AL175" s="18">
        <v>0</v>
      </c>
      <c r="AM175" s="18">
        <v>11300</v>
      </c>
      <c r="AN175" s="18">
        <v>55121</v>
      </c>
      <c r="AO175" s="18">
        <v>0</v>
      </c>
      <c r="AP175" s="18">
        <v>55121</v>
      </c>
    </row>
    <row r="176" spans="1:42" x14ac:dyDescent="0.4">
      <c r="A176" s="17" t="s">
        <v>48</v>
      </c>
      <c r="B176" s="17" t="s">
        <v>81</v>
      </c>
      <c r="C176" s="17" t="s">
        <v>82</v>
      </c>
      <c r="D176" s="17" t="s">
        <v>83</v>
      </c>
      <c r="E176" s="17" t="s">
        <v>84</v>
      </c>
      <c r="F176" s="17" t="s">
        <v>49</v>
      </c>
      <c r="G176" s="17" t="s">
        <v>20</v>
      </c>
      <c r="H176" s="17" t="s">
        <v>21</v>
      </c>
      <c r="I176" s="17" t="s">
        <v>22</v>
      </c>
      <c r="J176" s="17">
        <v>58669835</v>
      </c>
      <c r="K176" s="17" t="s">
        <v>128</v>
      </c>
      <c r="L176" s="17"/>
      <c r="M176" s="17"/>
      <c r="N176" s="17" t="s">
        <v>58</v>
      </c>
      <c r="O176" s="17" t="s">
        <v>23</v>
      </c>
      <c r="P176" s="17">
        <v>0.55000000000000004</v>
      </c>
      <c r="Q176" s="17">
        <v>0.55000000000000004</v>
      </c>
      <c r="R176" s="18" t="s">
        <v>24</v>
      </c>
      <c r="S176" s="18">
        <v>9200</v>
      </c>
      <c r="T176" s="18">
        <v>98500</v>
      </c>
      <c r="U176" s="18">
        <v>76600</v>
      </c>
      <c r="V176" s="18">
        <v>0</v>
      </c>
      <c r="W176" s="18">
        <v>0</v>
      </c>
      <c r="X176" s="18">
        <v>0</v>
      </c>
      <c r="Y176" s="18">
        <v>0</v>
      </c>
      <c r="Z176" s="18">
        <v>18400</v>
      </c>
      <c r="AA176" s="18">
        <v>0</v>
      </c>
      <c r="AB176" s="18">
        <v>0</v>
      </c>
      <c r="AC176" s="18">
        <v>3500</v>
      </c>
      <c r="AD176" s="18">
        <v>100340</v>
      </c>
      <c r="AE176" s="18">
        <v>76600</v>
      </c>
      <c r="AF176" s="18">
        <v>0</v>
      </c>
      <c r="AG176" s="18">
        <v>0</v>
      </c>
      <c r="AH176" s="18">
        <v>0</v>
      </c>
      <c r="AI176" s="18">
        <v>0</v>
      </c>
      <c r="AJ176" s="18">
        <v>20240</v>
      </c>
      <c r="AK176" s="18">
        <v>0</v>
      </c>
      <c r="AL176" s="18">
        <v>0</v>
      </c>
      <c r="AM176" s="18">
        <v>3500</v>
      </c>
      <c r="AN176" s="18">
        <v>55187</v>
      </c>
      <c r="AO176" s="18">
        <v>0</v>
      </c>
      <c r="AP176" s="18">
        <v>55187</v>
      </c>
    </row>
    <row r="177" spans="1:42" x14ac:dyDescent="0.4">
      <c r="A177" s="17" t="s">
        <v>48</v>
      </c>
      <c r="B177" s="17" t="s">
        <v>81</v>
      </c>
      <c r="C177" s="17" t="s">
        <v>82</v>
      </c>
      <c r="D177" s="17" t="s">
        <v>83</v>
      </c>
      <c r="E177" s="17" t="s">
        <v>84</v>
      </c>
      <c r="F177" s="17" t="s">
        <v>49</v>
      </c>
      <c r="G177" s="17" t="s">
        <v>20</v>
      </c>
      <c r="H177" s="17" t="s">
        <v>21</v>
      </c>
      <c r="I177" s="17" t="s">
        <v>22</v>
      </c>
      <c r="J177" s="17">
        <v>58672980</v>
      </c>
      <c r="K177" s="17" t="s">
        <v>129</v>
      </c>
      <c r="L177" s="17"/>
      <c r="M177" s="17"/>
      <c r="N177" s="17" t="s">
        <v>117</v>
      </c>
      <c r="O177" s="17" t="s">
        <v>23</v>
      </c>
      <c r="P177" s="17">
        <v>0.55000000000000004</v>
      </c>
      <c r="Q177" s="17">
        <v>0.55000000000000004</v>
      </c>
      <c r="R177" s="18" t="s">
        <v>25</v>
      </c>
      <c r="S177" s="18">
        <v>100</v>
      </c>
      <c r="T177" s="18">
        <v>119000</v>
      </c>
      <c r="U177" s="18">
        <v>34250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84750</v>
      </c>
      <c r="AD177" s="18">
        <v>119000</v>
      </c>
      <c r="AE177" s="18">
        <v>34250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84750</v>
      </c>
      <c r="AN177" s="18">
        <v>65450</v>
      </c>
      <c r="AO177" s="18">
        <v>0</v>
      </c>
      <c r="AP177" s="18">
        <v>65450</v>
      </c>
    </row>
    <row r="178" spans="1:42" x14ac:dyDescent="0.4">
      <c r="A178" s="17" t="s">
        <v>48</v>
      </c>
      <c r="B178" s="17" t="s">
        <v>81</v>
      </c>
      <c r="C178" s="17" t="s">
        <v>82</v>
      </c>
      <c r="D178" s="17" t="s">
        <v>83</v>
      </c>
      <c r="E178" s="17" t="s">
        <v>84</v>
      </c>
      <c r="F178" s="17" t="s">
        <v>49</v>
      </c>
      <c r="G178" s="17" t="s">
        <v>20</v>
      </c>
      <c r="H178" s="17" t="s">
        <v>21</v>
      </c>
      <c r="I178" s="17" t="s">
        <v>22</v>
      </c>
      <c r="J178" s="17">
        <v>58672980</v>
      </c>
      <c r="K178" s="17" t="s">
        <v>129</v>
      </c>
      <c r="L178" s="17"/>
      <c r="M178" s="17"/>
      <c r="N178" s="17" t="s">
        <v>117</v>
      </c>
      <c r="O178" s="17" t="s">
        <v>23</v>
      </c>
      <c r="P178" s="17">
        <v>0.55000000000000004</v>
      </c>
      <c r="Q178" s="17">
        <v>0.55000000000000004</v>
      </c>
      <c r="R178" s="18" t="s">
        <v>24</v>
      </c>
      <c r="S178" s="18">
        <v>2400</v>
      </c>
      <c r="T178" s="18">
        <v>30300</v>
      </c>
      <c r="U178" s="18">
        <v>15900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14400</v>
      </c>
      <c r="AD178" s="18">
        <v>30300</v>
      </c>
      <c r="AE178" s="18">
        <v>15900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14400</v>
      </c>
      <c r="AN178" s="18">
        <v>16665</v>
      </c>
      <c r="AO178" s="18">
        <v>0</v>
      </c>
      <c r="AP178" s="18">
        <v>16665</v>
      </c>
    </row>
    <row r="179" spans="1:42" x14ac:dyDescent="0.4">
      <c r="A179" s="17" t="s">
        <v>48</v>
      </c>
      <c r="B179" s="17" t="s">
        <v>81</v>
      </c>
      <c r="C179" s="17" t="s">
        <v>82</v>
      </c>
      <c r="D179" s="17" t="s">
        <v>83</v>
      </c>
      <c r="E179" s="17" t="s">
        <v>84</v>
      </c>
      <c r="F179" s="17" t="s">
        <v>49</v>
      </c>
      <c r="G179" s="17" t="s">
        <v>20</v>
      </c>
      <c r="H179" s="17" t="s">
        <v>21</v>
      </c>
      <c r="I179" s="17" t="s">
        <v>22</v>
      </c>
      <c r="J179" s="17">
        <v>58672980</v>
      </c>
      <c r="K179" s="17" t="s">
        <v>129</v>
      </c>
      <c r="L179" s="17"/>
      <c r="M179" s="17"/>
      <c r="N179" s="17" t="s">
        <v>117</v>
      </c>
      <c r="O179" s="17" t="s">
        <v>23</v>
      </c>
      <c r="P179" s="17">
        <v>0.55000000000000004</v>
      </c>
      <c r="Q179" s="17">
        <v>0.55000000000000004</v>
      </c>
      <c r="R179" s="18" t="s">
        <v>24</v>
      </c>
      <c r="S179" s="18">
        <v>4700</v>
      </c>
      <c r="T179" s="18">
        <v>-1300</v>
      </c>
      <c r="U179" s="18">
        <v>-6000</v>
      </c>
      <c r="V179" s="18">
        <v>0</v>
      </c>
      <c r="W179" s="18">
        <v>0</v>
      </c>
      <c r="X179" s="18">
        <v>0</v>
      </c>
      <c r="Y179" s="18">
        <v>0</v>
      </c>
      <c r="Z179" s="18">
        <v>4700</v>
      </c>
      <c r="AA179" s="18">
        <v>0</v>
      </c>
      <c r="AB179" s="18">
        <v>0</v>
      </c>
      <c r="AC179" s="18">
        <v>0</v>
      </c>
      <c r="AD179" s="18">
        <v>-830</v>
      </c>
      <c r="AE179" s="18">
        <v>-6000</v>
      </c>
      <c r="AF179" s="18">
        <v>0</v>
      </c>
      <c r="AG179" s="18">
        <v>0</v>
      </c>
      <c r="AH179" s="18">
        <v>0</v>
      </c>
      <c r="AI179" s="18">
        <v>0</v>
      </c>
      <c r="AJ179" s="18">
        <v>5170</v>
      </c>
      <c r="AK179" s="18">
        <v>0</v>
      </c>
      <c r="AL179" s="18">
        <v>0</v>
      </c>
      <c r="AM179" s="18">
        <v>0</v>
      </c>
      <c r="AN179" s="18">
        <v>-457</v>
      </c>
      <c r="AO179" s="18">
        <v>0</v>
      </c>
      <c r="AP179" s="18">
        <v>-457</v>
      </c>
    </row>
    <row r="180" spans="1:42" x14ac:dyDescent="0.4">
      <c r="A180" s="17" t="s">
        <v>48</v>
      </c>
      <c r="B180" s="17" t="s">
        <v>81</v>
      </c>
      <c r="C180" s="17" t="s">
        <v>82</v>
      </c>
      <c r="D180" s="17" t="s">
        <v>83</v>
      </c>
      <c r="E180" s="17" t="s">
        <v>84</v>
      </c>
      <c r="F180" s="17" t="s">
        <v>49</v>
      </c>
      <c r="G180" s="17" t="s">
        <v>20</v>
      </c>
      <c r="H180" s="17" t="s">
        <v>21</v>
      </c>
      <c r="I180" s="17" t="s">
        <v>22</v>
      </c>
      <c r="J180" s="17">
        <v>58672980</v>
      </c>
      <c r="K180" s="17" t="s">
        <v>129</v>
      </c>
      <c r="L180" s="17"/>
      <c r="M180" s="17"/>
      <c r="N180" s="17" t="s">
        <v>117</v>
      </c>
      <c r="O180" s="17" t="s">
        <v>23</v>
      </c>
      <c r="P180" s="17">
        <v>0.55000000000000004</v>
      </c>
      <c r="Q180" s="17">
        <v>0.55000000000000004</v>
      </c>
      <c r="R180" s="18" t="s">
        <v>24</v>
      </c>
      <c r="S180" s="18">
        <v>9200</v>
      </c>
      <c r="T180" s="18">
        <v>-1700</v>
      </c>
      <c r="U180" s="18">
        <v>-2600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900</v>
      </c>
      <c r="AD180" s="18">
        <v>-1700</v>
      </c>
      <c r="AE180" s="18">
        <v>-2600</v>
      </c>
      <c r="AF180" s="18">
        <v>0</v>
      </c>
      <c r="AG180" s="18">
        <v>0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900</v>
      </c>
      <c r="AN180" s="18">
        <v>-935</v>
      </c>
      <c r="AO180" s="18">
        <v>0</v>
      </c>
      <c r="AP180" s="18">
        <v>-935</v>
      </c>
    </row>
    <row r="181" spans="1:42" x14ac:dyDescent="0.4">
      <c r="A181" s="17" t="s">
        <v>48</v>
      </c>
      <c r="B181" s="17" t="s">
        <v>81</v>
      </c>
      <c r="C181" s="17" t="s">
        <v>82</v>
      </c>
      <c r="D181" s="17" t="s">
        <v>83</v>
      </c>
      <c r="E181" s="17" t="s">
        <v>84</v>
      </c>
      <c r="F181" s="17" t="s">
        <v>49</v>
      </c>
      <c r="G181" s="17" t="s">
        <v>20</v>
      </c>
      <c r="H181" s="17" t="s">
        <v>21</v>
      </c>
      <c r="I181" s="17" t="s">
        <v>22</v>
      </c>
      <c r="J181" s="17">
        <v>58700868</v>
      </c>
      <c r="K181" s="17" t="s">
        <v>130</v>
      </c>
      <c r="L181" s="17"/>
      <c r="M181" s="17"/>
      <c r="N181" s="17" t="s">
        <v>64</v>
      </c>
      <c r="O181" s="17" t="s">
        <v>23</v>
      </c>
      <c r="P181" s="17">
        <v>0.55000000000000004</v>
      </c>
      <c r="Q181" s="17">
        <v>0.55000000000000004</v>
      </c>
      <c r="R181" s="18" t="s">
        <v>25</v>
      </c>
      <c r="S181" s="18">
        <v>3200</v>
      </c>
      <c r="T181" s="18">
        <v>12800</v>
      </c>
      <c r="U181" s="18">
        <v>12800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12800</v>
      </c>
      <c r="AE181" s="18">
        <v>12800</v>
      </c>
      <c r="AF181" s="18">
        <v>0</v>
      </c>
      <c r="AG181" s="18">
        <v>0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7040</v>
      </c>
      <c r="AO181" s="18">
        <v>0</v>
      </c>
      <c r="AP181" s="18">
        <v>7040</v>
      </c>
    </row>
    <row r="182" spans="1:42" x14ac:dyDescent="0.4">
      <c r="A182" s="17" t="s">
        <v>48</v>
      </c>
      <c r="B182" s="17" t="s">
        <v>81</v>
      </c>
      <c r="C182" s="17" t="s">
        <v>82</v>
      </c>
      <c r="D182" s="17" t="s">
        <v>83</v>
      </c>
      <c r="E182" s="17" t="s">
        <v>84</v>
      </c>
      <c r="F182" s="17" t="s">
        <v>49</v>
      </c>
      <c r="G182" s="17" t="s">
        <v>20</v>
      </c>
      <c r="H182" s="17" t="s">
        <v>21</v>
      </c>
      <c r="I182" s="17" t="s">
        <v>22</v>
      </c>
      <c r="J182" s="17">
        <v>58700970</v>
      </c>
      <c r="K182" s="17" t="s">
        <v>131</v>
      </c>
      <c r="L182" s="17"/>
      <c r="M182" s="17"/>
      <c r="N182" s="17" t="s">
        <v>64</v>
      </c>
      <c r="O182" s="17" t="s">
        <v>23</v>
      </c>
      <c r="P182" s="17">
        <v>0.55000000000000004</v>
      </c>
      <c r="Q182" s="17">
        <v>0.55000000000000004</v>
      </c>
      <c r="R182" s="18" t="s">
        <v>25</v>
      </c>
      <c r="S182" s="18">
        <v>3200</v>
      </c>
      <c r="T182" s="18">
        <v>73600</v>
      </c>
      <c r="U182" s="18">
        <v>69900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3700</v>
      </c>
      <c r="AD182" s="18">
        <v>73600</v>
      </c>
      <c r="AE182" s="18">
        <v>69900</v>
      </c>
      <c r="AF182" s="18">
        <v>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3700</v>
      </c>
      <c r="AN182" s="18">
        <v>40480</v>
      </c>
      <c r="AO182" s="18">
        <v>0</v>
      </c>
      <c r="AP182" s="18">
        <v>40480</v>
      </c>
    </row>
    <row r="183" spans="1:42" x14ac:dyDescent="0.4">
      <c r="A183" s="17" t="s">
        <v>48</v>
      </c>
      <c r="B183" s="17" t="s">
        <v>81</v>
      </c>
      <c r="C183" s="17" t="s">
        <v>82</v>
      </c>
      <c r="D183" s="17" t="s">
        <v>83</v>
      </c>
      <c r="E183" s="17" t="s">
        <v>84</v>
      </c>
      <c r="F183" s="17" t="s">
        <v>49</v>
      </c>
      <c r="G183" s="17" t="s">
        <v>20</v>
      </c>
      <c r="H183" s="17" t="s">
        <v>21</v>
      </c>
      <c r="I183" s="17" t="s">
        <v>22</v>
      </c>
      <c r="J183" s="17">
        <v>58849234</v>
      </c>
      <c r="K183" s="17" t="s">
        <v>132</v>
      </c>
      <c r="L183" s="17"/>
      <c r="M183" s="17"/>
      <c r="N183" s="17" t="s">
        <v>133</v>
      </c>
      <c r="O183" s="17" t="s">
        <v>23</v>
      </c>
      <c r="P183" s="17">
        <v>0.55000000000000004</v>
      </c>
      <c r="Q183" s="17">
        <v>0.55000000000000004</v>
      </c>
      <c r="R183" s="18" t="s">
        <v>25</v>
      </c>
      <c r="S183" s="18">
        <v>100</v>
      </c>
      <c r="T183" s="18">
        <v>4500</v>
      </c>
      <c r="U183" s="18">
        <v>1900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2600</v>
      </c>
      <c r="AD183" s="18">
        <v>4500</v>
      </c>
      <c r="AE183" s="18">
        <v>1900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2600</v>
      </c>
      <c r="AN183" s="18">
        <v>2475</v>
      </c>
      <c r="AO183" s="18">
        <v>0</v>
      </c>
      <c r="AP183" s="18">
        <v>2475</v>
      </c>
    </row>
    <row r="184" spans="1:42" x14ac:dyDescent="0.4">
      <c r="A184" s="17" t="s">
        <v>48</v>
      </c>
      <c r="B184" s="17" t="s">
        <v>81</v>
      </c>
      <c r="C184" s="17" t="s">
        <v>82</v>
      </c>
      <c r="D184" s="17" t="s">
        <v>83</v>
      </c>
      <c r="E184" s="17" t="s">
        <v>84</v>
      </c>
      <c r="F184" s="17" t="s">
        <v>49</v>
      </c>
      <c r="G184" s="17" t="s">
        <v>20</v>
      </c>
      <c r="H184" s="17" t="s">
        <v>21</v>
      </c>
      <c r="I184" s="17" t="s">
        <v>22</v>
      </c>
      <c r="J184" s="17">
        <v>58849234</v>
      </c>
      <c r="K184" s="17" t="s">
        <v>132</v>
      </c>
      <c r="L184" s="17"/>
      <c r="M184" s="17"/>
      <c r="N184" s="17" t="s">
        <v>133</v>
      </c>
      <c r="O184" s="17" t="s">
        <v>23</v>
      </c>
      <c r="P184" s="17">
        <v>0.55000000000000004</v>
      </c>
      <c r="Q184" s="17">
        <v>0.55000000000000004</v>
      </c>
      <c r="R184" s="18" t="s">
        <v>24</v>
      </c>
      <c r="S184" s="18">
        <v>2400</v>
      </c>
      <c r="T184" s="18">
        <v>2400</v>
      </c>
      <c r="U184" s="18">
        <v>2400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2400</v>
      </c>
      <c r="AE184" s="18">
        <v>2400</v>
      </c>
      <c r="AF184" s="18">
        <v>0</v>
      </c>
      <c r="AG184" s="18">
        <v>0</v>
      </c>
      <c r="AH184" s="18">
        <v>0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1320</v>
      </c>
      <c r="AO184" s="18">
        <v>0</v>
      </c>
      <c r="AP184" s="18">
        <v>1320</v>
      </c>
    </row>
    <row r="185" spans="1:42" x14ac:dyDescent="0.4">
      <c r="A185" s="17" t="s">
        <v>48</v>
      </c>
      <c r="B185" s="17" t="s">
        <v>81</v>
      </c>
      <c r="C185" s="17" t="s">
        <v>82</v>
      </c>
      <c r="D185" s="17" t="s">
        <v>83</v>
      </c>
      <c r="E185" s="17" t="s">
        <v>84</v>
      </c>
      <c r="F185" s="17" t="s">
        <v>49</v>
      </c>
      <c r="G185" s="17" t="s">
        <v>20</v>
      </c>
      <c r="H185" s="17" t="s">
        <v>21</v>
      </c>
      <c r="I185" s="17" t="s">
        <v>22</v>
      </c>
      <c r="J185" s="17">
        <v>58849234</v>
      </c>
      <c r="K185" s="17" t="s">
        <v>132</v>
      </c>
      <c r="L185" s="17"/>
      <c r="M185" s="17"/>
      <c r="N185" s="17" t="s">
        <v>133</v>
      </c>
      <c r="O185" s="17" t="s">
        <v>23</v>
      </c>
      <c r="P185" s="17">
        <v>0.55000000000000004</v>
      </c>
      <c r="Q185" s="17">
        <v>0.55000000000000004</v>
      </c>
      <c r="R185" s="18" t="s">
        <v>24</v>
      </c>
      <c r="S185" s="18">
        <v>4700</v>
      </c>
      <c r="T185" s="18">
        <v>9400</v>
      </c>
      <c r="U185" s="18">
        <v>9400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9400</v>
      </c>
      <c r="AE185" s="18">
        <v>9400</v>
      </c>
      <c r="AF185" s="18">
        <v>0</v>
      </c>
      <c r="AG185" s="18">
        <v>0</v>
      </c>
      <c r="AH185" s="18">
        <v>0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5170</v>
      </c>
      <c r="AO185" s="18">
        <v>0</v>
      </c>
      <c r="AP185" s="18">
        <v>5170</v>
      </c>
    </row>
    <row r="186" spans="1:42" x14ac:dyDescent="0.4">
      <c r="A186" s="17" t="s">
        <v>48</v>
      </c>
      <c r="B186" s="17" t="s">
        <v>81</v>
      </c>
      <c r="C186" s="17" t="s">
        <v>82</v>
      </c>
      <c r="D186" s="17" t="s">
        <v>83</v>
      </c>
      <c r="E186" s="17" t="s">
        <v>84</v>
      </c>
      <c r="F186" s="17" t="s">
        <v>49</v>
      </c>
      <c r="G186" s="17" t="s">
        <v>20</v>
      </c>
      <c r="H186" s="17" t="s">
        <v>21</v>
      </c>
      <c r="I186" s="17" t="s">
        <v>22</v>
      </c>
      <c r="J186" s="17">
        <v>58849234</v>
      </c>
      <c r="K186" s="17" t="s">
        <v>132</v>
      </c>
      <c r="L186" s="17"/>
      <c r="M186" s="17"/>
      <c r="N186" s="17" t="s">
        <v>133</v>
      </c>
      <c r="O186" s="17" t="s">
        <v>23</v>
      </c>
      <c r="P186" s="17">
        <v>0.55000000000000004</v>
      </c>
      <c r="Q186" s="17">
        <v>0.55000000000000004</v>
      </c>
      <c r="R186" s="18" t="s">
        <v>24</v>
      </c>
      <c r="S186" s="18">
        <v>9200</v>
      </c>
      <c r="T186" s="18">
        <v>9200</v>
      </c>
      <c r="U186" s="18">
        <v>9200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9200</v>
      </c>
      <c r="AE186" s="18">
        <v>9200</v>
      </c>
      <c r="AF186" s="18">
        <v>0</v>
      </c>
      <c r="AG186" s="18">
        <v>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5060</v>
      </c>
      <c r="AO186" s="18">
        <v>0</v>
      </c>
      <c r="AP186" s="18">
        <v>5060</v>
      </c>
    </row>
    <row r="187" spans="1:42" x14ac:dyDescent="0.4">
      <c r="A187" s="17" t="s">
        <v>48</v>
      </c>
      <c r="B187" s="17" t="s">
        <v>81</v>
      </c>
      <c r="C187" s="17" t="s">
        <v>82</v>
      </c>
      <c r="D187" s="17" t="s">
        <v>83</v>
      </c>
      <c r="E187" s="17" t="s">
        <v>84</v>
      </c>
      <c r="F187" s="17" t="s">
        <v>49</v>
      </c>
      <c r="G187" s="17" t="s">
        <v>20</v>
      </c>
      <c r="H187" s="17" t="s">
        <v>21</v>
      </c>
      <c r="I187" s="17" t="s">
        <v>22</v>
      </c>
      <c r="J187" s="17">
        <v>58867146</v>
      </c>
      <c r="K187" s="17" t="s">
        <v>134</v>
      </c>
      <c r="L187" s="17"/>
      <c r="M187" s="17"/>
      <c r="N187" s="17" t="s">
        <v>135</v>
      </c>
      <c r="O187" s="17" t="s">
        <v>23</v>
      </c>
      <c r="P187" s="17">
        <v>0.55000000000000004</v>
      </c>
      <c r="Q187" s="17">
        <v>0.55000000000000004</v>
      </c>
      <c r="R187" s="18" t="s">
        <v>25</v>
      </c>
      <c r="S187" s="18">
        <v>100</v>
      </c>
      <c r="T187" s="18">
        <v>2534600</v>
      </c>
      <c r="U187" s="18">
        <v>785340</v>
      </c>
      <c r="V187" s="18">
        <v>0</v>
      </c>
      <c r="W187" s="18">
        <v>0</v>
      </c>
      <c r="X187" s="18">
        <v>900</v>
      </c>
      <c r="Y187" s="18">
        <v>6500</v>
      </c>
      <c r="Z187" s="18">
        <v>27900</v>
      </c>
      <c r="AA187" s="18">
        <v>0</v>
      </c>
      <c r="AB187" s="18">
        <v>0</v>
      </c>
      <c r="AC187" s="18">
        <v>1713960</v>
      </c>
      <c r="AD187" s="18">
        <v>2539035.7522999998</v>
      </c>
      <c r="AE187" s="18">
        <v>785340</v>
      </c>
      <c r="AF187" s="18">
        <v>0</v>
      </c>
      <c r="AG187" s="18">
        <v>0</v>
      </c>
      <c r="AH187" s="18">
        <v>1245.7523000000001</v>
      </c>
      <c r="AI187" s="18">
        <v>7800</v>
      </c>
      <c r="AJ187" s="18">
        <v>30690</v>
      </c>
      <c r="AK187" s="18">
        <v>0</v>
      </c>
      <c r="AL187" s="18">
        <v>0</v>
      </c>
      <c r="AM187" s="18">
        <v>1713960</v>
      </c>
      <c r="AN187" s="18">
        <v>1396470</v>
      </c>
      <c r="AO187" s="18">
        <v>0</v>
      </c>
      <c r="AP187" s="18">
        <v>1396470</v>
      </c>
    </row>
    <row r="188" spans="1:42" x14ac:dyDescent="0.4">
      <c r="A188" s="17" t="s">
        <v>48</v>
      </c>
      <c r="B188" s="17" t="s">
        <v>81</v>
      </c>
      <c r="C188" s="17" t="s">
        <v>82</v>
      </c>
      <c r="D188" s="17" t="s">
        <v>83</v>
      </c>
      <c r="E188" s="17" t="s">
        <v>84</v>
      </c>
      <c r="F188" s="17" t="s">
        <v>49</v>
      </c>
      <c r="G188" s="17" t="s">
        <v>20</v>
      </c>
      <c r="H188" s="17" t="s">
        <v>21</v>
      </c>
      <c r="I188" s="17" t="s">
        <v>22</v>
      </c>
      <c r="J188" s="17">
        <v>58867146</v>
      </c>
      <c r="K188" s="17" t="s">
        <v>134</v>
      </c>
      <c r="L188" s="17"/>
      <c r="M188" s="17"/>
      <c r="N188" s="17" t="s">
        <v>135</v>
      </c>
      <c r="O188" s="17" t="s">
        <v>23</v>
      </c>
      <c r="P188" s="17">
        <v>0.55000000000000004</v>
      </c>
      <c r="Q188" s="17">
        <v>0.55000000000000004</v>
      </c>
      <c r="R188" s="18" t="s">
        <v>24</v>
      </c>
      <c r="S188" s="18">
        <v>2400</v>
      </c>
      <c r="T188" s="18">
        <v>1184700</v>
      </c>
      <c r="U188" s="18">
        <v>900880</v>
      </c>
      <c r="V188" s="18">
        <v>0</v>
      </c>
      <c r="W188" s="18">
        <v>0</v>
      </c>
      <c r="X188" s="18">
        <v>0</v>
      </c>
      <c r="Y188" s="18">
        <v>800</v>
      </c>
      <c r="Z188" s="18">
        <v>19630</v>
      </c>
      <c r="AA188" s="18">
        <v>0</v>
      </c>
      <c r="AB188" s="18">
        <v>0</v>
      </c>
      <c r="AC188" s="18">
        <v>263390</v>
      </c>
      <c r="AD188" s="18">
        <v>1186823</v>
      </c>
      <c r="AE188" s="18">
        <v>900880</v>
      </c>
      <c r="AF188" s="18">
        <v>0</v>
      </c>
      <c r="AG188" s="18">
        <v>0</v>
      </c>
      <c r="AH188" s="18">
        <v>0</v>
      </c>
      <c r="AI188" s="18">
        <v>960</v>
      </c>
      <c r="AJ188" s="18">
        <v>21593</v>
      </c>
      <c r="AK188" s="18">
        <v>0</v>
      </c>
      <c r="AL188" s="18">
        <v>0</v>
      </c>
      <c r="AM188" s="18">
        <v>263390</v>
      </c>
      <c r="AN188" s="18">
        <v>652753</v>
      </c>
      <c r="AO188" s="18">
        <v>0</v>
      </c>
      <c r="AP188" s="18">
        <v>652753</v>
      </c>
    </row>
    <row r="189" spans="1:42" x14ac:dyDescent="0.4">
      <c r="A189" s="17" t="s">
        <v>48</v>
      </c>
      <c r="B189" s="17" t="s">
        <v>81</v>
      </c>
      <c r="C189" s="17" t="s">
        <v>82</v>
      </c>
      <c r="D189" s="17" t="s">
        <v>83</v>
      </c>
      <c r="E189" s="17" t="s">
        <v>84</v>
      </c>
      <c r="F189" s="17" t="s">
        <v>49</v>
      </c>
      <c r="G189" s="17" t="s">
        <v>20</v>
      </c>
      <c r="H189" s="17" t="s">
        <v>21</v>
      </c>
      <c r="I189" s="17" t="s">
        <v>22</v>
      </c>
      <c r="J189" s="17">
        <v>58867146</v>
      </c>
      <c r="K189" s="17" t="s">
        <v>134</v>
      </c>
      <c r="L189" s="17"/>
      <c r="M189" s="17"/>
      <c r="N189" s="17" t="s">
        <v>135</v>
      </c>
      <c r="O189" s="17" t="s">
        <v>23</v>
      </c>
      <c r="P189" s="17">
        <v>0.55000000000000004</v>
      </c>
      <c r="Q189" s="17">
        <v>0.55000000000000004</v>
      </c>
      <c r="R189" s="18" t="s">
        <v>24</v>
      </c>
      <c r="S189" s="18">
        <v>4700</v>
      </c>
      <c r="T189" s="18">
        <v>527200</v>
      </c>
      <c r="U189" s="18">
        <v>457500</v>
      </c>
      <c r="V189" s="18">
        <v>0</v>
      </c>
      <c r="W189" s="18">
        <v>0</v>
      </c>
      <c r="X189" s="18">
        <v>0</v>
      </c>
      <c r="Y189" s="18">
        <v>0</v>
      </c>
      <c r="Z189" s="18">
        <v>10300</v>
      </c>
      <c r="AA189" s="18">
        <v>0</v>
      </c>
      <c r="AB189" s="18">
        <v>0</v>
      </c>
      <c r="AC189" s="18">
        <v>59400</v>
      </c>
      <c r="AD189" s="18">
        <v>528230</v>
      </c>
      <c r="AE189" s="18">
        <v>457500</v>
      </c>
      <c r="AF189" s="18">
        <v>0</v>
      </c>
      <c r="AG189" s="18">
        <v>0</v>
      </c>
      <c r="AH189" s="18">
        <v>0</v>
      </c>
      <c r="AI189" s="18">
        <v>0</v>
      </c>
      <c r="AJ189" s="18">
        <v>11330</v>
      </c>
      <c r="AK189" s="18">
        <v>0</v>
      </c>
      <c r="AL189" s="18">
        <v>0</v>
      </c>
      <c r="AM189" s="18">
        <v>59400</v>
      </c>
      <c r="AN189" s="18">
        <v>290527</v>
      </c>
      <c r="AO189" s="18">
        <v>0</v>
      </c>
      <c r="AP189" s="18">
        <v>290527</v>
      </c>
    </row>
    <row r="190" spans="1:42" x14ac:dyDescent="0.4">
      <c r="A190" s="17" t="s">
        <v>48</v>
      </c>
      <c r="B190" s="17" t="s">
        <v>81</v>
      </c>
      <c r="C190" s="17" t="s">
        <v>82</v>
      </c>
      <c r="D190" s="17" t="s">
        <v>83</v>
      </c>
      <c r="E190" s="17" t="s">
        <v>84</v>
      </c>
      <c r="F190" s="17" t="s">
        <v>49</v>
      </c>
      <c r="G190" s="17" t="s">
        <v>20</v>
      </c>
      <c r="H190" s="17" t="s">
        <v>21</v>
      </c>
      <c r="I190" s="17" t="s">
        <v>22</v>
      </c>
      <c r="J190" s="17">
        <v>58867146</v>
      </c>
      <c r="K190" s="17" t="s">
        <v>134</v>
      </c>
      <c r="L190" s="17"/>
      <c r="M190" s="17"/>
      <c r="N190" s="17" t="s">
        <v>135</v>
      </c>
      <c r="O190" s="17" t="s">
        <v>23</v>
      </c>
      <c r="P190" s="17">
        <v>0.55000000000000004</v>
      </c>
      <c r="Q190" s="17">
        <v>0.55000000000000004</v>
      </c>
      <c r="R190" s="18" t="s">
        <v>24</v>
      </c>
      <c r="S190" s="18">
        <v>9200</v>
      </c>
      <c r="T190" s="18">
        <v>613800</v>
      </c>
      <c r="U190" s="18">
        <v>542900</v>
      </c>
      <c r="V190" s="18">
        <v>0</v>
      </c>
      <c r="W190" s="18">
        <v>0</v>
      </c>
      <c r="X190" s="18">
        <v>0</v>
      </c>
      <c r="Y190" s="18">
        <v>0</v>
      </c>
      <c r="Z190" s="18">
        <v>45000</v>
      </c>
      <c r="AA190" s="18">
        <v>0</v>
      </c>
      <c r="AB190" s="18">
        <v>0</v>
      </c>
      <c r="AC190" s="18">
        <v>25900</v>
      </c>
      <c r="AD190" s="18">
        <v>618300</v>
      </c>
      <c r="AE190" s="18">
        <v>542900</v>
      </c>
      <c r="AF190" s="18">
        <v>0</v>
      </c>
      <c r="AG190" s="18">
        <v>0</v>
      </c>
      <c r="AH190" s="18">
        <v>0</v>
      </c>
      <c r="AI190" s="18">
        <v>0</v>
      </c>
      <c r="AJ190" s="18">
        <v>49500</v>
      </c>
      <c r="AK190" s="18">
        <v>0</v>
      </c>
      <c r="AL190" s="18">
        <v>0</v>
      </c>
      <c r="AM190" s="18">
        <v>25900</v>
      </c>
      <c r="AN190" s="18">
        <v>340065</v>
      </c>
      <c r="AO190" s="18">
        <v>0</v>
      </c>
      <c r="AP190" s="18">
        <v>340065</v>
      </c>
    </row>
    <row r="191" spans="1:42" x14ac:dyDescent="0.4">
      <c r="A191" s="17" t="s">
        <v>48</v>
      </c>
      <c r="B191" s="17" t="s">
        <v>81</v>
      </c>
      <c r="C191" s="17" t="s">
        <v>82</v>
      </c>
      <c r="D191" s="17" t="s">
        <v>83</v>
      </c>
      <c r="E191" s="17" t="s">
        <v>84</v>
      </c>
      <c r="F191" s="17" t="s">
        <v>49</v>
      </c>
      <c r="G191" s="17" t="s">
        <v>20</v>
      </c>
      <c r="H191" s="17" t="s">
        <v>21</v>
      </c>
      <c r="I191" s="17" t="s">
        <v>22</v>
      </c>
      <c r="J191" s="17">
        <v>58867146</v>
      </c>
      <c r="K191" s="17" t="s">
        <v>134</v>
      </c>
      <c r="L191" s="17"/>
      <c r="M191" s="17"/>
      <c r="N191" s="17" t="s">
        <v>135</v>
      </c>
      <c r="O191" s="17" t="s">
        <v>23</v>
      </c>
      <c r="P191" s="17">
        <v>0.55000000000000004</v>
      </c>
      <c r="Q191" s="17">
        <v>0.55000000000000004</v>
      </c>
      <c r="R191" s="18" t="s">
        <v>96</v>
      </c>
      <c r="S191" s="18">
        <v>100</v>
      </c>
      <c r="T191" s="18">
        <v>-4500</v>
      </c>
      <c r="U191" s="18">
        <v>-4500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-4500</v>
      </c>
      <c r="AE191" s="18">
        <v>-4500</v>
      </c>
      <c r="AF191" s="18">
        <v>0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-2475</v>
      </c>
      <c r="AO191" s="18">
        <v>0</v>
      </c>
      <c r="AP191" s="18">
        <v>-2475</v>
      </c>
    </row>
    <row r="192" spans="1:42" x14ac:dyDescent="0.4">
      <c r="A192" s="17" t="s">
        <v>48</v>
      </c>
      <c r="B192" s="17" t="s">
        <v>81</v>
      </c>
      <c r="C192" s="17" t="s">
        <v>82</v>
      </c>
      <c r="D192" s="17" t="s">
        <v>83</v>
      </c>
      <c r="E192" s="17" t="s">
        <v>84</v>
      </c>
      <c r="F192" s="17" t="s">
        <v>49</v>
      </c>
      <c r="G192" s="17" t="s">
        <v>20</v>
      </c>
      <c r="H192" s="17" t="s">
        <v>21</v>
      </c>
      <c r="I192" s="17" t="s">
        <v>22</v>
      </c>
      <c r="J192" s="17">
        <v>58878026</v>
      </c>
      <c r="K192" s="17" t="s">
        <v>136</v>
      </c>
      <c r="L192" s="17"/>
      <c r="M192" s="17"/>
      <c r="N192" s="17" t="s">
        <v>137</v>
      </c>
      <c r="O192" s="17" t="s">
        <v>23</v>
      </c>
      <c r="P192" s="17">
        <v>0.55000000000000004</v>
      </c>
      <c r="Q192" s="17">
        <v>0.55000000000000004</v>
      </c>
      <c r="R192" s="18" t="s">
        <v>25</v>
      </c>
      <c r="S192" s="18">
        <v>100</v>
      </c>
      <c r="T192" s="18">
        <v>10800</v>
      </c>
      <c r="U192" s="18">
        <v>9700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1100</v>
      </c>
      <c r="AD192" s="18">
        <v>10800</v>
      </c>
      <c r="AE192" s="18">
        <v>9700</v>
      </c>
      <c r="AF192" s="18">
        <v>0</v>
      </c>
      <c r="AG192" s="18">
        <v>0</v>
      </c>
      <c r="AH192" s="18">
        <v>0</v>
      </c>
      <c r="AI192" s="18">
        <v>0</v>
      </c>
      <c r="AJ192" s="18">
        <v>0</v>
      </c>
      <c r="AK192" s="18">
        <v>0</v>
      </c>
      <c r="AL192" s="18">
        <v>0</v>
      </c>
      <c r="AM192" s="18">
        <v>1100</v>
      </c>
      <c r="AN192" s="18">
        <v>5940</v>
      </c>
      <c r="AO192" s="18">
        <v>0</v>
      </c>
      <c r="AP192" s="18">
        <v>5940</v>
      </c>
    </row>
    <row r="193" spans="1:43" x14ac:dyDescent="0.4">
      <c r="A193" s="17" t="s">
        <v>48</v>
      </c>
      <c r="B193" s="17" t="s">
        <v>81</v>
      </c>
      <c r="C193" s="17" t="s">
        <v>82</v>
      </c>
      <c r="D193" s="17" t="s">
        <v>83</v>
      </c>
      <c r="E193" s="17" t="s">
        <v>84</v>
      </c>
      <c r="F193" s="17" t="s">
        <v>49</v>
      </c>
      <c r="G193" s="17" t="s">
        <v>20</v>
      </c>
      <c r="H193" s="17" t="s">
        <v>21</v>
      </c>
      <c r="I193" s="17" t="s">
        <v>22</v>
      </c>
      <c r="J193" s="17">
        <v>58878026</v>
      </c>
      <c r="K193" s="17" t="s">
        <v>136</v>
      </c>
      <c r="L193" s="17"/>
      <c r="M193" s="17"/>
      <c r="N193" s="17" t="s">
        <v>137</v>
      </c>
      <c r="O193" s="17" t="s">
        <v>23</v>
      </c>
      <c r="P193" s="17">
        <v>0.55000000000000004</v>
      </c>
      <c r="Q193" s="17">
        <v>0.55000000000000004</v>
      </c>
      <c r="R193" s="18" t="s">
        <v>24</v>
      </c>
      <c r="S193" s="18">
        <v>2400</v>
      </c>
      <c r="T193" s="18">
        <v>9600</v>
      </c>
      <c r="U193" s="18">
        <v>7200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2400</v>
      </c>
      <c r="AD193" s="18">
        <v>9600</v>
      </c>
      <c r="AE193" s="18">
        <v>7200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2400</v>
      </c>
      <c r="AN193" s="18">
        <v>5280</v>
      </c>
      <c r="AO193" s="18">
        <v>0</v>
      </c>
      <c r="AP193" s="18">
        <v>5280</v>
      </c>
    </row>
    <row r="194" spans="1:43" x14ac:dyDescent="0.4">
      <c r="A194" s="17" t="s">
        <v>48</v>
      </c>
      <c r="B194" s="17" t="s">
        <v>81</v>
      </c>
      <c r="C194" s="17" t="s">
        <v>82</v>
      </c>
      <c r="D194" s="17" t="s">
        <v>83</v>
      </c>
      <c r="E194" s="17" t="s">
        <v>84</v>
      </c>
      <c r="F194" s="17" t="s">
        <v>49</v>
      </c>
      <c r="G194" s="17" t="s">
        <v>20</v>
      </c>
      <c r="H194" s="17" t="s">
        <v>21</v>
      </c>
      <c r="I194" s="17" t="s">
        <v>22</v>
      </c>
      <c r="J194" s="17">
        <v>58878026</v>
      </c>
      <c r="K194" s="17" t="s">
        <v>136</v>
      </c>
      <c r="L194" s="17"/>
      <c r="M194" s="17"/>
      <c r="N194" s="17" t="s">
        <v>137</v>
      </c>
      <c r="O194" s="17" t="s">
        <v>23</v>
      </c>
      <c r="P194" s="17">
        <v>0.55000000000000004</v>
      </c>
      <c r="Q194" s="17">
        <v>0.55000000000000004</v>
      </c>
      <c r="R194" s="18" t="s">
        <v>24</v>
      </c>
      <c r="S194" s="18">
        <v>4700</v>
      </c>
      <c r="T194" s="18">
        <v>18800</v>
      </c>
      <c r="U194" s="18">
        <v>18800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18800</v>
      </c>
      <c r="AE194" s="18">
        <v>18800</v>
      </c>
      <c r="AF194" s="18">
        <v>0</v>
      </c>
      <c r="AG194" s="18">
        <v>0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10340</v>
      </c>
      <c r="AO194" s="18">
        <v>0</v>
      </c>
      <c r="AP194" s="18">
        <v>10340</v>
      </c>
    </row>
    <row r="195" spans="1:43" x14ac:dyDescent="0.4">
      <c r="A195" s="17" t="s">
        <v>48</v>
      </c>
      <c r="B195" s="17" t="s">
        <v>81</v>
      </c>
      <c r="C195" s="17" t="s">
        <v>82</v>
      </c>
      <c r="D195" s="17" t="s">
        <v>83</v>
      </c>
      <c r="E195" s="17" t="s">
        <v>84</v>
      </c>
      <c r="F195" s="17" t="s">
        <v>49</v>
      </c>
      <c r="G195" s="17" t="s">
        <v>20</v>
      </c>
      <c r="H195" s="17" t="s">
        <v>21</v>
      </c>
      <c r="I195" s="17" t="s">
        <v>22</v>
      </c>
      <c r="J195" s="17">
        <v>58878026</v>
      </c>
      <c r="K195" s="17" t="s">
        <v>136</v>
      </c>
      <c r="L195" s="17"/>
      <c r="M195" s="17"/>
      <c r="N195" s="17" t="s">
        <v>137</v>
      </c>
      <c r="O195" s="17" t="s">
        <v>23</v>
      </c>
      <c r="P195" s="17">
        <v>0.55000000000000004</v>
      </c>
      <c r="Q195" s="17">
        <v>0.55000000000000004</v>
      </c>
      <c r="R195" s="18" t="s">
        <v>24</v>
      </c>
      <c r="S195" s="18">
        <v>9200</v>
      </c>
      <c r="T195" s="18">
        <v>18400</v>
      </c>
      <c r="U195" s="18">
        <v>18400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18400</v>
      </c>
      <c r="AE195" s="18">
        <v>18400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10120</v>
      </c>
      <c r="AO195" s="18">
        <v>0</v>
      </c>
      <c r="AP195" s="18">
        <v>10120</v>
      </c>
    </row>
    <row r="196" spans="1:43" x14ac:dyDescent="0.4">
      <c r="A196" s="17" t="s">
        <v>48</v>
      </c>
      <c r="B196" s="17" t="s">
        <v>81</v>
      </c>
      <c r="C196" s="17" t="s">
        <v>82</v>
      </c>
      <c r="D196" s="17" t="s">
        <v>83</v>
      </c>
      <c r="E196" s="17" t="s">
        <v>84</v>
      </c>
      <c r="F196" s="17" t="s">
        <v>49</v>
      </c>
      <c r="G196" s="17" t="s">
        <v>20</v>
      </c>
      <c r="H196" s="17" t="s">
        <v>21</v>
      </c>
      <c r="I196" s="17" t="s">
        <v>22</v>
      </c>
      <c r="J196" s="17">
        <v>58878532</v>
      </c>
      <c r="K196" s="17" t="s">
        <v>138</v>
      </c>
      <c r="L196" s="17"/>
      <c r="M196" s="17"/>
      <c r="N196" s="17" t="s">
        <v>139</v>
      </c>
      <c r="O196" s="17" t="s">
        <v>23</v>
      </c>
      <c r="P196" s="17">
        <v>0.55000000000000004</v>
      </c>
      <c r="Q196" s="17">
        <v>0.55000000000000004</v>
      </c>
      <c r="R196" s="18" t="s">
        <v>25</v>
      </c>
      <c r="S196" s="18">
        <v>100</v>
      </c>
      <c r="T196" s="18">
        <v>10200</v>
      </c>
      <c r="U196" s="18">
        <v>9900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300</v>
      </c>
      <c r="AD196" s="18">
        <v>10200</v>
      </c>
      <c r="AE196" s="18">
        <v>9900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300</v>
      </c>
      <c r="AN196" s="18">
        <v>5610</v>
      </c>
      <c r="AO196" s="18">
        <v>0</v>
      </c>
      <c r="AP196" s="18">
        <v>5610</v>
      </c>
    </row>
    <row r="197" spans="1:43" x14ac:dyDescent="0.4">
      <c r="A197" s="17" t="s">
        <v>48</v>
      </c>
      <c r="B197" s="17" t="s">
        <v>81</v>
      </c>
      <c r="C197" s="17" t="s">
        <v>82</v>
      </c>
      <c r="D197" s="17" t="s">
        <v>83</v>
      </c>
      <c r="E197" s="17" t="s">
        <v>84</v>
      </c>
      <c r="F197" s="17" t="s">
        <v>49</v>
      </c>
      <c r="G197" s="17" t="s">
        <v>20</v>
      </c>
      <c r="H197" s="17" t="s">
        <v>21</v>
      </c>
      <c r="I197" s="17" t="s">
        <v>22</v>
      </c>
      <c r="J197" s="17">
        <v>58878532</v>
      </c>
      <c r="K197" s="17" t="s">
        <v>138</v>
      </c>
      <c r="L197" s="17"/>
      <c r="M197" s="17"/>
      <c r="N197" s="17" t="s">
        <v>139</v>
      </c>
      <c r="O197" s="17" t="s">
        <v>23</v>
      </c>
      <c r="P197" s="17">
        <v>0.55000000000000004</v>
      </c>
      <c r="Q197" s="17">
        <v>0.55000000000000004</v>
      </c>
      <c r="R197" s="18" t="s">
        <v>24</v>
      </c>
      <c r="S197" s="18">
        <v>2400</v>
      </c>
      <c r="T197" s="18">
        <v>2800</v>
      </c>
      <c r="U197" s="18">
        <v>2300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500</v>
      </c>
      <c r="AD197" s="18">
        <v>2800</v>
      </c>
      <c r="AE197" s="18">
        <v>2300</v>
      </c>
      <c r="AF197" s="18">
        <v>0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500</v>
      </c>
      <c r="AN197" s="18">
        <v>1540</v>
      </c>
      <c r="AO197" s="18">
        <v>0</v>
      </c>
      <c r="AP197" s="18">
        <v>1540</v>
      </c>
    </row>
    <row r="198" spans="1:43" x14ac:dyDescent="0.4">
      <c r="A198" s="17" t="s">
        <v>48</v>
      </c>
      <c r="B198" s="17" t="s">
        <v>81</v>
      </c>
      <c r="C198" s="17" t="s">
        <v>82</v>
      </c>
      <c r="D198" s="17" t="s">
        <v>83</v>
      </c>
      <c r="E198" s="17" t="s">
        <v>84</v>
      </c>
      <c r="F198" s="17" t="s">
        <v>49</v>
      </c>
      <c r="G198" s="17" t="s">
        <v>20</v>
      </c>
      <c r="H198" s="17" t="s">
        <v>21</v>
      </c>
      <c r="I198" s="17" t="s">
        <v>22</v>
      </c>
      <c r="J198" s="17">
        <v>58878532</v>
      </c>
      <c r="K198" s="17" t="s">
        <v>138</v>
      </c>
      <c r="L198" s="17"/>
      <c r="M198" s="17"/>
      <c r="N198" s="17" t="s">
        <v>139</v>
      </c>
      <c r="O198" s="17" t="s">
        <v>23</v>
      </c>
      <c r="P198" s="17">
        <v>0.55000000000000004</v>
      </c>
      <c r="Q198" s="17">
        <v>0.55000000000000004</v>
      </c>
      <c r="R198" s="18" t="s">
        <v>24</v>
      </c>
      <c r="S198" s="18">
        <v>4700</v>
      </c>
      <c r="T198" s="18">
        <v>9400</v>
      </c>
      <c r="U198" s="18">
        <v>9400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9400</v>
      </c>
      <c r="AE198" s="18">
        <v>9400</v>
      </c>
      <c r="AF198" s="18">
        <v>0</v>
      </c>
      <c r="AG198" s="18">
        <v>0</v>
      </c>
      <c r="AH198" s="18">
        <v>0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5170</v>
      </c>
      <c r="AO198" s="18">
        <v>0</v>
      </c>
      <c r="AP198" s="18">
        <v>5170</v>
      </c>
      <c r="AQ198" s="20">
        <f>SUM(AP2:AP198)</f>
        <v>35527161</v>
      </c>
    </row>
    <row r="199" spans="1:43" x14ac:dyDescent="0.4">
      <c r="A199" s="17" t="s">
        <v>48</v>
      </c>
      <c r="B199" s="17" t="s">
        <v>85</v>
      </c>
      <c r="C199" s="17" t="s">
        <v>82</v>
      </c>
      <c r="D199" s="17" t="s">
        <v>85</v>
      </c>
      <c r="E199" s="17" t="s">
        <v>84</v>
      </c>
      <c r="F199" s="17" t="s">
        <v>49</v>
      </c>
      <c r="G199" s="17" t="s">
        <v>20</v>
      </c>
      <c r="H199" s="17" t="s">
        <v>21</v>
      </c>
      <c r="I199" s="17" t="s">
        <v>22</v>
      </c>
      <c r="J199" s="17">
        <v>50875968</v>
      </c>
      <c r="K199" s="17" t="s">
        <v>86</v>
      </c>
      <c r="L199" s="17"/>
      <c r="M199" s="17"/>
      <c r="N199" s="17" t="s">
        <v>87</v>
      </c>
      <c r="O199" s="17" t="s">
        <v>23</v>
      </c>
      <c r="P199" s="17">
        <v>0.55000000000000004</v>
      </c>
      <c r="Q199" s="17">
        <v>0.55000000000000004</v>
      </c>
      <c r="R199" s="18" t="s">
        <v>25</v>
      </c>
      <c r="S199" s="18">
        <v>100</v>
      </c>
      <c r="T199" s="18">
        <v>2978300</v>
      </c>
      <c r="U199" s="18">
        <v>476760</v>
      </c>
      <c r="V199" s="18">
        <v>0</v>
      </c>
      <c r="W199" s="18">
        <v>0</v>
      </c>
      <c r="X199" s="18">
        <v>0</v>
      </c>
      <c r="Y199" s="18">
        <v>6990</v>
      </c>
      <c r="Z199" s="18">
        <v>36960</v>
      </c>
      <c r="AA199" s="18">
        <v>0</v>
      </c>
      <c r="AB199" s="18">
        <v>0</v>
      </c>
      <c r="AC199" s="18">
        <v>2457590</v>
      </c>
      <c r="AD199" s="18">
        <v>2983394</v>
      </c>
      <c r="AE199" s="18">
        <v>476760</v>
      </c>
      <c r="AF199" s="18">
        <v>0</v>
      </c>
      <c r="AG199" s="18">
        <v>0</v>
      </c>
      <c r="AH199" s="18">
        <v>0</v>
      </c>
      <c r="AI199" s="18">
        <v>8388</v>
      </c>
      <c r="AJ199" s="18">
        <v>40656</v>
      </c>
      <c r="AK199" s="18">
        <v>0</v>
      </c>
      <c r="AL199" s="18">
        <v>0</v>
      </c>
      <c r="AM199" s="18">
        <v>2457590</v>
      </c>
      <c r="AN199" s="18">
        <v>1640867</v>
      </c>
      <c r="AO199" s="18">
        <v>0</v>
      </c>
      <c r="AP199" s="18">
        <v>1640867</v>
      </c>
    </row>
    <row r="200" spans="1:43" x14ac:dyDescent="0.4">
      <c r="A200" s="17" t="s">
        <v>48</v>
      </c>
      <c r="B200" s="17" t="s">
        <v>85</v>
      </c>
      <c r="C200" s="17" t="s">
        <v>82</v>
      </c>
      <c r="D200" s="17" t="s">
        <v>85</v>
      </c>
      <c r="E200" s="17" t="s">
        <v>84</v>
      </c>
      <c r="F200" s="17" t="s">
        <v>49</v>
      </c>
      <c r="G200" s="17" t="s">
        <v>20</v>
      </c>
      <c r="H200" s="17" t="s">
        <v>21</v>
      </c>
      <c r="I200" s="17" t="s">
        <v>22</v>
      </c>
      <c r="J200" s="17">
        <v>50875968</v>
      </c>
      <c r="K200" s="17" t="s">
        <v>86</v>
      </c>
      <c r="L200" s="17"/>
      <c r="M200" s="17"/>
      <c r="N200" s="17" t="s">
        <v>87</v>
      </c>
      <c r="O200" s="17" t="s">
        <v>23</v>
      </c>
      <c r="P200" s="17">
        <v>0.55000000000000004</v>
      </c>
      <c r="Q200" s="17">
        <v>0.55000000000000004</v>
      </c>
      <c r="R200" s="18" t="s">
        <v>24</v>
      </c>
      <c r="S200" s="18">
        <v>2400</v>
      </c>
      <c r="T200" s="18">
        <v>2305500</v>
      </c>
      <c r="U200" s="18">
        <v>1462490</v>
      </c>
      <c r="V200" s="18">
        <v>0</v>
      </c>
      <c r="W200" s="18">
        <v>0</v>
      </c>
      <c r="X200" s="18">
        <v>0</v>
      </c>
      <c r="Y200" s="18">
        <v>4000</v>
      </c>
      <c r="Z200" s="18">
        <v>129500</v>
      </c>
      <c r="AA200" s="18">
        <v>0</v>
      </c>
      <c r="AB200" s="18">
        <v>0</v>
      </c>
      <c r="AC200" s="18">
        <v>709510</v>
      </c>
      <c r="AD200" s="18">
        <v>2319250</v>
      </c>
      <c r="AE200" s="18">
        <v>1462490</v>
      </c>
      <c r="AF200" s="18">
        <v>0</v>
      </c>
      <c r="AG200" s="18">
        <v>0</v>
      </c>
      <c r="AH200" s="18">
        <v>0</v>
      </c>
      <c r="AI200" s="18">
        <v>4800</v>
      </c>
      <c r="AJ200" s="18">
        <v>142450</v>
      </c>
      <c r="AK200" s="18">
        <v>0</v>
      </c>
      <c r="AL200" s="18">
        <v>0</v>
      </c>
      <c r="AM200" s="18">
        <v>709510</v>
      </c>
      <c r="AN200" s="18">
        <v>1275588</v>
      </c>
      <c r="AO200" s="18">
        <v>0</v>
      </c>
      <c r="AP200" s="18">
        <v>1275588</v>
      </c>
    </row>
    <row r="201" spans="1:43" x14ac:dyDescent="0.4">
      <c r="A201" s="17" t="s">
        <v>48</v>
      </c>
      <c r="B201" s="17" t="s">
        <v>85</v>
      </c>
      <c r="C201" s="17" t="s">
        <v>82</v>
      </c>
      <c r="D201" s="17" t="s">
        <v>85</v>
      </c>
      <c r="E201" s="17" t="s">
        <v>84</v>
      </c>
      <c r="F201" s="17" t="s">
        <v>49</v>
      </c>
      <c r="G201" s="17" t="s">
        <v>20</v>
      </c>
      <c r="H201" s="17" t="s">
        <v>21</v>
      </c>
      <c r="I201" s="17" t="s">
        <v>22</v>
      </c>
      <c r="J201" s="17">
        <v>50875968</v>
      </c>
      <c r="K201" s="17" t="s">
        <v>86</v>
      </c>
      <c r="L201" s="17"/>
      <c r="M201" s="17"/>
      <c r="N201" s="17" t="s">
        <v>87</v>
      </c>
      <c r="O201" s="17" t="s">
        <v>23</v>
      </c>
      <c r="P201" s="17">
        <v>0.55000000000000004</v>
      </c>
      <c r="Q201" s="17">
        <v>0.55000000000000004</v>
      </c>
      <c r="R201" s="18" t="s">
        <v>24</v>
      </c>
      <c r="S201" s="18">
        <v>9200</v>
      </c>
      <c r="T201" s="18">
        <v>3726800</v>
      </c>
      <c r="U201" s="18">
        <v>2661450</v>
      </c>
      <c r="V201" s="18">
        <v>0</v>
      </c>
      <c r="W201" s="18">
        <v>0</v>
      </c>
      <c r="X201" s="18">
        <v>0</v>
      </c>
      <c r="Y201" s="18">
        <v>1300</v>
      </c>
      <c r="Z201" s="18">
        <v>741630</v>
      </c>
      <c r="AA201" s="18">
        <v>0</v>
      </c>
      <c r="AB201" s="18">
        <v>0</v>
      </c>
      <c r="AC201" s="18">
        <v>322420</v>
      </c>
      <c r="AD201" s="18">
        <v>3801223</v>
      </c>
      <c r="AE201" s="18">
        <v>2661450</v>
      </c>
      <c r="AF201" s="18">
        <v>0</v>
      </c>
      <c r="AG201" s="18">
        <v>0</v>
      </c>
      <c r="AH201" s="18">
        <v>0</v>
      </c>
      <c r="AI201" s="18">
        <v>1560</v>
      </c>
      <c r="AJ201" s="18">
        <v>815793</v>
      </c>
      <c r="AK201" s="18">
        <v>0</v>
      </c>
      <c r="AL201" s="18">
        <v>0</v>
      </c>
      <c r="AM201" s="18">
        <v>322420</v>
      </c>
      <c r="AN201" s="18">
        <v>2090673</v>
      </c>
      <c r="AO201" s="18">
        <v>0</v>
      </c>
      <c r="AP201" s="18">
        <v>2090673</v>
      </c>
    </row>
    <row r="202" spans="1:43" x14ac:dyDescent="0.4">
      <c r="A202" s="17" t="s">
        <v>48</v>
      </c>
      <c r="B202" s="17" t="s">
        <v>85</v>
      </c>
      <c r="C202" s="17" t="s">
        <v>82</v>
      </c>
      <c r="D202" s="17" t="s">
        <v>85</v>
      </c>
      <c r="E202" s="17" t="s">
        <v>84</v>
      </c>
      <c r="F202" s="17" t="s">
        <v>49</v>
      </c>
      <c r="G202" s="17" t="s">
        <v>20</v>
      </c>
      <c r="H202" s="17" t="s">
        <v>21</v>
      </c>
      <c r="I202" s="17" t="s">
        <v>22</v>
      </c>
      <c r="J202" s="17">
        <v>50875968</v>
      </c>
      <c r="K202" s="17" t="s">
        <v>86</v>
      </c>
      <c r="L202" s="17"/>
      <c r="M202" s="17"/>
      <c r="N202" s="17" t="s">
        <v>87</v>
      </c>
      <c r="O202" s="17" t="s">
        <v>23</v>
      </c>
      <c r="P202" s="17">
        <v>0.55000000000000004</v>
      </c>
      <c r="Q202" s="17">
        <v>0.55000000000000004</v>
      </c>
      <c r="R202" s="18" t="s">
        <v>24</v>
      </c>
      <c r="S202" s="18">
        <v>18000</v>
      </c>
      <c r="T202" s="18">
        <v>4435200</v>
      </c>
      <c r="U202" s="18">
        <v>3745080</v>
      </c>
      <c r="V202" s="18">
        <v>0</v>
      </c>
      <c r="W202" s="18">
        <v>0</v>
      </c>
      <c r="X202" s="18">
        <v>0</v>
      </c>
      <c r="Y202" s="18">
        <v>0</v>
      </c>
      <c r="Z202" s="18">
        <v>386080</v>
      </c>
      <c r="AA202" s="18">
        <v>0</v>
      </c>
      <c r="AB202" s="18">
        <v>0</v>
      </c>
      <c r="AC202" s="18">
        <v>304040</v>
      </c>
      <c r="AD202" s="18">
        <v>4473808</v>
      </c>
      <c r="AE202" s="18">
        <v>3745080</v>
      </c>
      <c r="AF202" s="18">
        <v>0</v>
      </c>
      <c r="AG202" s="18">
        <v>0</v>
      </c>
      <c r="AH202" s="18">
        <v>0</v>
      </c>
      <c r="AI202" s="18">
        <v>0</v>
      </c>
      <c r="AJ202" s="18">
        <v>424688</v>
      </c>
      <c r="AK202" s="18">
        <v>0</v>
      </c>
      <c r="AL202" s="18">
        <v>0</v>
      </c>
      <c r="AM202" s="18">
        <v>304040</v>
      </c>
      <c r="AN202" s="18">
        <v>2460594</v>
      </c>
      <c r="AO202" s="18">
        <v>0</v>
      </c>
      <c r="AP202" s="18">
        <v>2460594</v>
      </c>
      <c r="AQ202" s="20">
        <f>SUM(AP199:AP202)</f>
        <v>7467722</v>
      </c>
    </row>
    <row r="203" spans="1:43" x14ac:dyDescent="0.4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6">
        <f>SUM(AP2:AP202)</f>
        <v>42994883</v>
      </c>
    </row>
    <row r="204" spans="1:43" x14ac:dyDescent="0.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 t="s">
        <v>169</v>
      </c>
      <c r="AO204" s="23"/>
      <c r="AP204" s="26">
        <f>청빙!AP16</f>
        <v>257213</v>
      </c>
    </row>
    <row r="205" spans="1:43" x14ac:dyDescent="0.4">
      <c r="A205" s="3" t="s">
        <v>104</v>
      </c>
      <c r="B205" s="4"/>
      <c r="D205" s="5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 t="s">
        <v>170</v>
      </c>
      <c r="AO205" s="16"/>
      <c r="AP205" s="27">
        <f>AP203-AP204</f>
        <v>42737670</v>
      </c>
    </row>
    <row r="206" spans="1:43" x14ac:dyDescent="0.4">
      <c r="A206" s="6" t="s">
        <v>105</v>
      </c>
      <c r="B206" s="6" t="s">
        <v>159</v>
      </c>
      <c r="C206" s="6" t="s">
        <v>106</v>
      </c>
      <c r="D206" s="6" t="s">
        <v>107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</row>
    <row r="207" spans="1:43" x14ac:dyDescent="0.4">
      <c r="A207" s="7">
        <v>201609</v>
      </c>
      <c r="B207" s="8">
        <v>30000000</v>
      </c>
      <c r="C207" s="9">
        <v>4844742.6500000004</v>
      </c>
      <c r="D207" s="10">
        <v>25155257.350000001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</row>
    <row r="208" spans="1:43" x14ac:dyDescent="0.4">
      <c r="A208" s="7">
        <v>201610</v>
      </c>
      <c r="B208" s="11"/>
      <c r="C208" s="9">
        <v>9268344.3076949995</v>
      </c>
      <c r="D208" s="10">
        <v>15886913.042305002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</row>
    <row r="209" spans="1:42" x14ac:dyDescent="0.4">
      <c r="A209" s="7">
        <v>201611</v>
      </c>
      <c r="B209" s="16"/>
      <c r="C209" s="9">
        <v>11457796.785050001</v>
      </c>
      <c r="D209" s="10">
        <v>4429116.257255001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9"/>
    </row>
    <row r="210" spans="1:42" x14ac:dyDescent="0.4">
      <c r="A210" s="7">
        <v>201612</v>
      </c>
      <c r="B210" s="8">
        <v>30000000</v>
      </c>
      <c r="C210" s="9">
        <v>15054099.452095002</v>
      </c>
      <c r="D210" s="10">
        <v>19375016.805160001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9"/>
    </row>
    <row r="211" spans="1:42" x14ac:dyDescent="0.4">
      <c r="A211" s="7">
        <v>201701</v>
      </c>
      <c r="B211" s="8">
        <v>50000000</v>
      </c>
      <c r="C211" s="9">
        <v>45015604.532800004</v>
      </c>
      <c r="D211" s="10">
        <v>24359412.272359997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</row>
    <row r="212" spans="1:42" x14ac:dyDescent="0.4">
      <c r="A212" s="7">
        <v>201702</v>
      </c>
      <c r="B212" s="8">
        <v>100000000</v>
      </c>
      <c r="C212" s="9">
        <v>100014121.31007001</v>
      </c>
      <c r="D212" s="10">
        <v>24345290.962289989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</row>
    <row r="213" spans="1:42" x14ac:dyDescent="0.4">
      <c r="A213" s="7">
        <v>201703</v>
      </c>
      <c r="B213" s="8">
        <v>100000000</v>
      </c>
      <c r="C213" s="9">
        <v>59580616.197355002</v>
      </c>
      <c r="D213" s="10">
        <v>64764674.764934987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</row>
    <row r="214" spans="1:42" x14ac:dyDescent="0.4">
      <c r="A214" s="7">
        <v>201704</v>
      </c>
      <c r="B214" s="8">
        <v>100000000</v>
      </c>
      <c r="C214" s="9">
        <v>101684204.53389001</v>
      </c>
      <c r="D214" s="10">
        <v>63080470.231044978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</row>
    <row r="215" spans="1:42" x14ac:dyDescent="0.4">
      <c r="A215" s="7">
        <v>201705</v>
      </c>
      <c r="B215" s="11"/>
      <c r="C215" s="9">
        <v>57316159.292645007</v>
      </c>
      <c r="D215" s="10">
        <v>5764310.9383999705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</row>
    <row r="216" spans="1:42" x14ac:dyDescent="0.4">
      <c r="A216" s="7">
        <v>201706</v>
      </c>
      <c r="B216" s="8">
        <v>200000000</v>
      </c>
      <c r="C216" s="9">
        <v>57219440.285040006</v>
      </c>
      <c r="D216" s="10">
        <v>148544870.65335995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</row>
    <row r="217" spans="1:42" x14ac:dyDescent="0.4">
      <c r="A217" s="7">
        <v>201707</v>
      </c>
      <c r="B217" s="8"/>
      <c r="C217" s="9">
        <v>75871675.908710018</v>
      </c>
      <c r="D217" s="10">
        <v>72673194.744649932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</row>
    <row r="218" spans="1:42" x14ac:dyDescent="0.4">
      <c r="A218" s="7">
        <v>201708</v>
      </c>
      <c r="B218" s="11"/>
      <c r="C218" s="9">
        <v>66088399.419185005</v>
      </c>
      <c r="D218" s="10">
        <v>6584795.3254649267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</row>
    <row r="219" spans="1:42" x14ac:dyDescent="0.4">
      <c r="A219" s="7">
        <v>201709</v>
      </c>
      <c r="B219" s="8">
        <v>200000000</v>
      </c>
      <c r="C219" s="9">
        <v>60112798.353960007</v>
      </c>
      <c r="D219" s="10">
        <v>146471996.97150493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</row>
    <row r="220" spans="1:42" x14ac:dyDescent="0.4">
      <c r="A220" s="7">
        <v>201710</v>
      </c>
      <c r="B220" s="11"/>
      <c r="C220" s="9">
        <v>46894593.640950002</v>
      </c>
      <c r="D220" s="10">
        <v>99577403.330554932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</row>
    <row r="221" spans="1:42" x14ac:dyDescent="0.4">
      <c r="A221" s="7">
        <v>201711</v>
      </c>
      <c r="B221" s="11"/>
      <c r="C221" s="9">
        <v>66024112.955900006</v>
      </c>
      <c r="D221" s="10">
        <v>33553290.374654926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</row>
    <row r="222" spans="1:42" x14ac:dyDescent="0.4">
      <c r="A222" s="7">
        <v>201712</v>
      </c>
      <c r="B222" s="8">
        <v>200000000</v>
      </c>
      <c r="C222" s="9">
        <v>40631935.900930002</v>
      </c>
      <c r="D222" s="10">
        <v>192921354.4737249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</row>
    <row r="223" spans="1:42" x14ac:dyDescent="0.4">
      <c r="A223" s="7">
        <v>201801</v>
      </c>
      <c r="B223" s="11"/>
      <c r="C223" s="9">
        <v>36581402.520245008</v>
      </c>
      <c r="D223" s="10">
        <v>156339951.95347989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</row>
    <row r="224" spans="1:42" x14ac:dyDescent="0.4">
      <c r="A224" s="7">
        <v>201802</v>
      </c>
      <c r="B224" s="11"/>
      <c r="C224" s="9">
        <v>42645115.28057</v>
      </c>
      <c r="D224" s="10">
        <v>113694836.67290989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</row>
    <row r="225" spans="1:42" x14ac:dyDescent="0.4">
      <c r="A225" s="7">
        <v>201803</v>
      </c>
      <c r="B225" s="11"/>
      <c r="C225" s="9">
        <v>41247525.099440008</v>
      </c>
      <c r="D225" s="10">
        <v>72447311.573469877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</row>
    <row r="226" spans="1:42" x14ac:dyDescent="0.4">
      <c r="A226" s="7">
        <v>201804</v>
      </c>
      <c r="B226" s="8">
        <v>200000000</v>
      </c>
      <c r="C226" s="9">
        <v>152399390.78534499</v>
      </c>
      <c r="D226" s="10">
        <v>120047920.78812489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</row>
    <row r="227" spans="1:42" x14ac:dyDescent="0.4">
      <c r="A227" s="7">
        <v>201805</v>
      </c>
      <c r="B227" s="11"/>
      <c r="C227" s="9">
        <v>87366571.600000009</v>
      </c>
      <c r="D227" s="10">
        <v>32681349.18812488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</row>
    <row r="228" spans="1:42" x14ac:dyDescent="0.4">
      <c r="A228" s="7">
        <v>201806</v>
      </c>
      <c r="B228" s="8">
        <v>200000000</v>
      </c>
      <c r="C228" s="9">
        <v>66794404.714784987</v>
      </c>
      <c r="D228" s="10">
        <v>165886944.47333992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</row>
    <row r="229" spans="1:42" x14ac:dyDescent="0.4">
      <c r="A229" s="7">
        <v>201807</v>
      </c>
      <c r="B229" s="11"/>
      <c r="C229" s="9">
        <v>62689624.759410016</v>
      </c>
      <c r="D229" s="10">
        <v>103197319.71392989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</row>
    <row r="230" spans="1:42" x14ac:dyDescent="0.4">
      <c r="A230" s="7">
        <v>201808</v>
      </c>
      <c r="B230" s="8">
        <v>200000000</v>
      </c>
      <c r="C230" s="9">
        <v>120311735.94005503</v>
      </c>
      <c r="D230" s="10">
        <v>182885583.77387488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</row>
    <row r="231" spans="1:42" x14ac:dyDescent="0.4">
      <c r="A231" s="7">
        <v>201809</v>
      </c>
      <c r="B231" s="11"/>
      <c r="C231" s="9">
        <v>81559062.232505009</v>
      </c>
      <c r="D231" s="10">
        <v>101326521.54136987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</row>
    <row r="232" spans="1:42" x14ac:dyDescent="0.4">
      <c r="A232" s="7">
        <v>201810</v>
      </c>
      <c r="B232" s="11"/>
      <c r="C232" s="9">
        <v>81183985.717174992</v>
      </c>
      <c r="D232" s="10">
        <v>20142535.824194878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</row>
    <row r="233" spans="1:42" x14ac:dyDescent="0.4">
      <c r="A233" s="7">
        <v>201811</v>
      </c>
      <c r="B233" s="8">
        <v>200000000</v>
      </c>
      <c r="C233" s="9">
        <v>72809840</v>
      </c>
      <c r="D233" s="10">
        <v>147332695.82419488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</row>
    <row r="234" spans="1:42" x14ac:dyDescent="0.4">
      <c r="A234" s="7">
        <v>201812</v>
      </c>
      <c r="B234" s="11"/>
      <c r="C234" s="9">
        <v>65111547</v>
      </c>
      <c r="D234" s="10">
        <v>82221148.824194878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</row>
    <row r="235" spans="1:42" x14ac:dyDescent="0.4">
      <c r="A235" s="7">
        <v>201901</v>
      </c>
      <c r="B235" s="11"/>
      <c r="C235" s="8">
        <v>68290939</v>
      </c>
      <c r="D235" s="10">
        <v>13930209.824194878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</row>
    <row r="236" spans="1:42" x14ac:dyDescent="0.4">
      <c r="A236" s="7">
        <v>201902</v>
      </c>
      <c r="B236" s="8">
        <v>200000000</v>
      </c>
      <c r="C236" s="8">
        <v>180236258</v>
      </c>
      <c r="D236" s="10">
        <v>33693951.824194878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</row>
    <row r="237" spans="1:42" x14ac:dyDescent="0.4">
      <c r="A237" s="7">
        <v>201903</v>
      </c>
      <c r="B237" s="8">
        <v>200000000</v>
      </c>
      <c r="C237" s="8">
        <v>112739419</v>
      </c>
      <c r="D237" s="10">
        <v>120954532.82419488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</row>
    <row r="238" spans="1:42" x14ac:dyDescent="0.4">
      <c r="A238" s="7">
        <v>201904</v>
      </c>
      <c r="B238" s="11"/>
      <c r="C238" s="9">
        <v>72214109</v>
      </c>
      <c r="D238" s="10">
        <v>48740423.824194878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</row>
    <row r="239" spans="1:42" x14ac:dyDescent="0.4">
      <c r="A239" s="7">
        <v>201905</v>
      </c>
      <c r="B239" s="8">
        <v>200000000</v>
      </c>
      <c r="C239" s="8">
        <v>105939845</v>
      </c>
      <c r="D239" s="10">
        <v>142800578.82419488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</row>
    <row r="240" spans="1:42" x14ac:dyDescent="0.4">
      <c r="A240" s="7">
        <v>201906</v>
      </c>
      <c r="B240" s="11"/>
      <c r="C240" s="10">
        <v>86581444</v>
      </c>
      <c r="D240" s="10">
        <v>56219134.824194878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</row>
    <row r="241" spans="1:42" x14ac:dyDescent="0.4">
      <c r="A241" s="7">
        <v>201907</v>
      </c>
      <c r="B241" s="8">
        <v>200000000</v>
      </c>
      <c r="C241" s="10">
        <v>82649781</v>
      </c>
      <c r="D241" s="10">
        <v>173569353.82419488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</row>
    <row r="242" spans="1:42" x14ac:dyDescent="0.4">
      <c r="A242" s="7">
        <v>201908</v>
      </c>
      <c r="B242" s="11"/>
      <c r="C242" s="10">
        <v>72909274</v>
      </c>
      <c r="D242" s="10">
        <v>100660079.82419488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</row>
    <row r="243" spans="1:42" x14ac:dyDescent="0.4">
      <c r="A243" s="7">
        <v>201909</v>
      </c>
      <c r="B243" s="8">
        <v>200000000</v>
      </c>
      <c r="C243" s="12">
        <v>98785642</v>
      </c>
      <c r="D243" s="10">
        <v>201874437.82419491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</row>
    <row r="244" spans="1:42" x14ac:dyDescent="0.4">
      <c r="A244" s="7">
        <v>201910</v>
      </c>
      <c r="B244" s="8"/>
      <c r="C244" s="12">
        <v>83622569</v>
      </c>
      <c r="D244" s="10">
        <v>118251869</v>
      </c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</row>
    <row r="245" spans="1:42" x14ac:dyDescent="0.4">
      <c r="A245" s="7">
        <v>201911</v>
      </c>
      <c r="B245" s="11"/>
      <c r="C245" s="8">
        <v>76695377</v>
      </c>
      <c r="D245" s="10">
        <v>41556492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</row>
    <row r="246" spans="1:42" x14ac:dyDescent="0.4">
      <c r="A246" s="7">
        <v>201912</v>
      </c>
      <c r="B246" s="8">
        <v>200000000</v>
      </c>
      <c r="C246" s="8">
        <v>60708584</v>
      </c>
      <c r="D246" s="10">
        <v>180847908</v>
      </c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</row>
    <row r="247" spans="1:42" x14ac:dyDescent="0.4">
      <c r="A247" s="7">
        <v>202001</v>
      </c>
      <c r="B247" s="8"/>
      <c r="C247" s="8">
        <v>101786302</v>
      </c>
      <c r="D247" s="10">
        <v>79061606</v>
      </c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</row>
    <row r="248" spans="1:42" x14ac:dyDescent="0.4">
      <c r="A248" s="7">
        <v>202002</v>
      </c>
      <c r="B248" s="8"/>
      <c r="C248" s="8">
        <v>67250352</v>
      </c>
      <c r="D248" s="10">
        <v>11811254</v>
      </c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</row>
    <row r="249" spans="1:42" x14ac:dyDescent="0.4">
      <c r="A249" s="7">
        <v>202003</v>
      </c>
      <c r="B249" s="8">
        <v>200000000</v>
      </c>
      <c r="C249" s="8">
        <v>57291571</v>
      </c>
      <c r="D249" s="10">
        <v>154519683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</row>
    <row r="250" spans="1:42" x14ac:dyDescent="0.4">
      <c r="A250" s="7">
        <v>202004</v>
      </c>
      <c r="B250" s="8"/>
      <c r="C250" s="8">
        <v>57447601</v>
      </c>
      <c r="D250" s="10">
        <v>97072082</v>
      </c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</row>
    <row r="251" spans="1:42" x14ac:dyDescent="0.4">
      <c r="A251" s="7">
        <v>202005</v>
      </c>
      <c r="B251" s="8"/>
      <c r="C251" s="8">
        <v>57478186</v>
      </c>
      <c r="D251" s="10">
        <v>39593896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</row>
    <row r="252" spans="1:42" x14ac:dyDescent="0.4">
      <c r="A252" s="7">
        <v>202006</v>
      </c>
      <c r="B252" s="8">
        <v>200000000</v>
      </c>
      <c r="C252" s="8">
        <v>48218117</v>
      </c>
      <c r="D252" s="10">
        <v>191375779</v>
      </c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</row>
    <row r="253" spans="1:42" x14ac:dyDescent="0.4">
      <c r="A253" s="7">
        <v>202007</v>
      </c>
      <c r="B253" s="8"/>
      <c r="C253" s="8">
        <v>72488169</v>
      </c>
      <c r="D253" s="10">
        <v>118887610</v>
      </c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</row>
    <row r="254" spans="1:42" x14ac:dyDescent="0.4">
      <c r="A254" s="7">
        <v>202008</v>
      </c>
      <c r="B254" s="8"/>
      <c r="C254" s="8">
        <v>73344648</v>
      </c>
      <c r="D254" s="10">
        <v>45542962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</row>
    <row r="255" spans="1:42" x14ac:dyDescent="0.4">
      <c r="A255" s="7">
        <v>202009</v>
      </c>
      <c r="B255" s="8">
        <v>200000000</v>
      </c>
      <c r="C255" s="8">
        <v>99641095</v>
      </c>
      <c r="D255" s="10">
        <v>145901867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</row>
    <row r="256" spans="1:42" x14ac:dyDescent="0.4">
      <c r="A256" s="7">
        <v>202010</v>
      </c>
      <c r="B256" s="8"/>
      <c r="C256" s="8">
        <v>136602753</v>
      </c>
      <c r="D256" s="10">
        <f>D255-C256</f>
        <v>9299114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</row>
    <row r="257" spans="1:42" x14ac:dyDescent="0.4">
      <c r="A257" s="7">
        <v>202011</v>
      </c>
      <c r="B257" s="8">
        <v>200000000</v>
      </c>
      <c r="C257" s="8">
        <v>96416363</v>
      </c>
      <c r="D257" s="10">
        <f>D256+B257-C257</f>
        <v>112882751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</row>
    <row r="258" spans="1:42" x14ac:dyDescent="0.4">
      <c r="A258" s="7">
        <v>202012</v>
      </c>
      <c r="B258" s="8"/>
      <c r="C258" s="8">
        <v>105762075</v>
      </c>
      <c r="D258" s="10">
        <f>D257+B258-C258</f>
        <v>7120676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</row>
    <row r="259" spans="1:42" x14ac:dyDescent="0.4">
      <c r="A259" s="7">
        <v>202101</v>
      </c>
      <c r="B259" s="8">
        <v>200000000</v>
      </c>
      <c r="C259" s="8">
        <v>115451831</v>
      </c>
      <c r="D259" s="10">
        <f>D258+B259-C259</f>
        <v>91668845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</row>
    <row r="260" spans="1:42" x14ac:dyDescent="0.4">
      <c r="A260" s="7">
        <v>202102</v>
      </c>
      <c r="B260" s="8">
        <v>200000000</v>
      </c>
      <c r="C260" s="8">
        <v>88547720</v>
      </c>
      <c r="D260" s="10">
        <f t="shared" ref="D260:D265" si="0">D259-C260+B260</f>
        <v>203121125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</row>
    <row r="261" spans="1:42" x14ac:dyDescent="0.4">
      <c r="A261" s="7">
        <v>202103</v>
      </c>
      <c r="B261" s="8"/>
      <c r="C261" s="8">
        <v>107891595</v>
      </c>
      <c r="D261" s="10">
        <f t="shared" si="0"/>
        <v>95229530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</row>
    <row r="262" spans="1:42" x14ac:dyDescent="0.4">
      <c r="A262" s="7">
        <v>202104</v>
      </c>
      <c r="B262" s="8"/>
      <c r="C262" s="8">
        <v>81217988</v>
      </c>
      <c r="D262" s="10">
        <f t="shared" si="0"/>
        <v>14011542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</row>
    <row r="263" spans="1:42" x14ac:dyDescent="0.4">
      <c r="A263" s="7">
        <v>202105</v>
      </c>
      <c r="B263" s="8">
        <v>200000000</v>
      </c>
      <c r="C263" s="8">
        <v>60210525</v>
      </c>
      <c r="D263" s="10">
        <f t="shared" si="0"/>
        <v>153801017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</row>
    <row r="264" spans="1:42" x14ac:dyDescent="0.4">
      <c r="A264" s="7">
        <v>202106</v>
      </c>
      <c r="B264" s="8"/>
      <c r="C264" s="8">
        <v>64998315</v>
      </c>
      <c r="D264" s="10">
        <f t="shared" si="0"/>
        <v>88802702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</row>
    <row r="265" spans="1:42" x14ac:dyDescent="0.4">
      <c r="A265" s="7">
        <v>202107</v>
      </c>
      <c r="B265" s="8"/>
      <c r="C265" s="8">
        <v>64596739</v>
      </c>
      <c r="D265" s="10">
        <f t="shared" si="0"/>
        <v>24205963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</row>
    <row r="266" spans="1:42" x14ac:dyDescent="0.4">
      <c r="A266" s="7">
        <v>202108</v>
      </c>
      <c r="B266" s="8">
        <v>200000000</v>
      </c>
      <c r="C266" s="8">
        <v>113362163</v>
      </c>
      <c r="D266" s="10">
        <f>D265+B266-C266</f>
        <v>110843800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</row>
    <row r="267" spans="1:42" x14ac:dyDescent="0.4">
      <c r="A267" s="7">
        <v>202109</v>
      </c>
      <c r="B267" s="8"/>
      <c r="C267" s="8">
        <v>66925972</v>
      </c>
      <c r="D267" s="10">
        <f>D266+B267-C267</f>
        <v>43917828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</row>
    <row r="268" spans="1:42" x14ac:dyDescent="0.4">
      <c r="A268" s="7">
        <v>202110</v>
      </c>
      <c r="B268" s="8">
        <v>200000000</v>
      </c>
      <c r="C268" s="8">
        <v>42491009</v>
      </c>
      <c r="D268" s="10">
        <f>D267+B268-C268</f>
        <v>201426819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</row>
    <row r="269" spans="1:42" x14ac:dyDescent="0.4">
      <c r="A269" s="7">
        <v>202111</v>
      </c>
      <c r="B269" s="8"/>
      <c r="C269" s="8">
        <v>52639811</v>
      </c>
      <c r="D269" s="10">
        <f>D268-C269</f>
        <v>148787008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</row>
    <row r="270" spans="1:42" x14ac:dyDescent="0.4">
      <c r="A270" s="7">
        <v>202112</v>
      </c>
      <c r="B270" s="8"/>
      <c r="C270" s="8">
        <v>44342480</v>
      </c>
      <c r="D270" s="10">
        <f>D269-C270</f>
        <v>104444528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</row>
    <row r="271" spans="1:42" x14ac:dyDescent="0.4">
      <c r="A271" s="7">
        <v>202201</v>
      </c>
      <c r="B271" s="8"/>
      <c r="C271" s="8">
        <v>66231296</v>
      </c>
      <c r="D271" s="10">
        <f>D270-C271</f>
        <v>38213232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</row>
    <row r="272" spans="1:42" x14ac:dyDescent="0.4">
      <c r="A272" s="7">
        <v>202202</v>
      </c>
      <c r="B272" s="8">
        <v>200000000</v>
      </c>
      <c r="C272" s="21">
        <v>62482375</v>
      </c>
      <c r="D272" s="10">
        <f>D271-C272+B272</f>
        <v>175730857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</row>
    <row r="273" spans="1:42" x14ac:dyDescent="0.4">
      <c r="A273" s="7">
        <v>202203</v>
      </c>
      <c r="B273" s="8"/>
      <c r="C273" s="21">
        <v>55007222</v>
      </c>
      <c r="D273" s="10">
        <f>D272-C273+B273</f>
        <v>120723635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</row>
    <row r="274" spans="1:42" x14ac:dyDescent="0.4">
      <c r="A274" s="7">
        <v>202204</v>
      </c>
      <c r="B274" s="8"/>
      <c r="C274" s="22">
        <v>70820685</v>
      </c>
      <c r="D274" s="10">
        <f>D273-C274+B274</f>
        <v>49902950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</row>
    <row r="275" spans="1:42" x14ac:dyDescent="0.4">
      <c r="A275" s="7">
        <v>202205</v>
      </c>
      <c r="B275" s="11"/>
      <c r="C275" s="10">
        <f>AP205</f>
        <v>42737670</v>
      </c>
      <c r="D275" s="10">
        <f>D274-C275+B275</f>
        <v>7165280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</row>
    <row r="276" spans="1:42" x14ac:dyDescent="0.4">
      <c r="A276" s="13" t="s">
        <v>146</v>
      </c>
      <c r="B276" s="14">
        <f>SUM(B207:B275)</f>
        <v>5010000000</v>
      </c>
      <c r="C276" s="14">
        <f>SUM(C207:C275)</f>
        <v>5002834720.1758051</v>
      </c>
      <c r="D276" s="1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P16"/>
  <sheetViews>
    <sheetView workbookViewId="0">
      <selection activeCell="I18" sqref="I1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41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89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51936303</v>
      </c>
      <c r="K2" s="17" t="s">
        <v>73</v>
      </c>
      <c r="L2" s="17"/>
      <c r="M2" s="17"/>
      <c r="N2" s="17" t="s">
        <v>51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112600</v>
      </c>
      <c r="U2" s="18">
        <v>13080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99520</v>
      </c>
      <c r="AD2" s="18">
        <v>112600</v>
      </c>
      <c r="AE2" s="18">
        <v>13080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99520</v>
      </c>
      <c r="AN2" s="18">
        <v>61930</v>
      </c>
      <c r="AO2" s="18">
        <v>0</v>
      </c>
      <c r="AP2" s="18">
        <v>61930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89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51936303</v>
      </c>
      <c r="K3" s="17" t="s">
        <v>73</v>
      </c>
      <c r="L3" s="17"/>
      <c r="M3" s="17"/>
      <c r="N3" s="17" t="s">
        <v>51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60000</v>
      </c>
      <c r="U3" s="18">
        <v>28380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31620</v>
      </c>
      <c r="AD3" s="18">
        <v>60000</v>
      </c>
      <c r="AE3" s="18">
        <v>28380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31620</v>
      </c>
      <c r="AN3" s="18">
        <v>33000</v>
      </c>
      <c r="AO3" s="18">
        <v>0</v>
      </c>
      <c r="AP3" s="18">
        <v>33000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89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51936303</v>
      </c>
      <c r="K4" s="17" t="s">
        <v>73</v>
      </c>
      <c r="L4" s="17"/>
      <c r="M4" s="17"/>
      <c r="N4" s="17" t="s">
        <v>51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92000</v>
      </c>
      <c r="U4" s="18">
        <v>46000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46000</v>
      </c>
      <c r="AD4" s="18">
        <v>92000</v>
      </c>
      <c r="AE4" s="18">
        <v>46000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46000</v>
      </c>
      <c r="AN4" s="18">
        <v>50600</v>
      </c>
      <c r="AO4" s="18">
        <v>0</v>
      </c>
      <c r="AP4" s="18">
        <v>50600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89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51936303</v>
      </c>
      <c r="K5" s="17" t="s">
        <v>73</v>
      </c>
      <c r="L5" s="17"/>
      <c r="M5" s="17"/>
      <c r="N5" s="17" t="s">
        <v>51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36000</v>
      </c>
      <c r="U5" s="18">
        <v>15500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20500</v>
      </c>
      <c r="AD5" s="18">
        <v>36000</v>
      </c>
      <c r="AE5" s="18">
        <v>15500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20500</v>
      </c>
      <c r="AN5" s="18">
        <v>19800</v>
      </c>
      <c r="AO5" s="18">
        <v>0</v>
      </c>
      <c r="AP5" s="18">
        <v>19800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89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54212515</v>
      </c>
      <c r="K6" s="17" t="s">
        <v>50</v>
      </c>
      <c r="L6" s="17"/>
      <c r="M6" s="17"/>
      <c r="N6" s="17" t="s">
        <v>51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100</v>
      </c>
      <c r="T6" s="18">
        <v>29900</v>
      </c>
      <c r="U6" s="18">
        <v>17600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12300</v>
      </c>
      <c r="AD6" s="18">
        <v>29900</v>
      </c>
      <c r="AE6" s="18">
        <v>17600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12300</v>
      </c>
      <c r="AN6" s="18">
        <v>16445</v>
      </c>
      <c r="AO6" s="18">
        <v>0</v>
      </c>
      <c r="AP6" s="18">
        <v>16445</v>
      </c>
    </row>
    <row r="7" spans="1:42" x14ac:dyDescent="0.4">
      <c r="A7" s="17" t="s">
        <v>48</v>
      </c>
      <c r="B7" s="17" t="s">
        <v>81</v>
      </c>
      <c r="C7" s="17" t="s">
        <v>82</v>
      </c>
      <c r="D7" s="17" t="s">
        <v>83</v>
      </c>
      <c r="E7" s="17" t="s">
        <v>89</v>
      </c>
      <c r="F7" s="17" t="s">
        <v>49</v>
      </c>
      <c r="G7" s="17" t="s">
        <v>20</v>
      </c>
      <c r="H7" s="17" t="s">
        <v>21</v>
      </c>
      <c r="I7" s="17" t="s">
        <v>22</v>
      </c>
      <c r="J7" s="17">
        <v>54212515</v>
      </c>
      <c r="K7" s="17" t="s">
        <v>50</v>
      </c>
      <c r="L7" s="17"/>
      <c r="M7" s="17"/>
      <c r="N7" s="17" t="s">
        <v>51</v>
      </c>
      <c r="O7" s="17" t="s">
        <v>23</v>
      </c>
      <c r="P7" s="17">
        <v>0.55000000000000004</v>
      </c>
      <c r="Q7" s="17">
        <v>0.55000000000000004</v>
      </c>
      <c r="R7" s="18" t="s">
        <v>24</v>
      </c>
      <c r="S7" s="18">
        <v>2400</v>
      </c>
      <c r="T7" s="18">
        <v>22500</v>
      </c>
      <c r="U7" s="18">
        <v>20100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2400</v>
      </c>
      <c r="AD7" s="18">
        <v>22500</v>
      </c>
      <c r="AE7" s="18">
        <v>20100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2400</v>
      </c>
      <c r="AN7" s="18">
        <v>12375</v>
      </c>
      <c r="AO7" s="18">
        <v>0</v>
      </c>
      <c r="AP7" s="18">
        <v>12375</v>
      </c>
    </row>
    <row r="8" spans="1:42" x14ac:dyDescent="0.4">
      <c r="A8" s="17" t="s">
        <v>48</v>
      </c>
      <c r="B8" s="17" t="s">
        <v>81</v>
      </c>
      <c r="C8" s="17" t="s">
        <v>82</v>
      </c>
      <c r="D8" s="17" t="s">
        <v>83</v>
      </c>
      <c r="E8" s="17" t="s">
        <v>89</v>
      </c>
      <c r="F8" s="17" t="s">
        <v>49</v>
      </c>
      <c r="G8" s="17" t="s">
        <v>20</v>
      </c>
      <c r="H8" s="17" t="s">
        <v>21</v>
      </c>
      <c r="I8" s="17" t="s">
        <v>22</v>
      </c>
      <c r="J8" s="17">
        <v>54212515</v>
      </c>
      <c r="K8" s="17" t="s">
        <v>50</v>
      </c>
      <c r="L8" s="17"/>
      <c r="M8" s="17"/>
      <c r="N8" s="17" t="s">
        <v>51</v>
      </c>
      <c r="O8" s="17" t="s">
        <v>23</v>
      </c>
      <c r="P8" s="17">
        <v>0.55000000000000004</v>
      </c>
      <c r="Q8" s="17">
        <v>0.55000000000000004</v>
      </c>
      <c r="R8" s="18" t="s">
        <v>24</v>
      </c>
      <c r="S8" s="18">
        <v>9200</v>
      </c>
      <c r="T8" s="18">
        <v>33000</v>
      </c>
      <c r="U8" s="18">
        <v>23800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9200</v>
      </c>
      <c r="AD8" s="18">
        <v>33000</v>
      </c>
      <c r="AE8" s="18">
        <v>23800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9200</v>
      </c>
      <c r="AN8" s="18">
        <v>18150</v>
      </c>
      <c r="AO8" s="18">
        <v>0</v>
      </c>
      <c r="AP8" s="18">
        <v>18150</v>
      </c>
    </row>
    <row r="9" spans="1:42" x14ac:dyDescent="0.4">
      <c r="A9" s="17" t="s">
        <v>48</v>
      </c>
      <c r="B9" s="17" t="s">
        <v>81</v>
      </c>
      <c r="C9" s="17" t="s">
        <v>82</v>
      </c>
      <c r="D9" s="17" t="s">
        <v>83</v>
      </c>
      <c r="E9" s="17" t="s">
        <v>89</v>
      </c>
      <c r="F9" s="17" t="s">
        <v>49</v>
      </c>
      <c r="G9" s="17" t="s">
        <v>20</v>
      </c>
      <c r="H9" s="17" t="s">
        <v>21</v>
      </c>
      <c r="I9" s="17" t="s">
        <v>22</v>
      </c>
      <c r="J9" s="17">
        <v>54212515</v>
      </c>
      <c r="K9" s="17" t="s">
        <v>50</v>
      </c>
      <c r="L9" s="17"/>
      <c r="M9" s="17"/>
      <c r="N9" s="17" t="s">
        <v>51</v>
      </c>
      <c r="O9" s="17" t="s">
        <v>23</v>
      </c>
      <c r="P9" s="17">
        <v>0.55000000000000004</v>
      </c>
      <c r="Q9" s="17">
        <v>0.55000000000000004</v>
      </c>
      <c r="R9" s="18" t="s">
        <v>24</v>
      </c>
      <c r="S9" s="18">
        <v>18000</v>
      </c>
      <c r="T9" s="18">
        <v>-46600</v>
      </c>
      <c r="U9" s="18">
        <v>-33300</v>
      </c>
      <c r="V9" s="18">
        <v>0</v>
      </c>
      <c r="W9" s="18">
        <v>0</v>
      </c>
      <c r="X9" s="18">
        <v>0</v>
      </c>
      <c r="Y9" s="18">
        <v>-100</v>
      </c>
      <c r="Z9" s="18">
        <v>-13200</v>
      </c>
      <c r="AA9" s="18">
        <v>0</v>
      </c>
      <c r="AB9" s="18">
        <v>0</v>
      </c>
      <c r="AC9" s="18">
        <v>0</v>
      </c>
      <c r="AD9" s="18">
        <v>-47940</v>
      </c>
      <c r="AE9" s="18">
        <v>-33300</v>
      </c>
      <c r="AF9" s="18">
        <v>0</v>
      </c>
      <c r="AG9" s="18">
        <v>0</v>
      </c>
      <c r="AH9" s="18">
        <v>0</v>
      </c>
      <c r="AI9" s="18">
        <v>-120</v>
      </c>
      <c r="AJ9" s="18">
        <v>-14520</v>
      </c>
      <c r="AK9" s="18">
        <v>0</v>
      </c>
      <c r="AL9" s="18">
        <v>0</v>
      </c>
      <c r="AM9" s="18">
        <v>0</v>
      </c>
      <c r="AN9" s="18">
        <v>-26367</v>
      </c>
      <c r="AO9" s="18">
        <v>0</v>
      </c>
      <c r="AP9" s="18">
        <v>-26367</v>
      </c>
    </row>
    <row r="10" spans="1:42" x14ac:dyDescent="0.4">
      <c r="A10" s="17" t="s">
        <v>48</v>
      </c>
      <c r="B10" s="17" t="s">
        <v>81</v>
      </c>
      <c r="C10" s="17" t="s">
        <v>82</v>
      </c>
      <c r="D10" s="17" t="s">
        <v>83</v>
      </c>
      <c r="E10" s="17" t="s">
        <v>89</v>
      </c>
      <c r="F10" s="17" t="s">
        <v>49</v>
      </c>
      <c r="G10" s="17" t="s">
        <v>20</v>
      </c>
      <c r="H10" s="17" t="s">
        <v>21</v>
      </c>
      <c r="I10" s="17" t="s">
        <v>22</v>
      </c>
      <c r="J10" s="17">
        <v>56380069</v>
      </c>
      <c r="K10" s="17" t="s">
        <v>103</v>
      </c>
      <c r="L10" s="17"/>
      <c r="M10" s="17"/>
      <c r="N10" s="17" t="s">
        <v>51</v>
      </c>
      <c r="O10" s="17" t="s">
        <v>23</v>
      </c>
      <c r="P10" s="17">
        <v>0.55000000000000004</v>
      </c>
      <c r="Q10" s="17">
        <v>0.55000000000000004</v>
      </c>
      <c r="R10" s="18" t="s">
        <v>25</v>
      </c>
      <c r="S10" s="18">
        <v>100</v>
      </c>
      <c r="T10" s="18">
        <v>19900</v>
      </c>
      <c r="U10" s="18">
        <v>4900</v>
      </c>
      <c r="V10" s="18">
        <v>0</v>
      </c>
      <c r="W10" s="18">
        <v>0</v>
      </c>
      <c r="X10" s="18">
        <v>0</v>
      </c>
      <c r="Y10" s="18">
        <v>0</v>
      </c>
      <c r="Z10" s="18">
        <v>800</v>
      </c>
      <c r="AA10" s="18">
        <v>0</v>
      </c>
      <c r="AB10" s="18">
        <v>0</v>
      </c>
      <c r="AC10" s="18">
        <v>14200</v>
      </c>
      <c r="AD10" s="18">
        <v>19980</v>
      </c>
      <c r="AE10" s="18">
        <v>4900</v>
      </c>
      <c r="AF10" s="18">
        <v>0</v>
      </c>
      <c r="AG10" s="18">
        <v>0</v>
      </c>
      <c r="AH10" s="18">
        <v>0</v>
      </c>
      <c r="AI10" s="18">
        <v>0</v>
      </c>
      <c r="AJ10" s="18">
        <v>880</v>
      </c>
      <c r="AK10" s="18">
        <v>0</v>
      </c>
      <c r="AL10" s="18">
        <v>0</v>
      </c>
      <c r="AM10" s="18">
        <v>14200</v>
      </c>
      <c r="AN10" s="18">
        <v>10989</v>
      </c>
      <c r="AO10" s="18">
        <v>0</v>
      </c>
      <c r="AP10" s="18">
        <v>10989</v>
      </c>
    </row>
    <row r="11" spans="1:42" x14ac:dyDescent="0.4">
      <c r="A11" s="17" t="s">
        <v>48</v>
      </c>
      <c r="B11" s="17" t="s">
        <v>81</v>
      </c>
      <c r="C11" s="17" t="s">
        <v>82</v>
      </c>
      <c r="D11" s="17" t="s">
        <v>83</v>
      </c>
      <c r="E11" s="17" t="s">
        <v>89</v>
      </c>
      <c r="F11" s="17" t="s">
        <v>49</v>
      </c>
      <c r="G11" s="17" t="s">
        <v>20</v>
      </c>
      <c r="H11" s="17" t="s">
        <v>21</v>
      </c>
      <c r="I11" s="17" t="s">
        <v>22</v>
      </c>
      <c r="J11" s="17">
        <v>56380069</v>
      </c>
      <c r="K11" s="17" t="s">
        <v>103</v>
      </c>
      <c r="L11" s="17"/>
      <c r="M11" s="17"/>
      <c r="N11" s="17" t="s">
        <v>51</v>
      </c>
      <c r="O11" s="17" t="s">
        <v>23</v>
      </c>
      <c r="P11" s="17">
        <v>0.55000000000000004</v>
      </c>
      <c r="Q11" s="17">
        <v>0.55000000000000004</v>
      </c>
      <c r="R11" s="18" t="s">
        <v>24</v>
      </c>
      <c r="S11" s="18">
        <v>2400</v>
      </c>
      <c r="T11" s="18">
        <v>33600</v>
      </c>
      <c r="U11" s="18">
        <v>28300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5300</v>
      </c>
      <c r="AD11" s="18">
        <v>33600</v>
      </c>
      <c r="AE11" s="18">
        <v>28300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5300</v>
      </c>
      <c r="AN11" s="18">
        <v>18480</v>
      </c>
      <c r="AO11" s="18">
        <v>0</v>
      </c>
      <c r="AP11" s="18">
        <v>18480</v>
      </c>
    </row>
    <row r="12" spans="1:42" x14ac:dyDescent="0.4">
      <c r="A12" s="17" t="s">
        <v>48</v>
      </c>
      <c r="B12" s="17" t="s">
        <v>81</v>
      </c>
      <c r="C12" s="17" t="s">
        <v>82</v>
      </c>
      <c r="D12" s="17" t="s">
        <v>83</v>
      </c>
      <c r="E12" s="17" t="s">
        <v>89</v>
      </c>
      <c r="F12" s="17" t="s">
        <v>49</v>
      </c>
      <c r="G12" s="17" t="s">
        <v>20</v>
      </c>
      <c r="H12" s="17" t="s">
        <v>21</v>
      </c>
      <c r="I12" s="17" t="s">
        <v>22</v>
      </c>
      <c r="J12" s="17">
        <v>56380069</v>
      </c>
      <c r="K12" s="17" t="s">
        <v>103</v>
      </c>
      <c r="L12" s="17"/>
      <c r="M12" s="17"/>
      <c r="N12" s="17" t="s">
        <v>51</v>
      </c>
      <c r="O12" s="17" t="s">
        <v>23</v>
      </c>
      <c r="P12" s="17">
        <v>0.55000000000000004</v>
      </c>
      <c r="Q12" s="17">
        <v>0.55000000000000004</v>
      </c>
      <c r="R12" s="18" t="s">
        <v>24</v>
      </c>
      <c r="S12" s="18">
        <v>9200</v>
      </c>
      <c r="T12" s="18">
        <v>21200</v>
      </c>
      <c r="U12" s="18">
        <v>11500</v>
      </c>
      <c r="V12" s="18">
        <v>0</v>
      </c>
      <c r="W12" s="18">
        <v>0</v>
      </c>
      <c r="X12" s="18">
        <v>0</v>
      </c>
      <c r="Y12" s="18">
        <v>0</v>
      </c>
      <c r="Z12" s="18">
        <v>9200</v>
      </c>
      <c r="AA12" s="18">
        <v>0</v>
      </c>
      <c r="AB12" s="18">
        <v>0</v>
      </c>
      <c r="AC12" s="18">
        <v>500</v>
      </c>
      <c r="AD12" s="18">
        <v>22120</v>
      </c>
      <c r="AE12" s="18">
        <v>11500</v>
      </c>
      <c r="AF12" s="18">
        <v>0</v>
      </c>
      <c r="AG12" s="18">
        <v>0</v>
      </c>
      <c r="AH12" s="18">
        <v>0</v>
      </c>
      <c r="AI12" s="18">
        <v>0</v>
      </c>
      <c r="AJ12" s="18">
        <v>10120</v>
      </c>
      <c r="AK12" s="18">
        <v>0</v>
      </c>
      <c r="AL12" s="18">
        <v>0</v>
      </c>
      <c r="AM12" s="18">
        <v>500</v>
      </c>
      <c r="AN12" s="18">
        <v>12166</v>
      </c>
      <c r="AO12" s="18">
        <v>0</v>
      </c>
      <c r="AP12" s="18">
        <v>12166</v>
      </c>
    </row>
    <row r="13" spans="1:42" x14ac:dyDescent="0.4">
      <c r="A13" s="17" t="s">
        <v>48</v>
      </c>
      <c r="B13" s="17" t="s">
        <v>81</v>
      </c>
      <c r="C13" s="17" t="s">
        <v>82</v>
      </c>
      <c r="D13" s="17" t="s">
        <v>83</v>
      </c>
      <c r="E13" s="17" t="s">
        <v>89</v>
      </c>
      <c r="F13" s="17" t="s">
        <v>49</v>
      </c>
      <c r="G13" s="17" t="s">
        <v>20</v>
      </c>
      <c r="H13" s="17" t="s">
        <v>21</v>
      </c>
      <c r="I13" s="17" t="s">
        <v>22</v>
      </c>
      <c r="J13" s="17">
        <v>56380069</v>
      </c>
      <c r="K13" s="17" t="s">
        <v>103</v>
      </c>
      <c r="L13" s="17"/>
      <c r="M13" s="17"/>
      <c r="N13" s="17" t="s">
        <v>51</v>
      </c>
      <c r="O13" s="17" t="s">
        <v>23</v>
      </c>
      <c r="P13" s="17">
        <v>0.55000000000000004</v>
      </c>
      <c r="Q13" s="17">
        <v>0.55000000000000004</v>
      </c>
      <c r="R13" s="18" t="s">
        <v>24</v>
      </c>
      <c r="S13" s="18">
        <v>18000</v>
      </c>
      <c r="T13" s="18">
        <v>15500</v>
      </c>
      <c r="U13" s="18">
        <v>15500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15500</v>
      </c>
      <c r="AE13" s="18">
        <v>15500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8525</v>
      </c>
      <c r="AO13" s="18">
        <v>0</v>
      </c>
      <c r="AP13" s="18">
        <v>8525</v>
      </c>
    </row>
    <row r="14" spans="1:42" x14ac:dyDescent="0.4">
      <c r="A14" s="17" t="s">
        <v>48</v>
      </c>
      <c r="B14" s="17" t="s">
        <v>81</v>
      </c>
      <c r="C14" s="17" t="s">
        <v>82</v>
      </c>
      <c r="D14" s="17" t="s">
        <v>83</v>
      </c>
      <c r="E14" s="17" t="s">
        <v>89</v>
      </c>
      <c r="F14" s="17" t="s">
        <v>49</v>
      </c>
      <c r="G14" s="17" t="s">
        <v>20</v>
      </c>
      <c r="H14" s="17" t="s">
        <v>21</v>
      </c>
      <c r="I14" s="17" t="s">
        <v>22</v>
      </c>
      <c r="J14" s="17">
        <v>56766662</v>
      </c>
      <c r="K14" s="17" t="s">
        <v>163</v>
      </c>
      <c r="L14" s="17"/>
      <c r="M14" s="17"/>
      <c r="N14" s="17" t="s">
        <v>51</v>
      </c>
      <c r="O14" s="17" t="s">
        <v>23</v>
      </c>
      <c r="P14" s="17">
        <v>0.55000000000000004</v>
      </c>
      <c r="Q14" s="17">
        <v>0.55000000000000004</v>
      </c>
      <c r="R14" s="18" t="s">
        <v>25</v>
      </c>
      <c r="S14" s="18">
        <v>3200</v>
      </c>
      <c r="T14" s="18">
        <v>9600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9600</v>
      </c>
      <c r="AD14" s="18">
        <v>9600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9600</v>
      </c>
      <c r="AN14" s="18">
        <v>5280</v>
      </c>
      <c r="AO14" s="18">
        <v>0</v>
      </c>
      <c r="AP14" s="18">
        <v>5280</v>
      </c>
    </row>
    <row r="15" spans="1:42" x14ac:dyDescent="0.4">
      <c r="A15" s="17" t="s">
        <v>48</v>
      </c>
      <c r="B15" s="17" t="s">
        <v>81</v>
      </c>
      <c r="C15" s="17" t="s">
        <v>82</v>
      </c>
      <c r="D15" s="17" t="s">
        <v>83</v>
      </c>
      <c r="E15" s="17" t="s">
        <v>89</v>
      </c>
      <c r="F15" s="17" t="s">
        <v>49</v>
      </c>
      <c r="G15" s="17" t="s">
        <v>20</v>
      </c>
      <c r="H15" s="17" t="s">
        <v>21</v>
      </c>
      <c r="I15" s="17" t="s">
        <v>22</v>
      </c>
      <c r="J15" s="17">
        <v>56976917</v>
      </c>
      <c r="K15" s="17" t="s">
        <v>164</v>
      </c>
      <c r="L15" s="17"/>
      <c r="M15" s="17"/>
      <c r="N15" s="17" t="s">
        <v>51</v>
      </c>
      <c r="O15" s="17" t="s">
        <v>23</v>
      </c>
      <c r="P15" s="17">
        <v>0.55000000000000004</v>
      </c>
      <c r="Q15" s="17">
        <v>0.55000000000000004</v>
      </c>
      <c r="R15" s="18" t="s">
        <v>25</v>
      </c>
      <c r="S15" s="18">
        <v>3200</v>
      </c>
      <c r="T15" s="18">
        <v>28800</v>
      </c>
      <c r="U15" s="18">
        <v>28800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28800</v>
      </c>
      <c r="AE15" s="18">
        <v>28800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15840</v>
      </c>
      <c r="AO15" s="18">
        <v>0</v>
      </c>
      <c r="AP15" s="18">
        <v>15840</v>
      </c>
    </row>
    <row r="16" spans="1:42" x14ac:dyDescent="0.4">
      <c r="AP16" s="25">
        <f>SUM(AP2:AP15)</f>
        <v>257213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58879051</v>
      </c>
      <c r="K2" s="17" t="s">
        <v>140</v>
      </c>
      <c r="L2" s="17"/>
      <c r="M2" s="17"/>
      <c r="N2" s="17" t="s">
        <v>141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31000</v>
      </c>
      <c r="U2" s="18">
        <v>20700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10300</v>
      </c>
      <c r="AD2" s="18">
        <v>31000</v>
      </c>
      <c r="AE2" s="18">
        <v>20700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10300</v>
      </c>
      <c r="AN2" s="18">
        <v>17050</v>
      </c>
      <c r="AO2" s="18">
        <v>0</v>
      </c>
      <c r="AP2" s="18">
        <v>17050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58879051</v>
      </c>
      <c r="K3" s="17" t="s">
        <v>140</v>
      </c>
      <c r="L3" s="17"/>
      <c r="M3" s="17"/>
      <c r="N3" s="17" t="s">
        <v>141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104500</v>
      </c>
      <c r="U3" s="18">
        <v>100600</v>
      </c>
      <c r="V3" s="18">
        <v>0</v>
      </c>
      <c r="W3" s="18">
        <v>0</v>
      </c>
      <c r="X3" s="18">
        <v>0</v>
      </c>
      <c r="Y3" s="18">
        <v>0</v>
      </c>
      <c r="Z3" s="18">
        <v>2400</v>
      </c>
      <c r="AA3" s="18">
        <v>0</v>
      </c>
      <c r="AB3" s="18">
        <v>0</v>
      </c>
      <c r="AC3" s="18">
        <v>1500</v>
      </c>
      <c r="AD3" s="18">
        <v>104740</v>
      </c>
      <c r="AE3" s="18">
        <v>100600</v>
      </c>
      <c r="AF3" s="18">
        <v>0</v>
      </c>
      <c r="AG3" s="18">
        <v>0</v>
      </c>
      <c r="AH3" s="18">
        <v>0</v>
      </c>
      <c r="AI3" s="18">
        <v>0</v>
      </c>
      <c r="AJ3" s="18">
        <v>2640</v>
      </c>
      <c r="AK3" s="18">
        <v>0</v>
      </c>
      <c r="AL3" s="18">
        <v>0</v>
      </c>
      <c r="AM3" s="18">
        <v>1500</v>
      </c>
      <c r="AN3" s="18">
        <v>57607</v>
      </c>
      <c r="AO3" s="18">
        <v>0</v>
      </c>
      <c r="AP3" s="18">
        <v>57607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58879051</v>
      </c>
      <c r="K4" s="17" t="s">
        <v>140</v>
      </c>
      <c r="L4" s="17"/>
      <c r="M4" s="17"/>
      <c r="N4" s="17" t="s">
        <v>141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20300</v>
      </c>
      <c r="U4" s="18">
        <v>18800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1500</v>
      </c>
      <c r="AD4" s="18">
        <v>20300</v>
      </c>
      <c r="AE4" s="18">
        <v>18800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1500</v>
      </c>
      <c r="AN4" s="18">
        <v>11165</v>
      </c>
      <c r="AO4" s="18">
        <v>0</v>
      </c>
      <c r="AP4" s="18">
        <v>11165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58879051</v>
      </c>
      <c r="K5" s="17" t="s">
        <v>140</v>
      </c>
      <c r="L5" s="17"/>
      <c r="M5" s="17"/>
      <c r="N5" s="17" t="s">
        <v>141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64400</v>
      </c>
      <c r="U5" s="18">
        <v>64400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64400</v>
      </c>
      <c r="AE5" s="18">
        <v>64400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35420</v>
      </c>
      <c r="AO5" s="18">
        <v>0</v>
      </c>
      <c r="AP5" s="18">
        <v>35420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58879641</v>
      </c>
      <c r="K2" s="17" t="s">
        <v>142</v>
      </c>
      <c r="L2" s="17"/>
      <c r="M2" s="17"/>
      <c r="N2" s="17" t="s">
        <v>143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24300</v>
      </c>
      <c r="U2" s="18">
        <v>8300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16000</v>
      </c>
      <c r="AD2" s="18">
        <v>24300</v>
      </c>
      <c r="AE2" s="18">
        <v>8300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16000</v>
      </c>
      <c r="AN2" s="18">
        <v>13365</v>
      </c>
      <c r="AO2" s="18">
        <v>0</v>
      </c>
      <c r="AP2" s="18">
        <v>13365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58879641</v>
      </c>
      <c r="K3" s="17" t="s">
        <v>142</v>
      </c>
      <c r="L3" s="17"/>
      <c r="M3" s="17"/>
      <c r="N3" s="17" t="s">
        <v>143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4700</v>
      </c>
      <c r="T3" s="18">
        <v>-1400</v>
      </c>
      <c r="U3" s="18">
        <v>-1400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-1400</v>
      </c>
      <c r="AE3" s="18">
        <v>-1400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-770</v>
      </c>
      <c r="AO3" s="18">
        <v>0</v>
      </c>
      <c r="AP3" s="18">
        <v>-770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58880409</v>
      </c>
      <c r="K2" s="17" t="s">
        <v>144</v>
      </c>
      <c r="L2" s="17"/>
      <c r="M2" s="17"/>
      <c r="N2" s="17" t="s">
        <v>145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2000</v>
      </c>
      <c r="U2" s="18">
        <v>200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1800</v>
      </c>
      <c r="AD2" s="18">
        <v>2000</v>
      </c>
      <c r="AE2" s="18">
        <v>200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1800</v>
      </c>
      <c r="AN2" s="18">
        <v>1100</v>
      </c>
      <c r="AO2" s="18">
        <v>0</v>
      </c>
      <c r="AP2" s="18">
        <v>1100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58880409</v>
      </c>
      <c r="K3" s="17" t="s">
        <v>144</v>
      </c>
      <c r="L3" s="17"/>
      <c r="M3" s="17"/>
      <c r="N3" s="17" t="s">
        <v>145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2300</v>
      </c>
      <c r="U3" s="18">
        <v>-100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2400</v>
      </c>
      <c r="AD3" s="18">
        <v>2300</v>
      </c>
      <c r="AE3" s="18">
        <v>-100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2400</v>
      </c>
      <c r="AN3" s="18">
        <v>1265</v>
      </c>
      <c r="AO3" s="18">
        <v>0</v>
      </c>
      <c r="AP3" s="18">
        <v>1265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51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58963948</v>
      </c>
      <c r="K2" s="17" t="s">
        <v>147</v>
      </c>
      <c r="L2" s="17"/>
      <c r="M2" s="17"/>
      <c r="N2" s="17" t="s">
        <v>64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399300</v>
      </c>
      <c r="U2" s="18">
        <v>271270</v>
      </c>
      <c r="V2" s="18">
        <v>0</v>
      </c>
      <c r="W2" s="18">
        <v>0</v>
      </c>
      <c r="X2" s="18">
        <v>0</v>
      </c>
      <c r="Y2" s="18">
        <v>5000</v>
      </c>
      <c r="Z2" s="18">
        <v>0</v>
      </c>
      <c r="AA2" s="18">
        <v>0</v>
      </c>
      <c r="AB2" s="18">
        <v>0</v>
      </c>
      <c r="AC2" s="18">
        <v>123030</v>
      </c>
      <c r="AD2" s="18">
        <v>400300</v>
      </c>
      <c r="AE2" s="18">
        <v>271270</v>
      </c>
      <c r="AF2" s="18">
        <v>0</v>
      </c>
      <c r="AG2" s="18">
        <v>0</v>
      </c>
      <c r="AH2" s="18">
        <v>0</v>
      </c>
      <c r="AI2" s="18">
        <v>6000</v>
      </c>
      <c r="AJ2" s="18">
        <v>0</v>
      </c>
      <c r="AK2" s="18">
        <v>0</v>
      </c>
      <c r="AL2" s="18">
        <v>0</v>
      </c>
      <c r="AM2" s="18">
        <v>123030</v>
      </c>
      <c r="AN2" s="18">
        <v>220165</v>
      </c>
      <c r="AO2" s="18">
        <v>0</v>
      </c>
      <c r="AP2" s="18">
        <v>220165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58964509</v>
      </c>
      <c r="K3" s="17" t="s">
        <v>148</v>
      </c>
      <c r="L3" s="17"/>
      <c r="M3" s="17"/>
      <c r="N3" s="17" t="s">
        <v>64</v>
      </c>
      <c r="O3" s="17" t="s">
        <v>23</v>
      </c>
      <c r="P3" s="17">
        <v>0.55000000000000004</v>
      </c>
      <c r="Q3" s="17">
        <v>0.55000000000000004</v>
      </c>
      <c r="R3" s="18" t="s">
        <v>25</v>
      </c>
      <c r="S3" s="18">
        <v>3200</v>
      </c>
      <c r="T3" s="18">
        <v>211200</v>
      </c>
      <c r="U3" s="18">
        <v>164800</v>
      </c>
      <c r="V3" s="18">
        <v>0</v>
      </c>
      <c r="W3" s="18">
        <v>0</v>
      </c>
      <c r="X3" s="18">
        <v>0</v>
      </c>
      <c r="Y3" s="18">
        <v>500</v>
      </c>
      <c r="Z3" s="18">
        <v>28300</v>
      </c>
      <c r="AA3" s="18">
        <v>0</v>
      </c>
      <c r="AB3" s="18">
        <v>0</v>
      </c>
      <c r="AC3" s="18">
        <v>17600</v>
      </c>
      <c r="AD3" s="18">
        <v>214130</v>
      </c>
      <c r="AE3" s="18">
        <v>164800</v>
      </c>
      <c r="AF3" s="18">
        <v>0</v>
      </c>
      <c r="AG3" s="18">
        <v>0</v>
      </c>
      <c r="AH3" s="18">
        <v>0</v>
      </c>
      <c r="AI3" s="18">
        <v>600</v>
      </c>
      <c r="AJ3" s="18">
        <v>31130</v>
      </c>
      <c r="AK3" s="18">
        <v>0</v>
      </c>
      <c r="AL3" s="18">
        <v>0</v>
      </c>
      <c r="AM3" s="18">
        <v>17600</v>
      </c>
      <c r="AN3" s="18">
        <v>117772</v>
      </c>
      <c r="AO3" s="18">
        <v>0</v>
      </c>
      <c r="AP3" s="18">
        <v>117772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58964541</v>
      </c>
      <c r="K4" s="17" t="s">
        <v>149</v>
      </c>
      <c r="L4" s="17"/>
      <c r="M4" s="17"/>
      <c r="N4" s="17" t="s">
        <v>64</v>
      </c>
      <c r="O4" s="17" t="s">
        <v>23</v>
      </c>
      <c r="P4" s="17">
        <v>0.55000000000000004</v>
      </c>
      <c r="Q4" s="17">
        <v>0.55000000000000004</v>
      </c>
      <c r="R4" s="18" t="s">
        <v>25</v>
      </c>
      <c r="S4" s="18">
        <v>3200</v>
      </c>
      <c r="T4" s="18">
        <v>1939200</v>
      </c>
      <c r="U4" s="18">
        <v>1371700</v>
      </c>
      <c r="V4" s="18">
        <v>0</v>
      </c>
      <c r="W4" s="18">
        <v>0</v>
      </c>
      <c r="X4" s="18">
        <v>0</v>
      </c>
      <c r="Y4" s="18">
        <v>76800</v>
      </c>
      <c r="Z4" s="18">
        <v>393300</v>
      </c>
      <c r="AA4" s="18">
        <v>0</v>
      </c>
      <c r="AB4" s="18">
        <v>0</v>
      </c>
      <c r="AC4" s="18">
        <v>97400</v>
      </c>
      <c r="AD4" s="18">
        <v>1993890</v>
      </c>
      <c r="AE4" s="18">
        <v>1371700</v>
      </c>
      <c r="AF4" s="18">
        <v>0</v>
      </c>
      <c r="AG4" s="18">
        <v>0</v>
      </c>
      <c r="AH4" s="18">
        <v>0</v>
      </c>
      <c r="AI4" s="18">
        <v>92160</v>
      </c>
      <c r="AJ4" s="18">
        <v>432630</v>
      </c>
      <c r="AK4" s="18">
        <v>0</v>
      </c>
      <c r="AL4" s="18">
        <v>0</v>
      </c>
      <c r="AM4" s="18">
        <v>97400</v>
      </c>
      <c r="AN4" s="18">
        <v>1096640</v>
      </c>
      <c r="AO4" s="18">
        <v>0</v>
      </c>
      <c r="AP4" s="18">
        <v>1096640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58964618</v>
      </c>
      <c r="K5" s="17" t="s">
        <v>150</v>
      </c>
      <c r="L5" s="17"/>
      <c r="M5" s="17"/>
      <c r="N5" s="17" t="s">
        <v>64</v>
      </c>
      <c r="O5" s="17" t="s">
        <v>23</v>
      </c>
      <c r="P5" s="17">
        <v>0.55000000000000004</v>
      </c>
      <c r="Q5" s="17">
        <v>0.55000000000000004</v>
      </c>
      <c r="R5" s="18" t="s">
        <v>25</v>
      </c>
      <c r="S5" s="18">
        <v>3200</v>
      </c>
      <c r="T5" s="18">
        <v>108800</v>
      </c>
      <c r="U5" s="18">
        <v>88500</v>
      </c>
      <c r="V5" s="18">
        <v>0</v>
      </c>
      <c r="W5" s="18">
        <v>0</v>
      </c>
      <c r="X5" s="18">
        <v>0</v>
      </c>
      <c r="Y5" s="18">
        <v>0</v>
      </c>
      <c r="Z5" s="18">
        <v>6400</v>
      </c>
      <c r="AA5" s="18">
        <v>0</v>
      </c>
      <c r="AB5" s="18">
        <v>0</v>
      </c>
      <c r="AC5" s="18">
        <v>13900</v>
      </c>
      <c r="AD5" s="18">
        <v>109440</v>
      </c>
      <c r="AE5" s="18">
        <v>88500</v>
      </c>
      <c r="AF5" s="18">
        <v>0</v>
      </c>
      <c r="AG5" s="18">
        <v>0</v>
      </c>
      <c r="AH5" s="18">
        <v>0</v>
      </c>
      <c r="AI5" s="18">
        <v>0</v>
      </c>
      <c r="AJ5" s="18">
        <v>7040</v>
      </c>
      <c r="AK5" s="18">
        <v>0</v>
      </c>
      <c r="AL5" s="18">
        <v>0</v>
      </c>
      <c r="AM5" s="18">
        <v>13900</v>
      </c>
      <c r="AN5" s="18">
        <v>60192</v>
      </c>
      <c r="AO5" s="18">
        <v>0</v>
      </c>
      <c r="AP5" s="18">
        <v>60192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58964677</v>
      </c>
      <c r="K6" s="17" t="s">
        <v>151</v>
      </c>
      <c r="L6" s="17"/>
      <c r="M6" s="17"/>
      <c r="N6" s="17" t="s">
        <v>64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3200</v>
      </c>
      <c r="T6" s="18">
        <v>185600</v>
      </c>
      <c r="U6" s="18">
        <v>173560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12040</v>
      </c>
      <c r="AD6" s="18">
        <v>185600</v>
      </c>
      <c r="AE6" s="18">
        <v>173560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12040</v>
      </c>
      <c r="AN6" s="18">
        <v>102080</v>
      </c>
      <c r="AO6" s="18">
        <v>0</v>
      </c>
      <c r="AP6" s="18">
        <v>102080</v>
      </c>
    </row>
    <row r="7" spans="1:42" x14ac:dyDescent="0.4">
      <c r="A7" s="17" t="s">
        <v>48</v>
      </c>
      <c r="B7" s="17" t="s">
        <v>81</v>
      </c>
      <c r="C7" s="17" t="s">
        <v>82</v>
      </c>
      <c r="D7" s="17" t="s">
        <v>83</v>
      </c>
      <c r="E7" s="17" t="s">
        <v>84</v>
      </c>
      <c r="F7" s="17" t="s">
        <v>49</v>
      </c>
      <c r="G7" s="17" t="s">
        <v>20</v>
      </c>
      <c r="H7" s="17" t="s">
        <v>21</v>
      </c>
      <c r="I7" s="17" t="s">
        <v>22</v>
      </c>
      <c r="J7" s="17">
        <v>47026662</v>
      </c>
      <c r="K7" s="17" t="s">
        <v>118</v>
      </c>
      <c r="L7" s="17"/>
      <c r="M7" s="17"/>
      <c r="N7" s="17" t="s">
        <v>64</v>
      </c>
      <c r="O7" s="17" t="s">
        <v>23</v>
      </c>
      <c r="P7" s="17">
        <v>0.55000000000000004</v>
      </c>
      <c r="Q7" s="17">
        <v>0.55000000000000004</v>
      </c>
      <c r="R7" s="18" t="s">
        <v>25</v>
      </c>
      <c r="S7" s="18">
        <v>100</v>
      </c>
      <c r="T7" s="18">
        <v>3953800</v>
      </c>
      <c r="U7" s="18">
        <v>846900</v>
      </c>
      <c r="V7" s="18">
        <v>0</v>
      </c>
      <c r="W7" s="18">
        <v>0</v>
      </c>
      <c r="X7" s="18">
        <v>0</v>
      </c>
      <c r="Y7" s="18">
        <v>26450</v>
      </c>
      <c r="Z7" s="18">
        <v>36150</v>
      </c>
      <c r="AA7" s="18">
        <v>0</v>
      </c>
      <c r="AB7" s="18">
        <v>0</v>
      </c>
      <c r="AC7" s="18">
        <v>3044300</v>
      </c>
      <c r="AD7" s="18">
        <v>3962705</v>
      </c>
      <c r="AE7" s="18">
        <v>846900</v>
      </c>
      <c r="AF7" s="18">
        <v>0</v>
      </c>
      <c r="AG7" s="18">
        <v>0</v>
      </c>
      <c r="AH7" s="18">
        <v>0</v>
      </c>
      <c r="AI7" s="18">
        <v>31740</v>
      </c>
      <c r="AJ7" s="18">
        <v>39765</v>
      </c>
      <c r="AK7" s="18">
        <v>0</v>
      </c>
      <c r="AL7" s="18">
        <v>0</v>
      </c>
      <c r="AM7" s="18">
        <v>3044300</v>
      </c>
      <c r="AN7" s="18">
        <v>2179488</v>
      </c>
      <c r="AO7" s="18">
        <v>0</v>
      </c>
      <c r="AP7" s="18">
        <v>2179488</v>
      </c>
    </row>
    <row r="8" spans="1:42" x14ac:dyDescent="0.4">
      <c r="A8" s="17" t="s">
        <v>48</v>
      </c>
      <c r="B8" s="17" t="s">
        <v>81</v>
      </c>
      <c r="C8" s="17" t="s">
        <v>82</v>
      </c>
      <c r="D8" s="17" t="s">
        <v>83</v>
      </c>
      <c r="E8" s="17" t="s">
        <v>84</v>
      </c>
      <c r="F8" s="17" t="s">
        <v>49</v>
      </c>
      <c r="G8" s="17" t="s">
        <v>20</v>
      </c>
      <c r="H8" s="17" t="s">
        <v>21</v>
      </c>
      <c r="I8" s="17" t="s">
        <v>22</v>
      </c>
      <c r="J8" s="17">
        <v>47026662</v>
      </c>
      <c r="K8" s="17" t="s">
        <v>118</v>
      </c>
      <c r="L8" s="17"/>
      <c r="M8" s="17"/>
      <c r="N8" s="17" t="s">
        <v>64</v>
      </c>
      <c r="O8" s="17" t="s">
        <v>23</v>
      </c>
      <c r="P8" s="17">
        <v>0.55000000000000004</v>
      </c>
      <c r="Q8" s="17">
        <v>0.55000000000000004</v>
      </c>
      <c r="R8" s="18" t="s">
        <v>24</v>
      </c>
      <c r="S8" s="18">
        <v>1800</v>
      </c>
      <c r="T8" s="18">
        <v>3219600</v>
      </c>
      <c r="U8" s="18">
        <v>1864500</v>
      </c>
      <c r="V8" s="18">
        <v>0</v>
      </c>
      <c r="W8" s="18">
        <v>0</v>
      </c>
      <c r="X8" s="18">
        <v>0</v>
      </c>
      <c r="Y8" s="18">
        <v>7260</v>
      </c>
      <c r="Z8" s="18">
        <v>51420</v>
      </c>
      <c r="AA8" s="18">
        <v>0</v>
      </c>
      <c r="AB8" s="18">
        <v>0</v>
      </c>
      <c r="AC8" s="18">
        <v>1296420</v>
      </c>
      <c r="AD8" s="18">
        <v>3226194</v>
      </c>
      <c r="AE8" s="18">
        <v>1864500</v>
      </c>
      <c r="AF8" s="18">
        <v>0</v>
      </c>
      <c r="AG8" s="18">
        <v>0</v>
      </c>
      <c r="AH8" s="18">
        <v>0</v>
      </c>
      <c r="AI8" s="18">
        <v>8712</v>
      </c>
      <c r="AJ8" s="18">
        <v>56562</v>
      </c>
      <c r="AK8" s="18">
        <v>0</v>
      </c>
      <c r="AL8" s="18">
        <v>0</v>
      </c>
      <c r="AM8" s="18">
        <v>1296420</v>
      </c>
      <c r="AN8" s="18">
        <v>1774407</v>
      </c>
      <c r="AO8" s="18">
        <v>0</v>
      </c>
      <c r="AP8" s="18">
        <v>1774407</v>
      </c>
    </row>
    <row r="9" spans="1:42" x14ac:dyDescent="0.4">
      <c r="A9" s="17" t="s">
        <v>48</v>
      </c>
      <c r="B9" s="17" t="s">
        <v>81</v>
      </c>
      <c r="C9" s="17" t="s">
        <v>82</v>
      </c>
      <c r="D9" s="17" t="s">
        <v>83</v>
      </c>
      <c r="E9" s="17" t="s">
        <v>84</v>
      </c>
      <c r="F9" s="17" t="s">
        <v>49</v>
      </c>
      <c r="G9" s="17" t="s">
        <v>20</v>
      </c>
      <c r="H9" s="17" t="s">
        <v>21</v>
      </c>
      <c r="I9" s="17" t="s">
        <v>22</v>
      </c>
      <c r="J9" s="17">
        <v>47026662</v>
      </c>
      <c r="K9" s="17" t="s">
        <v>118</v>
      </c>
      <c r="L9" s="17"/>
      <c r="M9" s="17"/>
      <c r="N9" s="17" t="s">
        <v>64</v>
      </c>
      <c r="O9" s="17" t="s">
        <v>23</v>
      </c>
      <c r="P9" s="17">
        <v>0.55000000000000004</v>
      </c>
      <c r="Q9" s="17">
        <v>0.55000000000000004</v>
      </c>
      <c r="R9" s="18" t="s">
        <v>24</v>
      </c>
      <c r="S9" s="18">
        <v>4500</v>
      </c>
      <c r="T9" s="18">
        <v>2849800</v>
      </c>
      <c r="U9" s="18">
        <v>2084530</v>
      </c>
      <c r="V9" s="18">
        <v>0</v>
      </c>
      <c r="W9" s="18">
        <v>0</v>
      </c>
      <c r="X9" s="18">
        <v>-1800</v>
      </c>
      <c r="Y9" s="18">
        <v>3550</v>
      </c>
      <c r="Z9" s="18">
        <v>127050</v>
      </c>
      <c r="AA9" s="18">
        <v>0</v>
      </c>
      <c r="AB9" s="18">
        <v>0</v>
      </c>
      <c r="AC9" s="18">
        <v>636470</v>
      </c>
      <c r="AD9" s="18">
        <v>2862523.4953999999</v>
      </c>
      <c r="AE9" s="18">
        <v>2084530</v>
      </c>
      <c r="AF9" s="18">
        <v>0</v>
      </c>
      <c r="AG9" s="18">
        <v>0</v>
      </c>
      <c r="AH9" s="18">
        <v>-2491.5046000000002</v>
      </c>
      <c r="AI9" s="18">
        <v>4260</v>
      </c>
      <c r="AJ9" s="18">
        <v>139755</v>
      </c>
      <c r="AK9" s="18">
        <v>0</v>
      </c>
      <c r="AL9" s="18">
        <v>0</v>
      </c>
      <c r="AM9" s="18">
        <v>636470</v>
      </c>
      <c r="AN9" s="18">
        <v>1574388</v>
      </c>
      <c r="AO9" s="18">
        <v>0</v>
      </c>
      <c r="AP9" s="18">
        <v>1574388</v>
      </c>
    </row>
    <row r="10" spans="1:42" x14ac:dyDescent="0.4">
      <c r="A10" s="17" t="s">
        <v>48</v>
      </c>
      <c r="B10" s="17" t="s">
        <v>81</v>
      </c>
      <c r="C10" s="17" t="s">
        <v>82</v>
      </c>
      <c r="D10" s="17" t="s">
        <v>83</v>
      </c>
      <c r="E10" s="17" t="s">
        <v>84</v>
      </c>
      <c r="F10" s="17" t="s">
        <v>49</v>
      </c>
      <c r="G10" s="17" t="s">
        <v>20</v>
      </c>
      <c r="H10" s="17" t="s">
        <v>21</v>
      </c>
      <c r="I10" s="17" t="s">
        <v>22</v>
      </c>
      <c r="J10" s="17">
        <v>47026662</v>
      </c>
      <c r="K10" s="17" t="s">
        <v>118</v>
      </c>
      <c r="L10" s="17"/>
      <c r="M10" s="17"/>
      <c r="N10" s="17" t="s">
        <v>64</v>
      </c>
      <c r="O10" s="17" t="s">
        <v>23</v>
      </c>
      <c r="P10" s="17">
        <v>0.55000000000000004</v>
      </c>
      <c r="Q10" s="17">
        <v>0.55000000000000004</v>
      </c>
      <c r="R10" s="18" t="s">
        <v>24</v>
      </c>
      <c r="S10" s="18">
        <v>9000</v>
      </c>
      <c r="T10" s="18">
        <v>5486500</v>
      </c>
      <c r="U10" s="18">
        <v>4597560</v>
      </c>
      <c r="V10" s="18">
        <v>0</v>
      </c>
      <c r="W10" s="18">
        <v>0</v>
      </c>
      <c r="X10" s="18">
        <v>0</v>
      </c>
      <c r="Y10" s="18">
        <v>49400</v>
      </c>
      <c r="Z10" s="18">
        <v>380200</v>
      </c>
      <c r="AA10" s="18">
        <v>0</v>
      </c>
      <c r="AB10" s="18">
        <v>0</v>
      </c>
      <c r="AC10" s="18">
        <v>459340</v>
      </c>
      <c r="AD10" s="18">
        <v>5534400</v>
      </c>
      <c r="AE10" s="18">
        <v>4597560</v>
      </c>
      <c r="AF10" s="18">
        <v>0</v>
      </c>
      <c r="AG10" s="18">
        <v>0</v>
      </c>
      <c r="AH10" s="18">
        <v>0</v>
      </c>
      <c r="AI10" s="18">
        <v>59280</v>
      </c>
      <c r="AJ10" s="18">
        <v>418220</v>
      </c>
      <c r="AK10" s="18">
        <v>0</v>
      </c>
      <c r="AL10" s="18">
        <v>0</v>
      </c>
      <c r="AM10" s="18">
        <v>459340</v>
      </c>
      <c r="AN10" s="18">
        <v>3043920</v>
      </c>
      <c r="AO10" s="18">
        <v>0</v>
      </c>
      <c r="AP10" s="18">
        <v>3043920</v>
      </c>
    </row>
    <row r="11" spans="1:42" x14ac:dyDescent="0.4">
      <c r="A11" s="17" t="s">
        <v>48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49</v>
      </c>
      <c r="G11" s="17" t="s">
        <v>20</v>
      </c>
      <c r="H11" s="17" t="s">
        <v>21</v>
      </c>
      <c r="I11" s="17" t="s">
        <v>22</v>
      </c>
      <c r="J11" s="17">
        <v>47944978</v>
      </c>
      <c r="K11" s="17" t="s">
        <v>119</v>
      </c>
      <c r="L11" s="17"/>
      <c r="M11" s="17"/>
      <c r="N11" s="17" t="s">
        <v>64</v>
      </c>
      <c r="O11" s="17" t="s">
        <v>23</v>
      </c>
      <c r="P11" s="17">
        <v>0.55000000000000004</v>
      </c>
      <c r="Q11" s="17">
        <v>0.55000000000000004</v>
      </c>
      <c r="R11" s="18" t="s">
        <v>25</v>
      </c>
      <c r="S11" s="18">
        <v>100</v>
      </c>
      <c r="T11" s="18">
        <v>432500</v>
      </c>
      <c r="U11" s="18">
        <v>87720</v>
      </c>
      <c r="V11" s="18">
        <v>0</v>
      </c>
      <c r="W11" s="18">
        <v>0</v>
      </c>
      <c r="X11" s="18">
        <v>0</v>
      </c>
      <c r="Y11" s="18">
        <v>1600</v>
      </c>
      <c r="Z11" s="18">
        <v>18400</v>
      </c>
      <c r="AA11" s="18">
        <v>0</v>
      </c>
      <c r="AB11" s="18">
        <v>0</v>
      </c>
      <c r="AC11" s="18">
        <v>324780</v>
      </c>
      <c r="AD11" s="18">
        <v>434660</v>
      </c>
      <c r="AE11" s="18">
        <v>87720</v>
      </c>
      <c r="AF11" s="18">
        <v>0</v>
      </c>
      <c r="AG11" s="18">
        <v>0</v>
      </c>
      <c r="AH11" s="18">
        <v>0</v>
      </c>
      <c r="AI11" s="18">
        <v>1920</v>
      </c>
      <c r="AJ11" s="18">
        <v>20240</v>
      </c>
      <c r="AK11" s="18">
        <v>0</v>
      </c>
      <c r="AL11" s="18">
        <v>0</v>
      </c>
      <c r="AM11" s="18">
        <v>324780</v>
      </c>
      <c r="AN11" s="18">
        <v>239063</v>
      </c>
      <c r="AO11" s="18">
        <v>0</v>
      </c>
      <c r="AP11" s="18">
        <v>239063</v>
      </c>
    </row>
    <row r="12" spans="1:42" x14ac:dyDescent="0.4">
      <c r="A12" s="17" t="s">
        <v>48</v>
      </c>
      <c r="B12" s="17" t="s">
        <v>81</v>
      </c>
      <c r="C12" s="17" t="s">
        <v>82</v>
      </c>
      <c r="D12" s="17" t="s">
        <v>83</v>
      </c>
      <c r="E12" s="17" t="s">
        <v>84</v>
      </c>
      <c r="F12" s="17" t="s">
        <v>49</v>
      </c>
      <c r="G12" s="17" t="s">
        <v>20</v>
      </c>
      <c r="H12" s="17" t="s">
        <v>21</v>
      </c>
      <c r="I12" s="17" t="s">
        <v>22</v>
      </c>
      <c r="J12" s="17">
        <v>47944978</v>
      </c>
      <c r="K12" s="17" t="s">
        <v>119</v>
      </c>
      <c r="L12" s="17"/>
      <c r="M12" s="17"/>
      <c r="N12" s="17" t="s">
        <v>64</v>
      </c>
      <c r="O12" s="17" t="s">
        <v>23</v>
      </c>
      <c r="P12" s="17">
        <v>0.55000000000000004</v>
      </c>
      <c r="Q12" s="17">
        <v>0.55000000000000004</v>
      </c>
      <c r="R12" s="18" t="s">
        <v>24</v>
      </c>
      <c r="S12" s="18">
        <v>4800</v>
      </c>
      <c r="T12" s="18">
        <v>234700</v>
      </c>
      <c r="U12" s="18">
        <v>213900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20800</v>
      </c>
      <c r="AD12" s="18">
        <v>234700</v>
      </c>
      <c r="AE12" s="18">
        <v>213900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20800</v>
      </c>
      <c r="AN12" s="18">
        <v>129085</v>
      </c>
      <c r="AO12" s="18">
        <v>0</v>
      </c>
      <c r="AP12" s="18">
        <v>129085</v>
      </c>
    </row>
    <row r="13" spans="1:42" x14ac:dyDescent="0.4">
      <c r="A13" s="17" t="s">
        <v>48</v>
      </c>
      <c r="B13" s="17" t="s">
        <v>81</v>
      </c>
      <c r="C13" s="17" t="s">
        <v>82</v>
      </c>
      <c r="D13" s="17" t="s">
        <v>83</v>
      </c>
      <c r="E13" s="17" t="s">
        <v>84</v>
      </c>
      <c r="F13" s="17" t="s">
        <v>49</v>
      </c>
      <c r="G13" s="17" t="s">
        <v>20</v>
      </c>
      <c r="H13" s="17" t="s">
        <v>21</v>
      </c>
      <c r="I13" s="17" t="s">
        <v>22</v>
      </c>
      <c r="J13" s="17">
        <v>47944978</v>
      </c>
      <c r="K13" s="17" t="s">
        <v>119</v>
      </c>
      <c r="L13" s="17"/>
      <c r="M13" s="17"/>
      <c r="N13" s="17" t="s">
        <v>64</v>
      </c>
      <c r="O13" s="17" t="s">
        <v>23</v>
      </c>
      <c r="P13" s="17">
        <v>0.55000000000000004</v>
      </c>
      <c r="Q13" s="17">
        <v>0.55000000000000004</v>
      </c>
      <c r="R13" s="18" t="s">
        <v>24</v>
      </c>
      <c r="S13" s="18">
        <v>9200</v>
      </c>
      <c r="T13" s="18">
        <v>189400</v>
      </c>
      <c r="U13" s="18">
        <v>141900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47500</v>
      </c>
      <c r="AD13" s="18">
        <v>189400</v>
      </c>
      <c r="AE13" s="18">
        <v>141900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47500</v>
      </c>
      <c r="AN13" s="18">
        <v>104170</v>
      </c>
      <c r="AO13" s="18">
        <v>0</v>
      </c>
      <c r="AP13" s="18">
        <v>104170</v>
      </c>
    </row>
    <row r="14" spans="1:42" x14ac:dyDescent="0.4">
      <c r="A14" s="17" t="s">
        <v>48</v>
      </c>
      <c r="B14" s="17" t="s">
        <v>81</v>
      </c>
      <c r="C14" s="17" t="s">
        <v>82</v>
      </c>
      <c r="D14" s="17" t="s">
        <v>83</v>
      </c>
      <c r="E14" s="17" t="s">
        <v>84</v>
      </c>
      <c r="F14" s="17" t="s">
        <v>49</v>
      </c>
      <c r="G14" s="17" t="s">
        <v>20</v>
      </c>
      <c r="H14" s="17" t="s">
        <v>21</v>
      </c>
      <c r="I14" s="17" t="s">
        <v>22</v>
      </c>
      <c r="J14" s="17">
        <v>47944978</v>
      </c>
      <c r="K14" s="17" t="s">
        <v>119</v>
      </c>
      <c r="L14" s="17"/>
      <c r="M14" s="17"/>
      <c r="N14" s="17" t="s">
        <v>64</v>
      </c>
      <c r="O14" s="17" t="s">
        <v>23</v>
      </c>
      <c r="P14" s="17">
        <v>0.55000000000000004</v>
      </c>
      <c r="Q14" s="17">
        <v>0.55000000000000004</v>
      </c>
      <c r="R14" s="18" t="s">
        <v>24</v>
      </c>
      <c r="S14" s="18">
        <v>13500</v>
      </c>
      <c r="T14" s="18">
        <v>148500</v>
      </c>
      <c r="U14" s="18">
        <v>132800</v>
      </c>
      <c r="V14" s="18">
        <v>0</v>
      </c>
      <c r="W14" s="18">
        <v>0</v>
      </c>
      <c r="X14" s="18">
        <v>0</v>
      </c>
      <c r="Y14" s="18">
        <v>0</v>
      </c>
      <c r="Z14" s="18">
        <v>13500</v>
      </c>
      <c r="AA14" s="18">
        <v>0</v>
      </c>
      <c r="AB14" s="18">
        <v>0</v>
      </c>
      <c r="AC14" s="18">
        <v>2200</v>
      </c>
      <c r="AD14" s="18">
        <v>149850</v>
      </c>
      <c r="AE14" s="18">
        <v>132800</v>
      </c>
      <c r="AF14" s="18">
        <v>0</v>
      </c>
      <c r="AG14" s="18">
        <v>0</v>
      </c>
      <c r="AH14" s="18">
        <v>0</v>
      </c>
      <c r="AI14" s="18">
        <v>0</v>
      </c>
      <c r="AJ14" s="18">
        <v>14850</v>
      </c>
      <c r="AK14" s="18">
        <v>0</v>
      </c>
      <c r="AL14" s="18">
        <v>0</v>
      </c>
      <c r="AM14" s="18">
        <v>2200</v>
      </c>
      <c r="AN14" s="18">
        <v>82418</v>
      </c>
      <c r="AO14" s="18">
        <v>0</v>
      </c>
      <c r="AP14" s="18">
        <v>82418</v>
      </c>
    </row>
    <row r="15" spans="1:42" x14ac:dyDescent="0.4">
      <c r="A15" s="17" t="s">
        <v>48</v>
      </c>
      <c r="B15" s="17" t="s">
        <v>81</v>
      </c>
      <c r="C15" s="17" t="s">
        <v>82</v>
      </c>
      <c r="D15" s="17" t="s">
        <v>83</v>
      </c>
      <c r="E15" s="17" t="s">
        <v>84</v>
      </c>
      <c r="F15" s="17" t="s">
        <v>49</v>
      </c>
      <c r="G15" s="17" t="s">
        <v>20</v>
      </c>
      <c r="H15" s="17" t="s">
        <v>21</v>
      </c>
      <c r="I15" s="17" t="s">
        <v>22</v>
      </c>
      <c r="J15" s="17">
        <v>48836576</v>
      </c>
      <c r="K15" s="17" t="s">
        <v>66</v>
      </c>
      <c r="L15" s="17"/>
      <c r="M15" s="17"/>
      <c r="N15" s="17" t="s">
        <v>64</v>
      </c>
      <c r="O15" s="17" t="s">
        <v>23</v>
      </c>
      <c r="P15" s="17">
        <v>0.55000000000000004</v>
      </c>
      <c r="Q15" s="17">
        <v>0.55000000000000004</v>
      </c>
      <c r="R15" s="18" t="s">
        <v>25</v>
      </c>
      <c r="S15" s="18">
        <v>100</v>
      </c>
      <c r="T15" s="18">
        <v>421900</v>
      </c>
      <c r="U15" s="18">
        <v>31640</v>
      </c>
      <c r="V15" s="18">
        <v>0</v>
      </c>
      <c r="W15" s="18">
        <v>0</v>
      </c>
      <c r="X15" s="18">
        <v>0</v>
      </c>
      <c r="Y15" s="18">
        <v>200</v>
      </c>
      <c r="Z15" s="18">
        <v>5200</v>
      </c>
      <c r="AA15" s="18">
        <v>0</v>
      </c>
      <c r="AB15" s="18">
        <v>0</v>
      </c>
      <c r="AC15" s="18">
        <v>384860</v>
      </c>
      <c r="AD15" s="18">
        <v>422460</v>
      </c>
      <c r="AE15" s="18">
        <v>31640</v>
      </c>
      <c r="AF15" s="18">
        <v>0</v>
      </c>
      <c r="AG15" s="18">
        <v>0</v>
      </c>
      <c r="AH15" s="18">
        <v>0</v>
      </c>
      <c r="AI15" s="18">
        <v>240</v>
      </c>
      <c r="AJ15" s="18">
        <v>5720</v>
      </c>
      <c r="AK15" s="18">
        <v>0</v>
      </c>
      <c r="AL15" s="18">
        <v>0</v>
      </c>
      <c r="AM15" s="18">
        <v>384860</v>
      </c>
      <c r="AN15" s="18">
        <v>232353</v>
      </c>
      <c r="AO15" s="18">
        <v>0</v>
      </c>
      <c r="AP15" s="18">
        <v>232353</v>
      </c>
    </row>
    <row r="16" spans="1:42" x14ac:dyDescent="0.4">
      <c r="A16" s="17" t="s">
        <v>48</v>
      </c>
      <c r="B16" s="17" t="s">
        <v>81</v>
      </c>
      <c r="C16" s="17" t="s">
        <v>82</v>
      </c>
      <c r="D16" s="17" t="s">
        <v>83</v>
      </c>
      <c r="E16" s="17" t="s">
        <v>84</v>
      </c>
      <c r="F16" s="17" t="s">
        <v>49</v>
      </c>
      <c r="G16" s="17" t="s">
        <v>20</v>
      </c>
      <c r="H16" s="17" t="s">
        <v>21</v>
      </c>
      <c r="I16" s="17" t="s">
        <v>22</v>
      </c>
      <c r="J16" s="17">
        <v>48836576</v>
      </c>
      <c r="K16" s="17" t="s">
        <v>66</v>
      </c>
      <c r="L16" s="17"/>
      <c r="M16" s="17"/>
      <c r="N16" s="17" t="s">
        <v>64</v>
      </c>
      <c r="O16" s="17" t="s">
        <v>23</v>
      </c>
      <c r="P16" s="17">
        <v>0.55000000000000004</v>
      </c>
      <c r="Q16" s="17">
        <v>0.55000000000000004</v>
      </c>
      <c r="R16" s="18" t="s">
        <v>24</v>
      </c>
      <c r="S16" s="18">
        <v>2400</v>
      </c>
      <c r="T16" s="18">
        <v>264500</v>
      </c>
      <c r="U16" s="18">
        <v>168150</v>
      </c>
      <c r="V16" s="18">
        <v>0</v>
      </c>
      <c r="W16" s="18">
        <v>0</v>
      </c>
      <c r="X16" s="18">
        <v>0</v>
      </c>
      <c r="Y16" s="18">
        <v>0</v>
      </c>
      <c r="Z16" s="18">
        <v>7200</v>
      </c>
      <c r="AA16" s="18">
        <v>0</v>
      </c>
      <c r="AB16" s="18">
        <v>0</v>
      </c>
      <c r="AC16" s="18">
        <v>89150</v>
      </c>
      <c r="AD16" s="18">
        <v>265220</v>
      </c>
      <c r="AE16" s="18">
        <v>168150</v>
      </c>
      <c r="AF16" s="18">
        <v>0</v>
      </c>
      <c r="AG16" s="18">
        <v>0</v>
      </c>
      <c r="AH16" s="18">
        <v>0</v>
      </c>
      <c r="AI16" s="18">
        <v>0</v>
      </c>
      <c r="AJ16" s="18">
        <v>7920</v>
      </c>
      <c r="AK16" s="18">
        <v>0</v>
      </c>
      <c r="AL16" s="18">
        <v>0</v>
      </c>
      <c r="AM16" s="18">
        <v>89150</v>
      </c>
      <c r="AN16" s="18">
        <v>145871</v>
      </c>
      <c r="AO16" s="18">
        <v>0</v>
      </c>
      <c r="AP16" s="18">
        <v>145871</v>
      </c>
    </row>
    <row r="17" spans="1:42" x14ac:dyDescent="0.4">
      <c r="A17" s="17" t="s">
        <v>48</v>
      </c>
      <c r="B17" s="17" t="s">
        <v>81</v>
      </c>
      <c r="C17" s="17" t="s">
        <v>82</v>
      </c>
      <c r="D17" s="17" t="s">
        <v>83</v>
      </c>
      <c r="E17" s="17" t="s">
        <v>84</v>
      </c>
      <c r="F17" s="17" t="s">
        <v>49</v>
      </c>
      <c r="G17" s="17" t="s">
        <v>20</v>
      </c>
      <c r="H17" s="17" t="s">
        <v>21</v>
      </c>
      <c r="I17" s="17" t="s">
        <v>22</v>
      </c>
      <c r="J17" s="17">
        <v>48836576</v>
      </c>
      <c r="K17" s="17" t="s">
        <v>66</v>
      </c>
      <c r="L17" s="17"/>
      <c r="M17" s="17"/>
      <c r="N17" s="17" t="s">
        <v>64</v>
      </c>
      <c r="O17" s="17" t="s">
        <v>23</v>
      </c>
      <c r="P17" s="17">
        <v>0.55000000000000004</v>
      </c>
      <c r="Q17" s="17">
        <v>0.55000000000000004</v>
      </c>
      <c r="R17" s="18" t="s">
        <v>24</v>
      </c>
      <c r="S17" s="18">
        <v>9200</v>
      </c>
      <c r="T17" s="18">
        <v>266900</v>
      </c>
      <c r="U17" s="18">
        <v>193200</v>
      </c>
      <c r="V17" s="18">
        <v>0</v>
      </c>
      <c r="W17" s="18">
        <v>0</v>
      </c>
      <c r="X17" s="18">
        <v>0</v>
      </c>
      <c r="Y17" s="18">
        <v>0</v>
      </c>
      <c r="Z17" s="18">
        <v>31000</v>
      </c>
      <c r="AA17" s="18">
        <v>0</v>
      </c>
      <c r="AB17" s="18">
        <v>0</v>
      </c>
      <c r="AC17" s="18">
        <v>42700</v>
      </c>
      <c r="AD17" s="18">
        <v>270000</v>
      </c>
      <c r="AE17" s="18">
        <v>193200</v>
      </c>
      <c r="AF17" s="18">
        <v>0</v>
      </c>
      <c r="AG17" s="18">
        <v>0</v>
      </c>
      <c r="AH17" s="18">
        <v>0</v>
      </c>
      <c r="AI17" s="18">
        <v>0</v>
      </c>
      <c r="AJ17" s="18">
        <v>34100</v>
      </c>
      <c r="AK17" s="18">
        <v>0</v>
      </c>
      <c r="AL17" s="18">
        <v>0</v>
      </c>
      <c r="AM17" s="18">
        <v>42700</v>
      </c>
      <c r="AN17" s="18">
        <v>148500</v>
      </c>
      <c r="AO17" s="18">
        <v>0</v>
      </c>
      <c r="AP17" s="18">
        <v>148500</v>
      </c>
    </row>
    <row r="18" spans="1:42" x14ac:dyDescent="0.4">
      <c r="A18" s="17" t="s">
        <v>48</v>
      </c>
      <c r="B18" s="17" t="s">
        <v>81</v>
      </c>
      <c r="C18" s="17" t="s">
        <v>82</v>
      </c>
      <c r="D18" s="17" t="s">
        <v>83</v>
      </c>
      <c r="E18" s="17" t="s">
        <v>84</v>
      </c>
      <c r="F18" s="17" t="s">
        <v>49</v>
      </c>
      <c r="G18" s="17" t="s">
        <v>20</v>
      </c>
      <c r="H18" s="17" t="s">
        <v>21</v>
      </c>
      <c r="I18" s="17" t="s">
        <v>22</v>
      </c>
      <c r="J18" s="17">
        <v>48836576</v>
      </c>
      <c r="K18" s="17" t="s">
        <v>66</v>
      </c>
      <c r="L18" s="17"/>
      <c r="M18" s="17"/>
      <c r="N18" s="17" t="s">
        <v>64</v>
      </c>
      <c r="O18" s="17" t="s">
        <v>23</v>
      </c>
      <c r="P18" s="17">
        <v>0.55000000000000004</v>
      </c>
      <c r="Q18" s="17">
        <v>0.55000000000000004</v>
      </c>
      <c r="R18" s="18" t="s">
        <v>24</v>
      </c>
      <c r="S18" s="18">
        <v>18000</v>
      </c>
      <c r="T18" s="18">
        <v>120000</v>
      </c>
      <c r="U18" s="18">
        <v>98500</v>
      </c>
      <c r="V18" s="18">
        <v>0</v>
      </c>
      <c r="W18" s="18">
        <v>0</v>
      </c>
      <c r="X18" s="18">
        <v>0</v>
      </c>
      <c r="Y18" s="18">
        <v>0</v>
      </c>
      <c r="Z18" s="18">
        <v>18000</v>
      </c>
      <c r="AA18" s="18">
        <v>0</v>
      </c>
      <c r="AB18" s="18">
        <v>0</v>
      </c>
      <c r="AC18" s="18">
        <v>3500</v>
      </c>
      <c r="AD18" s="18">
        <v>121800</v>
      </c>
      <c r="AE18" s="18">
        <v>98500</v>
      </c>
      <c r="AF18" s="18">
        <v>0</v>
      </c>
      <c r="AG18" s="18">
        <v>0</v>
      </c>
      <c r="AH18" s="18">
        <v>0</v>
      </c>
      <c r="AI18" s="18">
        <v>0</v>
      </c>
      <c r="AJ18" s="18">
        <v>19800</v>
      </c>
      <c r="AK18" s="18">
        <v>0</v>
      </c>
      <c r="AL18" s="18">
        <v>0</v>
      </c>
      <c r="AM18" s="18">
        <v>3500</v>
      </c>
      <c r="AN18" s="18">
        <v>66990</v>
      </c>
      <c r="AO18" s="18">
        <v>0</v>
      </c>
      <c r="AP18" s="18">
        <v>66990</v>
      </c>
    </row>
    <row r="19" spans="1:42" x14ac:dyDescent="0.4">
      <c r="A19" s="17" t="s">
        <v>48</v>
      </c>
      <c r="B19" s="17" t="s">
        <v>81</v>
      </c>
      <c r="C19" s="17" t="s">
        <v>82</v>
      </c>
      <c r="D19" s="17" t="s">
        <v>83</v>
      </c>
      <c r="E19" s="17" t="s">
        <v>84</v>
      </c>
      <c r="F19" s="17" t="s">
        <v>49</v>
      </c>
      <c r="G19" s="17" t="s">
        <v>20</v>
      </c>
      <c r="H19" s="17" t="s">
        <v>21</v>
      </c>
      <c r="I19" s="17" t="s">
        <v>22</v>
      </c>
      <c r="J19" s="17">
        <v>49231182</v>
      </c>
      <c r="K19" s="17" t="s">
        <v>124</v>
      </c>
      <c r="L19" s="17"/>
      <c r="M19" s="17"/>
      <c r="N19" s="17" t="s">
        <v>64</v>
      </c>
      <c r="O19" s="17" t="s">
        <v>23</v>
      </c>
      <c r="P19" s="17">
        <v>0.55000000000000004</v>
      </c>
      <c r="Q19" s="17">
        <v>0.55000000000000004</v>
      </c>
      <c r="R19" s="18" t="s">
        <v>25</v>
      </c>
      <c r="S19" s="18">
        <v>100</v>
      </c>
      <c r="T19" s="18">
        <v>28700</v>
      </c>
      <c r="U19" s="18">
        <v>3600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25100</v>
      </c>
      <c r="AD19" s="18">
        <v>28700</v>
      </c>
      <c r="AE19" s="18">
        <v>3600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25100</v>
      </c>
      <c r="AN19" s="18">
        <v>15785</v>
      </c>
      <c r="AO19" s="18">
        <v>0</v>
      </c>
      <c r="AP19" s="18">
        <v>15785</v>
      </c>
    </row>
    <row r="20" spans="1:42" x14ac:dyDescent="0.4">
      <c r="A20" s="17" t="s">
        <v>48</v>
      </c>
      <c r="B20" s="17" t="s">
        <v>81</v>
      </c>
      <c r="C20" s="17" t="s">
        <v>82</v>
      </c>
      <c r="D20" s="17" t="s">
        <v>83</v>
      </c>
      <c r="E20" s="17" t="s">
        <v>84</v>
      </c>
      <c r="F20" s="17" t="s">
        <v>49</v>
      </c>
      <c r="G20" s="17" t="s">
        <v>20</v>
      </c>
      <c r="H20" s="17" t="s">
        <v>21</v>
      </c>
      <c r="I20" s="17" t="s">
        <v>22</v>
      </c>
      <c r="J20" s="17">
        <v>49231182</v>
      </c>
      <c r="K20" s="17" t="s">
        <v>124</v>
      </c>
      <c r="L20" s="17"/>
      <c r="M20" s="17"/>
      <c r="N20" s="17" t="s">
        <v>64</v>
      </c>
      <c r="O20" s="17" t="s">
        <v>23</v>
      </c>
      <c r="P20" s="17">
        <v>0.55000000000000004</v>
      </c>
      <c r="Q20" s="17">
        <v>0.55000000000000004</v>
      </c>
      <c r="R20" s="18" t="s">
        <v>24</v>
      </c>
      <c r="S20" s="18">
        <v>1800</v>
      </c>
      <c r="T20" s="18">
        <v>30600</v>
      </c>
      <c r="U20" s="18">
        <v>16200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14400</v>
      </c>
      <c r="AD20" s="18">
        <v>30600</v>
      </c>
      <c r="AE20" s="18">
        <v>16200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14400</v>
      </c>
      <c r="AN20" s="18">
        <v>16830</v>
      </c>
      <c r="AO20" s="18">
        <v>0</v>
      </c>
      <c r="AP20" s="18">
        <v>16830</v>
      </c>
    </row>
    <row r="21" spans="1:42" x14ac:dyDescent="0.4">
      <c r="A21" s="17" t="s">
        <v>48</v>
      </c>
      <c r="B21" s="17" t="s">
        <v>81</v>
      </c>
      <c r="C21" s="17" t="s">
        <v>82</v>
      </c>
      <c r="D21" s="17" t="s">
        <v>83</v>
      </c>
      <c r="E21" s="17" t="s">
        <v>84</v>
      </c>
      <c r="F21" s="17" t="s">
        <v>49</v>
      </c>
      <c r="G21" s="17" t="s">
        <v>20</v>
      </c>
      <c r="H21" s="17" t="s">
        <v>21</v>
      </c>
      <c r="I21" s="17" t="s">
        <v>22</v>
      </c>
      <c r="J21" s="17">
        <v>49231182</v>
      </c>
      <c r="K21" s="17" t="s">
        <v>124</v>
      </c>
      <c r="L21" s="17"/>
      <c r="M21" s="17"/>
      <c r="N21" s="17" t="s">
        <v>64</v>
      </c>
      <c r="O21" s="17" t="s">
        <v>23</v>
      </c>
      <c r="P21" s="17">
        <v>0.55000000000000004</v>
      </c>
      <c r="Q21" s="17">
        <v>0.55000000000000004</v>
      </c>
      <c r="R21" s="18" t="s">
        <v>24</v>
      </c>
      <c r="S21" s="18">
        <v>4500</v>
      </c>
      <c r="T21" s="18">
        <v>13500</v>
      </c>
      <c r="U21" s="18">
        <v>9000</v>
      </c>
      <c r="V21" s="18">
        <v>0</v>
      </c>
      <c r="W21" s="18">
        <v>0</v>
      </c>
      <c r="X21" s="18">
        <v>0</v>
      </c>
      <c r="Y21" s="18">
        <v>0</v>
      </c>
      <c r="Z21" s="18">
        <v>4500</v>
      </c>
      <c r="AA21" s="18">
        <v>0</v>
      </c>
      <c r="AB21" s="18">
        <v>0</v>
      </c>
      <c r="AC21" s="18">
        <v>0</v>
      </c>
      <c r="AD21" s="18">
        <v>13950</v>
      </c>
      <c r="AE21" s="18">
        <v>9000</v>
      </c>
      <c r="AF21" s="18">
        <v>0</v>
      </c>
      <c r="AG21" s="18">
        <v>0</v>
      </c>
      <c r="AH21" s="18">
        <v>0</v>
      </c>
      <c r="AI21" s="18">
        <v>0</v>
      </c>
      <c r="AJ21" s="18">
        <v>4950</v>
      </c>
      <c r="AK21" s="18">
        <v>0</v>
      </c>
      <c r="AL21" s="18">
        <v>0</v>
      </c>
      <c r="AM21" s="18">
        <v>0</v>
      </c>
      <c r="AN21" s="18">
        <v>7673</v>
      </c>
      <c r="AO21" s="18">
        <v>0</v>
      </c>
      <c r="AP21" s="18">
        <v>7673</v>
      </c>
    </row>
    <row r="22" spans="1:42" x14ac:dyDescent="0.4">
      <c r="A22" s="17" t="s">
        <v>48</v>
      </c>
      <c r="B22" s="17" t="s">
        <v>81</v>
      </c>
      <c r="C22" s="17" t="s">
        <v>82</v>
      </c>
      <c r="D22" s="17" t="s">
        <v>83</v>
      </c>
      <c r="E22" s="17" t="s">
        <v>84</v>
      </c>
      <c r="F22" s="17" t="s">
        <v>49</v>
      </c>
      <c r="G22" s="17" t="s">
        <v>20</v>
      </c>
      <c r="H22" s="17" t="s">
        <v>21</v>
      </c>
      <c r="I22" s="17" t="s">
        <v>22</v>
      </c>
      <c r="J22" s="17">
        <v>49394422</v>
      </c>
      <c r="K22" s="17" t="s">
        <v>125</v>
      </c>
      <c r="L22" s="17"/>
      <c r="M22" s="17"/>
      <c r="N22" s="17" t="s">
        <v>64</v>
      </c>
      <c r="O22" s="17" t="s">
        <v>23</v>
      </c>
      <c r="P22" s="17">
        <v>0.55000000000000004</v>
      </c>
      <c r="Q22" s="17">
        <v>0.55000000000000004</v>
      </c>
      <c r="R22" s="18" t="s">
        <v>25</v>
      </c>
      <c r="S22" s="18">
        <v>100</v>
      </c>
      <c r="T22" s="18">
        <v>32300</v>
      </c>
      <c r="U22" s="18">
        <v>6300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26000</v>
      </c>
      <c r="AD22" s="18">
        <v>32300</v>
      </c>
      <c r="AE22" s="18">
        <v>6300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26000</v>
      </c>
      <c r="AN22" s="18">
        <v>17765</v>
      </c>
      <c r="AO22" s="18">
        <v>0</v>
      </c>
      <c r="AP22" s="18">
        <v>17765</v>
      </c>
    </row>
    <row r="23" spans="1:42" x14ac:dyDescent="0.4">
      <c r="A23" s="17" t="s">
        <v>48</v>
      </c>
      <c r="B23" s="17" t="s">
        <v>81</v>
      </c>
      <c r="C23" s="17" t="s">
        <v>82</v>
      </c>
      <c r="D23" s="17" t="s">
        <v>83</v>
      </c>
      <c r="E23" s="17" t="s">
        <v>84</v>
      </c>
      <c r="F23" s="17" t="s">
        <v>49</v>
      </c>
      <c r="G23" s="17" t="s">
        <v>20</v>
      </c>
      <c r="H23" s="17" t="s">
        <v>21</v>
      </c>
      <c r="I23" s="17" t="s">
        <v>22</v>
      </c>
      <c r="J23" s="17">
        <v>49394422</v>
      </c>
      <c r="K23" s="17" t="s">
        <v>125</v>
      </c>
      <c r="L23" s="17"/>
      <c r="M23" s="17"/>
      <c r="N23" s="17" t="s">
        <v>64</v>
      </c>
      <c r="O23" s="17" t="s">
        <v>23</v>
      </c>
      <c r="P23" s="17">
        <v>0.55000000000000004</v>
      </c>
      <c r="Q23" s="17">
        <v>0.55000000000000004</v>
      </c>
      <c r="R23" s="18" t="s">
        <v>24</v>
      </c>
      <c r="S23" s="18">
        <v>1800</v>
      </c>
      <c r="T23" s="18">
        <v>19200</v>
      </c>
      <c r="U23" s="18">
        <v>8400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10800</v>
      </c>
      <c r="AD23" s="18">
        <v>19200</v>
      </c>
      <c r="AE23" s="18">
        <v>8400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10800</v>
      </c>
      <c r="AN23" s="18">
        <v>10560</v>
      </c>
      <c r="AO23" s="18">
        <v>0</v>
      </c>
      <c r="AP23" s="18">
        <v>10560</v>
      </c>
    </row>
    <row r="24" spans="1:42" x14ac:dyDescent="0.4">
      <c r="A24" s="17" t="s">
        <v>48</v>
      </c>
      <c r="B24" s="17" t="s">
        <v>81</v>
      </c>
      <c r="C24" s="17" t="s">
        <v>82</v>
      </c>
      <c r="D24" s="17" t="s">
        <v>83</v>
      </c>
      <c r="E24" s="17" t="s">
        <v>84</v>
      </c>
      <c r="F24" s="17" t="s">
        <v>49</v>
      </c>
      <c r="G24" s="17" t="s">
        <v>20</v>
      </c>
      <c r="H24" s="17" t="s">
        <v>21</v>
      </c>
      <c r="I24" s="17" t="s">
        <v>22</v>
      </c>
      <c r="J24" s="17">
        <v>49394422</v>
      </c>
      <c r="K24" s="17" t="s">
        <v>125</v>
      </c>
      <c r="L24" s="17"/>
      <c r="M24" s="17"/>
      <c r="N24" s="17" t="s">
        <v>64</v>
      </c>
      <c r="O24" s="17" t="s">
        <v>23</v>
      </c>
      <c r="P24" s="17">
        <v>0.55000000000000004</v>
      </c>
      <c r="Q24" s="17">
        <v>0.55000000000000004</v>
      </c>
      <c r="R24" s="18" t="s">
        <v>24</v>
      </c>
      <c r="S24" s="18">
        <v>4500</v>
      </c>
      <c r="T24" s="18">
        <v>18000</v>
      </c>
      <c r="U24" s="18">
        <v>4000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14000</v>
      </c>
      <c r="AD24" s="18">
        <v>18000</v>
      </c>
      <c r="AE24" s="18">
        <v>4000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14000</v>
      </c>
      <c r="AN24" s="18">
        <v>9900</v>
      </c>
      <c r="AO24" s="18">
        <v>0</v>
      </c>
      <c r="AP24" s="18">
        <v>9900</v>
      </c>
    </row>
    <row r="25" spans="1:42" x14ac:dyDescent="0.4">
      <c r="A25" s="17" t="s">
        <v>48</v>
      </c>
      <c r="B25" s="17" t="s">
        <v>81</v>
      </c>
      <c r="C25" s="17" t="s">
        <v>82</v>
      </c>
      <c r="D25" s="17" t="s">
        <v>83</v>
      </c>
      <c r="E25" s="17" t="s">
        <v>84</v>
      </c>
      <c r="F25" s="17" t="s">
        <v>49</v>
      </c>
      <c r="G25" s="17" t="s">
        <v>20</v>
      </c>
      <c r="H25" s="17" t="s">
        <v>21</v>
      </c>
      <c r="I25" s="17" t="s">
        <v>22</v>
      </c>
      <c r="J25" s="17">
        <v>49403666</v>
      </c>
      <c r="K25" s="17" t="s">
        <v>120</v>
      </c>
      <c r="L25" s="17"/>
      <c r="M25" s="17"/>
      <c r="N25" s="17" t="s">
        <v>64</v>
      </c>
      <c r="O25" s="17" t="s">
        <v>23</v>
      </c>
      <c r="P25" s="17">
        <v>0.55000000000000004</v>
      </c>
      <c r="Q25" s="17">
        <v>0.55000000000000004</v>
      </c>
      <c r="R25" s="18" t="s">
        <v>25</v>
      </c>
      <c r="S25" s="18">
        <v>100</v>
      </c>
      <c r="T25" s="18">
        <v>49300</v>
      </c>
      <c r="U25" s="18">
        <v>12700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36600</v>
      </c>
      <c r="AD25" s="18">
        <v>49300</v>
      </c>
      <c r="AE25" s="18">
        <v>12700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36600</v>
      </c>
      <c r="AN25" s="18">
        <v>27115</v>
      </c>
      <c r="AO25" s="18">
        <v>0</v>
      </c>
      <c r="AP25" s="18">
        <v>27115</v>
      </c>
    </row>
    <row r="26" spans="1:42" x14ac:dyDescent="0.4">
      <c r="A26" s="17" t="s">
        <v>48</v>
      </c>
      <c r="B26" s="17" t="s">
        <v>81</v>
      </c>
      <c r="C26" s="17" t="s">
        <v>82</v>
      </c>
      <c r="D26" s="17" t="s">
        <v>83</v>
      </c>
      <c r="E26" s="17" t="s">
        <v>84</v>
      </c>
      <c r="F26" s="17" t="s">
        <v>49</v>
      </c>
      <c r="G26" s="17" t="s">
        <v>20</v>
      </c>
      <c r="H26" s="17" t="s">
        <v>21</v>
      </c>
      <c r="I26" s="17" t="s">
        <v>22</v>
      </c>
      <c r="J26" s="17">
        <v>49403666</v>
      </c>
      <c r="K26" s="17" t="s">
        <v>120</v>
      </c>
      <c r="L26" s="17"/>
      <c r="M26" s="17"/>
      <c r="N26" s="17" t="s">
        <v>64</v>
      </c>
      <c r="O26" s="17" t="s">
        <v>23</v>
      </c>
      <c r="P26" s="17">
        <v>0.55000000000000004</v>
      </c>
      <c r="Q26" s="17">
        <v>0.55000000000000004</v>
      </c>
      <c r="R26" s="18" t="s">
        <v>24</v>
      </c>
      <c r="S26" s="18">
        <v>1800</v>
      </c>
      <c r="T26" s="18">
        <v>54500</v>
      </c>
      <c r="U26" s="18">
        <v>38300</v>
      </c>
      <c r="V26" s="18">
        <v>0</v>
      </c>
      <c r="W26" s="18">
        <v>0</v>
      </c>
      <c r="X26" s="18">
        <v>0</v>
      </c>
      <c r="Y26" s="18">
        <v>0</v>
      </c>
      <c r="Z26" s="18">
        <v>3600</v>
      </c>
      <c r="AA26" s="18">
        <v>0</v>
      </c>
      <c r="AB26" s="18">
        <v>0</v>
      </c>
      <c r="AC26" s="18">
        <v>12600</v>
      </c>
      <c r="AD26" s="18">
        <v>54860</v>
      </c>
      <c r="AE26" s="18">
        <v>38300</v>
      </c>
      <c r="AF26" s="18">
        <v>0</v>
      </c>
      <c r="AG26" s="18">
        <v>0</v>
      </c>
      <c r="AH26" s="18">
        <v>0</v>
      </c>
      <c r="AI26" s="18">
        <v>0</v>
      </c>
      <c r="AJ26" s="18">
        <v>3960</v>
      </c>
      <c r="AK26" s="18">
        <v>0</v>
      </c>
      <c r="AL26" s="18">
        <v>0</v>
      </c>
      <c r="AM26" s="18">
        <v>12600</v>
      </c>
      <c r="AN26" s="18">
        <v>30173</v>
      </c>
      <c r="AO26" s="18">
        <v>0</v>
      </c>
      <c r="AP26" s="18">
        <v>30173</v>
      </c>
    </row>
    <row r="27" spans="1:42" x14ac:dyDescent="0.4">
      <c r="A27" s="17" t="s">
        <v>48</v>
      </c>
      <c r="B27" s="17" t="s">
        <v>81</v>
      </c>
      <c r="C27" s="17" t="s">
        <v>82</v>
      </c>
      <c r="D27" s="17" t="s">
        <v>83</v>
      </c>
      <c r="E27" s="17" t="s">
        <v>84</v>
      </c>
      <c r="F27" s="17" t="s">
        <v>49</v>
      </c>
      <c r="G27" s="17" t="s">
        <v>20</v>
      </c>
      <c r="H27" s="17" t="s">
        <v>21</v>
      </c>
      <c r="I27" s="17" t="s">
        <v>22</v>
      </c>
      <c r="J27" s="17">
        <v>49403666</v>
      </c>
      <c r="K27" s="17" t="s">
        <v>120</v>
      </c>
      <c r="L27" s="17"/>
      <c r="M27" s="17"/>
      <c r="N27" s="17" t="s">
        <v>64</v>
      </c>
      <c r="O27" s="17" t="s">
        <v>23</v>
      </c>
      <c r="P27" s="17">
        <v>0.55000000000000004</v>
      </c>
      <c r="Q27" s="17">
        <v>0.55000000000000004</v>
      </c>
      <c r="R27" s="18" t="s">
        <v>24</v>
      </c>
      <c r="S27" s="18">
        <v>4500</v>
      </c>
      <c r="T27" s="18">
        <v>27000</v>
      </c>
      <c r="U27" s="18">
        <v>22500</v>
      </c>
      <c r="V27" s="18">
        <v>0</v>
      </c>
      <c r="W27" s="18">
        <v>0</v>
      </c>
      <c r="X27" s="18">
        <v>0</v>
      </c>
      <c r="Y27" s="18">
        <v>0</v>
      </c>
      <c r="Z27" s="18">
        <v>4500</v>
      </c>
      <c r="AA27" s="18">
        <v>0</v>
      </c>
      <c r="AB27" s="18">
        <v>0</v>
      </c>
      <c r="AC27" s="18">
        <v>0</v>
      </c>
      <c r="AD27" s="18">
        <v>27450</v>
      </c>
      <c r="AE27" s="18">
        <v>22500</v>
      </c>
      <c r="AF27" s="18">
        <v>0</v>
      </c>
      <c r="AG27" s="18">
        <v>0</v>
      </c>
      <c r="AH27" s="18">
        <v>0</v>
      </c>
      <c r="AI27" s="18">
        <v>0</v>
      </c>
      <c r="AJ27" s="18">
        <v>4950</v>
      </c>
      <c r="AK27" s="18">
        <v>0</v>
      </c>
      <c r="AL27" s="18">
        <v>0</v>
      </c>
      <c r="AM27" s="18">
        <v>0</v>
      </c>
      <c r="AN27" s="18">
        <v>15098</v>
      </c>
      <c r="AO27" s="18">
        <v>0</v>
      </c>
      <c r="AP27" s="18">
        <v>15098</v>
      </c>
    </row>
    <row r="28" spans="1:42" x14ac:dyDescent="0.4">
      <c r="A28" s="17" t="s">
        <v>48</v>
      </c>
      <c r="B28" s="17" t="s">
        <v>81</v>
      </c>
      <c r="C28" s="17" t="s">
        <v>82</v>
      </c>
      <c r="D28" s="17" t="s">
        <v>83</v>
      </c>
      <c r="E28" s="17" t="s">
        <v>84</v>
      </c>
      <c r="F28" s="17" t="s">
        <v>49</v>
      </c>
      <c r="G28" s="17" t="s">
        <v>20</v>
      </c>
      <c r="H28" s="17" t="s">
        <v>21</v>
      </c>
      <c r="I28" s="17" t="s">
        <v>22</v>
      </c>
      <c r="J28" s="17">
        <v>49403666</v>
      </c>
      <c r="K28" s="17" t="s">
        <v>120</v>
      </c>
      <c r="L28" s="17"/>
      <c r="M28" s="17"/>
      <c r="N28" s="17" t="s">
        <v>64</v>
      </c>
      <c r="O28" s="17" t="s">
        <v>23</v>
      </c>
      <c r="P28" s="17">
        <v>0.55000000000000004</v>
      </c>
      <c r="Q28" s="17">
        <v>0.55000000000000004</v>
      </c>
      <c r="R28" s="18" t="s">
        <v>24</v>
      </c>
      <c r="S28" s="18">
        <v>9000</v>
      </c>
      <c r="T28" s="18">
        <v>9000</v>
      </c>
      <c r="U28" s="18">
        <v>4000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5000</v>
      </c>
      <c r="AD28" s="18">
        <v>9000</v>
      </c>
      <c r="AE28" s="18">
        <v>4000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5000</v>
      </c>
      <c r="AN28" s="18">
        <v>4950</v>
      </c>
      <c r="AO28" s="18">
        <v>0</v>
      </c>
      <c r="AP28" s="18">
        <v>4950</v>
      </c>
    </row>
    <row r="29" spans="1:42" x14ac:dyDescent="0.4">
      <c r="A29" s="17" t="s">
        <v>48</v>
      </c>
      <c r="B29" s="17" t="s">
        <v>81</v>
      </c>
      <c r="C29" s="17" t="s">
        <v>82</v>
      </c>
      <c r="D29" s="17" t="s">
        <v>83</v>
      </c>
      <c r="E29" s="17" t="s">
        <v>84</v>
      </c>
      <c r="F29" s="17" t="s">
        <v>49</v>
      </c>
      <c r="G29" s="17" t="s">
        <v>20</v>
      </c>
      <c r="H29" s="17" t="s">
        <v>21</v>
      </c>
      <c r="I29" s="17" t="s">
        <v>22</v>
      </c>
      <c r="J29" s="17">
        <v>50171772</v>
      </c>
      <c r="K29" s="17" t="s">
        <v>70</v>
      </c>
      <c r="L29" s="17"/>
      <c r="M29" s="17"/>
      <c r="N29" s="17" t="s">
        <v>64</v>
      </c>
      <c r="O29" s="17" t="s">
        <v>23</v>
      </c>
      <c r="P29" s="17">
        <v>0.55000000000000004</v>
      </c>
      <c r="Q29" s="17">
        <v>0.55000000000000004</v>
      </c>
      <c r="R29" s="18" t="s">
        <v>25</v>
      </c>
      <c r="S29" s="18">
        <v>100</v>
      </c>
      <c r="T29" s="18">
        <v>1574600</v>
      </c>
      <c r="U29" s="18">
        <v>451930</v>
      </c>
      <c r="V29" s="18">
        <v>0</v>
      </c>
      <c r="W29" s="18">
        <v>0</v>
      </c>
      <c r="X29" s="18">
        <v>0</v>
      </c>
      <c r="Y29" s="18">
        <v>3200</v>
      </c>
      <c r="Z29" s="18">
        <v>28180</v>
      </c>
      <c r="AA29" s="18">
        <v>0</v>
      </c>
      <c r="AB29" s="18">
        <v>0</v>
      </c>
      <c r="AC29" s="18">
        <v>1091290</v>
      </c>
      <c r="AD29" s="18">
        <v>1578058</v>
      </c>
      <c r="AE29" s="18">
        <v>451930</v>
      </c>
      <c r="AF29" s="18">
        <v>0</v>
      </c>
      <c r="AG29" s="18">
        <v>0</v>
      </c>
      <c r="AH29" s="18">
        <v>0</v>
      </c>
      <c r="AI29" s="18">
        <v>3840</v>
      </c>
      <c r="AJ29" s="18">
        <v>30998</v>
      </c>
      <c r="AK29" s="18">
        <v>0</v>
      </c>
      <c r="AL29" s="18">
        <v>0</v>
      </c>
      <c r="AM29" s="18">
        <v>1091290</v>
      </c>
      <c r="AN29" s="18">
        <v>867932</v>
      </c>
      <c r="AO29" s="18">
        <v>0</v>
      </c>
      <c r="AP29" s="18">
        <v>867932</v>
      </c>
    </row>
    <row r="30" spans="1:42" x14ac:dyDescent="0.4">
      <c r="A30" s="17" t="s">
        <v>48</v>
      </c>
      <c r="B30" s="17" t="s">
        <v>81</v>
      </c>
      <c r="C30" s="17" t="s">
        <v>82</v>
      </c>
      <c r="D30" s="17" t="s">
        <v>83</v>
      </c>
      <c r="E30" s="17" t="s">
        <v>84</v>
      </c>
      <c r="F30" s="17" t="s">
        <v>49</v>
      </c>
      <c r="G30" s="17" t="s">
        <v>20</v>
      </c>
      <c r="H30" s="17" t="s">
        <v>21</v>
      </c>
      <c r="I30" s="17" t="s">
        <v>22</v>
      </c>
      <c r="J30" s="17">
        <v>50171772</v>
      </c>
      <c r="K30" s="17" t="s">
        <v>70</v>
      </c>
      <c r="L30" s="17"/>
      <c r="M30" s="17"/>
      <c r="N30" s="17" t="s">
        <v>64</v>
      </c>
      <c r="O30" s="17" t="s">
        <v>23</v>
      </c>
      <c r="P30" s="17">
        <v>0.55000000000000004</v>
      </c>
      <c r="Q30" s="17">
        <v>0.55000000000000004</v>
      </c>
      <c r="R30" s="18" t="s">
        <v>24</v>
      </c>
      <c r="S30" s="18">
        <v>2400</v>
      </c>
      <c r="T30" s="18">
        <v>1804200</v>
      </c>
      <c r="U30" s="18">
        <v>1268740</v>
      </c>
      <c r="V30" s="18">
        <v>0</v>
      </c>
      <c r="W30" s="18">
        <v>0</v>
      </c>
      <c r="X30" s="18">
        <v>0</v>
      </c>
      <c r="Y30" s="18">
        <v>4500</v>
      </c>
      <c r="Z30" s="18">
        <v>65400</v>
      </c>
      <c r="AA30" s="18">
        <v>0</v>
      </c>
      <c r="AB30" s="18">
        <v>0</v>
      </c>
      <c r="AC30" s="18">
        <v>465560</v>
      </c>
      <c r="AD30" s="18">
        <v>1811640</v>
      </c>
      <c r="AE30" s="18">
        <v>1268740</v>
      </c>
      <c r="AF30" s="18">
        <v>0</v>
      </c>
      <c r="AG30" s="18">
        <v>0</v>
      </c>
      <c r="AH30" s="18">
        <v>0</v>
      </c>
      <c r="AI30" s="18">
        <v>5400</v>
      </c>
      <c r="AJ30" s="18">
        <v>71940</v>
      </c>
      <c r="AK30" s="18">
        <v>0</v>
      </c>
      <c r="AL30" s="18">
        <v>0</v>
      </c>
      <c r="AM30" s="18">
        <v>465560</v>
      </c>
      <c r="AN30" s="18">
        <v>996402</v>
      </c>
      <c r="AO30" s="18">
        <v>0</v>
      </c>
      <c r="AP30" s="18">
        <v>996402</v>
      </c>
    </row>
    <row r="31" spans="1:42" x14ac:dyDescent="0.4">
      <c r="A31" s="17" t="s">
        <v>48</v>
      </c>
      <c r="B31" s="17" t="s">
        <v>81</v>
      </c>
      <c r="C31" s="17" t="s">
        <v>82</v>
      </c>
      <c r="D31" s="17" t="s">
        <v>83</v>
      </c>
      <c r="E31" s="17" t="s">
        <v>84</v>
      </c>
      <c r="F31" s="17" t="s">
        <v>49</v>
      </c>
      <c r="G31" s="17" t="s">
        <v>20</v>
      </c>
      <c r="H31" s="17" t="s">
        <v>21</v>
      </c>
      <c r="I31" s="17" t="s">
        <v>22</v>
      </c>
      <c r="J31" s="17">
        <v>50171772</v>
      </c>
      <c r="K31" s="17" t="s">
        <v>70</v>
      </c>
      <c r="L31" s="17"/>
      <c r="M31" s="17"/>
      <c r="N31" s="17" t="s">
        <v>64</v>
      </c>
      <c r="O31" s="17" t="s">
        <v>23</v>
      </c>
      <c r="P31" s="17">
        <v>0.55000000000000004</v>
      </c>
      <c r="Q31" s="17">
        <v>0.55000000000000004</v>
      </c>
      <c r="R31" s="18" t="s">
        <v>24</v>
      </c>
      <c r="S31" s="18">
        <v>9200</v>
      </c>
      <c r="T31" s="18">
        <v>1378700</v>
      </c>
      <c r="U31" s="18">
        <v>1074740</v>
      </c>
      <c r="V31" s="18">
        <v>0</v>
      </c>
      <c r="W31" s="18">
        <v>0</v>
      </c>
      <c r="X31" s="18">
        <v>0</v>
      </c>
      <c r="Y31" s="18">
        <v>300</v>
      </c>
      <c r="Z31" s="18">
        <v>73300</v>
      </c>
      <c r="AA31" s="18">
        <v>0</v>
      </c>
      <c r="AB31" s="18">
        <v>0</v>
      </c>
      <c r="AC31" s="18">
        <v>230360</v>
      </c>
      <c r="AD31" s="18">
        <v>1386090</v>
      </c>
      <c r="AE31" s="18">
        <v>1074740</v>
      </c>
      <c r="AF31" s="18">
        <v>0</v>
      </c>
      <c r="AG31" s="18">
        <v>0</v>
      </c>
      <c r="AH31" s="18">
        <v>0</v>
      </c>
      <c r="AI31" s="18">
        <v>360</v>
      </c>
      <c r="AJ31" s="18">
        <v>80630</v>
      </c>
      <c r="AK31" s="18">
        <v>0</v>
      </c>
      <c r="AL31" s="18">
        <v>0</v>
      </c>
      <c r="AM31" s="18">
        <v>230360</v>
      </c>
      <c r="AN31" s="18">
        <v>762350</v>
      </c>
      <c r="AO31" s="18">
        <v>0</v>
      </c>
      <c r="AP31" s="18">
        <v>762350</v>
      </c>
    </row>
    <row r="32" spans="1:42" x14ac:dyDescent="0.4">
      <c r="A32" s="17" t="s">
        <v>48</v>
      </c>
      <c r="B32" s="17" t="s">
        <v>81</v>
      </c>
      <c r="C32" s="17" t="s">
        <v>82</v>
      </c>
      <c r="D32" s="17" t="s">
        <v>83</v>
      </c>
      <c r="E32" s="17" t="s">
        <v>84</v>
      </c>
      <c r="F32" s="17" t="s">
        <v>49</v>
      </c>
      <c r="G32" s="17" t="s">
        <v>20</v>
      </c>
      <c r="H32" s="17" t="s">
        <v>21</v>
      </c>
      <c r="I32" s="17" t="s">
        <v>22</v>
      </c>
      <c r="J32" s="17">
        <v>50171772</v>
      </c>
      <c r="K32" s="17" t="s">
        <v>70</v>
      </c>
      <c r="L32" s="17"/>
      <c r="M32" s="17"/>
      <c r="N32" s="17" t="s">
        <v>64</v>
      </c>
      <c r="O32" s="17" t="s">
        <v>23</v>
      </c>
      <c r="P32" s="17">
        <v>0.55000000000000004</v>
      </c>
      <c r="Q32" s="17">
        <v>0.55000000000000004</v>
      </c>
      <c r="R32" s="18" t="s">
        <v>24</v>
      </c>
      <c r="S32" s="18">
        <v>18000</v>
      </c>
      <c r="T32" s="18">
        <v>544600</v>
      </c>
      <c r="U32" s="18">
        <v>448460</v>
      </c>
      <c r="V32" s="18">
        <v>0</v>
      </c>
      <c r="W32" s="18">
        <v>0</v>
      </c>
      <c r="X32" s="18">
        <v>0</v>
      </c>
      <c r="Y32" s="18">
        <v>0</v>
      </c>
      <c r="Z32" s="18">
        <v>40000</v>
      </c>
      <c r="AA32" s="18">
        <v>0</v>
      </c>
      <c r="AB32" s="18">
        <v>0</v>
      </c>
      <c r="AC32" s="18">
        <v>56140</v>
      </c>
      <c r="AD32" s="18">
        <v>548600</v>
      </c>
      <c r="AE32" s="18">
        <v>448460</v>
      </c>
      <c r="AF32" s="18">
        <v>0</v>
      </c>
      <c r="AG32" s="18">
        <v>0</v>
      </c>
      <c r="AH32" s="18">
        <v>0</v>
      </c>
      <c r="AI32" s="18">
        <v>0</v>
      </c>
      <c r="AJ32" s="18">
        <v>44000</v>
      </c>
      <c r="AK32" s="18">
        <v>0</v>
      </c>
      <c r="AL32" s="18">
        <v>0</v>
      </c>
      <c r="AM32" s="18">
        <v>56140</v>
      </c>
      <c r="AN32" s="18">
        <v>301730</v>
      </c>
      <c r="AO32" s="18">
        <v>0</v>
      </c>
      <c r="AP32" s="18">
        <v>301730</v>
      </c>
    </row>
    <row r="33" spans="1:42" x14ac:dyDescent="0.4">
      <c r="A33" s="17" t="s">
        <v>48</v>
      </c>
      <c r="B33" s="17" t="s">
        <v>81</v>
      </c>
      <c r="C33" s="17" t="s">
        <v>82</v>
      </c>
      <c r="D33" s="17" t="s">
        <v>83</v>
      </c>
      <c r="E33" s="17" t="s">
        <v>84</v>
      </c>
      <c r="F33" s="17" t="s">
        <v>49</v>
      </c>
      <c r="G33" s="17" t="s">
        <v>20</v>
      </c>
      <c r="H33" s="17" t="s">
        <v>21</v>
      </c>
      <c r="I33" s="17" t="s">
        <v>22</v>
      </c>
      <c r="J33" s="17">
        <v>52327507</v>
      </c>
      <c r="K33" s="17" t="s">
        <v>90</v>
      </c>
      <c r="L33" s="17"/>
      <c r="M33" s="17"/>
      <c r="N33" s="17" t="s">
        <v>64</v>
      </c>
      <c r="O33" s="17" t="s">
        <v>23</v>
      </c>
      <c r="P33" s="17">
        <v>0.55000000000000004</v>
      </c>
      <c r="Q33" s="17">
        <v>0.55000000000000004</v>
      </c>
      <c r="R33" s="18" t="s">
        <v>25</v>
      </c>
      <c r="S33" s="18">
        <v>100</v>
      </c>
      <c r="T33" s="18">
        <v>161400</v>
      </c>
      <c r="U33" s="18">
        <v>43520</v>
      </c>
      <c r="V33" s="18">
        <v>0</v>
      </c>
      <c r="W33" s="18">
        <v>0</v>
      </c>
      <c r="X33" s="18">
        <v>0</v>
      </c>
      <c r="Y33" s="18">
        <v>3000</v>
      </c>
      <c r="Z33" s="18">
        <v>3400</v>
      </c>
      <c r="AA33" s="18">
        <v>0</v>
      </c>
      <c r="AB33" s="18">
        <v>0</v>
      </c>
      <c r="AC33" s="18">
        <v>111480</v>
      </c>
      <c r="AD33" s="18">
        <v>162340</v>
      </c>
      <c r="AE33" s="18">
        <v>43520</v>
      </c>
      <c r="AF33" s="18">
        <v>0</v>
      </c>
      <c r="AG33" s="18">
        <v>0</v>
      </c>
      <c r="AH33" s="18">
        <v>0</v>
      </c>
      <c r="AI33" s="18">
        <v>3600</v>
      </c>
      <c r="AJ33" s="18">
        <v>3740</v>
      </c>
      <c r="AK33" s="18">
        <v>0</v>
      </c>
      <c r="AL33" s="18">
        <v>0</v>
      </c>
      <c r="AM33" s="18">
        <v>111480</v>
      </c>
      <c r="AN33" s="18">
        <v>89287</v>
      </c>
      <c r="AO33" s="18">
        <v>0</v>
      </c>
      <c r="AP33" s="18">
        <v>89287</v>
      </c>
    </row>
    <row r="34" spans="1:42" x14ac:dyDescent="0.4">
      <c r="A34" s="17" t="s">
        <v>48</v>
      </c>
      <c r="B34" s="17" t="s">
        <v>81</v>
      </c>
      <c r="C34" s="17" t="s">
        <v>82</v>
      </c>
      <c r="D34" s="17" t="s">
        <v>83</v>
      </c>
      <c r="E34" s="17" t="s">
        <v>84</v>
      </c>
      <c r="F34" s="17" t="s">
        <v>49</v>
      </c>
      <c r="G34" s="17" t="s">
        <v>20</v>
      </c>
      <c r="H34" s="17" t="s">
        <v>21</v>
      </c>
      <c r="I34" s="17" t="s">
        <v>22</v>
      </c>
      <c r="J34" s="17">
        <v>52327507</v>
      </c>
      <c r="K34" s="17" t="s">
        <v>90</v>
      </c>
      <c r="L34" s="17"/>
      <c r="M34" s="17"/>
      <c r="N34" s="17" t="s">
        <v>64</v>
      </c>
      <c r="O34" s="17" t="s">
        <v>23</v>
      </c>
      <c r="P34" s="17">
        <v>0.55000000000000004</v>
      </c>
      <c r="Q34" s="17">
        <v>0.55000000000000004</v>
      </c>
      <c r="R34" s="18" t="s">
        <v>24</v>
      </c>
      <c r="S34" s="18">
        <v>2400</v>
      </c>
      <c r="T34" s="18">
        <v>146000</v>
      </c>
      <c r="U34" s="18">
        <v>88980</v>
      </c>
      <c r="V34" s="18">
        <v>0</v>
      </c>
      <c r="W34" s="18">
        <v>0</v>
      </c>
      <c r="X34" s="18">
        <v>0</v>
      </c>
      <c r="Y34" s="18">
        <v>0</v>
      </c>
      <c r="Z34" s="18">
        <v>23800</v>
      </c>
      <c r="AA34" s="18">
        <v>0</v>
      </c>
      <c r="AB34" s="18">
        <v>0</v>
      </c>
      <c r="AC34" s="18">
        <v>33220</v>
      </c>
      <c r="AD34" s="18">
        <v>148380</v>
      </c>
      <c r="AE34" s="18">
        <v>88980</v>
      </c>
      <c r="AF34" s="18">
        <v>0</v>
      </c>
      <c r="AG34" s="18">
        <v>0</v>
      </c>
      <c r="AH34" s="18">
        <v>0</v>
      </c>
      <c r="AI34" s="18">
        <v>0</v>
      </c>
      <c r="AJ34" s="18">
        <v>26180</v>
      </c>
      <c r="AK34" s="18">
        <v>0</v>
      </c>
      <c r="AL34" s="18">
        <v>0</v>
      </c>
      <c r="AM34" s="18">
        <v>33220</v>
      </c>
      <c r="AN34" s="18">
        <v>81609</v>
      </c>
      <c r="AO34" s="18">
        <v>0</v>
      </c>
      <c r="AP34" s="18">
        <v>81609</v>
      </c>
    </row>
    <row r="35" spans="1:42" x14ac:dyDescent="0.4">
      <c r="A35" s="17" t="s">
        <v>48</v>
      </c>
      <c r="B35" s="17" t="s">
        <v>81</v>
      </c>
      <c r="C35" s="17" t="s">
        <v>82</v>
      </c>
      <c r="D35" s="17" t="s">
        <v>83</v>
      </c>
      <c r="E35" s="17" t="s">
        <v>84</v>
      </c>
      <c r="F35" s="17" t="s">
        <v>49</v>
      </c>
      <c r="G35" s="17" t="s">
        <v>20</v>
      </c>
      <c r="H35" s="17" t="s">
        <v>21</v>
      </c>
      <c r="I35" s="17" t="s">
        <v>22</v>
      </c>
      <c r="J35" s="17">
        <v>52327507</v>
      </c>
      <c r="K35" s="17" t="s">
        <v>90</v>
      </c>
      <c r="L35" s="17"/>
      <c r="M35" s="17"/>
      <c r="N35" s="17" t="s">
        <v>64</v>
      </c>
      <c r="O35" s="17" t="s">
        <v>23</v>
      </c>
      <c r="P35" s="17">
        <v>0.55000000000000004</v>
      </c>
      <c r="Q35" s="17">
        <v>0.55000000000000004</v>
      </c>
      <c r="R35" s="18" t="s">
        <v>24</v>
      </c>
      <c r="S35" s="18">
        <v>9200</v>
      </c>
      <c r="T35" s="18">
        <v>122500</v>
      </c>
      <c r="U35" s="18">
        <v>80900</v>
      </c>
      <c r="V35" s="18">
        <v>0</v>
      </c>
      <c r="W35" s="18">
        <v>0</v>
      </c>
      <c r="X35" s="18">
        <v>0</v>
      </c>
      <c r="Y35" s="18">
        <v>0</v>
      </c>
      <c r="Z35" s="18">
        <v>12900</v>
      </c>
      <c r="AA35" s="18">
        <v>0</v>
      </c>
      <c r="AB35" s="18">
        <v>0</v>
      </c>
      <c r="AC35" s="18">
        <v>28700</v>
      </c>
      <c r="AD35" s="18">
        <v>123790</v>
      </c>
      <c r="AE35" s="18">
        <v>80900</v>
      </c>
      <c r="AF35" s="18">
        <v>0</v>
      </c>
      <c r="AG35" s="18">
        <v>0</v>
      </c>
      <c r="AH35" s="18">
        <v>0</v>
      </c>
      <c r="AI35" s="18">
        <v>0</v>
      </c>
      <c r="AJ35" s="18">
        <v>14190</v>
      </c>
      <c r="AK35" s="18">
        <v>0</v>
      </c>
      <c r="AL35" s="18">
        <v>0</v>
      </c>
      <c r="AM35" s="18">
        <v>28700</v>
      </c>
      <c r="AN35" s="18">
        <v>68085</v>
      </c>
      <c r="AO35" s="18">
        <v>0</v>
      </c>
      <c r="AP35" s="18">
        <v>68085</v>
      </c>
    </row>
    <row r="36" spans="1:42" x14ac:dyDescent="0.4">
      <c r="A36" s="17" t="s">
        <v>48</v>
      </c>
      <c r="B36" s="17" t="s">
        <v>81</v>
      </c>
      <c r="C36" s="17" t="s">
        <v>82</v>
      </c>
      <c r="D36" s="17" t="s">
        <v>83</v>
      </c>
      <c r="E36" s="17" t="s">
        <v>84</v>
      </c>
      <c r="F36" s="17" t="s">
        <v>49</v>
      </c>
      <c r="G36" s="17" t="s">
        <v>20</v>
      </c>
      <c r="H36" s="17" t="s">
        <v>21</v>
      </c>
      <c r="I36" s="17" t="s">
        <v>22</v>
      </c>
      <c r="J36" s="17">
        <v>52327507</v>
      </c>
      <c r="K36" s="17" t="s">
        <v>90</v>
      </c>
      <c r="L36" s="17"/>
      <c r="M36" s="17"/>
      <c r="N36" s="17" t="s">
        <v>64</v>
      </c>
      <c r="O36" s="17" t="s">
        <v>23</v>
      </c>
      <c r="P36" s="17">
        <v>0.55000000000000004</v>
      </c>
      <c r="Q36" s="17">
        <v>0.55000000000000004</v>
      </c>
      <c r="R36" s="18" t="s">
        <v>24</v>
      </c>
      <c r="S36" s="18">
        <v>18000</v>
      </c>
      <c r="T36" s="18">
        <v>36000</v>
      </c>
      <c r="U36" s="18">
        <v>36000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36000</v>
      </c>
      <c r="AE36" s="18">
        <v>36000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19800</v>
      </c>
      <c r="AO36" s="18">
        <v>0</v>
      </c>
      <c r="AP36" s="18">
        <v>19800</v>
      </c>
    </row>
    <row r="37" spans="1:42" x14ac:dyDescent="0.4">
      <c r="A37" s="17" t="s">
        <v>48</v>
      </c>
      <c r="B37" s="17" t="s">
        <v>81</v>
      </c>
      <c r="C37" s="17" t="s">
        <v>82</v>
      </c>
      <c r="D37" s="17" t="s">
        <v>83</v>
      </c>
      <c r="E37" s="17" t="s">
        <v>84</v>
      </c>
      <c r="F37" s="17" t="s">
        <v>49</v>
      </c>
      <c r="G37" s="17" t="s">
        <v>20</v>
      </c>
      <c r="H37" s="17" t="s">
        <v>21</v>
      </c>
      <c r="I37" s="17" t="s">
        <v>22</v>
      </c>
      <c r="J37" s="17">
        <v>55635870</v>
      </c>
      <c r="K37" s="17" t="s">
        <v>88</v>
      </c>
      <c r="L37" s="17"/>
      <c r="M37" s="17"/>
      <c r="N37" s="17" t="s">
        <v>64</v>
      </c>
      <c r="O37" s="17" t="s">
        <v>23</v>
      </c>
      <c r="P37" s="17">
        <v>0.55000000000000004</v>
      </c>
      <c r="Q37" s="17">
        <v>0.55000000000000004</v>
      </c>
      <c r="R37" s="18" t="s">
        <v>25</v>
      </c>
      <c r="S37" s="18">
        <v>100</v>
      </c>
      <c r="T37" s="18">
        <v>2069800</v>
      </c>
      <c r="U37" s="18">
        <v>592440</v>
      </c>
      <c r="V37" s="18">
        <v>0</v>
      </c>
      <c r="W37" s="18">
        <v>0</v>
      </c>
      <c r="X37" s="18">
        <v>0</v>
      </c>
      <c r="Y37" s="18">
        <v>12080</v>
      </c>
      <c r="Z37" s="18">
        <v>21600</v>
      </c>
      <c r="AA37" s="18">
        <v>0</v>
      </c>
      <c r="AB37" s="18">
        <v>0</v>
      </c>
      <c r="AC37" s="18">
        <v>1443680</v>
      </c>
      <c r="AD37" s="18">
        <v>2074376</v>
      </c>
      <c r="AE37" s="18">
        <v>592440</v>
      </c>
      <c r="AF37" s="18">
        <v>0</v>
      </c>
      <c r="AG37" s="18">
        <v>0</v>
      </c>
      <c r="AH37" s="18">
        <v>0</v>
      </c>
      <c r="AI37" s="18">
        <v>14496</v>
      </c>
      <c r="AJ37" s="18">
        <v>23760</v>
      </c>
      <c r="AK37" s="18">
        <v>0</v>
      </c>
      <c r="AL37" s="18">
        <v>0</v>
      </c>
      <c r="AM37" s="18">
        <v>1443680</v>
      </c>
      <c r="AN37" s="18">
        <v>1140907</v>
      </c>
      <c r="AO37" s="18">
        <v>0</v>
      </c>
      <c r="AP37" s="18">
        <v>1140907</v>
      </c>
    </row>
    <row r="38" spans="1:42" x14ac:dyDescent="0.4">
      <c r="A38" s="17" t="s">
        <v>48</v>
      </c>
      <c r="B38" s="17" t="s">
        <v>81</v>
      </c>
      <c r="C38" s="17" t="s">
        <v>82</v>
      </c>
      <c r="D38" s="17" t="s">
        <v>83</v>
      </c>
      <c r="E38" s="17" t="s">
        <v>84</v>
      </c>
      <c r="F38" s="17" t="s">
        <v>49</v>
      </c>
      <c r="G38" s="17" t="s">
        <v>20</v>
      </c>
      <c r="H38" s="17" t="s">
        <v>21</v>
      </c>
      <c r="I38" s="17" t="s">
        <v>22</v>
      </c>
      <c r="J38" s="17">
        <v>55635870</v>
      </c>
      <c r="K38" s="17" t="s">
        <v>88</v>
      </c>
      <c r="L38" s="17"/>
      <c r="M38" s="17"/>
      <c r="N38" s="17" t="s">
        <v>64</v>
      </c>
      <c r="O38" s="17" t="s">
        <v>23</v>
      </c>
      <c r="P38" s="17">
        <v>0.55000000000000004</v>
      </c>
      <c r="Q38" s="17">
        <v>0.55000000000000004</v>
      </c>
      <c r="R38" s="18" t="s">
        <v>24</v>
      </c>
      <c r="S38" s="18">
        <v>2400</v>
      </c>
      <c r="T38" s="18">
        <v>2291000</v>
      </c>
      <c r="U38" s="18">
        <v>1627280</v>
      </c>
      <c r="V38" s="18">
        <v>0</v>
      </c>
      <c r="W38" s="18">
        <v>0</v>
      </c>
      <c r="X38" s="18">
        <v>-1900</v>
      </c>
      <c r="Y38" s="18">
        <v>680</v>
      </c>
      <c r="Z38" s="18">
        <v>84920</v>
      </c>
      <c r="AA38" s="18">
        <v>-300</v>
      </c>
      <c r="AB38" s="18">
        <v>0</v>
      </c>
      <c r="AC38" s="18">
        <v>580320</v>
      </c>
      <c r="AD38" s="18">
        <v>2298782.8276999998</v>
      </c>
      <c r="AE38" s="18">
        <v>1627280</v>
      </c>
      <c r="AF38" s="18">
        <v>0</v>
      </c>
      <c r="AG38" s="18">
        <v>0</v>
      </c>
      <c r="AH38" s="18">
        <v>-2629.9214999999999</v>
      </c>
      <c r="AI38" s="18">
        <v>816</v>
      </c>
      <c r="AJ38" s="18">
        <v>93412</v>
      </c>
      <c r="AK38" s="18">
        <v>-415.25080000000003</v>
      </c>
      <c r="AL38" s="18">
        <v>0</v>
      </c>
      <c r="AM38" s="18">
        <v>580320</v>
      </c>
      <c r="AN38" s="18">
        <v>1264331</v>
      </c>
      <c r="AO38" s="18">
        <v>0</v>
      </c>
      <c r="AP38" s="18">
        <v>1264331</v>
      </c>
    </row>
    <row r="39" spans="1:42" x14ac:dyDescent="0.4">
      <c r="A39" s="17" t="s">
        <v>48</v>
      </c>
      <c r="B39" s="17" t="s">
        <v>81</v>
      </c>
      <c r="C39" s="17" t="s">
        <v>82</v>
      </c>
      <c r="D39" s="17" t="s">
        <v>83</v>
      </c>
      <c r="E39" s="17" t="s">
        <v>84</v>
      </c>
      <c r="F39" s="17" t="s">
        <v>49</v>
      </c>
      <c r="G39" s="17" t="s">
        <v>20</v>
      </c>
      <c r="H39" s="17" t="s">
        <v>21</v>
      </c>
      <c r="I39" s="17" t="s">
        <v>22</v>
      </c>
      <c r="J39" s="17">
        <v>55635870</v>
      </c>
      <c r="K39" s="17" t="s">
        <v>88</v>
      </c>
      <c r="L39" s="17"/>
      <c r="M39" s="17"/>
      <c r="N39" s="17" t="s">
        <v>64</v>
      </c>
      <c r="O39" s="17" t="s">
        <v>23</v>
      </c>
      <c r="P39" s="17">
        <v>0.55000000000000004</v>
      </c>
      <c r="Q39" s="17">
        <v>0.55000000000000004</v>
      </c>
      <c r="R39" s="18" t="s">
        <v>24</v>
      </c>
      <c r="S39" s="18">
        <v>9200</v>
      </c>
      <c r="T39" s="18">
        <v>2512300</v>
      </c>
      <c r="U39" s="18">
        <v>2181600</v>
      </c>
      <c r="V39" s="18">
        <v>0</v>
      </c>
      <c r="W39" s="18">
        <v>0</v>
      </c>
      <c r="X39" s="18">
        <v>0</v>
      </c>
      <c r="Y39" s="18">
        <v>-3000</v>
      </c>
      <c r="Z39" s="18">
        <v>146400</v>
      </c>
      <c r="AA39" s="18">
        <v>0</v>
      </c>
      <c r="AB39" s="18">
        <v>0</v>
      </c>
      <c r="AC39" s="18">
        <v>187300</v>
      </c>
      <c r="AD39" s="18">
        <v>2526340</v>
      </c>
      <c r="AE39" s="18">
        <v>2181600</v>
      </c>
      <c r="AF39" s="18">
        <v>0</v>
      </c>
      <c r="AG39" s="18">
        <v>0</v>
      </c>
      <c r="AH39" s="18">
        <v>0</v>
      </c>
      <c r="AI39" s="18">
        <v>-3600</v>
      </c>
      <c r="AJ39" s="18">
        <v>161040</v>
      </c>
      <c r="AK39" s="18">
        <v>0</v>
      </c>
      <c r="AL39" s="18">
        <v>0</v>
      </c>
      <c r="AM39" s="18">
        <v>187300</v>
      </c>
      <c r="AN39" s="18">
        <v>1389487</v>
      </c>
      <c r="AO39" s="18">
        <v>0</v>
      </c>
      <c r="AP39" s="18">
        <v>1389487</v>
      </c>
    </row>
    <row r="40" spans="1:42" x14ac:dyDescent="0.4">
      <c r="A40" s="17" t="s">
        <v>48</v>
      </c>
      <c r="B40" s="17" t="s">
        <v>81</v>
      </c>
      <c r="C40" s="17" t="s">
        <v>82</v>
      </c>
      <c r="D40" s="17" t="s">
        <v>83</v>
      </c>
      <c r="E40" s="17" t="s">
        <v>84</v>
      </c>
      <c r="F40" s="17" t="s">
        <v>49</v>
      </c>
      <c r="G40" s="17" t="s">
        <v>20</v>
      </c>
      <c r="H40" s="17" t="s">
        <v>21</v>
      </c>
      <c r="I40" s="17" t="s">
        <v>22</v>
      </c>
      <c r="J40" s="17">
        <v>55635870</v>
      </c>
      <c r="K40" s="17" t="s">
        <v>88</v>
      </c>
      <c r="L40" s="17"/>
      <c r="M40" s="17"/>
      <c r="N40" s="17" t="s">
        <v>64</v>
      </c>
      <c r="O40" s="17" t="s">
        <v>23</v>
      </c>
      <c r="P40" s="17">
        <v>0.55000000000000004</v>
      </c>
      <c r="Q40" s="17">
        <v>0.55000000000000004</v>
      </c>
      <c r="R40" s="18" t="s">
        <v>24</v>
      </c>
      <c r="S40" s="18">
        <v>18000</v>
      </c>
      <c r="T40" s="18">
        <v>1540900</v>
      </c>
      <c r="U40" s="18">
        <v>1417800</v>
      </c>
      <c r="V40" s="18">
        <v>0</v>
      </c>
      <c r="W40" s="18">
        <v>0</v>
      </c>
      <c r="X40" s="18">
        <v>0</v>
      </c>
      <c r="Y40" s="18">
        <v>0</v>
      </c>
      <c r="Z40" s="18">
        <v>36000</v>
      </c>
      <c r="AA40" s="18">
        <v>0</v>
      </c>
      <c r="AB40" s="18">
        <v>0</v>
      </c>
      <c r="AC40" s="18">
        <v>87100</v>
      </c>
      <c r="AD40" s="18">
        <v>1544500</v>
      </c>
      <c r="AE40" s="18">
        <v>1417800</v>
      </c>
      <c r="AF40" s="18">
        <v>0</v>
      </c>
      <c r="AG40" s="18">
        <v>0</v>
      </c>
      <c r="AH40" s="18">
        <v>0</v>
      </c>
      <c r="AI40" s="18">
        <v>0</v>
      </c>
      <c r="AJ40" s="18">
        <v>39600</v>
      </c>
      <c r="AK40" s="18">
        <v>0</v>
      </c>
      <c r="AL40" s="18">
        <v>0</v>
      </c>
      <c r="AM40" s="18">
        <v>87100</v>
      </c>
      <c r="AN40" s="18">
        <v>849475</v>
      </c>
      <c r="AO40" s="18">
        <v>0</v>
      </c>
      <c r="AP40" s="18">
        <v>849475</v>
      </c>
    </row>
    <row r="41" spans="1:42" x14ac:dyDescent="0.4">
      <c r="A41" s="17" t="s">
        <v>48</v>
      </c>
      <c r="B41" s="17" t="s">
        <v>81</v>
      </c>
      <c r="C41" s="17" t="s">
        <v>82</v>
      </c>
      <c r="D41" s="17" t="s">
        <v>83</v>
      </c>
      <c r="E41" s="17" t="s">
        <v>84</v>
      </c>
      <c r="F41" s="17" t="s">
        <v>49</v>
      </c>
      <c r="G41" s="17" t="s">
        <v>20</v>
      </c>
      <c r="H41" s="17" t="s">
        <v>21</v>
      </c>
      <c r="I41" s="17" t="s">
        <v>22</v>
      </c>
      <c r="J41" s="17">
        <v>56485755</v>
      </c>
      <c r="K41" s="17" t="s">
        <v>91</v>
      </c>
      <c r="L41" s="17"/>
      <c r="M41" s="17"/>
      <c r="N41" s="17" t="s">
        <v>64</v>
      </c>
      <c r="O41" s="17" t="s">
        <v>23</v>
      </c>
      <c r="P41" s="17">
        <v>0.55000000000000004</v>
      </c>
      <c r="Q41" s="17">
        <v>0.55000000000000004</v>
      </c>
      <c r="R41" s="18" t="s">
        <v>25</v>
      </c>
      <c r="S41" s="18">
        <v>3200</v>
      </c>
      <c r="T41" s="18">
        <v>444800</v>
      </c>
      <c r="U41" s="18">
        <v>406680</v>
      </c>
      <c r="V41" s="18">
        <v>0</v>
      </c>
      <c r="W41" s="18">
        <v>0</v>
      </c>
      <c r="X41" s="18">
        <v>0</v>
      </c>
      <c r="Y41" s="18">
        <v>0</v>
      </c>
      <c r="Z41" s="18">
        <v>6400</v>
      </c>
      <c r="AA41" s="18">
        <v>0</v>
      </c>
      <c r="AB41" s="18">
        <v>0</v>
      </c>
      <c r="AC41" s="18">
        <v>31720</v>
      </c>
      <c r="AD41" s="18">
        <v>445440</v>
      </c>
      <c r="AE41" s="18">
        <v>406680</v>
      </c>
      <c r="AF41" s="18">
        <v>0</v>
      </c>
      <c r="AG41" s="18">
        <v>0</v>
      </c>
      <c r="AH41" s="18">
        <v>0</v>
      </c>
      <c r="AI41" s="18">
        <v>0</v>
      </c>
      <c r="AJ41" s="18">
        <v>7040</v>
      </c>
      <c r="AK41" s="18">
        <v>0</v>
      </c>
      <c r="AL41" s="18">
        <v>0</v>
      </c>
      <c r="AM41" s="18">
        <v>31720</v>
      </c>
      <c r="AN41" s="18">
        <v>244992</v>
      </c>
      <c r="AO41" s="18">
        <v>0</v>
      </c>
      <c r="AP41" s="18">
        <v>244992</v>
      </c>
    </row>
    <row r="42" spans="1:42" x14ac:dyDescent="0.4">
      <c r="A42" s="17" t="s">
        <v>48</v>
      </c>
      <c r="B42" s="17" t="s">
        <v>81</v>
      </c>
      <c r="C42" s="17" t="s">
        <v>82</v>
      </c>
      <c r="D42" s="17" t="s">
        <v>83</v>
      </c>
      <c r="E42" s="17" t="s">
        <v>84</v>
      </c>
      <c r="F42" s="17" t="s">
        <v>49</v>
      </c>
      <c r="G42" s="17" t="s">
        <v>20</v>
      </c>
      <c r="H42" s="17" t="s">
        <v>21</v>
      </c>
      <c r="I42" s="17" t="s">
        <v>22</v>
      </c>
      <c r="J42" s="17">
        <v>56485755</v>
      </c>
      <c r="K42" s="17" t="s">
        <v>91</v>
      </c>
      <c r="L42" s="17"/>
      <c r="M42" s="17"/>
      <c r="N42" s="17" t="s">
        <v>64</v>
      </c>
      <c r="O42" s="17" t="s">
        <v>23</v>
      </c>
      <c r="P42" s="17">
        <v>0.55000000000000004</v>
      </c>
      <c r="Q42" s="17">
        <v>0.55000000000000004</v>
      </c>
      <c r="R42" s="18" t="s">
        <v>24</v>
      </c>
      <c r="S42" s="18">
        <v>44800</v>
      </c>
      <c r="T42" s="18">
        <v>89600</v>
      </c>
      <c r="U42" s="18">
        <v>89600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89600</v>
      </c>
      <c r="AE42" s="18">
        <v>89600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49280</v>
      </c>
      <c r="AO42" s="18">
        <v>0</v>
      </c>
      <c r="AP42" s="18">
        <v>49280</v>
      </c>
    </row>
    <row r="43" spans="1:42" x14ac:dyDescent="0.4">
      <c r="A43" s="17" t="s">
        <v>48</v>
      </c>
      <c r="B43" s="17" t="s">
        <v>81</v>
      </c>
      <c r="C43" s="17" t="s">
        <v>82</v>
      </c>
      <c r="D43" s="17" t="s">
        <v>83</v>
      </c>
      <c r="E43" s="17" t="s">
        <v>84</v>
      </c>
      <c r="F43" s="17" t="s">
        <v>49</v>
      </c>
      <c r="G43" s="17" t="s">
        <v>20</v>
      </c>
      <c r="H43" s="17" t="s">
        <v>21</v>
      </c>
      <c r="I43" s="17" t="s">
        <v>22</v>
      </c>
      <c r="J43" s="17">
        <v>56765062</v>
      </c>
      <c r="K43" s="17" t="s">
        <v>98</v>
      </c>
      <c r="L43" s="17"/>
      <c r="M43" s="17"/>
      <c r="N43" s="17" t="s">
        <v>64</v>
      </c>
      <c r="O43" s="17" t="s">
        <v>23</v>
      </c>
      <c r="P43" s="17">
        <v>0.55000000000000004</v>
      </c>
      <c r="Q43" s="17">
        <v>0.55000000000000004</v>
      </c>
      <c r="R43" s="18" t="s">
        <v>25</v>
      </c>
      <c r="S43" s="18">
        <v>3200</v>
      </c>
      <c r="T43" s="18">
        <v>89600</v>
      </c>
      <c r="U43" s="18">
        <v>76800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12800</v>
      </c>
      <c r="AD43" s="18">
        <v>89600</v>
      </c>
      <c r="AE43" s="18">
        <v>76800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12800</v>
      </c>
      <c r="AN43" s="18">
        <v>49280</v>
      </c>
      <c r="AO43" s="18">
        <v>0</v>
      </c>
      <c r="AP43" s="18">
        <v>49280</v>
      </c>
    </row>
    <row r="44" spans="1:42" x14ac:dyDescent="0.4">
      <c r="A44" s="17" t="s">
        <v>48</v>
      </c>
      <c r="B44" s="17" t="s">
        <v>81</v>
      </c>
      <c r="C44" s="17" t="s">
        <v>82</v>
      </c>
      <c r="D44" s="17" t="s">
        <v>83</v>
      </c>
      <c r="E44" s="17" t="s">
        <v>84</v>
      </c>
      <c r="F44" s="17" t="s">
        <v>49</v>
      </c>
      <c r="G44" s="17" t="s">
        <v>20</v>
      </c>
      <c r="H44" s="17" t="s">
        <v>21</v>
      </c>
      <c r="I44" s="17" t="s">
        <v>22</v>
      </c>
      <c r="J44" s="17">
        <v>56765062</v>
      </c>
      <c r="K44" s="17" t="s">
        <v>98</v>
      </c>
      <c r="L44" s="17"/>
      <c r="M44" s="17"/>
      <c r="N44" s="17" t="s">
        <v>64</v>
      </c>
      <c r="O44" s="17" t="s">
        <v>23</v>
      </c>
      <c r="P44" s="17">
        <v>0.55000000000000004</v>
      </c>
      <c r="Q44" s="17">
        <v>0.55000000000000004</v>
      </c>
      <c r="R44" s="18" t="s">
        <v>96</v>
      </c>
      <c r="S44" s="18">
        <v>900</v>
      </c>
      <c r="T44" s="18">
        <v>45900</v>
      </c>
      <c r="U44" s="18">
        <v>17900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28000</v>
      </c>
      <c r="AD44" s="18">
        <v>45900</v>
      </c>
      <c r="AE44" s="18">
        <v>17900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28000</v>
      </c>
      <c r="AN44" s="18">
        <v>25245</v>
      </c>
      <c r="AO44" s="18">
        <v>0</v>
      </c>
      <c r="AP44" s="18">
        <v>25245</v>
      </c>
    </row>
    <row r="45" spans="1:42" x14ac:dyDescent="0.4">
      <c r="A45" s="17" t="s">
        <v>48</v>
      </c>
      <c r="B45" s="17" t="s">
        <v>81</v>
      </c>
      <c r="C45" s="17" t="s">
        <v>82</v>
      </c>
      <c r="D45" s="17" t="s">
        <v>83</v>
      </c>
      <c r="E45" s="17" t="s">
        <v>84</v>
      </c>
      <c r="F45" s="17" t="s">
        <v>49</v>
      </c>
      <c r="G45" s="17" t="s">
        <v>20</v>
      </c>
      <c r="H45" s="17" t="s">
        <v>21</v>
      </c>
      <c r="I45" s="17" t="s">
        <v>22</v>
      </c>
      <c r="J45" s="17">
        <v>56765062</v>
      </c>
      <c r="K45" s="17" t="s">
        <v>98</v>
      </c>
      <c r="L45" s="17"/>
      <c r="M45" s="17"/>
      <c r="N45" s="17" t="s">
        <v>64</v>
      </c>
      <c r="O45" s="17" t="s">
        <v>23</v>
      </c>
      <c r="P45" s="17">
        <v>0.55000000000000004</v>
      </c>
      <c r="Q45" s="17">
        <v>0.55000000000000004</v>
      </c>
      <c r="R45" s="18" t="s">
        <v>165</v>
      </c>
      <c r="S45" s="18">
        <v>10800</v>
      </c>
      <c r="T45" s="18">
        <v>10800</v>
      </c>
      <c r="U45" s="18">
        <v>10800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10800</v>
      </c>
      <c r="AE45" s="18">
        <v>10800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5940</v>
      </c>
      <c r="AO45" s="18">
        <v>0</v>
      </c>
      <c r="AP45" s="18">
        <v>5940</v>
      </c>
    </row>
    <row r="46" spans="1:42" x14ac:dyDescent="0.4">
      <c r="A46" s="17" t="s">
        <v>48</v>
      </c>
      <c r="B46" s="17" t="s">
        <v>81</v>
      </c>
      <c r="C46" s="17" t="s">
        <v>82</v>
      </c>
      <c r="D46" s="17" t="s">
        <v>83</v>
      </c>
      <c r="E46" s="17" t="s">
        <v>84</v>
      </c>
      <c r="F46" s="17" t="s">
        <v>49</v>
      </c>
      <c r="G46" s="17" t="s">
        <v>20</v>
      </c>
      <c r="H46" s="17" t="s">
        <v>21</v>
      </c>
      <c r="I46" s="17" t="s">
        <v>22</v>
      </c>
      <c r="J46" s="17">
        <v>58523432</v>
      </c>
      <c r="K46" s="17" t="s">
        <v>123</v>
      </c>
      <c r="L46" s="17"/>
      <c r="M46" s="17"/>
      <c r="N46" s="17" t="s">
        <v>64</v>
      </c>
      <c r="O46" s="17" t="s">
        <v>23</v>
      </c>
      <c r="P46" s="17">
        <v>0.55000000000000004</v>
      </c>
      <c r="Q46" s="17">
        <v>0.55000000000000004</v>
      </c>
      <c r="R46" s="18" t="s">
        <v>25</v>
      </c>
      <c r="S46" s="18">
        <v>100</v>
      </c>
      <c r="T46" s="18">
        <v>4354000</v>
      </c>
      <c r="U46" s="18">
        <v>874030</v>
      </c>
      <c r="V46" s="18">
        <v>0</v>
      </c>
      <c r="W46" s="18">
        <v>0</v>
      </c>
      <c r="X46" s="18">
        <v>50</v>
      </c>
      <c r="Y46" s="18">
        <v>4950</v>
      </c>
      <c r="Z46" s="18">
        <v>41300</v>
      </c>
      <c r="AA46" s="18">
        <v>0</v>
      </c>
      <c r="AB46" s="18">
        <v>0</v>
      </c>
      <c r="AC46" s="18">
        <v>3433670</v>
      </c>
      <c r="AD46" s="18">
        <v>4359139.2084999997</v>
      </c>
      <c r="AE46" s="18">
        <v>874030</v>
      </c>
      <c r="AF46" s="18">
        <v>0</v>
      </c>
      <c r="AG46" s="18">
        <v>0</v>
      </c>
      <c r="AH46" s="18">
        <v>69.208500000000001</v>
      </c>
      <c r="AI46" s="18">
        <v>5940</v>
      </c>
      <c r="AJ46" s="18">
        <v>45430</v>
      </c>
      <c r="AK46" s="18">
        <v>0</v>
      </c>
      <c r="AL46" s="18">
        <v>0</v>
      </c>
      <c r="AM46" s="18">
        <v>3433670</v>
      </c>
      <c r="AN46" s="18">
        <v>2397527</v>
      </c>
      <c r="AO46" s="18">
        <v>0</v>
      </c>
      <c r="AP46" s="18">
        <v>2397527</v>
      </c>
    </row>
    <row r="47" spans="1:42" x14ac:dyDescent="0.4">
      <c r="A47" s="17" t="s">
        <v>48</v>
      </c>
      <c r="B47" s="17" t="s">
        <v>81</v>
      </c>
      <c r="C47" s="17" t="s">
        <v>82</v>
      </c>
      <c r="D47" s="17" t="s">
        <v>83</v>
      </c>
      <c r="E47" s="17" t="s">
        <v>84</v>
      </c>
      <c r="F47" s="17" t="s">
        <v>49</v>
      </c>
      <c r="G47" s="17" t="s">
        <v>20</v>
      </c>
      <c r="H47" s="17" t="s">
        <v>21</v>
      </c>
      <c r="I47" s="17" t="s">
        <v>22</v>
      </c>
      <c r="J47" s="17">
        <v>58523432</v>
      </c>
      <c r="K47" s="17" t="s">
        <v>123</v>
      </c>
      <c r="L47" s="17"/>
      <c r="M47" s="17"/>
      <c r="N47" s="17" t="s">
        <v>64</v>
      </c>
      <c r="O47" s="17" t="s">
        <v>23</v>
      </c>
      <c r="P47" s="17">
        <v>0.55000000000000004</v>
      </c>
      <c r="Q47" s="17">
        <v>0.55000000000000004</v>
      </c>
      <c r="R47" s="18" t="s">
        <v>24</v>
      </c>
      <c r="S47" s="18">
        <v>2400</v>
      </c>
      <c r="T47" s="18">
        <v>2404100</v>
      </c>
      <c r="U47" s="18">
        <v>1441100</v>
      </c>
      <c r="V47" s="18">
        <v>0</v>
      </c>
      <c r="W47" s="18">
        <v>0</v>
      </c>
      <c r="X47" s="18">
        <v>0</v>
      </c>
      <c r="Y47" s="18">
        <v>700</v>
      </c>
      <c r="Z47" s="18">
        <v>75200</v>
      </c>
      <c r="AA47" s="18">
        <v>0</v>
      </c>
      <c r="AB47" s="18">
        <v>0</v>
      </c>
      <c r="AC47" s="18">
        <v>887100</v>
      </c>
      <c r="AD47" s="18">
        <v>2411760</v>
      </c>
      <c r="AE47" s="18">
        <v>1441100</v>
      </c>
      <c r="AF47" s="18">
        <v>0</v>
      </c>
      <c r="AG47" s="18">
        <v>0</v>
      </c>
      <c r="AH47" s="18">
        <v>0</v>
      </c>
      <c r="AI47" s="18">
        <v>840</v>
      </c>
      <c r="AJ47" s="18">
        <v>82720</v>
      </c>
      <c r="AK47" s="18">
        <v>0</v>
      </c>
      <c r="AL47" s="18">
        <v>0</v>
      </c>
      <c r="AM47" s="18">
        <v>887100</v>
      </c>
      <c r="AN47" s="18">
        <v>1326468</v>
      </c>
      <c r="AO47" s="18">
        <v>0</v>
      </c>
      <c r="AP47" s="18">
        <v>1326468</v>
      </c>
    </row>
    <row r="48" spans="1:42" x14ac:dyDescent="0.4">
      <c r="A48" s="17" t="s">
        <v>48</v>
      </c>
      <c r="B48" s="17" t="s">
        <v>81</v>
      </c>
      <c r="C48" s="17" t="s">
        <v>82</v>
      </c>
      <c r="D48" s="17" t="s">
        <v>83</v>
      </c>
      <c r="E48" s="17" t="s">
        <v>84</v>
      </c>
      <c r="F48" s="17" t="s">
        <v>49</v>
      </c>
      <c r="G48" s="17" t="s">
        <v>20</v>
      </c>
      <c r="H48" s="17" t="s">
        <v>21</v>
      </c>
      <c r="I48" s="17" t="s">
        <v>22</v>
      </c>
      <c r="J48" s="17">
        <v>58523432</v>
      </c>
      <c r="K48" s="17" t="s">
        <v>123</v>
      </c>
      <c r="L48" s="17"/>
      <c r="M48" s="17"/>
      <c r="N48" s="17" t="s">
        <v>64</v>
      </c>
      <c r="O48" s="17" t="s">
        <v>23</v>
      </c>
      <c r="P48" s="17">
        <v>0.55000000000000004</v>
      </c>
      <c r="Q48" s="17">
        <v>0.55000000000000004</v>
      </c>
      <c r="R48" s="18" t="s">
        <v>24</v>
      </c>
      <c r="S48" s="18">
        <v>4700</v>
      </c>
      <c r="T48" s="18">
        <v>2092200</v>
      </c>
      <c r="U48" s="18">
        <v>1601210</v>
      </c>
      <c r="V48" s="18">
        <v>0</v>
      </c>
      <c r="W48" s="18">
        <v>0</v>
      </c>
      <c r="X48" s="18">
        <v>0</v>
      </c>
      <c r="Y48" s="18">
        <v>9400</v>
      </c>
      <c r="Z48" s="18">
        <v>75000</v>
      </c>
      <c r="AA48" s="18">
        <v>0</v>
      </c>
      <c r="AB48" s="18">
        <v>0</v>
      </c>
      <c r="AC48" s="18">
        <v>406590</v>
      </c>
      <c r="AD48" s="18">
        <v>2101580</v>
      </c>
      <c r="AE48" s="18">
        <v>1601210</v>
      </c>
      <c r="AF48" s="18">
        <v>0</v>
      </c>
      <c r="AG48" s="18">
        <v>0</v>
      </c>
      <c r="AH48" s="18">
        <v>0</v>
      </c>
      <c r="AI48" s="18">
        <v>11280</v>
      </c>
      <c r="AJ48" s="18">
        <v>82500</v>
      </c>
      <c r="AK48" s="18">
        <v>0</v>
      </c>
      <c r="AL48" s="18">
        <v>0</v>
      </c>
      <c r="AM48" s="18">
        <v>406590</v>
      </c>
      <c r="AN48" s="18">
        <v>1155869</v>
      </c>
      <c r="AO48" s="18">
        <v>0</v>
      </c>
      <c r="AP48" s="18">
        <v>1155869</v>
      </c>
    </row>
    <row r="49" spans="1:42" x14ac:dyDescent="0.4">
      <c r="A49" s="17" t="s">
        <v>48</v>
      </c>
      <c r="B49" s="17" t="s">
        <v>81</v>
      </c>
      <c r="C49" s="17" t="s">
        <v>82</v>
      </c>
      <c r="D49" s="17" t="s">
        <v>83</v>
      </c>
      <c r="E49" s="17" t="s">
        <v>84</v>
      </c>
      <c r="F49" s="17" t="s">
        <v>49</v>
      </c>
      <c r="G49" s="17" t="s">
        <v>20</v>
      </c>
      <c r="H49" s="17" t="s">
        <v>21</v>
      </c>
      <c r="I49" s="17" t="s">
        <v>22</v>
      </c>
      <c r="J49" s="17">
        <v>58523432</v>
      </c>
      <c r="K49" s="17" t="s">
        <v>123</v>
      </c>
      <c r="L49" s="17"/>
      <c r="M49" s="17"/>
      <c r="N49" s="17" t="s">
        <v>64</v>
      </c>
      <c r="O49" s="17" t="s">
        <v>23</v>
      </c>
      <c r="P49" s="17">
        <v>0.55000000000000004</v>
      </c>
      <c r="Q49" s="17">
        <v>0.55000000000000004</v>
      </c>
      <c r="R49" s="18" t="s">
        <v>24</v>
      </c>
      <c r="S49" s="18">
        <v>9200</v>
      </c>
      <c r="T49" s="18">
        <v>2640400</v>
      </c>
      <c r="U49" s="18">
        <v>2281020</v>
      </c>
      <c r="V49" s="18">
        <v>0</v>
      </c>
      <c r="W49" s="18">
        <v>0</v>
      </c>
      <c r="X49" s="18">
        <v>0</v>
      </c>
      <c r="Y49" s="18">
        <v>11200</v>
      </c>
      <c r="Z49" s="18">
        <v>132500</v>
      </c>
      <c r="AA49" s="18">
        <v>0</v>
      </c>
      <c r="AB49" s="18">
        <v>0</v>
      </c>
      <c r="AC49" s="18">
        <v>215680</v>
      </c>
      <c r="AD49" s="18">
        <v>2655890</v>
      </c>
      <c r="AE49" s="18">
        <v>2281020</v>
      </c>
      <c r="AF49" s="18">
        <v>0</v>
      </c>
      <c r="AG49" s="18">
        <v>0</v>
      </c>
      <c r="AH49" s="18">
        <v>0</v>
      </c>
      <c r="AI49" s="18">
        <v>13440</v>
      </c>
      <c r="AJ49" s="18">
        <v>145750</v>
      </c>
      <c r="AK49" s="18">
        <v>0</v>
      </c>
      <c r="AL49" s="18">
        <v>0</v>
      </c>
      <c r="AM49" s="18">
        <v>215680</v>
      </c>
      <c r="AN49" s="18">
        <v>1460740</v>
      </c>
      <c r="AO49" s="18">
        <v>0</v>
      </c>
      <c r="AP49" s="18">
        <v>1460740</v>
      </c>
    </row>
    <row r="50" spans="1:42" x14ac:dyDescent="0.4">
      <c r="A50" s="17" t="s">
        <v>48</v>
      </c>
      <c r="B50" s="17" t="s">
        <v>81</v>
      </c>
      <c r="C50" s="17" t="s">
        <v>82</v>
      </c>
      <c r="D50" s="17" t="s">
        <v>83</v>
      </c>
      <c r="E50" s="17" t="s">
        <v>84</v>
      </c>
      <c r="F50" s="17" t="s">
        <v>49</v>
      </c>
      <c r="G50" s="17" t="s">
        <v>20</v>
      </c>
      <c r="H50" s="17" t="s">
        <v>21</v>
      </c>
      <c r="I50" s="17" t="s">
        <v>22</v>
      </c>
      <c r="J50" s="17">
        <v>58700868</v>
      </c>
      <c r="K50" s="17" t="s">
        <v>130</v>
      </c>
      <c r="L50" s="17"/>
      <c r="M50" s="17"/>
      <c r="N50" s="17" t="s">
        <v>64</v>
      </c>
      <c r="O50" s="17" t="s">
        <v>23</v>
      </c>
      <c r="P50" s="17">
        <v>0.55000000000000004</v>
      </c>
      <c r="Q50" s="17">
        <v>0.55000000000000004</v>
      </c>
      <c r="R50" s="18" t="s">
        <v>25</v>
      </c>
      <c r="S50" s="18">
        <v>3200</v>
      </c>
      <c r="T50" s="18">
        <v>12800</v>
      </c>
      <c r="U50" s="18">
        <v>12800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12800</v>
      </c>
      <c r="AE50" s="18">
        <v>12800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7040</v>
      </c>
      <c r="AO50" s="18">
        <v>0</v>
      </c>
      <c r="AP50" s="18">
        <v>7040</v>
      </c>
    </row>
    <row r="51" spans="1:42" x14ac:dyDescent="0.4">
      <c r="A51" s="17" t="s">
        <v>48</v>
      </c>
      <c r="B51" s="17" t="s">
        <v>81</v>
      </c>
      <c r="C51" s="17" t="s">
        <v>82</v>
      </c>
      <c r="D51" s="17" t="s">
        <v>83</v>
      </c>
      <c r="E51" s="17" t="s">
        <v>84</v>
      </c>
      <c r="F51" s="17" t="s">
        <v>49</v>
      </c>
      <c r="G51" s="17" t="s">
        <v>20</v>
      </c>
      <c r="H51" s="17" t="s">
        <v>21</v>
      </c>
      <c r="I51" s="17" t="s">
        <v>22</v>
      </c>
      <c r="J51" s="17">
        <v>58700970</v>
      </c>
      <c r="K51" s="17" t="s">
        <v>131</v>
      </c>
      <c r="L51" s="17"/>
      <c r="M51" s="17"/>
      <c r="N51" s="17" t="s">
        <v>64</v>
      </c>
      <c r="O51" s="17" t="s">
        <v>23</v>
      </c>
      <c r="P51" s="17">
        <v>0.55000000000000004</v>
      </c>
      <c r="Q51" s="17">
        <v>0.55000000000000004</v>
      </c>
      <c r="R51" s="18" t="s">
        <v>25</v>
      </c>
      <c r="S51" s="18">
        <v>3200</v>
      </c>
      <c r="T51" s="18">
        <v>73600</v>
      </c>
      <c r="U51" s="18">
        <v>69900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3700</v>
      </c>
      <c r="AD51" s="18">
        <v>73600</v>
      </c>
      <c r="AE51" s="18">
        <v>69900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3700</v>
      </c>
      <c r="AN51" s="18">
        <v>40480</v>
      </c>
      <c r="AO51" s="18">
        <v>0</v>
      </c>
      <c r="AP51" s="18">
        <v>40480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5" bestFit="1" customWidth="1"/>
    <col min="12" max="12" width="21.5" bestFit="1" customWidth="1"/>
    <col min="13" max="13" width="6.796875" bestFit="1" customWidth="1"/>
    <col min="14" max="14" width="12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58964717</v>
      </c>
      <c r="K2" s="17" t="s">
        <v>152</v>
      </c>
      <c r="L2" s="17"/>
      <c r="M2" s="17"/>
      <c r="N2" s="17" t="s">
        <v>117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3200</v>
      </c>
      <c r="T2" s="18">
        <v>3200</v>
      </c>
      <c r="U2" s="18">
        <v>3200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3200</v>
      </c>
      <c r="AE2" s="18">
        <v>3200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1760</v>
      </c>
      <c r="AO2" s="18">
        <v>0</v>
      </c>
      <c r="AP2" s="18">
        <v>1760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58194218</v>
      </c>
      <c r="K3" s="17" t="s">
        <v>116</v>
      </c>
      <c r="L3" s="17"/>
      <c r="M3" s="17"/>
      <c r="N3" s="17" t="s">
        <v>117</v>
      </c>
      <c r="O3" s="17" t="s">
        <v>23</v>
      </c>
      <c r="P3" s="17">
        <v>0.55000000000000004</v>
      </c>
      <c r="Q3" s="17">
        <v>0.55000000000000004</v>
      </c>
      <c r="R3" s="18" t="s">
        <v>25</v>
      </c>
      <c r="S3" s="18">
        <v>100</v>
      </c>
      <c r="T3" s="18">
        <v>40900</v>
      </c>
      <c r="U3" s="18">
        <v>28500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12400</v>
      </c>
      <c r="AD3" s="18">
        <v>40900</v>
      </c>
      <c r="AE3" s="18">
        <v>28500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12400</v>
      </c>
      <c r="AN3" s="18">
        <v>22495</v>
      </c>
      <c r="AO3" s="18">
        <v>0</v>
      </c>
      <c r="AP3" s="18">
        <v>22495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58672980</v>
      </c>
      <c r="K4" s="17" t="s">
        <v>129</v>
      </c>
      <c r="L4" s="17"/>
      <c r="M4" s="17"/>
      <c r="N4" s="17" t="s">
        <v>117</v>
      </c>
      <c r="O4" s="17" t="s">
        <v>23</v>
      </c>
      <c r="P4" s="17">
        <v>0.55000000000000004</v>
      </c>
      <c r="Q4" s="17">
        <v>0.55000000000000004</v>
      </c>
      <c r="R4" s="18" t="s">
        <v>25</v>
      </c>
      <c r="S4" s="18">
        <v>100</v>
      </c>
      <c r="T4" s="18">
        <v>119000</v>
      </c>
      <c r="U4" s="18">
        <v>34250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84750</v>
      </c>
      <c r="AD4" s="18">
        <v>119000</v>
      </c>
      <c r="AE4" s="18">
        <v>34250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84750</v>
      </c>
      <c r="AN4" s="18">
        <v>65450</v>
      </c>
      <c r="AO4" s="18">
        <v>0</v>
      </c>
      <c r="AP4" s="18">
        <v>65450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58672980</v>
      </c>
      <c r="K5" s="17" t="s">
        <v>129</v>
      </c>
      <c r="L5" s="17"/>
      <c r="M5" s="17"/>
      <c r="N5" s="17" t="s">
        <v>117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2400</v>
      </c>
      <c r="T5" s="18">
        <v>30300</v>
      </c>
      <c r="U5" s="18">
        <v>15900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14400</v>
      </c>
      <c r="AD5" s="18">
        <v>30300</v>
      </c>
      <c r="AE5" s="18">
        <v>15900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14400</v>
      </c>
      <c r="AN5" s="18">
        <v>16665</v>
      </c>
      <c r="AO5" s="18">
        <v>0</v>
      </c>
      <c r="AP5" s="18">
        <v>16665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58672980</v>
      </c>
      <c r="K6" s="17" t="s">
        <v>129</v>
      </c>
      <c r="L6" s="17"/>
      <c r="M6" s="17"/>
      <c r="N6" s="17" t="s">
        <v>117</v>
      </c>
      <c r="O6" s="17" t="s">
        <v>23</v>
      </c>
      <c r="P6" s="17">
        <v>0.55000000000000004</v>
      </c>
      <c r="Q6" s="17">
        <v>0.55000000000000004</v>
      </c>
      <c r="R6" s="18" t="s">
        <v>24</v>
      </c>
      <c r="S6" s="18">
        <v>4700</v>
      </c>
      <c r="T6" s="18">
        <v>-1300</v>
      </c>
      <c r="U6" s="18">
        <v>-6000</v>
      </c>
      <c r="V6" s="18">
        <v>0</v>
      </c>
      <c r="W6" s="18">
        <v>0</v>
      </c>
      <c r="X6" s="18">
        <v>0</v>
      </c>
      <c r="Y6" s="18">
        <v>0</v>
      </c>
      <c r="Z6" s="18">
        <v>4700</v>
      </c>
      <c r="AA6" s="18">
        <v>0</v>
      </c>
      <c r="AB6" s="18">
        <v>0</v>
      </c>
      <c r="AC6" s="18">
        <v>0</v>
      </c>
      <c r="AD6" s="18">
        <v>-830</v>
      </c>
      <c r="AE6" s="18">
        <v>-6000</v>
      </c>
      <c r="AF6" s="18">
        <v>0</v>
      </c>
      <c r="AG6" s="18">
        <v>0</v>
      </c>
      <c r="AH6" s="18">
        <v>0</v>
      </c>
      <c r="AI6" s="18">
        <v>0</v>
      </c>
      <c r="AJ6" s="18">
        <v>5170</v>
      </c>
      <c r="AK6" s="18">
        <v>0</v>
      </c>
      <c r="AL6" s="18">
        <v>0</v>
      </c>
      <c r="AM6" s="18">
        <v>0</v>
      </c>
      <c r="AN6" s="18">
        <v>-457</v>
      </c>
      <c r="AO6" s="18">
        <v>0</v>
      </c>
      <c r="AP6" s="18">
        <v>-457</v>
      </c>
    </row>
    <row r="7" spans="1:42" x14ac:dyDescent="0.4">
      <c r="A7" s="17" t="s">
        <v>48</v>
      </c>
      <c r="B7" s="17" t="s">
        <v>81</v>
      </c>
      <c r="C7" s="17" t="s">
        <v>82</v>
      </c>
      <c r="D7" s="17" t="s">
        <v>83</v>
      </c>
      <c r="E7" s="17" t="s">
        <v>84</v>
      </c>
      <c r="F7" s="17" t="s">
        <v>49</v>
      </c>
      <c r="G7" s="17" t="s">
        <v>20</v>
      </c>
      <c r="H7" s="17" t="s">
        <v>21</v>
      </c>
      <c r="I7" s="17" t="s">
        <v>22</v>
      </c>
      <c r="J7" s="17">
        <v>58672980</v>
      </c>
      <c r="K7" s="17" t="s">
        <v>129</v>
      </c>
      <c r="L7" s="17"/>
      <c r="M7" s="17"/>
      <c r="N7" s="17" t="s">
        <v>117</v>
      </c>
      <c r="O7" s="17" t="s">
        <v>23</v>
      </c>
      <c r="P7" s="17">
        <v>0.55000000000000004</v>
      </c>
      <c r="Q7" s="17">
        <v>0.55000000000000004</v>
      </c>
      <c r="R7" s="18" t="s">
        <v>24</v>
      </c>
      <c r="S7" s="18">
        <v>9200</v>
      </c>
      <c r="T7" s="18">
        <v>-1700</v>
      </c>
      <c r="U7" s="18">
        <v>-2600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900</v>
      </c>
      <c r="AD7" s="18">
        <v>-1700</v>
      </c>
      <c r="AE7" s="18">
        <v>-2600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900</v>
      </c>
      <c r="AN7" s="18">
        <v>-935</v>
      </c>
      <c r="AO7" s="18">
        <v>0</v>
      </c>
      <c r="AP7" s="18">
        <v>-935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59010963</v>
      </c>
      <c r="K2" s="17" t="s">
        <v>153</v>
      </c>
      <c r="L2" s="17"/>
      <c r="M2" s="17"/>
      <c r="N2" s="17" t="s">
        <v>154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19300</v>
      </c>
      <c r="U2" s="18">
        <v>18000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1300</v>
      </c>
      <c r="AD2" s="18">
        <v>19300</v>
      </c>
      <c r="AE2" s="18">
        <v>18000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1300</v>
      </c>
      <c r="AN2" s="18">
        <v>10615</v>
      </c>
      <c r="AO2" s="18">
        <v>0</v>
      </c>
      <c r="AP2" s="18">
        <v>10615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59010963</v>
      </c>
      <c r="K3" s="17" t="s">
        <v>153</v>
      </c>
      <c r="L3" s="17"/>
      <c r="M3" s="17"/>
      <c r="N3" s="17" t="s">
        <v>154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24000</v>
      </c>
      <c r="U3" s="18">
        <v>23900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100</v>
      </c>
      <c r="AD3" s="18">
        <v>24000</v>
      </c>
      <c r="AE3" s="18">
        <v>23900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100</v>
      </c>
      <c r="AN3" s="18">
        <v>13200</v>
      </c>
      <c r="AO3" s="18">
        <v>0</v>
      </c>
      <c r="AP3" s="18">
        <v>13200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59010963</v>
      </c>
      <c r="K4" s="17" t="s">
        <v>153</v>
      </c>
      <c r="L4" s="17"/>
      <c r="M4" s="17"/>
      <c r="N4" s="17" t="s">
        <v>154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19000</v>
      </c>
      <c r="U4" s="18">
        <v>18700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300</v>
      </c>
      <c r="AD4" s="18">
        <v>19000</v>
      </c>
      <c r="AE4" s="18">
        <v>18700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300</v>
      </c>
      <c r="AN4" s="18">
        <v>10450</v>
      </c>
      <c r="AO4" s="18">
        <v>0</v>
      </c>
      <c r="AP4" s="18">
        <v>10450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59010963</v>
      </c>
      <c r="K5" s="17" t="s">
        <v>153</v>
      </c>
      <c r="L5" s="17"/>
      <c r="M5" s="17"/>
      <c r="N5" s="17" t="s">
        <v>154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27600</v>
      </c>
      <c r="U5" s="18">
        <v>26600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1000</v>
      </c>
      <c r="AD5" s="18">
        <v>27600</v>
      </c>
      <c r="AE5" s="18">
        <v>26600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1000</v>
      </c>
      <c r="AN5" s="18">
        <v>15180</v>
      </c>
      <c r="AO5" s="18">
        <v>0</v>
      </c>
      <c r="AP5" s="18">
        <v>15180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796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59011754</v>
      </c>
      <c r="K2" s="17" t="s">
        <v>155</v>
      </c>
      <c r="L2" s="17"/>
      <c r="M2" s="17"/>
      <c r="N2" s="17" t="s">
        <v>156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200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200</v>
      </c>
      <c r="AD2" s="18">
        <v>200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200</v>
      </c>
      <c r="AN2" s="18">
        <v>110</v>
      </c>
      <c r="AO2" s="18">
        <v>0</v>
      </c>
      <c r="AP2" s="18">
        <v>110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59011754</v>
      </c>
      <c r="K3" s="17" t="s">
        <v>155</v>
      </c>
      <c r="L3" s="17"/>
      <c r="M3" s="17"/>
      <c r="N3" s="17" t="s">
        <v>156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9200</v>
      </c>
      <c r="T3" s="18">
        <v>9200</v>
      </c>
      <c r="U3" s="18">
        <v>8400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800</v>
      </c>
      <c r="AD3" s="18">
        <v>9200</v>
      </c>
      <c r="AE3" s="18">
        <v>8400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800</v>
      </c>
      <c r="AN3" s="18">
        <v>5060</v>
      </c>
      <c r="AO3" s="18">
        <v>0</v>
      </c>
      <c r="AP3" s="18">
        <v>5060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59012444</v>
      </c>
      <c r="K2" s="17" t="s">
        <v>157</v>
      </c>
      <c r="L2" s="17"/>
      <c r="M2" s="17"/>
      <c r="N2" s="17" t="s">
        <v>158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5300</v>
      </c>
      <c r="U2" s="18">
        <v>2600</v>
      </c>
      <c r="V2" s="18">
        <v>0</v>
      </c>
      <c r="W2" s="18">
        <v>0</v>
      </c>
      <c r="X2" s="18">
        <v>0</v>
      </c>
      <c r="Y2" s="18">
        <v>0</v>
      </c>
      <c r="Z2" s="18">
        <v>600</v>
      </c>
      <c r="AA2" s="18">
        <v>0</v>
      </c>
      <c r="AB2" s="18">
        <v>0</v>
      </c>
      <c r="AC2" s="18">
        <v>2100</v>
      </c>
      <c r="AD2" s="18">
        <v>5360</v>
      </c>
      <c r="AE2" s="18">
        <v>2600</v>
      </c>
      <c r="AF2" s="18">
        <v>0</v>
      </c>
      <c r="AG2" s="18">
        <v>0</v>
      </c>
      <c r="AH2" s="18">
        <v>0</v>
      </c>
      <c r="AI2" s="18">
        <v>0</v>
      </c>
      <c r="AJ2" s="18">
        <v>660</v>
      </c>
      <c r="AK2" s="18">
        <v>0</v>
      </c>
      <c r="AL2" s="18">
        <v>0</v>
      </c>
      <c r="AM2" s="18">
        <v>2100</v>
      </c>
      <c r="AN2" s="18">
        <v>2948</v>
      </c>
      <c r="AO2" s="18">
        <v>0</v>
      </c>
      <c r="AP2" s="18">
        <v>2948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59012444</v>
      </c>
      <c r="K3" s="17" t="s">
        <v>157</v>
      </c>
      <c r="L3" s="17"/>
      <c r="M3" s="17"/>
      <c r="N3" s="17" t="s">
        <v>158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4800</v>
      </c>
      <c r="U3" s="18">
        <v>2400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2400</v>
      </c>
      <c r="AD3" s="18">
        <v>4800</v>
      </c>
      <c r="AE3" s="18">
        <v>2400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2400</v>
      </c>
      <c r="AN3" s="18">
        <v>2640</v>
      </c>
      <c r="AO3" s="18">
        <v>0</v>
      </c>
      <c r="AP3" s="18">
        <v>2640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59012444</v>
      </c>
      <c r="K4" s="17" t="s">
        <v>157</v>
      </c>
      <c r="L4" s="17"/>
      <c r="M4" s="17"/>
      <c r="N4" s="17" t="s">
        <v>158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18300</v>
      </c>
      <c r="U4" s="18">
        <v>18300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18300</v>
      </c>
      <c r="AE4" s="18">
        <v>18300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10065</v>
      </c>
      <c r="AO4" s="18">
        <v>0</v>
      </c>
      <c r="AP4" s="18">
        <v>10065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59012444</v>
      </c>
      <c r="K5" s="17" t="s">
        <v>157</v>
      </c>
      <c r="L5" s="17"/>
      <c r="M5" s="17"/>
      <c r="N5" s="17" t="s">
        <v>158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-1600</v>
      </c>
      <c r="U5" s="18">
        <v>-1600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-1600</v>
      </c>
      <c r="AE5" s="18">
        <v>-1600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-880</v>
      </c>
      <c r="AO5" s="18">
        <v>0</v>
      </c>
      <c r="AP5" s="18">
        <v>-880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P8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49089226</v>
      </c>
      <c r="K2" s="17" t="s">
        <v>71</v>
      </c>
      <c r="L2" s="17"/>
      <c r="M2" s="17"/>
      <c r="N2" s="17" t="s">
        <v>72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132700</v>
      </c>
      <c r="U2" s="18">
        <v>29600</v>
      </c>
      <c r="V2" s="18">
        <v>0</v>
      </c>
      <c r="W2" s="18">
        <v>0</v>
      </c>
      <c r="X2" s="18">
        <v>0</v>
      </c>
      <c r="Y2" s="18">
        <v>4810</v>
      </c>
      <c r="Z2" s="18">
        <v>2200</v>
      </c>
      <c r="AA2" s="18">
        <v>0</v>
      </c>
      <c r="AB2" s="18">
        <v>0</v>
      </c>
      <c r="AC2" s="18">
        <v>96090</v>
      </c>
      <c r="AD2" s="18">
        <v>133882</v>
      </c>
      <c r="AE2" s="18">
        <v>29600</v>
      </c>
      <c r="AF2" s="18">
        <v>0</v>
      </c>
      <c r="AG2" s="18">
        <v>0</v>
      </c>
      <c r="AH2" s="18">
        <v>0</v>
      </c>
      <c r="AI2" s="18">
        <v>5772</v>
      </c>
      <c r="AJ2" s="18">
        <v>2420</v>
      </c>
      <c r="AK2" s="18">
        <v>0</v>
      </c>
      <c r="AL2" s="18">
        <v>0</v>
      </c>
      <c r="AM2" s="18">
        <v>96090</v>
      </c>
      <c r="AN2" s="18">
        <v>73635</v>
      </c>
      <c r="AO2" s="18">
        <v>0</v>
      </c>
      <c r="AP2" s="18">
        <v>73635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49089226</v>
      </c>
      <c r="K3" s="17" t="s">
        <v>71</v>
      </c>
      <c r="L3" s="17"/>
      <c r="M3" s="17"/>
      <c r="N3" s="17" t="s">
        <v>72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129000</v>
      </c>
      <c r="U3" s="18">
        <v>91450</v>
      </c>
      <c r="V3" s="18">
        <v>0</v>
      </c>
      <c r="W3" s="18">
        <v>0</v>
      </c>
      <c r="X3" s="18">
        <v>0</v>
      </c>
      <c r="Y3" s="18">
        <v>0</v>
      </c>
      <c r="Z3" s="18">
        <v>7000</v>
      </c>
      <c r="AA3" s="18">
        <v>0</v>
      </c>
      <c r="AB3" s="18">
        <v>0</v>
      </c>
      <c r="AC3" s="18">
        <v>30550</v>
      </c>
      <c r="AD3" s="18">
        <v>129700</v>
      </c>
      <c r="AE3" s="18">
        <v>91450</v>
      </c>
      <c r="AF3" s="18">
        <v>0</v>
      </c>
      <c r="AG3" s="18">
        <v>0</v>
      </c>
      <c r="AH3" s="18">
        <v>0</v>
      </c>
      <c r="AI3" s="18">
        <v>0</v>
      </c>
      <c r="AJ3" s="18">
        <v>7700</v>
      </c>
      <c r="AK3" s="18">
        <v>0</v>
      </c>
      <c r="AL3" s="18">
        <v>0</v>
      </c>
      <c r="AM3" s="18">
        <v>30550</v>
      </c>
      <c r="AN3" s="18">
        <v>71335</v>
      </c>
      <c r="AO3" s="18">
        <v>0</v>
      </c>
      <c r="AP3" s="18">
        <v>71335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49089226</v>
      </c>
      <c r="K4" s="17" t="s">
        <v>71</v>
      </c>
      <c r="L4" s="17"/>
      <c r="M4" s="17"/>
      <c r="N4" s="17" t="s">
        <v>72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89100</v>
      </c>
      <c r="U4" s="18">
        <v>62350</v>
      </c>
      <c r="V4" s="18">
        <v>0</v>
      </c>
      <c r="W4" s="18">
        <v>0</v>
      </c>
      <c r="X4" s="18">
        <v>0</v>
      </c>
      <c r="Y4" s="18">
        <v>0</v>
      </c>
      <c r="Z4" s="18">
        <v>27600</v>
      </c>
      <c r="AA4" s="18">
        <v>0</v>
      </c>
      <c r="AB4" s="18">
        <v>0</v>
      </c>
      <c r="AC4" s="18">
        <v>-850</v>
      </c>
      <c r="AD4" s="18">
        <v>91860</v>
      </c>
      <c r="AE4" s="18">
        <v>62350</v>
      </c>
      <c r="AF4" s="18">
        <v>0</v>
      </c>
      <c r="AG4" s="18">
        <v>0</v>
      </c>
      <c r="AH4" s="18">
        <v>0</v>
      </c>
      <c r="AI4" s="18">
        <v>0</v>
      </c>
      <c r="AJ4" s="18">
        <v>30360</v>
      </c>
      <c r="AK4" s="18">
        <v>0</v>
      </c>
      <c r="AL4" s="18">
        <v>0</v>
      </c>
      <c r="AM4" s="18">
        <v>-850</v>
      </c>
      <c r="AN4" s="18">
        <v>50523</v>
      </c>
      <c r="AO4" s="18">
        <v>0</v>
      </c>
      <c r="AP4" s="18">
        <v>50523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49089226</v>
      </c>
      <c r="K5" s="17" t="s">
        <v>71</v>
      </c>
      <c r="L5" s="17"/>
      <c r="M5" s="17"/>
      <c r="N5" s="17" t="s">
        <v>72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74800</v>
      </c>
      <c r="U5" s="18">
        <v>56800</v>
      </c>
      <c r="V5" s="18">
        <v>0</v>
      </c>
      <c r="W5" s="18">
        <v>0</v>
      </c>
      <c r="X5" s="18">
        <v>0</v>
      </c>
      <c r="Y5" s="18">
        <v>0</v>
      </c>
      <c r="Z5" s="18">
        <v>18000</v>
      </c>
      <c r="AA5" s="18">
        <v>0</v>
      </c>
      <c r="AB5" s="18">
        <v>0</v>
      </c>
      <c r="AC5" s="18">
        <v>0</v>
      </c>
      <c r="AD5" s="18">
        <v>76600</v>
      </c>
      <c r="AE5" s="18">
        <v>56800</v>
      </c>
      <c r="AF5" s="18">
        <v>0</v>
      </c>
      <c r="AG5" s="18">
        <v>0</v>
      </c>
      <c r="AH5" s="18">
        <v>0</v>
      </c>
      <c r="AI5" s="18">
        <v>0</v>
      </c>
      <c r="AJ5" s="18">
        <v>19800</v>
      </c>
      <c r="AK5" s="18">
        <v>0</v>
      </c>
      <c r="AL5" s="18">
        <v>0</v>
      </c>
      <c r="AM5" s="18">
        <v>0</v>
      </c>
      <c r="AN5" s="18">
        <v>42130</v>
      </c>
      <c r="AO5" s="18">
        <v>0</v>
      </c>
      <c r="AP5" s="18">
        <v>42130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56764793</v>
      </c>
      <c r="K6" s="17" t="s">
        <v>111</v>
      </c>
      <c r="L6" s="17"/>
      <c r="M6" s="17"/>
      <c r="N6" s="17" t="s">
        <v>72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3200</v>
      </c>
      <c r="T6" s="18">
        <v>25600</v>
      </c>
      <c r="U6" s="18">
        <v>24000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1600</v>
      </c>
      <c r="AD6" s="18">
        <v>25600</v>
      </c>
      <c r="AE6" s="18">
        <v>24000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1600</v>
      </c>
      <c r="AN6" s="18">
        <v>14080</v>
      </c>
      <c r="AO6" s="18">
        <v>0</v>
      </c>
      <c r="AP6" s="18">
        <v>14080</v>
      </c>
    </row>
    <row r="7" spans="1:42" x14ac:dyDescent="0.4">
      <c r="A7" s="17" t="s">
        <v>48</v>
      </c>
      <c r="B7" s="17" t="s">
        <v>81</v>
      </c>
      <c r="C7" s="17" t="s">
        <v>82</v>
      </c>
      <c r="D7" s="17" t="s">
        <v>83</v>
      </c>
      <c r="E7" s="17" t="s">
        <v>84</v>
      </c>
      <c r="F7" s="17" t="s">
        <v>49</v>
      </c>
      <c r="G7" s="17" t="s">
        <v>20</v>
      </c>
      <c r="H7" s="17" t="s">
        <v>21</v>
      </c>
      <c r="I7" s="17" t="s">
        <v>22</v>
      </c>
      <c r="J7" s="17">
        <v>56764793</v>
      </c>
      <c r="K7" s="17" t="s">
        <v>111</v>
      </c>
      <c r="L7" s="17"/>
      <c r="M7" s="17"/>
      <c r="N7" s="17" t="s">
        <v>72</v>
      </c>
      <c r="O7" s="17" t="s">
        <v>23</v>
      </c>
      <c r="P7" s="17">
        <v>0.55000000000000004</v>
      </c>
      <c r="Q7" s="17">
        <v>0.55000000000000004</v>
      </c>
      <c r="R7" s="18" t="s">
        <v>96</v>
      </c>
      <c r="S7" s="18">
        <v>900</v>
      </c>
      <c r="T7" s="18">
        <v>900</v>
      </c>
      <c r="U7" s="18">
        <v>900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900</v>
      </c>
      <c r="AE7" s="18">
        <v>900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495</v>
      </c>
      <c r="AO7" s="18">
        <v>0</v>
      </c>
      <c r="AP7" s="18">
        <v>495</v>
      </c>
    </row>
    <row r="8" spans="1:42" x14ac:dyDescent="0.4">
      <c r="A8" s="17" t="s">
        <v>48</v>
      </c>
      <c r="B8" s="17" t="s">
        <v>81</v>
      </c>
      <c r="C8" s="17" t="s">
        <v>82</v>
      </c>
      <c r="D8" s="17" t="s">
        <v>83</v>
      </c>
      <c r="E8" s="17" t="s">
        <v>84</v>
      </c>
      <c r="F8" s="17" t="s">
        <v>49</v>
      </c>
      <c r="G8" s="17" t="s">
        <v>20</v>
      </c>
      <c r="H8" s="17" t="s">
        <v>21</v>
      </c>
      <c r="I8" s="17" t="s">
        <v>22</v>
      </c>
      <c r="J8" s="17">
        <v>56764793</v>
      </c>
      <c r="K8" s="17" t="s">
        <v>111</v>
      </c>
      <c r="L8" s="17"/>
      <c r="M8" s="17"/>
      <c r="N8" s="17" t="s">
        <v>72</v>
      </c>
      <c r="O8" s="17" t="s">
        <v>23</v>
      </c>
      <c r="P8" s="17">
        <v>0.55000000000000004</v>
      </c>
      <c r="Q8" s="17">
        <v>0.55000000000000004</v>
      </c>
      <c r="R8" s="18" t="s">
        <v>165</v>
      </c>
      <c r="S8" s="18">
        <v>7200</v>
      </c>
      <c r="T8" s="18">
        <v>-900</v>
      </c>
      <c r="U8" s="18">
        <v>-900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-900</v>
      </c>
      <c r="AE8" s="18">
        <v>-900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-495</v>
      </c>
      <c r="AO8" s="18">
        <v>0</v>
      </c>
      <c r="AP8" s="18">
        <v>-495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6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49689447</v>
      </c>
      <c r="K2" s="17" t="s">
        <v>77</v>
      </c>
      <c r="L2" s="17"/>
      <c r="M2" s="17"/>
      <c r="N2" s="17" t="s">
        <v>78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99200</v>
      </c>
      <c r="U2" s="18">
        <v>28780</v>
      </c>
      <c r="V2" s="18">
        <v>0</v>
      </c>
      <c r="W2" s="18">
        <v>0</v>
      </c>
      <c r="X2" s="18">
        <v>0</v>
      </c>
      <c r="Y2" s="18">
        <v>700</v>
      </c>
      <c r="Z2" s="18">
        <v>3500</v>
      </c>
      <c r="AA2" s="18">
        <v>0</v>
      </c>
      <c r="AB2" s="18">
        <v>0</v>
      </c>
      <c r="AC2" s="18">
        <v>66220</v>
      </c>
      <c r="AD2" s="18">
        <v>99690</v>
      </c>
      <c r="AE2" s="18">
        <v>28780</v>
      </c>
      <c r="AF2" s="18">
        <v>0</v>
      </c>
      <c r="AG2" s="18">
        <v>0</v>
      </c>
      <c r="AH2" s="18">
        <v>0</v>
      </c>
      <c r="AI2" s="18">
        <v>840</v>
      </c>
      <c r="AJ2" s="18">
        <v>3850</v>
      </c>
      <c r="AK2" s="18">
        <v>0</v>
      </c>
      <c r="AL2" s="18">
        <v>0</v>
      </c>
      <c r="AM2" s="18">
        <v>66220</v>
      </c>
      <c r="AN2" s="18">
        <v>54830</v>
      </c>
      <c r="AO2" s="18">
        <v>0</v>
      </c>
      <c r="AP2" s="18">
        <v>54830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49689447</v>
      </c>
      <c r="K3" s="17" t="s">
        <v>77</v>
      </c>
      <c r="L3" s="17"/>
      <c r="M3" s="17"/>
      <c r="N3" s="17" t="s">
        <v>78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2700</v>
      </c>
      <c r="T3" s="18">
        <v>64500</v>
      </c>
      <c r="U3" s="18">
        <v>57900</v>
      </c>
      <c r="V3" s="18">
        <v>0</v>
      </c>
      <c r="W3" s="18">
        <v>0</v>
      </c>
      <c r="X3" s="18">
        <v>0</v>
      </c>
      <c r="Y3" s="18">
        <v>100</v>
      </c>
      <c r="Z3" s="18">
        <v>400</v>
      </c>
      <c r="AA3" s="18">
        <v>0</v>
      </c>
      <c r="AB3" s="18">
        <v>0</v>
      </c>
      <c r="AC3" s="18">
        <v>6100</v>
      </c>
      <c r="AD3" s="18">
        <v>64560</v>
      </c>
      <c r="AE3" s="18">
        <v>57900</v>
      </c>
      <c r="AF3" s="18">
        <v>0</v>
      </c>
      <c r="AG3" s="18">
        <v>0</v>
      </c>
      <c r="AH3" s="18">
        <v>0</v>
      </c>
      <c r="AI3" s="18">
        <v>120</v>
      </c>
      <c r="AJ3" s="18">
        <v>440</v>
      </c>
      <c r="AK3" s="18">
        <v>0</v>
      </c>
      <c r="AL3" s="18">
        <v>0</v>
      </c>
      <c r="AM3" s="18">
        <v>6100</v>
      </c>
      <c r="AN3" s="18">
        <v>35508</v>
      </c>
      <c r="AO3" s="18">
        <v>0</v>
      </c>
      <c r="AP3" s="18">
        <v>35508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49689447</v>
      </c>
      <c r="K4" s="17" t="s">
        <v>77</v>
      </c>
      <c r="L4" s="17"/>
      <c r="M4" s="17"/>
      <c r="N4" s="17" t="s">
        <v>78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5300</v>
      </c>
      <c r="T4" s="18">
        <v>43800</v>
      </c>
      <c r="U4" s="18">
        <v>37500</v>
      </c>
      <c r="V4" s="18">
        <v>0</v>
      </c>
      <c r="W4" s="18">
        <v>0</v>
      </c>
      <c r="X4" s="18">
        <v>0</v>
      </c>
      <c r="Y4" s="18">
        <v>0</v>
      </c>
      <c r="Z4" s="18">
        <v>5300</v>
      </c>
      <c r="AA4" s="18">
        <v>0</v>
      </c>
      <c r="AB4" s="18">
        <v>0</v>
      </c>
      <c r="AC4" s="18">
        <v>1000</v>
      </c>
      <c r="AD4" s="18">
        <v>44330</v>
      </c>
      <c r="AE4" s="18">
        <v>37500</v>
      </c>
      <c r="AF4" s="18">
        <v>0</v>
      </c>
      <c r="AG4" s="18">
        <v>0</v>
      </c>
      <c r="AH4" s="18">
        <v>0</v>
      </c>
      <c r="AI4" s="18">
        <v>0</v>
      </c>
      <c r="AJ4" s="18">
        <v>5830</v>
      </c>
      <c r="AK4" s="18">
        <v>0</v>
      </c>
      <c r="AL4" s="18">
        <v>0</v>
      </c>
      <c r="AM4" s="18">
        <v>1000</v>
      </c>
      <c r="AN4" s="18">
        <v>24382</v>
      </c>
      <c r="AO4" s="18">
        <v>0</v>
      </c>
      <c r="AP4" s="18">
        <v>24382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49689447</v>
      </c>
      <c r="K5" s="17" t="s">
        <v>77</v>
      </c>
      <c r="L5" s="17"/>
      <c r="M5" s="17"/>
      <c r="N5" s="17" t="s">
        <v>78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7900</v>
      </c>
      <c r="T5" s="18">
        <v>78500</v>
      </c>
      <c r="U5" s="18">
        <v>54800</v>
      </c>
      <c r="V5" s="18">
        <v>0</v>
      </c>
      <c r="W5" s="18">
        <v>0</v>
      </c>
      <c r="X5" s="18">
        <v>0</v>
      </c>
      <c r="Y5" s="18">
        <v>0</v>
      </c>
      <c r="Z5" s="18">
        <v>15600</v>
      </c>
      <c r="AA5" s="18">
        <v>0</v>
      </c>
      <c r="AB5" s="18">
        <v>0</v>
      </c>
      <c r="AC5" s="18">
        <v>8100</v>
      </c>
      <c r="AD5" s="18">
        <v>80060</v>
      </c>
      <c r="AE5" s="18">
        <v>54800</v>
      </c>
      <c r="AF5" s="18">
        <v>0</v>
      </c>
      <c r="AG5" s="18">
        <v>0</v>
      </c>
      <c r="AH5" s="18">
        <v>0</v>
      </c>
      <c r="AI5" s="18">
        <v>0</v>
      </c>
      <c r="AJ5" s="18">
        <v>17160</v>
      </c>
      <c r="AK5" s="18">
        <v>0</v>
      </c>
      <c r="AL5" s="18">
        <v>0</v>
      </c>
      <c r="AM5" s="18">
        <v>8100</v>
      </c>
      <c r="AN5" s="18">
        <v>44033</v>
      </c>
      <c r="AO5" s="18">
        <v>0</v>
      </c>
      <c r="AP5" s="18">
        <v>44033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56766247</v>
      </c>
      <c r="K6" s="17" t="s">
        <v>108</v>
      </c>
      <c r="L6" s="17"/>
      <c r="M6" s="17"/>
      <c r="N6" s="17" t="s">
        <v>78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3500</v>
      </c>
      <c r="T6" s="18">
        <v>17500</v>
      </c>
      <c r="U6" s="18">
        <v>16700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800</v>
      </c>
      <c r="AD6" s="18">
        <v>17500</v>
      </c>
      <c r="AE6" s="18">
        <v>16700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800</v>
      </c>
      <c r="AN6" s="18">
        <v>9625</v>
      </c>
      <c r="AO6" s="18">
        <v>0</v>
      </c>
      <c r="AP6" s="18">
        <v>9625</v>
      </c>
    </row>
    <row r="7" spans="1:42" x14ac:dyDescent="0.4">
      <c r="A7" s="17" t="s">
        <v>48</v>
      </c>
      <c r="B7" s="17" t="s">
        <v>81</v>
      </c>
      <c r="C7" s="17" t="s">
        <v>82</v>
      </c>
      <c r="D7" s="17" t="s">
        <v>83</v>
      </c>
      <c r="E7" s="17" t="s">
        <v>84</v>
      </c>
      <c r="F7" s="17" t="s">
        <v>49</v>
      </c>
      <c r="G7" s="17" t="s">
        <v>20</v>
      </c>
      <c r="H7" s="17" t="s">
        <v>21</v>
      </c>
      <c r="I7" s="17" t="s">
        <v>22</v>
      </c>
      <c r="J7" s="17">
        <v>56766247</v>
      </c>
      <c r="K7" s="17" t="s">
        <v>108</v>
      </c>
      <c r="L7" s="17"/>
      <c r="M7" s="17"/>
      <c r="N7" s="17" t="s">
        <v>78</v>
      </c>
      <c r="O7" s="17" t="s">
        <v>23</v>
      </c>
      <c r="P7" s="17">
        <v>0.55000000000000004</v>
      </c>
      <c r="Q7" s="17">
        <v>0.55000000000000004</v>
      </c>
      <c r="R7" s="18" t="s">
        <v>24</v>
      </c>
      <c r="S7" s="18">
        <v>17500</v>
      </c>
      <c r="T7" s="18">
        <v>17500</v>
      </c>
      <c r="U7" s="18">
        <v>17500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17500</v>
      </c>
      <c r="AE7" s="18">
        <v>17500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9625</v>
      </c>
      <c r="AO7" s="18">
        <v>0</v>
      </c>
      <c r="AP7" s="18">
        <v>9625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P17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6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49989820</v>
      </c>
      <c r="K2" s="17" t="s">
        <v>65</v>
      </c>
      <c r="L2" s="17"/>
      <c r="M2" s="17"/>
      <c r="N2" s="17" t="s">
        <v>58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4700</v>
      </c>
      <c r="U2" s="18">
        <v>1000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3700</v>
      </c>
      <c r="AD2" s="18">
        <v>4700</v>
      </c>
      <c r="AE2" s="18">
        <v>1000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3700</v>
      </c>
      <c r="AN2" s="18">
        <v>2585</v>
      </c>
      <c r="AO2" s="18">
        <v>0</v>
      </c>
      <c r="AP2" s="18">
        <v>2585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49989820</v>
      </c>
      <c r="K3" s="17" t="s">
        <v>65</v>
      </c>
      <c r="L3" s="17"/>
      <c r="M3" s="17"/>
      <c r="N3" s="17" t="s">
        <v>58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31200</v>
      </c>
      <c r="U3" s="18">
        <v>26200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5000</v>
      </c>
      <c r="AD3" s="18">
        <v>31200</v>
      </c>
      <c r="AE3" s="18">
        <v>26200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5000</v>
      </c>
      <c r="AN3" s="18">
        <v>17160</v>
      </c>
      <c r="AO3" s="18">
        <v>0</v>
      </c>
      <c r="AP3" s="18">
        <v>17160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49989820</v>
      </c>
      <c r="K4" s="17" t="s">
        <v>65</v>
      </c>
      <c r="L4" s="17"/>
      <c r="M4" s="17"/>
      <c r="N4" s="17" t="s">
        <v>58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13500</v>
      </c>
      <c r="T4" s="18">
        <v>6400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6400</v>
      </c>
      <c r="AD4" s="18">
        <v>6400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6400</v>
      </c>
      <c r="AN4" s="18">
        <v>3520</v>
      </c>
      <c r="AO4" s="18">
        <v>0</v>
      </c>
      <c r="AP4" s="18">
        <v>3520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51584299</v>
      </c>
      <c r="K5" s="17" t="s">
        <v>57</v>
      </c>
      <c r="L5" s="17"/>
      <c r="M5" s="17"/>
      <c r="N5" s="17" t="s">
        <v>58</v>
      </c>
      <c r="O5" s="17" t="s">
        <v>23</v>
      </c>
      <c r="P5" s="17">
        <v>0.55000000000000004</v>
      </c>
      <c r="Q5" s="17">
        <v>0.55000000000000004</v>
      </c>
      <c r="R5" s="18" t="s">
        <v>25</v>
      </c>
      <c r="S5" s="18">
        <v>100</v>
      </c>
      <c r="T5" s="18">
        <v>47500</v>
      </c>
      <c r="U5" s="18">
        <v>21300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26200</v>
      </c>
      <c r="AD5" s="18">
        <v>47500</v>
      </c>
      <c r="AE5" s="18">
        <v>21300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26200</v>
      </c>
      <c r="AN5" s="18">
        <v>26125</v>
      </c>
      <c r="AO5" s="18">
        <v>0</v>
      </c>
      <c r="AP5" s="18">
        <v>26125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51584299</v>
      </c>
      <c r="K6" s="17" t="s">
        <v>57</v>
      </c>
      <c r="L6" s="17"/>
      <c r="M6" s="17"/>
      <c r="N6" s="17" t="s">
        <v>58</v>
      </c>
      <c r="O6" s="17" t="s">
        <v>23</v>
      </c>
      <c r="P6" s="17">
        <v>0.55000000000000004</v>
      </c>
      <c r="Q6" s="17">
        <v>0.55000000000000004</v>
      </c>
      <c r="R6" s="18" t="s">
        <v>24</v>
      </c>
      <c r="S6" s="18">
        <v>2400</v>
      </c>
      <c r="T6" s="18">
        <v>54800</v>
      </c>
      <c r="U6" s="18">
        <v>51400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3400</v>
      </c>
      <c r="AD6" s="18">
        <v>54800</v>
      </c>
      <c r="AE6" s="18">
        <v>51400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3400</v>
      </c>
      <c r="AN6" s="18">
        <v>30140</v>
      </c>
      <c r="AO6" s="18">
        <v>0</v>
      </c>
      <c r="AP6" s="18">
        <v>30140</v>
      </c>
    </row>
    <row r="7" spans="1:42" x14ac:dyDescent="0.4">
      <c r="A7" s="17" t="s">
        <v>48</v>
      </c>
      <c r="B7" s="17" t="s">
        <v>81</v>
      </c>
      <c r="C7" s="17" t="s">
        <v>82</v>
      </c>
      <c r="D7" s="17" t="s">
        <v>83</v>
      </c>
      <c r="E7" s="17" t="s">
        <v>84</v>
      </c>
      <c r="F7" s="17" t="s">
        <v>49</v>
      </c>
      <c r="G7" s="17" t="s">
        <v>20</v>
      </c>
      <c r="H7" s="17" t="s">
        <v>21</v>
      </c>
      <c r="I7" s="17" t="s">
        <v>22</v>
      </c>
      <c r="J7" s="17">
        <v>51584299</v>
      </c>
      <c r="K7" s="17" t="s">
        <v>57</v>
      </c>
      <c r="L7" s="17"/>
      <c r="M7" s="17"/>
      <c r="N7" s="17" t="s">
        <v>58</v>
      </c>
      <c r="O7" s="17" t="s">
        <v>23</v>
      </c>
      <c r="P7" s="17">
        <v>0.55000000000000004</v>
      </c>
      <c r="Q7" s="17">
        <v>0.55000000000000004</v>
      </c>
      <c r="R7" s="18" t="s">
        <v>24</v>
      </c>
      <c r="S7" s="18">
        <v>9200</v>
      </c>
      <c r="T7" s="18">
        <v>25200</v>
      </c>
      <c r="U7" s="18">
        <v>17600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7600</v>
      </c>
      <c r="AD7" s="18">
        <v>25200</v>
      </c>
      <c r="AE7" s="18">
        <v>17600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7600</v>
      </c>
      <c r="AN7" s="18">
        <v>13860</v>
      </c>
      <c r="AO7" s="18">
        <v>0</v>
      </c>
      <c r="AP7" s="18">
        <v>13860</v>
      </c>
    </row>
    <row r="8" spans="1:42" x14ac:dyDescent="0.4">
      <c r="A8" s="17" t="s">
        <v>48</v>
      </c>
      <c r="B8" s="17" t="s">
        <v>81</v>
      </c>
      <c r="C8" s="17" t="s">
        <v>82</v>
      </c>
      <c r="D8" s="17" t="s">
        <v>83</v>
      </c>
      <c r="E8" s="17" t="s">
        <v>84</v>
      </c>
      <c r="F8" s="17" t="s">
        <v>49</v>
      </c>
      <c r="G8" s="17" t="s">
        <v>20</v>
      </c>
      <c r="H8" s="17" t="s">
        <v>21</v>
      </c>
      <c r="I8" s="17" t="s">
        <v>22</v>
      </c>
      <c r="J8" s="17">
        <v>51584299</v>
      </c>
      <c r="K8" s="17" t="s">
        <v>57</v>
      </c>
      <c r="L8" s="17"/>
      <c r="M8" s="17"/>
      <c r="N8" s="17" t="s">
        <v>58</v>
      </c>
      <c r="O8" s="17" t="s">
        <v>23</v>
      </c>
      <c r="P8" s="17">
        <v>0.55000000000000004</v>
      </c>
      <c r="Q8" s="17">
        <v>0.55000000000000004</v>
      </c>
      <c r="R8" s="18" t="s">
        <v>24</v>
      </c>
      <c r="S8" s="18">
        <v>18000</v>
      </c>
      <c r="T8" s="18">
        <v>31300</v>
      </c>
      <c r="U8" s="18">
        <v>31300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31300</v>
      </c>
      <c r="AE8" s="18">
        <v>31300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17215</v>
      </c>
      <c r="AO8" s="18">
        <v>0</v>
      </c>
      <c r="AP8" s="18">
        <v>17215</v>
      </c>
    </row>
    <row r="9" spans="1:42" x14ac:dyDescent="0.4">
      <c r="A9" s="17" t="s">
        <v>48</v>
      </c>
      <c r="B9" s="17" t="s">
        <v>81</v>
      </c>
      <c r="C9" s="17" t="s">
        <v>82</v>
      </c>
      <c r="D9" s="17" t="s">
        <v>83</v>
      </c>
      <c r="E9" s="17" t="s">
        <v>84</v>
      </c>
      <c r="F9" s="17" t="s">
        <v>49</v>
      </c>
      <c r="G9" s="17" t="s">
        <v>20</v>
      </c>
      <c r="H9" s="17" t="s">
        <v>21</v>
      </c>
      <c r="I9" s="17" t="s">
        <v>22</v>
      </c>
      <c r="J9" s="17">
        <v>52963521</v>
      </c>
      <c r="K9" s="17" t="s">
        <v>74</v>
      </c>
      <c r="L9" s="17"/>
      <c r="M9" s="17"/>
      <c r="N9" s="17" t="s">
        <v>58</v>
      </c>
      <c r="O9" s="17" t="s">
        <v>23</v>
      </c>
      <c r="P9" s="17">
        <v>0.55000000000000004</v>
      </c>
      <c r="Q9" s="17">
        <v>0.55000000000000004</v>
      </c>
      <c r="R9" s="18" t="s">
        <v>25</v>
      </c>
      <c r="S9" s="18">
        <v>100</v>
      </c>
      <c r="T9" s="18">
        <v>13600</v>
      </c>
      <c r="U9" s="18">
        <v>1300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12300</v>
      </c>
      <c r="AD9" s="18">
        <v>13600</v>
      </c>
      <c r="AE9" s="18">
        <v>1300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12300</v>
      </c>
      <c r="AN9" s="18">
        <v>7480</v>
      </c>
      <c r="AO9" s="18">
        <v>0</v>
      </c>
      <c r="AP9" s="18">
        <v>7480</v>
      </c>
    </row>
    <row r="10" spans="1:42" x14ac:dyDescent="0.4">
      <c r="A10" s="17" t="s">
        <v>48</v>
      </c>
      <c r="B10" s="17" t="s">
        <v>81</v>
      </c>
      <c r="C10" s="17" t="s">
        <v>82</v>
      </c>
      <c r="D10" s="17" t="s">
        <v>83</v>
      </c>
      <c r="E10" s="17" t="s">
        <v>84</v>
      </c>
      <c r="F10" s="17" t="s">
        <v>49</v>
      </c>
      <c r="G10" s="17" t="s">
        <v>20</v>
      </c>
      <c r="H10" s="17" t="s">
        <v>21</v>
      </c>
      <c r="I10" s="17" t="s">
        <v>22</v>
      </c>
      <c r="J10" s="17">
        <v>52963521</v>
      </c>
      <c r="K10" s="17" t="s">
        <v>74</v>
      </c>
      <c r="L10" s="17"/>
      <c r="M10" s="17"/>
      <c r="N10" s="17" t="s">
        <v>58</v>
      </c>
      <c r="O10" s="17" t="s">
        <v>23</v>
      </c>
      <c r="P10" s="17">
        <v>0.55000000000000004</v>
      </c>
      <c r="Q10" s="17">
        <v>0.55000000000000004</v>
      </c>
      <c r="R10" s="18" t="s">
        <v>24</v>
      </c>
      <c r="S10" s="18">
        <v>2400</v>
      </c>
      <c r="T10" s="18">
        <v>29300</v>
      </c>
      <c r="U10" s="18">
        <v>12300</v>
      </c>
      <c r="V10" s="18">
        <v>0</v>
      </c>
      <c r="W10" s="18">
        <v>0</v>
      </c>
      <c r="X10" s="18">
        <v>0</v>
      </c>
      <c r="Y10" s="18">
        <v>9300</v>
      </c>
      <c r="Z10" s="18">
        <v>0</v>
      </c>
      <c r="AA10" s="18">
        <v>0</v>
      </c>
      <c r="AB10" s="18">
        <v>0</v>
      </c>
      <c r="AC10" s="18">
        <v>7700</v>
      </c>
      <c r="AD10" s="18">
        <v>31160</v>
      </c>
      <c r="AE10" s="18">
        <v>12300</v>
      </c>
      <c r="AF10" s="18">
        <v>0</v>
      </c>
      <c r="AG10" s="18">
        <v>0</v>
      </c>
      <c r="AH10" s="18">
        <v>0</v>
      </c>
      <c r="AI10" s="18">
        <v>11160</v>
      </c>
      <c r="AJ10" s="18">
        <v>0</v>
      </c>
      <c r="AK10" s="18">
        <v>0</v>
      </c>
      <c r="AL10" s="18">
        <v>0</v>
      </c>
      <c r="AM10" s="18">
        <v>7700</v>
      </c>
      <c r="AN10" s="18">
        <v>17138</v>
      </c>
      <c r="AO10" s="18">
        <v>0</v>
      </c>
      <c r="AP10" s="18">
        <v>17138</v>
      </c>
    </row>
    <row r="11" spans="1:42" x14ac:dyDescent="0.4">
      <c r="A11" s="17" t="s">
        <v>48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49</v>
      </c>
      <c r="G11" s="17" t="s">
        <v>20</v>
      </c>
      <c r="H11" s="17" t="s">
        <v>21</v>
      </c>
      <c r="I11" s="17" t="s">
        <v>22</v>
      </c>
      <c r="J11" s="17">
        <v>52963521</v>
      </c>
      <c r="K11" s="17" t="s">
        <v>74</v>
      </c>
      <c r="L11" s="17"/>
      <c r="M11" s="17"/>
      <c r="N11" s="17" t="s">
        <v>58</v>
      </c>
      <c r="O11" s="17" t="s">
        <v>23</v>
      </c>
      <c r="P11" s="17">
        <v>0.55000000000000004</v>
      </c>
      <c r="Q11" s="17">
        <v>0.55000000000000004</v>
      </c>
      <c r="R11" s="18" t="s">
        <v>24</v>
      </c>
      <c r="S11" s="18">
        <v>9200</v>
      </c>
      <c r="T11" s="18">
        <v>16200</v>
      </c>
      <c r="U11" s="18">
        <v>15700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500</v>
      </c>
      <c r="AD11" s="18">
        <v>16200</v>
      </c>
      <c r="AE11" s="18">
        <v>15700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500</v>
      </c>
      <c r="AN11" s="18">
        <v>8910</v>
      </c>
      <c r="AO11" s="18">
        <v>0</v>
      </c>
      <c r="AP11" s="18">
        <v>8910</v>
      </c>
    </row>
    <row r="12" spans="1:42" x14ac:dyDescent="0.4">
      <c r="A12" s="17" t="s">
        <v>48</v>
      </c>
      <c r="B12" s="17" t="s">
        <v>81</v>
      </c>
      <c r="C12" s="17" t="s">
        <v>82</v>
      </c>
      <c r="D12" s="17" t="s">
        <v>83</v>
      </c>
      <c r="E12" s="17" t="s">
        <v>84</v>
      </c>
      <c r="F12" s="17" t="s">
        <v>49</v>
      </c>
      <c r="G12" s="17" t="s">
        <v>20</v>
      </c>
      <c r="H12" s="17" t="s">
        <v>21</v>
      </c>
      <c r="I12" s="17" t="s">
        <v>22</v>
      </c>
      <c r="J12" s="17">
        <v>56766121</v>
      </c>
      <c r="K12" s="17" t="s">
        <v>166</v>
      </c>
      <c r="L12" s="17"/>
      <c r="M12" s="17"/>
      <c r="N12" s="17" t="s">
        <v>58</v>
      </c>
      <c r="O12" s="17" t="s">
        <v>23</v>
      </c>
      <c r="P12" s="17">
        <v>0.55000000000000004</v>
      </c>
      <c r="Q12" s="17">
        <v>0.55000000000000004</v>
      </c>
      <c r="R12" s="18" t="s">
        <v>25</v>
      </c>
      <c r="S12" s="18">
        <v>3200</v>
      </c>
      <c r="T12" s="18">
        <v>25600</v>
      </c>
      <c r="U12" s="18">
        <v>25600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25600</v>
      </c>
      <c r="AE12" s="18">
        <v>25600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14080</v>
      </c>
      <c r="AO12" s="18">
        <v>0</v>
      </c>
      <c r="AP12" s="18">
        <v>14080</v>
      </c>
    </row>
    <row r="13" spans="1:42" x14ac:dyDescent="0.4">
      <c r="A13" s="17" t="s">
        <v>48</v>
      </c>
      <c r="B13" s="17" t="s">
        <v>81</v>
      </c>
      <c r="C13" s="17" t="s">
        <v>82</v>
      </c>
      <c r="D13" s="17" t="s">
        <v>83</v>
      </c>
      <c r="E13" s="17" t="s">
        <v>84</v>
      </c>
      <c r="F13" s="17" t="s">
        <v>49</v>
      </c>
      <c r="G13" s="17" t="s">
        <v>20</v>
      </c>
      <c r="H13" s="17" t="s">
        <v>21</v>
      </c>
      <c r="I13" s="17" t="s">
        <v>22</v>
      </c>
      <c r="J13" s="17">
        <v>56766146</v>
      </c>
      <c r="K13" s="17" t="s">
        <v>100</v>
      </c>
      <c r="L13" s="17"/>
      <c r="M13" s="17"/>
      <c r="N13" s="17" t="s">
        <v>58</v>
      </c>
      <c r="O13" s="17" t="s">
        <v>23</v>
      </c>
      <c r="P13" s="17">
        <v>0.55000000000000004</v>
      </c>
      <c r="Q13" s="17">
        <v>0.55000000000000004</v>
      </c>
      <c r="R13" s="18" t="s">
        <v>25</v>
      </c>
      <c r="S13" s="18">
        <v>3200</v>
      </c>
      <c r="T13" s="18">
        <v>44800</v>
      </c>
      <c r="U13" s="18">
        <v>37000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7800</v>
      </c>
      <c r="AD13" s="18">
        <v>44800</v>
      </c>
      <c r="AE13" s="18">
        <v>37000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7800</v>
      </c>
      <c r="AN13" s="18">
        <v>24640</v>
      </c>
      <c r="AO13" s="18">
        <v>0</v>
      </c>
      <c r="AP13" s="18">
        <v>24640</v>
      </c>
    </row>
    <row r="14" spans="1:42" x14ac:dyDescent="0.4">
      <c r="A14" s="17" t="s">
        <v>48</v>
      </c>
      <c r="B14" s="17" t="s">
        <v>81</v>
      </c>
      <c r="C14" s="17" t="s">
        <v>82</v>
      </c>
      <c r="D14" s="17" t="s">
        <v>83</v>
      </c>
      <c r="E14" s="17" t="s">
        <v>84</v>
      </c>
      <c r="F14" s="17" t="s">
        <v>49</v>
      </c>
      <c r="G14" s="17" t="s">
        <v>20</v>
      </c>
      <c r="H14" s="17" t="s">
        <v>21</v>
      </c>
      <c r="I14" s="17" t="s">
        <v>22</v>
      </c>
      <c r="J14" s="17">
        <v>58669835</v>
      </c>
      <c r="K14" s="17" t="s">
        <v>128</v>
      </c>
      <c r="L14" s="17"/>
      <c r="M14" s="17"/>
      <c r="N14" s="17" t="s">
        <v>58</v>
      </c>
      <c r="O14" s="17" t="s">
        <v>23</v>
      </c>
      <c r="P14" s="17">
        <v>0.55000000000000004</v>
      </c>
      <c r="Q14" s="17">
        <v>0.55000000000000004</v>
      </c>
      <c r="R14" s="18" t="s">
        <v>25</v>
      </c>
      <c r="S14" s="18">
        <v>100</v>
      </c>
      <c r="T14" s="18">
        <v>192600</v>
      </c>
      <c r="U14" s="18">
        <v>98570</v>
      </c>
      <c r="V14" s="18">
        <v>0</v>
      </c>
      <c r="W14" s="18">
        <v>0</v>
      </c>
      <c r="X14" s="18">
        <v>0</v>
      </c>
      <c r="Y14" s="18">
        <v>860</v>
      </c>
      <c r="Z14" s="18">
        <v>1700</v>
      </c>
      <c r="AA14" s="18">
        <v>0</v>
      </c>
      <c r="AB14" s="18">
        <v>0</v>
      </c>
      <c r="AC14" s="18">
        <v>91470</v>
      </c>
      <c r="AD14" s="18">
        <v>192942</v>
      </c>
      <c r="AE14" s="18">
        <v>98570</v>
      </c>
      <c r="AF14" s="18">
        <v>0</v>
      </c>
      <c r="AG14" s="18">
        <v>0</v>
      </c>
      <c r="AH14" s="18">
        <v>0</v>
      </c>
      <c r="AI14" s="18">
        <v>1032</v>
      </c>
      <c r="AJ14" s="18">
        <v>1870</v>
      </c>
      <c r="AK14" s="18">
        <v>0</v>
      </c>
      <c r="AL14" s="18">
        <v>0</v>
      </c>
      <c r="AM14" s="18">
        <v>91470</v>
      </c>
      <c r="AN14" s="18">
        <v>106118</v>
      </c>
      <c r="AO14" s="18">
        <v>0</v>
      </c>
      <c r="AP14" s="18">
        <v>106118</v>
      </c>
    </row>
    <row r="15" spans="1:42" x14ac:dyDescent="0.4">
      <c r="A15" s="17" t="s">
        <v>48</v>
      </c>
      <c r="B15" s="17" t="s">
        <v>81</v>
      </c>
      <c r="C15" s="17" t="s">
        <v>82</v>
      </c>
      <c r="D15" s="17" t="s">
        <v>83</v>
      </c>
      <c r="E15" s="17" t="s">
        <v>84</v>
      </c>
      <c r="F15" s="17" t="s">
        <v>49</v>
      </c>
      <c r="G15" s="17" t="s">
        <v>20</v>
      </c>
      <c r="H15" s="17" t="s">
        <v>21</v>
      </c>
      <c r="I15" s="17" t="s">
        <v>22</v>
      </c>
      <c r="J15" s="17">
        <v>58669835</v>
      </c>
      <c r="K15" s="17" t="s">
        <v>128</v>
      </c>
      <c r="L15" s="17"/>
      <c r="M15" s="17"/>
      <c r="N15" s="17" t="s">
        <v>58</v>
      </c>
      <c r="O15" s="17" t="s">
        <v>23</v>
      </c>
      <c r="P15" s="17">
        <v>0.55000000000000004</v>
      </c>
      <c r="Q15" s="17">
        <v>0.55000000000000004</v>
      </c>
      <c r="R15" s="18" t="s">
        <v>24</v>
      </c>
      <c r="S15" s="18">
        <v>2400</v>
      </c>
      <c r="T15" s="18">
        <v>195000</v>
      </c>
      <c r="U15" s="18">
        <v>161500</v>
      </c>
      <c r="V15" s="18">
        <v>0</v>
      </c>
      <c r="W15" s="18">
        <v>0</v>
      </c>
      <c r="X15" s="18">
        <v>0</v>
      </c>
      <c r="Y15" s="18">
        <v>0</v>
      </c>
      <c r="Z15" s="18">
        <v>9600</v>
      </c>
      <c r="AA15" s="18">
        <v>0</v>
      </c>
      <c r="AB15" s="18">
        <v>0</v>
      </c>
      <c r="AC15" s="18">
        <v>23900</v>
      </c>
      <c r="AD15" s="18">
        <v>195960</v>
      </c>
      <c r="AE15" s="18">
        <v>161500</v>
      </c>
      <c r="AF15" s="18">
        <v>0</v>
      </c>
      <c r="AG15" s="18">
        <v>0</v>
      </c>
      <c r="AH15" s="18">
        <v>0</v>
      </c>
      <c r="AI15" s="18">
        <v>0</v>
      </c>
      <c r="AJ15" s="18">
        <v>10560</v>
      </c>
      <c r="AK15" s="18">
        <v>0</v>
      </c>
      <c r="AL15" s="18">
        <v>0</v>
      </c>
      <c r="AM15" s="18">
        <v>23900</v>
      </c>
      <c r="AN15" s="18">
        <v>107778</v>
      </c>
      <c r="AO15" s="18">
        <v>0</v>
      </c>
      <c r="AP15" s="18">
        <v>107778</v>
      </c>
    </row>
    <row r="16" spans="1:42" x14ac:dyDescent="0.4">
      <c r="A16" s="17" t="s">
        <v>48</v>
      </c>
      <c r="B16" s="17" t="s">
        <v>81</v>
      </c>
      <c r="C16" s="17" t="s">
        <v>82</v>
      </c>
      <c r="D16" s="17" t="s">
        <v>83</v>
      </c>
      <c r="E16" s="17" t="s">
        <v>84</v>
      </c>
      <c r="F16" s="17" t="s">
        <v>49</v>
      </c>
      <c r="G16" s="17" t="s">
        <v>20</v>
      </c>
      <c r="H16" s="17" t="s">
        <v>21</v>
      </c>
      <c r="I16" s="17" t="s">
        <v>22</v>
      </c>
      <c r="J16" s="17">
        <v>58669835</v>
      </c>
      <c r="K16" s="17" t="s">
        <v>128</v>
      </c>
      <c r="L16" s="17"/>
      <c r="M16" s="17"/>
      <c r="N16" s="17" t="s">
        <v>58</v>
      </c>
      <c r="O16" s="17" t="s">
        <v>23</v>
      </c>
      <c r="P16" s="17">
        <v>0.55000000000000004</v>
      </c>
      <c r="Q16" s="17">
        <v>0.55000000000000004</v>
      </c>
      <c r="R16" s="18" t="s">
        <v>24</v>
      </c>
      <c r="S16" s="18">
        <v>4700</v>
      </c>
      <c r="T16" s="18">
        <v>98300</v>
      </c>
      <c r="U16" s="18">
        <v>72700</v>
      </c>
      <c r="V16" s="18">
        <v>0</v>
      </c>
      <c r="W16" s="18">
        <v>0</v>
      </c>
      <c r="X16" s="18">
        <v>0</v>
      </c>
      <c r="Y16" s="18">
        <v>4900</v>
      </c>
      <c r="Z16" s="18">
        <v>9400</v>
      </c>
      <c r="AA16" s="18">
        <v>0</v>
      </c>
      <c r="AB16" s="18">
        <v>0</v>
      </c>
      <c r="AC16" s="18">
        <v>11300</v>
      </c>
      <c r="AD16" s="18">
        <v>100220</v>
      </c>
      <c r="AE16" s="18">
        <v>72700</v>
      </c>
      <c r="AF16" s="18">
        <v>0</v>
      </c>
      <c r="AG16" s="18">
        <v>0</v>
      </c>
      <c r="AH16" s="18">
        <v>0</v>
      </c>
      <c r="AI16" s="18">
        <v>5880</v>
      </c>
      <c r="AJ16" s="18">
        <v>10340</v>
      </c>
      <c r="AK16" s="18">
        <v>0</v>
      </c>
      <c r="AL16" s="18">
        <v>0</v>
      </c>
      <c r="AM16" s="18">
        <v>11300</v>
      </c>
      <c r="AN16" s="18">
        <v>55121</v>
      </c>
      <c r="AO16" s="18">
        <v>0</v>
      </c>
      <c r="AP16" s="18">
        <v>55121</v>
      </c>
    </row>
    <row r="17" spans="1:42" x14ac:dyDescent="0.4">
      <c r="A17" s="17" t="s">
        <v>48</v>
      </c>
      <c r="B17" s="17" t="s">
        <v>81</v>
      </c>
      <c r="C17" s="17" t="s">
        <v>82</v>
      </c>
      <c r="D17" s="17" t="s">
        <v>83</v>
      </c>
      <c r="E17" s="17" t="s">
        <v>84</v>
      </c>
      <c r="F17" s="17" t="s">
        <v>49</v>
      </c>
      <c r="G17" s="17" t="s">
        <v>20</v>
      </c>
      <c r="H17" s="17" t="s">
        <v>21</v>
      </c>
      <c r="I17" s="17" t="s">
        <v>22</v>
      </c>
      <c r="J17" s="17">
        <v>58669835</v>
      </c>
      <c r="K17" s="17" t="s">
        <v>128</v>
      </c>
      <c r="L17" s="17"/>
      <c r="M17" s="17"/>
      <c r="N17" s="17" t="s">
        <v>58</v>
      </c>
      <c r="O17" s="17" t="s">
        <v>23</v>
      </c>
      <c r="P17" s="17">
        <v>0.55000000000000004</v>
      </c>
      <c r="Q17" s="17">
        <v>0.55000000000000004</v>
      </c>
      <c r="R17" s="18" t="s">
        <v>24</v>
      </c>
      <c r="S17" s="18">
        <v>9200</v>
      </c>
      <c r="T17" s="18">
        <v>98500</v>
      </c>
      <c r="U17" s="18">
        <v>76600</v>
      </c>
      <c r="V17" s="18">
        <v>0</v>
      </c>
      <c r="W17" s="18">
        <v>0</v>
      </c>
      <c r="X17" s="18">
        <v>0</v>
      </c>
      <c r="Y17" s="18">
        <v>0</v>
      </c>
      <c r="Z17" s="18">
        <v>18400</v>
      </c>
      <c r="AA17" s="18">
        <v>0</v>
      </c>
      <c r="AB17" s="18">
        <v>0</v>
      </c>
      <c r="AC17" s="18">
        <v>3500</v>
      </c>
      <c r="AD17" s="18">
        <v>100340</v>
      </c>
      <c r="AE17" s="18">
        <v>76600</v>
      </c>
      <c r="AF17" s="18">
        <v>0</v>
      </c>
      <c r="AG17" s="18">
        <v>0</v>
      </c>
      <c r="AH17" s="18">
        <v>0</v>
      </c>
      <c r="AI17" s="18">
        <v>0</v>
      </c>
      <c r="AJ17" s="18">
        <v>20240</v>
      </c>
      <c r="AK17" s="18">
        <v>0</v>
      </c>
      <c r="AL17" s="18">
        <v>0</v>
      </c>
      <c r="AM17" s="18">
        <v>3500</v>
      </c>
      <c r="AN17" s="18">
        <v>55187</v>
      </c>
      <c r="AO17" s="18">
        <v>0</v>
      </c>
      <c r="AP17" s="18">
        <v>55187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50982116</v>
      </c>
      <c r="K2" s="17" t="s">
        <v>59</v>
      </c>
      <c r="L2" s="17"/>
      <c r="M2" s="17"/>
      <c r="N2" s="17" t="s">
        <v>60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33000</v>
      </c>
      <c r="U2" s="18">
        <v>18000</v>
      </c>
      <c r="V2" s="18">
        <v>0</v>
      </c>
      <c r="W2" s="18">
        <v>0</v>
      </c>
      <c r="X2" s="18">
        <v>-700</v>
      </c>
      <c r="Y2" s="18">
        <v>0</v>
      </c>
      <c r="Z2" s="18">
        <v>0</v>
      </c>
      <c r="AA2" s="18">
        <v>0</v>
      </c>
      <c r="AB2" s="18">
        <v>0</v>
      </c>
      <c r="AC2" s="18">
        <v>15700</v>
      </c>
      <c r="AD2" s="18">
        <v>32731.081600000001</v>
      </c>
      <c r="AE2" s="18">
        <v>18000</v>
      </c>
      <c r="AF2" s="18">
        <v>0</v>
      </c>
      <c r="AG2" s="18">
        <v>0</v>
      </c>
      <c r="AH2" s="18">
        <v>-968.91840000000002</v>
      </c>
      <c r="AI2" s="18">
        <v>0</v>
      </c>
      <c r="AJ2" s="18">
        <v>0</v>
      </c>
      <c r="AK2" s="18">
        <v>0</v>
      </c>
      <c r="AL2" s="18">
        <v>0</v>
      </c>
      <c r="AM2" s="18">
        <v>15700</v>
      </c>
      <c r="AN2" s="18">
        <v>18002</v>
      </c>
      <c r="AO2" s="18">
        <v>0</v>
      </c>
      <c r="AP2" s="18">
        <v>18002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50982116</v>
      </c>
      <c r="K3" s="17" t="s">
        <v>59</v>
      </c>
      <c r="L3" s="17"/>
      <c r="M3" s="17"/>
      <c r="N3" s="17" t="s">
        <v>60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2900</v>
      </c>
      <c r="T3" s="18">
        <v>17700</v>
      </c>
      <c r="U3" s="18">
        <v>11900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5800</v>
      </c>
      <c r="AD3" s="18">
        <v>17700</v>
      </c>
      <c r="AE3" s="18">
        <v>11900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5800</v>
      </c>
      <c r="AN3" s="18">
        <v>9735</v>
      </c>
      <c r="AO3" s="18">
        <v>0</v>
      </c>
      <c r="AP3" s="18">
        <v>9735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50982116</v>
      </c>
      <c r="K4" s="17" t="s">
        <v>59</v>
      </c>
      <c r="L4" s="17"/>
      <c r="M4" s="17"/>
      <c r="N4" s="17" t="s">
        <v>60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5600</v>
      </c>
      <c r="T4" s="18">
        <v>11200</v>
      </c>
      <c r="U4" s="18">
        <v>11000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200</v>
      </c>
      <c r="AD4" s="18">
        <v>11200</v>
      </c>
      <c r="AE4" s="18">
        <v>11000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200</v>
      </c>
      <c r="AN4" s="18">
        <v>6160</v>
      </c>
      <c r="AO4" s="18">
        <v>0</v>
      </c>
      <c r="AP4" s="18">
        <v>6160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50982116</v>
      </c>
      <c r="K5" s="17" t="s">
        <v>59</v>
      </c>
      <c r="L5" s="17"/>
      <c r="M5" s="17"/>
      <c r="N5" s="17" t="s">
        <v>60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9000</v>
      </c>
      <c r="T5" s="18">
        <v>27000</v>
      </c>
      <c r="U5" s="18">
        <v>16400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10600</v>
      </c>
      <c r="AD5" s="18">
        <v>27000</v>
      </c>
      <c r="AE5" s="18">
        <v>16400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10600</v>
      </c>
      <c r="AN5" s="18">
        <v>14850</v>
      </c>
      <c r="AO5" s="18">
        <v>0</v>
      </c>
      <c r="AP5" s="18">
        <v>14850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7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51286038</v>
      </c>
      <c r="K2" s="17" t="s">
        <v>160</v>
      </c>
      <c r="L2" s="17"/>
      <c r="M2" s="17"/>
      <c r="N2" s="17" t="s">
        <v>67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600</v>
      </c>
      <c r="U2" s="18">
        <v>600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600</v>
      </c>
      <c r="AE2" s="18">
        <v>600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330</v>
      </c>
      <c r="AO2" s="18">
        <v>0</v>
      </c>
      <c r="AP2" s="18">
        <v>330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51286038</v>
      </c>
      <c r="K3" s="17" t="s">
        <v>160</v>
      </c>
      <c r="L3" s="17"/>
      <c r="M3" s="17"/>
      <c r="N3" s="17" t="s">
        <v>67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-1500</v>
      </c>
      <c r="U3" s="18">
        <v>-1500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-1500</v>
      </c>
      <c r="AE3" s="18">
        <v>-1500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-825</v>
      </c>
      <c r="AO3" s="18">
        <v>0</v>
      </c>
      <c r="AP3" s="18">
        <v>-825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56766423</v>
      </c>
      <c r="K4" s="17" t="s">
        <v>167</v>
      </c>
      <c r="L4" s="17"/>
      <c r="M4" s="17"/>
      <c r="N4" s="17" t="s">
        <v>67</v>
      </c>
      <c r="O4" s="17" t="s">
        <v>23</v>
      </c>
      <c r="P4" s="17">
        <v>0.55000000000000004</v>
      </c>
      <c r="Q4" s="17">
        <v>0.55000000000000004</v>
      </c>
      <c r="R4" s="18" t="s">
        <v>25</v>
      </c>
      <c r="S4" s="18">
        <v>3200</v>
      </c>
      <c r="T4" s="18">
        <v>3200</v>
      </c>
      <c r="U4" s="18">
        <v>3200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3200</v>
      </c>
      <c r="AE4" s="18">
        <v>3200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1760</v>
      </c>
      <c r="AO4" s="18">
        <v>0</v>
      </c>
      <c r="AP4" s="18">
        <v>1760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56767324</v>
      </c>
      <c r="K5" s="17" t="s">
        <v>168</v>
      </c>
      <c r="L5" s="17"/>
      <c r="M5" s="17"/>
      <c r="N5" s="17" t="s">
        <v>67</v>
      </c>
      <c r="O5" s="17" t="s">
        <v>23</v>
      </c>
      <c r="P5" s="17">
        <v>0.55000000000000004</v>
      </c>
      <c r="Q5" s="17">
        <v>0.55000000000000004</v>
      </c>
      <c r="R5" s="18" t="s">
        <v>25</v>
      </c>
      <c r="S5" s="18">
        <v>3200</v>
      </c>
      <c r="T5" s="18">
        <v>3200</v>
      </c>
      <c r="U5" s="18">
        <v>3200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3200</v>
      </c>
      <c r="AE5" s="18">
        <v>3200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1760</v>
      </c>
      <c r="AO5" s="18">
        <v>0</v>
      </c>
      <c r="AP5" s="18">
        <v>1760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4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51580576</v>
      </c>
      <c r="K2" s="17" t="s">
        <v>68</v>
      </c>
      <c r="L2" s="17"/>
      <c r="M2" s="17"/>
      <c r="N2" s="17" t="s">
        <v>69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36000</v>
      </c>
      <c r="U2" s="18">
        <v>13600</v>
      </c>
      <c r="V2" s="18">
        <v>0</v>
      </c>
      <c r="W2" s="18">
        <v>0</v>
      </c>
      <c r="X2" s="18">
        <v>0</v>
      </c>
      <c r="Y2" s="18">
        <v>0</v>
      </c>
      <c r="Z2" s="18">
        <v>1300</v>
      </c>
      <c r="AA2" s="18">
        <v>0</v>
      </c>
      <c r="AB2" s="18">
        <v>0</v>
      </c>
      <c r="AC2" s="18">
        <v>21100</v>
      </c>
      <c r="AD2" s="18">
        <v>36130</v>
      </c>
      <c r="AE2" s="18">
        <v>13600</v>
      </c>
      <c r="AF2" s="18">
        <v>0</v>
      </c>
      <c r="AG2" s="18">
        <v>0</v>
      </c>
      <c r="AH2" s="18">
        <v>0</v>
      </c>
      <c r="AI2" s="18">
        <v>0</v>
      </c>
      <c r="AJ2" s="18">
        <v>1430</v>
      </c>
      <c r="AK2" s="18">
        <v>0</v>
      </c>
      <c r="AL2" s="18">
        <v>0</v>
      </c>
      <c r="AM2" s="18">
        <v>21100</v>
      </c>
      <c r="AN2" s="18">
        <v>19872</v>
      </c>
      <c r="AO2" s="18">
        <v>0</v>
      </c>
      <c r="AP2" s="18">
        <v>19872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51580576</v>
      </c>
      <c r="K3" s="17" t="s">
        <v>68</v>
      </c>
      <c r="L3" s="17"/>
      <c r="M3" s="17"/>
      <c r="N3" s="17" t="s">
        <v>69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73900</v>
      </c>
      <c r="U3" s="18">
        <v>61600</v>
      </c>
      <c r="V3" s="18">
        <v>0</v>
      </c>
      <c r="W3" s="18">
        <v>0</v>
      </c>
      <c r="X3" s="18">
        <v>0</v>
      </c>
      <c r="Y3" s="18">
        <v>0</v>
      </c>
      <c r="Z3" s="18">
        <v>2400</v>
      </c>
      <c r="AA3" s="18">
        <v>0</v>
      </c>
      <c r="AB3" s="18">
        <v>0</v>
      </c>
      <c r="AC3" s="18">
        <v>9900</v>
      </c>
      <c r="AD3" s="18">
        <v>74140</v>
      </c>
      <c r="AE3" s="18">
        <v>61600</v>
      </c>
      <c r="AF3" s="18">
        <v>0</v>
      </c>
      <c r="AG3" s="18">
        <v>0</v>
      </c>
      <c r="AH3" s="18">
        <v>0</v>
      </c>
      <c r="AI3" s="18">
        <v>0</v>
      </c>
      <c r="AJ3" s="18">
        <v>2640</v>
      </c>
      <c r="AK3" s="18">
        <v>0</v>
      </c>
      <c r="AL3" s="18">
        <v>0</v>
      </c>
      <c r="AM3" s="18">
        <v>9900</v>
      </c>
      <c r="AN3" s="18">
        <v>40777</v>
      </c>
      <c r="AO3" s="18">
        <v>0</v>
      </c>
      <c r="AP3" s="18">
        <v>40777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51580576</v>
      </c>
      <c r="K4" s="17" t="s">
        <v>68</v>
      </c>
      <c r="L4" s="17"/>
      <c r="M4" s="17"/>
      <c r="N4" s="17" t="s">
        <v>69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74000</v>
      </c>
      <c r="U4" s="18">
        <v>62800</v>
      </c>
      <c r="V4" s="18">
        <v>0</v>
      </c>
      <c r="W4" s="18">
        <v>0</v>
      </c>
      <c r="X4" s="18">
        <v>0</v>
      </c>
      <c r="Y4" s="18">
        <v>0</v>
      </c>
      <c r="Z4" s="18">
        <v>9200</v>
      </c>
      <c r="AA4" s="18">
        <v>0</v>
      </c>
      <c r="AB4" s="18">
        <v>0</v>
      </c>
      <c r="AC4" s="18">
        <v>2000</v>
      </c>
      <c r="AD4" s="18">
        <v>74920</v>
      </c>
      <c r="AE4" s="18">
        <v>62800</v>
      </c>
      <c r="AF4" s="18">
        <v>0</v>
      </c>
      <c r="AG4" s="18">
        <v>0</v>
      </c>
      <c r="AH4" s="18">
        <v>0</v>
      </c>
      <c r="AI4" s="18">
        <v>0</v>
      </c>
      <c r="AJ4" s="18">
        <v>10120</v>
      </c>
      <c r="AK4" s="18">
        <v>0</v>
      </c>
      <c r="AL4" s="18">
        <v>0</v>
      </c>
      <c r="AM4" s="18">
        <v>2000</v>
      </c>
      <c r="AN4" s="18">
        <v>41206</v>
      </c>
      <c r="AO4" s="18">
        <v>0</v>
      </c>
      <c r="AP4" s="18">
        <v>41206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51580576</v>
      </c>
      <c r="K5" s="17" t="s">
        <v>68</v>
      </c>
      <c r="L5" s="17"/>
      <c r="M5" s="17"/>
      <c r="N5" s="17" t="s">
        <v>69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52900</v>
      </c>
      <c r="U5" s="18">
        <v>49900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3000</v>
      </c>
      <c r="AD5" s="18">
        <v>52900</v>
      </c>
      <c r="AE5" s="18">
        <v>49900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3000</v>
      </c>
      <c r="AN5" s="18">
        <v>29095</v>
      </c>
      <c r="AO5" s="18">
        <v>0</v>
      </c>
      <c r="AP5" s="18">
        <v>29095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56764813</v>
      </c>
      <c r="K6" s="17" t="s">
        <v>97</v>
      </c>
      <c r="L6" s="17"/>
      <c r="M6" s="17"/>
      <c r="N6" s="17" t="s">
        <v>69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3200</v>
      </c>
      <c r="T6" s="18">
        <v>38400</v>
      </c>
      <c r="U6" s="18">
        <v>32000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6400</v>
      </c>
      <c r="AD6" s="18">
        <v>38400</v>
      </c>
      <c r="AE6" s="18">
        <v>32000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6400</v>
      </c>
      <c r="AN6" s="18">
        <v>21120</v>
      </c>
      <c r="AO6" s="18">
        <v>0</v>
      </c>
      <c r="AP6" s="18">
        <v>21120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52393524</v>
      </c>
      <c r="K2" s="17" t="s">
        <v>53</v>
      </c>
      <c r="L2" s="17"/>
      <c r="M2" s="17"/>
      <c r="N2" s="17" t="s">
        <v>54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20000</v>
      </c>
      <c r="U2" s="18">
        <v>6200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13800</v>
      </c>
      <c r="AD2" s="18">
        <v>20000</v>
      </c>
      <c r="AE2" s="18">
        <v>6200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13800</v>
      </c>
      <c r="AN2" s="18">
        <v>11000</v>
      </c>
      <c r="AO2" s="18">
        <v>0</v>
      </c>
      <c r="AP2" s="18">
        <v>11000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52393524</v>
      </c>
      <c r="K3" s="17" t="s">
        <v>53</v>
      </c>
      <c r="L3" s="17"/>
      <c r="M3" s="17"/>
      <c r="N3" s="17" t="s">
        <v>54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45100</v>
      </c>
      <c r="U3" s="18">
        <v>44500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600</v>
      </c>
      <c r="AD3" s="18">
        <v>45100</v>
      </c>
      <c r="AE3" s="18">
        <v>44500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600</v>
      </c>
      <c r="AN3" s="18">
        <v>24805</v>
      </c>
      <c r="AO3" s="18">
        <v>0</v>
      </c>
      <c r="AP3" s="18">
        <v>24805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52393524</v>
      </c>
      <c r="K4" s="17" t="s">
        <v>53</v>
      </c>
      <c r="L4" s="17"/>
      <c r="M4" s="17"/>
      <c r="N4" s="17" t="s">
        <v>54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67000</v>
      </c>
      <c r="U4" s="18">
        <v>45800</v>
      </c>
      <c r="V4" s="18">
        <v>0</v>
      </c>
      <c r="W4" s="18">
        <v>0</v>
      </c>
      <c r="X4" s="18">
        <v>0</v>
      </c>
      <c r="Y4" s="18">
        <v>0</v>
      </c>
      <c r="Z4" s="18">
        <v>9200</v>
      </c>
      <c r="AA4" s="18">
        <v>0</v>
      </c>
      <c r="AB4" s="18">
        <v>0</v>
      </c>
      <c r="AC4" s="18">
        <v>12000</v>
      </c>
      <c r="AD4" s="18">
        <v>67920</v>
      </c>
      <c r="AE4" s="18">
        <v>45800</v>
      </c>
      <c r="AF4" s="18">
        <v>0</v>
      </c>
      <c r="AG4" s="18">
        <v>0</v>
      </c>
      <c r="AH4" s="18">
        <v>0</v>
      </c>
      <c r="AI4" s="18">
        <v>0</v>
      </c>
      <c r="AJ4" s="18">
        <v>10120</v>
      </c>
      <c r="AK4" s="18">
        <v>0</v>
      </c>
      <c r="AL4" s="18">
        <v>0</v>
      </c>
      <c r="AM4" s="18">
        <v>12000</v>
      </c>
      <c r="AN4" s="18">
        <v>37356</v>
      </c>
      <c r="AO4" s="18">
        <v>0</v>
      </c>
      <c r="AP4" s="18">
        <v>37356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52393524</v>
      </c>
      <c r="K5" s="17" t="s">
        <v>53</v>
      </c>
      <c r="L5" s="17"/>
      <c r="M5" s="17"/>
      <c r="N5" s="17" t="s">
        <v>54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-2600</v>
      </c>
      <c r="U5" s="18">
        <v>-2600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-2600</v>
      </c>
      <c r="AE5" s="18">
        <v>-2600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-1430</v>
      </c>
      <c r="AO5" s="18">
        <v>0</v>
      </c>
      <c r="AP5" s="18">
        <v>-1430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55688392</v>
      </c>
      <c r="K6" s="17" t="s">
        <v>161</v>
      </c>
      <c r="L6" s="17"/>
      <c r="M6" s="17"/>
      <c r="N6" s="17" t="s">
        <v>54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3200</v>
      </c>
      <c r="T6" s="18">
        <v>19200</v>
      </c>
      <c r="U6" s="18">
        <v>19200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19200</v>
      </c>
      <c r="AE6" s="18">
        <v>19200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10560</v>
      </c>
      <c r="AO6" s="18">
        <v>0</v>
      </c>
      <c r="AP6" s="18">
        <v>10560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5.1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52438077</v>
      </c>
      <c r="K2" s="17" t="s">
        <v>75</v>
      </c>
      <c r="L2" s="17"/>
      <c r="M2" s="17"/>
      <c r="N2" s="17" t="s">
        <v>76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778200</v>
      </c>
      <c r="U2" s="18">
        <v>214120</v>
      </c>
      <c r="V2" s="18">
        <v>0</v>
      </c>
      <c r="W2" s="18">
        <v>0</v>
      </c>
      <c r="X2" s="18">
        <v>0</v>
      </c>
      <c r="Y2" s="18">
        <v>30000</v>
      </c>
      <c r="Z2" s="18">
        <v>600</v>
      </c>
      <c r="AA2" s="18">
        <v>0</v>
      </c>
      <c r="AB2" s="18">
        <v>0</v>
      </c>
      <c r="AC2" s="18">
        <v>533480</v>
      </c>
      <c r="AD2" s="18">
        <v>784260</v>
      </c>
      <c r="AE2" s="18">
        <v>214120</v>
      </c>
      <c r="AF2" s="18">
        <v>0</v>
      </c>
      <c r="AG2" s="18">
        <v>0</v>
      </c>
      <c r="AH2" s="18">
        <v>0</v>
      </c>
      <c r="AI2" s="18">
        <v>36000</v>
      </c>
      <c r="AJ2" s="18">
        <v>660</v>
      </c>
      <c r="AK2" s="18">
        <v>0</v>
      </c>
      <c r="AL2" s="18">
        <v>0</v>
      </c>
      <c r="AM2" s="18">
        <v>533480</v>
      </c>
      <c r="AN2" s="18">
        <v>431343</v>
      </c>
      <c r="AO2" s="18">
        <v>0</v>
      </c>
      <c r="AP2" s="18">
        <v>431343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52438077</v>
      </c>
      <c r="K3" s="17" t="s">
        <v>75</v>
      </c>
      <c r="L3" s="17"/>
      <c r="M3" s="17"/>
      <c r="N3" s="17" t="s">
        <v>76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838600</v>
      </c>
      <c r="U3" s="18">
        <v>633810</v>
      </c>
      <c r="V3" s="18">
        <v>0</v>
      </c>
      <c r="W3" s="18">
        <v>0</v>
      </c>
      <c r="X3" s="18">
        <v>0</v>
      </c>
      <c r="Y3" s="18">
        <v>11600</v>
      </c>
      <c r="Z3" s="18">
        <v>21600</v>
      </c>
      <c r="AA3" s="18">
        <v>0</v>
      </c>
      <c r="AB3" s="18">
        <v>0</v>
      </c>
      <c r="AC3" s="18">
        <v>171590</v>
      </c>
      <c r="AD3" s="18">
        <v>843080</v>
      </c>
      <c r="AE3" s="18">
        <v>633810</v>
      </c>
      <c r="AF3" s="18">
        <v>0</v>
      </c>
      <c r="AG3" s="18">
        <v>0</v>
      </c>
      <c r="AH3" s="18">
        <v>0</v>
      </c>
      <c r="AI3" s="18">
        <v>13920</v>
      </c>
      <c r="AJ3" s="18">
        <v>23760</v>
      </c>
      <c r="AK3" s="18">
        <v>0</v>
      </c>
      <c r="AL3" s="18">
        <v>0</v>
      </c>
      <c r="AM3" s="18">
        <v>171590</v>
      </c>
      <c r="AN3" s="18">
        <v>463694</v>
      </c>
      <c r="AO3" s="18">
        <v>0</v>
      </c>
      <c r="AP3" s="18">
        <v>463694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52438077</v>
      </c>
      <c r="K4" s="17" t="s">
        <v>75</v>
      </c>
      <c r="L4" s="17"/>
      <c r="M4" s="17"/>
      <c r="N4" s="17" t="s">
        <v>76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729000</v>
      </c>
      <c r="U4" s="18">
        <v>652740</v>
      </c>
      <c r="V4" s="18">
        <v>0</v>
      </c>
      <c r="W4" s="18">
        <v>0</v>
      </c>
      <c r="X4" s="18">
        <v>0</v>
      </c>
      <c r="Y4" s="18">
        <v>400</v>
      </c>
      <c r="Z4" s="18">
        <v>36100</v>
      </c>
      <c r="AA4" s="18">
        <v>0</v>
      </c>
      <c r="AB4" s="18">
        <v>0</v>
      </c>
      <c r="AC4" s="18">
        <v>39760</v>
      </c>
      <c r="AD4" s="18">
        <v>732690</v>
      </c>
      <c r="AE4" s="18">
        <v>652740</v>
      </c>
      <c r="AF4" s="18">
        <v>0</v>
      </c>
      <c r="AG4" s="18">
        <v>0</v>
      </c>
      <c r="AH4" s="18">
        <v>0</v>
      </c>
      <c r="AI4" s="18">
        <v>480</v>
      </c>
      <c r="AJ4" s="18">
        <v>39710</v>
      </c>
      <c r="AK4" s="18">
        <v>0</v>
      </c>
      <c r="AL4" s="18">
        <v>0</v>
      </c>
      <c r="AM4" s="18">
        <v>39760</v>
      </c>
      <c r="AN4" s="18">
        <v>402980</v>
      </c>
      <c r="AO4" s="18">
        <v>0</v>
      </c>
      <c r="AP4" s="18">
        <v>402980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52438077</v>
      </c>
      <c r="K5" s="17" t="s">
        <v>75</v>
      </c>
      <c r="L5" s="17"/>
      <c r="M5" s="17"/>
      <c r="N5" s="17" t="s">
        <v>76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372600</v>
      </c>
      <c r="U5" s="18">
        <v>342350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30250</v>
      </c>
      <c r="AD5" s="18">
        <v>372600</v>
      </c>
      <c r="AE5" s="18">
        <v>342350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30250</v>
      </c>
      <c r="AN5" s="18">
        <v>204930</v>
      </c>
      <c r="AO5" s="18">
        <v>0</v>
      </c>
      <c r="AP5" s="18">
        <v>204930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56764849</v>
      </c>
      <c r="K6" s="17" t="s">
        <v>162</v>
      </c>
      <c r="L6" s="17"/>
      <c r="M6" s="17"/>
      <c r="N6" s="17" t="s">
        <v>76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3200</v>
      </c>
      <c r="T6" s="18">
        <v>51200</v>
      </c>
      <c r="U6" s="18">
        <v>33900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17300</v>
      </c>
      <c r="AD6" s="18">
        <v>51200</v>
      </c>
      <c r="AE6" s="18">
        <v>33900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17300</v>
      </c>
      <c r="AN6" s="18">
        <v>28160</v>
      </c>
      <c r="AO6" s="18">
        <v>0</v>
      </c>
      <c r="AP6" s="18">
        <v>28160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2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52972236</v>
      </c>
      <c r="K2" s="17" t="s">
        <v>55</v>
      </c>
      <c r="L2" s="17"/>
      <c r="M2" s="17"/>
      <c r="N2" s="17" t="s">
        <v>56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15700</v>
      </c>
      <c r="U2" s="18">
        <v>900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14800</v>
      </c>
      <c r="AD2" s="18">
        <v>15700</v>
      </c>
      <c r="AE2" s="18">
        <v>900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14800</v>
      </c>
      <c r="AN2" s="18">
        <v>8635</v>
      </c>
      <c r="AO2" s="18">
        <v>0</v>
      </c>
      <c r="AP2" s="18">
        <v>8635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52972236</v>
      </c>
      <c r="K3" s="17" t="s">
        <v>55</v>
      </c>
      <c r="L3" s="17"/>
      <c r="M3" s="17"/>
      <c r="N3" s="17" t="s">
        <v>56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2400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2400</v>
      </c>
      <c r="AD3" s="18">
        <v>2400</v>
      </c>
      <c r="AE3" s="18">
        <v>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2400</v>
      </c>
      <c r="AN3" s="18">
        <v>1320</v>
      </c>
      <c r="AO3" s="18">
        <v>0</v>
      </c>
      <c r="AP3" s="18">
        <v>1320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52972236</v>
      </c>
      <c r="K4" s="17" t="s">
        <v>55</v>
      </c>
      <c r="L4" s="17"/>
      <c r="M4" s="17"/>
      <c r="N4" s="17" t="s">
        <v>56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-7400</v>
      </c>
      <c r="U4" s="18">
        <v>-7400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-7400</v>
      </c>
      <c r="AE4" s="18">
        <v>-7400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-4070</v>
      </c>
      <c r="AO4" s="18">
        <v>0</v>
      </c>
      <c r="AP4" s="18">
        <v>-4070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52972236</v>
      </c>
      <c r="K5" s="17" t="s">
        <v>55</v>
      </c>
      <c r="L5" s="17"/>
      <c r="M5" s="17"/>
      <c r="N5" s="17" t="s">
        <v>56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18000</v>
      </c>
      <c r="U5" s="18">
        <v>17300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700</v>
      </c>
      <c r="AD5" s="18">
        <v>18000</v>
      </c>
      <c r="AE5" s="18">
        <v>17300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700</v>
      </c>
      <c r="AN5" s="18">
        <v>9900</v>
      </c>
      <c r="AO5" s="18">
        <v>0</v>
      </c>
      <c r="AP5" s="18">
        <v>9900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53188002</v>
      </c>
      <c r="K2" s="17" t="s">
        <v>62</v>
      </c>
      <c r="L2" s="17"/>
      <c r="M2" s="17"/>
      <c r="N2" s="17" t="s">
        <v>63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6800</v>
      </c>
      <c r="U2" s="18">
        <v>2700</v>
      </c>
      <c r="V2" s="18">
        <v>0</v>
      </c>
      <c r="W2" s="18">
        <v>0</v>
      </c>
      <c r="X2" s="18">
        <v>0</v>
      </c>
      <c r="Y2" s="18">
        <v>0</v>
      </c>
      <c r="Z2" s="18">
        <v>200</v>
      </c>
      <c r="AA2" s="18">
        <v>0</v>
      </c>
      <c r="AB2" s="18">
        <v>0</v>
      </c>
      <c r="AC2" s="18">
        <v>3900</v>
      </c>
      <c r="AD2" s="18">
        <v>6820</v>
      </c>
      <c r="AE2" s="18">
        <v>2700</v>
      </c>
      <c r="AF2" s="18">
        <v>0</v>
      </c>
      <c r="AG2" s="18">
        <v>0</v>
      </c>
      <c r="AH2" s="18">
        <v>0</v>
      </c>
      <c r="AI2" s="18">
        <v>0</v>
      </c>
      <c r="AJ2" s="18">
        <v>220</v>
      </c>
      <c r="AK2" s="18">
        <v>0</v>
      </c>
      <c r="AL2" s="18">
        <v>0</v>
      </c>
      <c r="AM2" s="18">
        <v>3900</v>
      </c>
      <c r="AN2" s="18">
        <v>3751</v>
      </c>
      <c r="AO2" s="18">
        <v>0</v>
      </c>
      <c r="AP2" s="18">
        <v>3751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53188002</v>
      </c>
      <c r="K3" s="17" t="s">
        <v>62</v>
      </c>
      <c r="L3" s="17"/>
      <c r="M3" s="17"/>
      <c r="N3" s="17" t="s">
        <v>63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4900</v>
      </c>
      <c r="U3" s="18">
        <v>800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4100</v>
      </c>
      <c r="AD3" s="18">
        <v>4900</v>
      </c>
      <c r="AE3" s="18">
        <v>800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4100</v>
      </c>
      <c r="AN3" s="18">
        <v>2695</v>
      </c>
      <c r="AO3" s="18">
        <v>0</v>
      </c>
      <c r="AP3" s="18">
        <v>2695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53188002</v>
      </c>
      <c r="K4" s="17" t="s">
        <v>62</v>
      </c>
      <c r="L4" s="17"/>
      <c r="M4" s="17"/>
      <c r="N4" s="17" t="s">
        <v>63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-3500</v>
      </c>
      <c r="U4" s="18">
        <v>-3500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-3500</v>
      </c>
      <c r="AE4" s="18">
        <v>-3500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-1925</v>
      </c>
      <c r="AO4" s="18">
        <v>0</v>
      </c>
      <c r="AP4" s="18">
        <v>-1925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3.2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54231195</v>
      </c>
      <c r="K2" s="17" t="s">
        <v>61</v>
      </c>
      <c r="L2" s="17"/>
      <c r="M2" s="17"/>
      <c r="N2" s="17" t="s">
        <v>52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53500</v>
      </c>
      <c r="U2" s="18">
        <v>36700</v>
      </c>
      <c r="V2" s="18">
        <v>0</v>
      </c>
      <c r="W2" s="18">
        <v>0</v>
      </c>
      <c r="X2" s="18">
        <v>0</v>
      </c>
      <c r="Y2" s="18">
        <v>0</v>
      </c>
      <c r="Z2" s="18">
        <v>1500</v>
      </c>
      <c r="AA2" s="18">
        <v>0</v>
      </c>
      <c r="AB2" s="18">
        <v>0</v>
      </c>
      <c r="AC2" s="18">
        <v>15300</v>
      </c>
      <c r="AD2" s="18">
        <v>53650</v>
      </c>
      <c r="AE2" s="18">
        <v>36700</v>
      </c>
      <c r="AF2" s="18">
        <v>0</v>
      </c>
      <c r="AG2" s="18">
        <v>0</v>
      </c>
      <c r="AH2" s="18">
        <v>0</v>
      </c>
      <c r="AI2" s="18">
        <v>0</v>
      </c>
      <c r="AJ2" s="18">
        <v>1650</v>
      </c>
      <c r="AK2" s="18">
        <v>0</v>
      </c>
      <c r="AL2" s="18">
        <v>0</v>
      </c>
      <c r="AM2" s="18">
        <v>15300</v>
      </c>
      <c r="AN2" s="18">
        <v>29508</v>
      </c>
      <c r="AO2" s="18">
        <v>0</v>
      </c>
      <c r="AP2" s="18">
        <v>29508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54231195</v>
      </c>
      <c r="K3" s="17" t="s">
        <v>61</v>
      </c>
      <c r="L3" s="17"/>
      <c r="M3" s="17"/>
      <c r="N3" s="17" t="s">
        <v>52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125000</v>
      </c>
      <c r="U3" s="18">
        <v>94800</v>
      </c>
      <c r="V3" s="18">
        <v>0</v>
      </c>
      <c r="W3" s="18">
        <v>0</v>
      </c>
      <c r="X3" s="18">
        <v>0</v>
      </c>
      <c r="Y3" s="18">
        <v>1000</v>
      </c>
      <c r="Z3" s="18">
        <v>15800</v>
      </c>
      <c r="AA3" s="18">
        <v>0</v>
      </c>
      <c r="AB3" s="18">
        <v>0</v>
      </c>
      <c r="AC3" s="18">
        <v>13400</v>
      </c>
      <c r="AD3" s="18">
        <v>126780</v>
      </c>
      <c r="AE3" s="18">
        <v>94800</v>
      </c>
      <c r="AF3" s="18">
        <v>0</v>
      </c>
      <c r="AG3" s="18">
        <v>0</v>
      </c>
      <c r="AH3" s="18">
        <v>0</v>
      </c>
      <c r="AI3" s="18">
        <v>1200</v>
      </c>
      <c r="AJ3" s="18">
        <v>17380</v>
      </c>
      <c r="AK3" s="18">
        <v>0</v>
      </c>
      <c r="AL3" s="18">
        <v>0</v>
      </c>
      <c r="AM3" s="18">
        <v>13400</v>
      </c>
      <c r="AN3" s="18">
        <v>69729</v>
      </c>
      <c r="AO3" s="18">
        <v>0</v>
      </c>
      <c r="AP3" s="18">
        <v>69729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54231195</v>
      </c>
      <c r="K4" s="17" t="s">
        <v>61</v>
      </c>
      <c r="L4" s="17"/>
      <c r="M4" s="17"/>
      <c r="N4" s="17" t="s">
        <v>52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99800</v>
      </c>
      <c r="U4" s="18">
        <v>80700</v>
      </c>
      <c r="V4" s="18">
        <v>0</v>
      </c>
      <c r="W4" s="18">
        <v>0</v>
      </c>
      <c r="X4" s="18">
        <v>0</v>
      </c>
      <c r="Y4" s="18">
        <v>0</v>
      </c>
      <c r="Z4" s="18">
        <v>9200</v>
      </c>
      <c r="AA4" s="18">
        <v>0</v>
      </c>
      <c r="AB4" s="18">
        <v>0</v>
      </c>
      <c r="AC4" s="18">
        <v>9900</v>
      </c>
      <c r="AD4" s="18">
        <v>100720</v>
      </c>
      <c r="AE4" s="18">
        <v>80700</v>
      </c>
      <c r="AF4" s="18">
        <v>0</v>
      </c>
      <c r="AG4" s="18">
        <v>0</v>
      </c>
      <c r="AH4" s="18">
        <v>0</v>
      </c>
      <c r="AI4" s="18">
        <v>0</v>
      </c>
      <c r="AJ4" s="18">
        <v>10120</v>
      </c>
      <c r="AK4" s="18">
        <v>0</v>
      </c>
      <c r="AL4" s="18">
        <v>0</v>
      </c>
      <c r="AM4" s="18">
        <v>9900</v>
      </c>
      <c r="AN4" s="18">
        <v>55396</v>
      </c>
      <c r="AO4" s="18">
        <v>0</v>
      </c>
      <c r="AP4" s="18">
        <v>55396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54231195</v>
      </c>
      <c r="K5" s="17" t="s">
        <v>61</v>
      </c>
      <c r="L5" s="17"/>
      <c r="M5" s="17"/>
      <c r="N5" s="17" t="s">
        <v>52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27800</v>
      </c>
      <c r="U5" s="18">
        <v>28100</v>
      </c>
      <c r="V5" s="18">
        <v>0</v>
      </c>
      <c r="W5" s="18">
        <v>0</v>
      </c>
      <c r="X5" s="18">
        <v>0</v>
      </c>
      <c r="Y5" s="18">
        <v>-50</v>
      </c>
      <c r="Z5" s="18">
        <v>-650</v>
      </c>
      <c r="AA5" s="18">
        <v>0</v>
      </c>
      <c r="AB5" s="18">
        <v>0</v>
      </c>
      <c r="AC5" s="18">
        <v>400</v>
      </c>
      <c r="AD5" s="18">
        <v>27725</v>
      </c>
      <c r="AE5" s="18">
        <v>28100</v>
      </c>
      <c r="AF5" s="18">
        <v>0</v>
      </c>
      <c r="AG5" s="18">
        <v>0</v>
      </c>
      <c r="AH5" s="18">
        <v>0</v>
      </c>
      <c r="AI5" s="18">
        <v>-60</v>
      </c>
      <c r="AJ5" s="18">
        <v>-715</v>
      </c>
      <c r="AK5" s="18">
        <v>0</v>
      </c>
      <c r="AL5" s="18">
        <v>0</v>
      </c>
      <c r="AM5" s="18">
        <v>400</v>
      </c>
      <c r="AN5" s="18">
        <v>15249</v>
      </c>
      <c r="AO5" s="18">
        <v>0</v>
      </c>
      <c r="AP5" s="18">
        <v>15249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56765572</v>
      </c>
      <c r="K6" s="17" t="s">
        <v>99</v>
      </c>
      <c r="L6" s="17"/>
      <c r="M6" s="17"/>
      <c r="N6" s="17" t="s">
        <v>52</v>
      </c>
      <c r="O6" s="17" t="s">
        <v>23</v>
      </c>
      <c r="P6" s="17">
        <v>0.55000000000000004</v>
      </c>
      <c r="Q6" s="17">
        <v>0.55000000000000004</v>
      </c>
      <c r="R6" s="18" t="s">
        <v>25</v>
      </c>
      <c r="S6" s="18">
        <v>3200</v>
      </c>
      <c r="T6" s="18">
        <v>224000</v>
      </c>
      <c r="U6" s="18">
        <v>212600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11400</v>
      </c>
      <c r="AD6" s="18">
        <v>224000</v>
      </c>
      <c r="AE6" s="18">
        <v>212600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11400</v>
      </c>
      <c r="AN6" s="18">
        <v>123200</v>
      </c>
      <c r="AO6" s="18">
        <v>0</v>
      </c>
      <c r="AP6" s="18">
        <v>123200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54659177</v>
      </c>
      <c r="K2" s="17" t="s">
        <v>79</v>
      </c>
      <c r="L2" s="17"/>
      <c r="M2" s="17"/>
      <c r="N2" s="17" t="s">
        <v>80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600</v>
      </c>
      <c r="U2" s="18">
        <v>300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300</v>
      </c>
      <c r="AD2" s="18">
        <v>600</v>
      </c>
      <c r="AE2" s="18">
        <v>300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300</v>
      </c>
      <c r="AN2" s="18">
        <v>330</v>
      </c>
      <c r="AO2" s="18">
        <v>0</v>
      </c>
      <c r="AP2" s="18">
        <v>330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54659177</v>
      </c>
      <c r="K3" s="17" t="s">
        <v>79</v>
      </c>
      <c r="L3" s="17"/>
      <c r="M3" s="17"/>
      <c r="N3" s="17" t="s">
        <v>80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7200</v>
      </c>
      <c r="U3" s="18">
        <v>7200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7200</v>
      </c>
      <c r="AE3" s="18">
        <v>7200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3960</v>
      </c>
      <c r="AO3" s="18">
        <v>0</v>
      </c>
      <c r="AP3" s="18">
        <v>3960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54659177</v>
      </c>
      <c r="K4" s="17" t="s">
        <v>79</v>
      </c>
      <c r="L4" s="17"/>
      <c r="M4" s="17"/>
      <c r="N4" s="17" t="s">
        <v>80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26500</v>
      </c>
      <c r="U4" s="18">
        <v>26500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26500</v>
      </c>
      <c r="AE4" s="18">
        <v>26500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14575</v>
      </c>
      <c r="AO4" s="18">
        <v>0</v>
      </c>
      <c r="AP4" s="18">
        <v>14575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56691893</v>
      </c>
      <c r="K2" s="17" t="s">
        <v>92</v>
      </c>
      <c r="L2" s="17"/>
      <c r="M2" s="17"/>
      <c r="N2" s="17" t="s">
        <v>93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41400</v>
      </c>
      <c r="U2" s="18">
        <v>7500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33900</v>
      </c>
      <c r="AD2" s="18">
        <v>41400</v>
      </c>
      <c r="AE2" s="18">
        <v>7500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33900</v>
      </c>
      <c r="AN2" s="18">
        <v>22770</v>
      </c>
      <c r="AO2" s="18">
        <v>0</v>
      </c>
      <c r="AP2" s="18">
        <v>22770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56691893</v>
      </c>
      <c r="K3" s="17" t="s">
        <v>92</v>
      </c>
      <c r="L3" s="17"/>
      <c r="M3" s="17"/>
      <c r="N3" s="17" t="s">
        <v>93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9900</v>
      </c>
      <c r="U3" s="18">
        <v>100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9800</v>
      </c>
      <c r="AD3" s="18">
        <v>9900</v>
      </c>
      <c r="AE3" s="18">
        <v>100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9800</v>
      </c>
      <c r="AN3" s="18">
        <v>5445</v>
      </c>
      <c r="AO3" s="18">
        <v>0</v>
      </c>
      <c r="AP3" s="18">
        <v>5445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56691893</v>
      </c>
      <c r="K4" s="17" t="s">
        <v>92</v>
      </c>
      <c r="L4" s="17"/>
      <c r="M4" s="17"/>
      <c r="N4" s="17" t="s">
        <v>93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30300</v>
      </c>
      <c r="U4" s="18">
        <v>25900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4400</v>
      </c>
      <c r="AD4" s="18">
        <v>30300</v>
      </c>
      <c r="AE4" s="18">
        <v>25900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4400</v>
      </c>
      <c r="AN4" s="18">
        <v>16665</v>
      </c>
      <c r="AO4" s="18">
        <v>0</v>
      </c>
      <c r="AP4" s="18">
        <v>16665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56691893</v>
      </c>
      <c r="K5" s="17" t="s">
        <v>92</v>
      </c>
      <c r="L5" s="17"/>
      <c r="M5" s="17"/>
      <c r="N5" s="17" t="s">
        <v>93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18300</v>
      </c>
      <c r="U5" s="18">
        <v>18300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18300</v>
      </c>
      <c r="AE5" s="18">
        <v>18300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10065</v>
      </c>
      <c r="AO5" s="18">
        <v>0</v>
      </c>
      <c r="AP5" s="18">
        <v>10065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56742705</v>
      </c>
      <c r="K2" s="17" t="s">
        <v>94</v>
      </c>
      <c r="L2" s="17"/>
      <c r="M2" s="17"/>
      <c r="N2" s="17" t="s">
        <v>95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27600</v>
      </c>
      <c r="U2" s="18">
        <v>7400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20200</v>
      </c>
      <c r="AD2" s="18">
        <v>27600</v>
      </c>
      <c r="AE2" s="18">
        <v>7400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20200</v>
      </c>
      <c r="AN2" s="18">
        <v>15180</v>
      </c>
      <c r="AO2" s="18">
        <v>0</v>
      </c>
      <c r="AP2" s="18">
        <v>15180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56742705</v>
      </c>
      <c r="K3" s="17" t="s">
        <v>94</v>
      </c>
      <c r="L3" s="17"/>
      <c r="M3" s="17"/>
      <c r="N3" s="17" t="s">
        <v>95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9300</v>
      </c>
      <c r="U3" s="18">
        <v>4500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4800</v>
      </c>
      <c r="AD3" s="18">
        <v>9300</v>
      </c>
      <c r="AE3" s="18">
        <v>4500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4800</v>
      </c>
      <c r="AN3" s="18">
        <v>5115</v>
      </c>
      <c r="AO3" s="18">
        <v>0</v>
      </c>
      <c r="AP3" s="18">
        <v>5115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56742705</v>
      </c>
      <c r="K4" s="17" t="s">
        <v>94</v>
      </c>
      <c r="L4" s="17"/>
      <c r="M4" s="17"/>
      <c r="N4" s="17" t="s">
        <v>95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10900</v>
      </c>
      <c r="U4" s="18">
        <v>10900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10900</v>
      </c>
      <c r="AE4" s="18">
        <v>10900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5995</v>
      </c>
      <c r="AO4" s="18">
        <v>0</v>
      </c>
      <c r="AP4" s="18">
        <v>5995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56742705</v>
      </c>
      <c r="K5" s="17" t="s">
        <v>94</v>
      </c>
      <c r="L5" s="17"/>
      <c r="M5" s="17"/>
      <c r="N5" s="17" t="s">
        <v>95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21900</v>
      </c>
      <c r="U5" s="18">
        <v>21500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400</v>
      </c>
      <c r="AD5" s="18">
        <v>21900</v>
      </c>
      <c r="AE5" s="18">
        <v>21500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400</v>
      </c>
      <c r="AN5" s="18">
        <v>12045</v>
      </c>
      <c r="AO5" s="18">
        <v>0</v>
      </c>
      <c r="AP5" s="18">
        <v>12045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P3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.5976562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56772299</v>
      </c>
      <c r="K2" s="17" t="s">
        <v>101</v>
      </c>
      <c r="L2" s="17"/>
      <c r="M2" s="17"/>
      <c r="N2" s="17" t="s">
        <v>102</v>
      </c>
      <c r="O2" s="17" t="s">
        <v>23</v>
      </c>
      <c r="P2" s="17">
        <v>0.55000000000000004</v>
      </c>
      <c r="Q2" s="17">
        <v>0.55000000000000004</v>
      </c>
      <c r="R2" s="18" t="s">
        <v>24</v>
      </c>
      <c r="S2" s="18">
        <v>2400</v>
      </c>
      <c r="T2" s="18">
        <v>2400</v>
      </c>
      <c r="U2" s="18">
        <v>2400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2400</v>
      </c>
      <c r="AE2" s="18">
        <v>2400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1320</v>
      </c>
      <c r="AO2" s="18">
        <v>0</v>
      </c>
      <c r="AP2" s="18">
        <v>1320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56772299</v>
      </c>
      <c r="K3" s="17" t="s">
        <v>101</v>
      </c>
      <c r="L3" s="17"/>
      <c r="M3" s="17"/>
      <c r="N3" s="17" t="s">
        <v>102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18000</v>
      </c>
      <c r="T3" s="18">
        <v>18000</v>
      </c>
      <c r="U3" s="18">
        <v>18000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18000</v>
      </c>
      <c r="AE3" s="18">
        <v>18000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9900</v>
      </c>
      <c r="AO3" s="18">
        <v>0</v>
      </c>
      <c r="AP3" s="18">
        <v>9900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3" width="6.796875" bestFit="1" customWidth="1"/>
    <col min="14" max="14" width="6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56782260</v>
      </c>
      <c r="K2" s="17" t="s">
        <v>109</v>
      </c>
      <c r="L2" s="17"/>
      <c r="M2" s="17"/>
      <c r="N2" s="17" t="s">
        <v>110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367500</v>
      </c>
      <c r="U2" s="18">
        <v>115990</v>
      </c>
      <c r="V2" s="18">
        <v>0</v>
      </c>
      <c r="W2" s="18">
        <v>0</v>
      </c>
      <c r="X2" s="18">
        <v>0</v>
      </c>
      <c r="Y2" s="18">
        <v>0</v>
      </c>
      <c r="Z2" s="18">
        <v>5600</v>
      </c>
      <c r="AA2" s="18">
        <v>0</v>
      </c>
      <c r="AB2" s="18">
        <v>0</v>
      </c>
      <c r="AC2" s="18">
        <v>245910</v>
      </c>
      <c r="AD2" s="18">
        <v>368060</v>
      </c>
      <c r="AE2" s="18">
        <v>115990</v>
      </c>
      <c r="AF2" s="18">
        <v>0</v>
      </c>
      <c r="AG2" s="18">
        <v>0</v>
      </c>
      <c r="AH2" s="18">
        <v>0</v>
      </c>
      <c r="AI2" s="18">
        <v>0</v>
      </c>
      <c r="AJ2" s="18">
        <v>6160</v>
      </c>
      <c r="AK2" s="18">
        <v>0</v>
      </c>
      <c r="AL2" s="18">
        <v>0</v>
      </c>
      <c r="AM2" s="18">
        <v>245910</v>
      </c>
      <c r="AN2" s="18">
        <v>202433</v>
      </c>
      <c r="AO2" s="18">
        <v>0</v>
      </c>
      <c r="AP2" s="18">
        <v>202433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56782260</v>
      </c>
      <c r="K3" s="17" t="s">
        <v>109</v>
      </c>
      <c r="L3" s="17"/>
      <c r="M3" s="17"/>
      <c r="N3" s="17" t="s">
        <v>110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267100</v>
      </c>
      <c r="U3" s="18">
        <v>193900</v>
      </c>
      <c r="V3" s="18">
        <v>0</v>
      </c>
      <c r="W3" s="18">
        <v>0</v>
      </c>
      <c r="X3" s="18">
        <v>0</v>
      </c>
      <c r="Y3" s="18">
        <v>0</v>
      </c>
      <c r="Z3" s="18">
        <v>15900</v>
      </c>
      <c r="AA3" s="18">
        <v>1700</v>
      </c>
      <c r="AB3" s="18">
        <v>0</v>
      </c>
      <c r="AC3" s="18">
        <v>55600</v>
      </c>
      <c r="AD3" s="18">
        <v>269343.08760000003</v>
      </c>
      <c r="AE3" s="18">
        <v>193900</v>
      </c>
      <c r="AF3" s="18">
        <v>0</v>
      </c>
      <c r="AG3" s="18">
        <v>0</v>
      </c>
      <c r="AH3" s="18">
        <v>0</v>
      </c>
      <c r="AI3" s="18">
        <v>0</v>
      </c>
      <c r="AJ3" s="18">
        <v>17490</v>
      </c>
      <c r="AK3" s="18">
        <v>2353.0875999999998</v>
      </c>
      <c r="AL3" s="18">
        <v>0</v>
      </c>
      <c r="AM3" s="18">
        <v>55600</v>
      </c>
      <c r="AN3" s="18">
        <v>148139</v>
      </c>
      <c r="AO3" s="18">
        <v>0</v>
      </c>
      <c r="AP3" s="18">
        <v>148139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56782260</v>
      </c>
      <c r="K4" s="17" t="s">
        <v>109</v>
      </c>
      <c r="L4" s="17"/>
      <c r="M4" s="17"/>
      <c r="N4" s="17" t="s">
        <v>110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254900</v>
      </c>
      <c r="U4" s="18">
        <v>202700</v>
      </c>
      <c r="V4" s="18">
        <v>0</v>
      </c>
      <c r="W4" s="18">
        <v>0</v>
      </c>
      <c r="X4" s="18">
        <v>0</v>
      </c>
      <c r="Y4" s="18">
        <v>0</v>
      </c>
      <c r="Z4" s="18">
        <v>37300</v>
      </c>
      <c r="AA4" s="18">
        <v>0</v>
      </c>
      <c r="AB4" s="18">
        <v>0</v>
      </c>
      <c r="AC4" s="18">
        <v>14900</v>
      </c>
      <c r="AD4" s="18">
        <v>258630</v>
      </c>
      <c r="AE4" s="18">
        <v>202700</v>
      </c>
      <c r="AF4" s="18">
        <v>0</v>
      </c>
      <c r="AG4" s="18">
        <v>0</v>
      </c>
      <c r="AH4" s="18">
        <v>0</v>
      </c>
      <c r="AI4" s="18">
        <v>0</v>
      </c>
      <c r="AJ4" s="18">
        <v>41030</v>
      </c>
      <c r="AK4" s="18">
        <v>0</v>
      </c>
      <c r="AL4" s="18">
        <v>0</v>
      </c>
      <c r="AM4" s="18">
        <v>14900</v>
      </c>
      <c r="AN4" s="18">
        <v>142247</v>
      </c>
      <c r="AO4" s="18">
        <v>0</v>
      </c>
      <c r="AP4" s="18">
        <v>142247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56782260</v>
      </c>
      <c r="K5" s="17" t="s">
        <v>109</v>
      </c>
      <c r="L5" s="17"/>
      <c r="M5" s="17"/>
      <c r="N5" s="17" t="s">
        <v>110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647900</v>
      </c>
      <c r="U5" s="18">
        <v>490300</v>
      </c>
      <c r="V5" s="18">
        <v>0</v>
      </c>
      <c r="W5" s="18">
        <v>0</v>
      </c>
      <c r="X5" s="18">
        <v>0</v>
      </c>
      <c r="Y5" s="18">
        <v>7900</v>
      </c>
      <c r="Z5" s="18">
        <v>83680</v>
      </c>
      <c r="AA5" s="18">
        <v>0</v>
      </c>
      <c r="AB5" s="18">
        <v>0</v>
      </c>
      <c r="AC5" s="18">
        <v>66020</v>
      </c>
      <c r="AD5" s="18">
        <v>657848</v>
      </c>
      <c r="AE5" s="18">
        <v>490300</v>
      </c>
      <c r="AF5" s="18">
        <v>0</v>
      </c>
      <c r="AG5" s="18">
        <v>0</v>
      </c>
      <c r="AH5" s="18">
        <v>0</v>
      </c>
      <c r="AI5" s="18">
        <v>9480</v>
      </c>
      <c r="AJ5" s="18">
        <v>92048</v>
      </c>
      <c r="AK5" s="18">
        <v>0</v>
      </c>
      <c r="AL5" s="18">
        <v>0</v>
      </c>
      <c r="AM5" s="18">
        <v>66020</v>
      </c>
      <c r="AN5" s="18">
        <v>361816</v>
      </c>
      <c r="AO5" s="18">
        <v>0</v>
      </c>
      <c r="AP5" s="18">
        <v>361816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57675324</v>
      </c>
      <c r="K2" s="17" t="s">
        <v>112</v>
      </c>
      <c r="L2" s="17"/>
      <c r="M2" s="17"/>
      <c r="N2" s="17" t="s">
        <v>113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365400</v>
      </c>
      <c r="U2" s="18">
        <v>161890</v>
      </c>
      <c r="V2" s="18">
        <v>0</v>
      </c>
      <c r="W2" s="18">
        <v>0</v>
      </c>
      <c r="X2" s="18">
        <v>0</v>
      </c>
      <c r="Y2" s="18">
        <v>0</v>
      </c>
      <c r="Z2" s="18">
        <v>16600</v>
      </c>
      <c r="AA2" s="18">
        <v>0</v>
      </c>
      <c r="AB2" s="18">
        <v>0</v>
      </c>
      <c r="AC2" s="18">
        <v>186910</v>
      </c>
      <c r="AD2" s="18">
        <v>367060</v>
      </c>
      <c r="AE2" s="18">
        <v>161890</v>
      </c>
      <c r="AF2" s="18">
        <v>0</v>
      </c>
      <c r="AG2" s="18">
        <v>0</v>
      </c>
      <c r="AH2" s="18">
        <v>0</v>
      </c>
      <c r="AI2" s="18">
        <v>0</v>
      </c>
      <c r="AJ2" s="18">
        <v>18260</v>
      </c>
      <c r="AK2" s="18">
        <v>0</v>
      </c>
      <c r="AL2" s="18">
        <v>0</v>
      </c>
      <c r="AM2" s="18">
        <v>186910</v>
      </c>
      <c r="AN2" s="18">
        <v>201883</v>
      </c>
      <c r="AO2" s="18">
        <v>0</v>
      </c>
      <c r="AP2" s="18">
        <v>201883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57675324</v>
      </c>
      <c r="K3" s="17" t="s">
        <v>112</v>
      </c>
      <c r="L3" s="17"/>
      <c r="M3" s="17"/>
      <c r="N3" s="17" t="s">
        <v>113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325400</v>
      </c>
      <c r="U3" s="18">
        <v>257660</v>
      </c>
      <c r="V3" s="18">
        <v>0</v>
      </c>
      <c r="W3" s="18">
        <v>0</v>
      </c>
      <c r="X3" s="18">
        <v>0</v>
      </c>
      <c r="Y3" s="18">
        <v>0</v>
      </c>
      <c r="Z3" s="18">
        <v>19200</v>
      </c>
      <c r="AA3" s="18">
        <v>0</v>
      </c>
      <c r="AB3" s="18">
        <v>0</v>
      </c>
      <c r="AC3" s="18">
        <v>48540</v>
      </c>
      <c r="AD3" s="18">
        <v>327320</v>
      </c>
      <c r="AE3" s="18">
        <v>257660</v>
      </c>
      <c r="AF3" s="18">
        <v>0</v>
      </c>
      <c r="AG3" s="18">
        <v>0</v>
      </c>
      <c r="AH3" s="18">
        <v>0</v>
      </c>
      <c r="AI3" s="18">
        <v>0</v>
      </c>
      <c r="AJ3" s="18">
        <v>21120</v>
      </c>
      <c r="AK3" s="18">
        <v>0</v>
      </c>
      <c r="AL3" s="18">
        <v>0</v>
      </c>
      <c r="AM3" s="18">
        <v>48540</v>
      </c>
      <c r="AN3" s="18">
        <v>180026</v>
      </c>
      <c r="AO3" s="18">
        <v>0</v>
      </c>
      <c r="AP3" s="18">
        <v>180026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57675324</v>
      </c>
      <c r="K4" s="17" t="s">
        <v>112</v>
      </c>
      <c r="L4" s="17"/>
      <c r="M4" s="17"/>
      <c r="N4" s="17" t="s">
        <v>113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340100</v>
      </c>
      <c r="U4" s="18">
        <v>283200</v>
      </c>
      <c r="V4" s="18">
        <v>0</v>
      </c>
      <c r="W4" s="18">
        <v>0</v>
      </c>
      <c r="X4" s="18">
        <v>0</v>
      </c>
      <c r="Y4" s="18">
        <v>0</v>
      </c>
      <c r="Z4" s="18">
        <v>19300</v>
      </c>
      <c r="AA4" s="18">
        <v>0</v>
      </c>
      <c r="AB4" s="18">
        <v>0</v>
      </c>
      <c r="AC4" s="18">
        <v>37600</v>
      </c>
      <c r="AD4" s="18">
        <v>342030</v>
      </c>
      <c r="AE4" s="18">
        <v>283200</v>
      </c>
      <c r="AF4" s="18">
        <v>0</v>
      </c>
      <c r="AG4" s="18">
        <v>0</v>
      </c>
      <c r="AH4" s="18">
        <v>0</v>
      </c>
      <c r="AI4" s="18">
        <v>0</v>
      </c>
      <c r="AJ4" s="18">
        <v>21230</v>
      </c>
      <c r="AK4" s="18">
        <v>0</v>
      </c>
      <c r="AL4" s="18">
        <v>0</v>
      </c>
      <c r="AM4" s="18">
        <v>37600</v>
      </c>
      <c r="AN4" s="18">
        <v>188117</v>
      </c>
      <c r="AO4" s="18">
        <v>0</v>
      </c>
      <c r="AP4" s="18">
        <v>188117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57675324</v>
      </c>
      <c r="K5" s="17" t="s">
        <v>112</v>
      </c>
      <c r="L5" s="17"/>
      <c r="M5" s="17"/>
      <c r="N5" s="17" t="s">
        <v>113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384100</v>
      </c>
      <c r="U5" s="18">
        <v>363080</v>
      </c>
      <c r="V5" s="18">
        <v>0</v>
      </c>
      <c r="W5" s="18">
        <v>0</v>
      </c>
      <c r="X5" s="18">
        <v>0</v>
      </c>
      <c r="Y5" s="18">
        <v>0</v>
      </c>
      <c r="Z5" s="18">
        <v>600</v>
      </c>
      <c r="AA5" s="18">
        <v>0</v>
      </c>
      <c r="AB5" s="18">
        <v>0</v>
      </c>
      <c r="AC5" s="18">
        <v>20420</v>
      </c>
      <c r="AD5" s="18">
        <v>384160</v>
      </c>
      <c r="AE5" s="18">
        <v>363080</v>
      </c>
      <c r="AF5" s="18">
        <v>0</v>
      </c>
      <c r="AG5" s="18">
        <v>0</v>
      </c>
      <c r="AH5" s="18">
        <v>0</v>
      </c>
      <c r="AI5" s="18">
        <v>0</v>
      </c>
      <c r="AJ5" s="18">
        <v>660</v>
      </c>
      <c r="AK5" s="18">
        <v>0</v>
      </c>
      <c r="AL5" s="18">
        <v>0</v>
      </c>
      <c r="AM5" s="18">
        <v>20420</v>
      </c>
      <c r="AN5" s="18">
        <v>211288</v>
      </c>
      <c r="AO5" s="18">
        <v>0</v>
      </c>
      <c r="AP5" s="18">
        <v>211288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P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58093302</v>
      </c>
      <c r="K2" s="17" t="s">
        <v>114</v>
      </c>
      <c r="L2" s="17"/>
      <c r="M2" s="17"/>
      <c r="N2" s="17" t="s">
        <v>115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735900</v>
      </c>
      <c r="U2" s="18">
        <v>590920</v>
      </c>
      <c r="V2" s="18">
        <v>0</v>
      </c>
      <c r="W2" s="18">
        <v>0</v>
      </c>
      <c r="X2" s="18">
        <v>3100</v>
      </c>
      <c r="Y2" s="18">
        <v>100</v>
      </c>
      <c r="Z2" s="18">
        <v>11000</v>
      </c>
      <c r="AA2" s="18">
        <v>0</v>
      </c>
      <c r="AB2" s="18">
        <v>0</v>
      </c>
      <c r="AC2" s="18">
        <v>130780</v>
      </c>
      <c r="AD2" s="18">
        <v>738210.92449999996</v>
      </c>
      <c r="AE2" s="18">
        <v>590920</v>
      </c>
      <c r="AF2" s="18">
        <v>0</v>
      </c>
      <c r="AG2" s="18">
        <v>0</v>
      </c>
      <c r="AH2" s="18">
        <v>4290.9245000000001</v>
      </c>
      <c r="AI2" s="18">
        <v>120</v>
      </c>
      <c r="AJ2" s="18">
        <v>12100</v>
      </c>
      <c r="AK2" s="18">
        <v>0</v>
      </c>
      <c r="AL2" s="18">
        <v>0</v>
      </c>
      <c r="AM2" s="18">
        <v>130780</v>
      </c>
      <c r="AN2" s="18">
        <v>406016</v>
      </c>
      <c r="AO2" s="18">
        <v>0</v>
      </c>
      <c r="AP2" s="18">
        <v>406016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9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58436496</v>
      </c>
      <c r="K2" s="17" t="s">
        <v>121</v>
      </c>
      <c r="L2" s="17"/>
      <c r="M2" s="17"/>
      <c r="N2" s="17" t="s">
        <v>122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498900</v>
      </c>
      <c r="U2" s="18">
        <v>265760</v>
      </c>
      <c r="V2" s="18">
        <v>0</v>
      </c>
      <c r="W2" s="18">
        <v>0</v>
      </c>
      <c r="X2" s="18">
        <v>0</v>
      </c>
      <c r="Y2" s="18">
        <v>4400</v>
      </c>
      <c r="Z2" s="18">
        <v>8000</v>
      </c>
      <c r="AA2" s="18">
        <v>0</v>
      </c>
      <c r="AB2" s="18">
        <v>0</v>
      </c>
      <c r="AC2" s="18">
        <v>220740</v>
      </c>
      <c r="AD2" s="18">
        <v>500580</v>
      </c>
      <c r="AE2" s="18">
        <v>265760</v>
      </c>
      <c r="AF2" s="18">
        <v>0</v>
      </c>
      <c r="AG2" s="18">
        <v>0</v>
      </c>
      <c r="AH2" s="18">
        <v>0</v>
      </c>
      <c r="AI2" s="18">
        <v>5280</v>
      </c>
      <c r="AJ2" s="18">
        <v>8800</v>
      </c>
      <c r="AK2" s="18">
        <v>0</v>
      </c>
      <c r="AL2" s="18">
        <v>0</v>
      </c>
      <c r="AM2" s="18">
        <v>220740</v>
      </c>
      <c r="AN2" s="18">
        <v>275319</v>
      </c>
      <c r="AO2" s="18">
        <v>0</v>
      </c>
      <c r="AP2" s="18">
        <v>275319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58436496</v>
      </c>
      <c r="K3" s="17" t="s">
        <v>121</v>
      </c>
      <c r="L3" s="17"/>
      <c r="M3" s="17"/>
      <c r="N3" s="17" t="s">
        <v>122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376000</v>
      </c>
      <c r="U3" s="18">
        <v>288090</v>
      </c>
      <c r="V3" s="18">
        <v>0</v>
      </c>
      <c r="W3" s="18">
        <v>0</v>
      </c>
      <c r="X3" s="18">
        <v>0</v>
      </c>
      <c r="Y3" s="18">
        <v>2400</v>
      </c>
      <c r="Z3" s="18">
        <v>27600</v>
      </c>
      <c r="AA3" s="18">
        <v>0</v>
      </c>
      <c r="AB3" s="18">
        <v>0</v>
      </c>
      <c r="AC3" s="18">
        <v>57910</v>
      </c>
      <c r="AD3" s="18">
        <v>379240</v>
      </c>
      <c r="AE3" s="18">
        <v>288090</v>
      </c>
      <c r="AF3" s="18">
        <v>0</v>
      </c>
      <c r="AG3" s="18">
        <v>0</v>
      </c>
      <c r="AH3" s="18">
        <v>0</v>
      </c>
      <c r="AI3" s="18">
        <v>2880</v>
      </c>
      <c r="AJ3" s="18">
        <v>30360</v>
      </c>
      <c r="AK3" s="18">
        <v>0</v>
      </c>
      <c r="AL3" s="18">
        <v>0</v>
      </c>
      <c r="AM3" s="18">
        <v>57910</v>
      </c>
      <c r="AN3" s="18">
        <v>208582</v>
      </c>
      <c r="AO3" s="18">
        <v>0</v>
      </c>
      <c r="AP3" s="18">
        <v>208582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58436496</v>
      </c>
      <c r="K4" s="17" t="s">
        <v>121</v>
      </c>
      <c r="L4" s="17"/>
      <c r="M4" s="17"/>
      <c r="N4" s="17" t="s">
        <v>122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350000</v>
      </c>
      <c r="U4" s="18">
        <v>299000</v>
      </c>
      <c r="V4" s="18">
        <v>0</v>
      </c>
      <c r="W4" s="18">
        <v>0</v>
      </c>
      <c r="X4" s="18">
        <v>0</v>
      </c>
      <c r="Y4" s="18">
        <v>0</v>
      </c>
      <c r="Z4" s="18">
        <v>32700</v>
      </c>
      <c r="AA4" s="18">
        <v>0</v>
      </c>
      <c r="AB4" s="18">
        <v>0</v>
      </c>
      <c r="AC4" s="18">
        <v>18300</v>
      </c>
      <c r="AD4" s="18">
        <v>353270</v>
      </c>
      <c r="AE4" s="18">
        <v>299000</v>
      </c>
      <c r="AF4" s="18">
        <v>0</v>
      </c>
      <c r="AG4" s="18">
        <v>0</v>
      </c>
      <c r="AH4" s="18">
        <v>0</v>
      </c>
      <c r="AI4" s="18">
        <v>0</v>
      </c>
      <c r="AJ4" s="18">
        <v>35970</v>
      </c>
      <c r="AK4" s="18">
        <v>0</v>
      </c>
      <c r="AL4" s="18">
        <v>0</v>
      </c>
      <c r="AM4" s="18">
        <v>18300</v>
      </c>
      <c r="AN4" s="18">
        <v>194299</v>
      </c>
      <c r="AO4" s="18">
        <v>0</v>
      </c>
      <c r="AP4" s="18">
        <v>194299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58436496</v>
      </c>
      <c r="K5" s="17" t="s">
        <v>121</v>
      </c>
      <c r="L5" s="17"/>
      <c r="M5" s="17"/>
      <c r="N5" s="17" t="s">
        <v>122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422100</v>
      </c>
      <c r="U5" s="18">
        <v>375000</v>
      </c>
      <c r="V5" s="18">
        <v>0</v>
      </c>
      <c r="W5" s="18">
        <v>0</v>
      </c>
      <c r="X5" s="18">
        <v>0</v>
      </c>
      <c r="Y5" s="18">
        <v>0</v>
      </c>
      <c r="Z5" s="18">
        <v>18400</v>
      </c>
      <c r="AA5" s="18">
        <v>0</v>
      </c>
      <c r="AB5" s="18">
        <v>0</v>
      </c>
      <c r="AC5" s="18">
        <v>28700</v>
      </c>
      <c r="AD5" s="18">
        <v>423940</v>
      </c>
      <c r="AE5" s="18">
        <v>375000</v>
      </c>
      <c r="AF5" s="18">
        <v>0</v>
      </c>
      <c r="AG5" s="18">
        <v>0</v>
      </c>
      <c r="AH5" s="18">
        <v>0</v>
      </c>
      <c r="AI5" s="18">
        <v>0</v>
      </c>
      <c r="AJ5" s="18">
        <v>20240</v>
      </c>
      <c r="AK5" s="18">
        <v>0</v>
      </c>
      <c r="AL5" s="18">
        <v>0</v>
      </c>
      <c r="AM5" s="18">
        <v>28700</v>
      </c>
      <c r="AN5" s="18">
        <v>233167</v>
      </c>
      <c r="AO5" s="18">
        <v>0</v>
      </c>
      <c r="AP5" s="18">
        <v>233167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2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58575247</v>
      </c>
      <c r="K2" s="17" t="s">
        <v>126</v>
      </c>
      <c r="L2" s="17"/>
      <c r="M2" s="17"/>
      <c r="N2" s="17" t="s">
        <v>127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6000</v>
      </c>
      <c r="U2" s="18">
        <v>2500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3500</v>
      </c>
      <c r="AD2" s="18">
        <v>6000</v>
      </c>
      <c r="AE2" s="18">
        <v>2500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3500</v>
      </c>
      <c r="AN2" s="18">
        <v>3300</v>
      </c>
      <c r="AO2" s="18">
        <v>0</v>
      </c>
      <c r="AP2" s="18">
        <v>3300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58575247</v>
      </c>
      <c r="K3" s="17" t="s">
        <v>126</v>
      </c>
      <c r="L3" s="17"/>
      <c r="M3" s="17"/>
      <c r="N3" s="17" t="s">
        <v>127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7200</v>
      </c>
      <c r="U3" s="18">
        <v>4500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2700</v>
      </c>
      <c r="AD3" s="18">
        <v>7200</v>
      </c>
      <c r="AE3" s="18">
        <v>4500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2700</v>
      </c>
      <c r="AN3" s="18">
        <v>3960</v>
      </c>
      <c r="AO3" s="18">
        <v>0</v>
      </c>
      <c r="AP3" s="18">
        <v>3960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58575247</v>
      </c>
      <c r="K4" s="17" t="s">
        <v>126</v>
      </c>
      <c r="L4" s="17"/>
      <c r="M4" s="17"/>
      <c r="N4" s="17" t="s">
        <v>127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9200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9200</v>
      </c>
      <c r="AD4" s="18">
        <v>9200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9200</v>
      </c>
      <c r="AN4" s="18">
        <v>5060</v>
      </c>
      <c r="AO4" s="18">
        <v>0</v>
      </c>
      <c r="AP4" s="18">
        <v>5060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10.3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58849234</v>
      </c>
      <c r="K2" s="17" t="s">
        <v>132</v>
      </c>
      <c r="L2" s="17"/>
      <c r="M2" s="17"/>
      <c r="N2" s="17" t="s">
        <v>133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4500</v>
      </c>
      <c r="U2" s="18">
        <v>1900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2600</v>
      </c>
      <c r="AD2" s="18">
        <v>4500</v>
      </c>
      <c r="AE2" s="18">
        <v>1900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2600</v>
      </c>
      <c r="AN2" s="18">
        <v>2475</v>
      </c>
      <c r="AO2" s="18">
        <v>0</v>
      </c>
      <c r="AP2" s="18">
        <v>2475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58849234</v>
      </c>
      <c r="K3" s="17" t="s">
        <v>132</v>
      </c>
      <c r="L3" s="17"/>
      <c r="M3" s="17"/>
      <c r="N3" s="17" t="s">
        <v>133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2400</v>
      </c>
      <c r="U3" s="18">
        <v>2400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2400</v>
      </c>
      <c r="AE3" s="18">
        <v>2400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1320</v>
      </c>
      <c r="AO3" s="18">
        <v>0</v>
      </c>
      <c r="AP3" s="18">
        <v>1320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58849234</v>
      </c>
      <c r="K4" s="17" t="s">
        <v>132</v>
      </c>
      <c r="L4" s="17"/>
      <c r="M4" s="17"/>
      <c r="N4" s="17" t="s">
        <v>133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9400</v>
      </c>
      <c r="U4" s="18">
        <v>9400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9400</v>
      </c>
      <c r="AE4" s="18">
        <v>9400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5170</v>
      </c>
      <c r="AO4" s="18">
        <v>0</v>
      </c>
      <c r="AP4" s="18">
        <v>5170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58849234</v>
      </c>
      <c r="K5" s="17" t="s">
        <v>132</v>
      </c>
      <c r="L5" s="17"/>
      <c r="M5" s="17"/>
      <c r="N5" s="17" t="s">
        <v>133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9200</v>
      </c>
      <c r="U5" s="18">
        <v>9200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9200</v>
      </c>
      <c r="AE5" s="18">
        <v>9200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5060</v>
      </c>
      <c r="AO5" s="18">
        <v>0</v>
      </c>
      <c r="AP5" s="18">
        <v>5060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P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80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58867146</v>
      </c>
      <c r="K2" s="17" t="s">
        <v>134</v>
      </c>
      <c r="L2" s="17"/>
      <c r="M2" s="17"/>
      <c r="N2" s="17" t="s">
        <v>135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2534600</v>
      </c>
      <c r="U2" s="18">
        <v>785340</v>
      </c>
      <c r="V2" s="18">
        <v>0</v>
      </c>
      <c r="W2" s="18">
        <v>0</v>
      </c>
      <c r="X2" s="18">
        <v>900</v>
      </c>
      <c r="Y2" s="18">
        <v>6500</v>
      </c>
      <c r="Z2" s="18">
        <v>27900</v>
      </c>
      <c r="AA2" s="18">
        <v>0</v>
      </c>
      <c r="AB2" s="18">
        <v>0</v>
      </c>
      <c r="AC2" s="18">
        <v>1713960</v>
      </c>
      <c r="AD2" s="18">
        <v>2539035.7522999998</v>
      </c>
      <c r="AE2" s="18">
        <v>785340</v>
      </c>
      <c r="AF2" s="18">
        <v>0</v>
      </c>
      <c r="AG2" s="18">
        <v>0</v>
      </c>
      <c r="AH2" s="18">
        <v>1245.7523000000001</v>
      </c>
      <c r="AI2" s="18">
        <v>7800</v>
      </c>
      <c r="AJ2" s="18">
        <v>30690</v>
      </c>
      <c r="AK2" s="18">
        <v>0</v>
      </c>
      <c r="AL2" s="18">
        <v>0</v>
      </c>
      <c r="AM2" s="18">
        <v>1713960</v>
      </c>
      <c r="AN2" s="18">
        <v>1396470</v>
      </c>
      <c r="AO2" s="18">
        <v>0</v>
      </c>
      <c r="AP2" s="18">
        <v>1396470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58867146</v>
      </c>
      <c r="K3" s="17" t="s">
        <v>134</v>
      </c>
      <c r="L3" s="17"/>
      <c r="M3" s="17"/>
      <c r="N3" s="17" t="s">
        <v>135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1184700</v>
      </c>
      <c r="U3" s="18">
        <v>900880</v>
      </c>
      <c r="V3" s="18">
        <v>0</v>
      </c>
      <c r="W3" s="18">
        <v>0</v>
      </c>
      <c r="X3" s="18">
        <v>0</v>
      </c>
      <c r="Y3" s="18">
        <v>800</v>
      </c>
      <c r="Z3" s="18">
        <v>19630</v>
      </c>
      <c r="AA3" s="18">
        <v>0</v>
      </c>
      <c r="AB3" s="18">
        <v>0</v>
      </c>
      <c r="AC3" s="18">
        <v>263390</v>
      </c>
      <c r="AD3" s="18">
        <v>1186823</v>
      </c>
      <c r="AE3" s="18">
        <v>900880</v>
      </c>
      <c r="AF3" s="18">
        <v>0</v>
      </c>
      <c r="AG3" s="18">
        <v>0</v>
      </c>
      <c r="AH3" s="18">
        <v>0</v>
      </c>
      <c r="AI3" s="18">
        <v>960</v>
      </c>
      <c r="AJ3" s="18">
        <v>21593</v>
      </c>
      <c r="AK3" s="18">
        <v>0</v>
      </c>
      <c r="AL3" s="18">
        <v>0</v>
      </c>
      <c r="AM3" s="18">
        <v>263390</v>
      </c>
      <c r="AN3" s="18">
        <v>652753</v>
      </c>
      <c r="AO3" s="18">
        <v>0</v>
      </c>
      <c r="AP3" s="18">
        <v>652753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58867146</v>
      </c>
      <c r="K4" s="17" t="s">
        <v>134</v>
      </c>
      <c r="L4" s="17"/>
      <c r="M4" s="17"/>
      <c r="N4" s="17" t="s">
        <v>135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527200</v>
      </c>
      <c r="U4" s="18">
        <v>457500</v>
      </c>
      <c r="V4" s="18">
        <v>0</v>
      </c>
      <c r="W4" s="18">
        <v>0</v>
      </c>
      <c r="X4" s="18">
        <v>0</v>
      </c>
      <c r="Y4" s="18">
        <v>0</v>
      </c>
      <c r="Z4" s="18">
        <v>10300</v>
      </c>
      <c r="AA4" s="18">
        <v>0</v>
      </c>
      <c r="AB4" s="18">
        <v>0</v>
      </c>
      <c r="AC4" s="18">
        <v>59400</v>
      </c>
      <c r="AD4" s="18">
        <v>528230</v>
      </c>
      <c r="AE4" s="18">
        <v>457500</v>
      </c>
      <c r="AF4" s="18">
        <v>0</v>
      </c>
      <c r="AG4" s="18">
        <v>0</v>
      </c>
      <c r="AH4" s="18">
        <v>0</v>
      </c>
      <c r="AI4" s="18">
        <v>0</v>
      </c>
      <c r="AJ4" s="18">
        <v>11330</v>
      </c>
      <c r="AK4" s="18">
        <v>0</v>
      </c>
      <c r="AL4" s="18">
        <v>0</v>
      </c>
      <c r="AM4" s="18">
        <v>59400</v>
      </c>
      <c r="AN4" s="18">
        <v>290527</v>
      </c>
      <c r="AO4" s="18">
        <v>0</v>
      </c>
      <c r="AP4" s="18">
        <v>290527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58867146</v>
      </c>
      <c r="K5" s="17" t="s">
        <v>134</v>
      </c>
      <c r="L5" s="17"/>
      <c r="M5" s="17"/>
      <c r="N5" s="17" t="s">
        <v>135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613800</v>
      </c>
      <c r="U5" s="18">
        <v>542900</v>
      </c>
      <c r="V5" s="18">
        <v>0</v>
      </c>
      <c r="W5" s="18">
        <v>0</v>
      </c>
      <c r="X5" s="18">
        <v>0</v>
      </c>
      <c r="Y5" s="18">
        <v>0</v>
      </c>
      <c r="Z5" s="18">
        <v>45000</v>
      </c>
      <c r="AA5" s="18">
        <v>0</v>
      </c>
      <c r="AB5" s="18">
        <v>0</v>
      </c>
      <c r="AC5" s="18">
        <v>25900</v>
      </c>
      <c r="AD5" s="18">
        <v>618300</v>
      </c>
      <c r="AE5" s="18">
        <v>542900</v>
      </c>
      <c r="AF5" s="18">
        <v>0</v>
      </c>
      <c r="AG5" s="18">
        <v>0</v>
      </c>
      <c r="AH5" s="18">
        <v>0</v>
      </c>
      <c r="AI5" s="18">
        <v>0</v>
      </c>
      <c r="AJ5" s="18">
        <v>49500</v>
      </c>
      <c r="AK5" s="18">
        <v>0</v>
      </c>
      <c r="AL5" s="18">
        <v>0</v>
      </c>
      <c r="AM5" s="18">
        <v>25900</v>
      </c>
      <c r="AN5" s="18">
        <v>340065</v>
      </c>
      <c r="AO5" s="18">
        <v>0</v>
      </c>
      <c r="AP5" s="18">
        <v>340065</v>
      </c>
    </row>
    <row r="6" spans="1:42" x14ac:dyDescent="0.4">
      <c r="A6" s="17" t="s">
        <v>48</v>
      </c>
      <c r="B6" s="17" t="s">
        <v>81</v>
      </c>
      <c r="C6" s="17" t="s">
        <v>82</v>
      </c>
      <c r="D6" s="17" t="s">
        <v>83</v>
      </c>
      <c r="E6" s="17" t="s">
        <v>84</v>
      </c>
      <c r="F6" s="17" t="s">
        <v>49</v>
      </c>
      <c r="G6" s="17" t="s">
        <v>20</v>
      </c>
      <c r="H6" s="17" t="s">
        <v>21</v>
      </c>
      <c r="I6" s="17" t="s">
        <v>22</v>
      </c>
      <c r="J6" s="17">
        <v>58867146</v>
      </c>
      <c r="K6" s="17" t="s">
        <v>134</v>
      </c>
      <c r="L6" s="17"/>
      <c r="M6" s="17"/>
      <c r="N6" s="17" t="s">
        <v>135</v>
      </c>
      <c r="O6" s="17" t="s">
        <v>23</v>
      </c>
      <c r="P6" s="17">
        <v>0.55000000000000004</v>
      </c>
      <c r="Q6" s="17">
        <v>0.55000000000000004</v>
      </c>
      <c r="R6" s="18" t="s">
        <v>96</v>
      </c>
      <c r="S6" s="18">
        <v>100</v>
      </c>
      <c r="T6" s="18">
        <v>-4500</v>
      </c>
      <c r="U6" s="18">
        <v>-4500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-4500</v>
      </c>
      <c r="AE6" s="18">
        <v>-4500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-2475</v>
      </c>
      <c r="AO6" s="18">
        <v>0</v>
      </c>
      <c r="AP6" s="18">
        <v>-2475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58878026</v>
      </c>
      <c r="K2" s="17" t="s">
        <v>136</v>
      </c>
      <c r="L2" s="17"/>
      <c r="M2" s="17"/>
      <c r="N2" s="17" t="s">
        <v>137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10800</v>
      </c>
      <c r="U2" s="18">
        <v>9700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1100</v>
      </c>
      <c r="AD2" s="18">
        <v>10800</v>
      </c>
      <c r="AE2" s="18">
        <v>9700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1100</v>
      </c>
      <c r="AN2" s="18">
        <v>5940</v>
      </c>
      <c r="AO2" s="18">
        <v>0</v>
      </c>
      <c r="AP2" s="18">
        <v>5940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58878026</v>
      </c>
      <c r="K3" s="17" t="s">
        <v>136</v>
      </c>
      <c r="L3" s="17"/>
      <c r="M3" s="17"/>
      <c r="N3" s="17" t="s">
        <v>137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9600</v>
      </c>
      <c r="U3" s="18">
        <v>7200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2400</v>
      </c>
      <c r="AD3" s="18">
        <v>9600</v>
      </c>
      <c r="AE3" s="18">
        <v>7200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2400</v>
      </c>
      <c r="AN3" s="18">
        <v>5280</v>
      </c>
      <c r="AO3" s="18">
        <v>0</v>
      </c>
      <c r="AP3" s="18">
        <v>5280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58878026</v>
      </c>
      <c r="K4" s="17" t="s">
        <v>136</v>
      </c>
      <c r="L4" s="17"/>
      <c r="M4" s="17"/>
      <c r="N4" s="17" t="s">
        <v>137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18800</v>
      </c>
      <c r="U4" s="18">
        <v>18800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18800</v>
      </c>
      <c r="AE4" s="18">
        <v>18800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10340</v>
      </c>
      <c r="AO4" s="18">
        <v>0</v>
      </c>
      <c r="AP4" s="18">
        <v>10340</v>
      </c>
    </row>
    <row r="5" spans="1:42" x14ac:dyDescent="0.4">
      <c r="A5" s="17" t="s">
        <v>48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58878026</v>
      </c>
      <c r="K5" s="17" t="s">
        <v>136</v>
      </c>
      <c r="L5" s="17"/>
      <c r="M5" s="17"/>
      <c r="N5" s="17" t="s">
        <v>137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9200</v>
      </c>
      <c r="T5" s="18">
        <v>18400</v>
      </c>
      <c r="U5" s="18">
        <v>18400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18400</v>
      </c>
      <c r="AE5" s="18">
        <v>18400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10120</v>
      </c>
      <c r="AO5" s="18">
        <v>0</v>
      </c>
      <c r="AP5" s="18">
        <v>10120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P4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3" width="6.796875" bestFit="1" customWidth="1"/>
    <col min="14" max="14" width="11.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58878532</v>
      </c>
      <c r="K2" s="17" t="s">
        <v>138</v>
      </c>
      <c r="L2" s="17"/>
      <c r="M2" s="17"/>
      <c r="N2" s="17" t="s">
        <v>139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10200</v>
      </c>
      <c r="U2" s="18">
        <v>9900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300</v>
      </c>
      <c r="AD2" s="18">
        <v>10200</v>
      </c>
      <c r="AE2" s="18">
        <v>9900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300</v>
      </c>
      <c r="AN2" s="18">
        <v>5610</v>
      </c>
      <c r="AO2" s="18">
        <v>0</v>
      </c>
      <c r="AP2" s="18">
        <v>5610</v>
      </c>
    </row>
    <row r="3" spans="1:42" x14ac:dyDescent="0.4">
      <c r="A3" s="17" t="s">
        <v>48</v>
      </c>
      <c r="B3" s="17" t="s">
        <v>81</v>
      </c>
      <c r="C3" s="17" t="s">
        <v>82</v>
      </c>
      <c r="D3" s="17" t="s">
        <v>83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58878532</v>
      </c>
      <c r="K3" s="17" t="s">
        <v>138</v>
      </c>
      <c r="L3" s="17"/>
      <c r="M3" s="17"/>
      <c r="N3" s="17" t="s">
        <v>139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2800</v>
      </c>
      <c r="U3" s="18">
        <v>2300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500</v>
      </c>
      <c r="AD3" s="18">
        <v>2800</v>
      </c>
      <c r="AE3" s="18">
        <v>2300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500</v>
      </c>
      <c r="AN3" s="18">
        <v>1540</v>
      </c>
      <c r="AO3" s="18">
        <v>0</v>
      </c>
      <c r="AP3" s="18">
        <v>1540</v>
      </c>
    </row>
    <row r="4" spans="1:42" x14ac:dyDescent="0.4">
      <c r="A4" s="17" t="s">
        <v>48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58878532</v>
      </c>
      <c r="K4" s="17" t="s">
        <v>138</v>
      </c>
      <c r="L4" s="17"/>
      <c r="M4" s="17"/>
      <c r="N4" s="17" t="s">
        <v>139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4700</v>
      </c>
      <c r="T4" s="18">
        <v>9400</v>
      </c>
      <c r="U4" s="18">
        <v>9400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9400</v>
      </c>
      <c r="AE4" s="18">
        <v>9400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5170</v>
      </c>
      <c r="AO4" s="18">
        <v>0</v>
      </c>
      <c r="AP4" s="18">
        <v>5170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P5"/>
  <sheetViews>
    <sheetView workbookViewId="0"/>
  </sheetViews>
  <sheetFormatPr defaultRowHeight="17.399999999999999" x14ac:dyDescent="0.4"/>
  <cols>
    <col min="1" max="1" width="9.296875" bestFit="1" customWidth="1"/>
    <col min="2" max="2" width="18.296875" bestFit="1" customWidth="1"/>
    <col min="3" max="3" width="11.5" bestFit="1" customWidth="1"/>
    <col min="4" max="4" width="18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17" t="s">
        <v>48</v>
      </c>
      <c r="B2" s="17" t="s">
        <v>85</v>
      </c>
      <c r="C2" s="17" t="s">
        <v>82</v>
      </c>
      <c r="D2" s="17" t="s">
        <v>85</v>
      </c>
      <c r="E2" s="17" t="s">
        <v>84</v>
      </c>
      <c r="F2" s="17" t="s">
        <v>49</v>
      </c>
      <c r="G2" s="17" t="s">
        <v>20</v>
      </c>
      <c r="H2" s="17" t="s">
        <v>21</v>
      </c>
      <c r="I2" s="17" t="s">
        <v>22</v>
      </c>
      <c r="J2" s="17">
        <v>50875968</v>
      </c>
      <c r="K2" s="17" t="s">
        <v>86</v>
      </c>
      <c r="L2" s="17"/>
      <c r="M2" s="17"/>
      <c r="N2" s="17" t="s">
        <v>87</v>
      </c>
      <c r="O2" s="17" t="s">
        <v>23</v>
      </c>
      <c r="P2" s="17">
        <v>0.55000000000000004</v>
      </c>
      <c r="Q2" s="17">
        <v>0.55000000000000004</v>
      </c>
      <c r="R2" s="18" t="s">
        <v>25</v>
      </c>
      <c r="S2" s="18">
        <v>100</v>
      </c>
      <c r="T2" s="18">
        <v>2978300</v>
      </c>
      <c r="U2" s="18">
        <v>476760</v>
      </c>
      <c r="V2" s="18">
        <v>0</v>
      </c>
      <c r="W2" s="18">
        <v>0</v>
      </c>
      <c r="X2" s="18">
        <v>0</v>
      </c>
      <c r="Y2" s="18">
        <v>6990</v>
      </c>
      <c r="Z2" s="18">
        <v>36960</v>
      </c>
      <c r="AA2" s="18">
        <v>0</v>
      </c>
      <c r="AB2" s="18">
        <v>0</v>
      </c>
      <c r="AC2" s="18">
        <v>2457590</v>
      </c>
      <c r="AD2" s="18">
        <v>2983394</v>
      </c>
      <c r="AE2" s="18">
        <v>476760</v>
      </c>
      <c r="AF2" s="18">
        <v>0</v>
      </c>
      <c r="AG2" s="18">
        <v>0</v>
      </c>
      <c r="AH2" s="18">
        <v>0</v>
      </c>
      <c r="AI2" s="18">
        <v>8388</v>
      </c>
      <c r="AJ2" s="18">
        <v>40656</v>
      </c>
      <c r="AK2" s="18">
        <v>0</v>
      </c>
      <c r="AL2" s="18">
        <v>0</v>
      </c>
      <c r="AM2" s="18">
        <v>2457590</v>
      </c>
      <c r="AN2" s="18">
        <v>1640867</v>
      </c>
      <c r="AO2" s="18">
        <v>0</v>
      </c>
      <c r="AP2" s="18">
        <v>1640867</v>
      </c>
    </row>
    <row r="3" spans="1:42" x14ac:dyDescent="0.4">
      <c r="A3" s="17" t="s">
        <v>48</v>
      </c>
      <c r="B3" s="17" t="s">
        <v>85</v>
      </c>
      <c r="C3" s="17" t="s">
        <v>82</v>
      </c>
      <c r="D3" s="17" t="s">
        <v>85</v>
      </c>
      <c r="E3" s="17" t="s">
        <v>84</v>
      </c>
      <c r="F3" s="17" t="s">
        <v>49</v>
      </c>
      <c r="G3" s="17" t="s">
        <v>20</v>
      </c>
      <c r="H3" s="17" t="s">
        <v>21</v>
      </c>
      <c r="I3" s="17" t="s">
        <v>22</v>
      </c>
      <c r="J3" s="17">
        <v>50875968</v>
      </c>
      <c r="K3" s="17" t="s">
        <v>86</v>
      </c>
      <c r="L3" s="17"/>
      <c r="M3" s="17"/>
      <c r="N3" s="17" t="s">
        <v>87</v>
      </c>
      <c r="O3" s="17" t="s">
        <v>23</v>
      </c>
      <c r="P3" s="17">
        <v>0.55000000000000004</v>
      </c>
      <c r="Q3" s="17">
        <v>0.55000000000000004</v>
      </c>
      <c r="R3" s="18" t="s">
        <v>24</v>
      </c>
      <c r="S3" s="18">
        <v>2400</v>
      </c>
      <c r="T3" s="18">
        <v>2305500</v>
      </c>
      <c r="U3" s="18">
        <v>1462490</v>
      </c>
      <c r="V3" s="18">
        <v>0</v>
      </c>
      <c r="W3" s="18">
        <v>0</v>
      </c>
      <c r="X3" s="18">
        <v>0</v>
      </c>
      <c r="Y3" s="18">
        <v>4000</v>
      </c>
      <c r="Z3" s="18">
        <v>129500</v>
      </c>
      <c r="AA3" s="18">
        <v>0</v>
      </c>
      <c r="AB3" s="18">
        <v>0</v>
      </c>
      <c r="AC3" s="18">
        <v>709510</v>
      </c>
      <c r="AD3" s="18">
        <v>2319250</v>
      </c>
      <c r="AE3" s="18">
        <v>1462490</v>
      </c>
      <c r="AF3" s="18">
        <v>0</v>
      </c>
      <c r="AG3" s="18">
        <v>0</v>
      </c>
      <c r="AH3" s="18">
        <v>0</v>
      </c>
      <c r="AI3" s="18">
        <v>4800</v>
      </c>
      <c r="AJ3" s="18">
        <v>142450</v>
      </c>
      <c r="AK3" s="18">
        <v>0</v>
      </c>
      <c r="AL3" s="18">
        <v>0</v>
      </c>
      <c r="AM3" s="18">
        <v>709510</v>
      </c>
      <c r="AN3" s="18">
        <v>1275588</v>
      </c>
      <c r="AO3" s="18">
        <v>0</v>
      </c>
      <c r="AP3" s="18">
        <v>1275588</v>
      </c>
    </row>
    <row r="4" spans="1:42" x14ac:dyDescent="0.4">
      <c r="A4" s="17" t="s">
        <v>48</v>
      </c>
      <c r="B4" s="17" t="s">
        <v>85</v>
      </c>
      <c r="C4" s="17" t="s">
        <v>82</v>
      </c>
      <c r="D4" s="17" t="s">
        <v>85</v>
      </c>
      <c r="E4" s="17" t="s">
        <v>84</v>
      </c>
      <c r="F4" s="17" t="s">
        <v>49</v>
      </c>
      <c r="G4" s="17" t="s">
        <v>20</v>
      </c>
      <c r="H4" s="17" t="s">
        <v>21</v>
      </c>
      <c r="I4" s="17" t="s">
        <v>22</v>
      </c>
      <c r="J4" s="17">
        <v>50875968</v>
      </c>
      <c r="K4" s="17" t="s">
        <v>86</v>
      </c>
      <c r="L4" s="17"/>
      <c r="M4" s="17"/>
      <c r="N4" s="17" t="s">
        <v>87</v>
      </c>
      <c r="O4" s="17" t="s">
        <v>23</v>
      </c>
      <c r="P4" s="17">
        <v>0.55000000000000004</v>
      </c>
      <c r="Q4" s="17">
        <v>0.55000000000000004</v>
      </c>
      <c r="R4" s="18" t="s">
        <v>24</v>
      </c>
      <c r="S4" s="18">
        <v>9200</v>
      </c>
      <c r="T4" s="18">
        <v>3726800</v>
      </c>
      <c r="U4" s="18">
        <v>2661450</v>
      </c>
      <c r="V4" s="18">
        <v>0</v>
      </c>
      <c r="W4" s="18">
        <v>0</v>
      </c>
      <c r="X4" s="18">
        <v>0</v>
      </c>
      <c r="Y4" s="18">
        <v>1300</v>
      </c>
      <c r="Z4" s="18">
        <v>741630</v>
      </c>
      <c r="AA4" s="18">
        <v>0</v>
      </c>
      <c r="AB4" s="18">
        <v>0</v>
      </c>
      <c r="AC4" s="18">
        <v>322420</v>
      </c>
      <c r="AD4" s="18">
        <v>3801223</v>
      </c>
      <c r="AE4" s="18">
        <v>2661450</v>
      </c>
      <c r="AF4" s="18">
        <v>0</v>
      </c>
      <c r="AG4" s="18">
        <v>0</v>
      </c>
      <c r="AH4" s="18">
        <v>0</v>
      </c>
      <c r="AI4" s="18">
        <v>1560</v>
      </c>
      <c r="AJ4" s="18">
        <v>815793</v>
      </c>
      <c r="AK4" s="18">
        <v>0</v>
      </c>
      <c r="AL4" s="18">
        <v>0</v>
      </c>
      <c r="AM4" s="18">
        <v>322420</v>
      </c>
      <c r="AN4" s="18">
        <v>2090673</v>
      </c>
      <c r="AO4" s="18">
        <v>0</v>
      </c>
      <c r="AP4" s="18">
        <v>2090673</v>
      </c>
    </row>
    <row r="5" spans="1:42" x14ac:dyDescent="0.4">
      <c r="A5" s="17" t="s">
        <v>48</v>
      </c>
      <c r="B5" s="17" t="s">
        <v>85</v>
      </c>
      <c r="C5" s="17" t="s">
        <v>82</v>
      </c>
      <c r="D5" s="17" t="s">
        <v>85</v>
      </c>
      <c r="E5" s="17" t="s">
        <v>84</v>
      </c>
      <c r="F5" s="17" t="s">
        <v>49</v>
      </c>
      <c r="G5" s="17" t="s">
        <v>20</v>
      </c>
      <c r="H5" s="17" t="s">
        <v>21</v>
      </c>
      <c r="I5" s="17" t="s">
        <v>22</v>
      </c>
      <c r="J5" s="17">
        <v>50875968</v>
      </c>
      <c r="K5" s="17" t="s">
        <v>86</v>
      </c>
      <c r="L5" s="17"/>
      <c r="M5" s="17"/>
      <c r="N5" s="17" t="s">
        <v>87</v>
      </c>
      <c r="O5" s="17" t="s">
        <v>23</v>
      </c>
      <c r="P5" s="17">
        <v>0.55000000000000004</v>
      </c>
      <c r="Q5" s="17">
        <v>0.55000000000000004</v>
      </c>
      <c r="R5" s="18" t="s">
        <v>24</v>
      </c>
      <c r="S5" s="18">
        <v>18000</v>
      </c>
      <c r="T5" s="18">
        <v>4435200</v>
      </c>
      <c r="U5" s="18">
        <v>3745080</v>
      </c>
      <c r="V5" s="18">
        <v>0</v>
      </c>
      <c r="W5" s="18">
        <v>0</v>
      </c>
      <c r="X5" s="18">
        <v>0</v>
      </c>
      <c r="Y5" s="18">
        <v>0</v>
      </c>
      <c r="Z5" s="18">
        <v>386080</v>
      </c>
      <c r="AA5" s="18">
        <v>0</v>
      </c>
      <c r="AB5" s="18">
        <v>0</v>
      </c>
      <c r="AC5" s="18">
        <v>304040</v>
      </c>
      <c r="AD5" s="18">
        <v>4473808</v>
      </c>
      <c r="AE5" s="18">
        <v>3745080</v>
      </c>
      <c r="AF5" s="18">
        <v>0</v>
      </c>
      <c r="AG5" s="18">
        <v>0</v>
      </c>
      <c r="AH5" s="18">
        <v>0</v>
      </c>
      <c r="AI5" s="18">
        <v>0</v>
      </c>
      <c r="AJ5" s="18">
        <v>424688</v>
      </c>
      <c r="AK5" s="18">
        <v>0</v>
      </c>
      <c r="AL5" s="18">
        <v>0</v>
      </c>
      <c r="AM5" s="18">
        <v>304040</v>
      </c>
      <c r="AN5" s="18">
        <v>2460594</v>
      </c>
      <c r="AO5" s="18">
        <v>0</v>
      </c>
      <c r="AP5" s="18">
        <v>2460594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35</vt:i4>
      </vt:variant>
      <vt:variant>
        <vt:lpstr>이름이 지정된 범위</vt:lpstr>
      </vt:variant>
      <vt:variant>
        <vt:i4>34</vt:i4>
      </vt:variant>
    </vt:vector>
  </HeadingPairs>
  <TitlesOfParts>
    <vt:vector size="69" baseType="lpstr">
      <vt:lpstr>특별계약(5)</vt:lpstr>
      <vt:lpstr>청빙</vt:lpstr>
      <vt:lpstr>돈문어</vt:lpstr>
      <vt:lpstr>서강후</vt:lpstr>
      <vt:lpstr>빡선생</vt:lpstr>
      <vt:lpstr>무장</vt:lpstr>
      <vt:lpstr>왕십리글쟁이</vt:lpstr>
      <vt:lpstr>글면증</vt:lpstr>
      <vt:lpstr>리세마라</vt:lpstr>
      <vt:lpstr>폴딩</vt:lpstr>
      <vt:lpstr>공든탑</vt:lpstr>
      <vt:lpstr>이린비</vt:lpstr>
      <vt:lpstr>이동열</vt:lpstr>
      <vt:lpstr>불고기자리</vt:lpstr>
      <vt:lpstr>진문</vt:lpstr>
      <vt:lpstr>구유</vt:lpstr>
      <vt:lpstr>찬동</vt:lpstr>
      <vt:lpstr>루이세</vt:lpstr>
      <vt:lpstr>이준영</vt:lpstr>
      <vt:lpstr>하이후</vt:lpstr>
      <vt:lpstr>예로나</vt:lpstr>
      <vt:lpstr>벗우</vt:lpstr>
      <vt:lpstr>갓띵작</vt:lpstr>
      <vt:lpstr>이한애비</vt:lpstr>
      <vt:lpstr>만렙도끼</vt:lpstr>
      <vt:lpstr>mollen</vt:lpstr>
      <vt:lpstr>이도스</vt:lpstr>
      <vt:lpstr>구땡</vt:lpstr>
      <vt:lpstr>깡펀치</vt:lpstr>
      <vt:lpstr>알랙스</vt:lpstr>
      <vt:lpstr>모험왕선우</vt:lpstr>
      <vt:lpstr>도얀</vt:lpstr>
      <vt:lpstr>덕킹</vt:lpstr>
      <vt:lpstr>단팥크림빵7</vt:lpstr>
      <vt:lpstr>담화공</vt:lpstr>
      <vt:lpstr>mollen!Extract</vt:lpstr>
      <vt:lpstr>갓띵작!Extract</vt:lpstr>
      <vt:lpstr>공든탑!Extract</vt:lpstr>
      <vt:lpstr>구땡!Extract</vt:lpstr>
      <vt:lpstr>구유!Extract</vt:lpstr>
      <vt:lpstr>글면증!Extract</vt:lpstr>
      <vt:lpstr>깡펀치!Extract</vt:lpstr>
      <vt:lpstr>단팥크림빵7!Extract</vt:lpstr>
      <vt:lpstr>담화공!Extract</vt:lpstr>
      <vt:lpstr>덕킹!Extract</vt:lpstr>
      <vt:lpstr>도얀!Extract</vt:lpstr>
      <vt:lpstr>돈문어!Extract</vt:lpstr>
      <vt:lpstr>루이세!Extract</vt:lpstr>
      <vt:lpstr>리세마라!Extract</vt:lpstr>
      <vt:lpstr>만렙도끼!Extract</vt:lpstr>
      <vt:lpstr>모험왕선우!Extract</vt:lpstr>
      <vt:lpstr>무장!Extract</vt:lpstr>
      <vt:lpstr>벗우!Extract</vt:lpstr>
      <vt:lpstr>불고기자리!Extract</vt:lpstr>
      <vt:lpstr>빡선생!Extract</vt:lpstr>
      <vt:lpstr>서강후!Extract</vt:lpstr>
      <vt:lpstr>알랙스!Extract</vt:lpstr>
      <vt:lpstr>예로나!Extract</vt:lpstr>
      <vt:lpstr>왕십리글쟁이!Extract</vt:lpstr>
      <vt:lpstr>이도스!Extract</vt:lpstr>
      <vt:lpstr>이동열!Extract</vt:lpstr>
      <vt:lpstr>이린비!Extract</vt:lpstr>
      <vt:lpstr>이준영!Extract</vt:lpstr>
      <vt:lpstr>이한애비!Extract</vt:lpstr>
      <vt:lpstr>진문!Extract</vt:lpstr>
      <vt:lpstr>찬동!Extract</vt:lpstr>
      <vt:lpstr>청빙!Extract</vt:lpstr>
      <vt:lpstr>폴딩!Extract</vt:lpstr>
      <vt:lpstr>하이후!Extract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2022-06-09T07:20:54Z</dcterms:modified>
</cp:coreProperties>
</file>